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Excel\"/>
    </mc:Choice>
  </mc:AlternateContent>
  <xr:revisionPtr revIDLastSave="0" documentId="13_ncr:1_{65EFED18-F63A-4FFE-86F8-7139BE600095}" xr6:coauthVersionLast="47" xr6:coauthVersionMax="47" xr10:uidLastSave="{00000000-0000-0000-0000-000000000000}"/>
  <bookViews>
    <workbookView xWindow="2670" yWindow="705" windowWidth="25935" windowHeight="17130" activeTab="1" xr2:uid="{15369939-A677-4414-B524-DF263B3097DC}"/>
  </bookViews>
  <sheets>
    <sheet name="DataU" sheetId="2" r:id="rId1"/>
    <sheet name="Fuel" sheetId="1" r:id="rId2"/>
  </sheets>
  <externalReferences>
    <externalReference r:id="rId3"/>
    <externalReference r:id="rId4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per">[2]Modelkrav!$C$4</definedName>
    <definedName name="NUMBERFACTOR" hidden="1">1</definedName>
    <definedName name="PROTECT" hidden="1">FALSE</definedName>
    <definedName name="QUATERVAT" hidden="1">FALSE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2" i="1" l="1"/>
  <c r="AF52" i="1"/>
  <c r="Q52" i="1" s="1"/>
  <c r="R28" i="1"/>
  <c r="S28" i="1"/>
  <c r="T28" i="1"/>
  <c r="U28" i="1"/>
  <c r="V28" i="1"/>
  <c r="W28" i="1"/>
  <c r="X28" i="1"/>
  <c r="Y28" i="1"/>
  <c r="Z28" i="1"/>
  <c r="AA28" i="1"/>
  <c r="AB28" i="1"/>
  <c r="Q28" i="1"/>
  <c r="AD28" i="1" s="1"/>
  <c r="O28" i="1"/>
  <c r="J28" i="1"/>
  <c r="K28" i="1"/>
  <c r="L28" i="1"/>
  <c r="AF50" i="1"/>
  <c r="S50" i="1" s="1"/>
  <c r="AF51" i="1"/>
  <c r="W51" i="1" s="1"/>
  <c r="Y30" i="1"/>
  <c r="AB39" i="1"/>
  <c r="Z43" i="1"/>
  <c r="Y46" i="1"/>
  <c r="U47" i="1"/>
  <c r="V47" i="1"/>
  <c r="Q30" i="1"/>
  <c r="AF30" i="1"/>
  <c r="R30" i="1" s="1"/>
  <c r="AF31" i="1"/>
  <c r="W31" i="1" s="1"/>
  <c r="AF32" i="1"/>
  <c r="AF33" i="1"/>
  <c r="Y33" i="1" s="1"/>
  <c r="AF34" i="1"/>
  <c r="V34" i="1" s="1"/>
  <c r="AF35" i="1"/>
  <c r="AF36" i="1"/>
  <c r="AF37" i="1"/>
  <c r="AF38" i="1"/>
  <c r="AF39" i="1"/>
  <c r="W39" i="1" s="1"/>
  <c r="AF40" i="1"/>
  <c r="AF41" i="1"/>
  <c r="Y41" i="1" s="1"/>
  <c r="AF42" i="1"/>
  <c r="V42" i="1" s="1"/>
  <c r="AF43" i="1"/>
  <c r="S43" i="1" s="1"/>
  <c r="AF44" i="1"/>
  <c r="X44" i="1" s="1"/>
  <c r="AF45" i="1"/>
  <c r="U45" i="1" s="1"/>
  <c r="AF46" i="1"/>
  <c r="R46" i="1" s="1"/>
  <c r="AF47" i="1"/>
  <c r="W47" i="1" s="1"/>
  <c r="AF48" i="1"/>
  <c r="T48" i="1" s="1"/>
  <c r="AF49" i="1"/>
  <c r="Y49" i="1" s="1"/>
  <c r="AF29" i="1"/>
  <c r="U29" i="1" s="1"/>
  <c r="X52" i="1" l="1"/>
  <c r="T52" i="1"/>
  <c r="W52" i="1"/>
  <c r="S52" i="1"/>
  <c r="AA52" i="1"/>
  <c r="Z52" i="1"/>
  <c r="R52" i="1"/>
  <c r="V52" i="1"/>
  <c r="U52" i="1"/>
  <c r="AD52" i="1" s="1"/>
  <c r="AB52" i="1"/>
  <c r="Y52" i="1"/>
  <c r="Z50" i="1"/>
  <c r="T46" i="1"/>
  <c r="X30" i="1"/>
  <c r="W50" i="1"/>
  <c r="AB45" i="1"/>
  <c r="W30" i="1"/>
  <c r="R50" i="1"/>
  <c r="R43" i="1"/>
  <c r="AA50" i="1"/>
  <c r="AA45" i="1"/>
  <c r="T30" i="1"/>
  <c r="Q39" i="1"/>
  <c r="R45" i="1"/>
  <c r="S29" i="1"/>
  <c r="V51" i="1"/>
  <c r="Q33" i="1"/>
  <c r="T47" i="1"/>
  <c r="V39" i="1"/>
  <c r="V33" i="1"/>
  <c r="U51" i="1"/>
  <c r="Y50" i="1"/>
  <c r="Q50" i="1"/>
  <c r="Q31" i="1"/>
  <c r="X48" i="1"/>
  <c r="AB46" i="1"/>
  <c r="Z45" i="1"/>
  <c r="AB42" i="1"/>
  <c r="U39" i="1"/>
  <c r="AB31" i="1"/>
  <c r="V30" i="1"/>
  <c r="AB51" i="1"/>
  <c r="T51" i="1"/>
  <c r="X50" i="1"/>
  <c r="W33" i="1"/>
  <c r="V48" i="1"/>
  <c r="Y45" i="1"/>
  <c r="U42" i="1"/>
  <c r="T39" i="1"/>
  <c r="V31" i="1"/>
  <c r="AA51" i="1"/>
  <c r="S51" i="1"/>
  <c r="Q48" i="1"/>
  <c r="X49" i="1"/>
  <c r="S48" i="1"/>
  <c r="X46" i="1"/>
  <c r="W45" i="1"/>
  <c r="T42" i="1"/>
  <c r="AB34" i="1"/>
  <c r="U31" i="1"/>
  <c r="AB29" i="1"/>
  <c r="Z51" i="1"/>
  <c r="R51" i="1"/>
  <c r="V50" i="1"/>
  <c r="Q41" i="1"/>
  <c r="Q49" i="1"/>
  <c r="Q47" i="1"/>
  <c r="W49" i="1"/>
  <c r="R48" i="1"/>
  <c r="W46" i="1"/>
  <c r="T45" i="1"/>
  <c r="X41" i="1"/>
  <c r="U34" i="1"/>
  <c r="T31" i="1"/>
  <c r="AA29" i="1"/>
  <c r="Y51" i="1"/>
  <c r="Q51" i="1"/>
  <c r="U50" i="1"/>
  <c r="Z48" i="1"/>
  <c r="Y48" i="1"/>
  <c r="Q46" i="1"/>
  <c r="V49" i="1"/>
  <c r="AB47" i="1"/>
  <c r="V46" i="1"/>
  <c r="S45" i="1"/>
  <c r="W41" i="1"/>
  <c r="T34" i="1"/>
  <c r="AB30" i="1"/>
  <c r="T29" i="1"/>
  <c r="X51" i="1"/>
  <c r="AB50" i="1"/>
  <c r="T50" i="1"/>
  <c r="AA48" i="1"/>
  <c r="V41" i="1"/>
  <c r="X33" i="1"/>
  <c r="Y43" i="1"/>
  <c r="X43" i="1"/>
  <c r="S42" i="1"/>
  <c r="AA34" i="1"/>
  <c r="AA47" i="1"/>
  <c r="S47" i="1"/>
  <c r="AB44" i="1"/>
  <c r="T44" i="1"/>
  <c r="W43" i="1"/>
  <c r="Z42" i="1"/>
  <c r="R42" i="1"/>
  <c r="U41" i="1"/>
  <c r="AA39" i="1"/>
  <c r="S39" i="1"/>
  <c r="Z34" i="1"/>
  <c r="R34" i="1"/>
  <c r="U33" i="1"/>
  <c r="AA31" i="1"/>
  <c r="S31" i="1"/>
  <c r="Y29" i="1"/>
  <c r="Q45" i="1"/>
  <c r="AB49" i="1"/>
  <c r="T49" i="1"/>
  <c r="W48" i="1"/>
  <c r="Z47" i="1"/>
  <c r="R47" i="1"/>
  <c r="U46" i="1"/>
  <c r="X45" i="1"/>
  <c r="AA44" i="1"/>
  <c r="S44" i="1"/>
  <c r="V43" i="1"/>
  <c r="Y42" i="1"/>
  <c r="AB41" i="1"/>
  <c r="T41" i="1"/>
  <c r="Z39" i="1"/>
  <c r="R39" i="1"/>
  <c r="Y34" i="1"/>
  <c r="AB33" i="1"/>
  <c r="T33" i="1"/>
  <c r="Z31" i="1"/>
  <c r="R31" i="1"/>
  <c r="U30" i="1"/>
  <c r="X29" i="1"/>
  <c r="W44" i="1"/>
  <c r="V44" i="1"/>
  <c r="U44" i="1"/>
  <c r="Z29" i="1"/>
  <c r="S49" i="1"/>
  <c r="Y47" i="1"/>
  <c r="Z44" i="1"/>
  <c r="U43" i="1"/>
  <c r="AA41" i="1"/>
  <c r="X34" i="1"/>
  <c r="AA33" i="1"/>
  <c r="S33" i="1"/>
  <c r="Q43" i="1"/>
  <c r="Z49" i="1"/>
  <c r="R49" i="1"/>
  <c r="U48" i="1"/>
  <c r="X47" i="1"/>
  <c r="AA46" i="1"/>
  <c r="S46" i="1"/>
  <c r="V45" i="1"/>
  <c r="Y44" i="1"/>
  <c r="AB43" i="1"/>
  <c r="T43" i="1"/>
  <c r="W42" i="1"/>
  <c r="Z41" i="1"/>
  <c r="R41" i="1"/>
  <c r="X39" i="1"/>
  <c r="W34" i="1"/>
  <c r="Z33" i="1"/>
  <c r="R33" i="1"/>
  <c r="X31" i="1"/>
  <c r="AA30" i="1"/>
  <c r="S30" i="1"/>
  <c r="V29" i="1"/>
  <c r="AA42" i="1"/>
  <c r="S34" i="1"/>
  <c r="R29" i="1"/>
  <c r="U49" i="1"/>
  <c r="Q44" i="1"/>
  <c r="AA49" i="1"/>
  <c r="R44" i="1"/>
  <c r="X42" i="1"/>
  <c r="S41" i="1"/>
  <c r="Y39" i="1"/>
  <c r="Y31" i="1"/>
  <c r="W29" i="1"/>
  <c r="Q29" i="1"/>
  <c r="Q42" i="1"/>
  <c r="Q34" i="1"/>
  <c r="AB48" i="1"/>
  <c r="Z46" i="1"/>
  <c r="AA43" i="1"/>
  <c r="Z30" i="1"/>
  <c r="Q38" i="2"/>
  <c r="Q39" i="2"/>
  <c r="V31" i="2"/>
  <c r="Q31" i="2"/>
  <c r="R31" i="2"/>
  <c r="S31" i="2"/>
  <c r="T31" i="2"/>
  <c r="U31" i="2"/>
  <c r="P32" i="2"/>
  <c r="P33" i="2"/>
  <c r="P34" i="2"/>
  <c r="P35" i="2"/>
  <c r="P36" i="2"/>
  <c r="P37" i="2"/>
  <c r="P38" i="2"/>
  <c r="P39" i="2"/>
  <c r="P40" i="2"/>
  <c r="P41" i="2"/>
  <c r="P42" i="2"/>
  <c r="P43" i="2"/>
  <c r="K6" i="1" l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5" i="1"/>
  <c r="O27" i="1"/>
  <c r="O51" i="1" s="1"/>
  <c r="D28" i="2"/>
  <c r="E28" i="2"/>
  <c r="C28" i="2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5" i="1"/>
  <c r="AD50" i="1"/>
  <c r="R26" i="1"/>
  <c r="S26" i="1"/>
  <c r="T26" i="1"/>
  <c r="U26" i="1"/>
  <c r="V26" i="1"/>
  <c r="W26" i="1"/>
  <c r="X26" i="1"/>
  <c r="Y26" i="1"/>
  <c r="Z26" i="1"/>
  <c r="AA26" i="1"/>
  <c r="AB26" i="1"/>
  <c r="Q26" i="1"/>
  <c r="O26" i="1"/>
  <c r="O50" i="1" s="1"/>
  <c r="F33" i="2"/>
  <c r="V33" i="2" s="1"/>
  <c r="F34" i="2"/>
  <c r="V34" i="2" s="1"/>
  <c r="F35" i="2"/>
  <c r="V35" i="2" s="1"/>
  <c r="F36" i="2"/>
  <c r="V36" i="2" s="1"/>
  <c r="F37" i="2"/>
  <c r="V37" i="2" s="1"/>
  <c r="F38" i="2"/>
  <c r="V38" i="2" s="1"/>
  <c r="F39" i="2"/>
  <c r="V39" i="2" s="1"/>
  <c r="F40" i="2"/>
  <c r="V40" i="2" s="1"/>
  <c r="F41" i="2"/>
  <c r="V41" i="2" s="1"/>
  <c r="F42" i="2"/>
  <c r="V42" i="2" s="1"/>
  <c r="F43" i="2"/>
  <c r="V43" i="2" s="1"/>
  <c r="F32" i="2"/>
  <c r="V32" i="2" s="1"/>
  <c r="I8" i="2"/>
  <c r="I10" i="2"/>
  <c r="I9" i="2"/>
  <c r="I7" i="2"/>
  <c r="I6" i="2"/>
  <c r="I5" i="2"/>
  <c r="L29" i="1" l="1"/>
  <c r="AD26" i="1"/>
  <c r="V44" i="2"/>
  <c r="V45" i="2" s="1"/>
  <c r="U33" i="2"/>
  <c r="U42" i="2"/>
  <c r="U35" i="2"/>
  <c r="AD51" i="1"/>
  <c r="AD27" i="1"/>
  <c r="F17" i="2"/>
  <c r="F18" i="2"/>
  <c r="F19" i="2"/>
  <c r="F20" i="2"/>
  <c r="F21" i="2"/>
  <c r="F22" i="2"/>
  <c r="F23" i="2"/>
  <c r="F24" i="2"/>
  <c r="F25" i="2"/>
  <c r="F26" i="2"/>
  <c r="F27" i="2"/>
  <c r="F16" i="2"/>
  <c r="H43" i="2"/>
  <c r="U43" i="2" s="1"/>
  <c r="H42" i="2"/>
  <c r="H41" i="2"/>
  <c r="U41" i="2" s="1"/>
  <c r="H40" i="2"/>
  <c r="U40" i="2" s="1"/>
  <c r="H39" i="2"/>
  <c r="U39" i="2" s="1"/>
  <c r="H38" i="2"/>
  <c r="U38" i="2" s="1"/>
  <c r="H37" i="2"/>
  <c r="U37" i="2" s="1"/>
  <c r="H36" i="2"/>
  <c r="U36" i="2" s="1"/>
  <c r="H35" i="2"/>
  <c r="H34" i="2"/>
  <c r="U34" i="2" s="1"/>
  <c r="H33" i="2"/>
  <c r="H32" i="2"/>
  <c r="U32" i="2" s="1"/>
  <c r="C33" i="2"/>
  <c r="Q33" i="2" s="1"/>
  <c r="D33" i="2"/>
  <c r="R33" i="2" s="1"/>
  <c r="E33" i="2"/>
  <c r="S33" i="2" s="1"/>
  <c r="G33" i="2"/>
  <c r="T33" i="2" s="1"/>
  <c r="C34" i="2"/>
  <c r="Q34" i="2" s="1"/>
  <c r="D34" i="2"/>
  <c r="R34" i="2" s="1"/>
  <c r="E34" i="2"/>
  <c r="S34" i="2" s="1"/>
  <c r="G34" i="2"/>
  <c r="T34" i="2" s="1"/>
  <c r="C35" i="2"/>
  <c r="Q35" i="2" s="1"/>
  <c r="D35" i="2"/>
  <c r="R35" i="2" s="1"/>
  <c r="E35" i="2"/>
  <c r="S35" i="2" s="1"/>
  <c r="G35" i="2"/>
  <c r="T35" i="2" s="1"/>
  <c r="C36" i="2"/>
  <c r="Q36" i="2" s="1"/>
  <c r="D36" i="2"/>
  <c r="R36" i="2" s="1"/>
  <c r="E36" i="2"/>
  <c r="S36" i="2" s="1"/>
  <c r="G36" i="2"/>
  <c r="T36" i="2" s="1"/>
  <c r="C37" i="2"/>
  <c r="Q37" i="2" s="1"/>
  <c r="D37" i="2"/>
  <c r="R37" i="2" s="1"/>
  <c r="E37" i="2"/>
  <c r="S37" i="2" s="1"/>
  <c r="G37" i="2"/>
  <c r="T37" i="2" s="1"/>
  <c r="D38" i="2"/>
  <c r="R38" i="2" s="1"/>
  <c r="E38" i="2"/>
  <c r="S38" i="2" s="1"/>
  <c r="G38" i="2"/>
  <c r="T38" i="2" s="1"/>
  <c r="D39" i="2"/>
  <c r="R39" i="2" s="1"/>
  <c r="E39" i="2"/>
  <c r="S39" i="2" s="1"/>
  <c r="G39" i="2"/>
  <c r="T39" i="2" s="1"/>
  <c r="C40" i="2"/>
  <c r="Q40" i="2" s="1"/>
  <c r="D40" i="2"/>
  <c r="R40" i="2" s="1"/>
  <c r="E40" i="2"/>
  <c r="S40" i="2" s="1"/>
  <c r="G40" i="2"/>
  <c r="T40" i="2" s="1"/>
  <c r="C41" i="2"/>
  <c r="Q41" i="2" s="1"/>
  <c r="D41" i="2"/>
  <c r="R41" i="2" s="1"/>
  <c r="E41" i="2"/>
  <c r="S41" i="2" s="1"/>
  <c r="G41" i="2"/>
  <c r="T41" i="2" s="1"/>
  <c r="C42" i="2"/>
  <c r="Q42" i="2" s="1"/>
  <c r="D42" i="2"/>
  <c r="R42" i="2" s="1"/>
  <c r="E42" i="2"/>
  <c r="S42" i="2" s="1"/>
  <c r="G42" i="2"/>
  <c r="T42" i="2" s="1"/>
  <c r="C43" i="2"/>
  <c r="Q43" i="2" s="1"/>
  <c r="D43" i="2"/>
  <c r="R43" i="2" s="1"/>
  <c r="E43" i="2"/>
  <c r="S43" i="2" s="1"/>
  <c r="G43" i="2"/>
  <c r="T43" i="2" s="1"/>
  <c r="D32" i="2"/>
  <c r="R32" i="2" s="1"/>
  <c r="E32" i="2"/>
  <c r="S32" i="2" s="1"/>
  <c r="G32" i="2"/>
  <c r="T32" i="2" s="1"/>
  <c r="C32" i="2"/>
  <c r="Q32" i="2" s="1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AB25" i="1"/>
  <c r="AA25" i="1"/>
  <c r="Z25" i="1"/>
  <c r="Y25" i="1"/>
  <c r="X25" i="1"/>
  <c r="W25" i="1"/>
  <c r="V25" i="1"/>
  <c r="U25" i="1"/>
  <c r="T25" i="1"/>
  <c r="S25" i="1"/>
  <c r="R25" i="1"/>
  <c r="Q25" i="1"/>
  <c r="O25" i="1"/>
  <c r="O49" i="1" s="1"/>
  <c r="AB24" i="1"/>
  <c r="AA24" i="1"/>
  <c r="Z24" i="1"/>
  <c r="Y24" i="1"/>
  <c r="X24" i="1"/>
  <c r="W24" i="1"/>
  <c r="V24" i="1"/>
  <c r="U24" i="1"/>
  <c r="T24" i="1"/>
  <c r="S24" i="1"/>
  <c r="R24" i="1"/>
  <c r="Q24" i="1"/>
  <c r="O24" i="1"/>
  <c r="O48" i="1" s="1"/>
  <c r="AB23" i="1"/>
  <c r="AA23" i="1"/>
  <c r="Z23" i="1"/>
  <c r="Y23" i="1"/>
  <c r="X23" i="1"/>
  <c r="W23" i="1"/>
  <c r="V23" i="1"/>
  <c r="U23" i="1"/>
  <c r="T23" i="1"/>
  <c r="S23" i="1"/>
  <c r="R23" i="1"/>
  <c r="Q23" i="1"/>
  <c r="O23" i="1"/>
  <c r="O47" i="1" s="1"/>
  <c r="AB22" i="1"/>
  <c r="AA22" i="1"/>
  <c r="Z22" i="1"/>
  <c r="Y22" i="1"/>
  <c r="X22" i="1"/>
  <c r="W22" i="1"/>
  <c r="V22" i="1"/>
  <c r="U22" i="1"/>
  <c r="T22" i="1"/>
  <c r="S22" i="1"/>
  <c r="R22" i="1"/>
  <c r="Q22" i="1"/>
  <c r="O22" i="1"/>
  <c r="O46" i="1" s="1"/>
  <c r="AB21" i="1"/>
  <c r="AA21" i="1"/>
  <c r="Z21" i="1"/>
  <c r="Y21" i="1"/>
  <c r="X21" i="1"/>
  <c r="W21" i="1"/>
  <c r="V21" i="1"/>
  <c r="U21" i="1"/>
  <c r="T21" i="1"/>
  <c r="S21" i="1"/>
  <c r="R21" i="1"/>
  <c r="Q21" i="1"/>
  <c r="O21" i="1"/>
  <c r="O45" i="1" s="1"/>
  <c r="AB20" i="1"/>
  <c r="AA20" i="1"/>
  <c r="Z20" i="1"/>
  <c r="Y20" i="1"/>
  <c r="X20" i="1"/>
  <c r="W20" i="1"/>
  <c r="V20" i="1"/>
  <c r="U20" i="1"/>
  <c r="T20" i="1"/>
  <c r="S20" i="1"/>
  <c r="R20" i="1"/>
  <c r="Q20" i="1"/>
  <c r="O20" i="1"/>
  <c r="O44" i="1" s="1"/>
  <c r="AB19" i="1"/>
  <c r="AA19" i="1"/>
  <c r="Z19" i="1"/>
  <c r="Y19" i="1"/>
  <c r="X19" i="1"/>
  <c r="W19" i="1"/>
  <c r="V19" i="1"/>
  <c r="U19" i="1"/>
  <c r="T19" i="1"/>
  <c r="S19" i="1"/>
  <c r="R19" i="1"/>
  <c r="Q19" i="1"/>
  <c r="O19" i="1"/>
  <c r="O43" i="1" s="1"/>
  <c r="AB18" i="1"/>
  <c r="AA18" i="1"/>
  <c r="Z18" i="1"/>
  <c r="Y18" i="1"/>
  <c r="X18" i="1"/>
  <c r="W18" i="1"/>
  <c r="V18" i="1"/>
  <c r="U18" i="1"/>
  <c r="T18" i="1"/>
  <c r="S18" i="1"/>
  <c r="R18" i="1"/>
  <c r="Q18" i="1"/>
  <c r="O18" i="1"/>
  <c r="O42" i="1" s="1"/>
  <c r="AB17" i="1"/>
  <c r="AA17" i="1"/>
  <c r="Z17" i="1"/>
  <c r="Y17" i="1"/>
  <c r="X17" i="1"/>
  <c r="W17" i="1"/>
  <c r="V17" i="1"/>
  <c r="U17" i="1"/>
  <c r="T17" i="1"/>
  <c r="S17" i="1"/>
  <c r="R17" i="1"/>
  <c r="Q17" i="1"/>
  <c r="O17" i="1"/>
  <c r="O41" i="1" s="1"/>
  <c r="AB16" i="1"/>
  <c r="AB40" i="1" s="1"/>
  <c r="AA16" i="1"/>
  <c r="AA40" i="1" s="1"/>
  <c r="Z16" i="1"/>
  <c r="Z40" i="1" s="1"/>
  <c r="Y16" i="1"/>
  <c r="Y40" i="1" s="1"/>
  <c r="X16" i="1"/>
  <c r="X40" i="1" s="1"/>
  <c r="W16" i="1"/>
  <c r="W40" i="1" s="1"/>
  <c r="V16" i="1"/>
  <c r="V40" i="1" s="1"/>
  <c r="U16" i="1"/>
  <c r="U40" i="1" s="1"/>
  <c r="T16" i="1"/>
  <c r="T40" i="1" s="1"/>
  <c r="S16" i="1"/>
  <c r="S40" i="1" s="1"/>
  <c r="R16" i="1"/>
  <c r="R40" i="1" s="1"/>
  <c r="Q16" i="1"/>
  <c r="Q40" i="1" s="1"/>
  <c r="O16" i="1"/>
  <c r="O40" i="1" s="1"/>
  <c r="AB15" i="1"/>
  <c r="AA15" i="1"/>
  <c r="Z15" i="1"/>
  <c r="Y15" i="1"/>
  <c r="X15" i="1"/>
  <c r="W15" i="1"/>
  <c r="V15" i="1"/>
  <c r="U15" i="1"/>
  <c r="T15" i="1"/>
  <c r="S15" i="1"/>
  <c r="R15" i="1"/>
  <c r="Q15" i="1"/>
  <c r="O15" i="1"/>
  <c r="O39" i="1" s="1"/>
  <c r="AB14" i="1"/>
  <c r="AB38" i="1" s="1"/>
  <c r="AA14" i="1"/>
  <c r="AA38" i="1" s="1"/>
  <c r="Z14" i="1"/>
  <c r="Z38" i="1" s="1"/>
  <c r="Y14" i="1"/>
  <c r="Y38" i="1" s="1"/>
  <c r="X14" i="1"/>
  <c r="X38" i="1" s="1"/>
  <c r="W14" i="1"/>
  <c r="W38" i="1" s="1"/>
  <c r="V14" i="1"/>
  <c r="V38" i="1" s="1"/>
  <c r="U14" i="1"/>
  <c r="U38" i="1" s="1"/>
  <c r="T14" i="1"/>
  <c r="T38" i="1" s="1"/>
  <c r="S14" i="1"/>
  <c r="S38" i="1" s="1"/>
  <c r="R14" i="1"/>
  <c r="R38" i="1" s="1"/>
  <c r="Q14" i="1"/>
  <c r="Q38" i="1" s="1"/>
  <c r="O14" i="1"/>
  <c r="O38" i="1" s="1"/>
  <c r="AB13" i="1"/>
  <c r="AB37" i="1" s="1"/>
  <c r="AA13" i="1"/>
  <c r="AA37" i="1" s="1"/>
  <c r="Z13" i="1"/>
  <c r="Z37" i="1" s="1"/>
  <c r="Y13" i="1"/>
  <c r="Y37" i="1" s="1"/>
  <c r="X13" i="1"/>
  <c r="X37" i="1" s="1"/>
  <c r="W13" i="1"/>
  <c r="W37" i="1" s="1"/>
  <c r="V13" i="1"/>
  <c r="V37" i="1" s="1"/>
  <c r="U13" i="1"/>
  <c r="U37" i="1" s="1"/>
  <c r="T13" i="1"/>
  <c r="T37" i="1" s="1"/>
  <c r="S13" i="1"/>
  <c r="S37" i="1" s="1"/>
  <c r="R13" i="1"/>
  <c r="R37" i="1" s="1"/>
  <c r="Q13" i="1"/>
  <c r="Q37" i="1" s="1"/>
  <c r="O13" i="1"/>
  <c r="O37" i="1" s="1"/>
  <c r="AB12" i="1"/>
  <c r="AB36" i="1" s="1"/>
  <c r="AA12" i="1"/>
  <c r="AA36" i="1" s="1"/>
  <c r="Z12" i="1"/>
  <c r="Z36" i="1" s="1"/>
  <c r="Y12" i="1"/>
  <c r="Y36" i="1" s="1"/>
  <c r="X12" i="1"/>
  <c r="X36" i="1" s="1"/>
  <c r="W12" i="1"/>
  <c r="W36" i="1" s="1"/>
  <c r="V12" i="1"/>
  <c r="V36" i="1" s="1"/>
  <c r="U12" i="1"/>
  <c r="U36" i="1" s="1"/>
  <c r="T12" i="1"/>
  <c r="T36" i="1" s="1"/>
  <c r="S12" i="1"/>
  <c r="S36" i="1" s="1"/>
  <c r="R12" i="1"/>
  <c r="R36" i="1" s="1"/>
  <c r="Q12" i="1"/>
  <c r="Q36" i="1" s="1"/>
  <c r="O12" i="1"/>
  <c r="O36" i="1" s="1"/>
  <c r="AB11" i="1"/>
  <c r="AB35" i="1" s="1"/>
  <c r="AA11" i="1"/>
  <c r="AA35" i="1" s="1"/>
  <c r="Z11" i="1"/>
  <c r="Z35" i="1" s="1"/>
  <c r="Y11" i="1"/>
  <c r="Y35" i="1" s="1"/>
  <c r="X11" i="1"/>
  <c r="X35" i="1" s="1"/>
  <c r="W11" i="1"/>
  <c r="W35" i="1" s="1"/>
  <c r="V11" i="1"/>
  <c r="V35" i="1" s="1"/>
  <c r="U11" i="1"/>
  <c r="U35" i="1" s="1"/>
  <c r="T11" i="1"/>
  <c r="T35" i="1" s="1"/>
  <c r="S11" i="1"/>
  <c r="S35" i="1" s="1"/>
  <c r="R11" i="1"/>
  <c r="R35" i="1" s="1"/>
  <c r="Q11" i="1"/>
  <c r="Q35" i="1" s="1"/>
  <c r="O11" i="1"/>
  <c r="O35" i="1" s="1"/>
  <c r="AB10" i="1"/>
  <c r="AA10" i="1"/>
  <c r="Z10" i="1"/>
  <c r="Y10" i="1"/>
  <c r="X10" i="1"/>
  <c r="W10" i="1"/>
  <c r="V10" i="1"/>
  <c r="U10" i="1"/>
  <c r="T10" i="1"/>
  <c r="S10" i="1"/>
  <c r="R10" i="1"/>
  <c r="Q10" i="1"/>
  <c r="O10" i="1"/>
  <c r="O34" i="1" s="1"/>
  <c r="AB9" i="1"/>
  <c r="AA9" i="1"/>
  <c r="Z9" i="1"/>
  <c r="Y9" i="1"/>
  <c r="X9" i="1"/>
  <c r="W9" i="1"/>
  <c r="V9" i="1"/>
  <c r="U9" i="1"/>
  <c r="T9" i="1"/>
  <c r="S9" i="1"/>
  <c r="R9" i="1"/>
  <c r="Q9" i="1"/>
  <c r="O9" i="1"/>
  <c r="O33" i="1" s="1"/>
  <c r="AB8" i="1"/>
  <c r="AB32" i="1" s="1"/>
  <c r="AA8" i="1"/>
  <c r="AA32" i="1" s="1"/>
  <c r="Z8" i="1"/>
  <c r="Z32" i="1" s="1"/>
  <c r="Y8" i="1"/>
  <c r="Y32" i="1" s="1"/>
  <c r="X8" i="1"/>
  <c r="X32" i="1" s="1"/>
  <c r="W8" i="1"/>
  <c r="W32" i="1" s="1"/>
  <c r="V8" i="1"/>
  <c r="V32" i="1" s="1"/>
  <c r="U8" i="1"/>
  <c r="U32" i="1" s="1"/>
  <c r="T8" i="1"/>
  <c r="T32" i="1" s="1"/>
  <c r="S8" i="1"/>
  <c r="S32" i="1" s="1"/>
  <c r="R8" i="1"/>
  <c r="R32" i="1" s="1"/>
  <c r="Q8" i="1"/>
  <c r="Q32" i="1" s="1"/>
  <c r="O8" i="1"/>
  <c r="O32" i="1" s="1"/>
  <c r="AB7" i="1"/>
  <c r="AA7" i="1"/>
  <c r="Z7" i="1"/>
  <c r="Y7" i="1"/>
  <c r="X7" i="1"/>
  <c r="W7" i="1"/>
  <c r="V7" i="1"/>
  <c r="U7" i="1"/>
  <c r="T7" i="1"/>
  <c r="S7" i="1"/>
  <c r="R7" i="1"/>
  <c r="Q7" i="1"/>
  <c r="O7" i="1"/>
  <c r="O31" i="1" s="1"/>
  <c r="AB6" i="1"/>
  <c r="AA6" i="1"/>
  <c r="Z6" i="1"/>
  <c r="Y6" i="1"/>
  <c r="X6" i="1"/>
  <c r="W6" i="1"/>
  <c r="V6" i="1"/>
  <c r="U6" i="1"/>
  <c r="T6" i="1"/>
  <c r="S6" i="1"/>
  <c r="R6" i="1"/>
  <c r="Q6" i="1"/>
  <c r="O6" i="1"/>
  <c r="O30" i="1" s="1"/>
  <c r="AB5" i="1"/>
  <c r="AA5" i="1"/>
  <c r="Z5" i="1"/>
  <c r="Y5" i="1"/>
  <c r="X5" i="1"/>
  <c r="W5" i="1"/>
  <c r="V5" i="1"/>
  <c r="U5" i="1"/>
  <c r="T5" i="1"/>
  <c r="S5" i="1"/>
  <c r="R5" i="1"/>
  <c r="Q5" i="1"/>
  <c r="O5" i="1"/>
  <c r="O29" i="1" s="1"/>
  <c r="R44" i="2" l="1"/>
  <c r="R45" i="2" s="1"/>
  <c r="U44" i="2"/>
  <c r="U45" i="2" s="1"/>
  <c r="Q44" i="2"/>
  <c r="Q45" i="2" s="1"/>
  <c r="T44" i="2"/>
  <c r="T45" i="2" s="1"/>
  <c r="S44" i="2"/>
  <c r="S45" i="2" s="1"/>
  <c r="F28" i="2"/>
  <c r="AD32" i="1"/>
  <c r="AD35" i="1"/>
  <c r="AD37" i="1"/>
  <c r="AD38" i="1"/>
  <c r="AD18" i="1"/>
  <c r="AD12" i="1"/>
  <c r="AD30" i="1"/>
  <c r="AD41" i="1"/>
  <c r="AD42" i="1"/>
  <c r="AD45" i="1"/>
  <c r="AD46" i="1"/>
  <c r="AD49" i="1"/>
  <c r="AD36" i="1"/>
  <c r="AD15" i="1"/>
  <c r="AD44" i="1"/>
  <c r="AD48" i="1"/>
  <c r="AD29" i="1"/>
  <c r="AD31" i="1"/>
  <c r="AD43" i="1"/>
  <c r="AD47" i="1"/>
  <c r="AD33" i="1"/>
  <c r="AD34" i="1"/>
  <c r="AD39" i="1"/>
  <c r="AD40" i="1"/>
  <c r="AD17" i="1"/>
  <c r="AD25" i="1"/>
  <c r="AD23" i="1"/>
  <c r="AD5" i="1"/>
  <c r="AD13" i="1"/>
  <c r="AD24" i="1"/>
  <c r="AD9" i="1"/>
  <c r="AD20" i="1"/>
  <c r="AD6" i="1"/>
  <c r="AD16" i="1"/>
  <c r="AD21" i="1"/>
  <c r="AD14" i="1"/>
  <c r="AD8" i="1"/>
  <c r="AD11" i="1"/>
  <c r="AD7" i="1"/>
  <c r="AD10" i="1"/>
  <c r="AD19" i="1"/>
  <c r="AD2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H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C28" authorId="0" shapeId="0" xr:uid="{B971E0B2-1F45-46C8-8234-5875FD8D06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</commentList>
</comments>
</file>

<file path=xl/sharedStrings.xml><?xml version="1.0" encoding="utf-8"?>
<sst xmlns="http://schemas.openxmlformats.org/spreadsheetml/2006/main" count="257" uniqueCount="124">
  <si>
    <t>Anlægsdata</t>
  </si>
  <si>
    <t>ovn2</t>
  </si>
  <si>
    <t>ovn3</t>
  </si>
  <si>
    <t>flisk</t>
  </si>
  <si>
    <t>cooler</t>
  </si>
  <si>
    <t>minlast</t>
  </si>
  <si>
    <t>etaq</t>
  </si>
  <si>
    <t>DV</t>
  </si>
  <si>
    <t>Fuldt navn</t>
  </si>
  <si>
    <t>tonnage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</si>
  <si>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</si>
  <si>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</si>
  <si>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</si>
  <si>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</si>
  <si>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</si>
  <si>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</si>
  <si>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</si>
  <si>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</si>
  <si>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</si>
  <si>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</si>
  <si>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</si>
  <si>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</si>
  <si>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</si>
  <si>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</si>
  <si>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</si>
  <si>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</si>
  <si>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</si>
  <si>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</si>
  <si>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</si>
  <si>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</si>
  <si>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</si>
  <si>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</si>
  <si>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</si>
  <si>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</si>
  <si>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</si>
  <si>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</si>
  <si>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</si>
  <si>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</si>
  <si>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</si>
  <si>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</si>
  <si>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</si>
  <si>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</si>
  <si>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</si>
  <si>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</si>
  <si>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</si>
  <si>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</si>
  <si>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</si>
  <si>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</si>
  <si>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</si>
  <si>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</si>
  <si>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</si>
  <si>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</si>
  <si>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</si>
  <si>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</si>
  <si>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</si>
  <si>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</si>
  <si>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</si>
  <si>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</si>
  <si>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</si>
  <si>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</si>
  <si>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</si>
  <si>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</si>
  <si>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</si>
  <si>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</si>
  <si>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</si>
  <si>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</si>
  <si>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</si>
  <si>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</si>
  <si>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</si>
  <si>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</si>
  <si>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</si>
  <si>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</si>
  <si>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</si>
  <si>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</si>
  <si>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</si>
  <si>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</si>
  <si>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</si>
  <si>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</si>
  <si>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</si>
  <si>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</si>
  <si>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</si>
  <si>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</si>
  <si>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</si>
  <si>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</si>
  <si>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peak</t>
  </si>
  <si>
    <t>Rådige dage</t>
  </si>
  <si>
    <t>kapMin</t>
  </si>
  <si>
    <t>aux</t>
  </si>
  <si>
    <t>co2andel</t>
  </si>
  <si>
    <t>NS</t>
  </si>
  <si>
    <t>MWhq</t>
  </si>
  <si>
    <t>NSprod</t>
  </si>
  <si>
    <t>ELprod</t>
  </si>
  <si>
    <t>MWhe</t>
  </si>
  <si>
    <t>fkind</t>
  </si>
  <si>
    <t>Drivmiddel-mængder min-max grænser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</si>
  <si>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</si>
  <si>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</si>
  <si>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</si>
  <si>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</si>
  <si>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</si>
  <si>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</si>
  <si>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</si>
  <si>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</si>
  <si>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</si>
  <si>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</si>
  <si>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</si>
  <si>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MWhf</t>
  </si>
  <si>
    <t>SUM</t>
  </si>
  <si>
    <t>prisbv</t>
  </si>
  <si>
    <t>DKK/GJ</t>
  </si>
  <si>
    <t>Max.Qprod</t>
  </si>
  <si>
    <t>Behovsandel</t>
  </si>
  <si>
    <t>ton/ton</t>
  </si>
  <si>
    <t>lagerbart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</si>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</sst>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,##0.0"/>
    <numFmt numFmtId="165" formatCode="_-* #,##0_-;\-* #,##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18" fillId="6" borderId="0" applyNumberFormat="0" applyBorder="0" applyAlignment="0" applyProtection="0"/>
  </cellStyleXfs>
  <cellXfs count="6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4" fontId="6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9" fillId="0" borderId="0" xfId="0" applyFont="1"/>
    <xf numFmtId="0" fontId="10" fillId="0" borderId="0" xfId="0" applyFont="1"/>
    <xf numFmtId="0" fontId="0" fillId="4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2" fontId="0" fillId="5" borderId="0" xfId="0" applyNumberFormat="1" applyFill="1"/>
    <xf numFmtId="43" fontId="0" fillId="0" borderId="0" xfId="1" applyFont="1"/>
    <xf numFmtId="0" fontId="11" fillId="0" borderId="0" xfId="0" applyFont="1"/>
    <xf numFmtId="9" fontId="11" fillId="0" borderId="0" xfId="0" applyNumberFormat="1" applyFont="1"/>
    <xf numFmtId="165" fontId="10" fillId="0" borderId="0" xfId="1" applyNumberFormat="1" applyFont="1"/>
    <xf numFmtId="165" fontId="9" fillId="0" borderId="0" xfId="1" applyNumberFormat="1" applyFont="1"/>
    <xf numFmtId="0" fontId="0" fillId="5" borderId="0" xfId="0" quotePrefix="1" applyFill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3" fontId="13" fillId="0" borderId="0" xfId="0" applyNumberFormat="1" applyFont="1"/>
    <xf numFmtId="3" fontId="14" fillId="0" borderId="0" xfId="0" applyNumberFormat="1" applyFont="1"/>
    <xf numFmtId="0" fontId="0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9" fontId="0" fillId="5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5" borderId="0" xfId="0" applyNumberFormat="1" applyFill="1"/>
    <xf numFmtId="0" fontId="13" fillId="0" borderId="0" xfId="0" applyFont="1"/>
    <xf numFmtId="165" fontId="13" fillId="0" borderId="0" xfId="1" applyNumberFormat="1" applyFont="1"/>
    <xf numFmtId="0" fontId="14" fillId="0" borderId="0" xfId="0" applyFont="1"/>
    <xf numFmtId="165" fontId="14" fillId="0" borderId="0" xfId="1" applyNumberFormat="1" applyFont="1"/>
    <xf numFmtId="0" fontId="0" fillId="0" borderId="0" xfId="2" applyNumberFormat="1" applyFont="1" applyAlignment="1">
      <alignment horizontal="center"/>
    </xf>
    <xf numFmtId="0" fontId="2" fillId="2" borderId="0" xfId="3"/>
    <xf numFmtId="0" fontId="3" fillId="3" borderId="1" xfId="4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2" xfId="0" applyFont="1" applyBorder="1" applyAlignment="1">
      <alignment horizontal="center"/>
    </xf>
    <xf numFmtId="3" fontId="5" fillId="0" borderId="2" xfId="0" applyNumberFormat="1" applyFont="1" applyBorder="1"/>
    <xf numFmtId="0" fontId="3" fillId="4" borderId="0" xfId="0" applyFont="1" applyFill="1" applyAlignment="1">
      <alignment horizontal="center"/>
    </xf>
    <xf numFmtId="3" fontId="0" fillId="4" borderId="0" xfId="0" applyNumberFormat="1" applyFill="1"/>
    <xf numFmtId="3" fontId="3" fillId="4" borderId="0" xfId="0" applyNumberFormat="1" applyFont="1" applyFill="1"/>
    <xf numFmtId="0" fontId="17" fillId="0" borderId="0" xfId="2" applyNumberFormat="1" applyFont="1" applyAlignment="1">
      <alignment horizontal="center"/>
    </xf>
    <xf numFmtId="0" fontId="0" fillId="4" borderId="0" xfId="0" applyFill="1" applyAlignment="1">
      <alignment horizontal="center"/>
    </xf>
    <xf numFmtId="3" fontId="0" fillId="0" borderId="3" xfId="0" applyNumberFormat="1" applyBorder="1"/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NumberFormat="1" applyAlignment="1"/>
    <xf numFmtId="0" fontId="3" fillId="4" borderId="0" xfId="0" applyFont="1" applyFill="1"/>
    <xf numFmtId="3" fontId="0" fillId="0" borderId="0" xfId="0" applyNumberFormat="1" applyBorder="1"/>
    <xf numFmtId="3" fontId="10" fillId="0" borderId="0" xfId="0" applyNumberFormat="1" applyFont="1"/>
    <xf numFmtId="3" fontId="9" fillId="0" borderId="0" xfId="0" applyNumberFormat="1" applyFont="1"/>
    <xf numFmtId="4" fontId="18" fillId="6" borderId="0" xfId="5" applyNumberFormat="1"/>
  </cellXfs>
  <cellStyles count="6">
    <cellStyle name="Bad" xfId="5" builtinId="27"/>
    <cellStyle name="Comma" xfId="1" builtinId="3"/>
    <cellStyle name="Neutral" xfId="3" builtinId="28"/>
    <cellStyle name="Normal" xfId="0" builtinId="0"/>
    <cellStyle name="Note" xfId="4" builtinId="10"/>
    <cellStyle name="Percent" xfId="2" builtinId="5"/>
  </cellStyles>
  <dxfs count="7"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V50"/>
  <sheetViews>
    <sheetView zoomScale="85" zoomScaleNormal="85" workbookViewId="0">
      <selection activeCell="C5" sqref="C5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13.140625" bestFit="1" customWidth="1"/>
    <col min="11" max="11" width="9.140625" customWidth="1"/>
    <col min="12" max="12" width="10" style="56" customWidth="1"/>
    <col min="13" max="13" width="4.7109375" style="56" customWidth="1"/>
  </cols>
  <sheetData>
    <row r="1" spans="1:14" x14ac:dyDescent="0.25">
      <c r="A1" s="16"/>
      <c r="B1" s="16"/>
      <c r="C1" s="16"/>
      <c r="D1" s="16"/>
      <c r="E1" s="60" t="s">
        <v>117</v>
      </c>
      <c r="F1" s="16"/>
      <c r="G1" s="16"/>
      <c r="H1" s="16"/>
      <c r="I1" s="16"/>
      <c r="J1" s="16"/>
      <c r="K1" s="16"/>
      <c r="L1" s="16"/>
      <c r="M1" s="16"/>
      <c r="N1" s="16"/>
    </row>
    <row r="2" spans="1:14" x14ac:dyDescent="0.25">
      <c r="N2" s="16"/>
    </row>
    <row r="3" spans="1:14" x14ac:dyDescent="0.25">
      <c r="B3" s="1" t="s">
        <v>0</v>
      </c>
      <c r="C3" s="30" t="s">
        <v>103</v>
      </c>
      <c r="E3" s="30" t="s">
        <v>116</v>
      </c>
      <c r="F3" s="31" t="s">
        <v>80</v>
      </c>
      <c r="G3" s="31" t="s">
        <v>80</v>
      </c>
      <c r="H3" s="32"/>
      <c r="I3" s="32" t="s">
        <v>80</v>
      </c>
      <c r="J3" s="31"/>
      <c r="K3" s="31" t="s">
        <v>79</v>
      </c>
      <c r="L3" s="31" t="s">
        <v>79</v>
      </c>
      <c r="N3" s="16"/>
    </row>
    <row r="4" spans="1:14" x14ac:dyDescent="0.25">
      <c r="B4" s="16"/>
      <c r="C4" s="2" t="s">
        <v>81</v>
      </c>
      <c r="D4" s="2" t="s">
        <v>121</v>
      </c>
      <c r="E4" s="2" t="s">
        <v>115</v>
      </c>
      <c r="F4" s="2" t="s">
        <v>118</v>
      </c>
      <c r="G4" s="2" t="s">
        <v>75</v>
      </c>
      <c r="H4" s="27" t="s">
        <v>5</v>
      </c>
      <c r="I4" s="27" t="s">
        <v>86</v>
      </c>
      <c r="J4" s="2" t="s">
        <v>6</v>
      </c>
      <c r="K4" s="2" t="s">
        <v>7</v>
      </c>
      <c r="L4" s="2" t="s">
        <v>87</v>
      </c>
      <c r="N4" s="16"/>
    </row>
    <row r="5" spans="1:14" x14ac:dyDescent="0.25">
      <c r="B5" s="17" t="s">
        <v>1</v>
      </c>
      <c r="C5" s="10">
        <v>0</v>
      </c>
      <c r="D5" s="10">
        <v>1</v>
      </c>
      <c r="E5" s="59">
        <v>4.5999999999999996</v>
      </c>
      <c r="F5">
        <v>9.5</v>
      </c>
      <c r="G5">
        <v>2</v>
      </c>
      <c r="H5" s="21">
        <v>0</v>
      </c>
      <c r="I5" s="21">
        <f t="shared" ref="I5:I10" si="0">H5*F5</f>
        <v>0</v>
      </c>
      <c r="J5" s="33">
        <v>0.6</v>
      </c>
      <c r="K5" s="4">
        <v>50</v>
      </c>
      <c r="L5" s="4">
        <v>0</v>
      </c>
      <c r="N5" s="16"/>
    </row>
    <row r="6" spans="1:14" x14ac:dyDescent="0.25">
      <c r="B6" s="17" t="s">
        <v>2</v>
      </c>
      <c r="C6" s="10">
        <v>1</v>
      </c>
      <c r="D6" s="10">
        <v>1</v>
      </c>
      <c r="E6" s="59">
        <v>12.42</v>
      </c>
      <c r="F6">
        <v>22.5</v>
      </c>
      <c r="G6">
        <v>5</v>
      </c>
      <c r="H6" s="21">
        <v>0</v>
      </c>
      <c r="I6" s="21">
        <f t="shared" si="0"/>
        <v>0</v>
      </c>
      <c r="J6" s="34">
        <v>0.65</v>
      </c>
      <c r="K6" s="4">
        <v>40</v>
      </c>
      <c r="L6" s="4">
        <v>0</v>
      </c>
      <c r="N6" s="16"/>
    </row>
    <row r="7" spans="1:14" x14ac:dyDescent="0.25">
      <c r="B7" s="17" t="s">
        <v>3</v>
      </c>
      <c r="C7" s="10">
        <v>1</v>
      </c>
      <c r="D7" s="10">
        <v>2</v>
      </c>
      <c r="E7" s="59"/>
      <c r="F7">
        <v>10.5</v>
      </c>
      <c r="G7">
        <v>0</v>
      </c>
      <c r="H7" s="21">
        <v>0</v>
      </c>
      <c r="I7" s="21">
        <f t="shared" si="0"/>
        <v>0</v>
      </c>
      <c r="J7" s="33">
        <v>0.85</v>
      </c>
      <c r="K7" s="4">
        <v>25</v>
      </c>
      <c r="L7" s="19">
        <v>200</v>
      </c>
      <c r="N7" s="16"/>
    </row>
    <row r="8" spans="1:14" x14ac:dyDescent="0.25">
      <c r="B8" s="17" t="s">
        <v>89</v>
      </c>
      <c r="C8" s="10">
        <v>1</v>
      </c>
      <c r="D8" s="10">
        <v>3</v>
      </c>
      <c r="E8" s="59"/>
      <c r="F8">
        <v>8</v>
      </c>
      <c r="G8">
        <v>0</v>
      </c>
      <c r="H8" s="21">
        <v>0</v>
      </c>
      <c r="I8" s="21">
        <f>H8*F8</f>
        <v>0</v>
      </c>
      <c r="J8" s="34">
        <v>1</v>
      </c>
      <c r="K8" s="4">
        <v>0</v>
      </c>
      <c r="L8" s="19">
        <v>150</v>
      </c>
      <c r="N8" s="16"/>
    </row>
    <row r="9" spans="1:14" x14ac:dyDescent="0.25">
      <c r="B9" s="17" t="s">
        <v>84</v>
      </c>
      <c r="C9" s="10">
        <v>1</v>
      </c>
      <c r="D9" s="10">
        <v>4</v>
      </c>
      <c r="E9" s="59"/>
      <c r="F9">
        <v>100</v>
      </c>
      <c r="G9">
        <v>0</v>
      </c>
      <c r="H9" s="21">
        <v>0</v>
      </c>
      <c r="I9" s="21">
        <f t="shared" si="0"/>
        <v>0</v>
      </c>
      <c r="J9" s="34">
        <v>1</v>
      </c>
      <c r="K9" s="4">
        <v>0</v>
      </c>
      <c r="L9" s="4">
        <v>800</v>
      </c>
      <c r="N9" s="16"/>
    </row>
    <row r="10" spans="1:14" x14ac:dyDescent="0.25">
      <c r="B10" s="17" t="s">
        <v>4</v>
      </c>
      <c r="C10" s="10">
        <v>1</v>
      </c>
      <c r="D10" s="10">
        <v>5</v>
      </c>
      <c r="E10" s="59"/>
      <c r="F10">
        <v>15</v>
      </c>
      <c r="G10">
        <v>0</v>
      </c>
      <c r="H10" s="21">
        <v>0</v>
      </c>
      <c r="I10" s="21">
        <f t="shared" si="0"/>
        <v>0</v>
      </c>
      <c r="J10" s="34">
        <v>1</v>
      </c>
      <c r="K10" s="4">
        <v>10</v>
      </c>
      <c r="L10" s="4">
        <v>0</v>
      </c>
      <c r="N10" s="16"/>
    </row>
    <row r="11" spans="1:14" x14ac:dyDescent="0.25">
      <c r="B11" s="17"/>
      <c r="C11" s="2"/>
      <c r="D11" s="2"/>
      <c r="G11" s="22"/>
      <c r="H11" s="21"/>
      <c r="I11" s="3"/>
      <c r="J11" s="3"/>
      <c r="N11" s="16"/>
    </row>
    <row r="12" spans="1:14" x14ac:dyDescent="0.25">
      <c r="B12" s="25" t="s">
        <v>97</v>
      </c>
      <c r="N12" s="16"/>
    </row>
    <row r="13" spans="1:14" x14ac:dyDescent="0.25">
      <c r="N13" s="16"/>
    </row>
    <row r="14" spans="1:14" x14ac:dyDescent="0.25">
      <c r="B14" s="1" t="s">
        <v>65</v>
      </c>
      <c r="C14" s="1"/>
      <c r="D14" s="10" t="s">
        <v>76</v>
      </c>
      <c r="E14" s="10" t="s">
        <v>90</v>
      </c>
      <c r="F14" s="10" t="s">
        <v>93</v>
      </c>
      <c r="G14" s="10" t="s">
        <v>66</v>
      </c>
      <c r="H14" s="10" t="s">
        <v>67</v>
      </c>
      <c r="I14" s="10" t="s">
        <v>67</v>
      </c>
      <c r="J14" s="26" t="s">
        <v>66</v>
      </c>
      <c r="K14" s="26"/>
      <c r="L14" s="57"/>
      <c r="M14" s="57"/>
      <c r="N14" s="16"/>
    </row>
    <row r="15" spans="1:14" x14ac:dyDescent="0.25">
      <c r="B15" s="16"/>
      <c r="C15" s="2" t="s">
        <v>74</v>
      </c>
      <c r="D15" s="2" t="s">
        <v>68</v>
      </c>
      <c r="E15" s="2" t="s">
        <v>91</v>
      </c>
      <c r="F15" s="42" t="s">
        <v>92</v>
      </c>
      <c r="G15" s="2" t="s">
        <v>69</v>
      </c>
      <c r="H15" s="2" t="s">
        <v>70</v>
      </c>
      <c r="I15" s="2" t="s">
        <v>71</v>
      </c>
      <c r="J15" s="27" t="s">
        <v>72</v>
      </c>
      <c r="K15" s="27"/>
      <c r="L15" s="58"/>
      <c r="M15" s="58"/>
      <c r="N15" s="16"/>
    </row>
    <row r="16" spans="1:14" x14ac:dyDescent="0.25">
      <c r="B16" s="11" t="s">
        <v>11</v>
      </c>
      <c r="C16">
        <v>31</v>
      </c>
      <c r="D16" s="7">
        <v>35300</v>
      </c>
      <c r="E16" s="7">
        <v>4000</v>
      </c>
      <c r="F16" s="7">
        <f>8*C16*24</f>
        <v>5952</v>
      </c>
      <c r="G16" s="12">
        <f>(33+0.1561*C16/2)*7.5</f>
        <v>265.64662500000003</v>
      </c>
      <c r="H16">
        <v>25.8</v>
      </c>
      <c r="I16">
        <v>26.5</v>
      </c>
      <c r="J16" s="21">
        <v>177</v>
      </c>
      <c r="K16" s="21"/>
      <c r="N16" s="16"/>
    </row>
    <row r="17" spans="2:22" x14ac:dyDescent="0.25">
      <c r="B17" s="11" t="s">
        <v>12</v>
      </c>
      <c r="C17">
        <v>28</v>
      </c>
      <c r="D17" s="7">
        <v>32000</v>
      </c>
      <c r="E17" s="7">
        <v>0</v>
      </c>
      <c r="F17" s="7">
        <f t="shared" ref="F17:F27" si="1">8*C17*24</f>
        <v>5376</v>
      </c>
      <c r="G17" s="12">
        <f t="shared" ref="G17:G27" si="2">G16+0.1561*7.5*C17</f>
        <v>298.42762500000003</v>
      </c>
      <c r="H17">
        <v>25.8</v>
      </c>
      <c r="I17">
        <v>26.5</v>
      </c>
      <c r="J17" s="21">
        <v>177</v>
      </c>
      <c r="K17" s="21"/>
      <c r="N17" s="16"/>
    </row>
    <row r="18" spans="2:22" x14ac:dyDescent="0.25">
      <c r="B18" s="11" t="s">
        <v>13</v>
      </c>
      <c r="C18">
        <v>31</v>
      </c>
      <c r="D18" s="7">
        <v>29500</v>
      </c>
      <c r="E18" s="7">
        <v>0</v>
      </c>
      <c r="F18" s="7">
        <f t="shared" si="1"/>
        <v>5952</v>
      </c>
      <c r="G18" s="12">
        <f t="shared" si="2"/>
        <v>334.72087500000004</v>
      </c>
      <c r="H18">
        <v>25.8</v>
      </c>
      <c r="I18">
        <v>26.5</v>
      </c>
      <c r="J18" s="21">
        <v>177</v>
      </c>
      <c r="K18" s="21"/>
      <c r="N18" s="16"/>
    </row>
    <row r="19" spans="2:22" x14ac:dyDescent="0.25">
      <c r="B19" s="11" t="s">
        <v>14</v>
      </c>
      <c r="C19">
        <v>30</v>
      </c>
      <c r="D19" s="7">
        <v>20000</v>
      </c>
      <c r="E19" s="7">
        <v>0</v>
      </c>
      <c r="F19" s="7">
        <f t="shared" si="1"/>
        <v>5760</v>
      </c>
      <c r="G19" s="12">
        <f t="shared" si="2"/>
        <v>369.84337500000004</v>
      </c>
      <c r="H19">
        <v>25.8</v>
      </c>
      <c r="I19">
        <v>26.5</v>
      </c>
      <c r="J19" s="21">
        <v>177</v>
      </c>
      <c r="K19" s="21"/>
      <c r="N19" s="16"/>
    </row>
    <row r="20" spans="2:22" x14ac:dyDescent="0.25">
      <c r="B20" s="11" t="s">
        <v>15</v>
      </c>
      <c r="C20">
        <v>31</v>
      </c>
      <c r="D20" s="7">
        <v>13000</v>
      </c>
      <c r="E20" s="7">
        <v>0</v>
      </c>
      <c r="F20" s="7">
        <f t="shared" si="1"/>
        <v>5952</v>
      </c>
      <c r="G20" s="12">
        <f t="shared" si="2"/>
        <v>406.13662500000004</v>
      </c>
      <c r="H20">
        <v>25.8</v>
      </c>
      <c r="I20">
        <v>26.5</v>
      </c>
      <c r="J20" s="21">
        <v>177</v>
      </c>
      <c r="K20" s="21"/>
      <c r="N20" s="16"/>
    </row>
    <row r="21" spans="2:22" x14ac:dyDescent="0.25">
      <c r="B21" s="11" t="s">
        <v>16</v>
      </c>
      <c r="C21">
        <v>30</v>
      </c>
      <c r="D21" s="7">
        <v>7500</v>
      </c>
      <c r="E21" s="7">
        <v>0</v>
      </c>
      <c r="F21" s="7">
        <f t="shared" si="1"/>
        <v>5760</v>
      </c>
      <c r="G21" s="12">
        <f t="shared" si="2"/>
        <v>441.25912500000004</v>
      </c>
      <c r="H21">
        <v>25.8</v>
      </c>
      <c r="I21">
        <v>26.5</v>
      </c>
      <c r="J21" s="21">
        <v>177</v>
      </c>
      <c r="K21" s="21"/>
      <c r="N21" s="16"/>
    </row>
    <row r="22" spans="2:22" x14ac:dyDescent="0.25">
      <c r="B22" s="11" t="s">
        <v>17</v>
      </c>
      <c r="C22">
        <v>31</v>
      </c>
      <c r="D22" s="7">
        <v>7500</v>
      </c>
      <c r="E22" s="7">
        <v>0</v>
      </c>
      <c r="F22" s="7">
        <f t="shared" si="1"/>
        <v>5952</v>
      </c>
      <c r="G22" s="12">
        <f t="shared" si="2"/>
        <v>477.55237500000004</v>
      </c>
      <c r="H22">
        <v>25.8</v>
      </c>
      <c r="I22">
        <v>26.5</v>
      </c>
      <c r="J22" s="21">
        <v>177</v>
      </c>
      <c r="K22" s="21"/>
      <c r="N22" s="16"/>
    </row>
    <row r="23" spans="2:22" x14ac:dyDescent="0.25">
      <c r="B23" s="11" t="s">
        <v>18</v>
      </c>
      <c r="C23">
        <v>31</v>
      </c>
      <c r="D23" s="7">
        <v>7000</v>
      </c>
      <c r="E23" s="7">
        <v>0</v>
      </c>
      <c r="F23" s="7">
        <f t="shared" si="1"/>
        <v>5952</v>
      </c>
      <c r="G23" s="12">
        <f t="shared" si="2"/>
        <v>513.84562500000004</v>
      </c>
      <c r="H23">
        <v>25.8</v>
      </c>
      <c r="I23">
        <v>26.5</v>
      </c>
      <c r="J23" s="21">
        <v>177</v>
      </c>
      <c r="K23" s="21"/>
      <c r="N23" s="16"/>
    </row>
    <row r="24" spans="2:22" x14ac:dyDescent="0.25">
      <c r="B24" s="11" t="s">
        <v>19</v>
      </c>
      <c r="C24">
        <v>30</v>
      </c>
      <c r="D24" s="7">
        <v>8000</v>
      </c>
      <c r="E24" s="7">
        <v>0</v>
      </c>
      <c r="F24" s="7">
        <f t="shared" si="1"/>
        <v>5760</v>
      </c>
      <c r="G24" s="12">
        <f t="shared" si="2"/>
        <v>548.9681250000001</v>
      </c>
      <c r="H24">
        <v>25.8</v>
      </c>
      <c r="I24">
        <v>26.5</v>
      </c>
      <c r="J24" s="21">
        <v>177</v>
      </c>
      <c r="K24" s="21"/>
      <c r="N24" s="16"/>
    </row>
    <row r="25" spans="2:22" x14ac:dyDescent="0.25">
      <c r="B25" s="11" t="s">
        <v>20</v>
      </c>
      <c r="C25">
        <v>31</v>
      </c>
      <c r="D25" s="7">
        <v>19700</v>
      </c>
      <c r="E25" s="7">
        <v>0</v>
      </c>
      <c r="F25" s="7">
        <f t="shared" si="1"/>
        <v>5952</v>
      </c>
      <c r="G25" s="12">
        <f t="shared" si="2"/>
        <v>585.26137500000004</v>
      </c>
      <c r="H25">
        <v>25.8</v>
      </c>
      <c r="I25">
        <v>26.5</v>
      </c>
      <c r="J25" s="21">
        <v>177</v>
      </c>
      <c r="K25" s="21"/>
      <c r="N25" s="16"/>
    </row>
    <row r="26" spans="2:22" x14ac:dyDescent="0.25">
      <c r="B26" s="11" t="s">
        <v>21</v>
      </c>
      <c r="C26">
        <v>30</v>
      </c>
      <c r="D26" s="7">
        <v>27500</v>
      </c>
      <c r="E26" s="7">
        <v>1500</v>
      </c>
      <c r="F26" s="7">
        <f t="shared" si="1"/>
        <v>5760</v>
      </c>
      <c r="G26" s="12">
        <f t="shared" si="2"/>
        <v>620.38387499999999</v>
      </c>
      <c r="H26">
        <v>25.8</v>
      </c>
      <c r="I26">
        <v>26.5</v>
      </c>
      <c r="J26" s="21">
        <v>177</v>
      </c>
      <c r="K26" s="21"/>
      <c r="N26" s="16"/>
    </row>
    <row r="27" spans="2:22" x14ac:dyDescent="0.25">
      <c r="B27" s="11" t="s">
        <v>22</v>
      </c>
      <c r="C27">
        <v>31</v>
      </c>
      <c r="D27" s="7">
        <v>33000</v>
      </c>
      <c r="E27" s="7">
        <v>5600</v>
      </c>
      <c r="F27" s="7">
        <f t="shared" si="1"/>
        <v>5952</v>
      </c>
      <c r="G27" s="12">
        <f t="shared" si="2"/>
        <v>656.67712499999993</v>
      </c>
      <c r="H27">
        <v>25.8</v>
      </c>
      <c r="I27">
        <v>26.5</v>
      </c>
      <c r="J27" s="21">
        <v>177</v>
      </c>
      <c r="K27" s="21"/>
      <c r="N27" s="16"/>
    </row>
    <row r="28" spans="2:22" x14ac:dyDescent="0.25">
      <c r="B28" s="43" t="s">
        <v>108</v>
      </c>
      <c r="C28" s="44">
        <f>SUM(C16:C27)</f>
        <v>365</v>
      </c>
      <c r="D28" s="44">
        <f>SUM(D16:D27)</f>
        <v>240000</v>
      </c>
      <c r="E28" s="44">
        <f>SUM(E16:E27)</f>
        <v>11100</v>
      </c>
      <c r="F28" s="44">
        <f>SUM(F16:F27)</f>
        <v>70080</v>
      </c>
      <c r="N28" s="16"/>
    </row>
    <row r="29" spans="2:22" x14ac:dyDescent="0.25">
      <c r="N29" s="16"/>
    </row>
    <row r="30" spans="2:22" x14ac:dyDescent="0.25">
      <c r="B30" s="18" t="s">
        <v>85</v>
      </c>
      <c r="N30" s="16"/>
    </row>
    <row r="31" spans="2:22" x14ac:dyDescent="0.25">
      <c r="B31" s="16"/>
      <c r="C31" s="2" t="s">
        <v>1</v>
      </c>
      <c r="D31" s="2" t="s">
        <v>2</v>
      </c>
      <c r="E31" s="2" t="s">
        <v>3</v>
      </c>
      <c r="F31" s="2" t="s">
        <v>89</v>
      </c>
      <c r="G31" s="2" t="s">
        <v>84</v>
      </c>
      <c r="H31" s="2" t="s">
        <v>4</v>
      </c>
      <c r="N31" s="16"/>
      <c r="P31" s="13" t="s">
        <v>111</v>
      </c>
      <c r="Q31" s="13" t="str">
        <f>C31</f>
        <v>ovn2</v>
      </c>
      <c r="R31" s="13" t="str">
        <f>D31</f>
        <v>ovn3</v>
      </c>
      <c r="S31" s="13" t="str">
        <f>E31</f>
        <v>flisk</v>
      </c>
      <c r="T31" s="13" t="str">
        <f>G31</f>
        <v>peak</v>
      </c>
      <c r="U31" s="13" t="str">
        <f>H31</f>
        <v>cooler</v>
      </c>
      <c r="V31" s="13" t="str">
        <f t="shared" ref="V31" si="3">F31</f>
        <v>NS</v>
      </c>
    </row>
    <row r="32" spans="2:22" x14ac:dyDescent="0.25">
      <c r="B32" s="11" t="s">
        <v>11</v>
      </c>
      <c r="C32" s="10">
        <f t="shared" ref="C32:H37" si="4">$C16</f>
        <v>31</v>
      </c>
      <c r="D32" s="10">
        <f t="shared" si="4"/>
        <v>31</v>
      </c>
      <c r="E32" s="10">
        <f t="shared" si="4"/>
        <v>31</v>
      </c>
      <c r="F32" s="20">
        <f>E16/$F$8/24</f>
        <v>20.833333333333332</v>
      </c>
      <c r="G32" s="10">
        <f t="shared" si="4"/>
        <v>31</v>
      </c>
      <c r="H32" s="10">
        <f t="shared" si="4"/>
        <v>31</v>
      </c>
      <c r="N32" s="16"/>
      <c r="P32" s="13" t="str">
        <f>B32</f>
        <v>jan</v>
      </c>
      <c r="Q32" s="45">
        <f>IF(C$5&lt;&gt;0,C32*24*($F$5+$G$5),0)</f>
        <v>0</v>
      </c>
      <c r="R32" s="45">
        <f>IF(F$5&lt;&gt;0,D32*24*($F$6+$G$6),0)</f>
        <v>20460</v>
      </c>
      <c r="S32" s="45">
        <f>IF(G$5&lt;&gt;0,E32*24*($F$7+$G$7),0)</f>
        <v>7812</v>
      </c>
      <c r="T32" s="45">
        <f>IF(H$5&lt;&gt;0,G32*24*($F$9+$G$9),0)</f>
        <v>0</v>
      </c>
      <c r="U32" s="45">
        <f>IF(I$5&lt;&gt;0,H32*24*($F$10+$G$10),0)</f>
        <v>0</v>
      </c>
      <c r="V32" s="45">
        <f>IF(J$5&lt;&gt;0,F32*24*($F$8+$G$8),0)</f>
        <v>4000</v>
      </c>
    </row>
    <row r="33" spans="2:22" x14ac:dyDescent="0.25">
      <c r="B33" s="11" t="s">
        <v>12</v>
      </c>
      <c r="C33" s="10">
        <f t="shared" si="4"/>
        <v>28</v>
      </c>
      <c r="D33" s="10">
        <f t="shared" si="4"/>
        <v>28</v>
      </c>
      <c r="E33" s="10">
        <f t="shared" si="4"/>
        <v>28</v>
      </c>
      <c r="F33" s="20">
        <f>E17/$F$8/24</f>
        <v>0</v>
      </c>
      <c r="G33" s="10">
        <f t="shared" si="4"/>
        <v>28</v>
      </c>
      <c r="H33" s="10">
        <f t="shared" si="4"/>
        <v>28</v>
      </c>
      <c r="N33" s="16"/>
      <c r="P33" s="13" t="str">
        <f>B33</f>
        <v>feb</v>
      </c>
      <c r="Q33" s="45">
        <f>IF(C$5&lt;&gt;0,C33*24*($F$5+$G$5),0)</f>
        <v>0</v>
      </c>
      <c r="R33" s="45">
        <f>IF(F$5&lt;&gt;0,D33*24*($F$6+$G$6),0)</f>
        <v>18480</v>
      </c>
      <c r="S33" s="45">
        <f>IF(G$5&lt;&gt;0,E33*24*($F$7+$G$7),0)</f>
        <v>7056</v>
      </c>
      <c r="T33" s="45">
        <f>IF(H$5&lt;&gt;0,G33*24*($F$9+$G$9),0)</f>
        <v>0</v>
      </c>
      <c r="U33" s="45">
        <f>IF(I$5&lt;&gt;0,H33*24*($F$10+$G$10),0)</f>
        <v>0</v>
      </c>
      <c r="V33" s="45">
        <f>IF(J$5&lt;&gt;0,F33*24*($F$8+$G$8),0)</f>
        <v>0</v>
      </c>
    </row>
    <row r="34" spans="2:22" x14ac:dyDescent="0.25">
      <c r="B34" s="11" t="s">
        <v>13</v>
      </c>
      <c r="C34" s="10">
        <f t="shared" si="4"/>
        <v>31</v>
      </c>
      <c r="D34" s="10">
        <f t="shared" si="4"/>
        <v>31</v>
      </c>
      <c r="E34" s="10">
        <f t="shared" si="4"/>
        <v>31</v>
      </c>
      <c r="F34" s="20">
        <f>E18/$F$8/24</f>
        <v>0</v>
      </c>
      <c r="G34" s="10">
        <f t="shared" si="4"/>
        <v>31</v>
      </c>
      <c r="H34" s="10">
        <f t="shared" si="4"/>
        <v>31</v>
      </c>
      <c r="N34" s="16"/>
      <c r="P34" s="13" t="str">
        <f>B34</f>
        <v>mar</v>
      </c>
      <c r="Q34" s="45">
        <f>IF(C$5&lt;&gt;0,C34*24*($F$5+$G$5),0)</f>
        <v>0</v>
      </c>
      <c r="R34" s="45">
        <f>IF(F$5&lt;&gt;0,D34*24*($F$6+$G$6),0)</f>
        <v>20460</v>
      </c>
      <c r="S34" s="45">
        <f>IF(G$5&lt;&gt;0,E34*24*($F$7+$G$7),0)</f>
        <v>7812</v>
      </c>
      <c r="T34" s="45">
        <f>IF(H$5&lt;&gt;0,G34*24*($F$9+$G$9),0)</f>
        <v>0</v>
      </c>
      <c r="U34" s="45">
        <f>IF(I$5&lt;&gt;0,H34*24*($F$10+$G$10),0)</f>
        <v>0</v>
      </c>
      <c r="V34" s="45">
        <f>IF(J$5&lt;&gt;0,F34*24*($F$8+$G$8),0)</f>
        <v>0</v>
      </c>
    </row>
    <row r="35" spans="2:22" x14ac:dyDescent="0.25">
      <c r="B35" s="11" t="s">
        <v>14</v>
      </c>
      <c r="C35" s="10">
        <f t="shared" si="4"/>
        <v>30</v>
      </c>
      <c r="D35" s="10">
        <f t="shared" si="4"/>
        <v>30</v>
      </c>
      <c r="E35" s="10">
        <f t="shared" si="4"/>
        <v>30</v>
      </c>
      <c r="F35" s="20">
        <f>E19/$F$8/24</f>
        <v>0</v>
      </c>
      <c r="G35" s="10">
        <f t="shared" si="4"/>
        <v>30</v>
      </c>
      <c r="H35" s="10">
        <f t="shared" si="4"/>
        <v>30</v>
      </c>
      <c r="N35" s="16"/>
      <c r="P35" s="13" t="str">
        <f>B35</f>
        <v>apr</v>
      </c>
      <c r="Q35" s="45">
        <f>IF(C$5&lt;&gt;0,C35*24*($F$5+$G$5),0)</f>
        <v>0</v>
      </c>
      <c r="R35" s="45">
        <f>IF(F$5&lt;&gt;0,D35*24*($F$6+$G$6),0)</f>
        <v>19800</v>
      </c>
      <c r="S35" s="45">
        <f>IF(G$5&lt;&gt;0,E35*24*($F$7+$G$7),0)</f>
        <v>7560</v>
      </c>
      <c r="T35" s="45">
        <f>IF(H$5&lt;&gt;0,G35*24*($F$9+$G$9),0)</f>
        <v>0</v>
      </c>
      <c r="U35" s="45">
        <f>IF(I$5&lt;&gt;0,H35*24*($F$10+$G$10),0)</f>
        <v>0</v>
      </c>
      <c r="V35" s="45">
        <f>IF(J$5&lt;&gt;0,F35*24*($F$8+$G$8),0)</f>
        <v>0</v>
      </c>
    </row>
    <row r="36" spans="2:22" x14ac:dyDescent="0.25">
      <c r="B36" s="11" t="s">
        <v>15</v>
      </c>
      <c r="C36" s="10">
        <f t="shared" si="4"/>
        <v>31</v>
      </c>
      <c r="D36" s="10">
        <f t="shared" si="4"/>
        <v>31</v>
      </c>
      <c r="E36" s="10">
        <f t="shared" si="4"/>
        <v>31</v>
      </c>
      <c r="F36" s="20">
        <f>E20/$F$8/24</f>
        <v>0</v>
      </c>
      <c r="G36" s="10">
        <f t="shared" si="4"/>
        <v>31</v>
      </c>
      <c r="H36" s="10">
        <f t="shared" si="4"/>
        <v>31</v>
      </c>
      <c r="N36" s="16"/>
      <c r="P36" s="13" t="str">
        <f>B36</f>
        <v>maj</v>
      </c>
      <c r="Q36" s="45">
        <f>IF(C$5&lt;&gt;0,C36*24*($F$5+$G$5),0)</f>
        <v>0</v>
      </c>
      <c r="R36" s="45">
        <f>IF(F$5&lt;&gt;0,D36*24*($F$6+$G$6),0)</f>
        <v>20460</v>
      </c>
      <c r="S36" s="45">
        <f>IF(G$5&lt;&gt;0,E36*24*($F$7+$G$7),0)</f>
        <v>7812</v>
      </c>
      <c r="T36" s="45">
        <f>IF(H$5&lt;&gt;0,G36*24*($F$9+$G$9),0)</f>
        <v>0</v>
      </c>
      <c r="U36" s="45">
        <f>IF(I$5&lt;&gt;0,H36*24*($F$10+$G$10),0)</f>
        <v>0</v>
      </c>
      <c r="V36" s="45">
        <f>IF(J$5&lt;&gt;0,F36*24*($F$8+$G$8),0)</f>
        <v>0</v>
      </c>
    </row>
    <row r="37" spans="2:22" x14ac:dyDescent="0.25">
      <c r="B37" s="11" t="s">
        <v>16</v>
      </c>
      <c r="C37" s="10">
        <f t="shared" si="4"/>
        <v>30</v>
      </c>
      <c r="D37" s="10">
        <f t="shared" si="4"/>
        <v>30</v>
      </c>
      <c r="E37" s="10">
        <f t="shared" si="4"/>
        <v>30</v>
      </c>
      <c r="F37" s="20">
        <f>E21/$F$8/24</f>
        <v>0</v>
      </c>
      <c r="G37" s="10">
        <f t="shared" si="4"/>
        <v>30</v>
      </c>
      <c r="H37" s="10">
        <f t="shared" si="4"/>
        <v>30</v>
      </c>
      <c r="N37" s="16"/>
      <c r="P37" s="13" t="str">
        <f>B37</f>
        <v>jun</v>
      </c>
      <c r="Q37" s="45">
        <f>IF(C$5&lt;&gt;0,C37*24*($F$5+$G$5),0)</f>
        <v>0</v>
      </c>
      <c r="R37" s="45">
        <f>IF(F$5&lt;&gt;0,D37*24*($F$6+$G$6),0)</f>
        <v>19800</v>
      </c>
      <c r="S37" s="45">
        <f>IF(G$5&lt;&gt;0,E37*24*($F$7+$G$7),0)</f>
        <v>7560</v>
      </c>
      <c r="T37" s="45">
        <f>IF(H$5&lt;&gt;0,G37*24*($F$9+$G$9),0)</f>
        <v>0</v>
      </c>
      <c r="U37" s="45">
        <f>IF(I$5&lt;&gt;0,H37*24*($F$10+$G$10),0)</f>
        <v>0</v>
      </c>
      <c r="V37" s="45">
        <f>IF(J$5&lt;&gt;0,F37*24*($F$8+$G$8),0)</f>
        <v>0</v>
      </c>
    </row>
    <row r="38" spans="2:22" x14ac:dyDescent="0.25">
      <c r="B38" s="11" t="s">
        <v>17</v>
      </c>
      <c r="C38" s="10">
        <v>10</v>
      </c>
      <c r="D38" s="10">
        <f t="shared" ref="D38:H43" si="5">$C22</f>
        <v>31</v>
      </c>
      <c r="E38" s="10">
        <f t="shared" si="5"/>
        <v>31</v>
      </c>
      <c r="F38" s="20">
        <f>E22/$F$8/24</f>
        <v>0</v>
      </c>
      <c r="G38" s="10">
        <f t="shared" si="5"/>
        <v>31</v>
      </c>
      <c r="H38" s="10">
        <f t="shared" si="5"/>
        <v>31</v>
      </c>
      <c r="N38" s="16"/>
      <c r="P38" s="13" t="str">
        <f>B38</f>
        <v>jul</v>
      </c>
      <c r="Q38" s="45">
        <f>IF(C$5&lt;&gt;0,C38*24*($F$5+$G$5),0)</f>
        <v>0</v>
      </c>
      <c r="R38" s="45">
        <f>IF(F$5&lt;&gt;0,D38*24*($F$6+$G$6),0)</f>
        <v>20460</v>
      </c>
      <c r="S38" s="45">
        <f>IF(G$5&lt;&gt;0,E38*24*($F$7+$G$7),0)</f>
        <v>7812</v>
      </c>
      <c r="T38" s="45">
        <f>IF(H$5&lt;&gt;0,G38*24*($F$9+$G$9),0)</f>
        <v>0</v>
      </c>
      <c r="U38" s="45">
        <f>IF(I$5&lt;&gt;0,H38*24*($F$10+$G$10),0)</f>
        <v>0</v>
      </c>
      <c r="V38" s="45">
        <f>IF(J$5&lt;&gt;0,F38*24*($F$8+$G$8),0)</f>
        <v>0</v>
      </c>
    </row>
    <row r="39" spans="2:22" x14ac:dyDescent="0.25">
      <c r="B39" s="11" t="s">
        <v>18</v>
      </c>
      <c r="C39" s="10">
        <v>10</v>
      </c>
      <c r="D39" s="10">
        <f t="shared" si="5"/>
        <v>31</v>
      </c>
      <c r="E39" s="10">
        <f t="shared" si="5"/>
        <v>31</v>
      </c>
      <c r="F39" s="20">
        <f>E23/$F$8/24</f>
        <v>0</v>
      </c>
      <c r="G39" s="10">
        <f t="shared" si="5"/>
        <v>31</v>
      </c>
      <c r="H39" s="10">
        <f t="shared" si="5"/>
        <v>31</v>
      </c>
      <c r="N39" s="16"/>
      <c r="P39" s="13" t="str">
        <f>B39</f>
        <v>aug</v>
      </c>
      <c r="Q39" s="45">
        <f>IF(C$5&lt;&gt;0,C39*24*($F$5+$G$5),0)</f>
        <v>0</v>
      </c>
      <c r="R39" s="45">
        <f>IF(F$5&lt;&gt;0,D39*24*($F$6+$G$6),0)</f>
        <v>20460</v>
      </c>
      <c r="S39" s="45">
        <f>IF(G$5&lt;&gt;0,E39*24*($F$7+$G$7),0)</f>
        <v>7812</v>
      </c>
      <c r="T39" s="45">
        <f>IF(H$5&lt;&gt;0,G39*24*($F$9+$G$9),0)</f>
        <v>0</v>
      </c>
      <c r="U39" s="45">
        <f>IF(I$5&lt;&gt;0,H39*24*($F$10+$G$10),0)</f>
        <v>0</v>
      </c>
      <c r="V39" s="45">
        <f>IF(J$5&lt;&gt;0,F39*24*($F$8+$G$8),0)</f>
        <v>0</v>
      </c>
    </row>
    <row r="40" spans="2:22" x14ac:dyDescent="0.25">
      <c r="B40" s="11" t="s">
        <v>19</v>
      </c>
      <c r="C40" s="10">
        <f>$C24</f>
        <v>30</v>
      </c>
      <c r="D40" s="10">
        <f t="shared" si="5"/>
        <v>30</v>
      </c>
      <c r="E40" s="10">
        <f t="shared" si="5"/>
        <v>30</v>
      </c>
      <c r="F40" s="20">
        <f>E24/$F$8/24</f>
        <v>0</v>
      </c>
      <c r="G40" s="10">
        <f t="shared" si="5"/>
        <v>30</v>
      </c>
      <c r="H40" s="10">
        <f t="shared" si="5"/>
        <v>30</v>
      </c>
      <c r="N40" s="16"/>
      <c r="P40" s="13" t="str">
        <f>B40</f>
        <v>sep</v>
      </c>
      <c r="Q40" s="45">
        <f>IF(C$5&lt;&gt;0,C40*24*($F$5+$G$5),0)</f>
        <v>0</v>
      </c>
      <c r="R40" s="45">
        <f>IF(F$5&lt;&gt;0,D40*24*($F$6+$G$6),0)</f>
        <v>19800</v>
      </c>
      <c r="S40" s="45">
        <f>IF(G$5&lt;&gt;0,E40*24*($F$7+$G$7),0)</f>
        <v>7560</v>
      </c>
      <c r="T40" s="45">
        <f>IF(H$5&lt;&gt;0,G40*24*($F$9+$G$9),0)</f>
        <v>0</v>
      </c>
      <c r="U40" s="45">
        <f>IF(I$5&lt;&gt;0,H40*24*($F$10+$G$10),0)</f>
        <v>0</v>
      </c>
      <c r="V40" s="45">
        <f>IF(J$5&lt;&gt;0,F40*24*($F$8+$G$8),0)</f>
        <v>0</v>
      </c>
    </row>
    <row r="41" spans="2:22" x14ac:dyDescent="0.25">
      <c r="B41" s="11" t="s">
        <v>20</v>
      </c>
      <c r="C41" s="10">
        <f>$C25</f>
        <v>31</v>
      </c>
      <c r="D41" s="10">
        <f t="shared" si="5"/>
        <v>31</v>
      </c>
      <c r="E41" s="10">
        <f t="shared" si="5"/>
        <v>31</v>
      </c>
      <c r="F41" s="20">
        <f>E25/$F$8/24</f>
        <v>0</v>
      </c>
      <c r="G41" s="10">
        <f t="shared" si="5"/>
        <v>31</v>
      </c>
      <c r="H41" s="10">
        <f t="shared" si="5"/>
        <v>31</v>
      </c>
      <c r="N41" s="16"/>
      <c r="P41" s="13" t="str">
        <f>B41</f>
        <v>okt</v>
      </c>
      <c r="Q41" s="45">
        <f>IF(C$5&lt;&gt;0,C41*24*($F$5+$G$5),0)</f>
        <v>0</v>
      </c>
      <c r="R41" s="45">
        <f>IF(F$5&lt;&gt;0,D41*24*($F$6+$G$6),0)</f>
        <v>20460</v>
      </c>
      <c r="S41" s="45">
        <f>IF(G$5&lt;&gt;0,E41*24*($F$7+$G$7),0)</f>
        <v>7812</v>
      </c>
      <c r="T41" s="45">
        <f>IF(H$5&lt;&gt;0,G41*24*($F$9+$G$9),0)</f>
        <v>0</v>
      </c>
      <c r="U41" s="45">
        <f>IF(I$5&lt;&gt;0,H41*24*($F$10+$G$10),0)</f>
        <v>0</v>
      </c>
      <c r="V41" s="45">
        <f>IF(J$5&lt;&gt;0,F41*24*($F$8+$G$8),0)</f>
        <v>0</v>
      </c>
    </row>
    <row r="42" spans="2:22" x14ac:dyDescent="0.25">
      <c r="B42" s="11" t="s">
        <v>21</v>
      </c>
      <c r="C42" s="10">
        <f>$C26</f>
        <v>30</v>
      </c>
      <c r="D42" s="10">
        <f t="shared" si="5"/>
        <v>30</v>
      </c>
      <c r="E42" s="10">
        <f t="shared" si="5"/>
        <v>30</v>
      </c>
      <c r="F42" s="20">
        <f>E26/$F$8/24</f>
        <v>7.8125</v>
      </c>
      <c r="G42" s="10">
        <f t="shared" si="5"/>
        <v>30</v>
      </c>
      <c r="H42" s="10">
        <f t="shared" si="5"/>
        <v>30</v>
      </c>
      <c r="N42" s="16"/>
      <c r="P42" s="13" t="str">
        <f>B42</f>
        <v>nov</v>
      </c>
      <c r="Q42" s="45">
        <f>IF(C$5&lt;&gt;0,C42*24*($F$5+$G$5),0)</f>
        <v>0</v>
      </c>
      <c r="R42" s="45">
        <f>IF(F$5&lt;&gt;0,D42*24*($F$6+$G$6),0)</f>
        <v>19800</v>
      </c>
      <c r="S42" s="45">
        <f>IF(G$5&lt;&gt;0,E42*24*($F$7+$G$7),0)</f>
        <v>7560</v>
      </c>
      <c r="T42" s="45">
        <f>IF(H$5&lt;&gt;0,G42*24*($F$9+$G$9),0)</f>
        <v>0</v>
      </c>
      <c r="U42" s="45">
        <f>IF(I$5&lt;&gt;0,H42*24*($F$10+$G$10),0)</f>
        <v>0</v>
      </c>
      <c r="V42" s="45">
        <f>IF(J$5&lt;&gt;0,F42*24*($F$8+$G$8),0)</f>
        <v>1500</v>
      </c>
    </row>
    <row r="43" spans="2:22" x14ac:dyDescent="0.25">
      <c r="B43" s="11" t="s">
        <v>22</v>
      </c>
      <c r="C43" s="10">
        <f>$C27</f>
        <v>31</v>
      </c>
      <c r="D43" s="10">
        <f t="shared" si="5"/>
        <v>31</v>
      </c>
      <c r="E43" s="10">
        <f t="shared" si="5"/>
        <v>31</v>
      </c>
      <c r="F43" s="20">
        <f>E27/$F$8/24</f>
        <v>29.166666666666668</v>
      </c>
      <c r="G43" s="10">
        <f t="shared" si="5"/>
        <v>31</v>
      </c>
      <c r="H43" s="10">
        <f t="shared" si="5"/>
        <v>31</v>
      </c>
      <c r="N43" s="16"/>
      <c r="P43" s="48" t="str">
        <f>B43</f>
        <v>dec</v>
      </c>
      <c r="Q43" s="49">
        <f>IF(C$5&lt;&gt;0,C43*24*($F$5+$G$5),0)</f>
        <v>0</v>
      </c>
      <c r="R43" s="49">
        <f>IF(F$5&lt;&gt;0,D43*24*($F$6+$G$6),0)</f>
        <v>20460</v>
      </c>
      <c r="S43" s="49">
        <f>IF(G$5&lt;&gt;0,E43*24*($F$7+$G$7),0)</f>
        <v>7812</v>
      </c>
      <c r="T43" s="49">
        <f>IF(H$5&lt;&gt;0,G43*24*($F$9+$G$9),0)</f>
        <v>0</v>
      </c>
      <c r="U43" s="49">
        <f>IF(I$5&lt;&gt;0,H43*24*($F$10+$G$10),0)</f>
        <v>0</v>
      </c>
      <c r="V43" s="49">
        <f>IF(J$5&lt;&gt;0,F43*24*($F$8+$G$8),0)</f>
        <v>5600</v>
      </c>
    </row>
    <row r="44" spans="2:22" x14ac:dyDescent="0.25">
      <c r="N44" s="16"/>
      <c r="P44" s="5" t="s">
        <v>108</v>
      </c>
      <c r="Q44" s="46">
        <f>SUM(Q32:Q43)</f>
        <v>0</v>
      </c>
      <c r="R44" s="46">
        <f>SUM(R32:R43)</f>
        <v>240900</v>
      </c>
      <c r="S44" s="46">
        <f>SUM(S32:S43)</f>
        <v>91980</v>
      </c>
      <c r="T44" s="46">
        <f>SUM(T32:T43)</f>
        <v>0</v>
      </c>
      <c r="U44" s="46">
        <f>SUM(U32:U43)</f>
        <v>0</v>
      </c>
      <c r="V44" s="46">
        <f>SUM(V32:V43)</f>
        <v>11100</v>
      </c>
    </row>
    <row r="45" spans="2:22" x14ac:dyDescent="0.25">
      <c r="N45" s="16"/>
      <c r="P45" s="6" t="s">
        <v>112</v>
      </c>
      <c r="Q45" s="47">
        <f t="shared" ref="Q45:V45" si="6">Q44/$D$28</f>
        <v>0</v>
      </c>
      <c r="R45" s="47">
        <f t="shared" si="6"/>
        <v>1.0037499999999999</v>
      </c>
      <c r="S45" s="47">
        <f t="shared" si="6"/>
        <v>0.38324999999999998</v>
      </c>
      <c r="T45" s="47">
        <f t="shared" si="6"/>
        <v>0</v>
      </c>
      <c r="U45" s="47">
        <f t="shared" si="6"/>
        <v>0</v>
      </c>
      <c r="V45" s="47">
        <f t="shared" si="6"/>
        <v>4.6249999999999999E-2</v>
      </c>
    </row>
    <row r="46" spans="2:22" x14ac:dyDescent="0.25">
      <c r="N46" s="16"/>
    </row>
    <row r="47" spans="2:22" x14ac:dyDescent="0.25">
      <c r="N47" s="16"/>
    </row>
    <row r="48" spans="2:22" x14ac:dyDescent="0.25">
      <c r="N48" s="16"/>
    </row>
    <row r="49" spans="14:14" x14ac:dyDescent="0.25">
      <c r="N49" s="16"/>
    </row>
    <row r="50" spans="14:14" x14ac:dyDescent="0.25">
      <c r="N50" s="16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B2:AF53"/>
  <sheetViews>
    <sheetView tabSelected="1" topLeftCell="C1" zoomScale="85" zoomScaleNormal="85" workbookViewId="0">
      <selection activeCell="D28" sqref="D28"/>
    </sheetView>
  </sheetViews>
  <sheetFormatPr defaultRowHeight="15" x14ac:dyDescent="0.25"/>
  <cols>
    <col min="1" max="1" width="2.7109375" customWidth="1"/>
    <col min="2" max="2" width="32.85546875" bestFit="1" customWidth="1"/>
    <col min="3" max="3" width="16.28515625" bestFit="1" customWidth="1"/>
    <col min="4" max="4" width="5.5703125" bestFit="1" customWidth="1"/>
    <col min="5" max="5" width="6.7109375" bestFit="1" customWidth="1"/>
    <col min="6" max="6" width="9" bestFit="1" customWidth="1"/>
    <col min="7" max="7" width="9.7109375" bestFit="1" customWidth="1"/>
    <col min="8" max="8" width="11.28515625" bestFit="1" customWidth="1"/>
    <col min="9" max="9" width="9.85546875" bestFit="1" customWidth="1"/>
    <col min="12" max="12" width="9.85546875" bestFit="1" customWidth="1"/>
    <col min="13" max="13" width="3.42578125" style="16" customWidth="1"/>
    <col min="14" max="14" width="3.28515625" customWidth="1"/>
    <col min="15" max="15" width="16" bestFit="1" customWidth="1"/>
    <col min="16" max="16" width="4.85546875" bestFit="1" customWidth="1"/>
    <col min="17" max="17" width="9.5703125" bestFit="1" customWidth="1"/>
    <col min="18" max="19" width="9.140625" customWidth="1"/>
    <col min="20" max="28" width="9.5703125" bestFit="1" customWidth="1"/>
    <col min="29" max="29" width="4" customWidth="1"/>
    <col min="31" max="31" width="9.140625" style="10"/>
  </cols>
  <sheetData>
    <row r="2" spans="2:31" x14ac:dyDescent="0.25">
      <c r="G2" t="s">
        <v>98</v>
      </c>
      <c r="H2" t="s">
        <v>79</v>
      </c>
      <c r="I2" t="s">
        <v>106</v>
      </c>
    </row>
    <row r="3" spans="2:31" x14ac:dyDescent="0.25">
      <c r="C3" s="1" t="s">
        <v>123</v>
      </c>
      <c r="D3" s="1"/>
      <c r="E3" s="1"/>
      <c r="F3" s="1"/>
      <c r="G3" s="10" t="s">
        <v>96</v>
      </c>
      <c r="H3" s="10" t="s">
        <v>83</v>
      </c>
      <c r="I3" s="10" t="s">
        <v>82</v>
      </c>
      <c r="J3" s="10" t="s">
        <v>113</v>
      </c>
      <c r="K3" s="10" t="s">
        <v>110</v>
      </c>
      <c r="O3" s="1" t="s">
        <v>95</v>
      </c>
      <c r="P3" s="1"/>
    </row>
    <row r="4" spans="2:31" x14ac:dyDescent="0.25">
      <c r="B4" s="5" t="s">
        <v>8</v>
      </c>
      <c r="C4" s="16"/>
      <c r="D4" s="2" t="s">
        <v>81</v>
      </c>
      <c r="E4" s="2" t="s">
        <v>94</v>
      </c>
      <c r="F4" s="2" t="s">
        <v>114</v>
      </c>
      <c r="G4" s="2" t="s">
        <v>9</v>
      </c>
      <c r="H4" s="2" t="s">
        <v>10</v>
      </c>
      <c r="I4" s="2" t="s">
        <v>102</v>
      </c>
      <c r="J4" s="2" t="s">
        <v>88</v>
      </c>
      <c r="K4" s="2" t="s">
        <v>109</v>
      </c>
      <c r="L4" s="2" t="s">
        <v>107</v>
      </c>
      <c r="M4" s="50"/>
      <c r="O4" s="16" t="s">
        <v>119</v>
      </c>
      <c r="P4" t="s">
        <v>120</v>
      </c>
      <c r="Q4" s="2" t="s">
        <v>11</v>
      </c>
      <c r="R4" s="2" t="s">
        <v>12</v>
      </c>
      <c r="S4" s="2" t="s">
        <v>13</v>
      </c>
      <c r="T4" s="2" t="s">
        <v>14</v>
      </c>
      <c r="U4" s="2" t="s">
        <v>15</v>
      </c>
      <c r="V4" s="2" t="s">
        <v>16</v>
      </c>
      <c r="W4" s="2" t="s">
        <v>17</v>
      </c>
      <c r="X4" s="2" t="s">
        <v>18</v>
      </c>
      <c r="Y4" s="2" t="s">
        <v>19</v>
      </c>
      <c r="Z4" s="2" t="s">
        <v>20</v>
      </c>
      <c r="AA4" s="2" t="s">
        <v>21</v>
      </c>
      <c r="AB4" s="2" t="s">
        <v>22</v>
      </c>
      <c r="AD4" s="2" t="s">
        <v>23</v>
      </c>
      <c r="AE4" s="2" t="s">
        <v>101</v>
      </c>
    </row>
    <row r="5" spans="2:31" x14ac:dyDescent="0.25">
      <c r="B5" s="6" t="s">
        <v>24</v>
      </c>
      <c r="C5" t="s">
        <v>25</v>
      </c>
      <c r="D5" s="10">
        <v>1</v>
      </c>
      <c r="E5" s="10">
        <v>1</v>
      </c>
      <c r="F5" s="10">
        <v>1</v>
      </c>
      <c r="G5" s="7">
        <v>9093</v>
      </c>
      <c r="H5" s="7">
        <v>525</v>
      </c>
      <c r="I5" s="8">
        <v>10.5</v>
      </c>
      <c r="J5" s="9">
        <v>0.45</v>
      </c>
      <c r="K5" s="8">
        <f>H5/I5</f>
        <v>50</v>
      </c>
      <c r="L5" s="7">
        <f>G5*I5/3.6</f>
        <v>26521.25</v>
      </c>
      <c r="M5" s="51"/>
      <c r="O5" s="15" t="str">
        <f t="shared" ref="O5:O21" si="0">C5</f>
        <v>DepoSort</v>
      </c>
      <c r="P5" s="15" t="s">
        <v>77</v>
      </c>
      <c r="Q5" s="23">
        <f t="shared" ref="Q5:AB14" si="1">$G5/12</f>
        <v>757.75</v>
      </c>
      <c r="R5" s="23">
        <f t="shared" si="1"/>
        <v>757.75</v>
      </c>
      <c r="S5" s="23">
        <f t="shared" si="1"/>
        <v>757.75</v>
      </c>
      <c r="T5" s="23">
        <f t="shared" si="1"/>
        <v>757.75</v>
      </c>
      <c r="U5" s="23">
        <f t="shared" si="1"/>
        <v>757.75</v>
      </c>
      <c r="V5" s="23">
        <f t="shared" si="1"/>
        <v>757.75</v>
      </c>
      <c r="W5" s="23">
        <f t="shared" si="1"/>
        <v>757.75</v>
      </c>
      <c r="X5" s="23">
        <f t="shared" si="1"/>
        <v>757.75</v>
      </c>
      <c r="Y5" s="23">
        <f t="shared" si="1"/>
        <v>757.75</v>
      </c>
      <c r="Z5" s="23">
        <f t="shared" si="1"/>
        <v>757.75</v>
      </c>
      <c r="AA5" s="23">
        <f t="shared" si="1"/>
        <v>757.75</v>
      </c>
      <c r="AB5" s="23">
        <f t="shared" si="1"/>
        <v>757.75</v>
      </c>
      <c r="AC5" s="15"/>
      <c r="AD5" s="28">
        <f t="shared" ref="AD5:AD51" si="2">SUM(Q5:AB5)</f>
        <v>9093</v>
      </c>
      <c r="AE5" s="10" t="s">
        <v>100</v>
      </c>
    </row>
    <row r="6" spans="2:31" x14ac:dyDescent="0.25">
      <c r="B6" s="6" t="s">
        <v>26</v>
      </c>
      <c r="C6" s="41" t="s">
        <v>27</v>
      </c>
      <c r="D6" s="10">
        <v>0</v>
      </c>
      <c r="E6" s="10">
        <v>1</v>
      </c>
      <c r="F6" s="10">
        <v>1</v>
      </c>
      <c r="G6" s="7">
        <v>0</v>
      </c>
      <c r="H6" s="7">
        <v>-50</v>
      </c>
      <c r="I6" s="8">
        <v>10.5</v>
      </c>
      <c r="J6" s="9">
        <v>0.45</v>
      </c>
      <c r="K6" s="8">
        <f t="shared" ref="K6:K28" si="3">H6/I6</f>
        <v>-4.7619047619047619</v>
      </c>
      <c r="L6" s="7">
        <f t="shared" ref="L6:L28" si="4">G6*I6/3.6</f>
        <v>0</v>
      </c>
      <c r="M6" s="51"/>
      <c r="O6" s="15" t="str">
        <f t="shared" si="0"/>
        <v>DepoSmaat</v>
      </c>
      <c r="P6" s="15" t="s">
        <v>77</v>
      </c>
      <c r="Q6" s="23">
        <f t="shared" si="1"/>
        <v>0</v>
      </c>
      <c r="R6" s="23">
        <f t="shared" si="1"/>
        <v>0</v>
      </c>
      <c r="S6" s="23">
        <f t="shared" si="1"/>
        <v>0</v>
      </c>
      <c r="T6" s="23">
        <f t="shared" si="1"/>
        <v>0</v>
      </c>
      <c r="U6" s="23">
        <f t="shared" si="1"/>
        <v>0</v>
      </c>
      <c r="V6" s="23">
        <f t="shared" si="1"/>
        <v>0</v>
      </c>
      <c r="W6" s="23">
        <f t="shared" si="1"/>
        <v>0</v>
      </c>
      <c r="X6" s="23">
        <f t="shared" si="1"/>
        <v>0</v>
      </c>
      <c r="Y6" s="23">
        <f t="shared" si="1"/>
        <v>0</v>
      </c>
      <c r="Z6" s="23">
        <f t="shared" si="1"/>
        <v>0</v>
      </c>
      <c r="AA6" s="23">
        <f t="shared" si="1"/>
        <v>0</v>
      </c>
      <c r="AB6" s="23">
        <f t="shared" si="1"/>
        <v>0</v>
      </c>
      <c r="AC6" s="15"/>
      <c r="AD6" s="28">
        <f t="shared" si="2"/>
        <v>0</v>
      </c>
      <c r="AE6" s="10" t="s">
        <v>100</v>
      </c>
    </row>
    <row r="7" spans="2:31" x14ac:dyDescent="0.25">
      <c r="B7" s="6" t="s">
        <v>28</v>
      </c>
      <c r="C7" s="41" t="s">
        <v>29</v>
      </c>
      <c r="D7" s="10">
        <v>0</v>
      </c>
      <c r="E7" s="10">
        <v>1</v>
      </c>
      <c r="F7" s="10">
        <v>1</v>
      </c>
      <c r="G7" s="7">
        <v>0</v>
      </c>
      <c r="H7" s="7">
        <v>-50</v>
      </c>
      <c r="I7" s="8">
        <v>10.5</v>
      </c>
      <c r="J7" s="64">
        <v>0.45</v>
      </c>
      <c r="K7" s="8">
        <f t="shared" si="3"/>
        <v>-4.7619047619047619</v>
      </c>
      <c r="L7" s="7">
        <f t="shared" si="4"/>
        <v>0</v>
      </c>
      <c r="M7" s="51"/>
      <c r="O7" s="15" t="str">
        <f t="shared" si="0"/>
        <v>DepoNedd</v>
      </c>
      <c r="P7" s="15" t="s">
        <v>77</v>
      </c>
      <c r="Q7" s="23">
        <f t="shared" si="1"/>
        <v>0</v>
      </c>
      <c r="R7" s="23">
        <f t="shared" si="1"/>
        <v>0</v>
      </c>
      <c r="S7" s="23">
        <f t="shared" si="1"/>
        <v>0</v>
      </c>
      <c r="T7" s="23">
        <f t="shared" si="1"/>
        <v>0</v>
      </c>
      <c r="U7" s="23">
        <f t="shared" si="1"/>
        <v>0</v>
      </c>
      <c r="V7" s="23">
        <f t="shared" si="1"/>
        <v>0</v>
      </c>
      <c r="W7" s="23">
        <f t="shared" si="1"/>
        <v>0</v>
      </c>
      <c r="X7" s="23">
        <f t="shared" si="1"/>
        <v>0</v>
      </c>
      <c r="Y7" s="23">
        <f t="shared" si="1"/>
        <v>0</v>
      </c>
      <c r="Z7" s="23">
        <f t="shared" si="1"/>
        <v>0</v>
      </c>
      <c r="AA7" s="23">
        <f t="shared" si="1"/>
        <v>0</v>
      </c>
      <c r="AB7" s="23">
        <f t="shared" si="1"/>
        <v>0</v>
      </c>
      <c r="AC7" s="15"/>
      <c r="AD7" s="28">
        <f t="shared" si="2"/>
        <v>0</v>
      </c>
      <c r="AE7" s="10" t="s">
        <v>100</v>
      </c>
    </row>
    <row r="8" spans="2:31" x14ac:dyDescent="0.25">
      <c r="B8" s="6" t="s">
        <v>30</v>
      </c>
      <c r="C8" t="s">
        <v>31</v>
      </c>
      <c r="D8" s="10">
        <v>1</v>
      </c>
      <c r="E8" s="10">
        <v>1</v>
      </c>
      <c r="F8" s="10">
        <v>0</v>
      </c>
      <c r="G8" s="7">
        <v>28869</v>
      </c>
      <c r="H8" s="7">
        <v>525</v>
      </c>
      <c r="I8" s="8">
        <v>9.4</v>
      </c>
      <c r="J8" s="64">
        <v>0.49</v>
      </c>
      <c r="K8" s="8">
        <f t="shared" si="3"/>
        <v>55.851063829787229</v>
      </c>
      <c r="L8" s="7">
        <f t="shared" si="4"/>
        <v>75380.166666666672</v>
      </c>
      <c r="M8" s="51"/>
      <c r="O8" s="15" t="str">
        <f t="shared" si="0"/>
        <v>Dagren</v>
      </c>
      <c r="P8" s="15" t="s">
        <v>77</v>
      </c>
      <c r="Q8" s="23">
        <f t="shared" si="1"/>
        <v>2405.75</v>
      </c>
      <c r="R8" s="23">
        <f t="shared" si="1"/>
        <v>2405.75</v>
      </c>
      <c r="S8" s="23">
        <f t="shared" si="1"/>
        <v>2405.75</v>
      </c>
      <c r="T8" s="23">
        <f t="shared" si="1"/>
        <v>2405.75</v>
      </c>
      <c r="U8" s="23">
        <f t="shared" si="1"/>
        <v>2405.75</v>
      </c>
      <c r="V8" s="23">
        <f t="shared" si="1"/>
        <v>2405.75</v>
      </c>
      <c r="W8" s="23">
        <f t="shared" si="1"/>
        <v>2405.75</v>
      </c>
      <c r="X8" s="23">
        <f t="shared" si="1"/>
        <v>2405.75</v>
      </c>
      <c r="Y8" s="23">
        <f t="shared" si="1"/>
        <v>2405.75</v>
      </c>
      <c r="Z8" s="23">
        <f t="shared" si="1"/>
        <v>2405.75</v>
      </c>
      <c r="AA8" s="23">
        <f t="shared" si="1"/>
        <v>2405.75</v>
      </c>
      <c r="AB8" s="23">
        <f t="shared" si="1"/>
        <v>2405.75</v>
      </c>
      <c r="AC8" s="15"/>
      <c r="AD8" s="28">
        <f t="shared" si="2"/>
        <v>28869</v>
      </c>
      <c r="AE8" s="10" t="s">
        <v>100</v>
      </c>
    </row>
    <row r="9" spans="2:31" x14ac:dyDescent="0.25">
      <c r="B9" s="6" t="s">
        <v>32</v>
      </c>
      <c r="C9" t="s">
        <v>33</v>
      </c>
      <c r="D9" s="10">
        <v>0</v>
      </c>
      <c r="E9" s="10">
        <v>1</v>
      </c>
      <c r="F9" s="10">
        <v>1</v>
      </c>
      <c r="G9" s="7">
        <v>3500</v>
      </c>
      <c r="H9" s="7">
        <v>525</v>
      </c>
      <c r="I9" s="8">
        <v>10.5</v>
      </c>
      <c r="J9" s="64">
        <v>0.49</v>
      </c>
      <c r="K9" s="8">
        <f t="shared" si="3"/>
        <v>50</v>
      </c>
      <c r="L9" s="7">
        <f t="shared" si="4"/>
        <v>10208.333333333334</v>
      </c>
      <c r="M9" s="51"/>
      <c r="O9" s="15" t="str">
        <f t="shared" si="0"/>
        <v>AndetBrand</v>
      </c>
      <c r="P9" s="15" t="s">
        <v>77</v>
      </c>
      <c r="Q9" s="23">
        <f t="shared" si="1"/>
        <v>291.66666666666669</v>
      </c>
      <c r="R9" s="23">
        <f t="shared" si="1"/>
        <v>291.66666666666669</v>
      </c>
      <c r="S9" s="23">
        <f t="shared" si="1"/>
        <v>291.66666666666669</v>
      </c>
      <c r="T9" s="23">
        <f t="shared" si="1"/>
        <v>291.66666666666669</v>
      </c>
      <c r="U9" s="23">
        <f t="shared" si="1"/>
        <v>291.66666666666669</v>
      </c>
      <c r="V9" s="23">
        <f t="shared" si="1"/>
        <v>291.66666666666669</v>
      </c>
      <c r="W9" s="23">
        <f t="shared" si="1"/>
        <v>291.66666666666669</v>
      </c>
      <c r="X9" s="23">
        <f t="shared" si="1"/>
        <v>291.66666666666669</v>
      </c>
      <c r="Y9" s="23">
        <f t="shared" si="1"/>
        <v>291.66666666666669</v>
      </c>
      <c r="Z9" s="23">
        <f t="shared" si="1"/>
        <v>291.66666666666669</v>
      </c>
      <c r="AA9" s="23">
        <f t="shared" si="1"/>
        <v>291.66666666666669</v>
      </c>
      <c r="AB9" s="23">
        <f t="shared" si="1"/>
        <v>291.66666666666669</v>
      </c>
      <c r="AC9" s="15"/>
      <c r="AD9" s="28">
        <f t="shared" si="2"/>
        <v>3499.9999999999995</v>
      </c>
      <c r="AE9" s="10" t="s">
        <v>100</v>
      </c>
    </row>
    <row r="10" spans="2:31" x14ac:dyDescent="0.25">
      <c r="B10" s="6" t="s">
        <v>34</v>
      </c>
      <c r="C10" t="s">
        <v>35</v>
      </c>
      <c r="D10" s="10">
        <v>0</v>
      </c>
      <c r="E10" s="10">
        <v>1</v>
      </c>
      <c r="F10" s="10">
        <v>1</v>
      </c>
      <c r="G10" s="7">
        <v>0</v>
      </c>
      <c r="H10" s="7">
        <v>155</v>
      </c>
      <c r="I10" s="8">
        <v>14.5</v>
      </c>
      <c r="J10" s="64">
        <v>0.1</v>
      </c>
      <c r="K10" s="8">
        <f t="shared" si="3"/>
        <v>10.689655172413794</v>
      </c>
      <c r="L10" s="7">
        <f t="shared" si="4"/>
        <v>0</v>
      </c>
      <c r="M10" s="51"/>
      <c r="O10" s="15" t="str">
        <f t="shared" si="0"/>
        <v>Trae</v>
      </c>
      <c r="P10" s="15" t="s">
        <v>77</v>
      </c>
      <c r="Q10" s="23">
        <f t="shared" si="1"/>
        <v>0</v>
      </c>
      <c r="R10" s="23">
        <f t="shared" si="1"/>
        <v>0</v>
      </c>
      <c r="S10" s="23">
        <f t="shared" si="1"/>
        <v>0</v>
      </c>
      <c r="T10" s="23">
        <f t="shared" si="1"/>
        <v>0</v>
      </c>
      <c r="U10" s="23">
        <f t="shared" si="1"/>
        <v>0</v>
      </c>
      <c r="V10" s="23">
        <f t="shared" si="1"/>
        <v>0</v>
      </c>
      <c r="W10" s="23">
        <f t="shared" si="1"/>
        <v>0</v>
      </c>
      <c r="X10" s="23">
        <f t="shared" si="1"/>
        <v>0</v>
      </c>
      <c r="Y10" s="23">
        <f t="shared" si="1"/>
        <v>0</v>
      </c>
      <c r="Z10" s="23">
        <f t="shared" si="1"/>
        <v>0</v>
      </c>
      <c r="AA10" s="23">
        <f t="shared" si="1"/>
        <v>0</v>
      </c>
      <c r="AB10" s="23">
        <f t="shared" si="1"/>
        <v>0</v>
      </c>
      <c r="AC10" s="15"/>
      <c r="AD10" s="28">
        <f t="shared" si="2"/>
        <v>0</v>
      </c>
      <c r="AE10" s="10" t="s">
        <v>100</v>
      </c>
    </row>
    <row r="11" spans="2:31" x14ac:dyDescent="0.25">
      <c r="B11" s="6" t="s">
        <v>36</v>
      </c>
      <c r="C11" t="s">
        <v>37</v>
      </c>
      <c r="D11" s="10">
        <v>0</v>
      </c>
      <c r="E11" s="10">
        <v>1</v>
      </c>
      <c r="F11" s="10">
        <v>0</v>
      </c>
      <c r="G11" s="7">
        <v>0</v>
      </c>
      <c r="H11" s="7">
        <v>525</v>
      </c>
      <c r="I11" s="8">
        <v>12</v>
      </c>
      <c r="J11" s="64">
        <v>0.48</v>
      </c>
      <c r="K11" s="8">
        <f t="shared" si="3"/>
        <v>43.75</v>
      </c>
      <c r="L11" s="7">
        <f t="shared" si="4"/>
        <v>0</v>
      </c>
      <c r="M11" s="51"/>
      <c r="O11" s="15" t="str">
        <f t="shared" si="0"/>
        <v>DagrenRast</v>
      </c>
      <c r="P11" s="15" t="s">
        <v>77</v>
      </c>
      <c r="Q11" s="23">
        <f t="shared" si="1"/>
        <v>0</v>
      </c>
      <c r="R11" s="23">
        <f t="shared" si="1"/>
        <v>0</v>
      </c>
      <c r="S11" s="23">
        <f t="shared" si="1"/>
        <v>0</v>
      </c>
      <c r="T11" s="23">
        <f t="shared" si="1"/>
        <v>0</v>
      </c>
      <c r="U11" s="23">
        <f t="shared" si="1"/>
        <v>0</v>
      </c>
      <c r="V11" s="23">
        <f t="shared" si="1"/>
        <v>0</v>
      </c>
      <c r="W11" s="23">
        <f t="shared" si="1"/>
        <v>0</v>
      </c>
      <c r="X11" s="23">
        <f t="shared" si="1"/>
        <v>0</v>
      </c>
      <c r="Y11" s="23">
        <f t="shared" si="1"/>
        <v>0</v>
      </c>
      <c r="Z11" s="23">
        <f t="shared" si="1"/>
        <v>0</v>
      </c>
      <c r="AA11" s="23">
        <f t="shared" si="1"/>
        <v>0</v>
      </c>
      <c r="AB11" s="23">
        <f t="shared" si="1"/>
        <v>0</v>
      </c>
      <c r="AC11" s="15"/>
      <c r="AD11" s="28">
        <f t="shared" si="2"/>
        <v>0</v>
      </c>
      <c r="AE11" s="10" t="s">
        <v>100</v>
      </c>
    </row>
    <row r="12" spans="2:31" x14ac:dyDescent="0.25">
      <c r="B12" s="6" t="s">
        <v>38</v>
      </c>
      <c r="C12" t="s">
        <v>39</v>
      </c>
      <c r="D12" s="10">
        <v>0</v>
      </c>
      <c r="E12" s="10">
        <v>1</v>
      </c>
      <c r="F12" s="10">
        <v>0</v>
      </c>
      <c r="G12" s="7">
        <v>7800</v>
      </c>
      <c r="H12" s="7">
        <v>525</v>
      </c>
      <c r="I12" s="8">
        <v>9</v>
      </c>
      <c r="J12" s="64">
        <v>0.48</v>
      </c>
      <c r="K12" s="8">
        <f t="shared" si="3"/>
        <v>58.333333333333336</v>
      </c>
      <c r="L12" s="7">
        <f t="shared" si="4"/>
        <v>19500</v>
      </c>
      <c r="M12" s="51"/>
      <c r="O12" s="15" t="str">
        <f t="shared" si="0"/>
        <v>DagrenInst</v>
      </c>
      <c r="P12" s="15" t="s">
        <v>77</v>
      </c>
      <c r="Q12" s="23">
        <f t="shared" si="1"/>
        <v>650</v>
      </c>
      <c r="R12" s="23">
        <f t="shared" si="1"/>
        <v>650</v>
      </c>
      <c r="S12" s="23">
        <f t="shared" si="1"/>
        <v>650</v>
      </c>
      <c r="T12" s="23">
        <f t="shared" si="1"/>
        <v>650</v>
      </c>
      <c r="U12" s="23">
        <f t="shared" si="1"/>
        <v>650</v>
      </c>
      <c r="V12" s="23">
        <f t="shared" si="1"/>
        <v>650</v>
      </c>
      <c r="W12" s="23">
        <f t="shared" si="1"/>
        <v>650</v>
      </c>
      <c r="X12" s="23">
        <f t="shared" si="1"/>
        <v>650</v>
      </c>
      <c r="Y12" s="23">
        <f t="shared" si="1"/>
        <v>650</v>
      </c>
      <c r="Z12" s="23">
        <f t="shared" si="1"/>
        <v>650</v>
      </c>
      <c r="AA12" s="23">
        <f t="shared" si="1"/>
        <v>650</v>
      </c>
      <c r="AB12" s="23">
        <f t="shared" si="1"/>
        <v>650</v>
      </c>
      <c r="AC12" s="15"/>
      <c r="AD12" s="28">
        <f t="shared" si="2"/>
        <v>7800</v>
      </c>
      <c r="AE12" s="10" t="s">
        <v>100</v>
      </c>
    </row>
    <row r="13" spans="2:31" x14ac:dyDescent="0.25">
      <c r="B13" s="6" t="s">
        <v>40</v>
      </c>
      <c r="C13" t="s">
        <v>41</v>
      </c>
      <c r="D13" s="10">
        <v>0</v>
      </c>
      <c r="E13" s="10">
        <v>1</v>
      </c>
      <c r="F13" s="10">
        <v>0</v>
      </c>
      <c r="G13" s="7">
        <v>0</v>
      </c>
      <c r="H13" s="7">
        <v>525</v>
      </c>
      <c r="I13" s="8">
        <v>11</v>
      </c>
      <c r="J13" s="64">
        <v>0.52</v>
      </c>
      <c r="K13" s="8">
        <f t="shared" si="3"/>
        <v>47.727272727272727</v>
      </c>
      <c r="L13" s="7">
        <f t="shared" si="4"/>
        <v>0</v>
      </c>
      <c r="M13" s="51"/>
      <c r="O13" s="15" t="str">
        <f t="shared" si="0"/>
        <v>DagrenHandel</v>
      </c>
      <c r="P13" s="15" t="s">
        <v>77</v>
      </c>
      <c r="Q13" s="23">
        <f t="shared" si="1"/>
        <v>0</v>
      </c>
      <c r="R13" s="23">
        <f t="shared" si="1"/>
        <v>0</v>
      </c>
      <c r="S13" s="23">
        <f t="shared" si="1"/>
        <v>0</v>
      </c>
      <c r="T13" s="23">
        <f t="shared" si="1"/>
        <v>0</v>
      </c>
      <c r="U13" s="23">
        <f t="shared" si="1"/>
        <v>0</v>
      </c>
      <c r="V13" s="23">
        <f t="shared" si="1"/>
        <v>0</v>
      </c>
      <c r="W13" s="23">
        <f t="shared" si="1"/>
        <v>0</v>
      </c>
      <c r="X13" s="23">
        <f t="shared" si="1"/>
        <v>0</v>
      </c>
      <c r="Y13" s="23">
        <f t="shared" si="1"/>
        <v>0</v>
      </c>
      <c r="Z13" s="23">
        <f t="shared" si="1"/>
        <v>0</v>
      </c>
      <c r="AA13" s="23">
        <f t="shared" si="1"/>
        <v>0</v>
      </c>
      <c r="AB13" s="23">
        <f t="shared" si="1"/>
        <v>0</v>
      </c>
      <c r="AC13" s="15"/>
      <c r="AD13" s="28">
        <f t="shared" si="2"/>
        <v>0</v>
      </c>
      <c r="AE13" s="10" t="s">
        <v>100</v>
      </c>
    </row>
    <row r="14" spans="2:31" x14ac:dyDescent="0.25">
      <c r="B14" s="6" t="s">
        <v>42</v>
      </c>
      <c r="C14" t="s">
        <v>43</v>
      </c>
      <c r="D14" s="10">
        <v>0</v>
      </c>
      <c r="E14" s="10">
        <v>1</v>
      </c>
      <c r="F14" s="10">
        <v>0</v>
      </c>
      <c r="G14" s="7">
        <v>0</v>
      </c>
      <c r="H14" s="7">
        <v>525</v>
      </c>
      <c r="I14" s="8">
        <v>9.5</v>
      </c>
      <c r="J14" s="64">
        <v>0.45</v>
      </c>
      <c r="K14" s="8">
        <f t="shared" si="3"/>
        <v>55.263157894736842</v>
      </c>
      <c r="L14" s="7">
        <f t="shared" si="4"/>
        <v>0</v>
      </c>
      <c r="M14" s="51"/>
      <c r="O14" s="15" t="str">
        <f t="shared" si="0"/>
        <v>DagrenRestau</v>
      </c>
      <c r="P14" s="15" t="s">
        <v>77</v>
      </c>
      <c r="Q14" s="23">
        <f t="shared" si="1"/>
        <v>0</v>
      </c>
      <c r="R14" s="23">
        <f t="shared" si="1"/>
        <v>0</v>
      </c>
      <c r="S14" s="23">
        <f t="shared" si="1"/>
        <v>0</v>
      </c>
      <c r="T14" s="23">
        <f t="shared" si="1"/>
        <v>0</v>
      </c>
      <c r="U14" s="23">
        <f t="shared" si="1"/>
        <v>0</v>
      </c>
      <c r="V14" s="23">
        <f t="shared" si="1"/>
        <v>0</v>
      </c>
      <c r="W14" s="23">
        <f t="shared" si="1"/>
        <v>0</v>
      </c>
      <c r="X14" s="23">
        <f t="shared" si="1"/>
        <v>0</v>
      </c>
      <c r="Y14" s="23">
        <f t="shared" si="1"/>
        <v>0</v>
      </c>
      <c r="Z14" s="23">
        <f t="shared" si="1"/>
        <v>0</v>
      </c>
      <c r="AA14" s="23">
        <f t="shared" si="1"/>
        <v>0</v>
      </c>
      <c r="AB14" s="23">
        <f t="shared" si="1"/>
        <v>0</v>
      </c>
      <c r="AC14" s="15"/>
      <c r="AD14" s="28">
        <f t="shared" si="2"/>
        <v>0</v>
      </c>
      <c r="AE14" s="10" t="s">
        <v>100</v>
      </c>
    </row>
    <row r="15" spans="2:31" x14ac:dyDescent="0.25">
      <c r="B15" s="6" t="s">
        <v>44</v>
      </c>
      <c r="C15" t="s">
        <v>45</v>
      </c>
      <c r="D15" s="10">
        <v>0</v>
      </c>
      <c r="E15" s="10">
        <v>1</v>
      </c>
      <c r="F15" s="10">
        <v>1</v>
      </c>
      <c r="G15" s="7">
        <v>5200</v>
      </c>
      <c r="H15" s="7">
        <v>525</v>
      </c>
      <c r="I15" s="8">
        <v>9</v>
      </c>
      <c r="J15" s="64">
        <v>0.49</v>
      </c>
      <c r="K15" s="8">
        <f t="shared" si="3"/>
        <v>58.333333333333336</v>
      </c>
      <c r="L15" s="7">
        <f t="shared" si="4"/>
        <v>13000</v>
      </c>
      <c r="M15" s="51"/>
      <c r="O15" s="15" t="str">
        <f t="shared" si="0"/>
        <v>Erhverv</v>
      </c>
      <c r="P15" s="15" t="s">
        <v>77</v>
      </c>
      <c r="Q15" s="23">
        <f t="shared" ref="Q15:AB21" si="5">$G15/12</f>
        <v>433.33333333333331</v>
      </c>
      <c r="R15" s="23">
        <f t="shared" si="5"/>
        <v>433.33333333333331</v>
      </c>
      <c r="S15" s="23">
        <f t="shared" si="5"/>
        <v>433.33333333333331</v>
      </c>
      <c r="T15" s="23">
        <f t="shared" si="5"/>
        <v>433.33333333333331</v>
      </c>
      <c r="U15" s="23">
        <f t="shared" si="5"/>
        <v>433.33333333333331</v>
      </c>
      <c r="V15" s="23">
        <f t="shared" si="5"/>
        <v>433.33333333333331</v>
      </c>
      <c r="W15" s="23">
        <f t="shared" si="5"/>
        <v>433.33333333333331</v>
      </c>
      <c r="X15" s="23">
        <f t="shared" si="5"/>
        <v>433.33333333333331</v>
      </c>
      <c r="Y15" s="23">
        <f t="shared" si="5"/>
        <v>433.33333333333331</v>
      </c>
      <c r="Z15" s="23">
        <f t="shared" si="5"/>
        <v>433.33333333333331</v>
      </c>
      <c r="AA15" s="23">
        <f t="shared" si="5"/>
        <v>433.33333333333331</v>
      </c>
      <c r="AB15" s="23">
        <f t="shared" si="5"/>
        <v>433.33333333333331</v>
      </c>
      <c r="AC15" s="15"/>
      <c r="AD15" s="28">
        <f t="shared" si="2"/>
        <v>5200</v>
      </c>
      <c r="AE15" s="10" t="s">
        <v>100</v>
      </c>
    </row>
    <row r="16" spans="2:31" x14ac:dyDescent="0.25">
      <c r="B16" s="6" t="s">
        <v>46</v>
      </c>
      <c r="C16" t="s">
        <v>47</v>
      </c>
      <c r="D16" s="10">
        <v>0</v>
      </c>
      <c r="E16" s="10">
        <v>1</v>
      </c>
      <c r="F16" s="10">
        <v>0</v>
      </c>
      <c r="G16" s="7">
        <v>500</v>
      </c>
      <c r="H16" s="7">
        <v>785</v>
      </c>
      <c r="I16" s="8">
        <v>12</v>
      </c>
      <c r="J16" s="64">
        <v>0.48</v>
      </c>
      <c r="K16" s="8">
        <f t="shared" si="3"/>
        <v>65.416666666666671</v>
      </c>
      <c r="L16" s="7">
        <f t="shared" si="4"/>
        <v>1666.6666666666665</v>
      </c>
      <c r="M16" s="51"/>
      <c r="O16" s="15" t="str">
        <f t="shared" si="0"/>
        <v>DagrenErhverv</v>
      </c>
      <c r="P16" s="15" t="s">
        <v>77</v>
      </c>
      <c r="Q16" s="23">
        <f t="shared" si="5"/>
        <v>41.666666666666664</v>
      </c>
      <c r="R16" s="23">
        <f t="shared" si="5"/>
        <v>41.666666666666664</v>
      </c>
      <c r="S16" s="23">
        <f t="shared" si="5"/>
        <v>41.666666666666664</v>
      </c>
      <c r="T16" s="23">
        <f t="shared" si="5"/>
        <v>41.666666666666664</v>
      </c>
      <c r="U16" s="23">
        <f t="shared" si="5"/>
        <v>41.666666666666664</v>
      </c>
      <c r="V16" s="23">
        <f t="shared" si="5"/>
        <v>41.666666666666664</v>
      </c>
      <c r="W16" s="23">
        <f t="shared" si="5"/>
        <v>41.666666666666664</v>
      </c>
      <c r="X16" s="23">
        <f t="shared" si="5"/>
        <v>41.666666666666664</v>
      </c>
      <c r="Y16" s="23">
        <f t="shared" si="5"/>
        <v>41.666666666666664</v>
      </c>
      <c r="Z16" s="23">
        <f t="shared" si="5"/>
        <v>41.666666666666664</v>
      </c>
      <c r="AA16" s="23">
        <f t="shared" si="5"/>
        <v>41.666666666666664</v>
      </c>
      <c r="AB16" s="23">
        <f t="shared" si="5"/>
        <v>41.666666666666664</v>
      </c>
      <c r="AC16" s="15"/>
      <c r="AD16" s="28">
        <f t="shared" si="2"/>
        <v>500.00000000000006</v>
      </c>
      <c r="AE16" s="10" t="s">
        <v>100</v>
      </c>
    </row>
    <row r="17" spans="2:32" x14ac:dyDescent="0.25">
      <c r="B17" s="6" t="s">
        <v>48</v>
      </c>
      <c r="C17" s="41" t="s">
        <v>49</v>
      </c>
      <c r="D17" s="10">
        <v>0</v>
      </c>
      <c r="E17" s="10">
        <v>1</v>
      </c>
      <c r="F17" s="10">
        <v>1</v>
      </c>
      <c r="G17" s="7">
        <v>0</v>
      </c>
      <c r="H17" s="35"/>
      <c r="I17" s="8">
        <v>10</v>
      </c>
      <c r="J17" s="64">
        <v>0.49</v>
      </c>
      <c r="K17" s="8">
        <f t="shared" si="3"/>
        <v>0</v>
      </c>
      <c r="L17" s="7">
        <f t="shared" si="4"/>
        <v>0</v>
      </c>
      <c r="M17" s="51"/>
      <c r="O17" s="15" t="str">
        <f t="shared" si="0"/>
        <v>HandelKontor</v>
      </c>
      <c r="P17" s="15" t="s">
        <v>77</v>
      </c>
      <c r="Q17" s="23">
        <f t="shared" si="5"/>
        <v>0</v>
      </c>
      <c r="R17" s="23">
        <f t="shared" si="5"/>
        <v>0</v>
      </c>
      <c r="S17" s="23">
        <f t="shared" si="5"/>
        <v>0</v>
      </c>
      <c r="T17" s="23">
        <f t="shared" si="5"/>
        <v>0</v>
      </c>
      <c r="U17" s="23">
        <f t="shared" si="5"/>
        <v>0</v>
      </c>
      <c r="V17" s="23">
        <f t="shared" si="5"/>
        <v>0</v>
      </c>
      <c r="W17" s="23">
        <f t="shared" si="5"/>
        <v>0</v>
      </c>
      <c r="X17" s="23">
        <f t="shared" si="5"/>
        <v>0</v>
      </c>
      <c r="Y17" s="23">
        <f t="shared" si="5"/>
        <v>0</v>
      </c>
      <c r="Z17" s="23">
        <f t="shared" si="5"/>
        <v>0</v>
      </c>
      <c r="AA17" s="23">
        <f t="shared" si="5"/>
        <v>0</v>
      </c>
      <c r="AB17" s="23">
        <f t="shared" si="5"/>
        <v>0</v>
      </c>
      <c r="AC17" s="15"/>
      <c r="AD17" s="28">
        <f t="shared" si="2"/>
        <v>0</v>
      </c>
      <c r="AE17" s="10" t="s">
        <v>100</v>
      </c>
    </row>
    <row r="18" spans="2:32" x14ac:dyDescent="0.25">
      <c r="B18" s="6" t="s">
        <v>50</v>
      </c>
      <c r="C18" t="s">
        <v>51</v>
      </c>
      <c r="D18" s="10">
        <v>0</v>
      </c>
      <c r="E18" s="10">
        <v>1</v>
      </c>
      <c r="F18" s="10">
        <v>1</v>
      </c>
      <c r="G18" s="7">
        <v>0</v>
      </c>
      <c r="H18" s="7">
        <v>525</v>
      </c>
      <c r="I18" s="8">
        <v>11</v>
      </c>
      <c r="J18" s="64">
        <v>0.49</v>
      </c>
      <c r="K18" s="8">
        <f t="shared" si="3"/>
        <v>47.727272727272727</v>
      </c>
      <c r="L18" s="7">
        <f t="shared" si="4"/>
        <v>0</v>
      </c>
      <c r="M18" s="51"/>
      <c r="O18" s="15" t="str">
        <f t="shared" si="0"/>
        <v>Privat</v>
      </c>
      <c r="P18" s="15" t="s">
        <v>77</v>
      </c>
      <c r="Q18" s="23">
        <f t="shared" si="5"/>
        <v>0</v>
      </c>
      <c r="R18" s="23">
        <f t="shared" si="5"/>
        <v>0</v>
      </c>
      <c r="S18" s="23">
        <f t="shared" si="5"/>
        <v>0</v>
      </c>
      <c r="T18" s="23">
        <f t="shared" si="5"/>
        <v>0</v>
      </c>
      <c r="U18" s="23">
        <f t="shared" si="5"/>
        <v>0</v>
      </c>
      <c r="V18" s="23">
        <f t="shared" si="5"/>
        <v>0</v>
      </c>
      <c r="W18" s="23">
        <f t="shared" si="5"/>
        <v>0</v>
      </c>
      <c r="X18" s="23">
        <f t="shared" si="5"/>
        <v>0</v>
      </c>
      <c r="Y18" s="23">
        <f t="shared" si="5"/>
        <v>0</v>
      </c>
      <c r="Z18" s="23">
        <f t="shared" si="5"/>
        <v>0</v>
      </c>
      <c r="AA18" s="23">
        <f t="shared" si="5"/>
        <v>0</v>
      </c>
      <c r="AB18" s="23">
        <f t="shared" si="5"/>
        <v>0</v>
      </c>
      <c r="AC18" s="15"/>
      <c r="AD18" s="28">
        <f t="shared" si="2"/>
        <v>0</v>
      </c>
      <c r="AE18" s="10" t="s">
        <v>100</v>
      </c>
    </row>
    <row r="19" spans="2:32" x14ac:dyDescent="0.25">
      <c r="B19" s="6" t="s">
        <v>52</v>
      </c>
      <c r="C19" t="s">
        <v>53</v>
      </c>
      <c r="D19" s="10">
        <v>0</v>
      </c>
      <c r="E19" s="10">
        <v>1</v>
      </c>
      <c r="F19" s="10">
        <v>1</v>
      </c>
      <c r="G19" s="7">
        <v>40000</v>
      </c>
      <c r="H19" s="7">
        <v>399.97499999999997</v>
      </c>
      <c r="I19" s="8">
        <v>10.5</v>
      </c>
      <c r="J19" s="64">
        <v>0.54</v>
      </c>
      <c r="K19" s="8">
        <f t="shared" si="3"/>
        <v>38.092857142857142</v>
      </c>
      <c r="L19" s="7">
        <f t="shared" si="4"/>
        <v>116666.66666666666</v>
      </c>
      <c r="M19" s="51"/>
      <c r="O19" s="15" t="str">
        <f t="shared" si="0"/>
        <v>TyskRest</v>
      </c>
      <c r="P19" s="15" t="s">
        <v>77</v>
      </c>
      <c r="Q19" s="23">
        <f t="shared" si="5"/>
        <v>3333.3333333333335</v>
      </c>
      <c r="R19" s="23">
        <f t="shared" si="5"/>
        <v>3333.3333333333335</v>
      </c>
      <c r="S19" s="23">
        <f t="shared" si="5"/>
        <v>3333.3333333333335</v>
      </c>
      <c r="T19" s="23">
        <f t="shared" si="5"/>
        <v>3333.3333333333335</v>
      </c>
      <c r="U19" s="23">
        <f t="shared" si="5"/>
        <v>3333.3333333333335</v>
      </c>
      <c r="V19" s="23">
        <f t="shared" si="5"/>
        <v>3333.3333333333335</v>
      </c>
      <c r="W19" s="23">
        <f t="shared" si="5"/>
        <v>3333.3333333333335</v>
      </c>
      <c r="X19" s="23">
        <f t="shared" si="5"/>
        <v>3333.3333333333335</v>
      </c>
      <c r="Y19" s="23">
        <f t="shared" si="5"/>
        <v>3333.3333333333335</v>
      </c>
      <c r="Z19" s="23">
        <f t="shared" si="5"/>
        <v>3333.3333333333335</v>
      </c>
      <c r="AA19" s="23">
        <f t="shared" si="5"/>
        <v>3333.3333333333335</v>
      </c>
      <c r="AB19" s="23">
        <f t="shared" si="5"/>
        <v>3333.3333333333335</v>
      </c>
      <c r="AC19" s="15"/>
      <c r="AD19" s="28">
        <f t="shared" si="2"/>
        <v>40000</v>
      </c>
      <c r="AE19" s="10" t="s">
        <v>100</v>
      </c>
    </row>
    <row r="20" spans="2:32" x14ac:dyDescent="0.25">
      <c r="B20" s="6" t="s">
        <v>54</v>
      </c>
      <c r="C20" t="s">
        <v>55</v>
      </c>
      <c r="D20" s="10">
        <v>0</v>
      </c>
      <c r="E20" s="10">
        <v>1</v>
      </c>
      <c r="F20" s="10">
        <v>1</v>
      </c>
      <c r="G20" s="7">
        <v>2000</v>
      </c>
      <c r="H20" s="7">
        <v>515</v>
      </c>
      <c r="I20" s="8">
        <v>10.5</v>
      </c>
      <c r="J20" s="64">
        <v>0.55000000000000004</v>
      </c>
      <c r="K20" s="8">
        <f t="shared" si="3"/>
        <v>49.047619047619051</v>
      </c>
      <c r="L20" s="7">
        <f t="shared" si="4"/>
        <v>5833.333333333333</v>
      </c>
      <c r="M20" s="51"/>
      <c r="O20" s="15" t="str">
        <f t="shared" si="0"/>
        <v>PolskRest</v>
      </c>
      <c r="P20" s="15" t="s">
        <v>77</v>
      </c>
      <c r="Q20" s="23">
        <f t="shared" si="5"/>
        <v>166.66666666666666</v>
      </c>
      <c r="R20" s="23">
        <f t="shared" si="5"/>
        <v>166.66666666666666</v>
      </c>
      <c r="S20" s="23">
        <f t="shared" si="5"/>
        <v>166.66666666666666</v>
      </c>
      <c r="T20" s="23">
        <f t="shared" si="5"/>
        <v>166.66666666666666</v>
      </c>
      <c r="U20" s="23">
        <f t="shared" si="5"/>
        <v>166.66666666666666</v>
      </c>
      <c r="V20" s="23">
        <f t="shared" si="5"/>
        <v>166.66666666666666</v>
      </c>
      <c r="W20" s="23">
        <f t="shared" si="5"/>
        <v>166.66666666666666</v>
      </c>
      <c r="X20" s="23">
        <f t="shared" si="5"/>
        <v>166.66666666666666</v>
      </c>
      <c r="Y20" s="23">
        <f t="shared" si="5"/>
        <v>166.66666666666666</v>
      </c>
      <c r="Z20" s="23">
        <f t="shared" si="5"/>
        <v>166.66666666666666</v>
      </c>
      <c r="AA20" s="23">
        <f t="shared" si="5"/>
        <v>166.66666666666666</v>
      </c>
      <c r="AB20" s="23">
        <f t="shared" si="5"/>
        <v>166.66666666666666</v>
      </c>
      <c r="AC20" s="15"/>
      <c r="AD20" s="28">
        <f t="shared" si="2"/>
        <v>2000.0000000000002</v>
      </c>
      <c r="AE20" s="10" t="s">
        <v>100</v>
      </c>
    </row>
    <row r="21" spans="2:32" x14ac:dyDescent="0.25">
      <c r="B21" s="6" t="s">
        <v>56</v>
      </c>
      <c r="C21" s="41" t="s">
        <v>57</v>
      </c>
      <c r="D21" s="10">
        <v>0</v>
      </c>
      <c r="E21" s="10">
        <v>1</v>
      </c>
      <c r="F21" s="10">
        <v>1</v>
      </c>
      <c r="G21" s="7">
        <v>0</v>
      </c>
      <c r="H21" s="35"/>
      <c r="I21" s="8">
        <v>13</v>
      </c>
      <c r="J21" s="9">
        <v>0</v>
      </c>
      <c r="K21" s="8">
        <f t="shared" si="3"/>
        <v>0</v>
      </c>
      <c r="L21" s="7">
        <f t="shared" si="4"/>
        <v>0</v>
      </c>
      <c r="M21" s="51"/>
      <c r="O21" s="15" t="str">
        <f t="shared" si="0"/>
        <v>PcbTrae</v>
      </c>
      <c r="P21" s="15" t="s">
        <v>77</v>
      </c>
      <c r="Q21" s="23">
        <f t="shared" si="5"/>
        <v>0</v>
      </c>
      <c r="R21" s="23">
        <f t="shared" si="5"/>
        <v>0</v>
      </c>
      <c r="S21" s="23">
        <f t="shared" si="5"/>
        <v>0</v>
      </c>
      <c r="T21" s="23">
        <f t="shared" si="5"/>
        <v>0</v>
      </c>
      <c r="U21" s="23">
        <f t="shared" si="5"/>
        <v>0</v>
      </c>
      <c r="V21" s="23">
        <f t="shared" si="5"/>
        <v>0</v>
      </c>
      <c r="W21" s="23">
        <f t="shared" si="5"/>
        <v>0</v>
      </c>
      <c r="X21" s="23">
        <f t="shared" si="5"/>
        <v>0</v>
      </c>
      <c r="Y21" s="23">
        <f t="shared" si="5"/>
        <v>0</v>
      </c>
      <c r="Z21" s="23">
        <f t="shared" si="5"/>
        <v>0</v>
      </c>
      <c r="AA21" s="23">
        <f t="shared" si="5"/>
        <v>0</v>
      </c>
      <c r="AB21" s="23">
        <f t="shared" si="5"/>
        <v>0</v>
      </c>
      <c r="AC21" s="15"/>
      <c r="AD21" s="28">
        <f t="shared" si="2"/>
        <v>0</v>
      </c>
      <c r="AE21" s="10" t="s">
        <v>100</v>
      </c>
    </row>
    <row r="22" spans="2:32" x14ac:dyDescent="0.25">
      <c r="B22" s="6" t="s">
        <v>60</v>
      </c>
      <c r="C22" s="41" t="s">
        <v>61</v>
      </c>
      <c r="D22" s="10">
        <v>0</v>
      </c>
      <c r="E22" s="10">
        <v>1</v>
      </c>
      <c r="F22" s="10">
        <v>1</v>
      </c>
      <c r="G22" s="7">
        <v>1500</v>
      </c>
      <c r="H22" s="35"/>
      <c r="I22" s="8">
        <v>14.5</v>
      </c>
      <c r="J22" s="9">
        <v>0</v>
      </c>
      <c r="K22" s="8">
        <f t="shared" si="3"/>
        <v>0</v>
      </c>
      <c r="L22" s="7">
        <f t="shared" si="4"/>
        <v>6041.666666666667</v>
      </c>
      <c r="M22" s="51"/>
      <c r="O22" s="15" t="str">
        <f>C25</f>
        <v>FlisAffald</v>
      </c>
      <c r="P22" s="15" t="s">
        <v>77</v>
      </c>
      <c r="Q22" s="23">
        <f t="shared" ref="Q22:AB22" si="6">$G25/12</f>
        <v>12.5</v>
      </c>
      <c r="R22" s="23">
        <f t="shared" si="6"/>
        <v>12.5</v>
      </c>
      <c r="S22" s="23">
        <f t="shared" si="6"/>
        <v>12.5</v>
      </c>
      <c r="T22" s="23">
        <f t="shared" si="6"/>
        <v>12.5</v>
      </c>
      <c r="U22" s="23">
        <f t="shared" si="6"/>
        <v>12.5</v>
      </c>
      <c r="V22" s="23">
        <f t="shared" si="6"/>
        <v>12.5</v>
      </c>
      <c r="W22" s="23">
        <f t="shared" si="6"/>
        <v>12.5</v>
      </c>
      <c r="X22" s="23">
        <f t="shared" si="6"/>
        <v>12.5</v>
      </c>
      <c r="Y22" s="23">
        <f t="shared" si="6"/>
        <v>12.5</v>
      </c>
      <c r="Z22" s="23">
        <f t="shared" si="6"/>
        <v>12.5</v>
      </c>
      <c r="AA22" s="23">
        <f t="shared" si="6"/>
        <v>12.5</v>
      </c>
      <c r="AB22" s="23">
        <f t="shared" si="6"/>
        <v>12.5</v>
      </c>
      <c r="AC22" s="15"/>
      <c r="AD22" s="28">
        <f t="shared" si="2"/>
        <v>150</v>
      </c>
      <c r="AE22" s="10" t="s">
        <v>100</v>
      </c>
    </row>
    <row r="23" spans="2:32" x14ac:dyDescent="0.25">
      <c r="B23" s="6" t="s">
        <v>62</v>
      </c>
      <c r="C23" t="s">
        <v>63</v>
      </c>
      <c r="D23" s="10">
        <v>0</v>
      </c>
      <c r="E23" s="10">
        <v>1</v>
      </c>
      <c r="F23" s="10">
        <v>1</v>
      </c>
      <c r="G23" s="7">
        <v>0</v>
      </c>
      <c r="H23" s="7">
        <v>0</v>
      </c>
      <c r="I23" s="8">
        <v>14.7</v>
      </c>
      <c r="J23" s="9">
        <v>0</v>
      </c>
      <c r="K23" s="8">
        <f t="shared" si="3"/>
        <v>0</v>
      </c>
      <c r="L23" s="7">
        <f t="shared" si="4"/>
        <v>0</v>
      </c>
      <c r="M23" s="51"/>
      <c r="O23" s="15" t="str">
        <f>C22</f>
        <v>TraeRekv</v>
      </c>
      <c r="P23" s="15" t="s">
        <v>77</v>
      </c>
      <c r="Q23" s="23">
        <f t="shared" ref="Q23:AB25" si="7">$G22/12</f>
        <v>125</v>
      </c>
      <c r="R23" s="23">
        <f t="shared" si="7"/>
        <v>125</v>
      </c>
      <c r="S23" s="23">
        <f t="shared" si="7"/>
        <v>125</v>
      </c>
      <c r="T23" s="23">
        <f t="shared" si="7"/>
        <v>125</v>
      </c>
      <c r="U23" s="23">
        <f t="shared" si="7"/>
        <v>125</v>
      </c>
      <c r="V23" s="23">
        <f t="shared" si="7"/>
        <v>125</v>
      </c>
      <c r="W23" s="23">
        <f t="shared" si="7"/>
        <v>125</v>
      </c>
      <c r="X23" s="23">
        <f t="shared" si="7"/>
        <v>125</v>
      </c>
      <c r="Y23" s="23">
        <f t="shared" si="7"/>
        <v>125</v>
      </c>
      <c r="Z23" s="23">
        <f t="shared" si="7"/>
        <v>125</v>
      </c>
      <c r="AA23" s="23">
        <f t="shared" si="7"/>
        <v>125</v>
      </c>
      <c r="AB23" s="23">
        <f t="shared" si="7"/>
        <v>125</v>
      </c>
      <c r="AC23" s="15"/>
      <c r="AD23" s="28">
        <f t="shared" si="2"/>
        <v>1500</v>
      </c>
      <c r="AE23" s="10" t="s">
        <v>100</v>
      </c>
    </row>
    <row r="24" spans="2:32" x14ac:dyDescent="0.25">
      <c r="B24" s="6" t="s">
        <v>64</v>
      </c>
      <c r="C24" t="s">
        <v>73</v>
      </c>
      <c r="D24" s="10">
        <v>0</v>
      </c>
      <c r="E24" s="10">
        <v>1</v>
      </c>
      <c r="F24" s="10">
        <v>1</v>
      </c>
      <c r="G24" s="7">
        <v>120</v>
      </c>
      <c r="H24" s="7">
        <v>685</v>
      </c>
      <c r="I24" s="8">
        <v>14</v>
      </c>
      <c r="J24" s="9">
        <v>0</v>
      </c>
      <c r="K24" s="8">
        <f t="shared" si="3"/>
        <v>48.928571428571431</v>
      </c>
      <c r="L24" s="7">
        <f t="shared" si="4"/>
        <v>466.66666666666663</v>
      </c>
      <c r="M24" s="51"/>
      <c r="O24" s="15" t="str">
        <f>C23</f>
        <v>Halm</v>
      </c>
      <c r="P24" s="15" t="s">
        <v>77</v>
      </c>
      <c r="Q24" s="23">
        <f t="shared" si="7"/>
        <v>0</v>
      </c>
      <c r="R24" s="23">
        <f t="shared" si="7"/>
        <v>0</v>
      </c>
      <c r="S24" s="23">
        <f t="shared" si="7"/>
        <v>0</v>
      </c>
      <c r="T24" s="23">
        <f t="shared" si="7"/>
        <v>0</v>
      </c>
      <c r="U24" s="23">
        <f t="shared" si="7"/>
        <v>0</v>
      </c>
      <c r="V24" s="23">
        <f t="shared" si="7"/>
        <v>0</v>
      </c>
      <c r="W24" s="23">
        <f t="shared" si="7"/>
        <v>0</v>
      </c>
      <c r="X24" s="23">
        <f t="shared" si="7"/>
        <v>0</v>
      </c>
      <c r="Y24" s="23">
        <f t="shared" si="7"/>
        <v>0</v>
      </c>
      <c r="Z24" s="23">
        <f t="shared" si="7"/>
        <v>0</v>
      </c>
      <c r="AA24" s="23">
        <f t="shared" si="7"/>
        <v>0</v>
      </c>
      <c r="AB24" s="23">
        <f t="shared" si="7"/>
        <v>0</v>
      </c>
      <c r="AC24" s="15"/>
      <c r="AD24" s="28">
        <f t="shared" si="2"/>
        <v>0</v>
      </c>
      <c r="AE24" s="10" t="s">
        <v>100</v>
      </c>
    </row>
    <row r="25" spans="2:32" x14ac:dyDescent="0.25">
      <c r="B25" s="6" t="s">
        <v>58</v>
      </c>
      <c r="C25" t="s">
        <v>104</v>
      </c>
      <c r="D25" s="10">
        <v>0</v>
      </c>
      <c r="E25" s="10">
        <v>1</v>
      </c>
      <c r="F25" s="10">
        <v>1</v>
      </c>
      <c r="G25" s="7">
        <v>150</v>
      </c>
      <c r="H25" s="7">
        <v>155</v>
      </c>
      <c r="I25" s="8">
        <v>14.5</v>
      </c>
      <c r="J25" s="9">
        <v>0</v>
      </c>
      <c r="K25" s="8">
        <f t="shared" si="3"/>
        <v>10.689655172413794</v>
      </c>
      <c r="L25" s="7">
        <f t="shared" si="4"/>
        <v>604.16666666666663</v>
      </c>
      <c r="M25" s="51"/>
      <c r="O25" s="15" t="str">
        <f>C24</f>
        <v>Pulver</v>
      </c>
      <c r="P25" s="15" t="s">
        <v>77</v>
      </c>
      <c r="Q25" s="23">
        <f t="shared" si="7"/>
        <v>10</v>
      </c>
      <c r="R25" s="23">
        <f t="shared" si="7"/>
        <v>10</v>
      </c>
      <c r="S25" s="23">
        <f t="shared" si="7"/>
        <v>10</v>
      </c>
      <c r="T25" s="23">
        <f t="shared" si="7"/>
        <v>10</v>
      </c>
      <c r="U25" s="23">
        <f t="shared" si="7"/>
        <v>10</v>
      </c>
      <c r="V25" s="23">
        <f t="shared" si="7"/>
        <v>10</v>
      </c>
      <c r="W25" s="23">
        <f t="shared" si="7"/>
        <v>10</v>
      </c>
      <c r="X25" s="23">
        <f t="shared" si="7"/>
        <v>10</v>
      </c>
      <c r="Y25" s="23">
        <f t="shared" si="7"/>
        <v>10</v>
      </c>
      <c r="Z25" s="23">
        <f t="shared" si="7"/>
        <v>10</v>
      </c>
      <c r="AA25" s="23">
        <f t="shared" si="7"/>
        <v>10</v>
      </c>
      <c r="AB25" s="23">
        <f t="shared" si="7"/>
        <v>10</v>
      </c>
      <c r="AC25" s="15"/>
      <c r="AD25" s="28">
        <f t="shared" si="2"/>
        <v>120</v>
      </c>
      <c r="AE25" s="10" t="s">
        <v>100</v>
      </c>
    </row>
    <row r="26" spans="2:32" x14ac:dyDescent="0.25">
      <c r="B26" s="6" t="s">
        <v>59</v>
      </c>
      <c r="C26" t="s">
        <v>59</v>
      </c>
      <c r="D26" s="10">
        <v>1</v>
      </c>
      <c r="E26" s="10">
        <v>2</v>
      </c>
      <c r="F26" s="10">
        <v>1</v>
      </c>
      <c r="G26" s="35">
        <v>20000</v>
      </c>
      <c r="H26" s="55"/>
      <c r="I26" s="8">
        <v>16</v>
      </c>
      <c r="J26" s="9">
        <v>0</v>
      </c>
      <c r="K26" s="8">
        <f t="shared" si="3"/>
        <v>0</v>
      </c>
      <c r="L26" s="7">
        <f t="shared" si="4"/>
        <v>88888.888888888891</v>
      </c>
      <c r="M26" s="51"/>
      <c r="O26" s="15" t="str">
        <f>C26</f>
        <v>Flis</v>
      </c>
      <c r="P26" s="15" t="s">
        <v>77</v>
      </c>
      <c r="Q26" s="23">
        <f>$G26/12</f>
        <v>1666.6666666666667</v>
      </c>
      <c r="R26" s="23">
        <f t="shared" ref="R26:AB26" si="8">$G26/12</f>
        <v>1666.6666666666667</v>
      </c>
      <c r="S26" s="23">
        <f t="shared" si="8"/>
        <v>1666.6666666666667</v>
      </c>
      <c r="T26" s="23">
        <f t="shared" si="8"/>
        <v>1666.6666666666667</v>
      </c>
      <c r="U26" s="23">
        <f t="shared" si="8"/>
        <v>1666.6666666666667</v>
      </c>
      <c r="V26" s="23">
        <f t="shared" si="8"/>
        <v>1666.6666666666667</v>
      </c>
      <c r="W26" s="23">
        <f t="shared" si="8"/>
        <v>1666.6666666666667</v>
      </c>
      <c r="X26" s="23">
        <f t="shared" si="8"/>
        <v>1666.6666666666667</v>
      </c>
      <c r="Y26" s="23">
        <f t="shared" si="8"/>
        <v>1666.6666666666667</v>
      </c>
      <c r="Z26" s="23">
        <f t="shared" si="8"/>
        <v>1666.6666666666667</v>
      </c>
      <c r="AA26" s="23">
        <f t="shared" si="8"/>
        <v>1666.6666666666667</v>
      </c>
      <c r="AB26" s="23">
        <f t="shared" si="8"/>
        <v>1666.6666666666667</v>
      </c>
      <c r="AC26" s="15"/>
      <c r="AD26" s="28">
        <f t="shared" si="2"/>
        <v>20000</v>
      </c>
      <c r="AE26" s="10" t="s">
        <v>100</v>
      </c>
    </row>
    <row r="27" spans="2:32" x14ac:dyDescent="0.25">
      <c r="B27" s="6" t="s">
        <v>105</v>
      </c>
      <c r="C27" t="s">
        <v>99</v>
      </c>
      <c r="D27" s="10">
        <v>1</v>
      </c>
      <c r="E27" s="10">
        <v>3</v>
      </c>
      <c r="F27" s="10">
        <v>0</v>
      </c>
      <c r="G27" s="7">
        <v>11100</v>
      </c>
      <c r="H27" s="55"/>
      <c r="I27" s="8">
        <v>3.6</v>
      </c>
      <c r="J27" s="9">
        <v>0</v>
      </c>
      <c r="K27" s="8">
        <f t="shared" si="3"/>
        <v>0</v>
      </c>
      <c r="L27" s="7">
        <f t="shared" si="4"/>
        <v>11100</v>
      </c>
      <c r="M27" s="51"/>
      <c r="O27" s="36" t="str">
        <f>C27</f>
        <v>NSvarme</v>
      </c>
      <c r="P27" s="36" t="s">
        <v>77</v>
      </c>
      <c r="Q27" s="37">
        <v>4000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1500</v>
      </c>
      <c r="AB27" s="37">
        <v>5600</v>
      </c>
      <c r="AC27" s="36"/>
      <c r="AD27" s="28">
        <f t="shared" si="2"/>
        <v>11100</v>
      </c>
      <c r="AE27" s="2" t="s">
        <v>76</v>
      </c>
    </row>
    <row r="28" spans="2:32" x14ac:dyDescent="0.25">
      <c r="B28" s="6" t="s">
        <v>122</v>
      </c>
      <c r="C28" t="s">
        <v>122</v>
      </c>
      <c r="D28" s="10">
        <v>1</v>
      </c>
      <c r="E28" s="10">
        <v>4</v>
      </c>
      <c r="F28" s="10">
        <v>1</v>
      </c>
      <c r="G28" s="7">
        <v>100000</v>
      </c>
      <c r="H28" s="61"/>
      <c r="I28" s="8">
        <v>44</v>
      </c>
      <c r="J28" s="9">
        <f>0.85*2.3</f>
        <v>1.9549999999999998</v>
      </c>
      <c r="K28" s="8">
        <f t="shared" si="3"/>
        <v>0</v>
      </c>
      <c r="L28" s="7">
        <f t="shared" si="4"/>
        <v>1222222.2222222222</v>
      </c>
      <c r="M28" s="51"/>
      <c r="O28" s="15" t="str">
        <f>C28</f>
        <v>PeakFuel</v>
      </c>
      <c r="P28" s="15" t="s">
        <v>77</v>
      </c>
      <c r="Q28" s="23">
        <f>$G$28/12</f>
        <v>8333.3333333333339</v>
      </c>
      <c r="R28" s="23">
        <f t="shared" ref="R28:AB28" si="9">$G$28/12</f>
        <v>8333.3333333333339</v>
      </c>
      <c r="S28" s="23">
        <f t="shared" si="9"/>
        <v>8333.3333333333339</v>
      </c>
      <c r="T28" s="23">
        <f t="shared" si="9"/>
        <v>8333.3333333333339</v>
      </c>
      <c r="U28" s="23">
        <f t="shared" si="9"/>
        <v>8333.3333333333339</v>
      </c>
      <c r="V28" s="23">
        <f t="shared" si="9"/>
        <v>8333.3333333333339</v>
      </c>
      <c r="W28" s="23">
        <f t="shared" si="9"/>
        <v>8333.3333333333339</v>
      </c>
      <c r="X28" s="23">
        <f t="shared" si="9"/>
        <v>8333.3333333333339</v>
      </c>
      <c r="Y28" s="23">
        <f t="shared" si="9"/>
        <v>8333.3333333333339</v>
      </c>
      <c r="Z28" s="23">
        <f t="shared" si="9"/>
        <v>8333.3333333333339</v>
      </c>
      <c r="AA28" s="23">
        <f t="shared" si="9"/>
        <v>8333.3333333333339</v>
      </c>
      <c r="AB28" s="23">
        <f t="shared" si="9"/>
        <v>8333.3333333333339</v>
      </c>
      <c r="AC28" s="15"/>
      <c r="AD28" s="62">
        <f t="shared" ref="AD28" si="10">SUM(Q28:AB28)</f>
        <v>99999.999999999985</v>
      </c>
      <c r="AE28" s="30" t="s">
        <v>100</v>
      </c>
    </row>
    <row r="29" spans="2:32" x14ac:dyDescent="0.25">
      <c r="L29" s="44">
        <f>SUM(L5:L28)</f>
        <v>1598100.0277777778</v>
      </c>
      <c r="M29" s="52"/>
      <c r="O29" s="14" t="str">
        <f>O5</f>
        <v>DepoSort</v>
      </c>
      <c r="P29" s="14" t="s">
        <v>78</v>
      </c>
      <c r="Q29" s="24">
        <f t="shared" ref="Q29:AB29" si="11">IF($AF29,Q5,0)</f>
        <v>0</v>
      </c>
      <c r="R29" s="24">
        <f t="shared" si="11"/>
        <v>0</v>
      </c>
      <c r="S29" s="24">
        <f t="shared" si="11"/>
        <v>0</v>
      </c>
      <c r="T29" s="24">
        <f t="shared" si="11"/>
        <v>0</v>
      </c>
      <c r="U29" s="24">
        <f t="shared" si="11"/>
        <v>0</v>
      </c>
      <c r="V29" s="24">
        <f t="shared" si="11"/>
        <v>0</v>
      </c>
      <c r="W29" s="24">
        <f t="shared" si="11"/>
        <v>0</v>
      </c>
      <c r="X29" s="24">
        <f t="shared" si="11"/>
        <v>0</v>
      </c>
      <c r="Y29" s="24">
        <f t="shared" si="11"/>
        <v>0</v>
      </c>
      <c r="Z29" s="24">
        <f t="shared" si="11"/>
        <v>0</v>
      </c>
      <c r="AA29" s="24">
        <f t="shared" si="11"/>
        <v>0</v>
      </c>
      <c r="AB29" s="24">
        <f t="shared" si="11"/>
        <v>0</v>
      </c>
      <c r="AC29" s="14"/>
      <c r="AD29" s="29">
        <f t="shared" si="2"/>
        <v>0</v>
      </c>
      <c r="AE29" s="10" t="s">
        <v>100</v>
      </c>
      <c r="AF29" s="53" t="b">
        <f>(F5=0)</f>
        <v>0</v>
      </c>
    </row>
    <row r="30" spans="2:32" x14ac:dyDescent="0.25">
      <c r="O30" s="14" t="str">
        <f>O6</f>
        <v>DepoSmaat</v>
      </c>
      <c r="P30" s="14" t="s">
        <v>78</v>
      </c>
      <c r="Q30" s="24">
        <f t="shared" ref="Q30:AB30" si="12">IF($AF30,Q6,0)</f>
        <v>0</v>
      </c>
      <c r="R30" s="24">
        <f t="shared" si="12"/>
        <v>0</v>
      </c>
      <c r="S30" s="24">
        <f t="shared" si="12"/>
        <v>0</v>
      </c>
      <c r="T30" s="24">
        <f t="shared" si="12"/>
        <v>0</v>
      </c>
      <c r="U30" s="24">
        <f t="shared" si="12"/>
        <v>0</v>
      </c>
      <c r="V30" s="24">
        <f t="shared" si="12"/>
        <v>0</v>
      </c>
      <c r="W30" s="24">
        <f t="shared" si="12"/>
        <v>0</v>
      </c>
      <c r="X30" s="24">
        <f t="shared" si="12"/>
        <v>0</v>
      </c>
      <c r="Y30" s="24">
        <f t="shared" si="12"/>
        <v>0</v>
      </c>
      <c r="Z30" s="24">
        <f t="shared" si="12"/>
        <v>0</v>
      </c>
      <c r="AA30" s="24">
        <f t="shared" si="12"/>
        <v>0</v>
      </c>
      <c r="AB30" s="24">
        <f t="shared" si="12"/>
        <v>0</v>
      </c>
      <c r="AC30" s="14"/>
      <c r="AD30" s="29">
        <f t="shared" si="2"/>
        <v>0</v>
      </c>
      <c r="AE30" s="10" t="s">
        <v>100</v>
      </c>
      <c r="AF30" s="53" t="b">
        <f>(F6=0)</f>
        <v>0</v>
      </c>
    </row>
    <row r="31" spans="2:32" x14ac:dyDescent="0.25">
      <c r="O31" s="14" t="str">
        <f>O7</f>
        <v>DepoNedd</v>
      </c>
      <c r="P31" s="14" t="s">
        <v>78</v>
      </c>
      <c r="Q31" s="24">
        <f t="shared" ref="Q31:AB31" si="13">IF($AF31,Q7,0)</f>
        <v>0</v>
      </c>
      <c r="R31" s="24">
        <f t="shared" si="13"/>
        <v>0</v>
      </c>
      <c r="S31" s="24">
        <f t="shared" si="13"/>
        <v>0</v>
      </c>
      <c r="T31" s="24">
        <f t="shared" si="13"/>
        <v>0</v>
      </c>
      <c r="U31" s="24">
        <f t="shared" si="13"/>
        <v>0</v>
      </c>
      <c r="V31" s="24">
        <f t="shared" si="13"/>
        <v>0</v>
      </c>
      <c r="W31" s="24">
        <f t="shared" si="13"/>
        <v>0</v>
      </c>
      <c r="X31" s="24">
        <f t="shared" si="13"/>
        <v>0</v>
      </c>
      <c r="Y31" s="24">
        <f t="shared" si="13"/>
        <v>0</v>
      </c>
      <c r="Z31" s="24">
        <f t="shared" si="13"/>
        <v>0</v>
      </c>
      <c r="AA31" s="24">
        <f t="shared" si="13"/>
        <v>0</v>
      </c>
      <c r="AB31" s="24">
        <f t="shared" si="13"/>
        <v>0</v>
      </c>
      <c r="AC31" s="14"/>
      <c r="AD31" s="29">
        <f t="shared" si="2"/>
        <v>0</v>
      </c>
      <c r="AE31" s="10" t="s">
        <v>100</v>
      </c>
      <c r="AF31" s="53" t="b">
        <f>(F7=0)</f>
        <v>0</v>
      </c>
    </row>
    <row r="32" spans="2:32" x14ac:dyDescent="0.25">
      <c r="O32" s="14" t="str">
        <f>O8</f>
        <v>Dagren</v>
      </c>
      <c r="P32" s="14" t="s">
        <v>78</v>
      </c>
      <c r="Q32" s="24">
        <f t="shared" ref="Q32:AB32" si="14">IF($AF32,Q8,0)</f>
        <v>2405.75</v>
      </c>
      <c r="R32" s="24">
        <f t="shared" si="14"/>
        <v>2405.75</v>
      </c>
      <c r="S32" s="24">
        <f t="shared" si="14"/>
        <v>2405.75</v>
      </c>
      <c r="T32" s="24">
        <f t="shared" si="14"/>
        <v>2405.75</v>
      </c>
      <c r="U32" s="24">
        <f t="shared" si="14"/>
        <v>2405.75</v>
      </c>
      <c r="V32" s="24">
        <f t="shared" si="14"/>
        <v>2405.75</v>
      </c>
      <c r="W32" s="24">
        <f t="shared" si="14"/>
        <v>2405.75</v>
      </c>
      <c r="X32" s="24">
        <f t="shared" si="14"/>
        <v>2405.75</v>
      </c>
      <c r="Y32" s="24">
        <f t="shared" si="14"/>
        <v>2405.75</v>
      </c>
      <c r="Z32" s="24">
        <f t="shared" si="14"/>
        <v>2405.75</v>
      </c>
      <c r="AA32" s="24">
        <f t="shared" si="14"/>
        <v>2405.75</v>
      </c>
      <c r="AB32" s="24">
        <f t="shared" si="14"/>
        <v>2405.75</v>
      </c>
      <c r="AC32" s="14"/>
      <c r="AD32" s="29">
        <f t="shared" si="2"/>
        <v>28869</v>
      </c>
      <c r="AE32" s="10" t="s">
        <v>100</v>
      </c>
      <c r="AF32" s="53" t="b">
        <f>(F8=0)</f>
        <v>1</v>
      </c>
    </row>
    <row r="33" spans="15:32" x14ac:dyDescent="0.25">
      <c r="O33" s="14" t="str">
        <f>O9</f>
        <v>AndetBrand</v>
      </c>
      <c r="P33" s="14" t="s">
        <v>78</v>
      </c>
      <c r="Q33" s="24">
        <f t="shared" ref="Q33:AB33" si="15">IF($AF33,Q9,0)</f>
        <v>0</v>
      </c>
      <c r="R33" s="24">
        <f t="shared" si="15"/>
        <v>0</v>
      </c>
      <c r="S33" s="24">
        <f t="shared" si="15"/>
        <v>0</v>
      </c>
      <c r="T33" s="24">
        <f t="shared" si="15"/>
        <v>0</v>
      </c>
      <c r="U33" s="24">
        <f t="shared" si="15"/>
        <v>0</v>
      </c>
      <c r="V33" s="24">
        <f t="shared" si="15"/>
        <v>0</v>
      </c>
      <c r="W33" s="24">
        <f t="shared" si="15"/>
        <v>0</v>
      </c>
      <c r="X33" s="24">
        <f t="shared" si="15"/>
        <v>0</v>
      </c>
      <c r="Y33" s="24">
        <f t="shared" si="15"/>
        <v>0</v>
      </c>
      <c r="Z33" s="24">
        <f t="shared" si="15"/>
        <v>0</v>
      </c>
      <c r="AA33" s="24">
        <f t="shared" si="15"/>
        <v>0</v>
      </c>
      <c r="AB33" s="24">
        <f t="shared" si="15"/>
        <v>0</v>
      </c>
      <c r="AC33" s="14"/>
      <c r="AD33" s="29">
        <f t="shared" si="2"/>
        <v>0</v>
      </c>
      <c r="AE33" s="10" t="s">
        <v>100</v>
      </c>
      <c r="AF33" s="53" t="b">
        <f>(F9=0)</f>
        <v>0</v>
      </c>
    </row>
    <row r="34" spans="15:32" x14ac:dyDescent="0.25">
      <c r="O34" s="14" t="str">
        <f>O10</f>
        <v>Trae</v>
      </c>
      <c r="P34" s="14" t="s">
        <v>78</v>
      </c>
      <c r="Q34" s="24">
        <f t="shared" ref="Q34:AB34" si="16">IF($AF34,Q10,0)</f>
        <v>0</v>
      </c>
      <c r="R34" s="24">
        <f t="shared" si="16"/>
        <v>0</v>
      </c>
      <c r="S34" s="24">
        <f t="shared" si="16"/>
        <v>0</v>
      </c>
      <c r="T34" s="24">
        <f t="shared" si="16"/>
        <v>0</v>
      </c>
      <c r="U34" s="24">
        <f t="shared" si="16"/>
        <v>0</v>
      </c>
      <c r="V34" s="24">
        <f t="shared" si="16"/>
        <v>0</v>
      </c>
      <c r="W34" s="24">
        <f t="shared" si="16"/>
        <v>0</v>
      </c>
      <c r="X34" s="24">
        <f t="shared" si="16"/>
        <v>0</v>
      </c>
      <c r="Y34" s="24">
        <f t="shared" si="16"/>
        <v>0</v>
      </c>
      <c r="Z34" s="24">
        <f t="shared" si="16"/>
        <v>0</v>
      </c>
      <c r="AA34" s="24">
        <f t="shared" si="16"/>
        <v>0</v>
      </c>
      <c r="AB34" s="24">
        <f t="shared" si="16"/>
        <v>0</v>
      </c>
      <c r="AC34" s="14"/>
      <c r="AD34" s="29">
        <f t="shared" si="2"/>
        <v>0</v>
      </c>
      <c r="AE34" s="10" t="s">
        <v>100</v>
      </c>
      <c r="AF34" s="53" t="b">
        <f>(F10=0)</f>
        <v>0</v>
      </c>
    </row>
    <row r="35" spans="15:32" x14ac:dyDescent="0.25">
      <c r="O35" s="14" t="str">
        <f>O11</f>
        <v>DagrenRast</v>
      </c>
      <c r="P35" s="14" t="s">
        <v>78</v>
      </c>
      <c r="Q35" s="24">
        <f t="shared" ref="Q35:AB35" si="17">IF($AF35,Q11,0)</f>
        <v>0</v>
      </c>
      <c r="R35" s="24">
        <f t="shared" si="17"/>
        <v>0</v>
      </c>
      <c r="S35" s="24">
        <f t="shared" si="17"/>
        <v>0</v>
      </c>
      <c r="T35" s="24">
        <f t="shared" si="17"/>
        <v>0</v>
      </c>
      <c r="U35" s="24">
        <f t="shared" si="17"/>
        <v>0</v>
      </c>
      <c r="V35" s="24">
        <f t="shared" si="17"/>
        <v>0</v>
      </c>
      <c r="W35" s="24">
        <f t="shared" si="17"/>
        <v>0</v>
      </c>
      <c r="X35" s="24">
        <f t="shared" si="17"/>
        <v>0</v>
      </c>
      <c r="Y35" s="24">
        <f t="shared" si="17"/>
        <v>0</v>
      </c>
      <c r="Z35" s="24">
        <f t="shared" si="17"/>
        <v>0</v>
      </c>
      <c r="AA35" s="24">
        <f t="shared" si="17"/>
        <v>0</v>
      </c>
      <c r="AB35" s="24">
        <f t="shared" si="17"/>
        <v>0</v>
      </c>
      <c r="AC35" s="14"/>
      <c r="AD35" s="29">
        <f t="shared" si="2"/>
        <v>0</v>
      </c>
      <c r="AE35" s="10" t="s">
        <v>100</v>
      </c>
      <c r="AF35" s="53" t="b">
        <f>(F11=0)</f>
        <v>1</v>
      </c>
    </row>
    <row r="36" spans="15:32" x14ac:dyDescent="0.25">
      <c r="O36" s="14" t="str">
        <f>O12</f>
        <v>DagrenInst</v>
      </c>
      <c r="P36" s="14" t="s">
        <v>78</v>
      </c>
      <c r="Q36" s="24">
        <f t="shared" ref="Q36:AB36" si="18">IF($AF36,Q12,0)</f>
        <v>650</v>
      </c>
      <c r="R36" s="24">
        <f t="shared" si="18"/>
        <v>650</v>
      </c>
      <c r="S36" s="24">
        <f t="shared" si="18"/>
        <v>650</v>
      </c>
      <c r="T36" s="24">
        <f t="shared" si="18"/>
        <v>650</v>
      </c>
      <c r="U36" s="24">
        <f t="shared" si="18"/>
        <v>650</v>
      </c>
      <c r="V36" s="24">
        <f t="shared" si="18"/>
        <v>650</v>
      </c>
      <c r="W36" s="24">
        <f t="shared" si="18"/>
        <v>650</v>
      </c>
      <c r="X36" s="24">
        <f t="shared" si="18"/>
        <v>650</v>
      </c>
      <c r="Y36" s="24">
        <f t="shared" si="18"/>
        <v>650</v>
      </c>
      <c r="Z36" s="24">
        <f t="shared" si="18"/>
        <v>650</v>
      </c>
      <c r="AA36" s="24">
        <f t="shared" si="18"/>
        <v>650</v>
      </c>
      <c r="AB36" s="24">
        <f t="shared" si="18"/>
        <v>650</v>
      </c>
      <c r="AC36" s="14"/>
      <c r="AD36" s="29">
        <f t="shared" si="2"/>
        <v>7800</v>
      </c>
      <c r="AE36" s="10" t="s">
        <v>100</v>
      </c>
      <c r="AF36" s="53" t="b">
        <f>(F12=0)</f>
        <v>1</v>
      </c>
    </row>
    <row r="37" spans="15:32" x14ac:dyDescent="0.25">
      <c r="O37" s="14" t="str">
        <f>O13</f>
        <v>DagrenHandel</v>
      </c>
      <c r="P37" s="14" t="s">
        <v>78</v>
      </c>
      <c r="Q37" s="24">
        <f t="shared" ref="Q37:AB37" si="19">IF($AF37,Q13,0)</f>
        <v>0</v>
      </c>
      <c r="R37" s="24">
        <f t="shared" si="19"/>
        <v>0</v>
      </c>
      <c r="S37" s="24">
        <f t="shared" si="19"/>
        <v>0</v>
      </c>
      <c r="T37" s="24">
        <f t="shared" si="19"/>
        <v>0</v>
      </c>
      <c r="U37" s="24">
        <f t="shared" si="19"/>
        <v>0</v>
      </c>
      <c r="V37" s="24">
        <f t="shared" si="19"/>
        <v>0</v>
      </c>
      <c r="W37" s="24">
        <f t="shared" si="19"/>
        <v>0</v>
      </c>
      <c r="X37" s="24">
        <f t="shared" si="19"/>
        <v>0</v>
      </c>
      <c r="Y37" s="24">
        <f t="shared" si="19"/>
        <v>0</v>
      </c>
      <c r="Z37" s="24">
        <f t="shared" si="19"/>
        <v>0</v>
      </c>
      <c r="AA37" s="24">
        <f t="shared" si="19"/>
        <v>0</v>
      </c>
      <c r="AB37" s="24">
        <f t="shared" si="19"/>
        <v>0</v>
      </c>
      <c r="AC37" s="14"/>
      <c r="AD37" s="29">
        <f t="shared" si="2"/>
        <v>0</v>
      </c>
      <c r="AE37" s="10" t="s">
        <v>100</v>
      </c>
      <c r="AF37" s="53" t="b">
        <f>(F13=0)</f>
        <v>1</v>
      </c>
    </row>
    <row r="38" spans="15:32" x14ac:dyDescent="0.25">
      <c r="O38" s="14" t="str">
        <f>O14</f>
        <v>DagrenRestau</v>
      </c>
      <c r="P38" s="14" t="s">
        <v>78</v>
      </c>
      <c r="Q38" s="24">
        <f t="shared" ref="Q38:AB38" si="20">IF($AF38,Q14,0)</f>
        <v>0</v>
      </c>
      <c r="R38" s="24">
        <f t="shared" si="20"/>
        <v>0</v>
      </c>
      <c r="S38" s="24">
        <f t="shared" si="20"/>
        <v>0</v>
      </c>
      <c r="T38" s="24">
        <f t="shared" si="20"/>
        <v>0</v>
      </c>
      <c r="U38" s="24">
        <f t="shared" si="20"/>
        <v>0</v>
      </c>
      <c r="V38" s="24">
        <f t="shared" si="20"/>
        <v>0</v>
      </c>
      <c r="W38" s="24">
        <f t="shared" si="20"/>
        <v>0</v>
      </c>
      <c r="X38" s="24">
        <f t="shared" si="20"/>
        <v>0</v>
      </c>
      <c r="Y38" s="24">
        <f t="shared" si="20"/>
        <v>0</v>
      </c>
      <c r="Z38" s="24">
        <f t="shared" si="20"/>
        <v>0</v>
      </c>
      <c r="AA38" s="24">
        <f t="shared" si="20"/>
        <v>0</v>
      </c>
      <c r="AB38" s="24">
        <f t="shared" si="20"/>
        <v>0</v>
      </c>
      <c r="AC38" s="14"/>
      <c r="AD38" s="29">
        <f t="shared" si="2"/>
        <v>0</v>
      </c>
      <c r="AE38" s="10" t="s">
        <v>100</v>
      </c>
      <c r="AF38" s="53" t="b">
        <f>(F14=0)</f>
        <v>1</v>
      </c>
    </row>
    <row r="39" spans="15:32" x14ac:dyDescent="0.25">
      <c r="O39" s="14" t="str">
        <f>O15</f>
        <v>Erhverv</v>
      </c>
      <c r="P39" s="14" t="s">
        <v>78</v>
      </c>
      <c r="Q39" s="24">
        <f t="shared" ref="Q39:AB39" si="21">IF($AF39,Q15,0)</f>
        <v>0</v>
      </c>
      <c r="R39" s="24">
        <f t="shared" si="21"/>
        <v>0</v>
      </c>
      <c r="S39" s="24">
        <f t="shared" si="21"/>
        <v>0</v>
      </c>
      <c r="T39" s="24">
        <f t="shared" si="21"/>
        <v>0</v>
      </c>
      <c r="U39" s="24">
        <f t="shared" si="21"/>
        <v>0</v>
      </c>
      <c r="V39" s="24">
        <f t="shared" si="21"/>
        <v>0</v>
      </c>
      <c r="W39" s="24">
        <f t="shared" si="21"/>
        <v>0</v>
      </c>
      <c r="X39" s="24">
        <f t="shared" si="21"/>
        <v>0</v>
      </c>
      <c r="Y39" s="24">
        <f t="shared" si="21"/>
        <v>0</v>
      </c>
      <c r="Z39" s="24">
        <f t="shared" si="21"/>
        <v>0</v>
      </c>
      <c r="AA39" s="24">
        <f t="shared" si="21"/>
        <v>0</v>
      </c>
      <c r="AB39" s="24">
        <f t="shared" si="21"/>
        <v>0</v>
      </c>
      <c r="AC39" s="14"/>
      <c r="AD39" s="29">
        <f t="shared" si="2"/>
        <v>0</v>
      </c>
      <c r="AE39" s="10" t="s">
        <v>100</v>
      </c>
      <c r="AF39" s="53" t="b">
        <f>(F15=0)</f>
        <v>0</v>
      </c>
    </row>
    <row r="40" spans="15:32" x14ac:dyDescent="0.25">
      <c r="O40" s="14" t="str">
        <f>O16</f>
        <v>DagrenErhverv</v>
      </c>
      <c r="P40" s="14" t="s">
        <v>78</v>
      </c>
      <c r="Q40" s="24">
        <f t="shared" ref="Q40:AB40" si="22">IF($AF40,Q16,0)</f>
        <v>41.666666666666664</v>
      </c>
      <c r="R40" s="24">
        <f t="shared" si="22"/>
        <v>41.666666666666664</v>
      </c>
      <c r="S40" s="24">
        <f t="shared" si="22"/>
        <v>41.666666666666664</v>
      </c>
      <c r="T40" s="24">
        <f t="shared" si="22"/>
        <v>41.666666666666664</v>
      </c>
      <c r="U40" s="24">
        <f t="shared" si="22"/>
        <v>41.666666666666664</v>
      </c>
      <c r="V40" s="24">
        <f t="shared" si="22"/>
        <v>41.666666666666664</v>
      </c>
      <c r="W40" s="24">
        <f t="shared" si="22"/>
        <v>41.666666666666664</v>
      </c>
      <c r="X40" s="24">
        <f t="shared" si="22"/>
        <v>41.666666666666664</v>
      </c>
      <c r="Y40" s="24">
        <f t="shared" si="22"/>
        <v>41.666666666666664</v>
      </c>
      <c r="Z40" s="24">
        <f t="shared" si="22"/>
        <v>41.666666666666664</v>
      </c>
      <c r="AA40" s="24">
        <f t="shared" si="22"/>
        <v>41.666666666666664</v>
      </c>
      <c r="AB40" s="24">
        <f t="shared" si="22"/>
        <v>41.666666666666664</v>
      </c>
      <c r="AC40" s="14"/>
      <c r="AD40" s="29">
        <f t="shared" si="2"/>
        <v>500.00000000000006</v>
      </c>
      <c r="AE40" s="10" t="s">
        <v>100</v>
      </c>
      <c r="AF40" s="53" t="b">
        <f>(F16=0)</f>
        <v>1</v>
      </c>
    </row>
    <row r="41" spans="15:32" x14ac:dyDescent="0.25">
      <c r="O41" s="14" t="str">
        <f>O17</f>
        <v>HandelKontor</v>
      </c>
      <c r="P41" s="14" t="s">
        <v>78</v>
      </c>
      <c r="Q41" s="24">
        <f t="shared" ref="Q41:AB41" si="23">IF($AF41,Q17,0)</f>
        <v>0</v>
      </c>
      <c r="R41" s="24">
        <f t="shared" si="23"/>
        <v>0</v>
      </c>
      <c r="S41" s="24">
        <f t="shared" si="23"/>
        <v>0</v>
      </c>
      <c r="T41" s="24">
        <f t="shared" si="23"/>
        <v>0</v>
      </c>
      <c r="U41" s="24">
        <f t="shared" si="23"/>
        <v>0</v>
      </c>
      <c r="V41" s="24">
        <f t="shared" si="23"/>
        <v>0</v>
      </c>
      <c r="W41" s="24">
        <f t="shared" si="23"/>
        <v>0</v>
      </c>
      <c r="X41" s="24">
        <f t="shared" si="23"/>
        <v>0</v>
      </c>
      <c r="Y41" s="24">
        <f t="shared" si="23"/>
        <v>0</v>
      </c>
      <c r="Z41" s="24">
        <f t="shared" si="23"/>
        <v>0</v>
      </c>
      <c r="AA41" s="24">
        <f t="shared" si="23"/>
        <v>0</v>
      </c>
      <c r="AB41" s="24">
        <f t="shared" si="23"/>
        <v>0</v>
      </c>
      <c r="AC41" s="14"/>
      <c r="AD41" s="29">
        <f t="shared" si="2"/>
        <v>0</v>
      </c>
      <c r="AE41" s="10" t="s">
        <v>100</v>
      </c>
      <c r="AF41" s="53" t="b">
        <f>(F17=0)</f>
        <v>0</v>
      </c>
    </row>
    <row r="42" spans="15:32" x14ac:dyDescent="0.25">
      <c r="O42" s="14" t="str">
        <f>O18</f>
        <v>Privat</v>
      </c>
      <c r="P42" s="14" t="s">
        <v>78</v>
      </c>
      <c r="Q42" s="24">
        <f t="shared" ref="Q42:AB42" si="24">IF($AF42,Q18,0)</f>
        <v>0</v>
      </c>
      <c r="R42" s="24">
        <f t="shared" si="24"/>
        <v>0</v>
      </c>
      <c r="S42" s="24">
        <f t="shared" si="24"/>
        <v>0</v>
      </c>
      <c r="T42" s="24">
        <f t="shared" si="24"/>
        <v>0</v>
      </c>
      <c r="U42" s="24">
        <f t="shared" si="24"/>
        <v>0</v>
      </c>
      <c r="V42" s="24">
        <f t="shared" si="24"/>
        <v>0</v>
      </c>
      <c r="W42" s="24">
        <f t="shared" si="24"/>
        <v>0</v>
      </c>
      <c r="X42" s="24">
        <f t="shared" si="24"/>
        <v>0</v>
      </c>
      <c r="Y42" s="24">
        <f t="shared" si="24"/>
        <v>0</v>
      </c>
      <c r="Z42" s="24">
        <f t="shared" si="24"/>
        <v>0</v>
      </c>
      <c r="AA42" s="24">
        <f t="shared" si="24"/>
        <v>0</v>
      </c>
      <c r="AB42" s="24">
        <f t="shared" si="24"/>
        <v>0</v>
      </c>
      <c r="AC42" s="14"/>
      <c r="AD42" s="29">
        <f t="shared" si="2"/>
        <v>0</v>
      </c>
      <c r="AE42" s="10" t="s">
        <v>100</v>
      </c>
      <c r="AF42" s="53" t="b">
        <f>(F18=0)</f>
        <v>0</v>
      </c>
    </row>
    <row r="43" spans="15:32" x14ac:dyDescent="0.25">
      <c r="O43" s="14" t="str">
        <f>O19</f>
        <v>TyskRest</v>
      </c>
      <c r="P43" s="14" t="s">
        <v>78</v>
      </c>
      <c r="Q43" s="24">
        <f t="shared" ref="Q43:AB43" si="25">IF($AF43,Q19,0)</f>
        <v>0</v>
      </c>
      <c r="R43" s="24">
        <f t="shared" si="25"/>
        <v>0</v>
      </c>
      <c r="S43" s="24">
        <f t="shared" si="25"/>
        <v>0</v>
      </c>
      <c r="T43" s="24">
        <f t="shared" si="25"/>
        <v>0</v>
      </c>
      <c r="U43" s="24">
        <f t="shared" si="25"/>
        <v>0</v>
      </c>
      <c r="V43" s="24">
        <f t="shared" si="25"/>
        <v>0</v>
      </c>
      <c r="W43" s="24">
        <f t="shared" si="25"/>
        <v>0</v>
      </c>
      <c r="X43" s="24">
        <f t="shared" si="25"/>
        <v>0</v>
      </c>
      <c r="Y43" s="24">
        <f t="shared" si="25"/>
        <v>0</v>
      </c>
      <c r="Z43" s="24">
        <f t="shared" si="25"/>
        <v>0</v>
      </c>
      <c r="AA43" s="24">
        <f t="shared" si="25"/>
        <v>0</v>
      </c>
      <c r="AB43" s="24">
        <f t="shared" si="25"/>
        <v>0</v>
      </c>
      <c r="AC43" s="14"/>
      <c r="AD43" s="29">
        <f t="shared" si="2"/>
        <v>0</v>
      </c>
      <c r="AE43" s="10" t="s">
        <v>100</v>
      </c>
      <c r="AF43" s="53" t="b">
        <f>(F19=0)</f>
        <v>0</v>
      </c>
    </row>
    <row r="44" spans="15:32" x14ac:dyDescent="0.25">
      <c r="O44" s="14" t="str">
        <f>O20</f>
        <v>PolskRest</v>
      </c>
      <c r="P44" s="14" t="s">
        <v>78</v>
      </c>
      <c r="Q44" s="24">
        <f t="shared" ref="Q44:AB44" si="26">IF($AF44,Q20,0)</f>
        <v>0</v>
      </c>
      <c r="R44" s="24">
        <f t="shared" si="26"/>
        <v>0</v>
      </c>
      <c r="S44" s="24">
        <f t="shared" si="26"/>
        <v>0</v>
      </c>
      <c r="T44" s="24">
        <f t="shared" si="26"/>
        <v>0</v>
      </c>
      <c r="U44" s="24">
        <f t="shared" si="26"/>
        <v>0</v>
      </c>
      <c r="V44" s="24">
        <f t="shared" si="26"/>
        <v>0</v>
      </c>
      <c r="W44" s="24">
        <f t="shared" si="26"/>
        <v>0</v>
      </c>
      <c r="X44" s="24">
        <f t="shared" si="26"/>
        <v>0</v>
      </c>
      <c r="Y44" s="24">
        <f t="shared" si="26"/>
        <v>0</v>
      </c>
      <c r="Z44" s="24">
        <f t="shared" si="26"/>
        <v>0</v>
      </c>
      <c r="AA44" s="24">
        <f t="shared" si="26"/>
        <v>0</v>
      </c>
      <c r="AB44" s="24">
        <f t="shared" si="26"/>
        <v>0</v>
      </c>
      <c r="AC44" s="14"/>
      <c r="AD44" s="29">
        <f t="shared" si="2"/>
        <v>0</v>
      </c>
      <c r="AE44" s="10" t="s">
        <v>100</v>
      </c>
      <c r="AF44" s="53" t="b">
        <f>(F20=0)</f>
        <v>0</v>
      </c>
    </row>
    <row r="45" spans="15:32" x14ac:dyDescent="0.25">
      <c r="O45" s="14" t="str">
        <f>O21</f>
        <v>PcbTrae</v>
      </c>
      <c r="P45" s="14" t="s">
        <v>78</v>
      </c>
      <c r="Q45" s="24">
        <f t="shared" ref="Q45:AB45" si="27">IF($AF45,Q21,0)</f>
        <v>0</v>
      </c>
      <c r="R45" s="24">
        <f t="shared" si="27"/>
        <v>0</v>
      </c>
      <c r="S45" s="24">
        <f t="shared" si="27"/>
        <v>0</v>
      </c>
      <c r="T45" s="24">
        <f t="shared" si="27"/>
        <v>0</v>
      </c>
      <c r="U45" s="24">
        <f t="shared" si="27"/>
        <v>0</v>
      </c>
      <c r="V45" s="24">
        <f t="shared" si="27"/>
        <v>0</v>
      </c>
      <c r="W45" s="24">
        <f t="shared" si="27"/>
        <v>0</v>
      </c>
      <c r="X45" s="24">
        <f t="shared" si="27"/>
        <v>0</v>
      </c>
      <c r="Y45" s="24">
        <f t="shared" si="27"/>
        <v>0</v>
      </c>
      <c r="Z45" s="24">
        <f t="shared" si="27"/>
        <v>0</v>
      </c>
      <c r="AA45" s="24">
        <f t="shared" si="27"/>
        <v>0</v>
      </c>
      <c r="AB45" s="24">
        <f t="shared" si="27"/>
        <v>0</v>
      </c>
      <c r="AC45" s="14"/>
      <c r="AD45" s="29">
        <f t="shared" si="2"/>
        <v>0</v>
      </c>
      <c r="AE45" s="10" t="s">
        <v>100</v>
      </c>
      <c r="AF45" s="53" t="b">
        <f>(F21=0)</f>
        <v>0</v>
      </c>
    </row>
    <row r="46" spans="15:32" x14ac:dyDescent="0.25">
      <c r="O46" s="14" t="str">
        <f>O22</f>
        <v>FlisAffald</v>
      </c>
      <c r="P46" s="14" t="s">
        <v>78</v>
      </c>
      <c r="Q46" s="24">
        <f t="shared" ref="Q46:AB46" si="28">IF($AF46,Q22,0)</f>
        <v>0</v>
      </c>
      <c r="R46" s="24">
        <f t="shared" si="28"/>
        <v>0</v>
      </c>
      <c r="S46" s="24">
        <f t="shared" si="28"/>
        <v>0</v>
      </c>
      <c r="T46" s="24">
        <f t="shared" si="28"/>
        <v>0</v>
      </c>
      <c r="U46" s="24">
        <f t="shared" si="28"/>
        <v>0</v>
      </c>
      <c r="V46" s="24">
        <f t="shared" si="28"/>
        <v>0</v>
      </c>
      <c r="W46" s="24">
        <f t="shared" si="28"/>
        <v>0</v>
      </c>
      <c r="X46" s="24">
        <f t="shared" si="28"/>
        <v>0</v>
      </c>
      <c r="Y46" s="24">
        <f t="shared" si="28"/>
        <v>0</v>
      </c>
      <c r="Z46" s="24">
        <f t="shared" si="28"/>
        <v>0</v>
      </c>
      <c r="AA46" s="24">
        <f t="shared" si="28"/>
        <v>0</v>
      </c>
      <c r="AB46" s="24">
        <f t="shared" si="28"/>
        <v>0</v>
      </c>
      <c r="AC46" s="14"/>
      <c r="AD46" s="29">
        <f t="shared" si="2"/>
        <v>0</v>
      </c>
      <c r="AE46" s="10" t="s">
        <v>100</v>
      </c>
      <c r="AF46" s="53" t="b">
        <f>(F22=0)</f>
        <v>0</v>
      </c>
    </row>
    <row r="47" spans="15:32" x14ac:dyDescent="0.25">
      <c r="O47" s="14" t="str">
        <f>O23</f>
        <v>TraeRekv</v>
      </c>
      <c r="P47" s="14" t="s">
        <v>78</v>
      </c>
      <c r="Q47" s="24">
        <f t="shared" ref="Q47:AB47" si="29">IF($AF47,Q23,0)</f>
        <v>0</v>
      </c>
      <c r="R47" s="24">
        <f t="shared" si="29"/>
        <v>0</v>
      </c>
      <c r="S47" s="24">
        <f t="shared" si="29"/>
        <v>0</v>
      </c>
      <c r="T47" s="24">
        <f t="shared" si="29"/>
        <v>0</v>
      </c>
      <c r="U47" s="24">
        <f t="shared" si="29"/>
        <v>0</v>
      </c>
      <c r="V47" s="24">
        <f t="shared" si="29"/>
        <v>0</v>
      </c>
      <c r="W47" s="24">
        <f t="shared" si="29"/>
        <v>0</v>
      </c>
      <c r="X47" s="24">
        <f t="shared" si="29"/>
        <v>0</v>
      </c>
      <c r="Y47" s="24">
        <f t="shared" si="29"/>
        <v>0</v>
      </c>
      <c r="Z47" s="24">
        <f t="shared" si="29"/>
        <v>0</v>
      </c>
      <c r="AA47" s="24">
        <f t="shared" si="29"/>
        <v>0</v>
      </c>
      <c r="AB47" s="24">
        <f t="shared" si="29"/>
        <v>0</v>
      </c>
      <c r="AC47" s="14"/>
      <c r="AD47" s="29">
        <f t="shared" si="2"/>
        <v>0</v>
      </c>
      <c r="AE47" s="10" t="s">
        <v>100</v>
      </c>
      <c r="AF47" s="53" t="b">
        <f>(F23=0)</f>
        <v>0</v>
      </c>
    </row>
    <row r="48" spans="15:32" x14ac:dyDescent="0.25">
      <c r="O48" s="14" t="str">
        <f>O24</f>
        <v>Halm</v>
      </c>
      <c r="P48" s="14" t="s">
        <v>78</v>
      </c>
      <c r="Q48" s="24">
        <f t="shared" ref="Q48:AB48" si="30">IF($AF48,Q24,0)</f>
        <v>0</v>
      </c>
      <c r="R48" s="24">
        <f t="shared" si="30"/>
        <v>0</v>
      </c>
      <c r="S48" s="24">
        <f t="shared" si="30"/>
        <v>0</v>
      </c>
      <c r="T48" s="24">
        <f t="shared" si="30"/>
        <v>0</v>
      </c>
      <c r="U48" s="24">
        <f t="shared" si="30"/>
        <v>0</v>
      </c>
      <c r="V48" s="24">
        <f t="shared" si="30"/>
        <v>0</v>
      </c>
      <c r="W48" s="24">
        <f t="shared" si="30"/>
        <v>0</v>
      </c>
      <c r="X48" s="24">
        <f t="shared" si="30"/>
        <v>0</v>
      </c>
      <c r="Y48" s="24">
        <f t="shared" si="30"/>
        <v>0</v>
      </c>
      <c r="Z48" s="24">
        <f t="shared" si="30"/>
        <v>0</v>
      </c>
      <c r="AA48" s="24">
        <f t="shared" si="30"/>
        <v>0</v>
      </c>
      <c r="AB48" s="24">
        <f t="shared" si="30"/>
        <v>0</v>
      </c>
      <c r="AC48" s="14"/>
      <c r="AD48" s="29">
        <f t="shared" si="2"/>
        <v>0</v>
      </c>
      <c r="AE48" s="10" t="s">
        <v>100</v>
      </c>
      <c r="AF48" s="53" t="b">
        <f>(F24=0)</f>
        <v>0</v>
      </c>
    </row>
    <row r="49" spans="14:32" x14ac:dyDescent="0.25">
      <c r="O49" s="14" t="str">
        <f>O25</f>
        <v>Pulver</v>
      </c>
      <c r="P49" s="14" t="s">
        <v>78</v>
      </c>
      <c r="Q49" s="24">
        <f t="shared" ref="Q49:AB49" si="31">IF($AF49,Q25,0)</f>
        <v>0</v>
      </c>
      <c r="R49" s="24">
        <f t="shared" si="31"/>
        <v>0</v>
      </c>
      <c r="S49" s="24">
        <f t="shared" si="31"/>
        <v>0</v>
      </c>
      <c r="T49" s="24">
        <f t="shared" si="31"/>
        <v>0</v>
      </c>
      <c r="U49" s="24">
        <f t="shared" si="31"/>
        <v>0</v>
      </c>
      <c r="V49" s="24">
        <f t="shared" si="31"/>
        <v>0</v>
      </c>
      <c r="W49" s="24">
        <f t="shared" si="31"/>
        <v>0</v>
      </c>
      <c r="X49" s="24">
        <f t="shared" si="31"/>
        <v>0</v>
      </c>
      <c r="Y49" s="24">
        <f t="shared" si="31"/>
        <v>0</v>
      </c>
      <c r="Z49" s="24">
        <f t="shared" si="31"/>
        <v>0</v>
      </c>
      <c r="AA49" s="24">
        <f t="shared" si="31"/>
        <v>0</v>
      </c>
      <c r="AB49" s="24">
        <f t="shared" si="31"/>
        <v>0</v>
      </c>
      <c r="AC49" s="14"/>
      <c r="AD49" s="29">
        <f t="shared" si="2"/>
        <v>0</v>
      </c>
      <c r="AE49" s="10" t="s">
        <v>100</v>
      </c>
      <c r="AF49" s="53" t="b">
        <f>(F25=0)</f>
        <v>0</v>
      </c>
    </row>
    <row r="50" spans="14:32" x14ac:dyDescent="0.25">
      <c r="N50" s="40"/>
      <c r="O50" s="14" t="str">
        <f>O26</f>
        <v>Flis</v>
      </c>
      <c r="P50" s="14" t="s">
        <v>78</v>
      </c>
      <c r="Q50" s="24">
        <f t="shared" ref="Q50:AB50" si="32">IF($AF50,Q26,0)</f>
        <v>0</v>
      </c>
      <c r="R50" s="24">
        <f t="shared" si="32"/>
        <v>0</v>
      </c>
      <c r="S50" s="24">
        <f t="shared" si="32"/>
        <v>0</v>
      </c>
      <c r="T50" s="24">
        <f t="shared" si="32"/>
        <v>0</v>
      </c>
      <c r="U50" s="24">
        <f t="shared" si="32"/>
        <v>0</v>
      </c>
      <c r="V50" s="24">
        <f t="shared" si="32"/>
        <v>0</v>
      </c>
      <c r="W50" s="24">
        <f t="shared" si="32"/>
        <v>0</v>
      </c>
      <c r="X50" s="24">
        <f t="shared" si="32"/>
        <v>0</v>
      </c>
      <c r="Y50" s="24">
        <f t="shared" si="32"/>
        <v>0</v>
      </c>
      <c r="Z50" s="24">
        <f t="shared" si="32"/>
        <v>0</v>
      </c>
      <c r="AA50" s="24">
        <f t="shared" si="32"/>
        <v>0</v>
      </c>
      <c r="AB50" s="24">
        <f t="shared" si="32"/>
        <v>0</v>
      </c>
      <c r="AC50" s="14"/>
      <c r="AD50" s="29">
        <f t="shared" si="2"/>
        <v>0</v>
      </c>
      <c r="AE50" s="10" t="s">
        <v>100</v>
      </c>
      <c r="AF50" s="53" t="b">
        <f>(F26=0)</f>
        <v>0</v>
      </c>
    </row>
    <row r="51" spans="14:32" x14ac:dyDescent="0.25">
      <c r="N51" s="40"/>
      <c r="O51" s="38" t="str">
        <f>O27</f>
        <v>NSvarme</v>
      </c>
      <c r="P51" s="38" t="s">
        <v>78</v>
      </c>
      <c r="Q51" s="39">
        <f t="shared" ref="Q51:AB52" si="33">IF($AF51,Q27,0)</f>
        <v>4000</v>
      </c>
      <c r="R51" s="39">
        <f t="shared" si="33"/>
        <v>0</v>
      </c>
      <c r="S51" s="39">
        <f t="shared" si="33"/>
        <v>0</v>
      </c>
      <c r="T51" s="39">
        <f t="shared" si="33"/>
        <v>0</v>
      </c>
      <c r="U51" s="39">
        <f t="shared" si="33"/>
        <v>0</v>
      </c>
      <c r="V51" s="39">
        <f t="shared" si="33"/>
        <v>0</v>
      </c>
      <c r="W51" s="39">
        <f t="shared" si="33"/>
        <v>0</v>
      </c>
      <c r="X51" s="39">
        <f t="shared" si="33"/>
        <v>0</v>
      </c>
      <c r="Y51" s="39">
        <f t="shared" si="33"/>
        <v>0</v>
      </c>
      <c r="Z51" s="39">
        <f t="shared" si="33"/>
        <v>0</v>
      </c>
      <c r="AA51" s="39">
        <f t="shared" si="33"/>
        <v>1500</v>
      </c>
      <c r="AB51" s="39">
        <f t="shared" si="33"/>
        <v>5600</v>
      </c>
      <c r="AC51" s="38"/>
      <c r="AD51" s="29">
        <f t="shared" si="2"/>
        <v>11100</v>
      </c>
      <c r="AE51" s="2" t="s">
        <v>76</v>
      </c>
      <c r="AF51" s="53" t="b">
        <f>(F27=0)</f>
        <v>1</v>
      </c>
    </row>
    <row r="52" spans="14:32" x14ac:dyDescent="0.25">
      <c r="N52" s="40"/>
      <c r="O52" s="14" t="str">
        <f>O28</f>
        <v>PeakFuel</v>
      </c>
      <c r="P52" s="14" t="s">
        <v>78</v>
      </c>
      <c r="Q52" s="24">
        <f t="shared" si="33"/>
        <v>0</v>
      </c>
      <c r="R52" s="24">
        <f t="shared" si="33"/>
        <v>0</v>
      </c>
      <c r="S52" s="24">
        <f t="shared" si="33"/>
        <v>0</v>
      </c>
      <c r="T52" s="24">
        <f t="shared" si="33"/>
        <v>0</v>
      </c>
      <c r="U52" s="24">
        <f t="shared" si="33"/>
        <v>0</v>
      </c>
      <c r="V52" s="24">
        <f t="shared" si="33"/>
        <v>0</v>
      </c>
      <c r="W52" s="24">
        <f t="shared" si="33"/>
        <v>0</v>
      </c>
      <c r="X52" s="24">
        <f t="shared" si="33"/>
        <v>0</v>
      </c>
      <c r="Y52" s="24">
        <f t="shared" si="33"/>
        <v>0</v>
      </c>
      <c r="Z52" s="24">
        <f t="shared" si="33"/>
        <v>0</v>
      </c>
      <c r="AA52" s="24">
        <f t="shared" si="33"/>
        <v>0</v>
      </c>
      <c r="AB52" s="24">
        <f t="shared" si="33"/>
        <v>0</v>
      </c>
      <c r="AC52" s="14"/>
      <c r="AD52" s="63">
        <f t="shared" ref="AD52" si="34">SUM(Q52:AB52)</f>
        <v>0</v>
      </c>
      <c r="AE52" s="30" t="s">
        <v>76</v>
      </c>
      <c r="AF52" s="53" t="b">
        <f>(F28=0)</f>
        <v>0</v>
      </c>
    </row>
    <row r="53" spans="14:32" x14ac:dyDescent="0.25"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54"/>
      <c r="AF53" s="16"/>
    </row>
  </sheetData>
  <conditionalFormatting sqref="D5:D28">
    <cfRule type="colorScale" priority="9">
      <colorScale>
        <cfvo type="min"/>
        <cfvo type="max"/>
        <color theme="7" tint="0.79998168889431442"/>
        <color theme="9" tint="0.59999389629810485"/>
      </colorScale>
    </cfRule>
  </conditionalFormatting>
  <conditionalFormatting sqref="J7:J28">
    <cfRule type="cellIs" dxfId="2" priority="5" operator="equal">
      <formula>0</formula>
    </cfRule>
  </conditionalFormatting>
  <conditionalFormatting sqref="K5:K2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:G28">
    <cfRule type="cellIs" dxfId="1" priority="2" operator="lessThanOrEqual">
      <formula>0</formula>
    </cfRule>
  </conditionalFormatting>
  <conditionalFormatting sqref="F5:F28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DataU</vt:lpstr>
      <vt:lpstr>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2021-09-26T11:15:14Z</dcterms:modified>
</cp:coreProperties>
</file>