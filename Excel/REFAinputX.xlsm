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Excel\"/>
    </mc:Choice>
  </mc:AlternateContent>
  <xr:revisionPtr revIDLastSave="0" documentId="13_ncr:1_{79C489D5-6BA1-459F-AE53-ADC9EAC5D2F7}" xr6:coauthVersionLast="47" xr6:coauthVersionMax="47" xr10:uidLastSave="{00000000-0000-0000-0000-000000000000}"/>
  <bookViews>
    <workbookView xWindow="1020" yWindow="-120" windowWidth="27900" windowHeight="18240" activeTab="2" xr2:uid="{15369939-A677-4414-B524-DF263B3097DC}"/>
  </bookViews>
  <sheets>
    <sheet name="ModelParms" sheetId="5" r:id="rId1"/>
    <sheet name="DataU" sheetId="2" r:id="rId2"/>
    <sheet name="Fuel" sheetId="1" r:id="rId3"/>
    <sheet name="Model" sheetId="3" r:id="rId4"/>
    <sheet name="ModelOLD" sheetId="4" r:id="rId5"/>
  </sheets>
  <externalReferences>
    <externalReference r:id="rId6"/>
    <externalReference r:id="rId7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ModelParms!$C$6</definedName>
    <definedName name="Nper">[2]Modelkrav!$C$4</definedName>
    <definedName name="NUMBERFACTOR" hidden="1">1</definedName>
    <definedName name="Penalty_QRgkMiss">ModelParms!$C$5</definedName>
    <definedName name="PROTECT" hidden="1">FALSE</definedName>
    <definedName name="QUATERVAT" hidden="1">FALSE</definedName>
    <definedName name="RgkRabatMinShare">ModelParms!$C$7</definedName>
    <definedName name="RgkRabatSats">ModelParms!$C$8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56" i="1" l="1"/>
  <c r="AJ56" i="1"/>
  <c r="T56" i="1" s="1"/>
  <c r="AI56" i="1"/>
  <c r="Z56" i="1" s="1"/>
  <c r="AB56" i="1"/>
  <c r="AA56" i="1"/>
  <c r="Y56" i="1"/>
  <c r="AK55" i="1"/>
  <c r="AJ55" i="1"/>
  <c r="T55" i="1" s="1"/>
  <c r="AI55" i="1"/>
  <c r="AA55" i="1" s="1"/>
  <c r="AC55" i="1"/>
  <c r="AB55" i="1"/>
  <c r="Z55" i="1"/>
  <c r="Y55" i="1"/>
  <c r="U55" i="1"/>
  <c r="AK54" i="1"/>
  <c r="AJ54" i="1"/>
  <c r="T54" i="1" s="1"/>
  <c r="AI54" i="1"/>
  <c r="X54" i="1" s="1"/>
  <c r="AE54" i="1"/>
  <c r="AD54" i="1"/>
  <c r="AC54" i="1"/>
  <c r="AB54" i="1"/>
  <c r="AA54" i="1"/>
  <c r="Z54" i="1"/>
  <c r="Y54" i="1"/>
  <c r="W54" i="1"/>
  <c r="V54" i="1"/>
  <c r="U54" i="1"/>
  <c r="AK53" i="1"/>
  <c r="U53" i="1" s="1"/>
  <c r="AJ53" i="1"/>
  <c r="AI53" i="1"/>
  <c r="AE53" i="1"/>
  <c r="AD53" i="1"/>
  <c r="AC53" i="1"/>
  <c r="AB53" i="1"/>
  <c r="AA53" i="1"/>
  <c r="Z53" i="1"/>
  <c r="Y53" i="1"/>
  <c r="X53" i="1"/>
  <c r="W53" i="1"/>
  <c r="V53" i="1"/>
  <c r="T53" i="1"/>
  <c r="AG53" i="1" s="1"/>
  <c r="AK52" i="1"/>
  <c r="AJ52" i="1"/>
  <c r="AI52" i="1"/>
  <c r="AD52" i="1" s="1"/>
  <c r="AE52" i="1"/>
  <c r="AC52" i="1"/>
  <c r="AB52" i="1"/>
  <c r="Y52" i="1"/>
  <c r="X52" i="1"/>
  <c r="W52" i="1"/>
  <c r="U52" i="1"/>
  <c r="T52" i="1"/>
  <c r="AK51" i="1"/>
  <c r="AJ51" i="1"/>
  <c r="AI51" i="1"/>
  <c r="X51" i="1" s="1"/>
  <c r="Y51" i="1"/>
  <c r="AK50" i="1"/>
  <c r="AJ50" i="1"/>
  <c r="AI50" i="1"/>
  <c r="X50" i="1" s="1"/>
  <c r="Z50" i="1"/>
  <c r="Y50" i="1"/>
  <c r="AK49" i="1"/>
  <c r="AJ49" i="1"/>
  <c r="T49" i="1" s="1"/>
  <c r="AI49" i="1"/>
  <c r="AD49" i="1" s="1"/>
  <c r="AE49" i="1"/>
  <c r="AB49" i="1"/>
  <c r="AA49" i="1"/>
  <c r="Z49" i="1"/>
  <c r="Y49" i="1"/>
  <c r="X49" i="1"/>
  <c r="W49" i="1"/>
  <c r="R49" i="1"/>
  <c r="AK48" i="1"/>
  <c r="AJ48" i="1"/>
  <c r="AI48" i="1"/>
  <c r="Z48" i="1" s="1"/>
  <c r="AB48" i="1"/>
  <c r="AA48" i="1"/>
  <c r="Y48" i="1"/>
  <c r="T48" i="1"/>
  <c r="R48" i="1"/>
  <c r="AK47" i="1"/>
  <c r="AJ47" i="1"/>
  <c r="AI47" i="1"/>
  <c r="AA47" i="1" s="1"/>
  <c r="AC47" i="1"/>
  <c r="AB47" i="1"/>
  <c r="Z47" i="1"/>
  <c r="Y47" i="1"/>
  <c r="U47" i="1"/>
  <c r="T47" i="1"/>
  <c r="AK46" i="1"/>
  <c r="AJ46" i="1"/>
  <c r="T46" i="1" s="1"/>
  <c r="AG46" i="1" s="1"/>
  <c r="AI46" i="1"/>
  <c r="X46" i="1" s="1"/>
  <c r="AE46" i="1"/>
  <c r="AD46" i="1"/>
  <c r="AC46" i="1"/>
  <c r="AB46" i="1"/>
  <c r="AA46" i="1"/>
  <c r="Z46" i="1"/>
  <c r="Y46" i="1"/>
  <c r="W46" i="1"/>
  <c r="V46" i="1"/>
  <c r="U46" i="1"/>
  <c r="AK45" i="1"/>
  <c r="U45" i="1" s="1"/>
  <c r="AJ45" i="1"/>
  <c r="AI45" i="1"/>
  <c r="AE45" i="1"/>
  <c r="AD45" i="1"/>
  <c r="AC45" i="1"/>
  <c r="AB45" i="1"/>
  <c r="AA45" i="1"/>
  <c r="Z45" i="1"/>
  <c r="Y45" i="1"/>
  <c r="X45" i="1"/>
  <c r="W45" i="1"/>
  <c r="V45" i="1"/>
  <c r="T45" i="1"/>
  <c r="AK44" i="1"/>
  <c r="AJ44" i="1"/>
  <c r="AI44" i="1"/>
  <c r="AD44" i="1" s="1"/>
  <c r="AE44" i="1"/>
  <c r="AC44" i="1"/>
  <c r="AB44" i="1"/>
  <c r="Y44" i="1"/>
  <c r="X44" i="1"/>
  <c r="W44" i="1"/>
  <c r="U44" i="1"/>
  <c r="T44" i="1"/>
  <c r="AK43" i="1"/>
  <c r="AJ43" i="1"/>
  <c r="AI43" i="1"/>
  <c r="X43" i="1" s="1"/>
  <c r="AK42" i="1"/>
  <c r="AJ42" i="1"/>
  <c r="AI42" i="1"/>
  <c r="X42" i="1" s="1"/>
  <c r="Z42" i="1"/>
  <c r="Y42" i="1"/>
  <c r="AK41" i="1"/>
  <c r="AJ41" i="1"/>
  <c r="T41" i="1" s="1"/>
  <c r="AI41" i="1"/>
  <c r="AD41" i="1" s="1"/>
  <c r="AE41" i="1"/>
  <c r="AB41" i="1"/>
  <c r="AA41" i="1"/>
  <c r="Z41" i="1"/>
  <c r="Y41" i="1"/>
  <c r="X41" i="1"/>
  <c r="W41" i="1"/>
  <c r="R41" i="1"/>
  <c r="AK40" i="1"/>
  <c r="AJ40" i="1"/>
  <c r="AI40" i="1"/>
  <c r="Z40" i="1" s="1"/>
  <c r="AB40" i="1"/>
  <c r="AA40" i="1"/>
  <c r="Y40" i="1"/>
  <c r="T40" i="1"/>
  <c r="R40" i="1"/>
  <c r="AK39" i="1"/>
  <c r="AJ39" i="1"/>
  <c r="AI39" i="1"/>
  <c r="AA39" i="1" s="1"/>
  <c r="AC39" i="1"/>
  <c r="AB39" i="1"/>
  <c r="Z39" i="1"/>
  <c r="Y39" i="1"/>
  <c r="X39" i="1"/>
  <c r="U39" i="1"/>
  <c r="T39" i="1"/>
  <c r="AK38" i="1"/>
  <c r="AJ38" i="1"/>
  <c r="AI38" i="1"/>
  <c r="X38" i="1" s="1"/>
  <c r="AD38" i="1"/>
  <c r="AC38" i="1"/>
  <c r="AB38" i="1"/>
  <c r="AA38" i="1"/>
  <c r="Z38" i="1"/>
  <c r="Y38" i="1"/>
  <c r="V38" i="1"/>
  <c r="U38" i="1"/>
  <c r="T38" i="1"/>
  <c r="AK37" i="1"/>
  <c r="AJ37" i="1"/>
  <c r="AI37" i="1"/>
  <c r="X37" i="1" s="1"/>
  <c r="AE37" i="1"/>
  <c r="AD37" i="1"/>
  <c r="AC37" i="1"/>
  <c r="AB37" i="1"/>
  <c r="AA37" i="1"/>
  <c r="Z37" i="1"/>
  <c r="Y37" i="1"/>
  <c r="W37" i="1"/>
  <c r="V37" i="1"/>
  <c r="U37" i="1"/>
  <c r="T37" i="1"/>
  <c r="AG37" i="1" s="1"/>
  <c r="AK36" i="1"/>
  <c r="AJ36" i="1"/>
  <c r="AI36" i="1"/>
  <c r="AE36" i="1"/>
  <c r="AD36" i="1"/>
  <c r="AC36" i="1"/>
  <c r="AB36" i="1"/>
  <c r="AA36" i="1"/>
  <c r="Z36" i="1"/>
  <c r="Y36" i="1"/>
  <c r="X36" i="1"/>
  <c r="AG36" i="1" s="1"/>
  <c r="W36" i="1"/>
  <c r="V36" i="1"/>
  <c r="U36" i="1"/>
  <c r="T36" i="1"/>
  <c r="AK35" i="1"/>
  <c r="AJ35" i="1"/>
  <c r="AI35" i="1"/>
  <c r="X35" i="1" s="1"/>
  <c r="AK34" i="1"/>
  <c r="AJ34" i="1"/>
  <c r="AI34" i="1"/>
  <c r="X34" i="1" s="1"/>
  <c r="Z34" i="1"/>
  <c r="Y34" i="1"/>
  <c r="AK33" i="1"/>
  <c r="AJ33" i="1"/>
  <c r="AI33" i="1"/>
  <c r="AE33" i="1" s="1"/>
  <c r="AA33" i="1"/>
  <c r="Z33" i="1"/>
  <c r="Y33" i="1"/>
  <c r="X33" i="1"/>
  <c r="R33" i="1"/>
  <c r="AK32" i="1"/>
  <c r="AJ32" i="1"/>
  <c r="AI32" i="1"/>
  <c r="Z32" i="1" s="1"/>
  <c r="AB32" i="1"/>
  <c r="AA32" i="1"/>
  <c r="Y32" i="1"/>
  <c r="T32" i="1"/>
  <c r="R32" i="1"/>
  <c r="AK31" i="1"/>
  <c r="AJ31" i="1"/>
  <c r="AI31" i="1"/>
  <c r="X31" i="1" s="1"/>
  <c r="AC31" i="1"/>
  <c r="AB31" i="1"/>
  <c r="AA31" i="1"/>
  <c r="Z31" i="1"/>
  <c r="Y31" i="1"/>
  <c r="U31" i="1"/>
  <c r="T31" i="1"/>
  <c r="AG30" i="1"/>
  <c r="R30" i="1"/>
  <c r="R56" i="1" s="1"/>
  <c r="AG29" i="1"/>
  <c r="R29" i="1"/>
  <c r="R55" i="1" s="1"/>
  <c r="AG28" i="1"/>
  <c r="R28" i="1"/>
  <c r="R54" i="1" s="1"/>
  <c r="AE27" i="1"/>
  <c r="AD27" i="1"/>
  <c r="AC27" i="1"/>
  <c r="AB27" i="1"/>
  <c r="AA27" i="1"/>
  <c r="Z27" i="1"/>
  <c r="Y27" i="1"/>
  <c r="X27" i="1"/>
  <c r="AG27" i="1" s="1"/>
  <c r="W27" i="1"/>
  <c r="V27" i="1"/>
  <c r="U27" i="1"/>
  <c r="T27" i="1"/>
  <c r="R27" i="1"/>
  <c r="R53" i="1" s="1"/>
  <c r="AE26" i="1"/>
  <c r="AD26" i="1"/>
  <c r="AC26" i="1"/>
  <c r="AB26" i="1"/>
  <c r="AA26" i="1"/>
  <c r="Z26" i="1"/>
  <c r="Y26" i="1"/>
  <c r="X26" i="1"/>
  <c r="W26" i="1"/>
  <c r="V26" i="1"/>
  <c r="U26" i="1"/>
  <c r="T26" i="1"/>
  <c r="AG26" i="1" s="1"/>
  <c r="R26" i="1"/>
  <c r="R52" i="1" s="1"/>
  <c r="AE25" i="1"/>
  <c r="AD25" i="1"/>
  <c r="AC25" i="1"/>
  <c r="AB25" i="1"/>
  <c r="AA25" i="1"/>
  <c r="Z25" i="1"/>
  <c r="Y25" i="1"/>
  <c r="X25" i="1"/>
  <c r="W25" i="1"/>
  <c r="V25" i="1"/>
  <c r="U25" i="1"/>
  <c r="T25" i="1"/>
  <c r="AG25" i="1" s="1"/>
  <c r="R25" i="1"/>
  <c r="R51" i="1" s="1"/>
  <c r="AE24" i="1"/>
  <c r="AD24" i="1"/>
  <c r="AC24" i="1"/>
  <c r="AB24" i="1"/>
  <c r="AA24" i="1"/>
  <c r="Z24" i="1"/>
  <c r="Y24" i="1"/>
  <c r="X24" i="1"/>
  <c r="AG24" i="1" s="1"/>
  <c r="W24" i="1"/>
  <c r="V24" i="1"/>
  <c r="U24" i="1"/>
  <c r="T24" i="1"/>
  <c r="R24" i="1"/>
  <c r="R50" i="1" s="1"/>
  <c r="AE23" i="1"/>
  <c r="AD23" i="1"/>
  <c r="AC23" i="1"/>
  <c r="AB23" i="1"/>
  <c r="AA23" i="1"/>
  <c r="Z23" i="1"/>
  <c r="Y23" i="1"/>
  <c r="X23" i="1"/>
  <c r="AG23" i="1" s="1"/>
  <c r="W23" i="1"/>
  <c r="V23" i="1"/>
  <c r="U23" i="1"/>
  <c r="T23" i="1"/>
  <c r="R23" i="1"/>
  <c r="AE22" i="1"/>
  <c r="AD22" i="1"/>
  <c r="AC22" i="1"/>
  <c r="AB22" i="1"/>
  <c r="AA22" i="1"/>
  <c r="Z22" i="1"/>
  <c r="Y22" i="1"/>
  <c r="X22" i="1"/>
  <c r="W22" i="1"/>
  <c r="V22" i="1"/>
  <c r="U22" i="1"/>
  <c r="T22" i="1"/>
  <c r="AG22" i="1" s="1"/>
  <c r="R22" i="1"/>
  <c r="AE21" i="1"/>
  <c r="AD21" i="1"/>
  <c r="AC21" i="1"/>
  <c r="AB21" i="1"/>
  <c r="AA21" i="1"/>
  <c r="Z21" i="1"/>
  <c r="Y21" i="1"/>
  <c r="X21" i="1"/>
  <c r="W21" i="1"/>
  <c r="V21" i="1"/>
  <c r="U21" i="1"/>
  <c r="T21" i="1"/>
  <c r="AG21" i="1" s="1"/>
  <c r="R21" i="1"/>
  <c r="R47" i="1" s="1"/>
  <c r="AE20" i="1"/>
  <c r="AD20" i="1"/>
  <c r="AC20" i="1"/>
  <c r="AB20" i="1"/>
  <c r="AA20" i="1"/>
  <c r="Z20" i="1"/>
  <c r="AG20" i="1" s="1"/>
  <c r="Y20" i="1"/>
  <c r="X20" i="1"/>
  <c r="W20" i="1"/>
  <c r="V20" i="1"/>
  <c r="U20" i="1"/>
  <c r="T20" i="1"/>
  <c r="R20" i="1"/>
  <c r="R46" i="1" s="1"/>
  <c r="AE19" i="1"/>
  <c r="AD19" i="1"/>
  <c r="AC19" i="1"/>
  <c r="AB19" i="1"/>
  <c r="AA19" i="1"/>
  <c r="Z19" i="1"/>
  <c r="Y19" i="1"/>
  <c r="X19" i="1"/>
  <c r="AG19" i="1" s="1"/>
  <c r="W19" i="1"/>
  <c r="V19" i="1"/>
  <c r="U19" i="1"/>
  <c r="T19" i="1"/>
  <c r="R19" i="1"/>
  <c r="R45" i="1" s="1"/>
  <c r="AE18" i="1"/>
  <c r="AD18" i="1"/>
  <c r="AC18" i="1"/>
  <c r="AB18" i="1"/>
  <c r="AA18" i="1"/>
  <c r="Z18" i="1"/>
  <c r="Y18" i="1"/>
  <c r="X18" i="1"/>
  <c r="W18" i="1"/>
  <c r="V18" i="1"/>
  <c r="U18" i="1"/>
  <c r="T18" i="1"/>
  <c r="AG18" i="1" s="1"/>
  <c r="R18" i="1"/>
  <c r="R44" i="1" s="1"/>
  <c r="AE17" i="1"/>
  <c r="AD17" i="1"/>
  <c r="AC17" i="1"/>
  <c r="AB17" i="1"/>
  <c r="AA17" i="1"/>
  <c r="Z17" i="1"/>
  <c r="Y17" i="1"/>
  <c r="X17" i="1"/>
  <c r="W17" i="1"/>
  <c r="V17" i="1"/>
  <c r="U17" i="1"/>
  <c r="T17" i="1"/>
  <c r="AG17" i="1" s="1"/>
  <c r="R17" i="1"/>
  <c r="R43" i="1" s="1"/>
  <c r="AE16" i="1"/>
  <c r="AD16" i="1"/>
  <c r="AC16" i="1"/>
  <c r="AB16" i="1"/>
  <c r="AA16" i="1"/>
  <c r="Z16" i="1"/>
  <c r="Y16" i="1"/>
  <c r="X16" i="1"/>
  <c r="AG16" i="1" s="1"/>
  <c r="W16" i="1"/>
  <c r="V16" i="1"/>
  <c r="U16" i="1"/>
  <c r="T16" i="1"/>
  <c r="R16" i="1"/>
  <c r="R42" i="1" s="1"/>
  <c r="AE15" i="1"/>
  <c r="AD15" i="1"/>
  <c r="AC15" i="1"/>
  <c r="AB15" i="1"/>
  <c r="AA15" i="1"/>
  <c r="Z15" i="1"/>
  <c r="Y15" i="1"/>
  <c r="X15" i="1"/>
  <c r="AG15" i="1" s="1"/>
  <c r="W15" i="1"/>
  <c r="V15" i="1"/>
  <c r="U15" i="1"/>
  <c r="T15" i="1"/>
  <c r="R15" i="1"/>
  <c r="AE14" i="1"/>
  <c r="AD14" i="1"/>
  <c r="AC14" i="1"/>
  <c r="AB14" i="1"/>
  <c r="AA14" i="1"/>
  <c r="Z14" i="1"/>
  <c r="Y14" i="1"/>
  <c r="X14" i="1"/>
  <c r="W14" i="1"/>
  <c r="V14" i="1"/>
  <c r="U14" i="1"/>
  <c r="T14" i="1"/>
  <c r="AG14" i="1" s="1"/>
  <c r="R14" i="1"/>
  <c r="AE13" i="1"/>
  <c r="AD13" i="1"/>
  <c r="AC13" i="1"/>
  <c r="AB13" i="1"/>
  <c r="AA13" i="1"/>
  <c r="Z13" i="1"/>
  <c r="Y13" i="1"/>
  <c r="X13" i="1"/>
  <c r="W13" i="1"/>
  <c r="V13" i="1"/>
  <c r="U13" i="1"/>
  <c r="T13" i="1"/>
  <c r="AG13" i="1" s="1"/>
  <c r="R13" i="1"/>
  <c r="R39" i="1" s="1"/>
  <c r="AE12" i="1"/>
  <c r="AD12" i="1"/>
  <c r="AC12" i="1"/>
  <c r="AB12" i="1"/>
  <c r="AA12" i="1"/>
  <c r="Z12" i="1"/>
  <c r="Y12" i="1"/>
  <c r="X12" i="1"/>
  <c r="AG12" i="1" s="1"/>
  <c r="W12" i="1"/>
  <c r="V12" i="1"/>
  <c r="U12" i="1"/>
  <c r="T12" i="1"/>
  <c r="R12" i="1"/>
  <c r="R38" i="1" s="1"/>
  <c r="AE11" i="1"/>
  <c r="AD11" i="1"/>
  <c r="AC11" i="1"/>
  <c r="AB11" i="1"/>
  <c r="AA11" i="1"/>
  <c r="Z11" i="1"/>
  <c r="Y11" i="1"/>
  <c r="X11" i="1"/>
  <c r="AG11" i="1" s="1"/>
  <c r="W11" i="1"/>
  <c r="V11" i="1"/>
  <c r="U11" i="1"/>
  <c r="T11" i="1"/>
  <c r="R11" i="1"/>
  <c r="R37" i="1" s="1"/>
  <c r="AE10" i="1"/>
  <c r="AD10" i="1"/>
  <c r="AC10" i="1"/>
  <c r="AB10" i="1"/>
  <c r="AA10" i="1"/>
  <c r="Z10" i="1"/>
  <c r="Y10" i="1"/>
  <c r="X10" i="1"/>
  <c r="W10" i="1"/>
  <c r="V10" i="1"/>
  <c r="U10" i="1"/>
  <c r="T10" i="1"/>
  <c r="AG10" i="1" s="1"/>
  <c r="R10" i="1"/>
  <c r="R36" i="1" s="1"/>
  <c r="AE9" i="1"/>
  <c r="AD9" i="1"/>
  <c r="AC9" i="1"/>
  <c r="AB9" i="1"/>
  <c r="AA9" i="1"/>
  <c r="Z9" i="1"/>
  <c r="Y9" i="1"/>
  <c r="X9" i="1"/>
  <c r="W9" i="1"/>
  <c r="V9" i="1"/>
  <c r="U9" i="1"/>
  <c r="T9" i="1"/>
  <c r="AG9" i="1" s="1"/>
  <c r="R9" i="1"/>
  <c r="R35" i="1" s="1"/>
  <c r="AE8" i="1"/>
  <c r="AD8" i="1"/>
  <c r="AC8" i="1"/>
  <c r="AB8" i="1"/>
  <c r="AA8" i="1"/>
  <c r="Z8" i="1"/>
  <c r="Y8" i="1"/>
  <c r="X8" i="1"/>
  <c r="AG8" i="1" s="1"/>
  <c r="W8" i="1"/>
  <c r="V8" i="1"/>
  <c r="U8" i="1"/>
  <c r="T8" i="1"/>
  <c r="R8" i="1"/>
  <c r="R34" i="1" s="1"/>
  <c r="AE7" i="1"/>
  <c r="AD7" i="1"/>
  <c r="AC7" i="1"/>
  <c r="AB7" i="1"/>
  <c r="AA7" i="1"/>
  <c r="Z7" i="1"/>
  <c r="Y7" i="1"/>
  <c r="X7" i="1"/>
  <c r="AG7" i="1" s="1"/>
  <c r="W7" i="1"/>
  <c r="V7" i="1"/>
  <c r="U7" i="1"/>
  <c r="T7" i="1"/>
  <c r="R7" i="1"/>
  <c r="AE6" i="1"/>
  <c r="AD6" i="1"/>
  <c r="AC6" i="1"/>
  <c r="AB6" i="1"/>
  <c r="AA6" i="1"/>
  <c r="Z6" i="1"/>
  <c r="Y6" i="1"/>
  <c r="X6" i="1"/>
  <c r="W6" i="1"/>
  <c r="V6" i="1"/>
  <c r="U6" i="1"/>
  <c r="T6" i="1"/>
  <c r="AG6" i="1" s="1"/>
  <c r="R6" i="1"/>
  <c r="AE5" i="1"/>
  <c r="AD5" i="1"/>
  <c r="AC5" i="1"/>
  <c r="AB5" i="1"/>
  <c r="AA5" i="1"/>
  <c r="Z5" i="1"/>
  <c r="Y5" i="1"/>
  <c r="X5" i="1"/>
  <c r="W5" i="1"/>
  <c r="V5" i="1"/>
  <c r="U5" i="1"/>
  <c r="T5" i="1"/>
  <c r="AG5" i="1" s="1"/>
  <c r="R5" i="1"/>
  <c r="R31" i="1" s="1"/>
  <c r="O30" i="1"/>
  <c r="N30" i="1"/>
  <c r="M30" i="1"/>
  <c r="O29" i="1"/>
  <c r="N29" i="1"/>
  <c r="O28" i="1"/>
  <c r="K28" i="1"/>
  <c r="N28" i="1" s="1"/>
  <c r="O27" i="1"/>
  <c r="N27" i="1"/>
  <c r="M27" i="1"/>
  <c r="I27" i="1"/>
  <c r="O26" i="1"/>
  <c r="N26" i="1"/>
  <c r="M26" i="1"/>
  <c r="I26" i="1"/>
  <c r="O25" i="1"/>
  <c r="N25" i="1"/>
  <c r="I25" i="1"/>
  <c r="D25" i="1"/>
  <c r="O24" i="1"/>
  <c r="N24" i="1"/>
  <c r="I24" i="1"/>
  <c r="D24" i="1"/>
  <c r="C33" i="3" s="1"/>
  <c r="O23" i="1"/>
  <c r="N23" i="1"/>
  <c r="I23" i="1"/>
  <c r="D23" i="1"/>
  <c r="O22" i="1"/>
  <c r="N22" i="1"/>
  <c r="I22" i="1"/>
  <c r="O21" i="1"/>
  <c r="N21" i="1"/>
  <c r="I21" i="1"/>
  <c r="D21" i="1"/>
  <c r="O20" i="1"/>
  <c r="N20" i="1"/>
  <c r="M20" i="1"/>
  <c r="I20" i="1"/>
  <c r="D20" i="1"/>
  <c r="C50" i="3" s="1"/>
  <c r="O19" i="1"/>
  <c r="N19" i="1"/>
  <c r="M19" i="1"/>
  <c r="I19" i="1"/>
  <c r="O18" i="1"/>
  <c r="N18" i="1"/>
  <c r="M18" i="1"/>
  <c r="I18" i="1"/>
  <c r="D18" i="1"/>
  <c r="C17" i="4" s="1"/>
  <c r="O17" i="1"/>
  <c r="N17" i="1"/>
  <c r="M17" i="1"/>
  <c r="I17" i="1"/>
  <c r="D17" i="1"/>
  <c r="O16" i="1"/>
  <c r="N16" i="1"/>
  <c r="M16" i="1"/>
  <c r="I16" i="1"/>
  <c r="D16" i="1"/>
  <c r="O15" i="1"/>
  <c r="N15" i="1"/>
  <c r="M15" i="1"/>
  <c r="I15" i="1"/>
  <c r="O14" i="1"/>
  <c r="N14" i="1"/>
  <c r="M14" i="1"/>
  <c r="I14" i="1"/>
  <c r="D14" i="1"/>
  <c r="O13" i="1"/>
  <c r="N13" i="1"/>
  <c r="M13" i="1"/>
  <c r="I13" i="1"/>
  <c r="D13" i="1"/>
  <c r="C43" i="3" s="1"/>
  <c r="O12" i="1"/>
  <c r="N12" i="1"/>
  <c r="M12" i="1"/>
  <c r="I12" i="1"/>
  <c r="D12" i="1"/>
  <c r="O11" i="1"/>
  <c r="N11" i="1"/>
  <c r="M11" i="1"/>
  <c r="I11" i="1"/>
  <c r="D11" i="1"/>
  <c r="O10" i="1"/>
  <c r="N10" i="1"/>
  <c r="M10" i="1"/>
  <c r="I10" i="1"/>
  <c r="D10" i="1"/>
  <c r="C9" i="4" s="1"/>
  <c r="O9" i="1"/>
  <c r="N9" i="1"/>
  <c r="M9" i="1"/>
  <c r="I9" i="1"/>
  <c r="D9" i="1"/>
  <c r="C39" i="3" s="1"/>
  <c r="O8" i="1"/>
  <c r="N8" i="1"/>
  <c r="M8" i="1"/>
  <c r="I8" i="1"/>
  <c r="D8" i="1"/>
  <c r="C17" i="3" s="1"/>
  <c r="O7" i="1"/>
  <c r="N7" i="1"/>
  <c r="M7" i="1"/>
  <c r="I7" i="1"/>
  <c r="D7" i="1"/>
  <c r="C16" i="3" s="1"/>
  <c r="O6" i="1"/>
  <c r="O31" i="1" s="1"/>
  <c r="N6" i="1"/>
  <c r="M6" i="1"/>
  <c r="I6" i="1"/>
  <c r="D6" i="1"/>
  <c r="O5" i="1"/>
  <c r="N5" i="1"/>
  <c r="M5" i="1"/>
  <c r="I5" i="1"/>
  <c r="D122" i="3"/>
  <c r="C7" i="4"/>
  <c r="F6" i="2"/>
  <c r="F5" i="2"/>
  <c r="D124" i="3"/>
  <c r="D92" i="3"/>
  <c r="D88" i="3"/>
  <c r="F89" i="3" s="1"/>
  <c r="D89" i="3"/>
  <c r="D87" i="3"/>
  <c r="E2" i="3"/>
  <c r="D112" i="3" a="1"/>
  <c r="D112" i="3" s="1"/>
  <c r="G96" i="3"/>
  <c r="F96" i="3"/>
  <c r="D109" i="3" a="1"/>
  <c r="D109" i="3" s="1"/>
  <c r="D105" i="3"/>
  <c r="D104" i="3"/>
  <c r="B119" i="3" a="1"/>
  <c r="B119" i="3" s="1"/>
  <c r="B126" i="3" a="1"/>
  <c r="B126" i="3" s="1"/>
  <c r="I6" i="2"/>
  <c r="I7" i="2"/>
  <c r="I8" i="2"/>
  <c r="I9" i="2"/>
  <c r="I10" i="2"/>
  <c r="I5" i="2"/>
  <c r="C6" i="5"/>
  <c r="D121" i="3"/>
  <c r="D123" i="3"/>
  <c r="A6" i="3" a="1"/>
  <c r="A6" i="3" s="1"/>
  <c r="J32" i="2"/>
  <c r="C31" i="2" a="1"/>
  <c r="C31" i="2" s="1"/>
  <c r="B6" i="3" a="1"/>
  <c r="B6" i="3" s="1"/>
  <c r="D13" i="3"/>
  <c r="F186" i="3"/>
  <c r="D186" i="3"/>
  <c r="D187" i="3"/>
  <c r="D185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64" i="3"/>
  <c r="D71" i="3" a="1"/>
  <c r="D71" i="3" s="1"/>
  <c r="D161" i="3"/>
  <c r="D162" i="3"/>
  <c r="D160" i="3"/>
  <c r="D15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39" i="3"/>
  <c r="C56" i="3"/>
  <c r="C57" i="3"/>
  <c r="C58" i="3"/>
  <c r="C36" i="3"/>
  <c r="C41" i="3"/>
  <c r="C42" i="3"/>
  <c r="C44" i="3"/>
  <c r="C45" i="3"/>
  <c r="C46" i="3"/>
  <c r="C47" i="3"/>
  <c r="C49" i="3"/>
  <c r="C51" i="3"/>
  <c r="C52" i="3"/>
  <c r="C53" i="3"/>
  <c r="C54" i="3"/>
  <c r="C55" i="3"/>
  <c r="C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35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14" i="3"/>
  <c r="B56" i="3"/>
  <c r="B57" i="3"/>
  <c r="B58" i="3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B17" i="4"/>
  <c r="C16" i="4"/>
  <c r="B16" i="4"/>
  <c r="C15" i="4"/>
  <c r="B15" i="4"/>
  <c r="C14" i="4"/>
  <c r="B14" i="4"/>
  <c r="C13" i="4"/>
  <c r="B13" i="4"/>
  <c r="B12" i="4"/>
  <c r="C11" i="4"/>
  <c r="B11" i="4"/>
  <c r="C10" i="4"/>
  <c r="B10" i="4"/>
  <c r="B9" i="4"/>
  <c r="B8" i="4"/>
  <c r="B7" i="4"/>
  <c r="C6" i="4"/>
  <c r="B6" i="4"/>
  <c r="C5" i="4"/>
  <c r="B5" i="4"/>
  <c r="C4" i="4"/>
  <c r="B4" i="4"/>
  <c r="C15" i="3"/>
  <c r="C18" i="3"/>
  <c r="C19" i="3"/>
  <c r="C20" i="3"/>
  <c r="C21" i="3"/>
  <c r="C23" i="3"/>
  <c r="C24" i="3"/>
  <c r="C25" i="3"/>
  <c r="C26" i="3"/>
  <c r="C28" i="3"/>
  <c r="C29" i="3"/>
  <c r="C30" i="3"/>
  <c r="C31" i="3"/>
  <c r="C32" i="3"/>
  <c r="C34" i="3"/>
  <c r="C14" i="3"/>
  <c r="F162" i="3"/>
  <c r="F187" i="3"/>
  <c r="D84" i="3"/>
  <c r="AG54" i="1" l="1"/>
  <c r="AG49" i="1"/>
  <c r="AG45" i="1"/>
  <c r="AG41" i="1"/>
  <c r="Y35" i="1"/>
  <c r="Y43" i="1"/>
  <c r="V31" i="1"/>
  <c r="AD31" i="1"/>
  <c r="U32" i="1"/>
  <c r="AG32" i="1" s="1"/>
  <c r="AC32" i="1"/>
  <c r="T33" i="1"/>
  <c r="AG33" i="1" s="1"/>
  <c r="AB33" i="1"/>
  <c r="AA34" i="1"/>
  <c r="Z35" i="1"/>
  <c r="W38" i="1"/>
  <c r="AG38" i="1" s="1"/>
  <c r="AE38" i="1"/>
  <c r="V39" i="1"/>
  <c r="AG39" i="1" s="1"/>
  <c r="AD39" i="1"/>
  <c r="U40" i="1"/>
  <c r="AG40" i="1" s="1"/>
  <c r="AC40" i="1"/>
  <c r="AA42" i="1"/>
  <c r="Z43" i="1"/>
  <c r="V47" i="1"/>
  <c r="AG47" i="1" s="1"/>
  <c r="AD47" i="1"/>
  <c r="U48" i="1"/>
  <c r="AG48" i="1" s="1"/>
  <c r="AC48" i="1"/>
  <c r="AA50" i="1"/>
  <c r="Z51" i="1"/>
  <c r="V55" i="1"/>
  <c r="AD55" i="1"/>
  <c r="U56" i="1"/>
  <c r="AC56" i="1"/>
  <c r="W31" i="1"/>
  <c r="AG31" i="1" s="1"/>
  <c r="AE31" i="1"/>
  <c r="V32" i="1"/>
  <c r="AD32" i="1"/>
  <c r="U33" i="1"/>
  <c r="AC33" i="1"/>
  <c r="T34" i="1"/>
  <c r="AB34" i="1"/>
  <c r="AA35" i="1"/>
  <c r="W39" i="1"/>
  <c r="AE39" i="1"/>
  <c r="V40" i="1"/>
  <c r="AD40" i="1"/>
  <c r="U41" i="1"/>
  <c r="AC41" i="1"/>
  <c r="T42" i="1"/>
  <c r="AB42" i="1"/>
  <c r="AA43" i="1"/>
  <c r="Z44" i="1"/>
  <c r="W47" i="1"/>
  <c r="AE47" i="1"/>
  <c r="V48" i="1"/>
  <c r="AD48" i="1"/>
  <c r="U49" i="1"/>
  <c r="AC49" i="1"/>
  <c r="T50" i="1"/>
  <c r="AB50" i="1"/>
  <c r="AA51" i="1"/>
  <c r="Z52" i="1"/>
  <c r="W55" i="1"/>
  <c r="AE55" i="1"/>
  <c r="V56" i="1"/>
  <c r="AD56" i="1"/>
  <c r="W32" i="1"/>
  <c r="AE32" i="1"/>
  <c r="V33" i="1"/>
  <c r="AD33" i="1"/>
  <c r="U34" i="1"/>
  <c r="AC34" i="1"/>
  <c r="T35" i="1"/>
  <c r="AB35" i="1"/>
  <c r="W40" i="1"/>
  <c r="AE40" i="1"/>
  <c r="V41" i="1"/>
  <c r="U42" i="1"/>
  <c r="AC42" i="1"/>
  <c r="T43" i="1"/>
  <c r="AB43" i="1"/>
  <c r="AA44" i="1"/>
  <c r="X47" i="1"/>
  <c r="W48" i="1"/>
  <c r="AE48" i="1"/>
  <c r="V49" i="1"/>
  <c r="U50" i="1"/>
  <c r="AC50" i="1"/>
  <c r="T51" i="1"/>
  <c r="AB51" i="1"/>
  <c r="AA52" i="1"/>
  <c r="X55" i="1"/>
  <c r="W56" i="1"/>
  <c r="AG56" i="1" s="1"/>
  <c r="AE56" i="1"/>
  <c r="X32" i="1"/>
  <c r="W33" i="1"/>
  <c r="V34" i="1"/>
  <c r="AD34" i="1"/>
  <c r="U35" i="1"/>
  <c r="AC35" i="1"/>
  <c r="X40" i="1"/>
  <c r="V42" i="1"/>
  <c r="AD42" i="1"/>
  <c r="U43" i="1"/>
  <c r="AC43" i="1"/>
  <c r="X48" i="1"/>
  <c r="V50" i="1"/>
  <c r="AD50" i="1"/>
  <c r="U51" i="1"/>
  <c r="AC51" i="1"/>
  <c r="X56" i="1"/>
  <c r="W34" i="1"/>
  <c r="AE34" i="1"/>
  <c r="V35" i="1"/>
  <c r="AD35" i="1"/>
  <c r="W42" i="1"/>
  <c r="AE42" i="1"/>
  <c r="V43" i="1"/>
  <c r="AD43" i="1"/>
  <c r="W50" i="1"/>
  <c r="AE50" i="1"/>
  <c r="V51" i="1"/>
  <c r="AD51" i="1"/>
  <c r="W35" i="1"/>
  <c r="AE35" i="1"/>
  <c r="W43" i="1"/>
  <c r="AE43" i="1"/>
  <c r="V44" i="1"/>
  <c r="W51" i="1"/>
  <c r="AE51" i="1"/>
  <c r="V52" i="1"/>
  <c r="AG52" i="1" s="1"/>
  <c r="C8" i="4"/>
  <c r="C40" i="3"/>
  <c r="C48" i="3"/>
  <c r="C22" i="3"/>
  <c r="C37" i="3"/>
  <c r="C38" i="3"/>
  <c r="C12" i="4"/>
  <c r="C27" i="3"/>
  <c r="D102" i="3"/>
  <c r="D116" i="3" s="1"/>
  <c r="D106" i="3"/>
  <c r="D107" i="3"/>
  <c r="B162" i="3"/>
  <c r="D101" i="3"/>
  <c r="D115" i="3" s="1"/>
  <c r="B187" i="3"/>
  <c r="F140" i="3"/>
  <c r="F149" i="3"/>
  <c r="F141" i="3"/>
  <c r="F159" i="3"/>
  <c r="F161" i="3"/>
  <c r="F156" i="3"/>
  <c r="F155" i="3"/>
  <c r="F139" i="3"/>
  <c r="S38" i="2"/>
  <c r="S39" i="2"/>
  <c r="X31" i="2"/>
  <c r="S31" i="2"/>
  <c r="T31" i="2"/>
  <c r="U31" i="2"/>
  <c r="V31" i="2"/>
  <c r="W31" i="2"/>
  <c r="R32" i="2"/>
  <c r="R33" i="2"/>
  <c r="R34" i="2"/>
  <c r="R35" i="2"/>
  <c r="R36" i="2"/>
  <c r="R37" i="2"/>
  <c r="R38" i="2"/>
  <c r="R39" i="2"/>
  <c r="R40" i="2"/>
  <c r="R41" i="2"/>
  <c r="R42" i="2"/>
  <c r="R43" i="2"/>
  <c r="AG55" i="1" l="1"/>
  <c r="AG50" i="1"/>
  <c r="AG44" i="1"/>
  <c r="AG43" i="1"/>
  <c r="AG34" i="1"/>
  <c r="AG51" i="1"/>
  <c r="AG35" i="1"/>
  <c r="AG42" i="1"/>
  <c r="D98" i="3" a="1"/>
  <c r="D98" i="3" s="1"/>
  <c r="D119" i="3" s="1"/>
  <c r="D28" i="2"/>
  <c r="E28" i="2"/>
  <c r="C28" i="2"/>
  <c r="F33" i="2"/>
  <c r="X33" i="2" s="1"/>
  <c r="F34" i="2"/>
  <c r="X34" i="2" s="1"/>
  <c r="F35" i="2"/>
  <c r="X35" i="2" s="1"/>
  <c r="F36" i="2"/>
  <c r="X36" i="2" s="1"/>
  <c r="F37" i="2"/>
  <c r="X37" i="2" s="1"/>
  <c r="F38" i="2"/>
  <c r="X38" i="2" s="1"/>
  <c r="F39" i="2"/>
  <c r="X39" i="2" s="1"/>
  <c r="F40" i="2"/>
  <c r="X40" i="2" s="1"/>
  <c r="F41" i="2"/>
  <c r="X41" i="2" s="1"/>
  <c r="F42" i="2"/>
  <c r="X42" i="2" s="1"/>
  <c r="F43" i="2"/>
  <c r="F32" i="2"/>
  <c r="K8" i="2"/>
  <c r="K10" i="2"/>
  <c r="K9" i="2"/>
  <c r="K7" i="2"/>
  <c r="K6" i="2"/>
  <c r="K5" i="2"/>
  <c r="F185" i="3" l="1"/>
  <c r="B161" i="3"/>
  <c r="B186" i="3"/>
  <c r="D120" i="3"/>
  <c r="D83" i="3" s="1"/>
  <c r="B160" i="3"/>
  <c r="B185" i="3"/>
  <c r="X32" i="2"/>
  <c r="D9" i="3"/>
  <c r="X43" i="2"/>
  <c r="J33" i="2"/>
  <c r="W33" i="2"/>
  <c r="W42" i="2"/>
  <c r="W35" i="2"/>
  <c r="F17" i="2"/>
  <c r="F18" i="2"/>
  <c r="F19" i="2"/>
  <c r="F20" i="2"/>
  <c r="F21" i="2"/>
  <c r="F22" i="2"/>
  <c r="F23" i="2"/>
  <c r="F24" i="2"/>
  <c r="F25" i="2"/>
  <c r="D85" i="3" s="1"/>
  <c r="F26" i="2"/>
  <c r="F27" i="2"/>
  <c r="F16" i="2"/>
  <c r="H43" i="2"/>
  <c r="W43" i="2" s="1"/>
  <c r="H42" i="2"/>
  <c r="H41" i="2"/>
  <c r="W41" i="2" s="1"/>
  <c r="H40" i="2"/>
  <c r="W40" i="2" s="1"/>
  <c r="H39" i="2"/>
  <c r="W39" i="2" s="1"/>
  <c r="H38" i="2"/>
  <c r="W38" i="2" s="1"/>
  <c r="H37" i="2"/>
  <c r="W37" i="2" s="1"/>
  <c r="H36" i="2"/>
  <c r="W36" i="2" s="1"/>
  <c r="H35" i="2"/>
  <c r="H34" i="2"/>
  <c r="W34" i="2" s="1"/>
  <c r="H33" i="2"/>
  <c r="H32" i="2"/>
  <c r="C33" i="2"/>
  <c r="S33" i="2" s="1"/>
  <c r="D33" i="2"/>
  <c r="T33" i="2" s="1"/>
  <c r="E33" i="2"/>
  <c r="U33" i="2" s="1"/>
  <c r="G33" i="2"/>
  <c r="V33" i="2" s="1"/>
  <c r="C34" i="2"/>
  <c r="S34" i="2" s="1"/>
  <c r="D34" i="2"/>
  <c r="T34" i="2" s="1"/>
  <c r="E34" i="2"/>
  <c r="U34" i="2" s="1"/>
  <c r="G34" i="2"/>
  <c r="V34" i="2" s="1"/>
  <c r="C35" i="2"/>
  <c r="S35" i="2" s="1"/>
  <c r="D35" i="2"/>
  <c r="T35" i="2" s="1"/>
  <c r="E35" i="2"/>
  <c r="U35" i="2" s="1"/>
  <c r="G35" i="2"/>
  <c r="V35" i="2" s="1"/>
  <c r="C36" i="2"/>
  <c r="S36" i="2" s="1"/>
  <c r="D36" i="2"/>
  <c r="T36" i="2" s="1"/>
  <c r="E36" i="2"/>
  <c r="U36" i="2" s="1"/>
  <c r="G36" i="2"/>
  <c r="V36" i="2" s="1"/>
  <c r="C37" i="2"/>
  <c r="S37" i="2" s="1"/>
  <c r="D37" i="2"/>
  <c r="T37" i="2" s="1"/>
  <c r="E37" i="2"/>
  <c r="U37" i="2" s="1"/>
  <c r="G37" i="2"/>
  <c r="V37" i="2" s="1"/>
  <c r="D38" i="2"/>
  <c r="T38" i="2" s="1"/>
  <c r="E38" i="2"/>
  <c r="U38" i="2" s="1"/>
  <c r="G38" i="2"/>
  <c r="V38" i="2" s="1"/>
  <c r="D39" i="2"/>
  <c r="T39" i="2" s="1"/>
  <c r="E39" i="2"/>
  <c r="U39" i="2" s="1"/>
  <c r="G39" i="2"/>
  <c r="V39" i="2" s="1"/>
  <c r="C40" i="2"/>
  <c r="S40" i="2" s="1"/>
  <c r="D40" i="2"/>
  <c r="T40" i="2" s="1"/>
  <c r="E40" i="2"/>
  <c r="U40" i="2" s="1"/>
  <c r="G40" i="2"/>
  <c r="V40" i="2" s="1"/>
  <c r="C41" i="2"/>
  <c r="S41" i="2" s="1"/>
  <c r="D41" i="2"/>
  <c r="T41" i="2" s="1"/>
  <c r="E41" i="2"/>
  <c r="U41" i="2" s="1"/>
  <c r="G41" i="2"/>
  <c r="V41" i="2" s="1"/>
  <c r="C42" i="2"/>
  <c r="S42" i="2" s="1"/>
  <c r="D42" i="2"/>
  <c r="T42" i="2" s="1"/>
  <c r="E42" i="2"/>
  <c r="U42" i="2" s="1"/>
  <c r="G42" i="2"/>
  <c r="V42" i="2" s="1"/>
  <c r="C43" i="2"/>
  <c r="S43" i="2" s="1"/>
  <c r="D43" i="2"/>
  <c r="T43" i="2" s="1"/>
  <c r="E43" i="2"/>
  <c r="G43" i="2"/>
  <c r="V43" i="2" s="1"/>
  <c r="D32" i="2"/>
  <c r="E32" i="2"/>
  <c r="G32" i="2"/>
  <c r="C32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84" i="3"/>
  <c r="F181" i="3"/>
  <c r="F180" i="3"/>
  <c r="F174" i="3"/>
  <c r="F166" i="3"/>
  <c r="F165" i="3"/>
  <c r="F164" i="3"/>
  <c r="D126" i="3" l="1" a="1"/>
  <c r="D126" i="3" s="1"/>
  <c r="F169" i="3"/>
  <c r="F144" i="3"/>
  <c r="F179" i="3"/>
  <c r="F154" i="3"/>
  <c r="F168" i="3"/>
  <c r="F143" i="3"/>
  <c r="F176" i="3"/>
  <c r="F151" i="3"/>
  <c r="F178" i="3"/>
  <c r="F153" i="3"/>
  <c r="D86" i="3"/>
  <c r="F87" i="3" s="1"/>
  <c r="F160" i="3"/>
  <c r="F183" i="3"/>
  <c r="F158" i="3"/>
  <c r="F177" i="3"/>
  <c r="F152" i="3"/>
  <c r="F182" i="3"/>
  <c r="F157" i="3"/>
  <c r="F133" i="3"/>
  <c r="F134" i="3"/>
  <c r="B146" i="3"/>
  <c r="B171" i="3"/>
  <c r="B154" i="3"/>
  <c r="B179" i="3"/>
  <c r="B168" i="3"/>
  <c r="B143" i="3"/>
  <c r="F146" i="3"/>
  <c r="F171" i="3"/>
  <c r="B176" i="3"/>
  <c r="B151" i="3"/>
  <c r="B184" i="3"/>
  <c r="B159" i="3"/>
  <c r="B153" i="3"/>
  <c r="B178" i="3"/>
  <c r="B181" i="3"/>
  <c r="B156" i="3"/>
  <c r="B175" i="3"/>
  <c r="B150" i="3"/>
  <c r="B158" i="3"/>
  <c r="B183" i="3"/>
  <c r="B173" i="3"/>
  <c r="B148" i="3"/>
  <c r="F145" i="3"/>
  <c r="F170" i="3"/>
  <c r="B139" i="3"/>
  <c r="B164" i="3"/>
  <c r="F142" i="3"/>
  <c r="F167" i="3"/>
  <c r="B172" i="3"/>
  <c r="B147" i="3"/>
  <c r="F150" i="3"/>
  <c r="F175" i="3"/>
  <c r="B180" i="3"/>
  <c r="B155" i="3"/>
  <c r="F148" i="3"/>
  <c r="F173" i="3"/>
  <c r="B144" i="3"/>
  <c r="B169" i="3"/>
  <c r="F147" i="3"/>
  <c r="F172" i="3"/>
  <c r="B177" i="3"/>
  <c r="B152" i="3"/>
  <c r="B165" i="3"/>
  <c r="B140" i="3"/>
  <c r="B145" i="3"/>
  <c r="B170" i="3"/>
  <c r="B142" i="3"/>
  <c r="B167" i="3"/>
  <c r="B166" i="3"/>
  <c r="B141" i="3"/>
  <c r="B174" i="3"/>
  <c r="B149" i="3"/>
  <c r="B182" i="3"/>
  <c r="B157" i="3"/>
  <c r="X44" i="2"/>
  <c r="X45" i="2" s="1"/>
  <c r="U43" i="2"/>
  <c r="D96" i="3"/>
  <c r="V32" i="2"/>
  <c r="V44" i="2" s="1"/>
  <c r="V45" i="2" s="1"/>
  <c r="D10" i="3"/>
  <c r="U32" i="2"/>
  <c r="U44" i="2" s="1"/>
  <c r="U45" i="2" s="1"/>
  <c r="D8" i="3"/>
  <c r="T32" i="2"/>
  <c r="T44" i="2" s="1"/>
  <c r="T45" i="2" s="1"/>
  <c r="D7" i="3"/>
  <c r="W32" i="2"/>
  <c r="W44" i="2" s="1"/>
  <c r="W45" i="2" s="1"/>
  <c r="D11" i="3"/>
  <c r="S32" i="2"/>
  <c r="S44" i="2" s="1"/>
  <c r="S45" i="2" s="1"/>
  <c r="D6" i="3"/>
  <c r="F28" i="2"/>
  <c r="D90" i="3" l="1"/>
  <c r="F93" i="3" s="1"/>
  <c r="F126" i="3" a="1"/>
  <c r="F126" i="3" s="1"/>
  <c r="E133" i="3" a="1"/>
  <c r="E133" i="3" s="1"/>
  <c r="D133" i="3" s="1"/>
  <c r="D94" i="3" l="1"/>
  <c r="D91" i="3"/>
  <c r="F92" i="3" s="1"/>
  <c r="D134" i="3"/>
  <c r="F115" i="3" s="1" a="1"/>
  <c r="F115" i="3" s="1"/>
  <c r="F94" i="3" l="1"/>
  <c r="D136" i="3" a="1"/>
  <c r="D136" i="3" s="1"/>
  <c r="F109" i="3" s="1" a="1"/>
  <c r="F109" i="3" s="1"/>
  <c r="F112" i="3" l="1" a="1"/>
  <c r="F11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J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6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7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<sst xmlns="http://schemas.openxmlformats.org/spreadsheetml/2006/main" count="576" uniqueCount="256">
  <si>
    <t>Anlægsdata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</si>
  <si>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</si>
  <si>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</si>
  <si>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</si>
  <si>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</si>
  <si>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</si>
  <si>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</si>
  <si>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</si>
  <si>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</si>
  <si>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</si>
  <si>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</si>
  <si>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</si>
  <si>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</si>
  <si>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</si>
  <si>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</si>
  <si>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</si>
  <si>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</si>
  <si>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</si>
  <si>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</si>
  <si>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</si>
  <si>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</si>
  <si>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</si>
  <si>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</si>
  <si>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</si>
  <si>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</si>
  <si>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</si>
  <si>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</si>
  <si>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</si>
  <si>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</si>
  <si>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</si>
  <si>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</si>
  <si>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</si>
  <si>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</si>
  <si>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</si>
  <si>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</si>
  <si>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</si>
  <si>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</si>
  <si>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</si>
  <si>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</si>
  <si>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</si>
  <si>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</si>
  <si>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</si>
  <si>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</si>
  <si>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</si>
  <si>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</si>
  <si>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</si>
  <si>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</si>
  <si>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</si>
  <si>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</si>
  <si>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</si>
  <si>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</si>
  <si>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</si>
  <si>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</si>
  <si>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</si>
  <si>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</si>
  <si>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</si>
  <si>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</si>
  <si>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</si>
  <si>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</si>
  <si>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</si>
  <si>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</si>
  <si>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</si>
  <si>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</si>
  <si>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</si>
  <si>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</si>
  <si>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</si>
  <si>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</si>
  <si>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</si>
  <si>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</si>
  <si>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</si>
  <si>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</si>
  <si>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</si>
  <si>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</si>
  <si>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</si>
  <si>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</si>
  <si>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</si>
  <si>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</si>
  <si>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</si>
  <si>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</si>
  <si>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Rådige dage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</si>
  <si>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</si>
  <si>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</si>
  <si>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</si>
  <si>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</si>
  <si>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</si>
  <si>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</si>
  <si>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</si>
  <si>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</si>
  <si>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</si>
  <si>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</si>
  <si>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</si>
  <si>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</si>
  <si>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</si>
  <si>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</si>
  <si>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</si>
  <si>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</si>
  <si>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</si>
  <si>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</si>
  <si>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</si>
  <si>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</si>
  <si>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</si>
  <si>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</si>
  <si>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</si>
  <si>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</si>
  <si>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</si>
  <si>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</si>
  <si>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</si>
  <si>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</si>
  <si>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</si>
  <si>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</si>
  <si>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</si>
  <si>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</si>
  <si>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</si>
  <si>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</si>
  <si>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</si>
  <si>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</si>
  <si>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</si>
  <si>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</si>
  <si>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</si>
  <si>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</si>
  <si>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</si>
  <si>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</si>
  <si>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Målsætning</t>
  </si>
  <si>
    <t>sum(mo, IncomeTotal(mo) 
                      - [
                           sum(u $OnU(u), CostsU(u,mo)) 
                         + CostsTotalF(mo) 
                         + Penalty_bOnU * sum(u, bOnU(u,mo)) 
                         + Penalty_QRgkMiss * QRgkMiss(mo)</t>
  </si>
  <si>
    <t>IncomeTotal</t>
  </si>
  <si>
    <t>IncomeTotal(mo)  =E=  sum(f $OnF(f), IncomeF(f,mo)) + RgkRabat(mo);</t>
  </si>
  <si>
    <t>IncomeF(f,mo)    =E=  sum(up $(OnU(up) AND u2f(up,f)), FuelDemand(up,f,mo) * DataFuel(f,'pris')) $OnF(f);</t>
  </si>
  <si>
    <t>IncomeF</t>
  </si>
  <si>
    <t>CostsU(u,mo)     =E=  Q(u,mo) * (DataU(u,'dv') + DataU(u,'aux') ) $OnU(u);</t>
  </si>
  <si>
    <t>CostsU</t>
  </si>
  <si>
    <t>CostsTotalF</t>
  </si>
  <si>
    <t>CostsTotalF(mo)  =E=  CostsAFV(mo) + CostsATL(mo) + CostsETS(mo);</t>
  </si>
  <si>
    <t>CostsAFV(mo)     =E=  Qafv(mo) * TaxAfvMWh(mo);</t>
  </si>
  <si>
    <t>CostsAFV</t>
  </si>
  <si>
    <t>CostsATL</t>
  </si>
  <si>
    <t>CostsATL(mo)     =E=  sum(ua $OnU(ua), Q(ua,mo)) * TaxAtlMWh(mo);</t>
  </si>
  <si>
    <t>CostsETS</t>
  </si>
  <si>
    <t>CostsETS(mo)     =E=  sum(f $OnF(f), CO2emis(f,mo)) * TaxEtsTon(mo);</t>
  </si>
  <si>
    <t>Qafv(mo)         =E=  sum(ua $OnU(ua), Q(ua,mo)) - Q('cooler',mo);</t>
  </si>
  <si>
    <t>CO2emis(f,mo)    =E=  sum(up $(OnU(up) AND u2f(up,f)), FuelDemand(up,f,mo)) * DataFuel(f,'co2andel');</t>
  </si>
  <si>
    <t>Qafv</t>
  </si>
  <si>
    <t>CO2emis</t>
  </si>
  <si>
    <t xml:space="preserve">TotalAffEProd(mo)  =E=  Power(mo) + sum(ua $OnU(ua), Q(ua,mo)); </t>
  </si>
  <si>
    <t>TotalAffEProd</t>
  </si>
  <si>
    <t>sum(ua $OnU(ua), Qrgk(ua,mo)) + QRgkMiss(mo)  =G=  RgkRabatMinShare * TotalAffEProd(mo);</t>
  </si>
  <si>
    <t>QRgkMiss(mo)  =L=  (1 - bOnRgkRabat(mo)) * QRgkMissMax;</t>
  </si>
  <si>
    <t>QrgkMiss</t>
  </si>
  <si>
    <t>bOnRgkRabat</t>
  </si>
  <si>
    <t>ZQ_RgkRabatMax1(mo) .. RgkRabat(mo)  =L=  RgkRabatMax(mo) * bOnRgkRabat(mo);</t>
  </si>
  <si>
    <t>ZQ_RgkRabatMin2(mo) ..  0 * (1 - bOnRgkRabat(mo))                   =L=  RgkRabatSats * CostsATL(mo) - RgkRabat(mo);</t>
  </si>
  <si>
    <t>ZQ_RgkRabatMax2(mo) ..  RgkRabatSats * CostsATL(mo) - RGKrabat(mo)  =L=  RgkRabatMax(mo) * (1 - bOnRgkRabat(mo));</t>
  </si>
  <si>
    <t>RgkRabatMax1</t>
  </si>
  <si>
    <t>RgkRabatMin2</t>
  </si>
  <si>
    <t>RgkRabatMax2</t>
  </si>
  <si>
    <t>Qdemand(mo)  =E=  sum(up $OnU(up), Q(up,mo)) - Q('cooler',mo) $OnU('cooler');</t>
  </si>
  <si>
    <t>Q(ua,mo)     =E=  [QaffM(ua,mo) + Qrgk(ua,mo)];</t>
  </si>
  <si>
    <t>QaffM(ua,mo) =E=  [sum(fa $(OnF(fa) AND u2f(ua,fa)), FuelDemand(ua,fa,mo) * EtaQ(ua) * LhvMWh(fa))] $OnU(ua);</t>
  </si>
  <si>
    <t>Q(ub,mo)     =E=  [sum(fb $(OnF(fb) AND u2f(ub,fb)), FuelDemand(ub,fb,mo) * EtaQ(ub) * LhvMWh(fb))]  $OnU(ub);</t>
  </si>
  <si>
    <t xml:space="preserve">Qrgk(ua,mo)  =L=  KapRgk(ua) / KapNom(ua) * QaffM(ua,mo);  </t>
  </si>
  <si>
    <t xml:space="preserve">Qrgk(ua,mo)  =L=  QrgkMax(ua,mo) * bOnRgk(ua,mo);  </t>
  </si>
  <si>
    <t xml:space="preserve">Q(uc,mo)     =E=  [sum(fc $(OnF(fc) AND u2f(uc,fc)), FuelDemand(uc,fc,mo))] $OnU(uc); </t>
  </si>
  <si>
    <t>Qdemand</t>
  </si>
  <si>
    <t>QaffM</t>
  </si>
  <si>
    <t>Qaff</t>
  </si>
  <si>
    <t>Qbio</t>
  </si>
  <si>
    <t>Qvarme</t>
  </si>
  <si>
    <t>Qrgk</t>
  </si>
  <si>
    <t>QrgkMax</t>
  </si>
  <si>
    <t>QAffM(ua,mo) =L=  QaffMmax(ua,mo);</t>
  </si>
  <si>
    <t>QaffMmax</t>
  </si>
  <si>
    <t xml:space="preserve">Q(u,mo)      =G=  ShareAvailU(u,mo) * Hours(mo) * KapMin(u) * bOnU(u,mo); </t>
  </si>
  <si>
    <t xml:space="preserve">Q(u,mo)      =L=  ShareAvailU(u,mo) * Hours(mo) * KapMax(u) * bOnU(u,mo); </t>
  </si>
  <si>
    <t>Qmin</t>
  </si>
  <si>
    <t>Qmax</t>
  </si>
  <si>
    <t>bOnRgk</t>
  </si>
  <si>
    <t>sum(u  $(OnU(u)  AND u2f(u,f)),   FuelDemand(u,f,mo))     =G=  FuelBounds(f,'min',mo);</t>
  </si>
  <si>
    <t>FuelMin</t>
  </si>
  <si>
    <t>Restriktioner</t>
  </si>
  <si>
    <t>Variable</t>
  </si>
  <si>
    <t>Aktiv?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</si>
  <si>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</si>
  <si>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</si>
  <si>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</si>
  <si>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</si>
  <si>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</si>
  <si>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</si>
  <si>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</si>
  <si>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</si>
  <si>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</si>
  <si>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</si>
  <si>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</si>
  <si>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</si>
  <si>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OnRgkOvn2</t>
  </si>
  <si>
    <t>OnRgkOvn3</t>
  </si>
  <si>
    <t>OnRgkRabat</t>
  </si>
  <si>
    <t>Qcool</t>
  </si>
  <si>
    <t>Ovn2</t>
  </si>
  <si>
    <t>Ovn3</t>
  </si>
  <si>
    <t>Fliskedel</t>
  </si>
  <si>
    <t>SR-kedler</t>
  </si>
  <si>
    <t>NS-varme</t>
  </si>
  <si>
    <t>&lt;=</t>
  </si>
  <si>
    <t>=&gt;</t>
  </si>
  <si>
    <t>Penalty_QRgkMiss</t>
  </si>
  <si>
    <t>RgkRabat</t>
  </si>
  <si>
    <t>RgkRabat(mo)  =L=  RgkRabatMax(mo) * bOnRgkRabat(mo);</t>
  </si>
  <si>
    <t>0 * (1 - bOnRgkRabat(mo))                   =L=  RgkRabatSats * CostsATL(mo) - RgkRabat(mo);</t>
  </si>
  <si>
    <t>RgkRabatSats * CostsATL(mo) - RGKrabat(mo)  =L=  RgkRabatMax(mo) * (1 - bOnRgkRabat(mo));</t>
  </si>
  <si>
    <t>FuelMax</t>
  </si>
  <si>
    <t>sum(mo, sum(ua $(OnU(ua) AND u2f(ua,fa)), FuelDemand(ua,fa,mo)))  =L=  sum(mo, FuelBounds(fa,'max',mo));</t>
  </si>
  <si>
    <t>QrgkOvn2</t>
  </si>
  <si>
    <t>QrgkOvn3</t>
  </si>
  <si>
    <t>QrgkMax(ua,mo)   = KapRgk(ua) / KapNom(ua) * QaffMmax(ua,mo);</t>
  </si>
  <si>
    <t>min(ShareAvailU(ua,mo) * Hours(mo) * KapNom(ua), [sum(fa $(OnF(fa) AND u2f(ua,fa)), FuelBounds(fa,'max',mo) * EtaQ(ua) * LhvMWh(fa))]) $OnU(ua);</t>
  </si>
  <si>
    <t>Parametre</t>
  </si>
  <si>
    <t>Periode</t>
  </si>
  <si>
    <t>Cooler</t>
  </si>
  <si>
    <t>arg1</t>
  </si>
  <si>
    <t>arg2</t>
  </si>
  <si>
    <t>NFuelA</t>
  </si>
  <si>
    <t>Antal affaldsfraktioner</t>
  </si>
  <si>
    <t>P</t>
  </si>
  <si>
    <t>kapMax</t>
  </si>
  <si>
    <t>Q</t>
  </si>
  <si>
    <t>I</t>
  </si>
  <si>
    <t>Q(ua,mo) =E= QAffM(ua,mo);</t>
  </si>
  <si>
    <t>Qfliskedel</t>
  </si>
  <si>
    <t>Q_SRkedler</t>
  </si>
  <si>
    <t>Q_NS-varme</t>
  </si>
  <si>
    <t>E</t>
  </si>
  <si>
    <t>Power</t>
  </si>
  <si>
    <t>RgkRabatMinShare</t>
  </si>
  <si>
    <t>RgkRabatSats</t>
  </si>
  <si>
    <t>QrgkMissMax</t>
  </si>
  <si>
    <t>QRgkMissMax = 2 * RgkRabatMinShare * sum(ua $OnU(ua), 31 * 24 * KapNom(ua));  # Faktoren 2 er en sikkerhedsfaktor mod inffeasibilitet.</t>
  </si>
  <si>
    <t>RgkRabatMax</t>
  </si>
  <si>
    <t>RgkRabatMax(mo) = RgkRabatSats * CostsATLMax(mo);</t>
  </si>
  <si>
    <t>CostATLmax</t>
  </si>
  <si>
    <t>CostsATLMax(mo) = sum(ua $OnU(ua), ShareAvailU(ua,mo) * Hours(mo) * KapMax(ua)) * TaxAtlMWh(mo);</t>
  </si>
  <si>
    <t>Hentes fra sheet DataU.Prognoser</t>
  </si>
  <si>
    <t>MinLhv</t>
  </si>
  <si>
    <t>lagerbar</t>
  </si>
  <si>
    <t>fri</t>
  </si>
  <si>
    <t>bortskaffes</t>
  </si>
  <si>
    <t>minTonnage</t>
  </si>
  <si>
    <t>maxTonnage</t>
  </si>
  <si>
    <t>MWhf</t>
  </si>
  <si>
    <t>Ny affaldsfraktion 1</t>
  </si>
  <si>
    <t>NyAff1</t>
  </si>
  <si>
    <t>Ny affaldsfraktion 2</t>
  </si>
  <si>
    <t>NyAff2</t>
  </si>
  <si>
    <t>Lagerbar</t>
  </si>
  <si>
    <t>FRI</t>
  </si>
  <si>
    <t>BORTSKAFFES</t>
  </si>
  <si>
    <t>Værdi</t>
  </si>
  <si>
    <t>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</si>
</sst>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19" fillId="9" borderId="9" applyNumberFormat="0" applyAlignment="0" applyProtection="0"/>
  </cellStyleXfs>
  <cellXfs count="10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9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0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6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7" borderId="0" xfId="0" applyFill="1" applyAlignment="1">
      <alignment vertical="top"/>
    </xf>
    <xf numFmtId="3" fontId="0" fillId="0" borderId="0" xfId="0" applyNumberFormat="1" applyAlignment="1">
      <alignment vertical="top"/>
    </xf>
    <xf numFmtId="3" fontId="0" fillId="0" borderId="0" xfId="0" applyNumberFormat="1" applyAlignment="1"/>
    <xf numFmtId="0" fontId="3" fillId="0" borderId="0" xfId="0" applyFont="1" applyAlignment="1">
      <alignment horizontal="center" vertical="top"/>
    </xf>
    <xf numFmtId="4" fontId="0" fillId="0" borderId="0" xfId="0" applyNumberFormat="1" applyAlignment="1">
      <alignment vertical="top"/>
    </xf>
    <xf numFmtId="0" fontId="0" fillId="6" borderId="3" xfId="0" applyFill="1" applyBorder="1" applyAlignment="1">
      <alignment vertical="top"/>
    </xf>
    <xf numFmtId="0" fontId="0" fillId="6" borderId="4" xfId="0" applyFill="1" applyBorder="1" applyAlignment="1">
      <alignment horizontal="center" vertical="top"/>
    </xf>
    <xf numFmtId="0" fontId="0" fillId="6" borderId="5" xfId="0" applyFill="1" applyBorder="1" applyAlignment="1">
      <alignment vertical="top"/>
    </xf>
    <xf numFmtId="0" fontId="0" fillId="6" borderId="6" xfId="0" applyFill="1" applyBorder="1" applyAlignment="1">
      <alignment horizontal="center" vertical="top"/>
    </xf>
    <xf numFmtId="0" fontId="0" fillId="8" borderId="5" xfId="0" applyFill="1" applyBorder="1" applyAlignment="1">
      <alignment vertical="top"/>
    </xf>
    <xf numFmtId="0" fontId="0" fillId="8" borderId="6" xfId="0" applyFill="1" applyBorder="1" applyAlignment="1">
      <alignment horizontal="center" vertical="top"/>
    </xf>
    <xf numFmtId="0" fontId="0" fillId="3" borderId="5" xfId="0" applyFill="1" applyBorder="1" applyAlignment="1">
      <alignment vertical="top"/>
    </xf>
    <xf numFmtId="0" fontId="0" fillId="3" borderId="6" xfId="0" applyFill="1" applyBorder="1" applyAlignment="1">
      <alignment horizontal="center"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horizontal="center" vertical="top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horizontal="left" vertical="top" indent="1"/>
    </xf>
    <xf numFmtId="0" fontId="10" fillId="0" borderId="0" xfId="0" applyFont="1" applyAlignment="1">
      <alignment horizontal="center" vertical="top"/>
    </xf>
    <xf numFmtId="0" fontId="17" fillId="5" borderId="0" xfId="4" applyAlignment="1">
      <alignment horizontal="right" indent="1"/>
    </xf>
    <xf numFmtId="166" fontId="19" fillId="9" borderId="9" xfId="5" applyNumberFormat="1" applyAlignment="1"/>
    <xf numFmtId="0" fontId="0" fillId="0" borderId="2" xfId="0" applyBorder="1"/>
    <xf numFmtId="0" fontId="20" fillId="10" borderId="0" xfId="0" applyFont="1" applyFill="1"/>
    <xf numFmtId="0" fontId="20" fillId="0" borderId="0" xfId="0" applyFont="1"/>
    <xf numFmtId="3" fontId="0" fillId="0" borderId="10" xfId="0" applyNumberFormat="1" applyBorder="1"/>
    <xf numFmtId="4" fontId="20" fillId="0" borderId="0" xfId="4" applyNumberFormat="1" applyFont="1" applyFill="1" applyAlignment="1">
      <alignment horizontal="center"/>
    </xf>
    <xf numFmtId="0" fontId="20" fillId="0" borderId="0" xfId="3" applyFont="1" applyFill="1"/>
    <xf numFmtId="4" fontId="20" fillId="0" borderId="0" xfId="0" applyNumberFormat="1" applyFont="1" applyAlignment="1">
      <alignment horizontal="center"/>
    </xf>
    <xf numFmtId="0" fontId="20" fillId="11" borderId="0" xfId="0" applyFont="1" applyFill="1"/>
    <xf numFmtId="0" fontId="21" fillId="0" borderId="0" xfId="0" applyFont="1"/>
    <xf numFmtId="0" fontId="21" fillId="0" borderId="0" xfId="0" applyFont="1" applyAlignment="1">
      <alignment horizontal="center"/>
    </xf>
    <xf numFmtId="3" fontId="21" fillId="0" borderId="10" xfId="0" applyNumberFormat="1" applyFont="1" applyBorder="1"/>
    <xf numFmtId="3" fontId="21" fillId="0" borderId="0" xfId="0" applyNumberFormat="1" applyFont="1"/>
    <xf numFmtId="164" fontId="21" fillId="0" borderId="0" xfId="0" applyNumberFormat="1" applyFont="1"/>
    <xf numFmtId="4" fontId="21" fillId="0" borderId="0" xfId="4" applyNumberFormat="1" applyFont="1" applyFill="1" applyAlignment="1">
      <alignment horizontal="center"/>
    </xf>
    <xf numFmtId="0" fontId="0" fillId="12" borderId="0" xfId="0" applyFill="1"/>
    <xf numFmtId="0" fontId="22" fillId="0" borderId="0" xfId="0" applyFon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165" fontId="9" fillId="0" borderId="2" xfId="1" applyNumberFormat="1" applyFont="1" applyBorder="1"/>
    <xf numFmtId="165" fontId="21" fillId="0" borderId="0" xfId="1" applyNumberFormat="1" applyFont="1"/>
    <xf numFmtId="3" fontId="23" fillId="0" borderId="0" xfId="0" applyNumberFormat="1" applyFont="1"/>
    <xf numFmtId="3" fontId="10" fillId="0" borderId="11" xfId="0" applyNumberFormat="1" applyFont="1" applyBorder="1" applyAlignment="1">
      <alignment horizontal="center"/>
    </xf>
    <xf numFmtId="3" fontId="10" fillId="0" borderId="12" xfId="0" applyNumberFormat="1" applyFont="1" applyBorder="1" applyAlignment="1">
      <alignment horizontal="center"/>
    </xf>
    <xf numFmtId="3" fontId="10" fillId="0" borderId="11" xfId="0" applyNumberFormat="1" applyFont="1" applyBorder="1"/>
    <xf numFmtId="3" fontId="10" fillId="0" borderId="12" xfId="0" applyNumberFormat="1" applyFont="1" applyBorder="1"/>
    <xf numFmtId="0" fontId="3" fillId="3" borderId="0" xfId="0" applyFont="1" applyFill="1" applyAlignment="1"/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12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369795</xdr:colOff>
      <xdr:row>91</xdr:row>
      <xdr:rowOff>123265</xdr:rowOff>
    </xdr:from>
    <xdr:to>
      <xdr:col>19</xdr:col>
      <xdr:colOff>44825</xdr:colOff>
      <xdr:row>94</xdr:row>
      <xdr:rowOff>22412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54C76CB9-6F08-468D-B61B-1B742E5E508B}"/>
            </a:ext>
          </a:extLst>
        </xdr:cNvPr>
        <xdr:cNvSpPr/>
      </xdr:nvSpPr>
      <xdr:spPr>
        <a:xfrm>
          <a:off x="14623677" y="10791265"/>
          <a:ext cx="1490383" cy="661147"/>
        </a:xfrm>
        <a:prstGeom prst="wedgeRectCallout">
          <a:avLst>
            <a:gd name="adj1" fmla="val -94517"/>
            <a:gd name="adj2" fmla="val 1673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3200"/>
            <a:t>HERTIL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dimension ref="B4:D8"/>
  <sheetViews>
    <sheetView zoomScale="85" zoomScaleNormal="85" workbookViewId="0">
      <selection activeCell="C6" sqref="C6"/>
    </sheetView>
  </sheetViews>
  <sheetFormatPr defaultRowHeight="15" x14ac:dyDescent="0.25"/>
  <cols>
    <col min="2" max="2" width="18.85546875" bestFit="1" customWidth="1"/>
    <col min="4" max="4" width="22.7109375" bestFit="1" customWidth="1"/>
  </cols>
  <sheetData>
    <row r="4" spans="2:4" x14ac:dyDescent="0.25">
      <c r="B4" s="51" t="s">
        <v>255</v>
      </c>
      <c r="C4" s="51" t="s">
        <v>254</v>
      </c>
      <c r="D4" s="51" t="s">
        <v>93</v>
      </c>
    </row>
    <row r="5" spans="2:4" x14ac:dyDescent="0.25">
      <c r="B5" t="s">
        <v>203</v>
      </c>
      <c r="C5" s="4">
        <v>50</v>
      </c>
      <c r="D5" t="s">
        <v>74</v>
      </c>
    </row>
    <row r="6" spans="2:4" x14ac:dyDescent="0.25">
      <c r="B6" t="s">
        <v>219</v>
      </c>
      <c r="C6">
        <f>COUNTA(Fuel!C5:C25)</f>
        <v>21</v>
      </c>
      <c r="D6" t="s">
        <v>220</v>
      </c>
    </row>
    <row r="7" spans="2:4" x14ac:dyDescent="0.25">
      <c r="B7" t="s">
        <v>231</v>
      </c>
      <c r="C7" s="3">
        <v>7.0000000000000007E-2</v>
      </c>
    </row>
    <row r="8" spans="2:4" x14ac:dyDescent="0.25">
      <c r="B8" t="s">
        <v>232</v>
      </c>
      <c r="C8" s="3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X50"/>
  <sheetViews>
    <sheetView zoomScale="85" zoomScaleNormal="85" workbookViewId="0">
      <selection activeCell="J29" sqref="J29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13.140625" bestFit="1" customWidth="1"/>
    <col min="11" max="11" width="9.140625" customWidth="1"/>
    <col min="12" max="14" width="10" style="48" customWidth="1"/>
    <col min="15" max="15" width="4.7109375" style="48" customWidth="1"/>
  </cols>
  <sheetData>
    <row r="1" spans="1:16" x14ac:dyDescent="0.25">
      <c r="A1" s="15"/>
      <c r="B1" s="15"/>
      <c r="C1" s="15"/>
      <c r="D1" s="15"/>
      <c r="E1" s="51" t="s">
        <v>107</v>
      </c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x14ac:dyDescent="0.25">
      <c r="P2" s="15"/>
    </row>
    <row r="3" spans="1:16" x14ac:dyDescent="0.25">
      <c r="B3" s="1"/>
      <c r="C3" s="28" t="s">
        <v>95</v>
      </c>
      <c r="E3" s="29" t="s">
        <v>77</v>
      </c>
      <c r="F3" s="28" t="s">
        <v>106</v>
      </c>
      <c r="G3" s="29" t="s">
        <v>75</v>
      </c>
      <c r="H3" s="29" t="s">
        <v>75</v>
      </c>
      <c r="I3" s="29" t="s">
        <v>75</v>
      </c>
      <c r="J3" s="30"/>
      <c r="K3" s="30" t="s">
        <v>75</v>
      </c>
      <c r="L3" s="29"/>
      <c r="M3" s="29" t="s">
        <v>74</v>
      </c>
      <c r="N3" s="29" t="s">
        <v>74</v>
      </c>
      <c r="P3" s="15"/>
    </row>
    <row r="4" spans="1:16" x14ac:dyDescent="0.25">
      <c r="B4" s="51" t="s">
        <v>0</v>
      </c>
      <c r="C4" s="43" t="s">
        <v>76</v>
      </c>
      <c r="D4" s="43" t="s">
        <v>111</v>
      </c>
      <c r="E4" s="43" t="s">
        <v>240</v>
      </c>
      <c r="F4" s="43" t="s">
        <v>105</v>
      </c>
      <c r="G4" s="43" t="s">
        <v>108</v>
      </c>
      <c r="H4" s="43" t="s">
        <v>70</v>
      </c>
      <c r="I4" s="43" t="s">
        <v>222</v>
      </c>
      <c r="J4" s="43" t="s">
        <v>1</v>
      </c>
      <c r="K4" s="43" t="s">
        <v>80</v>
      </c>
      <c r="L4" s="43" t="s">
        <v>2</v>
      </c>
      <c r="M4" s="43" t="s">
        <v>3</v>
      </c>
      <c r="N4" s="43" t="s">
        <v>81</v>
      </c>
      <c r="P4" s="15"/>
    </row>
    <row r="5" spans="1:16" x14ac:dyDescent="0.25">
      <c r="B5" s="16" t="s">
        <v>196</v>
      </c>
      <c r="C5" s="9">
        <v>1</v>
      </c>
      <c r="D5" s="9">
        <v>1</v>
      </c>
      <c r="E5" s="4">
        <v>8</v>
      </c>
      <c r="F5" s="80">
        <f>G5/E5*3.6</f>
        <v>4.2750000000000004</v>
      </c>
      <c r="G5">
        <v>9.5</v>
      </c>
      <c r="H5">
        <v>2</v>
      </c>
      <c r="I5">
        <f>SUM(G5:H5)</f>
        <v>11.5</v>
      </c>
      <c r="J5" s="19">
        <v>0</v>
      </c>
      <c r="K5" s="19">
        <f t="shared" ref="K5:K10" si="0">J5*G5</f>
        <v>0</v>
      </c>
      <c r="L5" s="31">
        <v>0.6</v>
      </c>
      <c r="M5" s="4">
        <v>50</v>
      </c>
      <c r="N5" s="4">
        <v>0</v>
      </c>
      <c r="P5" s="15"/>
    </row>
    <row r="6" spans="1:16" x14ac:dyDescent="0.25">
      <c r="B6" s="16" t="s">
        <v>197</v>
      </c>
      <c r="C6" s="9">
        <v>1</v>
      </c>
      <c r="D6" s="9">
        <v>1</v>
      </c>
      <c r="E6" s="4">
        <v>8</v>
      </c>
      <c r="F6" s="80">
        <f>G6/E6*3.6</f>
        <v>10.125</v>
      </c>
      <c r="G6">
        <v>22.5</v>
      </c>
      <c r="H6">
        <v>5</v>
      </c>
      <c r="I6">
        <f t="shared" ref="I6:I10" si="1">SUM(G6:H6)</f>
        <v>27.5</v>
      </c>
      <c r="J6" s="19">
        <v>0</v>
      </c>
      <c r="K6" s="19">
        <f t="shared" si="0"/>
        <v>0</v>
      </c>
      <c r="L6" s="32">
        <v>0.65</v>
      </c>
      <c r="M6" s="4">
        <v>40</v>
      </c>
      <c r="N6" s="4">
        <v>0</v>
      </c>
      <c r="P6" s="15"/>
    </row>
    <row r="7" spans="1:16" x14ac:dyDescent="0.25">
      <c r="B7" s="16" t="s">
        <v>198</v>
      </c>
      <c r="C7" s="9">
        <v>1</v>
      </c>
      <c r="D7" s="9">
        <v>2</v>
      </c>
      <c r="F7" s="81"/>
      <c r="G7">
        <v>10.5</v>
      </c>
      <c r="H7">
        <v>0</v>
      </c>
      <c r="I7">
        <f t="shared" si="1"/>
        <v>10.5</v>
      </c>
      <c r="J7" s="19">
        <v>0</v>
      </c>
      <c r="K7" s="19">
        <f t="shared" si="0"/>
        <v>0</v>
      </c>
      <c r="L7" s="31">
        <v>0.85</v>
      </c>
      <c r="M7" s="4">
        <v>25</v>
      </c>
      <c r="N7" s="4">
        <v>0</v>
      </c>
      <c r="P7" s="15"/>
    </row>
    <row r="8" spans="1:16" x14ac:dyDescent="0.25">
      <c r="B8" s="16" t="s">
        <v>200</v>
      </c>
      <c r="C8" s="9">
        <v>1</v>
      </c>
      <c r="D8" s="9">
        <v>3</v>
      </c>
      <c r="F8" s="81"/>
      <c r="G8">
        <v>8</v>
      </c>
      <c r="H8">
        <v>0</v>
      </c>
      <c r="I8">
        <f t="shared" si="1"/>
        <v>8</v>
      </c>
      <c r="J8" s="19">
        <v>0</v>
      </c>
      <c r="K8" s="19">
        <f t="shared" si="0"/>
        <v>0</v>
      </c>
      <c r="L8" s="32">
        <v>1</v>
      </c>
      <c r="M8" s="4">
        <v>0</v>
      </c>
      <c r="N8" s="4">
        <v>0</v>
      </c>
      <c r="P8" s="15"/>
    </row>
    <row r="9" spans="1:16" x14ac:dyDescent="0.25">
      <c r="B9" s="16" t="s">
        <v>199</v>
      </c>
      <c r="C9" s="9">
        <v>1</v>
      </c>
      <c r="D9" s="9">
        <v>4</v>
      </c>
      <c r="F9" s="81"/>
      <c r="G9">
        <v>100</v>
      </c>
      <c r="H9">
        <v>0</v>
      </c>
      <c r="I9">
        <f t="shared" si="1"/>
        <v>100</v>
      </c>
      <c r="J9" s="19">
        <v>0</v>
      </c>
      <c r="K9" s="19">
        <f t="shared" si="0"/>
        <v>0</v>
      </c>
      <c r="L9" s="32">
        <v>1</v>
      </c>
      <c r="M9" s="4">
        <v>0</v>
      </c>
      <c r="N9" s="4">
        <v>0</v>
      </c>
      <c r="P9" s="15"/>
    </row>
    <row r="10" spans="1:16" x14ac:dyDescent="0.25">
      <c r="B10" s="16" t="s">
        <v>216</v>
      </c>
      <c r="C10" s="9">
        <v>1</v>
      </c>
      <c r="D10" s="9">
        <v>5</v>
      </c>
      <c r="F10" s="81"/>
      <c r="G10">
        <v>15</v>
      </c>
      <c r="H10">
        <v>0</v>
      </c>
      <c r="I10">
        <f t="shared" si="1"/>
        <v>15</v>
      </c>
      <c r="J10" s="19">
        <v>0</v>
      </c>
      <c r="K10" s="19">
        <f t="shared" si="0"/>
        <v>0</v>
      </c>
      <c r="L10" s="32">
        <v>1</v>
      </c>
      <c r="M10" s="4">
        <v>10</v>
      </c>
      <c r="N10" s="4">
        <v>20</v>
      </c>
      <c r="P10" s="15"/>
    </row>
    <row r="11" spans="1:16" x14ac:dyDescent="0.25">
      <c r="B11" s="16"/>
      <c r="C11" s="2"/>
      <c r="D11" s="2"/>
      <c r="G11" s="20"/>
      <c r="H11" s="19"/>
      <c r="I11" s="3"/>
      <c r="J11" s="3"/>
      <c r="P11" s="15"/>
    </row>
    <row r="12" spans="1:16" x14ac:dyDescent="0.25">
      <c r="B12" s="23" t="s">
        <v>89</v>
      </c>
      <c r="P12" s="15"/>
    </row>
    <row r="13" spans="1:16" x14ac:dyDescent="0.25">
      <c r="P13" s="15"/>
    </row>
    <row r="14" spans="1:16" x14ac:dyDescent="0.25">
      <c r="B14" s="1"/>
      <c r="C14" s="1"/>
      <c r="D14" s="9" t="s">
        <v>71</v>
      </c>
      <c r="E14" s="9" t="s">
        <v>83</v>
      </c>
      <c r="F14" s="9" t="s">
        <v>86</v>
      </c>
      <c r="G14" s="9" t="s">
        <v>61</v>
      </c>
      <c r="H14" s="9" t="s">
        <v>62</v>
      </c>
      <c r="I14" s="9" t="s">
        <v>62</v>
      </c>
      <c r="J14" s="24" t="s">
        <v>61</v>
      </c>
      <c r="K14" s="24"/>
      <c r="L14" s="49"/>
      <c r="M14" s="49"/>
      <c r="N14" s="49"/>
      <c r="O14" s="49"/>
      <c r="P14" s="15"/>
    </row>
    <row r="15" spans="1:16" x14ac:dyDescent="0.25">
      <c r="B15" s="108" t="s">
        <v>60</v>
      </c>
      <c r="C15" s="43" t="s">
        <v>69</v>
      </c>
      <c r="D15" s="43" t="s">
        <v>63</v>
      </c>
      <c r="E15" s="43" t="s">
        <v>84</v>
      </c>
      <c r="F15" s="43" t="s">
        <v>85</v>
      </c>
      <c r="G15" s="43" t="s">
        <v>64</v>
      </c>
      <c r="H15" s="43" t="s">
        <v>65</v>
      </c>
      <c r="I15" s="43" t="s">
        <v>66</v>
      </c>
      <c r="J15" s="43" t="s">
        <v>67</v>
      </c>
      <c r="K15" s="25"/>
      <c r="L15" s="50"/>
      <c r="M15" s="50"/>
      <c r="N15" s="50"/>
      <c r="O15" s="50"/>
      <c r="P15" s="15"/>
    </row>
    <row r="16" spans="1:16" x14ac:dyDescent="0.25">
      <c r="B16" s="10" t="s">
        <v>6</v>
      </c>
      <c r="C16">
        <v>31</v>
      </c>
      <c r="D16" s="7">
        <v>35300</v>
      </c>
      <c r="E16" s="7">
        <v>4000</v>
      </c>
      <c r="F16" s="7">
        <f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P16" s="15"/>
    </row>
    <row r="17" spans="2:24" x14ac:dyDescent="0.25">
      <c r="B17" s="10" t="s">
        <v>7</v>
      </c>
      <c r="C17">
        <v>28</v>
      </c>
      <c r="D17" s="7">
        <v>32000</v>
      </c>
      <c r="E17" s="7">
        <v>0</v>
      </c>
      <c r="F17" s="7">
        <f t="shared" ref="F17:F27" si="2">8*C17*24</f>
        <v>5376</v>
      </c>
      <c r="G17" s="11">
        <f t="shared" ref="G17:G27" si="3">G16+0.1561*7.5*C17</f>
        <v>298.42762500000003</v>
      </c>
      <c r="H17">
        <v>25.8</v>
      </c>
      <c r="I17">
        <v>26.5</v>
      </c>
      <c r="J17" s="19">
        <v>177</v>
      </c>
      <c r="K17" s="19"/>
      <c r="P17" s="15"/>
    </row>
    <row r="18" spans="2:24" x14ac:dyDescent="0.25">
      <c r="B18" s="10" t="s">
        <v>8</v>
      </c>
      <c r="C18">
        <v>31</v>
      </c>
      <c r="D18" s="7">
        <v>29500</v>
      </c>
      <c r="E18" s="7">
        <v>0</v>
      </c>
      <c r="F18" s="7">
        <f t="shared" si="2"/>
        <v>5952</v>
      </c>
      <c r="G18" s="11">
        <f t="shared" si="3"/>
        <v>334.72087500000004</v>
      </c>
      <c r="H18">
        <v>25.8</v>
      </c>
      <c r="I18">
        <v>26.5</v>
      </c>
      <c r="J18" s="19">
        <v>177</v>
      </c>
      <c r="K18" s="19"/>
      <c r="P18" s="15"/>
    </row>
    <row r="19" spans="2:24" x14ac:dyDescent="0.25">
      <c r="B19" s="10" t="s">
        <v>9</v>
      </c>
      <c r="C19">
        <v>30</v>
      </c>
      <c r="D19" s="7">
        <v>20000</v>
      </c>
      <c r="E19" s="7">
        <v>0</v>
      </c>
      <c r="F19" s="7">
        <f t="shared" si="2"/>
        <v>5760</v>
      </c>
      <c r="G19" s="11">
        <f t="shared" si="3"/>
        <v>369.84337500000004</v>
      </c>
      <c r="H19">
        <v>25.8</v>
      </c>
      <c r="I19">
        <v>26.5</v>
      </c>
      <c r="J19" s="19">
        <v>177</v>
      </c>
      <c r="K19" s="19"/>
      <c r="P19" s="15"/>
    </row>
    <row r="20" spans="2:24" x14ac:dyDescent="0.25">
      <c r="B20" s="10" t="s">
        <v>10</v>
      </c>
      <c r="C20">
        <v>31</v>
      </c>
      <c r="D20" s="7">
        <v>13000</v>
      </c>
      <c r="E20" s="7">
        <v>0</v>
      </c>
      <c r="F20" s="7">
        <f t="shared" si="2"/>
        <v>5952</v>
      </c>
      <c r="G20" s="11">
        <f t="shared" si="3"/>
        <v>406.13662500000004</v>
      </c>
      <c r="H20">
        <v>25.8</v>
      </c>
      <c r="I20">
        <v>26.5</v>
      </c>
      <c r="J20" s="19">
        <v>177</v>
      </c>
      <c r="K20" s="19"/>
      <c r="P20" s="15"/>
    </row>
    <row r="21" spans="2:24" x14ac:dyDescent="0.25">
      <c r="B21" s="10" t="s">
        <v>11</v>
      </c>
      <c r="C21">
        <v>30</v>
      </c>
      <c r="D21" s="7">
        <v>7500</v>
      </c>
      <c r="E21" s="7">
        <v>0</v>
      </c>
      <c r="F21" s="7">
        <f t="shared" si="2"/>
        <v>5760</v>
      </c>
      <c r="G21" s="11">
        <f t="shared" si="3"/>
        <v>441.25912500000004</v>
      </c>
      <c r="H21">
        <v>25.8</v>
      </c>
      <c r="I21">
        <v>26.5</v>
      </c>
      <c r="J21" s="19">
        <v>177</v>
      </c>
      <c r="K21" s="19"/>
      <c r="P21" s="15"/>
    </row>
    <row r="22" spans="2:24" x14ac:dyDescent="0.25">
      <c r="B22" s="10" t="s">
        <v>12</v>
      </c>
      <c r="C22">
        <v>31</v>
      </c>
      <c r="D22" s="7">
        <v>7500</v>
      </c>
      <c r="E22" s="7">
        <v>0</v>
      </c>
      <c r="F22" s="7">
        <f t="shared" si="2"/>
        <v>5952</v>
      </c>
      <c r="G22" s="11">
        <f t="shared" si="3"/>
        <v>477.55237500000004</v>
      </c>
      <c r="H22">
        <v>25.8</v>
      </c>
      <c r="I22">
        <v>26.5</v>
      </c>
      <c r="J22" s="19">
        <v>177</v>
      </c>
      <c r="K22" s="19"/>
      <c r="P22" s="15"/>
    </row>
    <row r="23" spans="2:24" x14ac:dyDescent="0.25">
      <c r="B23" s="10" t="s">
        <v>13</v>
      </c>
      <c r="C23">
        <v>31</v>
      </c>
      <c r="D23" s="7">
        <v>7000</v>
      </c>
      <c r="E23" s="7">
        <v>0</v>
      </c>
      <c r="F23" s="7">
        <f t="shared" si="2"/>
        <v>5952</v>
      </c>
      <c r="G23" s="11">
        <f t="shared" si="3"/>
        <v>513.84562500000004</v>
      </c>
      <c r="H23">
        <v>25.8</v>
      </c>
      <c r="I23">
        <v>26.5</v>
      </c>
      <c r="J23" s="19">
        <v>177</v>
      </c>
      <c r="K23" s="19"/>
      <c r="P23" s="15"/>
    </row>
    <row r="24" spans="2:24" x14ac:dyDescent="0.25">
      <c r="B24" s="10" t="s">
        <v>14</v>
      </c>
      <c r="C24">
        <v>30</v>
      </c>
      <c r="D24" s="7">
        <v>8000</v>
      </c>
      <c r="E24" s="7">
        <v>0</v>
      </c>
      <c r="F24" s="7">
        <f t="shared" si="2"/>
        <v>5760</v>
      </c>
      <c r="G24" s="11">
        <f t="shared" si="3"/>
        <v>548.9681250000001</v>
      </c>
      <c r="H24">
        <v>25.8</v>
      </c>
      <c r="I24">
        <v>26.5</v>
      </c>
      <c r="J24" s="19">
        <v>177</v>
      </c>
      <c r="K24" s="19"/>
      <c r="P24" s="15"/>
    </row>
    <row r="25" spans="2:24" x14ac:dyDescent="0.25">
      <c r="B25" s="10" t="s">
        <v>15</v>
      </c>
      <c r="C25">
        <v>31</v>
      </c>
      <c r="D25" s="7">
        <v>19700</v>
      </c>
      <c r="E25" s="7">
        <v>0</v>
      </c>
      <c r="F25" s="7">
        <f t="shared" si="2"/>
        <v>5952</v>
      </c>
      <c r="G25" s="11">
        <f t="shared" si="3"/>
        <v>585.26137500000004</v>
      </c>
      <c r="H25">
        <v>25.8</v>
      </c>
      <c r="I25">
        <v>26.5</v>
      </c>
      <c r="J25" s="19">
        <v>177</v>
      </c>
      <c r="K25" s="19"/>
      <c r="P25" s="15"/>
    </row>
    <row r="26" spans="2:24" x14ac:dyDescent="0.25">
      <c r="B26" s="10" t="s">
        <v>16</v>
      </c>
      <c r="C26">
        <v>30</v>
      </c>
      <c r="D26" s="7">
        <v>27500</v>
      </c>
      <c r="E26" s="7">
        <v>1500</v>
      </c>
      <c r="F26" s="7">
        <f t="shared" si="2"/>
        <v>5760</v>
      </c>
      <c r="G26" s="11">
        <f t="shared" si="3"/>
        <v>620.38387499999999</v>
      </c>
      <c r="H26">
        <v>25.8</v>
      </c>
      <c r="I26">
        <v>26.5</v>
      </c>
      <c r="J26" s="19">
        <v>177</v>
      </c>
      <c r="K26" s="19"/>
      <c r="P26" s="15"/>
    </row>
    <row r="27" spans="2:24" x14ac:dyDescent="0.25">
      <c r="B27" s="10" t="s">
        <v>17</v>
      </c>
      <c r="C27">
        <v>31</v>
      </c>
      <c r="D27" s="7">
        <v>33000</v>
      </c>
      <c r="E27" s="7">
        <v>5600</v>
      </c>
      <c r="F27" s="7">
        <f t="shared" si="2"/>
        <v>5952</v>
      </c>
      <c r="G27" s="11">
        <f t="shared" si="3"/>
        <v>656.67712499999993</v>
      </c>
      <c r="H27">
        <v>25.8</v>
      </c>
      <c r="I27">
        <v>26.5</v>
      </c>
      <c r="J27" s="19">
        <v>177</v>
      </c>
      <c r="K27" s="19"/>
      <c r="P27" s="15"/>
    </row>
    <row r="28" spans="2:24" x14ac:dyDescent="0.25">
      <c r="B28" s="36" t="s">
        <v>99</v>
      </c>
      <c r="C28" s="37">
        <f>SUM(C16:C27)</f>
        <v>365</v>
      </c>
      <c r="D28" s="37">
        <f>SUM(D16:D27)</f>
        <v>240000</v>
      </c>
      <c r="E28" s="37">
        <f>SUM(E16:E27)</f>
        <v>11100</v>
      </c>
      <c r="F28" s="37">
        <f>SUM(F16:F27)</f>
        <v>70080</v>
      </c>
      <c r="P28" s="15"/>
    </row>
    <row r="29" spans="2:24" x14ac:dyDescent="0.25">
      <c r="P29" s="15"/>
    </row>
    <row r="30" spans="2:24" x14ac:dyDescent="0.25">
      <c r="B30" s="17"/>
      <c r="P30" s="15"/>
    </row>
    <row r="31" spans="2:24" x14ac:dyDescent="0.25">
      <c r="B31" s="108" t="s">
        <v>79</v>
      </c>
      <c r="C31" s="43" t="str" cm="1">
        <f t="array" ref="C31:H31">TRANSPOSE(B5:B10)</f>
        <v>Ovn2</v>
      </c>
      <c r="D31" s="43" t="str">
        <v>Ovn3</v>
      </c>
      <c r="E31" s="43" t="str">
        <v>Fliskedel</v>
      </c>
      <c r="F31" s="43" t="str">
        <v>NS-varme</v>
      </c>
      <c r="G31" s="43" t="str">
        <v>SR-kedler</v>
      </c>
      <c r="H31" s="43" t="str">
        <v>Cooler</v>
      </c>
      <c r="P31" s="15"/>
      <c r="R31" s="12" t="s">
        <v>102</v>
      </c>
      <c r="S31" s="12" t="str">
        <f>C31</f>
        <v>Ovn2</v>
      </c>
      <c r="T31" s="12" t="str">
        <f>D31</f>
        <v>Ovn3</v>
      </c>
      <c r="U31" s="12" t="str">
        <f>E31</f>
        <v>Fliskedel</v>
      </c>
      <c r="V31" s="12" t="str">
        <f>G31</f>
        <v>SR-kedler</v>
      </c>
      <c r="W31" s="12" t="str">
        <f>H31</f>
        <v>Cooler</v>
      </c>
      <c r="X31" s="12" t="str">
        <f>F31</f>
        <v>NS-varme</v>
      </c>
    </row>
    <row r="32" spans="2:24" x14ac:dyDescent="0.25">
      <c r="B32" s="10" t="s">
        <v>6</v>
      </c>
      <c r="C32" s="9">
        <f t="shared" ref="C32:H37" si="4">$C16</f>
        <v>31</v>
      </c>
      <c r="D32" s="9">
        <f t="shared" si="4"/>
        <v>31</v>
      </c>
      <c r="E32" s="9">
        <f t="shared" si="4"/>
        <v>31</v>
      </c>
      <c r="F32" s="18">
        <f>E16/$G$8/24</f>
        <v>20.833333333333332</v>
      </c>
      <c r="G32" s="9">
        <f t="shared" si="4"/>
        <v>31</v>
      </c>
      <c r="H32" s="9">
        <f t="shared" si="4"/>
        <v>31</v>
      </c>
      <c r="J32">
        <f>MATCH("dec",B32:B43,0)</f>
        <v>12</v>
      </c>
      <c r="P32" s="15"/>
      <c r="R32" s="12" t="str">
        <f>B32</f>
        <v>jan</v>
      </c>
      <c r="S32" s="38">
        <f>IF(C$5&lt;&gt;0,C32*24*($G$5+$H$5),0)</f>
        <v>8556</v>
      </c>
      <c r="T32" s="38">
        <f>IF(G$5&lt;&gt;0,D32*24*($G$6+$H$6),0)</f>
        <v>20460</v>
      </c>
      <c r="U32" s="38">
        <f>IF(H$5&lt;&gt;0,E32*24*($G$7+$H$7),0)</f>
        <v>7812</v>
      </c>
      <c r="V32" s="38">
        <f>IF(J$5&lt;&gt;0,G32*24*($G$9+$H$9),0)</f>
        <v>0</v>
      </c>
      <c r="W32" s="38">
        <f>IF(K$5&lt;&gt;0,H32*24*($G$10+$H$10),0)</f>
        <v>0</v>
      </c>
      <c r="X32" s="38">
        <f>IF(L$5&lt;&gt;0,F32*24*($G$8+$H$8),0)</f>
        <v>4000</v>
      </c>
    </row>
    <row r="33" spans="2:24" x14ac:dyDescent="0.25">
      <c r="B33" s="10" t="s">
        <v>7</v>
      </c>
      <c r="C33" s="9">
        <f t="shared" si="4"/>
        <v>28</v>
      </c>
      <c r="D33" s="9">
        <f t="shared" si="4"/>
        <v>28</v>
      </c>
      <c r="E33" s="9">
        <f t="shared" si="4"/>
        <v>28</v>
      </c>
      <c r="F33" s="18">
        <f>E17/$G$8/24</f>
        <v>0</v>
      </c>
      <c r="G33" s="9">
        <f t="shared" si="4"/>
        <v>28</v>
      </c>
      <c r="H33" s="9">
        <f t="shared" si="4"/>
        <v>28</v>
      </c>
      <c r="J33">
        <f>HLOOKUP("NS-varme",C31:H43,J32+1,FALSE)</f>
        <v>29.166666666666668</v>
      </c>
      <c r="P33" s="15"/>
      <c r="R33" s="12" t="str">
        <f>B33</f>
        <v>feb</v>
      </c>
      <c r="S33" s="38">
        <f>IF(C$5&lt;&gt;0,C33*24*($G$5+$H$5),0)</f>
        <v>7728</v>
      </c>
      <c r="T33" s="38">
        <f>IF(G$5&lt;&gt;0,D33*24*($G$6+$H$6),0)</f>
        <v>18480</v>
      </c>
      <c r="U33" s="38">
        <f>IF(H$5&lt;&gt;0,E33*24*($G$7+$H$7),0)</f>
        <v>7056</v>
      </c>
      <c r="V33" s="38">
        <f>IF(J$5&lt;&gt;0,G33*24*($G$9+$H$9),0)</f>
        <v>0</v>
      </c>
      <c r="W33" s="38">
        <f>IF(K$5&lt;&gt;0,H33*24*($G$10+$H$10),0)</f>
        <v>0</v>
      </c>
      <c r="X33" s="38">
        <f>IF(L$5&lt;&gt;0,F33*24*($G$8+$H$8),0)</f>
        <v>0</v>
      </c>
    </row>
    <row r="34" spans="2:24" x14ac:dyDescent="0.25">
      <c r="B34" s="10" t="s">
        <v>8</v>
      </c>
      <c r="C34" s="9">
        <f t="shared" si="4"/>
        <v>31</v>
      </c>
      <c r="D34" s="9">
        <f t="shared" si="4"/>
        <v>31</v>
      </c>
      <c r="E34" s="9">
        <f t="shared" si="4"/>
        <v>31</v>
      </c>
      <c r="F34" s="18">
        <f>E18/$G$8/24</f>
        <v>0</v>
      </c>
      <c r="G34" s="9">
        <f t="shared" si="4"/>
        <v>31</v>
      </c>
      <c r="H34" s="9">
        <f t="shared" si="4"/>
        <v>31</v>
      </c>
      <c r="P34" s="15"/>
      <c r="R34" s="12" t="str">
        <f>B34</f>
        <v>mar</v>
      </c>
      <c r="S34" s="38">
        <f>IF(C$5&lt;&gt;0,C34*24*($G$5+$H$5),0)</f>
        <v>8556</v>
      </c>
      <c r="T34" s="38">
        <f>IF(G$5&lt;&gt;0,D34*24*($G$6+$H$6),0)</f>
        <v>20460</v>
      </c>
      <c r="U34" s="38">
        <f>IF(H$5&lt;&gt;0,E34*24*($G$7+$H$7),0)</f>
        <v>7812</v>
      </c>
      <c r="V34" s="38">
        <f>IF(J$5&lt;&gt;0,G34*24*($G$9+$H$9),0)</f>
        <v>0</v>
      </c>
      <c r="W34" s="38">
        <f>IF(K$5&lt;&gt;0,H34*24*($G$10+$H$10),0)</f>
        <v>0</v>
      </c>
      <c r="X34" s="38">
        <f>IF(L$5&lt;&gt;0,F34*24*($G$8+$H$8),0)</f>
        <v>0</v>
      </c>
    </row>
    <row r="35" spans="2:24" x14ac:dyDescent="0.25">
      <c r="B35" s="10" t="s">
        <v>9</v>
      </c>
      <c r="C35" s="9">
        <f t="shared" si="4"/>
        <v>30</v>
      </c>
      <c r="D35" s="9">
        <f t="shared" si="4"/>
        <v>30</v>
      </c>
      <c r="E35" s="9">
        <f t="shared" si="4"/>
        <v>30</v>
      </c>
      <c r="F35" s="18">
        <f>E19/$G$8/24</f>
        <v>0</v>
      </c>
      <c r="G35" s="9">
        <f t="shared" si="4"/>
        <v>30</v>
      </c>
      <c r="H35" s="9">
        <f t="shared" si="4"/>
        <v>30</v>
      </c>
      <c r="P35" s="15"/>
      <c r="R35" s="12" t="str">
        <f>B35</f>
        <v>apr</v>
      </c>
      <c r="S35" s="38">
        <f>IF(C$5&lt;&gt;0,C35*24*($G$5+$H$5),0)</f>
        <v>8280</v>
      </c>
      <c r="T35" s="38">
        <f>IF(G$5&lt;&gt;0,D35*24*($G$6+$H$6),0)</f>
        <v>19800</v>
      </c>
      <c r="U35" s="38">
        <f>IF(H$5&lt;&gt;0,E35*24*($G$7+$H$7),0)</f>
        <v>7560</v>
      </c>
      <c r="V35" s="38">
        <f>IF(J$5&lt;&gt;0,G35*24*($G$9+$H$9),0)</f>
        <v>0</v>
      </c>
      <c r="W35" s="38">
        <f>IF(K$5&lt;&gt;0,H35*24*($G$10+$H$10),0)</f>
        <v>0</v>
      </c>
      <c r="X35" s="38">
        <f>IF(L$5&lt;&gt;0,F35*24*($G$8+$H$8),0)</f>
        <v>0</v>
      </c>
    </row>
    <row r="36" spans="2:24" x14ac:dyDescent="0.25">
      <c r="B36" s="10" t="s">
        <v>10</v>
      </c>
      <c r="C36" s="9">
        <f t="shared" si="4"/>
        <v>31</v>
      </c>
      <c r="D36" s="9">
        <f t="shared" si="4"/>
        <v>31</v>
      </c>
      <c r="E36" s="9">
        <f t="shared" si="4"/>
        <v>31</v>
      </c>
      <c r="F36" s="18">
        <f>E20/$G$8/24</f>
        <v>0</v>
      </c>
      <c r="G36" s="9">
        <f t="shared" si="4"/>
        <v>31</v>
      </c>
      <c r="H36" s="9">
        <f t="shared" si="4"/>
        <v>31</v>
      </c>
      <c r="P36" s="15"/>
      <c r="R36" s="12" t="str">
        <f>B36</f>
        <v>maj</v>
      </c>
      <c r="S36" s="38">
        <f>IF(C$5&lt;&gt;0,C36*24*($G$5+$H$5),0)</f>
        <v>8556</v>
      </c>
      <c r="T36" s="38">
        <f>IF(G$5&lt;&gt;0,D36*24*($G$6+$H$6),0)</f>
        <v>20460</v>
      </c>
      <c r="U36" s="38">
        <f>IF(H$5&lt;&gt;0,E36*24*($G$7+$H$7),0)</f>
        <v>7812</v>
      </c>
      <c r="V36" s="38">
        <f>IF(J$5&lt;&gt;0,G36*24*($G$9+$H$9),0)</f>
        <v>0</v>
      </c>
      <c r="W36" s="38">
        <f>IF(K$5&lt;&gt;0,H36*24*($G$10+$H$10),0)</f>
        <v>0</v>
      </c>
      <c r="X36" s="38">
        <f>IF(L$5&lt;&gt;0,F36*24*($G$8+$H$8),0)</f>
        <v>0</v>
      </c>
    </row>
    <row r="37" spans="2:24" x14ac:dyDescent="0.25">
      <c r="B37" s="10" t="s">
        <v>11</v>
      </c>
      <c r="C37" s="9">
        <f t="shared" si="4"/>
        <v>30</v>
      </c>
      <c r="D37" s="9">
        <f t="shared" si="4"/>
        <v>30</v>
      </c>
      <c r="E37" s="9">
        <f t="shared" si="4"/>
        <v>30</v>
      </c>
      <c r="F37" s="18">
        <f>E21/$G$8/24</f>
        <v>0</v>
      </c>
      <c r="G37" s="9">
        <f t="shared" si="4"/>
        <v>30</v>
      </c>
      <c r="H37" s="9">
        <f t="shared" si="4"/>
        <v>30</v>
      </c>
      <c r="P37" s="15"/>
      <c r="R37" s="12" t="str">
        <f>B37</f>
        <v>jun</v>
      </c>
      <c r="S37" s="38">
        <f>IF(C$5&lt;&gt;0,C37*24*($G$5+$H$5),0)</f>
        <v>8280</v>
      </c>
      <c r="T37" s="38">
        <f>IF(G$5&lt;&gt;0,D37*24*($G$6+$H$6),0)</f>
        <v>19800</v>
      </c>
      <c r="U37" s="38">
        <f>IF(H$5&lt;&gt;0,E37*24*($G$7+$H$7),0)</f>
        <v>7560</v>
      </c>
      <c r="V37" s="38">
        <f>IF(J$5&lt;&gt;0,G37*24*($G$9+$H$9),0)</f>
        <v>0</v>
      </c>
      <c r="W37" s="38">
        <f>IF(K$5&lt;&gt;0,H37*24*($G$10+$H$10),0)</f>
        <v>0</v>
      </c>
      <c r="X37" s="38">
        <f>IF(L$5&lt;&gt;0,F37*24*($G$8+$H$8),0)</f>
        <v>0</v>
      </c>
    </row>
    <row r="38" spans="2:24" x14ac:dyDescent="0.25">
      <c r="B38" s="10" t="s">
        <v>12</v>
      </c>
      <c r="C38" s="9">
        <v>10</v>
      </c>
      <c r="D38" s="9">
        <f t="shared" ref="D38:H43" si="5">$C22</f>
        <v>31</v>
      </c>
      <c r="E38" s="9">
        <f t="shared" si="5"/>
        <v>31</v>
      </c>
      <c r="F38" s="18">
        <f>E22/$G$8/24</f>
        <v>0</v>
      </c>
      <c r="G38" s="9">
        <f t="shared" si="5"/>
        <v>31</v>
      </c>
      <c r="H38" s="9">
        <f t="shared" si="5"/>
        <v>31</v>
      </c>
      <c r="P38" s="15"/>
      <c r="R38" s="12" t="str">
        <f>B38</f>
        <v>jul</v>
      </c>
      <c r="S38" s="38">
        <f>IF(C$5&lt;&gt;0,C38*24*($G$5+$H$5),0)</f>
        <v>2760</v>
      </c>
      <c r="T38" s="38">
        <f>IF(G$5&lt;&gt;0,D38*24*($G$6+$H$6),0)</f>
        <v>20460</v>
      </c>
      <c r="U38" s="38">
        <f>IF(H$5&lt;&gt;0,E38*24*($G$7+$H$7),0)</f>
        <v>7812</v>
      </c>
      <c r="V38" s="38">
        <f>IF(J$5&lt;&gt;0,G38*24*($G$9+$H$9),0)</f>
        <v>0</v>
      </c>
      <c r="W38" s="38">
        <f>IF(K$5&lt;&gt;0,H38*24*($G$10+$H$10),0)</f>
        <v>0</v>
      </c>
      <c r="X38" s="38">
        <f>IF(L$5&lt;&gt;0,F38*24*($G$8+$H$8),0)</f>
        <v>0</v>
      </c>
    </row>
    <row r="39" spans="2:24" x14ac:dyDescent="0.25">
      <c r="B39" s="10" t="s">
        <v>13</v>
      </c>
      <c r="C39" s="9">
        <v>10</v>
      </c>
      <c r="D39" s="9">
        <f t="shared" si="5"/>
        <v>31</v>
      </c>
      <c r="E39" s="9">
        <f t="shared" si="5"/>
        <v>31</v>
      </c>
      <c r="F39" s="18">
        <f>E23/$G$8/24</f>
        <v>0</v>
      </c>
      <c r="G39" s="9">
        <f t="shared" si="5"/>
        <v>31</v>
      </c>
      <c r="H39" s="9">
        <f t="shared" si="5"/>
        <v>31</v>
      </c>
      <c r="P39" s="15"/>
      <c r="R39" s="12" t="str">
        <f>B39</f>
        <v>aug</v>
      </c>
      <c r="S39" s="38">
        <f>IF(C$5&lt;&gt;0,C39*24*($G$5+$H$5),0)</f>
        <v>2760</v>
      </c>
      <c r="T39" s="38">
        <f>IF(G$5&lt;&gt;0,D39*24*($G$6+$H$6),0)</f>
        <v>20460</v>
      </c>
      <c r="U39" s="38">
        <f>IF(H$5&lt;&gt;0,E39*24*($G$7+$H$7),0)</f>
        <v>7812</v>
      </c>
      <c r="V39" s="38">
        <f>IF(J$5&lt;&gt;0,G39*24*($G$9+$H$9),0)</f>
        <v>0</v>
      </c>
      <c r="W39" s="38">
        <f>IF(K$5&lt;&gt;0,H39*24*($G$10+$H$10),0)</f>
        <v>0</v>
      </c>
      <c r="X39" s="38">
        <f>IF(L$5&lt;&gt;0,F39*24*($G$8+$H$8),0)</f>
        <v>0</v>
      </c>
    </row>
    <row r="40" spans="2:24" x14ac:dyDescent="0.25">
      <c r="B40" s="10" t="s">
        <v>14</v>
      </c>
      <c r="C40" s="9">
        <f>$C24</f>
        <v>30</v>
      </c>
      <c r="D40" s="9">
        <f t="shared" si="5"/>
        <v>30</v>
      </c>
      <c r="E40" s="9">
        <f t="shared" si="5"/>
        <v>30</v>
      </c>
      <c r="F40" s="18">
        <f>E24/$G$8/24</f>
        <v>0</v>
      </c>
      <c r="G40" s="9">
        <f t="shared" si="5"/>
        <v>30</v>
      </c>
      <c r="H40" s="9">
        <f t="shared" si="5"/>
        <v>30</v>
      </c>
      <c r="P40" s="15"/>
      <c r="R40" s="12" t="str">
        <f>B40</f>
        <v>sep</v>
      </c>
      <c r="S40" s="38">
        <f>IF(C$5&lt;&gt;0,C40*24*($G$5+$H$5),0)</f>
        <v>8280</v>
      </c>
      <c r="T40" s="38">
        <f>IF(G$5&lt;&gt;0,D40*24*($G$6+$H$6),0)</f>
        <v>19800</v>
      </c>
      <c r="U40" s="38">
        <f>IF(H$5&lt;&gt;0,E40*24*($G$7+$H$7),0)</f>
        <v>7560</v>
      </c>
      <c r="V40" s="38">
        <f>IF(J$5&lt;&gt;0,G40*24*($G$9+$H$9),0)</f>
        <v>0</v>
      </c>
      <c r="W40" s="38">
        <f>IF(K$5&lt;&gt;0,H40*24*($G$10+$H$10),0)</f>
        <v>0</v>
      </c>
      <c r="X40" s="38">
        <f>IF(L$5&lt;&gt;0,F40*24*($G$8+$H$8),0)</f>
        <v>0</v>
      </c>
    </row>
    <row r="41" spans="2:24" x14ac:dyDescent="0.25">
      <c r="B41" s="10" t="s">
        <v>15</v>
      </c>
      <c r="C41" s="9">
        <f>$C25</f>
        <v>31</v>
      </c>
      <c r="D41" s="9">
        <f t="shared" si="5"/>
        <v>31</v>
      </c>
      <c r="E41" s="9">
        <f t="shared" si="5"/>
        <v>31</v>
      </c>
      <c r="F41" s="18">
        <f>E25/$G$8/24</f>
        <v>0</v>
      </c>
      <c r="G41" s="9">
        <f t="shared" si="5"/>
        <v>31</v>
      </c>
      <c r="H41" s="9">
        <f t="shared" si="5"/>
        <v>31</v>
      </c>
      <c r="P41" s="15"/>
      <c r="R41" s="12" t="str">
        <f>B41</f>
        <v>okt</v>
      </c>
      <c r="S41" s="38">
        <f>IF(C$5&lt;&gt;0,C41*24*($G$5+$H$5),0)</f>
        <v>8556</v>
      </c>
      <c r="T41" s="38">
        <f>IF(G$5&lt;&gt;0,D41*24*($G$6+$H$6),0)</f>
        <v>20460</v>
      </c>
      <c r="U41" s="38">
        <f>IF(H$5&lt;&gt;0,E41*24*($G$7+$H$7),0)</f>
        <v>7812</v>
      </c>
      <c r="V41" s="38">
        <f>IF(J$5&lt;&gt;0,G41*24*($G$9+$H$9),0)</f>
        <v>0</v>
      </c>
      <c r="W41" s="38">
        <f>IF(K$5&lt;&gt;0,H41*24*($G$10+$H$10),0)</f>
        <v>0</v>
      </c>
      <c r="X41" s="38">
        <f>IF(L$5&lt;&gt;0,F41*24*($G$8+$H$8),0)</f>
        <v>0</v>
      </c>
    </row>
    <row r="42" spans="2:24" x14ac:dyDescent="0.25">
      <c r="B42" s="10" t="s">
        <v>16</v>
      </c>
      <c r="C42" s="9">
        <f>$C26</f>
        <v>30</v>
      </c>
      <c r="D42" s="9">
        <f t="shared" si="5"/>
        <v>30</v>
      </c>
      <c r="E42" s="9">
        <f t="shared" si="5"/>
        <v>30</v>
      </c>
      <c r="F42" s="18">
        <f>E26/$G$8/24</f>
        <v>7.8125</v>
      </c>
      <c r="G42" s="9">
        <f t="shared" si="5"/>
        <v>30</v>
      </c>
      <c r="H42" s="9">
        <f t="shared" si="5"/>
        <v>30</v>
      </c>
      <c r="P42" s="15"/>
      <c r="R42" s="12" t="str">
        <f>B42</f>
        <v>nov</v>
      </c>
      <c r="S42" s="38">
        <f>IF(C$5&lt;&gt;0,C42*24*($G$5+$H$5),0)</f>
        <v>8280</v>
      </c>
      <c r="T42" s="38">
        <f>IF(G$5&lt;&gt;0,D42*24*($G$6+$H$6),0)</f>
        <v>19800</v>
      </c>
      <c r="U42" s="38">
        <f>IF(H$5&lt;&gt;0,E42*24*($G$7+$H$7),0)</f>
        <v>7560</v>
      </c>
      <c r="V42" s="38">
        <f>IF(J$5&lt;&gt;0,G42*24*($G$9+$H$9),0)</f>
        <v>0</v>
      </c>
      <c r="W42" s="38">
        <f>IF(K$5&lt;&gt;0,H42*24*($G$10+$H$10),0)</f>
        <v>0</v>
      </c>
      <c r="X42" s="38">
        <f>IF(L$5&lt;&gt;0,F42*24*($G$8+$H$8),0)</f>
        <v>1500</v>
      </c>
    </row>
    <row r="43" spans="2:24" x14ac:dyDescent="0.25">
      <c r="B43" s="10" t="s">
        <v>17</v>
      </c>
      <c r="C43" s="9">
        <f>$C27</f>
        <v>31</v>
      </c>
      <c r="D43" s="9">
        <f t="shared" si="5"/>
        <v>31</v>
      </c>
      <c r="E43" s="9">
        <f t="shared" si="5"/>
        <v>31</v>
      </c>
      <c r="F43" s="18">
        <f>E27/$G$8/24</f>
        <v>29.166666666666668</v>
      </c>
      <c r="G43" s="9">
        <f t="shared" si="5"/>
        <v>31</v>
      </c>
      <c r="H43" s="9">
        <f t="shared" si="5"/>
        <v>31</v>
      </c>
      <c r="P43" s="15"/>
      <c r="R43" s="41" t="str">
        <f>B43</f>
        <v>dec</v>
      </c>
      <c r="S43" s="42">
        <f>IF(C$5&lt;&gt;0,C43*24*($G$5+$H$5),0)</f>
        <v>8556</v>
      </c>
      <c r="T43" s="42">
        <f>IF(G$5&lt;&gt;0,D43*24*($G$6+$H$6),0)</f>
        <v>20460</v>
      </c>
      <c r="U43" s="42">
        <f>IF(H$5&lt;&gt;0,E43*24*($G$7+$H$7),0)</f>
        <v>7812</v>
      </c>
      <c r="V43" s="42">
        <f>IF(J$5&lt;&gt;0,G43*24*($G$9+$H$9),0)</f>
        <v>0</v>
      </c>
      <c r="W43" s="42">
        <f>IF(K$5&lt;&gt;0,H43*24*($G$10+$H$10),0)</f>
        <v>0</v>
      </c>
      <c r="X43" s="42">
        <f>IF(L$5&lt;&gt;0,F43*24*($G$8+$H$8),0)</f>
        <v>5600</v>
      </c>
    </row>
    <row r="44" spans="2:24" x14ac:dyDescent="0.25">
      <c r="P44" s="15"/>
      <c r="R44" s="5" t="s">
        <v>99</v>
      </c>
      <c r="S44" s="39">
        <f t="shared" ref="S44:X44" si="6">SUM(S32:S43)</f>
        <v>89148</v>
      </c>
      <c r="T44" s="39">
        <f t="shared" si="6"/>
        <v>240900</v>
      </c>
      <c r="U44" s="39">
        <f t="shared" si="6"/>
        <v>91980</v>
      </c>
      <c r="V44" s="39">
        <f t="shared" si="6"/>
        <v>0</v>
      </c>
      <c r="W44" s="39">
        <f t="shared" si="6"/>
        <v>0</v>
      </c>
      <c r="X44" s="39">
        <f t="shared" si="6"/>
        <v>11100</v>
      </c>
    </row>
    <row r="45" spans="2:24" x14ac:dyDescent="0.25">
      <c r="P45" s="15"/>
      <c r="R45" s="6" t="s">
        <v>103</v>
      </c>
      <c r="S45" s="40">
        <f t="shared" ref="S45:X45" si="7">S44/$D$28</f>
        <v>0.37145</v>
      </c>
      <c r="T45" s="40">
        <f t="shared" si="7"/>
        <v>1.0037499999999999</v>
      </c>
      <c r="U45" s="40">
        <f t="shared" si="7"/>
        <v>0.38324999999999998</v>
      </c>
      <c r="V45" s="40">
        <f t="shared" si="7"/>
        <v>0</v>
      </c>
      <c r="W45" s="40">
        <f t="shared" si="7"/>
        <v>0</v>
      </c>
      <c r="X45" s="40">
        <f t="shared" si="7"/>
        <v>4.6249999999999999E-2</v>
      </c>
    </row>
    <row r="46" spans="2:24" x14ac:dyDescent="0.25">
      <c r="P46" s="15"/>
    </row>
    <row r="47" spans="2:24" x14ac:dyDescent="0.25">
      <c r="P47" s="15"/>
    </row>
    <row r="48" spans="2:24" x14ac:dyDescent="0.25">
      <c r="P48" s="15"/>
    </row>
    <row r="49" spans="16:16" x14ac:dyDescent="0.25">
      <c r="P49" s="15"/>
    </row>
    <row r="50" spans="16:16" x14ac:dyDescent="0.25">
      <c r="P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tabSelected="1" topLeftCell="D1" zoomScale="85" zoomScaleNormal="85" workbookViewId="0">
      <selection activeCell="V18" sqref="V18"/>
    </sheetView>
  </sheetViews>
  <sheetFormatPr defaultRowHeight="15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6.7109375" bestFit="1" customWidth="1"/>
    <col min="6" max="6" width="9" bestFit="1" customWidth="1"/>
    <col min="7" max="7" width="9.7109375" bestFit="1" customWidth="1"/>
    <col min="8" max="8" width="11.28515625" bestFit="1" customWidth="1"/>
    <col min="9" max="9" width="12" bestFit="1" customWidth="1"/>
    <col min="10" max="10" width="12.28515625" bestFit="1" customWidth="1"/>
    <col min="15" max="15" width="9.85546875" bestFit="1" customWidth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47"/>
    </row>
    <row r="2" spans="1:34" x14ac:dyDescent="0.25">
      <c r="I2" t="s">
        <v>90</v>
      </c>
      <c r="J2" t="s">
        <v>90</v>
      </c>
      <c r="K2" t="s">
        <v>74</v>
      </c>
      <c r="L2" t="s">
        <v>98</v>
      </c>
    </row>
    <row r="3" spans="1:34" x14ac:dyDescent="0.25">
      <c r="C3" s="1"/>
      <c r="D3" s="9" t="s">
        <v>95</v>
      </c>
      <c r="E3" s="9"/>
      <c r="F3" s="9" t="s">
        <v>95</v>
      </c>
      <c r="G3" s="9" t="s">
        <v>95</v>
      </c>
      <c r="H3" s="24" t="s">
        <v>95</v>
      </c>
      <c r="I3" s="9" t="s">
        <v>88</v>
      </c>
      <c r="J3" s="9" t="s">
        <v>88</v>
      </c>
      <c r="K3" s="9" t="s">
        <v>78</v>
      </c>
      <c r="L3" s="9" t="s">
        <v>77</v>
      </c>
      <c r="M3" s="9" t="s">
        <v>104</v>
      </c>
      <c r="N3" s="9" t="s">
        <v>101</v>
      </c>
      <c r="R3" s="1" t="s">
        <v>114</v>
      </c>
      <c r="S3" s="1"/>
    </row>
    <row r="4" spans="1:34" x14ac:dyDescent="0.25">
      <c r="B4" s="5" t="s">
        <v>4</v>
      </c>
      <c r="C4" s="51" t="s">
        <v>113</v>
      </c>
      <c r="D4" s="2" t="s">
        <v>76</v>
      </c>
      <c r="E4" s="25" t="s">
        <v>87</v>
      </c>
      <c r="F4" s="2" t="s">
        <v>241</v>
      </c>
      <c r="G4" s="2" t="s">
        <v>242</v>
      </c>
      <c r="H4" s="25" t="s">
        <v>243</v>
      </c>
      <c r="I4" s="2" t="s">
        <v>244</v>
      </c>
      <c r="J4" s="2" t="s">
        <v>245</v>
      </c>
      <c r="K4" s="2" t="s">
        <v>5</v>
      </c>
      <c r="L4" s="2" t="s">
        <v>94</v>
      </c>
      <c r="M4" s="2" t="s">
        <v>82</v>
      </c>
      <c r="N4" s="2" t="s">
        <v>100</v>
      </c>
      <c r="O4" s="2" t="s">
        <v>246</v>
      </c>
      <c r="P4" s="43"/>
      <c r="R4" s="51" t="s">
        <v>109</v>
      </c>
      <c r="S4" s="1" t="s">
        <v>110</v>
      </c>
      <c r="T4" s="2" t="s">
        <v>6</v>
      </c>
      <c r="U4" s="2" t="s">
        <v>7</v>
      </c>
      <c r="V4" s="2" t="s">
        <v>8</v>
      </c>
      <c r="W4" s="2" t="s">
        <v>9</v>
      </c>
      <c r="X4" s="2" t="s">
        <v>10</v>
      </c>
      <c r="Y4" s="2" t="s">
        <v>11</v>
      </c>
      <c r="Z4" s="2" t="s">
        <v>12</v>
      </c>
      <c r="AA4" s="2" t="s">
        <v>13</v>
      </c>
      <c r="AB4" s="2" t="s">
        <v>14</v>
      </c>
      <c r="AC4" s="2" t="s">
        <v>15</v>
      </c>
      <c r="AD4" s="2" t="s">
        <v>16</v>
      </c>
      <c r="AE4" s="2" t="s">
        <v>17</v>
      </c>
      <c r="AG4" s="2" t="s">
        <v>18</v>
      </c>
      <c r="AH4" s="2" t="s">
        <v>93</v>
      </c>
    </row>
    <row r="5" spans="1:34" x14ac:dyDescent="0.25">
      <c r="A5" s="82"/>
      <c r="B5" s="6" t="s">
        <v>19</v>
      </c>
      <c r="C5" s="83" t="s">
        <v>20</v>
      </c>
      <c r="D5" s="9">
        <v>1</v>
      </c>
      <c r="E5" s="24">
        <v>1</v>
      </c>
      <c r="F5" s="9">
        <v>1</v>
      </c>
      <c r="G5" s="9">
        <v>0</v>
      </c>
      <c r="H5" s="24">
        <v>1</v>
      </c>
      <c r="I5" s="84">
        <f>IF(G5=0,J5,0)</f>
        <v>9093</v>
      </c>
      <c r="J5" s="84">
        <v>9093</v>
      </c>
      <c r="K5" s="7">
        <v>525</v>
      </c>
      <c r="L5" s="8">
        <v>10.5</v>
      </c>
      <c r="M5" s="85">
        <f>L5*0.037</f>
        <v>0.38849999999999996</v>
      </c>
      <c r="N5" s="8">
        <f>K5/L5</f>
        <v>50</v>
      </c>
      <c r="O5" s="7">
        <f>J5*L5/3.6</f>
        <v>26521.25</v>
      </c>
      <c r="P5" s="44"/>
      <c r="R5" s="14" t="str">
        <f t="shared" ref="R5:R30" si="0">C5</f>
        <v>DepoSort</v>
      </c>
      <c r="S5" s="14" t="s">
        <v>72</v>
      </c>
      <c r="T5" s="21">
        <f t="shared" ref="T5:AE20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6">
        <f t="shared" ref="AG5:AG32" si="2">SUM(T5:AE5)</f>
        <v>109116</v>
      </c>
      <c r="AH5" s="9" t="s">
        <v>92</v>
      </c>
    </row>
    <row r="6" spans="1:34" x14ac:dyDescent="0.25">
      <c r="A6" s="82"/>
      <c r="B6" s="6" t="s">
        <v>21</v>
      </c>
      <c r="C6" s="86" t="s">
        <v>22</v>
      </c>
      <c r="D6" s="9">
        <f t="shared" ref="D6:D25" si="3">IF(J6&gt;0,1,0)</f>
        <v>0</v>
      </c>
      <c r="E6" s="24">
        <v>1</v>
      </c>
      <c r="F6" s="9">
        <v>1</v>
      </c>
      <c r="G6" s="9">
        <v>0</v>
      </c>
      <c r="H6" s="24">
        <v>1</v>
      </c>
      <c r="I6" s="84">
        <f t="shared" ref="I6:I27" si="4">IF(G6=0,J6,0)</f>
        <v>0</v>
      </c>
      <c r="J6" s="84">
        <v>0</v>
      </c>
      <c r="K6" s="7">
        <v>0</v>
      </c>
      <c r="L6" s="8">
        <v>10.5</v>
      </c>
      <c r="M6" s="85">
        <f t="shared" ref="M6:M20" si="5">L6*0.037</f>
        <v>0.38849999999999996</v>
      </c>
      <c r="N6" s="8">
        <f t="shared" ref="N6:N30" si="6">K6/L6</f>
        <v>0</v>
      </c>
      <c r="O6" s="7">
        <f t="shared" ref="O6:O30" si="7">J6*L6/3.6</f>
        <v>0</v>
      </c>
      <c r="P6" s="44"/>
      <c r="R6" s="14" t="str">
        <f t="shared" si="0"/>
        <v>DepoSmaat</v>
      </c>
      <c r="S6" s="14" t="s">
        <v>72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6">
        <f t="shared" si="2"/>
        <v>0</v>
      </c>
      <c r="AH6" s="9" t="s">
        <v>92</v>
      </c>
    </row>
    <row r="7" spans="1:34" x14ac:dyDescent="0.25">
      <c r="A7" s="82"/>
      <c r="B7" s="6" t="s">
        <v>23</v>
      </c>
      <c r="C7" s="86" t="s">
        <v>24</v>
      </c>
      <c r="D7" s="9">
        <f t="shared" si="3"/>
        <v>0</v>
      </c>
      <c r="E7" s="24">
        <v>1</v>
      </c>
      <c r="F7" s="9">
        <v>1</v>
      </c>
      <c r="G7" s="9">
        <v>0</v>
      </c>
      <c r="H7" s="24">
        <v>1</v>
      </c>
      <c r="I7" s="84">
        <f t="shared" si="4"/>
        <v>0</v>
      </c>
      <c r="J7" s="84">
        <v>0</v>
      </c>
      <c r="K7" s="7">
        <v>0</v>
      </c>
      <c r="L7" s="8">
        <v>10.5</v>
      </c>
      <c r="M7" s="85">
        <f t="shared" si="5"/>
        <v>0.38849999999999996</v>
      </c>
      <c r="N7" s="8">
        <f t="shared" si="6"/>
        <v>0</v>
      </c>
      <c r="O7" s="7">
        <f t="shared" si="7"/>
        <v>0</v>
      </c>
      <c r="P7" s="44"/>
      <c r="R7" s="14" t="str">
        <f t="shared" si="0"/>
        <v>DepoNedd</v>
      </c>
      <c r="S7" s="14" t="s">
        <v>72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6">
        <f t="shared" si="2"/>
        <v>0</v>
      </c>
      <c r="AH7" s="9" t="s">
        <v>92</v>
      </c>
    </row>
    <row r="8" spans="1:34" x14ac:dyDescent="0.25">
      <c r="A8" s="82"/>
      <c r="B8" s="6" t="s">
        <v>25</v>
      </c>
      <c r="C8" s="83" t="s">
        <v>26</v>
      </c>
      <c r="D8" s="9">
        <f t="shared" si="3"/>
        <v>1</v>
      </c>
      <c r="E8" s="24">
        <v>1</v>
      </c>
      <c r="F8" s="9">
        <v>0</v>
      </c>
      <c r="G8" s="9">
        <v>0</v>
      </c>
      <c r="H8" s="24">
        <v>1</v>
      </c>
      <c r="I8" s="84">
        <f t="shared" si="4"/>
        <v>28869</v>
      </c>
      <c r="J8" s="84">
        <v>28869</v>
      </c>
      <c r="K8" s="7">
        <v>525</v>
      </c>
      <c r="L8" s="8">
        <v>9.4</v>
      </c>
      <c r="M8" s="85">
        <f t="shared" si="5"/>
        <v>0.3478</v>
      </c>
      <c r="N8" s="8">
        <f t="shared" si="6"/>
        <v>55.851063829787229</v>
      </c>
      <c r="O8" s="7">
        <f t="shared" si="7"/>
        <v>75380.166666666672</v>
      </c>
      <c r="P8" s="44"/>
      <c r="R8" s="14" t="str">
        <f t="shared" si="0"/>
        <v>Dagren</v>
      </c>
      <c r="S8" s="14" t="s">
        <v>72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6">
        <f t="shared" si="2"/>
        <v>28869</v>
      </c>
      <c r="AH8" s="9" t="s">
        <v>92</v>
      </c>
    </row>
    <row r="9" spans="1:34" x14ac:dyDescent="0.25">
      <c r="A9" s="82"/>
      <c r="B9" s="6" t="s">
        <v>27</v>
      </c>
      <c r="C9" s="83" t="s">
        <v>28</v>
      </c>
      <c r="D9" s="9">
        <f t="shared" si="3"/>
        <v>1</v>
      </c>
      <c r="E9" s="24">
        <v>1</v>
      </c>
      <c r="F9" s="9">
        <v>0</v>
      </c>
      <c r="G9" s="9">
        <v>0</v>
      </c>
      <c r="H9" s="24">
        <v>1</v>
      </c>
      <c r="I9" s="84">
        <f t="shared" si="4"/>
        <v>3500</v>
      </c>
      <c r="J9" s="84">
        <v>3500</v>
      </c>
      <c r="K9" s="7">
        <v>525</v>
      </c>
      <c r="L9" s="8">
        <v>10.5</v>
      </c>
      <c r="M9" s="85">
        <f t="shared" si="5"/>
        <v>0.38849999999999996</v>
      </c>
      <c r="N9" s="8">
        <f t="shared" si="6"/>
        <v>50</v>
      </c>
      <c r="O9" s="7">
        <f t="shared" si="7"/>
        <v>10208.333333333334</v>
      </c>
      <c r="P9" s="44"/>
      <c r="R9" s="14" t="str">
        <f t="shared" si="0"/>
        <v>AndetBrand</v>
      </c>
      <c r="S9" s="14" t="s">
        <v>72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6">
        <f t="shared" si="2"/>
        <v>3499.9999999999995</v>
      </c>
      <c r="AH9" s="9" t="s">
        <v>92</v>
      </c>
    </row>
    <row r="10" spans="1:34" x14ac:dyDescent="0.25">
      <c r="A10" s="82"/>
      <c r="B10" s="6" t="s">
        <v>29</v>
      </c>
      <c r="C10" s="83" t="s">
        <v>30</v>
      </c>
      <c r="D10" s="9">
        <f t="shared" si="3"/>
        <v>0</v>
      </c>
      <c r="E10" s="24">
        <v>1</v>
      </c>
      <c r="F10" s="9">
        <v>0</v>
      </c>
      <c r="G10" s="9">
        <v>0</v>
      </c>
      <c r="H10" s="24">
        <v>1</v>
      </c>
      <c r="I10" s="84">
        <f t="shared" si="4"/>
        <v>0</v>
      </c>
      <c r="J10" s="84">
        <v>0</v>
      </c>
      <c r="K10" s="7">
        <v>155</v>
      </c>
      <c r="L10" s="8">
        <v>14.5</v>
      </c>
      <c r="M10" s="85">
        <f t="shared" si="5"/>
        <v>0.53649999999999998</v>
      </c>
      <c r="N10" s="8">
        <f t="shared" si="6"/>
        <v>10.689655172413794</v>
      </c>
      <c r="O10" s="7">
        <f t="shared" si="7"/>
        <v>0</v>
      </c>
      <c r="P10" s="44"/>
      <c r="R10" s="14" t="str">
        <f t="shared" si="0"/>
        <v>Trae</v>
      </c>
      <c r="S10" s="14" t="s">
        <v>72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6">
        <f t="shared" si="2"/>
        <v>0</v>
      </c>
      <c r="AH10" s="9" t="s">
        <v>92</v>
      </c>
    </row>
    <row r="11" spans="1:34" x14ac:dyDescent="0.25">
      <c r="A11" s="82"/>
      <c r="B11" s="6" t="s">
        <v>31</v>
      </c>
      <c r="C11" s="83" t="s">
        <v>32</v>
      </c>
      <c r="D11" s="9">
        <f t="shared" si="3"/>
        <v>0</v>
      </c>
      <c r="E11" s="24">
        <v>1</v>
      </c>
      <c r="F11" s="9">
        <v>0</v>
      </c>
      <c r="G11" s="9">
        <v>0</v>
      </c>
      <c r="H11" s="24">
        <v>1</v>
      </c>
      <c r="I11" s="84">
        <f t="shared" si="4"/>
        <v>0</v>
      </c>
      <c r="J11" s="84">
        <v>0</v>
      </c>
      <c r="K11" s="7">
        <v>525</v>
      </c>
      <c r="L11" s="8">
        <v>12</v>
      </c>
      <c r="M11" s="85">
        <f t="shared" si="5"/>
        <v>0.44399999999999995</v>
      </c>
      <c r="N11" s="8">
        <f t="shared" si="6"/>
        <v>43.75</v>
      </c>
      <c r="O11" s="7">
        <f t="shared" si="7"/>
        <v>0</v>
      </c>
      <c r="P11" s="44"/>
      <c r="R11" s="14" t="str">
        <f t="shared" si="0"/>
        <v>DagrenRast</v>
      </c>
      <c r="S11" s="14" t="s">
        <v>72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6">
        <f t="shared" si="2"/>
        <v>0</v>
      </c>
      <c r="AH11" s="9" t="s">
        <v>92</v>
      </c>
    </row>
    <row r="12" spans="1:34" x14ac:dyDescent="0.25">
      <c r="A12" s="82"/>
      <c r="B12" s="6" t="s">
        <v>33</v>
      </c>
      <c r="C12" s="83" t="s">
        <v>34</v>
      </c>
      <c r="D12" s="9">
        <f t="shared" si="3"/>
        <v>1</v>
      </c>
      <c r="E12" s="24">
        <v>1</v>
      </c>
      <c r="F12" s="9">
        <v>0</v>
      </c>
      <c r="G12" s="9">
        <v>0</v>
      </c>
      <c r="H12" s="24">
        <v>1</v>
      </c>
      <c r="I12" s="84">
        <f t="shared" si="4"/>
        <v>7800</v>
      </c>
      <c r="J12" s="84">
        <v>7800</v>
      </c>
      <c r="K12" s="7">
        <v>525</v>
      </c>
      <c r="L12" s="8">
        <v>9</v>
      </c>
      <c r="M12" s="85">
        <f t="shared" si="5"/>
        <v>0.33299999999999996</v>
      </c>
      <c r="N12" s="8">
        <f t="shared" si="6"/>
        <v>58.333333333333336</v>
      </c>
      <c r="O12" s="7">
        <f t="shared" si="7"/>
        <v>19500</v>
      </c>
      <c r="P12" s="44"/>
      <c r="R12" s="14" t="str">
        <f t="shared" si="0"/>
        <v>DagrenInst</v>
      </c>
      <c r="S12" s="14" t="s">
        <v>72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6">
        <f t="shared" si="2"/>
        <v>7800</v>
      </c>
      <c r="AH12" s="9" t="s">
        <v>92</v>
      </c>
    </row>
    <row r="13" spans="1:34" x14ac:dyDescent="0.25">
      <c r="A13" s="82"/>
      <c r="B13" s="6" t="s">
        <v>35</v>
      </c>
      <c r="C13" s="83" t="s">
        <v>36</v>
      </c>
      <c r="D13" s="9">
        <f t="shared" si="3"/>
        <v>0</v>
      </c>
      <c r="E13" s="24">
        <v>1</v>
      </c>
      <c r="F13" s="9">
        <v>0</v>
      </c>
      <c r="G13" s="9">
        <v>0</v>
      </c>
      <c r="H13" s="24">
        <v>1</v>
      </c>
      <c r="I13" s="84">
        <f t="shared" si="4"/>
        <v>0</v>
      </c>
      <c r="J13" s="84">
        <v>0</v>
      </c>
      <c r="K13" s="7">
        <v>525</v>
      </c>
      <c r="L13" s="8">
        <v>11</v>
      </c>
      <c r="M13" s="85">
        <f t="shared" si="5"/>
        <v>0.40699999999999997</v>
      </c>
      <c r="N13" s="8">
        <f t="shared" si="6"/>
        <v>47.727272727272727</v>
      </c>
      <c r="O13" s="7">
        <f t="shared" si="7"/>
        <v>0</v>
      </c>
      <c r="P13" s="44"/>
      <c r="R13" s="14" t="str">
        <f t="shared" si="0"/>
        <v>DagrenHandel</v>
      </c>
      <c r="S13" s="14" t="s">
        <v>72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6">
        <f t="shared" si="2"/>
        <v>0</v>
      </c>
      <c r="AH13" s="9" t="s">
        <v>92</v>
      </c>
    </row>
    <row r="14" spans="1:34" x14ac:dyDescent="0.25">
      <c r="A14" s="82"/>
      <c r="B14" s="6" t="s">
        <v>37</v>
      </c>
      <c r="C14" s="83" t="s">
        <v>38</v>
      </c>
      <c r="D14" s="9">
        <f t="shared" si="3"/>
        <v>0</v>
      </c>
      <c r="E14" s="24">
        <v>1</v>
      </c>
      <c r="F14" s="9">
        <v>0</v>
      </c>
      <c r="G14" s="9">
        <v>0</v>
      </c>
      <c r="H14" s="24">
        <v>1</v>
      </c>
      <c r="I14" s="84">
        <f t="shared" si="4"/>
        <v>0</v>
      </c>
      <c r="J14" s="84">
        <v>0</v>
      </c>
      <c r="K14" s="7">
        <v>525</v>
      </c>
      <c r="L14" s="8">
        <v>9.5</v>
      </c>
      <c r="M14" s="85">
        <f t="shared" si="5"/>
        <v>0.35149999999999998</v>
      </c>
      <c r="N14" s="8">
        <f t="shared" si="6"/>
        <v>55.263157894736842</v>
      </c>
      <c r="O14" s="7">
        <f t="shared" si="7"/>
        <v>0</v>
      </c>
      <c r="P14" s="44"/>
      <c r="R14" s="14" t="str">
        <f t="shared" si="0"/>
        <v>DagrenRestau</v>
      </c>
      <c r="S14" s="14" t="s">
        <v>72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6">
        <f t="shared" ref="AG14:AG30" si="8">SUM(T14:AE14)</f>
        <v>0</v>
      </c>
      <c r="AH14" s="9" t="s">
        <v>92</v>
      </c>
    </row>
    <row r="15" spans="1:34" x14ac:dyDescent="0.25">
      <c r="A15" s="82"/>
      <c r="B15" s="6" t="s">
        <v>39</v>
      </c>
      <c r="C15" s="83" t="s">
        <v>40</v>
      </c>
      <c r="D15" s="9">
        <v>1</v>
      </c>
      <c r="E15" s="24">
        <v>1</v>
      </c>
      <c r="F15" s="9">
        <v>1</v>
      </c>
      <c r="G15" s="9">
        <v>0</v>
      </c>
      <c r="H15" s="24">
        <v>1</v>
      </c>
      <c r="I15" s="84">
        <f t="shared" si="4"/>
        <v>5200</v>
      </c>
      <c r="J15" s="84">
        <v>5200</v>
      </c>
      <c r="K15" s="7">
        <v>525</v>
      </c>
      <c r="L15" s="8">
        <v>9</v>
      </c>
      <c r="M15" s="85">
        <f t="shared" si="5"/>
        <v>0.33299999999999996</v>
      </c>
      <c r="N15" s="8">
        <f t="shared" si="6"/>
        <v>58.333333333333336</v>
      </c>
      <c r="O15" s="7">
        <f t="shared" si="7"/>
        <v>13000</v>
      </c>
      <c r="P15" s="44"/>
      <c r="R15" s="14" t="str">
        <f t="shared" si="0"/>
        <v>Erhverv</v>
      </c>
      <c r="S15" s="14" t="s">
        <v>72</v>
      </c>
      <c r="T15" s="21">
        <f t="shared" si="1"/>
        <v>5200</v>
      </c>
      <c r="U15" s="21">
        <f t="shared" si="1"/>
        <v>5200</v>
      </c>
      <c r="V15" s="21">
        <f t="shared" si="1"/>
        <v>5200</v>
      </c>
      <c r="W15" s="21">
        <f t="shared" si="1"/>
        <v>5200</v>
      </c>
      <c r="X15" s="21">
        <f t="shared" si="1"/>
        <v>5200</v>
      </c>
      <c r="Y15" s="21">
        <f t="shared" si="1"/>
        <v>5200</v>
      </c>
      <c r="Z15" s="21">
        <f t="shared" si="1"/>
        <v>5200</v>
      </c>
      <c r="AA15" s="21">
        <f t="shared" si="1"/>
        <v>5200</v>
      </c>
      <c r="AB15" s="21">
        <f t="shared" si="1"/>
        <v>5200</v>
      </c>
      <c r="AC15" s="21">
        <f t="shared" si="1"/>
        <v>5200</v>
      </c>
      <c r="AD15" s="21">
        <f t="shared" si="1"/>
        <v>5200</v>
      </c>
      <c r="AE15" s="21">
        <f t="shared" si="1"/>
        <v>5200</v>
      </c>
      <c r="AF15" s="14"/>
      <c r="AG15" s="26">
        <f t="shared" si="8"/>
        <v>62400</v>
      </c>
      <c r="AH15" s="9" t="s">
        <v>92</v>
      </c>
    </row>
    <row r="16" spans="1:34" x14ac:dyDescent="0.25">
      <c r="A16" s="82"/>
      <c r="B16" s="6" t="s">
        <v>41</v>
      </c>
      <c r="C16" s="83" t="s">
        <v>42</v>
      </c>
      <c r="D16" s="9">
        <f t="shared" si="3"/>
        <v>1</v>
      </c>
      <c r="E16" s="24">
        <v>1</v>
      </c>
      <c r="F16" s="9">
        <v>0</v>
      </c>
      <c r="G16" s="9">
        <v>0</v>
      </c>
      <c r="H16" s="24">
        <v>1</v>
      </c>
      <c r="I16" s="84">
        <f t="shared" si="4"/>
        <v>500</v>
      </c>
      <c r="J16" s="84">
        <v>500</v>
      </c>
      <c r="K16" s="7">
        <v>785</v>
      </c>
      <c r="L16" s="8">
        <v>12</v>
      </c>
      <c r="M16" s="85">
        <f t="shared" si="5"/>
        <v>0.44399999999999995</v>
      </c>
      <c r="N16" s="8">
        <f t="shared" si="6"/>
        <v>65.416666666666671</v>
      </c>
      <c r="O16" s="7">
        <f t="shared" si="7"/>
        <v>1666.6666666666665</v>
      </c>
      <c r="P16" s="44"/>
      <c r="R16" s="14" t="str">
        <f t="shared" si="0"/>
        <v>DagrenErhverv</v>
      </c>
      <c r="S16" s="14" t="s">
        <v>72</v>
      </c>
      <c r="T16" s="21">
        <f t="shared" si="1"/>
        <v>41.666666666666664</v>
      </c>
      <c r="U16" s="21">
        <f t="shared" si="1"/>
        <v>41.666666666666664</v>
      </c>
      <c r="V16" s="21">
        <f t="shared" si="1"/>
        <v>41.666666666666664</v>
      </c>
      <c r="W16" s="21">
        <f t="shared" si="1"/>
        <v>41.666666666666664</v>
      </c>
      <c r="X16" s="21">
        <f t="shared" si="1"/>
        <v>41.666666666666664</v>
      </c>
      <c r="Y16" s="21">
        <f t="shared" si="1"/>
        <v>41.666666666666664</v>
      </c>
      <c r="Z16" s="21">
        <f t="shared" si="1"/>
        <v>41.666666666666664</v>
      </c>
      <c r="AA16" s="21">
        <f t="shared" si="1"/>
        <v>41.666666666666664</v>
      </c>
      <c r="AB16" s="21">
        <f t="shared" si="1"/>
        <v>41.666666666666664</v>
      </c>
      <c r="AC16" s="21">
        <f t="shared" si="1"/>
        <v>41.666666666666664</v>
      </c>
      <c r="AD16" s="21">
        <f t="shared" si="1"/>
        <v>41.666666666666664</v>
      </c>
      <c r="AE16" s="21">
        <f t="shared" si="1"/>
        <v>41.666666666666664</v>
      </c>
      <c r="AF16" s="14"/>
      <c r="AG16" s="26">
        <f t="shared" si="8"/>
        <v>500.00000000000006</v>
      </c>
      <c r="AH16" s="9" t="s">
        <v>92</v>
      </c>
    </row>
    <row r="17" spans="1:37" x14ac:dyDescent="0.25">
      <c r="A17" s="82"/>
      <c r="B17" s="6" t="s">
        <v>43</v>
      </c>
      <c r="C17" s="86" t="s">
        <v>44</v>
      </c>
      <c r="D17" s="9">
        <f t="shared" si="3"/>
        <v>0</v>
      </c>
      <c r="E17" s="24">
        <v>1</v>
      </c>
      <c r="F17" s="9">
        <v>0</v>
      </c>
      <c r="G17" s="9">
        <v>0</v>
      </c>
      <c r="H17" s="24">
        <v>1</v>
      </c>
      <c r="I17" s="84">
        <f t="shared" si="4"/>
        <v>0</v>
      </c>
      <c r="J17" s="84">
        <v>0</v>
      </c>
      <c r="K17" s="7">
        <v>0</v>
      </c>
      <c r="L17" s="8">
        <v>10</v>
      </c>
      <c r="M17" s="85">
        <f t="shared" si="5"/>
        <v>0.37</v>
      </c>
      <c r="N17" s="8">
        <f t="shared" si="6"/>
        <v>0</v>
      </c>
      <c r="O17" s="7">
        <f t="shared" si="7"/>
        <v>0</v>
      </c>
      <c r="P17" s="44"/>
      <c r="R17" s="14" t="str">
        <f t="shared" si="0"/>
        <v>HandelKontor</v>
      </c>
      <c r="S17" s="14" t="s">
        <v>72</v>
      </c>
      <c r="T17" s="21">
        <f t="shared" si="1"/>
        <v>0</v>
      </c>
      <c r="U17" s="21">
        <f t="shared" si="1"/>
        <v>0</v>
      </c>
      <c r="V17" s="21">
        <f t="shared" si="1"/>
        <v>0</v>
      </c>
      <c r="W17" s="21">
        <f t="shared" si="1"/>
        <v>0</v>
      </c>
      <c r="X17" s="21">
        <f t="shared" si="1"/>
        <v>0</v>
      </c>
      <c r="Y17" s="21">
        <f t="shared" si="1"/>
        <v>0</v>
      </c>
      <c r="Z17" s="21">
        <f t="shared" si="1"/>
        <v>0</v>
      </c>
      <c r="AA17" s="21">
        <f t="shared" si="1"/>
        <v>0</v>
      </c>
      <c r="AB17" s="21">
        <f t="shared" si="1"/>
        <v>0</v>
      </c>
      <c r="AC17" s="21">
        <f t="shared" si="1"/>
        <v>0</v>
      </c>
      <c r="AD17" s="21">
        <f t="shared" si="1"/>
        <v>0</v>
      </c>
      <c r="AE17" s="21">
        <f t="shared" si="1"/>
        <v>0</v>
      </c>
      <c r="AF17" s="14"/>
      <c r="AG17" s="26">
        <f t="shared" si="8"/>
        <v>0</v>
      </c>
      <c r="AH17" s="9" t="s">
        <v>92</v>
      </c>
    </row>
    <row r="18" spans="1:37" x14ac:dyDescent="0.25">
      <c r="A18" s="82"/>
      <c r="B18" s="6" t="s">
        <v>45</v>
      </c>
      <c r="C18" s="83" t="s">
        <v>46</v>
      </c>
      <c r="D18" s="9">
        <f t="shared" si="3"/>
        <v>0</v>
      </c>
      <c r="E18" s="24">
        <v>1</v>
      </c>
      <c r="F18" s="9">
        <v>0</v>
      </c>
      <c r="G18" s="9">
        <v>0</v>
      </c>
      <c r="H18" s="24">
        <v>1</v>
      </c>
      <c r="I18" s="84">
        <f t="shared" si="4"/>
        <v>0</v>
      </c>
      <c r="J18" s="84">
        <v>0</v>
      </c>
      <c r="K18" s="7">
        <v>525</v>
      </c>
      <c r="L18" s="8">
        <v>11</v>
      </c>
      <c r="M18" s="85">
        <f t="shared" si="5"/>
        <v>0.40699999999999997</v>
      </c>
      <c r="N18" s="8">
        <f t="shared" si="6"/>
        <v>47.727272727272727</v>
      </c>
      <c r="O18" s="7">
        <f t="shared" si="7"/>
        <v>0</v>
      </c>
      <c r="P18" s="44"/>
      <c r="R18" s="14" t="str">
        <f t="shared" si="0"/>
        <v>Privat</v>
      </c>
      <c r="S18" s="14" t="s">
        <v>72</v>
      </c>
      <c r="T18" s="21">
        <f t="shared" si="1"/>
        <v>0</v>
      </c>
      <c r="U18" s="21">
        <f t="shared" si="1"/>
        <v>0</v>
      </c>
      <c r="V18" s="21">
        <f t="shared" si="1"/>
        <v>0</v>
      </c>
      <c r="W18" s="21">
        <f t="shared" si="1"/>
        <v>0</v>
      </c>
      <c r="X18" s="21">
        <f t="shared" si="1"/>
        <v>0</v>
      </c>
      <c r="Y18" s="21">
        <f t="shared" si="1"/>
        <v>0</v>
      </c>
      <c r="Z18" s="21">
        <f t="shared" si="1"/>
        <v>0</v>
      </c>
      <c r="AA18" s="21">
        <f t="shared" si="1"/>
        <v>0</v>
      </c>
      <c r="AB18" s="21">
        <f t="shared" si="1"/>
        <v>0</v>
      </c>
      <c r="AC18" s="21">
        <f t="shared" si="1"/>
        <v>0</v>
      </c>
      <c r="AD18" s="21">
        <f t="shared" si="1"/>
        <v>0</v>
      </c>
      <c r="AE18" s="21">
        <f t="shared" si="1"/>
        <v>0</v>
      </c>
      <c r="AF18" s="14"/>
      <c r="AG18" s="26">
        <f t="shared" si="8"/>
        <v>0</v>
      </c>
      <c r="AH18" s="9" t="s">
        <v>92</v>
      </c>
    </row>
    <row r="19" spans="1:37" x14ac:dyDescent="0.25">
      <c r="A19" s="82"/>
      <c r="B19" s="6" t="s">
        <v>47</v>
      </c>
      <c r="C19" s="83" t="s">
        <v>48</v>
      </c>
      <c r="D19" s="9">
        <v>1</v>
      </c>
      <c r="E19" s="24">
        <v>1</v>
      </c>
      <c r="F19" s="9">
        <v>0</v>
      </c>
      <c r="G19" s="9">
        <v>0</v>
      </c>
      <c r="H19" s="24">
        <v>1</v>
      </c>
      <c r="I19" s="84">
        <f t="shared" si="4"/>
        <v>40000</v>
      </c>
      <c r="J19" s="84">
        <v>40000</v>
      </c>
      <c r="K19" s="7">
        <v>399.97499999999997</v>
      </c>
      <c r="L19" s="8">
        <v>10.5</v>
      </c>
      <c r="M19" s="85">
        <f t="shared" si="5"/>
        <v>0.38849999999999996</v>
      </c>
      <c r="N19" s="8">
        <f t="shared" si="6"/>
        <v>38.092857142857142</v>
      </c>
      <c r="O19" s="7">
        <f t="shared" si="7"/>
        <v>116666.66666666666</v>
      </c>
      <c r="P19" s="44"/>
      <c r="R19" s="14" t="str">
        <f t="shared" si="0"/>
        <v>TyskRest</v>
      </c>
      <c r="S19" s="14" t="s">
        <v>72</v>
      </c>
      <c r="T19" s="21">
        <f t="shared" si="1"/>
        <v>3333.3333333333335</v>
      </c>
      <c r="U19" s="21">
        <f t="shared" si="1"/>
        <v>3333.3333333333335</v>
      </c>
      <c r="V19" s="21">
        <f t="shared" si="1"/>
        <v>3333.3333333333335</v>
      </c>
      <c r="W19" s="21">
        <f t="shared" si="1"/>
        <v>3333.3333333333335</v>
      </c>
      <c r="X19" s="21">
        <f t="shared" si="1"/>
        <v>3333.3333333333335</v>
      </c>
      <c r="Y19" s="21">
        <f t="shared" si="1"/>
        <v>3333.3333333333335</v>
      </c>
      <c r="Z19" s="21">
        <f t="shared" si="1"/>
        <v>3333.3333333333335</v>
      </c>
      <c r="AA19" s="21">
        <f t="shared" si="1"/>
        <v>3333.3333333333335</v>
      </c>
      <c r="AB19" s="21">
        <f t="shared" si="1"/>
        <v>3333.3333333333335</v>
      </c>
      <c r="AC19" s="21">
        <f t="shared" si="1"/>
        <v>3333.3333333333335</v>
      </c>
      <c r="AD19" s="21">
        <f t="shared" si="1"/>
        <v>3333.3333333333335</v>
      </c>
      <c r="AE19" s="21">
        <f t="shared" si="1"/>
        <v>3333.3333333333335</v>
      </c>
      <c r="AF19" s="14"/>
      <c r="AG19" s="26">
        <f t="shared" si="8"/>
        <v>40000</v>
      </c>
      <c r="AH19" s="9" t="s">
        <v>92</v>
      </c>
    </row>
    <row r="20" spans="1:37" x14ac:dyDescent="0.25">
      <c r="A20" s="82"/>
      <c r="B20" s="6" t="s">
        <v>49</v>
      </c>
      <c r="C20" s="83" t="s">
        <v>50</v>
      </c>
      <c r="D20" s="9">
        <f t="shared" si="3"/>
        <v>1</v>
      </c>
      <c r="E20" s="24">
        <v>1</v>
      </c>
      <c r="F20" s="9">
        <v>0</v>
      </c>
      <c r="G20" s="9">
        <v>0</v>
      </c>
      <c r="H20" s="24">
        <v>1</v>
      </c>
      <c r="I20" s="84">
        <f t="shared" si="4"/>
        <v>2000</v>
      </c>
      <c r="J20" s="84">
        <v>2000</v>
      </c>
      <c r="K20" s="7">
        <v>515</v>
      </c>
      <c r="L20" s="8">
        <v>10.5</v>
      </c>
      <c r="M20" s="85">
        <f t="shared" si="5"/>
        <v>0.38849999999999996</v>
      </c>
      <c r="N20" s="8">
        <f t="shared" si="6"/>
        <v>49.047619047619051</v>
      </c>
      <c r="O20" s="7">
        <f t="shared" si="7"/>
        <v>5833.333333333333</v>
      </c>
      <c r="P20" s="44"/>
      <c r="R20" s="14" t="str">
        <f t="shared" si="0"/>
        <v>PolskRest</v>
      </c>
      <c r="S20" s="14" t="s">
        <v>72</v>
      </c>
      <c r="T20" s="21">
        <f t="shared" si="1"/>
        <v>166.66666666666666</v>
      </c>
      <c r="U20" s="21">
        <f t="shared" si="1"/>
        <v>166.66666666666666</v>
      </c>
      <c r="V20" s="21">
        <f t="shared" si="1"/>
        <v>166.66666666666666</v>
      </c>
      <c r="W20" s="21">
        <f t="shared" si="1"/>
        <v>166.66666666666666</v>
      </c>
      <c r="X20" s="21">
        <f t="shared" si="1"/>
        <v>166.66666666666666</v>
      </c>
      <c r="Y20" s="21">
        <f t="shared" si="1"/>
        <v>166.66666666666666</v>
      </c>
      <c r="Z20" s="21">
        <f t="shared" si="1"/>
        <v>166.66666666666666</v>
      </c>
      <c r="AA20" s="21">
        <f t="shared" si="1"/>
        <v>166.66666666666666</v>
      </c>
      <c r="AB20" s="21">
        <f t="shared" si="1"/>
        <v>166.66666666666666</v>
      </c>
      <c r="AC20" s="21">
        <f t="shared" si="1"/>
        <v>166.66666666666666</v>
      </c>
      <c r="AD20" s="21">
        <f t="shared" si="1"/>
        <v>166.66666666666666</v>
      </c>
      <c r="AE20" s="21">
        <f t="shared" si="1"/>
        <v>166.66666666666666</v>
      </c>
      <c r="AF20" s="14"/>
      <c r="AG20" s="26">
        <f t="shared" si="8"/>
        <v>2000.0000000000002</v>
      </c>
      <c r="AH20" s="9" t="s">
        <v>92</v>
      </c>
    </row>
    <row r="21" spans="1:37" x14ac:dyDescent="0.25">
      <c r="A21" s="82"/>
      <c r="B21" s="6" t="s">
        <v>51</v>
      </c>
      <c r="C21" s="86" t="s">
        <v>52</v>
      </c>
      <c r="D21" s="9">
        <f t="shared" si="3"/>
        <v>0</v>
      </c>
      <c r="E21" s="24">
        <v>1</v>
      </c>
      <c r="F21" s="9">
        <v>1</v>
      </c>
      <c r="G21" s="9">
        <v>0</v>
      </c>
      <c r="H21" s="24">
        <v>1</v>
      </c>
      <c r="I21" s="84">
        <f t="shared" si="4"/>
        <v>0</v>
      </c>
      <c r="J21" s="84">
        <v>0</v>
      </c>
      <c r="K21" s="7">
        <v>0</v>
      </c>
      <c r="L21" s="8">
        <v>13</v>
      </c>
      <c r="M21" s="87">
        <v>0</v>
      </c>
      <c r="N21" s="8">
        <f t="shared" si="6"/>
        <v>0</v>
      </c>
      <c r="O21" s="7">
        <f t="shared" si="7"/>
        <v>0</v>
      </c>
      <c r="P21" s="44"/>
      <c r="R21" s="14" t="str">
        <f t="shared" si="0"/>
        <v>PcbTrae</v>
      </c>
      <c r="S21" s="14" t="s">
        <v>72</v>
      </c>
      <c r="T21" s="21">
        <f t="shared" ref="T21:AE33" si="9">IF(($F21=0),$J21/12,$J21)</f>
        <v>0</v>
      </c>
      <c r="U21" s="21">
        <f t="shared" si="9"/>
        <v>0</v>
      </c>
      <c r="V21" s="21">
        <f t="shared" si="9"/>
        <v>0</v>
      </c>
      <c r="W21" s="21">
        <f t="shared" si="9"/>
        <v>0</v>
      </c>
      <c r="X21" s="21">
        <f t="shared" si="9"/>
        <v>0</v>
      </c>
      <c r="Y21" s="21">
        <f t="shared" si="9"/>
        <v>0</v>
      </c>
      <c r="Z21" s="21">
        <f t="shared" si="9"/>
        <v>0</v>
      </c>
      <c r="AA21" s="21">
        <f t="shared" si="9"/>
        <v>0</v>
      </c>
      <c r="AB21" s="21">
        <f t="shared" si="9"/>
        <v>0</v>
      </c>
      <c r="AC21" s="21">
        <f t="shared" si="9"/>
        <v>0</v>
      </c>
      <c r="AD21" s="21">
        <f t="shared" si="9"/>
        <v>0</v>
      </c>
      <c r="AE21" s="21">
        <f t="shared" si="9"/>
        <v>0</v>
      </c>
      <c r="AF21" s="14"/>
      <c r="AG21" s="26">
        <f t="shared" si="8"/>
        <v>0</v>
      </c>
      <c r="AH21" s="9" t="s">
        <v>92</v>
      </c>
    </row>
    <row r="22" spans="1:37" x14ac:dyDescent="0.25">
      <c r="A22" s="82"/>
      <c r="B22" s="6" t="s">
        <v>55</v>
      </c>
      <c r="C22" s="86" t="s">
        <v>56</v>
      </c>
      <c r="D22" s="9">
        <v>0</v>
      </c>
      <c r="E22" s="24">
        <v>1</v>
      </c>
      <c r="F22" s="9">
        <v>1</v>
      </c>
      <c r="G22" s="9">
        <v>0</v>
      </c>
      <c r="H22" s="24">
        <v>1</v>
      </c>
      <c r="I22" s="84">
        <f t="shared" si="4"/>
        <v>1500</v>
      </c>
      <c r="J22" s="84">
        <v>1500</v>
      </c>
      <c r="K22" s="7">
        <v>0</v>
      </c>
      <c r="L22" s="8">
        <v>14.5</v>
      </c>
      <c r="M22" s="87">
        <v>0</v>
      </c>
      <c r="N22" s="8">
        <f t="shared" si="6"/>
        <v>0</v>
      </c>
      <c r="O22" s="7">
        <f t="shared" si="7"/>
        <v>6041.666666666667</v>
      </c>
      <c r="P22" s="44"/>
      <c r="R22" s="14" t="str">
        <f t="shared" si="0"/>
        <v>TraeRekv</v>
      </c>
      <c r="S22" s="14" t="s">
        <v>72</v>
      </c>
      <c r="T22" s="21">
        <f t="shared" si="9"/>
        <v>1500</v>
      </c>
      <c r="U22" s="21">
        <f t="shared" si="9"/>
        <v>1500</v>
      </c>
      <c r="V22" s="21">
        <f t="shared" si="9"/>
        <v>1500</v>
      </c>
      <c r="W22" s="21">
        <f t="shared" si="9"/>
        <v>1500</v>
      </c>
      <c r="X22" s="21">
        <f t="shared" si="9"/>
        <v>1500</v>
      </c>
      <c r="Y22" s="21">
        <f t="shared" si="9"/>
        <v>1500</v>
      </c>
      <c r="Z22" s="21">
        <f t="shared" si="9"/>
        <v>1500</v>
      </c>
      <c r="AA22" s="21">
        <f t="shared" si="9"/>
        <v>1500</v>
      </c>
      <c r="AB22" s="21">
        <f t="shared" si="9"/>
        <v>1500</v>
      </c>
      <c r="AC22" s="21">
        <f t="shared" si="9"/>
        <v>1500</v>
      </c>
      <c r="AD22" s="21">
        <f t="shared" si="9"/>
        <v>1500</v>
      </c>
      <c r="AE22" s="21">
        <f t="shared" si="9"/>
        <v>1500</v>
      </c>
      <c r="AF22" s="14"/>
      <c r="AG22" s="26">
        <f t="shared" si="8"/>
        <v>18000</v>
      </c>
      <c r="AH22" s="9" t="s">
        <v>92</v>
      </c>
    </row>
    <row r="23" spans="1:37" x14ac:dyDescent="0.25">
      <c r="A23" s="82"/>
      <c r="B23" s="6" t="s">
        <v>57</v>
      </c>
      <c r="C23" s="83" t="s">
        <v>58</v>
      </c>
      <c r="D23" s="9">
        <f t="shared" si="3"/>
        <v>0</v>
      </c>
      <c r="E23" s="24">
        <v>1</v>
      </c>
      <c r="F23" s="9">
        <v>0</v>
      </c>
      <c r="G23" s="9">
        <v>0</v>
      </c>
      <c r="H23" s="24">
        <v>1</v>
      </c>
      <c r="I23" s="84">
        <f t="shared" si="4"/>
        <v>0</v>
      </c>
      <c r="J23" s="84">
        <v>0</v>
      </c>
      <c r="K23" s="7">
        <v>0</v>
      </c>
      <c r="L23" s="8">
        <v>14.7</v>
      </c>
      <c r="M23" s="87">
        <v>0</v>
      </c>
      <c r="N23" s="8">
        <f t="shared" si="6"/>
        <v>0</v>
      </c>
      <c r="O23" s="7">
        <f t="shared" si="7"/>
        <v>0</v>
      </c>
      <c r="P23" s="44"/>
      <c r="R23" s="14" t="str">
        <f t="shared" si="0"/>
        <v>Halm</v>
      </c>
      <c r="S23" s="14" t="s">
        <v>72</v>
      </c>
      <c r="T23" s="21">
        <f t="shared" si="9"/>
        <v>0</v>
      </c>
      <c r="U23" s="21">
        <f t="shared" si="9"/>
        <v>0</v>
      </c>
      <c r="V23" s="21">
        <f t="shared" si="9"/>
        <v>0</v>
      </c>
      <c r="W23" s="21">
        <f t="shared" si="9"/>
        <v>0</v>
      </c>
      <c r="X23" s="21">
        <f t="shared" si="9"/>
        <v>0</v>
      </c>
      <c r="Y23" s="21">
        <f t="shared" si="9"/>
        <v>0</v>
      </c>
      <c r="Z23" s="21">
        <f t="shared" si="9"/>
        <v>0</v>
      </c>
      <c r="AA23" s="21">
        <f t="shared" si="9"/>
        <v>0</v>
      </c>
      <c r="AB23" s="21">
        <f t="shared" si="9"/>
        <v>0</v>
      </c>
      <c r="AC23" s="21">
        <f t="shared" si="9"/>
        <v>0</v>
      </c>
      <c r="AD23" s="21">
        <f t="shared" si="9"/>
        <v>0</v>
      </c>
      <c r="AE23" s="21">
        <f t="shared" si="9"/>
        <v>0</v>
      </c>
      <c r="AF23" s="14"/>
      <c r="AG23" s="26">
        <f t="shared" si="8"/>
        <v>0</v>
      </c>
      <c r="AH23" s="9" t="s">
        <v>92</v>
      </c>
    </row>
    <row r="24" spans="1:37" x14ac:dyDescent="0.25">
      <c r="A24" s="82"/>
      <c r="B24" s="6" t="s">
        <v>59</v>
      </c>
      <c r="C24" s="83" t="s">
        <v>68</v>
      </c>
      <c r="D24" s="9">
        <f t="shared" si="3"/>
        <v>1</v>
      </c>
      <c r="E24" s="24">
        <v>1</v>
      </c>
      <c r="F24" s="9">
        <v>0</v>
      </c>
      <c r="G24" s="9">
        <v>0</v>
      </c>
      <c r="H24" s="24">
        <v>1</v>
      </c>
      <c r="I24" s="84">
        <f t="shared" si="4"/>
        <v>120</v>
      </c>
      <c r="J24" s="84">
        <v>120</v>
      </c>
      <c r="K24" s="7">
        <v>685</v>
      </c>
      <c r="L24" s="8">
        <v>14</v>
      </c>
      <c r="M24" s="87">
        <v>0</v>
      </c>
      <c r="N24" s="8">
        <f t="shared" si="6"/>
        <v>48.928571428571431</v>
      </c>
      <c r="O24" s="7">
        <f t="shared" si="7"/>
        <v>466.66666666666663</v>
      </c>
      <c r="P24" s="44"/>
      <c r="R24" s="14" t="str">
        <f t="shared" si="0"/>
        <v>Pulver</v>
      </c>
      <c r="S24" s="14" t="s">
        <v>72</v>
      </c>
      <c r="T24" s="21">
        <f t="shared" si="9"/>
        <v>10</v>
      </c>
      <c r="U24" s="21">
        <f t="shared" si="9"/>
        <v>10</v>
      </c>
      <c r="V24" s="21">
        <f t="shared" si="9"/>
        <v>10</v>
      </c>
      <c r="W24" s="21">
        <f t="shared" si="9"/>
        <v>10</v>
      </c>
      <c r="X24" s="21">
        <f t="shared" si="9"/>
        <v>10</v>
      </c>
      <c r="Y24" s="21">
        <f t="shared" si="9"/>
        <v>10</v>
      </c>
      <c r="Z24" s="21">
        <f t="shared" si="9"/>
        <v>10</v>
      </c>
      <c r="AA24" s="21">
        <f t="shared" si="9"/>
        <v>10</v>
      </c>
      <c r="AB24" s="21">
        <f t="shared" si="9"/>
        <v>10</v>
      </c>
      <c r="AC24" s="21">
        <f t="shared" si="9"/>
        <v>10</v>
      </c>
      <c r="AD24" s="21">
        <f t="shared" si="9"/>
        <v>10</v>
      </c>
      <c r="AE24" s="21">
        <f t="shared" si="9"/>
        <v>10</v>
      </c>
      <c r="AF24" s="14"/>
      <c r="AG24" s="26">
        <f t="shared" si="8"/>
        <v>120</v>
      </c>
      <c r="AH24" s="9" t="s">
        <v>92</v>
      </c>
    </row>
    <row r="25" spans="1:37" x14ac:dyDescent="0.25">
      <c r="A25" s="82"/>
      <c r="B25" s="6" t="s">
        <v>53</v>
      </c>
      <c r="C25" s="83" t="s">
        <v>96</v>
      </c>
      <c r="D25" s="9">
        <f t="shared" si="3"/>
        <v>1</v>
      </c>
      <c r="E25" s="24">
        <v>1</v>
      </c>
      <c r="F25" s="9">
        <v>1</v>
      </c>
      <c r="G25" s="9">
        <v>0</v>
      </c>
      <c r="H25" s="24">
        <v>1</v>
      </c>
      <c r="I25" s="84">
        <f t="shared" si="4"/>
        <v>150</v>
      </c>
      <c r="J25" s="84">
        <v>150</v>
      </c>
      <c r="K25" s="7">
        <v>155</v>
      </c>
      <c r="L25" s="8">
        <v>14.5</v>
      </c>
      <c r="M25" s="87">
        <v>0</v>
      </c>
      <c r="N25" s="8">
        <f t="shared" si="6"/>
        <v>10.689655172413794</v>
      </c>
      <c r="O25" s="7">
        <f t="shared" si="7"/>
        <v>604.16666666666663</v>
      </c>
      <c r="P25" s="44"/>
      <c r="R25" s="14" t="str">
        <f t="shared" si="0"/>
        <v>FlisAffald</v>
      </c>
      <c r="S25" s="14" t="s">
        <v>72</v>
      </c>
      <c r="T25" s="21">
        <f t="shared" si="9"/>
        <v>150</v>
      </c>
      <c r="U25" s="21">
        <f t="shared" si="9"/>
        <v>150</v>
      </c>
      <c r="V25" s="21">
        <f t="shared" si="9"/>
        <v>150</v>
      </c>
      <c r="W25" s="21">
        <f t="shared" si="9"/>
        <v>150</v>
      </c>
      <c r="X25" s="21">
        <f t="shared" si="9"/>
        <v>150</v>
      </c>
      <c r="Y25" s="21">
        <f t="shared" si="9"/>
        <v>150</v>
      </c>
      <c r="Z25" s="21">
        <f t="shared" si="9"/>
        <v>150</v>
      </c>
      <c r="AA25" s="21">
        <f t="shared" si="9"/>
        <v>150</v>
      </c>
      <c r="AB25" s="21">
        <f t="shared" si="9"/>
        <v>150</v>
      </c>
      <c r="AC25" s="21">
        <f t="shared" si="9"/>
        <v>150</v>
      </c>
      <c r="AD25" s="21">
        <f t="shared" si="9"/>
        <v>150</v>
      </c>
      <c r="AE25" s="21">
        <f t="shared" si="9"/>
        <v>150</v>
      </c>
      <c r="AF25" s="14"/>
      <c r="AG25" s="26">
        <f t="shared" si="8"/>
        <v>1800</v>
      </c>
      <c r="AH25" s="9" t="s">
        <v>92</v>
      </c>
    </row>
    <row r="26" spans="1:37" x14ac:dyDescent="0.25">
      <c r="A26" s="88"/>
      <c r="B26" s="89" t="s">
        <v>247</v>
      </c>
      <c r="C26" s="89" t="s">
        <v>248</v>
      </c>
      <c r="D26" s="90">
        <v>1</v>
      </c>
      <c r="E26" s="24">
        <v>1</v>
      </c>
      <c r="F26" s="90">
        <v>0</v>
      </c>
      <c r="G26" s="90">
        <v>0</v>
      </c>
      <c r="H26" s="90">
        <v>1</v>
      </c>
      <c r="I26" s="91">
        <f t="shared" si="4"/>
        <v>50000</v>
      </c>
      <c r="J26" s="91">
        <v>50000</v>
      </c>
      <c r="K26" s="92">
        <v>400</v>
      </c>
      <c r="L26" s="93">
        <v>11.5</v>
      </c>
      <c r="M26" s="94">
        <f t="shared" ref="M26:M27" si="10">L26*0.037</f>
        <v>0.42549999999999999</v>
      </c>
      <c r="N26" s="93">
        <f t="shared" si="6"/>
        <v>34.782608695652172</v>
      </c>
      <c r="O26" s="92">
        <f t="shared" si="7"/>
        <v>159722.22222222222</v>
      </c>
      <c r="P26" s="44"/>
      <c r="R26" s="14" t="str">
        <f t="shared" si="0"/>
        <v>NyAff1</v>
      </c>
      <c r="S26" s="14" t="s">
        <v>72</v>
      </c>
      <c r="T26" s="21">
        <f t="shared" si="9"/>
        <v>4166.666666666667</v>
      </c>
      <c r="U26" s="21">
        <f t="shared" si="9"/>
        <v>4166.666666666667</v>
      </c>
      <c r="V26" s="21">
        <f t="shared" si="9"/>
        <v>4166.666666666667</v>
      </c>
      <c r="W26" s="21">
        <f t="shared" si="9"/>
        <v>4166.666666666667</v>
      </c>
      <c r="X26" s="21">
        <f t="shared" si="9"/>
        <v>4166.666666666667</v>
      </c>
      <c r="Y26" s="21">
        <f t="shared" si="9"/>
        <v>4166.666666666667</v>
      </c>
      <c r="Z26" s="21">
        <f t="shared" si="9"/>
        <v>4166.666666666667</v>
      </c>
      <c r="AA26" s="21">
        <f t="shared" si="9"/>
        <v>4166.666666666667</v>
      </c>
      <c r="AB26" s="21">
        <f t="shared" si="9"/>
        <v>4166.666666666667</v>
      </c>
      <c r="AC26" s="21">
        <f t="shared" si="9"/>
        <v>4166.666666666667</v>
      </c>
      <c r="AD26" s="21">
        <f t="shared" si="9"/>
        <v>4166.666666666667</v>
      </c>
      <c r="AE26" s="21">
        <f t="shared" si="9"/>
        <v>4166.666666666667</v>
      </c>
      <c r="AF26" s="14"/>
      <c r="AG26" s="26">
        <f t="shared" si="8"/>
        <v>49999.999999999993</v>
      </c>
      <c r="AH26" s="9" t="s">
        <v>92</v>
      </c>
    </row>
    <row r="27" spans="1:37" x14ac:dyDescent="0.25">
      <c r="A27" s="88"/>
      <c r="B27" s="89" t="s">
        <v>249</v>
      </c>
      <c r="C27" s="89" t="s">
        <v>250</v>
      </c>
      <c r="D27" s="90">
        <v>1</v>
      </c>
      <c r="E27" s="24">
        <v>1</v>
      </c>
      <c r="F27" s="90">
        <v>0</v>
      </c>
      <c r="G27" s="24">
        <v>1</v>
      </c>
      <c r="H27" s="90">
        <v>1</v>
      </c>
      <c r="I27" s="91">
        <f t="shared" si="4"/>
        <v>0</v>
      </c>
      <c r="J27" s="91">
        <v>40000</v>
      </c>
      <c r="K27" s="92">
        <v>450</v>
      </c>
      <c r="L27" s="93">
        <v>10.5</v>
      </c>
      <c r="M27" s="94">
        <f t="shared" si="10"/>
        <v>0.38849999999999996</v>
      </c>
      <c r="N27" s="93">
        <f t="shared" si="6"/>
        <v>42.857142857142854</v>
      </c>
      <c r="O27" s="92">
        <f t="shared" si="7"/>
        <v>116666.66666666666</v>
      </c>
      <c r="P27" s="44"/>
      <c r="R27" s="14" t="str">
        <f t="shared" si="0"/>
        <v>NyAff2</v>
      </c>
      <c r="S27" s="14" t="s">
        <v>72</v>
      </c>
      <c r="T27" s="21">
        <f t="shared" si="9"/>
        <v>3333.3333333333335</v>
      </c>
      <c r="U27" s="21">
        <f t="shared" si="9"/>
        <v>3333.3333333333335</v>
      </c>
      <c r="V27" s="21">
        <f t="shared" si="9"/>
        <v>3333.3333333333335</v>
      </c>
      <c r="W27" s="21">
        <f t="shared" si="9"/>
        <v>3333.3333333333335</v>
      </c>
      <c r="X27" s="21">
        <f t="shared" si="9"/>
        <v>3333.3333333333335</v>
      </c>
      <c r="Y27" s="21">
        <f t="shared" si="9"/>
        <v>3333.3333333333335</v>
      </c>
      <c r="Z27" s="21">
        <f t="shared" si="9"/>
        <v>3333.3333333333335</v>
      </c>
      <c r="AA27" s="21">
        <f t="shared" si="9"/>
        <v>3333.3333333333335</v>
      </c>
      <c r="AB27" s="21">
        <f t="shared" si="9"/>
        <v>3333.3333333333335</v>
      </c>
      <c r="AC27" s="21">
        <f t="shared" si="9"/>
        <v>3333.3333333333335</v>
      </c>
      <c r="AD27" s="21">
        <f t="shared" si="9"/>
        <v>3333.3333333333335</v>
      </c>
      <c r="AE27" s="21">
        <f t="shared" si="9"/>
        <v>3333.3333333333335</v>
      </c>
      <c r="AF27" s="14"/>
      <c r="AG27" s="26">
        <f t="shared" si="8"/>
        <v>40000</v>
      </c>
      <c r="AH27" s="9" t="s">
        <v>92</v>
      </c>
    </row>
    <row r="28" spans="1:37" x14ac:dyDescent="0.25">
      <c r="A28" s="95"/>
      <c r="B28" s="96" t="s">
        <v>54</v>
      </c>
      <c r="C28" s="83" t="s">
        <v>54</v>
      </c>
      <c r="D28" s="9">
        <v>1</v>
      </c>
      <c r="E28" s="24">
        <v>2</v>
      </c>
      <c r="F28" s="9">
        <v>1</v>
      </c>
      <c r="G28" s="104">
        <v>1</v>
      </c>
      <c r="H28" s="24">
        <v>0</v>
      </c>
      <c r="I28" s="106">
        <v>0</v>
      </c>
      <c r="J28" s="106"/>
      <c r="K28" s="33">
        <f>50*L28</f>
        <v>470</v>
      </c>
      <c r="L28" s="8">
        <v>9.4</v>
      </c>
      <c r="M28" s="87">
        <v>0</v>
      </c>
      <c r="N28" s="8">
        <f t="shared" si="6"/>
        <v>50</v>
      </c>
      <c r="O28" s="7">
        <f t="shared" si="7"/>
        <v>0</v>
      </c>
      <c r="P28" s="44"/>
      <c r="R28" s="14" t="str">
        <f t="shared" si="0"/>
        <v>Flis</v>
      </c>
      <c r="S28" s="14" t="s">
        <v>72</v>
      </c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4"/>
      <c r="AG28" s="26">
        <f t="shared" si="8"/>
        <v>0</v>
      </c>
      <c r="AH28" s="9" t="s">
        <v>92</v>
      </c>
    </row>
    <row r="29" spans="1:37" x14ac:dyDescent="0.25">
      <c r="A29" s="95"/>
      <c r="B29" s="96" t="s">
        <v>97</v>
      </c>
      <c r="C29" s="83" t="s">
        <v>91</v>
      </c>
      <c r="D29" s="9">
        <v>1</v>
      </c>
      <c r="E29" s="24">
        <v>3</v>
      </c>
      <c r="F29" s="9">
        <v>0</v>
      </c>
      <c r="G29" s="104">
        <v>1</v>
      </c>
      <c r="H29" s="24">
        <v>0</v>
      </c>
      <c r="I29" s="106">
        <v>0</v>
      </c>
      <c r="J29" s="106"/>
      <c r="K29" s="33">
        <v>50</v>
      </c>
      <c r="L29" s="8">
        <v>3.6</v>
      </c>
      <c r="M29" s="87">
        <v>0</v>
      </c>
      <c r="N29" s="8">
        <f t="shared" si="6"/>
        <v>13.888888888888889</v>
      </c>
      <c r="O29" s="7">
        <f t="shared" si="7"/>
        <v>0</v>
      </c>
      <c r="P29" s="45"/>
      <c r="R29" s="14" t="str">
        <f t="shared" si="0"/>
        <v>NSvarme</v>
      </c>
      <c r="S29" s="14" t="s">
        <v>72</v>
      </c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34"/>
      <c r="AG29" s="26">
        <f t="shared" si="8"/>
        <v>0</v>
      </c>
      <c r="AH29" s="2" t="s">
        <v>83</v>
      </c>
    </row>
    <row r="30" spans="1:37" x14ac:dyDescent="0.25">
      <c r="A30" s="95"/>
      <c r="B30" s="96" t="s">
        <v>112</v>
      </c>
      <c r="C30" t="s">
        <v>112</v>
      </c>
      <c r="D30" s="9">
        <v>1</v>
      </c>
      <c r="E30" s="24">
        <v>4</v>
      </c>
      <c r="F30" s="9">
        <v>1</v>
      </c>
      <c r="G30" s="105">
        <v>1</v>
      </c>
      <c r="H30" s="24">
        <v>0</v>
      </c>
      <c r="I30" s="107">
        <v>0</v>
      </c>
      <c r="J30" s="107"/>
      <c r="K30" s="33">
        <v>5000</v>
      </c>
      <c r="L30" s="8">
        <v>44</v>
      </c>
      <c r="M30" s="85">
        <f>0.85*2.3</f>
        <v>1.9549999999999998</v>
      </c>
      <c r="N30" s="8">
        <f t="shared" si="6"/>
        <v>113.63636363636364</v>
      </c>
      <c r="O30" s="7">
        <f t="shared" si="7"/>
        <v>0</v>
      </c>
      <c r="R30" s="89" t="str">
        <f t="shared" si="0"/>
        <v>PeakFuel</v>
      </c>
      <c r="S30" s="89" t="s">
        <v>72</v>
      </c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4"/>
      <c r="AG30" s="52">
        <f t="shared" si="8"/>
        <v>0</v>
      </c>
      <c r="AH30" s="9" t="s">
        <v>92</v>
      </c>
      <c r="AI30" t="s">
        <v>251</v>
      </c>
      <c r="AJ30" s="9" t="s">
        <v>252</v>
      </c>
      <c r="AK30" t="s">
        <v>253</v>
      </c>
    </row>
    <row r="31" spans="1:37" x14ac:dyDescent="0.25">
      <c r="O31" s="37">
        <f>SUM(O5:O30)</f>
        <v>552277.8055555555</v>
      </c>
      <c r="R31" s="13" t="str">
        <f>R5</f>
        <v>DepoSort</v>
      </c>
      <c r="S31" s="13" t="s">
        <v>73</v>
      </c>
      <c r="T31" s="22">
        <f>IF(AND(NOT($AI31),NOT(AJ31)),$I5/12,0)</f>
        <v>0</v>
      </c>
      <c r="U31" s="22">
        <f t="shared" ref="U31:AE46" si="11">IF(AND(NOT($AI31),NOT(AK31)),$I5/12,0)</f>
        <v>0</v>
      </c>
      <c r="V31" s="22">
        <f t="shared" si="11"/>
        <v>0</v>
      </c>
      <c r="W31" s="22">
        <f t="shared" si="11"/>
        <v>0</v>
      </c>
      <c r="X31" s="22">
        <f t="shared" si="11"/>
        <v>0</v>
      </c>
      <c r="Y31" s="22">
        <f t="shared" si="11"/>
        <v>0</v>
      </c>
      <c r="Z31" s="22">
        <f t="shared" si="11"/>
        <v>0</v>
      </c>
      <c r="AA31" s="22">
        <f t="shared" si="11"/>
        <v>0</v>
      </c>
      <c r="AB31" s="22">
        <f t="shared" si="11"/>
        <v>0</v>
      </c>
      <c r="AC31" s="22">
        <f t="shared" si="11"/>
        <v>0</v>
      </c>
      <c r="AD31" s="22">
        <f t="shared" si="11"/>
        <v>0</v>
      </c>
      <c r="AE31" s="22">
        <f t="shared" si="11"/>
        <v>0</v>
      </c>
      <c r="AF31" s="13"/>
      <c r="AG31" s="27">
        <f t="shared" si="2"/>
        <v>0</v>
      </c>
      <c r="AH31" s="9" t="s">
        <v>92</v>
      </c>
      <c r="AI31" s="46" t="b">
        <f>(F5&lt;&gt;0)</f>
        <v>1</v>
      </c>
      <c r="AJ31" s="46" t="b">
        <f>(G5&lt;&gt;0)</f>
        <v>0</v>
      </c>
      <c r="AK31" s="46" t="b">
        <f>(H5&lt;&gt;0)</f>
        <v>1</v>
      </c>
    </row>
    <row r="32" spans="1:37" x14ac:dyDescent="0.25">
      <c r="B32" s="97" t="s">
        <v>116</v>
      </c>
      <c r="C32" s="19"/>
      <c r="D32" s="19"/>
      <c r="E32" s="19"/>
      <c r="R32" s="13" t="str">
        <f>R6</f>
        <v>DepoSmaat</v>
      </c>
      <c r="S32" s="13" t="s">
        <v>73</v>
      </c>
      <c r="T32" s="22">
        <f t="shared" ref="T32:AE47" si="12">IF(AND(NOT($AI32),NOT(AJ32)),$I6/12,0)</f>
        <v>0</v>
      </c>
      <c r="U32" s="22">
        <f t="shared" si="11"/>
        <v>0</v>
      </c>
      <c r="V32" s="22">
        <f t="shared" si="11"/>
        <v>0</v>
      </c>
      <c r="W32" s="22">
        <f t="shared" si="11"/>
        <v>0</v>
      </c>
      <c r="X32" s="22">
        <f t="shared" si="11"/>
        <v>0</v>
      </c>
      <c r="Y32" s="22">
        <f t="shared" si="11"/>
        <v>0</v>
      </c>
      <c r="Z32" s="22">
        <f t="shared" si="11"/>
        <v>0</v>
      </c>
      <c r="AA32" s="22">
        <f t="shared" si="11"/>
        <v>0</v>
      </c>
      <c r="AB32" s="22">
        <f t="shared" si="11"/>
        <v>0</v>
      </c>
      <c r="AC32" s="22">
        <f t="shared" si="11"/>
        <v>0</v>
      </c>
      <c r="AD32" s="22">
        <f t="shared" si="11"/>
        <v>0</v>
      </c>
      <c r="AE32" s="22">
        <f t="shared" si="11"/>
        <v>0</v>
      </c>
      <c r="AF32" s="13"/>
      <c r="AG32" s="27">
        <f t="shared" si="2"/>
        <v>0</v>
      </c>
      <c r="AH32" s="9" t="s">
        <v>92</v>
      </c>
      <c r="AI32" s="46" t="b">
        <f t="shared" ref="AI32:AK56" si="13">(F6&lt;&gt;0)</f>
        <v>1</v>
      </c>
      <c r="AJ32" s="46" t="b">
        <f t="shared" si="13"/>
        <v>0</v>
      </c>
      <c r="AK32" s="46" t="b">
        <f t="shared" si="13"/>
        <v>1</v>
      </c>
    </row>
    <row r="33" spans="2:37" x14ac:dyDescent="0.25">
      <c r="B33" s="98"/>
      <c r="C33" s="25" t="s">
        <v>115</v>
      </c>
      <c r="D33" s="25" t="s">
        <v>54</v>
      </c>
      <c r="E33" s="19"/>
      <c r="R33" s="13" t="str">
        <f t="shared" ref="R33:R56" si="14">R7</f>
        <v>DepoNedd</v>
      </c>
      <c r="S33" s="13" t="s">
        <v>73</v>
      </c>
      <c r="T33" s="22">
        <f t="shared" si="12"/>
        <v>0</v>
      </c>
      <c r="U33" s="22">
        <f t="shared" si="11"/>
        <v>0</v>
      </c>
      <c r="V33" s="22">
        <f t="shared" si="11"/>
        <v>0</v>
      </c>
      <c r="W33" s="22">
        <f t="shared" si="11"/>
        <v>0</v>
      </c>
      <c r="X33" s="22">
        <f t="shared" si="11"/>
        <v>0</v>
      </c>
      <c r="Y33" s="22">
        <f t="shared" si="11"/>
        <v>0</v>
      </c>
      <c r="Z33" s="22">
        <f t="shared" si="11"/>
        <v>0</v>
      </c>
      <c r="AA33" s="22">
        <f t="shared" si="11"/>
        <v>0</v>
      </c>
      <c r="AB33" s="22">
        <f t="shared" si="11"/>
        <v>0</v>
      </c>
      <c r="AC33" s="22">
        <f t="shared" si="11"/>
        <v>0</v>
      </c>
      <c r="AD33" s="22">
        <f t="shared" si="11"/>
        <v>0</v>
      </c>
      <c r="AE33" s="22">
        <f t="shared" si="11"/>
        <v>0</v>
      </c>
      <c r="AF33" s="13"/>
      <c r="AG33" s="27">
        <f t="shared" ref="AG33:AG56" si="15">SUM(T33:AE33)</f>
        <v>0</v>
      </c>
      <c r="AH33" s="9" t="s">
        <v>92</v>
      </c>
      <c r="AI33" s="46" t="b">
        <f t="shared" si="13"/>
        <v>1</v>
      </c>
      <c r="AJ33" s="46" t="b">
        <f t="shared" si="13"/>
        <v>0</v>
      </c>
      <c r="AK33" s="46" t="b">
        <f t="shared" si="13"/>
        <v>1</v>
      </c>
    </row>
    <row r="34" spans="2:37" x14ac:dyDescent="0.25">
      <c r="B34" s="19" t="s">
        <v>117</v>
      </c>
      <c r="C34" s="99">
        <v>10000</v>
      </c>
      <c r="D34" s="99">
        <v>1000</v>
      </c>
      <c r="E34" s="100" t="s">
        <v>92</v>
      </c>
      <c r="R34" s="13" t="str">
        <f t="shared" si="14"/>
        <v>Dagren</v>
      </c>
      <c r="S34" s="13" t="s">
        <v>73</v>
      </c>
      <c r="T34" s="22">
        <f t="shared" si="12"/>
        <v>2405.75</v>
      </c>
      <c r="U34" s="22">
        <f t="shared" si="11"/>
        <v>0</v>
      </c>
      <c r="V34" s="22">
        <f t="shared" si="11"/>
        <v>2405.75</v>
      </c>
      <c r="W34" s="22">
        <f t="shared" si="11"/>
        <v>2405.75</v>
      </c>
      <c r="X34" s="22">
        <f t="shared" si="11"/>
        <v>2405.75</v>
      </c>
      <c r="Y34" s="22">
        <f t="shared" si="11"/>
        <v>2405.75</v>
      </c>
      <c r="Z34" s="22">
        <f t="shared" si="11"/>
        <v>2405.75</v>
      </c>
      <c r="AA34" s="22">
        <f t="shared" si="11"/>
        <v>2405.75</v>
      </c>
      <c r="AB34" s="22">
        <f t="shared" si="11"/>
        <v>2405.75</v>
      </c>
      <c r="AC34" s="22">
        <f t="shared" si="11"/>
        <v>2405.75</v>
      </c>
      <c r="AD34" s="22">
        <f t="shared" si="11"/>
        <v>2405.75</v>
      </c>
      <c r="AE34" s="22">
        <f t="shared" si="11"/>
        <v>2405.75</v>
      </c>
      <c r="AF34" s="13"/>
      <c r="AG34" s="27">
        <f t="shared" si="15"/>
        <v>26463.25</v>
      </c>
      <c r="AH34" s="9" t="s">
        <v>92</v>
      </c>
      <c r="AI34" s="46" t="b">
        <f t="shared" si="13"/>
        <v>0</v>
      </c>
      <c r="AJ34" s="46" t="b">
        <f t="shared" si="13"/>
        <v>0</v>
      </c>
      <c r="AK34" s="46" t="b">
        <f t="shared" si="13"/>
        <v>1</v>
      </c>
    </row>
    <row r="35" spans="2:37" x14ac:dyDescent="0.25">
      <c r="B35" s="19" t="s">
        <v>118</v>
      </c>
      <c r="C35" s="99">
        <v>2000</v>
      </c>
      <c r="D35" s="99">
        <v>500</v>
      </c>
      <c r="E35" s="100" t="s">
        <v>119</v>
      </c>
      <c r="R35" s="13" t="str">
        <f t="shared" si="14"/>
        <v>AndetBrand</v>
      </c>
      <c r="S35" s="13" t="s">
        <v>73</v>
      </c>
      <c r="T35" s="22">
        <f t="shared" si="12"/>
        <v>291.66666666666669</v>
      </c>
      <c r="U35" s="22">
        <f t="shared" si="11"/>
        <v>0</v>
      </c>
      <c r="V35" s="22">
        <f t="shared" si="11"/>
        <v>291.66666666666669</v>
      </c>
      <c r="W35" s="22">
        <f t="shared" si="11"/>
        <v>291.66666666666669</v>
      </c>
      <c r="X35" s="22">
        <f t="shared" si="11"/>
        <v>291.66666666666669</v>
      </c>
      <c r="Y35" s="22">
        <f t="shared" si="11"/>
        <v>291.66666666666669</v>
      </c>
      <c r="Z35" s="22">
        <f t="shared" si="11"/>
        <v>291.66666666666669</v>
      </c>
      <c r="AA35" s="22">
        <f t="shared" si="11"/>
        <v>291.66666666666669</v>
      </c>
      <c r="AB35" s="22">
        <f t="shared" si="11"/>
        <v>291.66666666666669</v>
      </c>
      <c r="AC35" s="22">
        <f t="shared" si="11"/>
        <v>291.66666666666669</v>
      </c>
      <c r="AD35" s="22">
        <f t="shared" si="11"/>
        <v>291.66666666666669</v>
      </c>
      <c r="AE35" s="22">
        <f t="shared" si="11"/>
        <v>291.66666666666669</v>
      </c>
      <c r="AF35" s="13"/>
      <c r="AG35" s="27">
        <f t="shared" si="15"/>
        <v>3208.333333333333</v>
      </c>
      <c r="AH35" s="9" t="s">
        <v>92</v>
      </c>
      <c r="AI35" s="46" t="b">
        <f t="shared" si="13"/>
        <v>0</v>
      </c>
      <c r="AJ35" s="46" t="b">
        <f t="shared" si="13"/>
        <v>0</v>
      </c>
      <c r="AK35" s="46" t="b">
        <f t="shared" si="13"/>
        <v>1</v>
      </c>
    </row>
    <row r="36" spans="2:37" x14ac:dyDescent="0.25">
      <c r="B36" s="19" t="s">
        <v>120</v>
      </c>
      <c r="C36" s="19">
        <v>0</v>
      </c>
      <c r="D36" s="19">
        <v>0</v>
      </c>
      <c r="E36" s="100" t="s">
        <v>92</v>
      </c>
      <c r="R36" s="13" t="str">
        <f t="shared" si="14"/>
        <v>Trae</v>
      </c>
      <c r="S36" s="13" t="s">
        <v>73</v>
      </c>
      <c r="T36" s="22">
        <f t="shared" si="12"/>
        <v>0</v>
      </c>
      <c r="U36" s="22">
        <f t="shared" si="11"/>
        <v>0</v>
      </c>
      <c r="V36" s="22">
        <f t="shared" si="11"/>
        <v>0</v>
      </c>
      <c r="W36" s="22">
        <f t="shared" si="11"/>
        <v>0</v>
      </c>
      <c r="X36" s="22">
        <f t="shared" si="11"/>
        <v>0</v>
      </c>
      <c r="Y36" s="22">
        <f t="shared" si="11"/>
        <v>0</v>
      </c>
      <c r="Z36" s="22">
        <f t="shared" si="11"/>
        <v>0</v>
      </c>
      <c r="AA36" s="22">
        <f t="shared" si="11"/>
        <v>0</v>
      </c>
      <c r="AB36" s="22">
        <f t="shared" si="11"/>
        <v>0</v>
      </c>
      <c r="AC36" s="22">
        <f t="shared" si="11"/>
        <v>0</v>
      </c>
      <c r="AD36" s="22">
        <f t="shared" si="11"/>
        <v>0</v>
      </c>
      <c r="AE36" s="22">
        <f t="shared" si="11"/>
        <v>0</v>
      </c>
      <c r="AF36" s="13"/>
      <c r="AG36" s="27">
        <f t="shared" si="15"/>
        <v>0</v>
      </c>
      <c r="AH36" s="9" t="s">
        <v>92</v>
      </c>
      <c r="AI36" s="46" t="b">
        <f t="shared" si="13"/>
        <v>0</v>
      </c>
      <c r="AJ36" s="46" t="b">
        <f t="shared" si="13"/>
        <v>0</v>
      </c>
      <c r="AK36" s="46" t="b">
        <f t="shared" si="13"/>
        <v>1</v>
      </c>
    </row>
    <row r="37" spans="2:37" x14ac:dyDescent="0.25">
      <c r="B37" s="19" t="s">
        <v>121</v>
      </c>
      <c r="C37" s="19">
        <v>1</v>
      </c>
      <c r="D37" s="19">
        <v>0</v>
      </c>
      <c r="E37" s="100" t="s">
        <v>95</v>
      </c>
      <c r="R37" s="13" t="str">
        <f t="shared" si="14"/>
        <v>DagrenRast</v>
      </c>
      <c r="S37" s="13" t="s">
        <v>73</v>
      </c>
      <c r="T37" s="22">
        <f t="shared" si="12"/>
        <v>0</v>
      </c>
      <c r="U37" s="22">
        <f t="shared" si="11"/>
        <v>0</v>
      </c>
      <c r="V37" s="22">
        <f t="shared" si="11"/>
        <v>0</v>
      </c>
      <c r="W37" s="22">
        <f t="shared" si="11"/>
        <v>0</v>
      </c>
      <c r="X37" s="22">
        <f t="shared" si="11"/>
        <v>0</v>
      </c>
      <c r="Y37" s="22">
        <f t="shared" si="11"/>
        <v>0</v>
      </c>
      <c r="Z37" s="22">
        <f t="shared" si="11"/>
        <v>0</v>
      </c>
      <c r="AA37" s="22">
        <f t="shared" si="11"/>
        <v>0</v>
      </c>
      <c r="AB37" s="22">
        <f t="shared" si="11"/>
        <v>0</v>
      </c>
      <c r="AC37" s="22">
        <f t="shared" si="11"/>
        <v>0</v>
      </c>
      <c r="AD37" s="22">
        <f t="shared" si="11"/>
        <v>0</v>
      </c>
      <c r="AE37" s="22">
        <f t="shared" si="11"/>
        <v>0</v>
      </c>
      <c r="AF37" s="13"/>
      <c r="AG37" s="27">
        <f t="shared" si="15"/>
        <v>0</v>
      </c>
      <c r="AH37" s="9" t="s">
        <v>92</v>
      </c>
      <c r="AI37" s="46" t="b">
        <f t="shared" si="13"/>
        <v>0</v>
      </c>
      <c r="AJ37" s="46" t="b">
        <f t="shared" si="13"/>
        <v>0</v>
      </c>
      <c r="AK37" s="46" t="b">
        <f t="shared" si="13"/>
        <v>1</v>
      </c>
    </row>
    <row r="38" spans="2:37" x14ac:dyDescent="0.25">
      <c r="E38" s="53"/>
      <c r="R38" s="13" t="str">
        <f t="shared" si="14"/>
        <v>DagrenInst</v>
      </c>
      <c r="S38" s="13" t="s">
        <v>73</v>
      </c>
      <c r="T38" s="22">
        <f t="shared" si="12"/>
        <v>650</v>
      </c>
      <c r="U38" s="22">
        <f t="shared" si="11"/>
        <v>0</v>
      </c>
      <c r="V38" s="22">
        <f t="shared" si="11"/>
        <v>650</v>
      </c>
      <c r="W38" s="22">
        <f t="shared" si="11"/>
        <v>650</v>
      </c>
      <c r="X38" s="22">
        <f t="shared" si="11"/>
        <v>650</v>
      </c>
      <c r="Y38" s="22">
        <f t="shared" si="11"/>
        <v>650</v>
      </c>
      <c r="Z38" s="22">
        <f t="shared" si="11"/>
        <v>650</v>
      </c>
      <c r="AA38" s="22">
        <f t="shared" si="11"/>
        <v>650</v>
      </c>
      <c r="AB38" s="22">
        <f t="shared" si="11"/>
        <v>650</v>
      </c>
      <c r="AC38" s="22">
        <f t="shared" si="11"/>
        <v>650</v>
      </c>
      <c r="AD38" s="22">
        <f t="shared" si="11"/>
        <v>650</v>
      </c>
      <c r="AE38" s="22">
        <f t="shared" si="11"/>
        <v>650</v>
      </c>
      <c r="AF38" s="13"/>
      <c r="AG38" s="27">
        <f t="shared" si="15"/>
        <v>7150</v>
      </c>
      <c r="AH38" s="9" t="s">
        <v>92</v>
      </c>
      <c r="AI38" s="46" t="b">
        <f t="shared" si="13"/>
        <v>0</v>
      </c>
      <c r="AJ38" s="46" t="b">
        <f t="shared" si="13"/>
        <v>0</v>
      </c>
      <c r="AK38" s="46" t="b">
        <f t="shared" si="13"/>
        <v>1</v>
      </c>
    </row>
    <row r="39" spans="2:37" x14ac:dyDescent="0.25">
      <c r="E39" s="53"/>
      <c r="R39" s="13" t="str">
        <f t="shared" si="14"/>
        <v>DagrenHandel</v>
      </c>
      <c r="S39" s="13" t="s">
        <v>73</v>
      </c>
      <c r="T39" s="22">
        <f t="shared" si="12"/>
        <v>0</v>
      </c>
      <c r="U39" s="22">
        <f t="shared" si="11"/>
        <v>0</v>
      </c>
      <c r="V39" s="22">
        <f t="shared" si="11"/>
        <v>0</v>
      </c>
      <c r="W39" s="22">
        <f t="shared" si="11"/>
        <v>0</v>
      </c>
      <c r="X39" s="22">
        <f t="shared" si="11"/>
        <v>0</v>
      </c>
      <c r="Y39" s="22">
        <f t="shared" si="11"/>
        <v>0</v>
      </c>
      <c r="Z39" s="22">
        <f t="shared" si="11"/>
        <v>0</v>
      </c>
      <c r="AA39" s="22">
        <f t="shared" si="11"/>
        <v>0</v>
      </c>
      <c r="AB39" s="22">
        <f t="shared" si="11"/>
        <v>0</v>
      </c>
      <c r="AC39" s="22">
        <f t="shared" si="11"/>
        <v>0</v>
      </c>
      <c r="AD39" s="22">
        <f t="shared" si="11"/>
        <v>0</v>
      </c>
      <c r="AE39" s="22">
        <f t="shared" si="11"/>
        <v>0</v>
      </c>
      <c r="AF39" s="13"/>
      <c r="AG39" s="27">
        <f t="shared" si="15"/>
        <v>0</v>
      </c>
      <c r="AH39" s="9" t="s">
        <v>92</v>
      </c>
      <c r="AI39" s="46" t="b">
        <f t="shared" si="13"/>
        <v>0</v>
      </c>
      <c r="AJ39" s="46" t="b">
        <f t="shared" si="13"/>
        <v>0</v>
      </c>
      <c r="AK39" s="46" t="b">
        <f t="shared" si="13"/>
        <v>1</v>
      </c>
    </row>
    <row r="40" spans="2:37" x14ac:dyDescent="0.25">
      <c r="R40" s="13" t="str">
        <f t="shared" si="14"/>
        <v>DagrenRestau</v>
      </c>
      <c r="S40" s="13" t="s">
        <v>73</v>
      </c>
      <c r="T40" s="22">
        <f t="shared" si="12"/>
        <v>0</v>
      </c>
      <c r="U40" s="22">
        <f t="shared" si="11"/>
        <v>0</v>
      </c>
      <c r="V40" s="22">
        <f t="shared" si="11"/>
        <v>0</v>
      </c>
      <c r="W40" s="22">
        <f t="shared" si="11"/>
        <v>0</v>
      </c>
      <c r="X40" s="22">
        <f t="shared" si="11"/>
        <v>0</v>
      </c>
      <c r="Y40" s="22">
        <f t="shared" si="11"/>
        <v>0</v>
      </c>
      <c r="Z40" s="22">
        <f t="shared" si="11"/>
        <v>0</v>
      </c>
      <c r="AA40" s="22">
        <f t="shared" si="11"/>
        <v>0</v>
      </c>
      <c r="AB40" s="22">
        <f t="shared" si="11"/>
        <v>0</v>
      </c>
      <c r="AC40" s="22">
        <f t="shared" si="11"/>
        <v>0</v>
      </c>
      <c r="AD40" s="22">
        <f t="shared" si="11"/>
        <v>0</v>
      </c>
      <c r="AE40" s="22">
        <f t="shared" si="11"/>
        <v>0</v>
      </c>
      <c r="AF40" s="13"/>
      <c r="AG40" s="27">
        <f t="shared" si="15"/>
        <v>0</v>
      </c>
      <c r="AH40" s="9" t="s">
        <v>92</v>
      </c>
      <c r="AI40" s="46" t="b">
        <f t="shared" si="13"/>
        <v>0</v>
      </c>
      <c r="AJ40" s="46" t="b">
        <f t="shared" si="13"/>
        <v>0</v>
      </c>
      <c r="AK40" s="46" t="b">
        <f t="shared" si="13"/>
        <v>1</v>
      </c>
    </row>
    <row r="41" spans="2:37" x14ac:dyDescent="0.25">
      <c r="R41" s="13" t="str">
        <f t="shared" si="14"/>
        <v>Erhverv</v>
      </c>
      <c r="S41" s="13" t="s">
        <v>73</v>
      </c>
      <c r="T41" s="22">
        <f t="shared" si="12"/>
        <v>0</v>
      </c>
      <c r="U41" s="22">
        <f t="shared" si="11"/>
        <v>0</v>
      </c>
      <c r="V41" s="22">
        <f t="shared" si="11"/>
        <v>0</v>
      </c>
      <c r="W41" s="22">
        <f t="shared" si="11"/>
        <v>0</v>
      </c>
      <c r="X41" s="22">
        <f t="shared" si="11"/>
        <v>0</v>
      </c>
      <c r="Y41" s="22">
        <f t="shared" si="11"/>
        <v>0</v>
      </c>
      <c r="Z41" s="22">
        <f t="shared" si="11"/>
        <v>0</v>
      </c>
      <c r="AA41" s="22">
        <f t="shared" si="11"/>
        <v>0</v>
      </c>
      <c r="AB41" s="22">
        <f t="shared" si="11"/>
        <v>0</v>
      </c>
      <c r="AC41" s="22">
        <f t="shared" si="11"/>
        <v>0</v>
      </c>
      <c r="AD41" s="22">
        <f t="shared" si="11"/>
        <v>0</v>
      </c>
      <c r="AE41" s="22">
        <f t="shared" si="11"/>
        <v>0</v>
      </c>
      <c r="AF41" s="13"/>
      <c r="AG41" s="27">
        <f t="shared" si="15"/>
        <v>0</v>
      </c>
      <c r="AH41" s="9" t="s">
        <v>92</v>
      </c>
      <c r="AI41" s="46" t="b">
        <f t="shared" si="13"/>
        <v>1</v>
      </c>
      <c r="AJ41" s="46" t="b">
        <f t="shared" si="13"/>
        <v>0</v>
      </c>
      <c r="AK41" s="46" t="b">
        <f t="shared" si="13"/>
        <v>1</v>
      </c>
    </row>
    <row r="42" spans="2:37" x14ac:dyDescent="0.25">
      <c r="R42" s="13" t="str">
        <f t="shared" si="14"/>
        <v>DagrenErhverv</v>
      </c>
      <c r="S42" s="13" t="s">
        <v>73</v>
      </c>
      <c r="T42" s="22">
        <f t="shared" si="12"/>
        <v>41.666666666666664</v>
      </c>
      <c r="U42" s="22">
        <f t="shared" si="11"/>
        <v>0</v>
      </c>
      <c r="V42" s="22">
        <f t="shared" si="11"/>
        <v>41.666666666666664</v>
      </c>
      <c r="W42" s="22">
        <f t="shared" si="11"/>
        <v>41.666666666666664</v>
      </c>
      <c r="X42" s="22">
        <f t="shared" si="11"/>
        <v>41.666666666666664</v>
      </c>
      <c r="Y42" s="22">
        <f t="shared" si="11"/>
        <v>41.666666666666664</v>
      </c>
      <c r="Z42" s="22">
        <f t="shared" si="11"/>
        <v>41.666666666666664</v>
      </c>
      <c r="AA42" s="22">
        <f t="shared" si="11"/>
        <v>41.666666666666664</v>
      </c>
      <c r="AB42" s="22">
        <f t="shared" si="11"/>
        <v>41.666666666666664</v>
      </c>
      <c r="AC42" s="22">
        <f t="shared" si="11"/>
        <v>41.666666666666664</v>
      </c>
      <c r="AD42" s="22">
        <f t="shared" si="11"/>
        <v>41.666666666666664</v>
      </c>
      <c r="AE42" s="22">
        <f t="shared" si="11"/>
        <v>41.666666666666664</v>
      </c>
      <c r="AF42" s="13"/>
      <c r="AG42" s="27">
        <f t="shared" si="15"/>
        <v>458.33333333333337</v>
      </c>
      <c r="AH42" s="9" t="s">
        <v>92</v>
      </c>
      <c r="AI42" s="46" t="b">
        <f t="shared" si="13"/>
        <v>0</v>
      </c>
      <c r="AJ42" s="46" t="b">
        <f t="shared" si="13"/>
        <v>0</v>
      </c>
      <c r="AK42" s="46" t="b">
        <f t="shared" si="13"/>
        <v>1</v>
      </c>
    </row>
    <row r="43" spans="2:37" x14ac:dyDescent="0.25">
      <c r="R43" s="13" t="str">
        <f t="shared" si="14"/>
        <v>HandelKontor</v>
      </c>
      <c r="S43" s="13" t="s">
        <v>73</v>
      </c>
      <c r="T43" s="22">
        <f t="shared" si="12"/>
        <v>0</v>
      </c>
      <c r="U43" s="22">
        <f t="shared" si="11"/>
        <v>0</v>
      </c>
      <c r="V43" s="22">
        <f t="shared" si="11"/>
        <v>0</v>
      </c>
      <c r="W43" s="22">
        <f t="shared" si="11"/>
        <v>0</v>
      </c>
      <c r="X43" s="22">
        <f t="shared" si="11"/>
        <v>0</v>
      </c>
      <c r="Y43" s="22">
        <f t="shared" si="11"/>
        <v>0</v>
      </c>
      <c r="Z43" s="22">
        <f t="shared" si="11"/>
        <v>0</v>
      </c>
      <c r="AA43" s="22">
        <f t="shared" si="11"/>
        <v>0</v>
      </c>
      <c r="AB43" s="22">
        <f t="shared" si="11"/>
        <v>0</v>
      </c>
      <c r="AC43" s="22">
        <f t="shared" si="11"/>
        <v>0</v>
      </c>
      <c r="AD43" s="22">
        <f t="shared" si="11"/>
        <v>0</v>
      </c>
      <c r="AE43" s="22">
        <f t="shared" si="11"/>
        <v>0</v>
      </c>
      <c r="AF43" s="13"/>
      <c r="AG43" s="27">
        <f t="shared" si="15"/>
        <v>0</v>
      </c>
      <c r="AH43" s="9" t="s">
        <v>92</v>
      </c>
      <c r="AI43" s="46" t="b">
        <f t="shared" si="13"/>
        <v>0</v>
      </c>
      <c r="AJ43" s="46" t="b">
        <f t="shared" si="13"/>
        <v>0</v>
      </c>
      <c r="AK43" s="46" t="b">
        <f t="shared" si="13"/>
        <v>1</v>
      </c>
    </row>
    <row r="44" spans="2:37" x14ac:dyDescent="0.25">
      <c r="R44" s="13" t="str">
        <f t="shared" si="14"/>
        <v>Privat</v>
      </c>
      <c r="S44" s="13" t="s">
        <v>73</v>
      </c>
      <c r="T44" s="22">
        <f t="shared" si="12"/>
        <v>0</v>
      </c>
      <c r="U44" s="22">
        <f t="shared" si="11"/>
        <v>0</v>
      </c>
      <c r="V44" s="22">
        <f t="shared" si="11"/>
        <v>0</v>
      </c>
      <c r="W44" s="22">
        <f t="shared" si="11"/>
        <v>0</v>
      </c>
      <c r="X44" s="22">
        <f t="shared" si="11"/>
        <v>0</v>
      </c>
      <c r="Y44" s="22">
        <f t="shared" si="11"/>
        <v>0</v>
      </c>
      <c r="Z44" s="22">
        <f t="shared" si="11"/>
        <v>0</v>
      </c>
      <c r="AA44" s="22">
        <f t="shared" si="11"/>
        <v>0</v>
      </c>
      <c r="AB44" s="22">
        <f t="shared" si="11"/>
        <v>0</v>
      </c>
      <c r="AC44" s="22">
        <f t="shared" si="11"/>
        <v>0</v>
      </c>
      <c r="AD44" s="22">
        <f t="shared" si="11"/>
        <v>0</v>
      </c>
      <c r="AE44" s="22">
        <f t="shared" si="11"/>
        <v>0</v>
      </c>
      <c r="AF44" s="13"/>
      <c r="AG44" s="27">
        <f t="shared" si="15"/>
        <v>0</v>
      </c>
      <c r="AH44" s="9" t="s">
        <v>92</v>
      </c>
      <c r="AI44" s="46" t="b">
        <f t="shared" si="13"/>
        <v>0</v>
      </c>
      <c r="AJ44" s="46" t="b">
        <f t="shared" si="13"/>
        <v>0</v>
      </c>
      <c r="AK44" s="46" t="b">
        <f t="shared" si="13"/>
        <v>1</v>
      </c>
    </row>
    <row r="45" spans="2:37" x14ac:dyDescent="0.25">
      <c r="R45" s="13" t="str">
        <f t="shared" si="14"/>
        <v>TyskRest</v>
      </c>
      <c r="S45" s="13" t="s">
        <v>73</v>
      </c>
      <c r="T45" s="22">
        <f t="shared" si="12"/>
        <v>3333.3333333333335</v>
      </c>
      <c r="U45" s="22">
        <f t="shared" si="11"/>
        <v>0</v>
      </c>
      <c r="V45" s="22">
        <f t="shared" si="11"/>
        <v>3333.3333333333335</v>
      </c>
      <c r="W45" s="22">
        <f t="shared" si="11"/>
        <v>3333.3333333333335</v>
      </c>
      <c r="X45" s="22">
        <f t="shared" si="11"/>
        <v>3333.3333333333335</v>
      </c>
      <c r="Y45" s="22">
        <f t="shared" si="11"/>
        <v>3333.3333333333335</v>
      </c>
      <c r="Z45" s="22">
        <f t="shared" si="11"/>
        <v>3333.3333333333335</v>
      </c>
      <c r="AA45" s="22">
        <f t="shared" si="11"/>
        <v>3333.3333333333335</v>
      </c>
      <c r="AB45" s="22">
        <f t="shared" si="11"/>
        <v>3333.3333333333335</v>
      </c>
      <c r="AC45" s="22">
        <f t="shared" si="11"/>
        <v>3333.3333333333335</v>
      </c>
      <c r="AD45" s="22">
        <f t="shared" si="11"/>
        <v>3333.3333333333335</v>
      </c>
      <c r="AE45" s="22">
        <f t="shared" si="11"/>
        <v>3333.3333333333335</v>
      </c>
      <c r="AF45" s="13"/>
      <c r="AG45" s="27">
        <f t="shared" si="15"/>
        <v>36666.666666666664</v>
      </c>
      <c r="AH45" s="9" t="s">
        <v>92</v>
      </c>
      <c r="AI45" s="46" t="b">
        <f t="shared" si="13"/>
        <v>0</v>
      </c>
      <c r="AJ45" s="46" t="b">
        <f t="shared" si="13"/>
        <v>0</v>
      </c>
      <c r="AK45" s="46" t="b">
        <f t="shared" si="13"/>
        <v>1</v>
      </c>
    </row>
    <row r="46" spans="2:37" x14ac:dyDescent="0.25">
      <c r="R46" s="13" t="str">
        <f t="shared" si="14"/>
        <v>PolskRest</v>
      </c>
      <c r="S46" s="13" t="s">
        <v>73</v>
      </c>
      <c r="T46" s="22">
        <f t="shared" si="12"/>
        <v>166.66666666666666</v>
      </c>
      <c r="U46" s="22">
        <f t="shared" si="11"/>
        <v>0</v>
      </c>
      <c r="V46" s="22">
        <f t="shared" si="11"/>
        <v>166.66666666666666</v>
      </c>
      <c r="W46" s="22">
        <f t="shared" si="11"/>
        <v>166.66666666666666</v>
      </c>
      <c r="X46" s="22">
        <f t="shared" si="11"/>
        <v>166.66666666666666</v>
      </c>
      <c r="Y46" s="22">
        <f t="shared" si="11"/>
        <v>166.66666666666666</v>
      </c>
      <c r="Z46" s="22">
        <f t="shared" si="11"/>
        <v>166.66666666666666</v>
      </c>
      <c r="AA46" s="22">
        <f t="shared" si="11"/>
        <v>166.66666666666666</v>
      </c>
      <c r="AB46" s="22">
        <f t="shared" si="11"/>
        <v>166.66666666666666</v>
      </c>
      <c r="AC46" s="22">
        <f t="shared" si="11"/>
        <v>166.66666666666666</v>
      </c>
      <c r="AD46" s="22">
        <f t="shared" si="11"/>
        <v>166.66666666666666</v>
      </c>
      <c r="AE46" s="22">
        <f t="shared" si="11"/>
        <v>166.66666666666666</v>
      </c>
      <c r="AF46" s="13"/>
      <c r="AG46" s="27">
        <f t="shared" si="15"/>
        <v>1833.3333333333335</v>
      </c>
      <c r="AH46" s="9" t="s">
        <v>92</v>
      </c>
      <c r="AI46" s="46" t="b">
        <f t="shared" si="13"/>
        <v>0</v>
      </c>
      <c r="AJ46" s="46" t="b">
        <f t="shared" si="13"/>
        <v>0</v>
      </c>
      <c r="AK46" s="46" t="b">
        <f t="shared" si="13"/>
        <v>1</v>
      </c>
    </row>
    <row r="47" spans="2:37" x14ac:dyDescent="0.25">
      <c r="R47" s="13" t="str">
        <f t="shared" si="14"/>
        <v>PcbTrae</v>
      </c>
      <c r="S47" s="13" t="s">
        <v>73</v>
      </c>
      <c r="T47" s="22">
        <f t="shared" si="12"/>
        <v>0</v>
      </c>
      <c r="U47" s="22">
        <f t="shared" si="12"/>
        <v>0</v>
      </c>
      <c r="V47" s="22">
        <f t="shared" si="12"/>
        <v>0</v>
      </c>
      <c r="W47" s="22">
        <f t="shared" si="12"/>
        <v>0</v>
      </c>
      <c r="X47" s="22">
        <f t="shared" si="12"/>
        <v>0</v>
      </c>
      <c r="Y47" s="22">
        <f t="shared" si="12"/>
        <v>0</v>
      </c>
      <c r="Z47" s="22">
        <f t="shared" si="12"/>
        <v>0</v>
      </c>
      <c r="AA47" s="22">
        <f t="shared" si="12"/>
        <v>0</v>
      </c>
      <c r="AB47" s="22">
        <f t="shared" si="12"/>
        <v>0</v>
      </c>
      <c r="AC47" s="22">
        <f t="shared" si="12"/>
        <v>0</v>
      </c>
      <c r="AD47" s="22">
        <f t="shared" si="12"/>
        <v>0</v>
      </c>
      <c r="AE47" s="22">
        <f t="shared" si="12"/>
        <v>0</v>
      </c>
      <c r="AF47" s="13"/>
      <c r="AG47" s="27">
        <f t="shared" si="15"/>
        <v>0</v>
      </c>
      <c r="AH47" s="9" t="s">
        <v>92</v>
      </c>
      <c r="AI47" s="46" t="b">
        <f t="shared" si="13"/>
        <v>1</v>
      </c>
      <c r="AJ47" s="46" t="b">
        <f t="shared" si="13"/>
        <v>0</v>
      </c>
      <c r="AK47" s="46" t="b">
        <f t="shared" si="13"/>
        <v>1</v>
      </c>
    </row>
    <row r="48" spans="2:37" x14ac:dyDescent="0.25">
      <c r="R48" s="13" t="str">
        <f t="shared" si="14"/>
        <v>TraeRekv</v>
      </c>
      <c r="S48" s="13" t="s">
        <v>73</v>
      </c>
      <c r="T48" s="22">
        <f t="shared" ref="T48:AE56" si="16">IF(AND(NOT($AI48),NOT(AJ48)),$I22/12,0)</f>
        <v>0</v>
      </c>
      <c r="U48" s="22">
        <f t="shared" si="16"/>
        <v>0</v>
      </c>
      <c r="V48" s="22">
        <f t="shared" si="16"/>
        <v>0</v>
      </c>
      <c r="W48" s="22">
        <f t="shared" si="16"/>
        <v>0</v>
      </c>
      <c r="X48" s="22">
        <f t="shared" si="16"/>
        <v>0</v>
      </c>
      <c r="Y48" s="22">
        <f t="shared" si="16"/>
        <v>0</v>
      </c>
      <c r="Z48" s="22">
        <f t="shared" si="16"/>
        <v>0</v>
      </c>
      <c r="AA48" s="22">
        <f t="shared" si="16"/>
        <v>0</v>
      </c>
      <c r="AB48" s="22">
        <f t="shared" si="16"/>
        <v>0</v>
      </c>
      <c r="AC48" s="22">
        <f t="shared" si="16"/>
        <v>0</v>
      </c>
      <c r="AD48" s="22">
        <f t="shared" si="16"/>
        <v>0</v>
      </c>
      <c r="AE48" s="22">
        <f t="shared" si="16"/>
        <v>0</v>
      </c>
      <c r="AF48" s="13"/>
      <c r="AG48" s="27">
        <f t="shared" si="15"/>
        <v>0</v>
      </c>
      <c r="AH48" s="9" t="s">
        <v>92</v>
      </c>
      <c r="AI48" s="46" t="b">
        <f t="shared" si="13"/>
        <v>1</v>
      </c>
      <c r="AJ48" s="46" t="b">
        <f t="shared" si="13"/>
        <v>0</v>
      </c>
      <c r="AK48" s="46" t="b">
        <f t="shared" si="13"/>
        <v>1</v>
      </c>
    </row>
    <row r="49" spans="17:37" x14ac:dyDescent="0.25">
      <c r="R49" s="13" t="str">
        <f t="shared" si="14"/>
        <v>Halm</v>
      </c>
      <c r="S49" s="13" t="s">
        <v>73</v>
      </c>
      <c r="T49" s="22">
        <f t="shared" si="16"/>
        <v>0</v>
      </c>
      <c r="U49" s="22">
        <f t="shared" si="16"/>
        <v>0</v>
      </c>
      <c r="V49" s="22">
        <f t="shared" si="16"/>
        <v>0</v>
      </c>
      <c r="W49" s="22">
        <f t="shared" si="16"/>
        <v>0</v>
      </c>
      <c r="X49" s="22">
        <f t="shared" si="16"/>
        <v>0</v>
      </c>
      <c r="Y49" s="22">
        <f t="shared" si="16"/>
        <v>0</v>
      </c>
      <c r="Z49" s="22">
        <f t="shared" si="16"/>
        <v>0</v>
      </c>
      <c r="AA49" s="22">
        <f t="shared" si="16"/>
        <v>0</v>
      </c>
      <c r="AB49" s="22">
        <f t="shared" si="16"/>
        <v>0</v>
      </c>
      <c r="AC49" s="22">
        <f t="shared" si="16"/>
        <v>0</v>
      </c>
      <c r="AD49" s="22">
        <f t="shared" si="16"/>
        <v>0</v>
      </c>
      <c r="AE49" s="22">
        <f t="shared" si="16"/>
        <v>0</v>
      </c>
      <c r="AF49" s="13"/>
      <c r="AG49" s="27">
        <f t="shared" si="15"/>
        <v>0</v>
      </c>
      <c r="AH49" s="9" t="s">
        <v>92</v>
      </c>
      <c r="AI49" s="46" t="b">
        <f t="shared" si="13"/>
        <v>0</v>
      </c>
      <c r="AJ49" s="46" t="b">
        <f t="shared" si="13"/>
        <v>0</v>
      </c>
      <c r="AK49" s="46" t="b">
        <f t="shared" si="13"/>
        <v>1</v>
      </c>
    </row>
    <row r="50" spans="17:37" x14ac:dyDescent="0.25">
      <c r="Q50" s="35"/>
      <c r="R50" s="13" t="str">
        <f t="shared" si="14"/>
        <v>Pulver</v>
      </c>
      <c r="S50" s="13" t="s">
        <v>73</v>
      </c>
      <c r="T50" s="22">
        <f t="shared" si="16"/>
        <v>10</v>
      </c>
      <c r="U50" s="22">
        <f t="shared" si="16"/>
        <v>0</v>
      </c>
      <c r="V50" s="22">
        <f t="shared" si="16"/>
        <v>10</v>
      </c>
      <c r="W50" s="22">
        <f t="shared" si="16"/>
        <v>10</v>
      </c>
      <c r="X50" s="22">
        <f t="shared" si="16"/>
        <v>10</v>
      </c>
      <c r="Y50" s="22">
        <f t="shared" si="16"/>
        <v>10</v>
      </c>
      <c r="Z50" s="22">
        <f t="shared" si="16"/>
        <v>10</v>
      </c>
      <c r="AA50" s="22">
        <f t="shared" si="16"/>
        <v>10</v>
      </c>
      <c r="AB50" s="22">
        <f t="shared" si="16"/>
        <v>10</v>
      </c>
      <c r="AC50" s="22">
        <f t="shared" si="16"/>
        <v>10</v>
      </c>
      <c r="AD50" s="22">
        <f t="shared" si="16"/>
        <v>10</v>
      </c>
      <c r="AE50" s="22">
        <f t="shared" si="16"/>
        <v>10</v>
      </c>
      <c r="AF50" s="13"/>
      <c r="AG50" s="27">
        <f t="shared" si="15"/>
        <v>110</v>
      </c>
      <c r="AH50" s="9" t="s">
        <v>92</v>
      </c>
      <c r="AI50" s="46" t="b">
        <f t="shared" si="13"/>
        <v>0</v>
      </c>
      <c r="AJ50" s="46" t="b">
        <f t="shared" si="13"/>
        <v>0</v>
      </c>
      <c r="AK50" s="46" t="b">
        <f t="shared" si="13"/>
        <v>1</v>
      </c>
    </row>
    <row r="51" spans="17:37" x14ac:dyDescent="0.25">
      <c r="Q51" s="35"/>
      <c r="R51" s="13" t="str">
        <f t="shared" si="14"/>
        <v>FlisAffald</v>
      </c>
      <c r="S51" s="13" t="s">
        <v>73</v>
      </c>
      <c r="T51" s="22">
        <f t="shared" si="16"/>
        <v>0</v>
      </c>
      <c r="U51" s="22">
        <f t="shared" si="16"/>
        <v>0</v>
      </c>
      <c r="V51" s="22">
        <f t="shared" si="16"/>
        <v>0</v>
      </c>
      <c r="W51" s="22">
        <f t="shared" si="16"/>
        <v>0</v>
      </c>
      <c r="X51" s="22">
        <f t="shared" si="16"/>
        <v>0</v>
      </c>
      <c r="Y51" s="22">
        <f t="shared" si="16"/>
        <v>0</v>
      </c>
      <c r="Z51" s="22">
        <f t="shared" si="16"/>
        <v>0</v>
      </c>
      <c r="AA51" s="22">
        <f t="shared" si="16"/>
        <v>0</v>
      </c>
      <c r="AB51" s="22">
        <f t="shared" si="16"/>
        <v>0</v>
      </c>
      <c r="AC51" s="22">
        <f t="shared" si="16"/>
        <v>0</v>
      </c>
      <c r="AD51" s="22">
        <f t="shared" si="16"/>
        <v>0</v>
      </c>
      <c r="AE51" s="22">
        <f t="shared" si="16"/>
        <v>0</v>
      </c>
      <c r="AF51" s="13"/>
      <c r="AG51" s="27">
        <f t="shared" si="15"/>
        <v>0</v>
      </c>
      <c r="AH51" s="9" t="s">
        <v>92</v>
      </c>
      <c r="AI51" s="46" t="b">
        <f t="shared" si="13"/>
        <v>1</v>
      </c>
      <c r="AJ51" s="46" t="b">
        <f t="shared" si="13"/>
        <v>0</v>
      </c>
      <c r="AK51" s="46" t="b">
        <f t="shared" si="13"/>
        <v>1</v>
      </c>
    </row>
    <row r="52" spans="17:37" x14ac:dyDescent="0.25">
      <c r="Q52" s="35"/>
      <c r="R52" s="13" t="str">
        <f t="shared" si="14"/>
        <v>NyAff1</v>
      </c>
      <c r="S52" s="13" t="s">
        <v>73</v>
      </c>
      <c r="T52" s="22">
        <f t="shared" si="16"/>
        <v>4166.666666666667</v>
      </c>
      <c r="U52" s="22">
        <f t="shared" si="16"/>
        <v>0</v>
      </c>
      <c r="V52" s="22">
        <f t="shared" si="16"/>
        <v>4166.666666666667</v>
      </c>
      <c r="W52" s="22">
        <f t="shared" si="16"/>
        <v>4166.666666666667</v>
      </c>
      <c r="X52" s="22">
        <f t="shared" si="16"/>
        <v>4166.666666666667</v>
      </c>
      <c r="Y52" s="22">
        <f t="shared" si="16"/>
        <v>4166.666666666667</v>
      </c>
      <c r="Z52" s="22">
        <f t="shared" si="16"/>
        <v>4166.666666666667</v>
      </c>
      <c r="AA52" s="22">
        <f t="shared" si="16"/>
        <v>4166.666666666667</v>
      </c>
      <c r="AB52" s="22">
        <f t="shared" si="16"/>
        <v>4166.666666666667</v>
      </c>
      <c r="AC52" s="22">
        <f t="shared" si="16"/>
        <v>4166.666666666667</v>
      </c>
      <c r="AD52" s="22">
        <f t="shared" si="16"/>
        <v>4166.666666666667</v>
      </c>
      <c r="AE52" s="22">
        <f t="shared" si="16"/>
        <v>4166.666666666667</v>
      </c>
      <c r="AF52" s="13"/>
      <c r="AG52" s="27">
        <f t="shared" si="15"/>
        <v>45833.333333333328</v>
      </c>
      <c r="AH52" s="9" t="s">
        <v>92</v>
      </c>
      <c r="AI52" s="46" t="b">
        <f t="shared" si="13"/>
        <v>0</v>
      </c>
      <c r="AJ52" s="46" t="b">
        <f t="shared" si="13"/>
        <v>0</v>
      </c>
      <c r="AK52" s="46" t="b">
        <f t="shared" si="13"/>
        <v>1</v>
      </c>
    </row>
    <row r="53" spans="17:37" x14ac:dyDescent="0.25">
      <c r="R53" s="13" t="str">
        <f t="shared" si="14"/>
        <v>NyAff2</v>
      </c>
      <c r="S53" s="13" t="s">
        <v>73</v>
      </c>
      <c r="T53" s="22">
        <f t="shared" si="16"/>
        <v>0</v>
      </c>
      <c r="U53" s="22">
        <f t="shared" si="16"/>
        <v>0</v>
      </c>
      <c r="V53" s="22">
        <f t="shared" si="16"/>
        <v>0</v>
      </c>
      <c r="W53" s="22">
        <f t="shared" si="16"/>
        <v>0</v>
      </c>
      <c r="X53" s="22">
        <f t="shared" si="16"/>
        <v>0</v>
      </c>
      <c r="Y53" s="22">
        <f t="shared" si="16"/>
        <v>0</v>
      </c>
      <c r="Z53" s="22">
        <f t="shared" si="16"/>
        <v>0</v>
      </c>
      <c r="AA53" s="22">
        <f t="shared" si="16"/>
        <v>0</v>
      </c>
      <c r="AB53" s="22">
        <f t="shared" si="16"/>
        <v>0</v>
      </c>
      <c r="AC53" s="22">
        <f t="shared" si="16"/>
        <v>0</v>
      </c>
      <c r="AD53" s="22">
        <f t="shared" si="16"/>
        <v>0</v>
      </c>
      <c r="AE53" s="22">
        <f t="shared" si="16"/>
        <v>0</v>
      </c>
      <c r="AF53" s="13"/>
      <c r="AG53" s="27">
        <f t="shared" si="15"/>
        <v>0</v>
      </c>
      <c r="AH53" s="9" t="s">
        <v>92</v>
      </c>
      <c r="AI53" s="46" t="b">
        <f t="shared" si="13"/>
        <v>0</v>
      </c>
      <c r="AJ53" s="46" t="b">
        <f t="shared" si="13"/>
        <v>1</v>
      </c>
      <c r="AK53" s="46" t="b">
        <f t="shared" si="13"/>
        <v>1</v>
      </c>
    </row>
    <row r="54" spans="17:37" x14ac:dyDescent="0.25">
      <c r="R54" s="13" t="str">
        <f t="shared" si="14"/>
        <v>Flis</v>
      </c>
      <c r="S54" s="13" t="s">
        <v>73</v>
      </c>
      <c r="T54" s="22">
        <f t="shared" si="16"/>
        <v>0</v>
      </c>
      <c r="U54" s="22">
        <f t="shared" si="16"/>
        <v>0</v>
      </c>
      <c r="V54" s="22">
        <f t="shared" si="16"/>
        <v>0</v>
      </c>
      <c r="W54" s="22">
        <f t="shared" si="16"/>
        <v>0</v>
      </c>
      <c r="X54" s="22">
        <f t="shared" si="16"/>
        <v>0</v>
      </c>
      <c r="Y54" s="22">
        <f t="shared" si="16"/>
        <v>0</v>
      </c>
      <c r="Z54" s="22">
        <f t="shared" si="16"/>
        <v>0</v>
      </c>
      <c r="AA54" s="22">
        <f t="shared" si="16"/>
        <v>0</v>
      </c>
      <c r="AB54" s="22">
        <f t="shared" si="16"/>
        <v>0</v>
      </c>
      <c r="AC54" s="22">
        <f t="shared" si="16"/>
        <v>0</v>
      </c>
      <c r="AD54" s="22">
        <f t="shared" si="16"/>
        <v>0</v>
      </c>
      <c r="AE54" s="22">
        <f t="shared" si="16"/>
        <v>0</v>
      </c>
      <c r="AF54" s="13"/>
      <c r="AG54" s="27">
        <f t="shared" si="15"/>
        <v>0</v>
      </c>
      <c r="AH54" s="9" t="s">
        <v>92</v>
      </c>
      <c r="AI54" s="46" t="b">
        <f t="shared" si="13"/>
        <v>1</v>
      </c>
      <c r="AJ54" s="46" t="b">
        <f t="shared" si="13"/>
        <v>1</v>
      </c>
      <c r="AK54" s="46" t="b">
        <f t="shared" si="13"/>
        <v>0</v>
      </c>
    </row>
    <row r="55" spans="17:37" x14ac:dyDescent="0.25">
      <c r="R55" s="13" t="str">
        <f t="shared" si="14"/>
        <v>NSvarme</v>
      </c>
      <c r="S55" s="13" t="s">
        <v>73</v>
      </c>
      <c r="T55" s="22">
        <f t="shared" si="16"/>
        <v>0</v>
      </c>
      <c r="U55" s="22">
        <f t="shared" si="16"/>
        <v>0</v>
      </c>
      <c r="V55" s="22">
        <f t="shared" si="16"/>
        <v>0</v>
      </c>
      <c r="W55" s="22">
        <f t="shared" si="16"/>
        <v>0</v>
      </c>
      <c r="X55" s="22">
        <f t="shared" si="16"/>
        <v>0</v>
      </c>
      <c r="Y55" s="22">
        <f t="shared" si="16"/>
        <v>0</v>
      </c>
      <c r="Z55" s="22">
        <f t="shared" si="16"/>
        <v>0</v>
      </c>
      <c r="AA55" s="22">
        <f t="shared" si="16"/>
        <v>0</v>
      </c>
      <c r="AB55" s="22">
        <f t="shared" si="16"/>
        <v>0</v>
      </c>
      <c r="AC55" s="22">
        <f t="shared" si="16"/>
        <v>0</v>
      </c>
      <c r="AD55" s="22">
        <f t="shared" si="16"/>
        <v>0</v>
      </c>
      <c r="AE55" s="22">
        <f t="shared" si="16"/>
        <v>0</v>
      </c>
      <c r="AF55" s="13"/>
      <c r="AG55" s="27">
        <f t="shared" si="15"/>
        <v>0</v>
      </c>
      <c r="AH55" s="2" t="s">
        <v>83</v>
      </c>
      <c r="AI55" s="46" t="b">
        <f t="shared" si="13"/>
        <v>0</v>
      </c>
      <c r="AJ55" s="46" t="b">
        <f t="shared" si="13"/>
        <v>1</v>
      </c>
      <c r="AK55" s="46" t="b">
        <f t="shared" si="13"/>
        <v>0</v>
      </c>
    </row>
    <row r="56" spans="17:37" x14ac:dyDescent="0.25">
      <c r="R56" s="89" t="str">
        <f t="shared" si="14"/>
        <v>PeakFuel</v>
      </c>
      <c r="S56" s="89" t="s">
        <v>73</v>
      </c>
      <c r="T56" s="102">
        <f t="shared" si="16"/>
        <v>0</v>
      </c>
      <c r="U56" s="102">
        <f t="shared" si="16"/>
        <v>0</v>
      </c>
      <c r="V56" s="102">
        <f t="shared" si="16"/>
        <v>0</v>
      </c>
      <c r="W56" s="102">
        <f t="shared" si="16"/>
        <v>0</v>
      </c>
      <c r="X56" s="102">
        <f t="shared" si="16"/>
        <v>0</v>
      </c>
      <c r="Y56" s="102">
        <f t="shared" si="16"/>
        <v>0</v>
      </c>
      <c r="Z56" s="102">
        <f t="shared" si="16"/>
        <v>0</v>
      </c>
      <c r="AA56" s="102">
        <f t="shared" si="16"/>
        <v>0</v>
      </c>
      <c r="AB56" s="102">
        <f t="shared" si="16"/>
        <v>0</v>
      </c>
      <c r="AC56" s="102">
        <f t="shared" si="16"/>
        <v>0</v>
      </c>
      <c r="AD56" s="102">
        <f t="shared" si="16"/>
        <v>0</v>
      </c>
      <c r="AE56" s="102">
        <f t="shared" si="16"/>
        <v>0</v>
      </c>
      <c r="AF56" s="89"/>
      <c r="AG56" s="103">
        <f t="shared" si="15"/>
        <v>0</v>
      </c>
      <c r="AH56" s="9" t="s">
        <v>92</v>
      </c>
      <c r="AI56" s="46" t="b">
        <f t="shared" si="13"/>
        <v>1</v>
      </c>
      <c r="AJ56" s="46" t="b">
        <f t="shared" si="13"/>
        <v>1</v>
      </c>
      <c r="AK56" s="46" t="b">
        <f t="shared" si="13"/>
        <v>0</v>
      </c>
    </row>
    <row r="57" spans="17:37" x14ac:dyDescent="0.25"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7"/>
      <c r="AI57" s="15"/>
    </row>
  </sheetData>
  <conditionalFormatting sqref="G5:G30">
    <cfRule type="expression" dxfId="11" priority="1">
      <formula>$G5&lt;&gt;0</formula>
    </cfRule>
  </conditionalFormatting>
  <conditionalFormatting sqref="K28:K30">
    <cfRule type="cellIs" dxfId="10" priority="12" operator="lessThan">
      <formula>0</formula>
    </cfRule>
  </conditionalFormatting>
  <conditionalFormatting sqref="H5:H27 H29:H30">
    <cfRule type="cellIs" dxfId="9" priority="11" operator="notEqual">
      <formula>0</formula>
    </cfRule>
  </conditionalFormatting>
  <conditionalFormatting sqref="I29:J30">
    <cfRule type="cellIs" dxfId="8" priority="10" operator="greaterThan">
      <formula>0</formula>
    </cfRule>
  </conditionalFormatting>
  <conditionalFormatting sqref="I5:J27">
    <cfRule type="cellIs" dxfId="7" priority="9" operator="equal">
      <formula>0</formula>
    </cfRule>
  </conditionalFormatting>
  <conditionalFormatting sqref="D5:G27 D29:G30 D28:F28">
    <cfRule type="cellIs" dxfId="6" priority="8" operator="equal">
      <formula>0</formula>
    </cfRule>
  </conditionalFormatting>
  <conditionalFormatting sqref="H28">
    <cfRule type="cellIs" dxfId="5" priority="7" operator="notEqual">
      <formula>0</formula>
    </cfRule>
  </conditionalFormatting>
  <conditionalFormatting sqref="I28:J28">
    <cfRule type="cellIs" dxfId="4" priority="6" operator="greaterThan">
      <formula>0</formula>
    </cfRule>
  </conditionalFormatting>
  <conditionalFormatting sqref="G28">
    <cfRule type="cellIs" dxfId="3" priority="5" operator="equal">
      <formula>0</formula>
    </cfRule>
  </conditionalFormatting>
  <conditionalFormatting sqref="M5:M30">
    <cfRule type="cellIs" dxfId="2" priority="4" operator="equal">
      <formula>0</formula>
    </cfRule>
  </conditionalFormatting>
  <conditionalFormatting sqref="K5:K30">
    <cfRule type="cellIs" dxfId="1" priority="3" operator="lessThan">
      <formula>0</formula>
    </cfRule>
  </conditionalFormatting>
  <conditionalFormatting sqref="C5:C30">
    <cfRule type="expression" dxfId="0" priority="2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7088-EDA0-4380-9388-AE3A4077A8A9}">
  <dimension ref="A2:J187"/>
  <sheetViews>
    <sheetView zoomScale="85" zoomScaleNormal="85" workbookViewId="0">
      <selection activeCell="E81" sqref="E81"/>
    </sheetView>
  </sheetViews>
  <sheetFormatPr defaultRowHeight="15" outlineLevelRow="1" x14ac:dyDescent="0.25"/>
  <cols>
    <col min="1" max="1" width="11.28515625" style="10" bestFit="1" customWidth="1"/>
    <col min="2" max="2" width="19.140625" style="55" bestFit="1" customWidth="1"/>
    <col min="3" max="3" width="6.5703125" style="58" bestFit="1" customWidth="1"/>
    <col min="4" max="4" width="9.42578125" style="55" customWidth="1"/>
    <col min="5" max="9" width="9.28515625" style="55" customWidth="1"/>
    <col min="10" max="10" width="66.7109375" style="55" customWidth="1"/>
  </cols>
  <sheetData>
    <row r="2" spans="1:9" x14ac:dyDescent="0.25">
      <c r="B2" s="57" t="s">
        <v>215</v>
      </c>
      <c r="D2" s="64" t="s">
        <v>190</v>
      </c>
      <c r="E2" s="55">
        <f>MATCH($D$2,DataU!B32:B43,0)</f>
        <v>11</v>
      </c>
    </row>
    <row r="3" spans="1:9" outlineLevel="1" x14ac:dyDescent="0.25">
      <c r="B3" s="77"/>
    </row>
    <row r="4" spans="1:9" outlineLevel="1" x14ac:dyDescent="0.25">
      <c r="B4" s="77"/>
    </row>
    <row r="5" spans="1:9" x14ac:dyDescent="0.25">
      <c r="B5" s="57" t="s">
        <v>214</v>
      </c>
    </row>
    <row r="6" spans="1:9" x14ac:dyDescent="0.25">
      <c r="A6" s="10" t="str" cm="1">
        <f t="array" ref="A6:A11">DataU!B5:B10</f>
        <v>Ovn2</v>
      </c>
      <c r="B6" s="77" t="str" cm="1">
        <f t="array" ref="B6:B11">"Hours"&amp;DataU!B5:B10</f>
        <v>HoursOvn2</v>
      </c>
      <c r="D6" s="55">
        <f>HLOOKUP($A6,DataU!$C$31:$H$43,MATCH($D$2,DataU!$B$31:$B$43,0),FALSE)</f>
        <v>30</v>
      </c>
      <c r="F6" s="62"/>
    </row>
    <row r="7" spans="1:9" outlineLevel="1" x14ac:dyDescent="0.25">
      <c r="A7" s="10" t="str">
        <v>Ovn3</v>
      </c>
      <c r="B7" s="77" t="str">
        <v>HoursOvn3</v>
      </c>
      <c r="D7" s="55">
        <f>HLOOKUP($A7,DataU!$C$31:$H$43,MATCH($D$2,DataU!$B$31:$B$43,0),FALSE)</f>
        <v>30</v>
      </c>
      <c r="F7" s="62"/>
    </row>
    <row r="8" spans="1:9" outlineLevel="1" x14ac:dyDescent="0.25">
      <c r="A8" s="10" t="str">
        <v>Fliskedel</v>
      </c>
      <c r="B8" s="77" t="str">
        <v>HoursFliskedel</v>
      </c>
      <c r="D8" s="55">
        <f>HLOOKUP($A8,DataU!$C$31:$H$43,MATCH($D$2,DataU!$B$31:$B$43,0),FALSE)</f>
        <v>30</v>
      </c>
      <c r="F8" s="62"/>
    </row>
    <row r="9" spans="1:9" outlineLevel="1" x14ac:dyDescent="0.25">
      <c r="A9" s="10" t="str">
        <v>NS-varme</v>
      </c>
      <c r="B9" s="77" t="str">
        <v>HoursNS-varme</v>
      </c>
      <c r="D9" s="55">
        <f>HLOOKUP($A9,DataU!$C$31:$H$43,MATCH($D$2,DataU!$B$31:$B$43,0),FALSE)</f>
        <v>7.8125</v>
      </c>
      <c r="F9" s="62"/>
    </row>
    <row r="10" spans="1:9" outlineLevel="1" x14ac:dyDescent="0.25">
      <c r="A10" s="10" t="str">
        <v>SR-kedler</v>
      </c>
      <c r="B10" s="77" t="str">
        <v>HoursSR-kedler</v>
      </c>
      <c r="D10" s="55">
        <f>HLOOKUP($A10,DataU!$C$31:$H$43,MATCH($D$2,DataU!$B$31:$B$43,0),FALSE)</f>
        <v>30</v>
      </c>
      <c r="F10" s="62"/>
    </row>
    <row r="11" spans="1:9" outlineLevel="1" x14ac:dyDescent="0.25">
      <c r="A11" s="10" t="str">
        <v>Cooler</v>
      </c>
      <c r="B11" s="77" t="str">
        <v>HoursCooler</v>
      </c>
      <c r="D11" s="55">
        <f>HLOOKUP($A11,DataU!$C$31:$H$43,MATCH($D$2,DataU!$B$31:$B$43,0),FALSE)</f>
        <v>30</v>
      </c>
      <c r="F11" s="62"/>
    </row>
    <row r="12" spans="1:9" outlineLevel="1" x14ac:dyDescent="0.25">
      <c r="B12" s="77"/>
    </row>
    <row r="13" spans="1:9" x14ac:dyDescent="0.25">
      <c r="A13" s="16"/>
      <c r="B13" s="57" t="s">
        <v>178</v>
      </c>
      <c r="C13" s="64" t="s">
        <v>179</v>
      </c>
      <c r="D13" s="64" t="str">
        <f>D2</f>
        <v>NOV</v>
      </c>
      <c r="E13" s="64"/>
      <c r="F13" s="64"/>
      <c r="G13" s="64"/>
      <c r="H13" s="64"/>
      <c r="I13" s="64"/>
    </row>
    <row r="14" spans="1:9" x14ac:dyDescent="0.25">
      <c r="B14" s="66" t="str">
        <f>"Ovn2"&amp;Fuel!C5</f>
        <v>Ovn2DepoSort</v>
      </c>
      <c r="C14" s="67">
        <f>Fuel!D5</f>
        <v>1</v>
      </c>
      <c r="D14" s="62">
        <v>757.75</v>
      </c>
      <c r="E14" s="62"/>
      <c r="F14" s="62"/>
      <c r="G14" s="62"/>
      <c r="H14" s="62"/>
      <c r="I14" s="62"/>
    </row>
    <row r="15" spans="1:9" outlineLevel="1" x14ac:dyDescent="0.25">
      <c r="B15" s="68" t="str">
        <f>"Ovn2"&amp;Fuel!C6</f>
        <v>Ovn2DepoSmaat</v>
      </c>
      <c r="C15" s="69">
        <f>Fuel!D6</f>
        <v>0</v>
      </c>
      <c r="D15" s="62">
        <v>0</v>
      </c>
      <c r="E15" s="62"/>
      <c r="F15" s="62"/>
      <c r="G15" s="62"/>
      <c r="H15" s="62"/>
      <c r="I15" s="62"/>
    </row>
    <row r="16" spans="1:9" outlineLevel="1" x14ac:dyDescent="0.25">
      <c r="B16" s="68" t="str">
        <f>"Ovn2"&amp;Fuel!C7</f>
        <v>Ovn2DepoNedd</v>
      </c>
      <c r="C16" s="69">
        <f>Fuel!D7</f>
        <v>0</v>
      </c>
      <c r="D16" s="62">
        <v>0</v>
      </c>
      <c r="E16" s="62"/>
      <c r="F16" s="62"/>
      <c r="G16" s="62"/>
      <c r="H16" s="62"/>
      <c r="I16" s="62"/>
    </row>
    <row r="17" spans="2:9" outlineLevel="1" x14ac:dyDescent="0.25">
      <c r="B17" s="68" t="str">
        <f>"Ovn2"&amp;Fuel!C8</f>
        <v>Ovn2Dagren</v>
      </c>
      <c r="C17" s="69">
        <f>Fuel!D8</f>
        <v>1</v>
      </c>
      <c r="D17" s="62">
        <v>2405.75</v>
      </c>
      <c r="E17" s="62"/>
      <c r="F17" s="62"/>
      <c r="G17" s="62"/>
      <c r="H17" s="62"/>
      <c r="I17" s="62"/>
    </row>
    <row r="18" spans="2:9" outlineLevel="1" x14ac:dyDescent="0.25">
      <c r="B18" s="68" t="str">
        <f>"Ovn2"&amp;Fuel!C9</f>
        <v>Ovn2AndetBrand</v>
      </c>
      <c r="C18" s="69">
        <f>Fuel!D9</f>
        <v>1</v>
      </c>
      <c r="D18" s="62">
        <v>291.66666666666669</v>
      </c>
      <c r="E18" s="62"/>
      <c r="F18" s="62"/>
      <c r="G18" s="62"/>
      <c r="H18" s="62"/>
      <c r="I18" s="62"/>
    </row>
    <row r="19" spans="2:9" outlineLevel="1" x14ac:dyDescent="0.25">
      <c r="B19" s="68" t="str">
        <f>"Ovn2"&amp;Fuel!C10</f>
        <v>Ovn2Trae</v>
      </c>
      <c r="C19" s="69">
        <f>Fuel!D10</f>
        <v>0</v>
      </c>
      <c r="D19" s="62">
        <v>0</v>
      </c>
      <c r="E19" s="62"/>
      <c r="F19" s="62"/>
      <c r="G19" s="62"/>
      <c r="H19" s="62"/>
      <c r="I19" s="62"/>
    </row>
    <row r="20" spans="2:9" outlineLevel="1" x14ac:dyDescent="0.25">
      <c r="B20" s="68" t="str">
        <f>"Ovn2"&amp;Fuel!C11</f>
        <v>Ovn2DagrenRast</v>
      </c>
      <c r="C20" s="69">
        <f>Fuel!D11</f>
        <v>0</v>
      </c>
      <c r="D20" s="62">
        <v>0</v>
      </c>
      <c r="E20" s="62"/>
      <c r="F20" s="62"/>
      <c r="G20" s="62"/>
      <c r="H20" s="62"/>
      <c r="I20" s="62"/>
    </row>
    <row r="21" spans="2:9" outlineLevel="1" x14ac:dyDescent="0.25">
      <c r="B21" s="68" t="str">
        <f>"Ovn2"&amp;Fuel!C12</f>
        <v>Ovn2DagrenInst</v>
      </c>
      <c r="C21" s="69">
        <f>Fuel!D12</f>
        <v>1</v>
      </c>
      <c r="D21" s="62">
        <v>650</v>
      </c>
      <c r="E21" s="62"/>
      <c r="F21" s="62"/>
      <c r="G21" s="62"/>
      <c r="H21" s="62"/>
      <c r="I21" s="62"/>
    </row>
    <row r="22" spans="2:9" outlineLevel="1" x14ac:dyDescent="0.25">
      <c r="B22" s="68" t="str">
        <f>"Ovn2"&amp;Fuel!C13</f>
        <v>Ovn2DagrenHandel</v>
      </c>
      <c r="C22" s="69">
        <f>Fuel!D13</f>
        <v>0</v>
      </c>
      <c r="D22" s="62">
        <v>0</v>
      </c>
      <c r="E22" s="62"/>
      <c r="F22" s="62"/>
      <c r="G22" s="62"/>
      <c r="H22" s="62"/>
      <c r="I22" s="62"/>
    </row>
    <row r="23" spans="2:9" outlineLevel="1" x14ac:dyDescent="0.25">
      <c r="B23" s="68" t="str">
        <f>"Ovn2"&amp;Fuel!C14</f>
        <v>Ovn2DagrenRestau</v>
      </c>
      <c r="C23" s="69">
        <f>Fuel!D14</f>
        <v>0</v>
      </c>
      <c r="D23" s="62">
        <v>0</v>
      </c>
      <c r="E23" s="62"/>
      <c r="F23" s="62"/>
      <c r="G23" s="62"/>
      <c r="H23" s="62"/>
      <c r="I23" s="62"/>
    </row>
    <row r="24" spans="2:9" outlineLevel="1" x14ac:dyDescent="0.25">
      <c r="B24" s="68" t="str">
        <f>"Ovn2"&amp;Fuel!C15</f>
        <v>Ovn2Erhverv</v>
      </c>
      <c r="C24" s="69">
        <f>Fuel!D15</f>
        <v>1</v>
      </c>
      <c r="D24" s="62">
        <v>433.33333333333331</v>
      </c>
      <c r="E24" s="62"/>
      <c r="F24" s="62"/>
      <c r="G24" s="62"/>
      <c r="H24" s="62"/>
      <c r="I24" s="62"/>
    </row>
    <row r="25" spans="2:9" outlineLevel="1" x14ac:dyDescent="0.25">
      <c r="B25" s="68" t="str">
        <f>"Ovn2"&amp;Fuel!C16</f>
        <v>Ovn2DagrenErhverv</v>
      </c>
      <c r="C25" s="69">
        <f>Fuel!D16</f>
        <v>1</v>
      </c>
      <c r="D25" s="62">
        <v>41.666666666666664</v>
      </c>
      <c r="E25" s="62"/>
      <c r="F25" s="62"/>
      <c r="G25" s="62"/>
      <c r="H25" s="62"/>
      <c r="I25" s="62"/>
    </row>
    <row r="26" spans="2:9" outlineLevel="1" x14ac:dyDescent="0.25">
      <c r="B26" s="68" t="str">
        <f>"Ovn2"&amp;Fuel!C17</f>
        <v>Ovn2HandelKontor</v>
      </c>
      <c r="C26" s="69">
        <f>Fuel!D17</f>
        <v>0</v>
      </c>
      <c r="D26" s="62">
        <v>0</v>
      </c>
      <c r="E26" s="62"/>
      <c r="F26" s="62"/>
      <c r="G26" s="62"/>
      <c r="H26" s="62"/>
      <c r="I26" s="62"/>
    </row>
    <row r="27" spans="2:9" outlineLevel="1" x14ac:dyDescent="0.25">
      <c r="B27" s="68" t="str">
        <f>"Ovn2"&amp;Fuel!C18</f>
        <v>Ovn2Privat</v>
      </c>
      <c r="C27" s="69">
        <f>Fuel!D18</f>
        <v>0</v>
      </c>
      <c r="D27" s="62">
        <v>0</v>
      </c>
      <c r="E27" s="62"/>
      <c r="F27" s="62"/>
      <c r="G27" s="62"/>
      <c r="H27" s="62"/>
      <c r="I27" s="62"/>
    </row>
    <row r="28" spans="2:9" outlineLevel="1" x14ac:dyDescent="0.25">
      <c r="B28" s="68" t="str">
        <f>"Ovn2"&amp;Fuel!C19</f>
        <v>Ovn2TyskRest</v>
      </c>
      <c r="C28" s="69">
        <f>Fuel!D19</f>
        <v>1</v>
      </c>
      <c r="D28" s="62">
        <v>3333.3333333333335</v>
      </c>
      <c r="E28" s="62"/>
      <c r="F28" s="62"/>
      <c r="G28" s="62"/>
      <c r="H28" s="62"/>
      <c r="I28" s="62"/>
    </row>
    <row r="29" spans="2:9" outlineLevel="1" x14ac:dyDescent="0.25">
      <c r="B29" s="68" t="str">
        <f>"Ovn2"&amp;Fuel!C20</f>
        <v>Ovn2PolskRest</v>
      </c>
      <c r="C29" s="69">
        <f>Fuel!D20</f>
        <v>1</v>
      </c>
      <c r="D29" s="62">
        <v>166.66666666666666</v>
      </c>
      <c r="E29" s="62"/>
      <c r="F29" s="62"/>
      <c r="G29" s="62"/>
      <c r="H29" s="62"/>
      <c r="I29" s="62"/>
    </row>
    <row r="30" spans="2:9" outlineLevel="1" x14ac:dyDescent="0.25">
      <c r="B30" s="68" t="str">
        <f>"Ovn2"&amp;Fuel!C21</f>
        <v>Ovn2PcbTrae</v>
      </c>
      <c r="C30" s="69">
        <f>Fuel!D21</f>
        <v>0</v>
      </c>
      <c r="D30" s="62">
        <v>0</v>
      </c>
      <c r="E30" s="62"/>
      <c r="F30" s="62"/>
      <c r="G30" s="62"/>
      <c r="H30" s="62"/>
      <c r="I30" s="62"/>
    </row>
    <row r="31" spans="2:9" outlineLevel="1" x14ac:dyDescent="0.25">
      <c r="B31" s="68" t="str">
        <f>"Ovn2"&amp;Fuel!C22</f>
        <v>Ovn2TraeRekv</v>
      </c>
      <c r="C31" s="69">
        <f>Fuel!D22</f>
        <v>0</v>
      </c>
      <c r="D31" s="62">
        <v>12.5</v>
      </c>
      <c r="E31" s="62"/>
      <c r="F31" s="62"/>
      <c r="G31" s="62"/>
      <c r="H31" s="62"/>
      <c r="I31" s="62"/>
    </row>
    <row r="32" spans="2:9" outlineLevel="1" x14ac:dyDescent="0.25">
      <c r="B32" s="68" t="str">
        <f>"Ovn2"&amp;Fuel!C23</f>
        <v>Ovn2Halm</v>
      </c>
      <c r="C32" s="69">
        <f>Fuel!D23</f>
        <v>0</v>
      </c>
      <c r="D32" s="62">
        <v>125</v>
      </c>
      <c r="E32" s="62"/>
      <c r="F32" s="62"/>
      <c r="G32" s="62"/>
      <c r="H32" s="62"/>
      <c r="I32" s="62"/>
    </row>
    <row r="33" spans="2:9" outlineLevel="1" x14ac:dyDescent="0.25">
      <c r="B33" s="68" t="str">
        <f>"Ovn2"&amp;Fuel!C24</f>
        <v>Ovn2Pulver</v>
      </c>
      <c r="C33" s="69">
        <f>Fuel!D24</f>
        <v>1</v>
      </c>
      <c r="D33" s="62">
        <v>0</v>
      </c>
      <c r="E33" s="62"/>
      <c r="F33" s="62"/>
      <c r="G33" s="62"/>
      <c r="H33" s="62"/>
      <c r="I33" s="62"/>
    </row>
    <row r="34" spans="2:9" outlineLevel="1" x14ac:dyDescent="0.25">
      <c r="B34" s="68" t="str">
        <f>"Ovn2"&amp;Fuel!C25</f>
        <v>Ovn2FlisAffald</v>
      </c>
      <c r="C34" s="69">
        <f>Fuel!D25</f>
        <v>1</v>
      </c>
      <c r="D34" s="62">
        <v>10</v>
      </c>
      <c r="E34" s="62"/>
      <c r="F34" s="62"/>
      <c r="G34" s="62"/>
      <c r="H34" s="62"/>
      <c r="I34" s="62"/>
    </row>
    <row r="35" spans="2:9" x14ac:dyDescent="0.25">
      <c r="B35" s="70" t="str">
        <f>"Ovn3"&amp;Fuel!C5</f>
        <v>Ovn3DepoSort</v>
      </c>
      <c r="C35" s="71">
        <f>Fuel!D5</f>
        <v>1</v>
      </c>
      <c r="D35" s="62">
        <v>757.75</v>
      </c>
      <c r="E35" s="62"/>
      <c r="F35" s="62"/>
      <c r="G35" s="62"/>
      <c r="H35" s="62"/>
      <c r="I35" s="62"/>
    </row>
    <row r="36" spans="2:9" hidden="1" outlineLevel="1" x14ac:dyDescent="0.25">
      <c r="B36" s="70" t="str">
        <f>"Ovn3"&amp;Fuel!C6</f>
        <v>Ovn3DepoSmaat</v>
      </c>
      <c r="C36" s="71">
        <f>Fuel!D6</f>
        <v>0</v>
      </c>
      <c r="D36" s="62">
        <v>0</v>
      </c>
      <c r="E36" s="62"/>
      <c r="F36" s="62"/>
      <c r="G36" s="62"/>
      <c r="H36" s="62"/>
      <c r="I36" s="62"/>
    </row>
    <row r="37" spans="2:9" hidden="1" outlineLevel="1" x14ac:dyDescent="0.25">
      <c r="B37" s="70" t="str">
        <f>"Ovn3"&amp;Fuel!C7</f>
        <v>Ovn3DepoNedd</v>
      </c>
      <c r="C37" s="71">
        <f>Fuel!D7</f>
        <v>0</v>
      </c>
      <c r="D37" s="62">
        <v>0</v>
      </c>
      <c r="E37" s="62"/>
      <c r="F37" s="62"/>
      <c r="G37" s="62"/>
      <c r="H37" s="62"/>
      <c r="I37" s="62"/>
    </row>
    <row r="38" spans="2:9" hidden="1" outlineLevel="1" x14ac:dyDescent="0.25">
      <c r="B38" s="70" t="str">
        <f>"Ovn3"&amp;Fuel!C8</f>
        <v>Ovn3Dagren</v>
      </c>
      <c r="C38" s="71">
        <f>Fuel!D8</f>
        <v>1</v>
      </c>
      <c r="D38" s="62">
        <v>2405.75</v>
      </c>
      <c r="E38" s="62"/>
      <c r="F38" s="62"/>
      <c r="G38" s="62"/>
      <c r="H38" s="62"/>
      <c r="I38" s="62"/>
    </row>
    <row r="39" spans="2:9" hidden="1" outlineLevel="1" x14ac:dyDescent="0.25">
      <c r="B39" s="70" t="str">
        <f>"Ovn3"&amp;Fuel!C9</f>
        <v>Ovn3AndetBrand</v>
      </c>
      <c r="C39" s="71">
        <f>Fuel!D9</f>
        <v>1</v>
      </c>
      <c r="D39" s="62">
        <v>291.66666666666669</v>
      </c>
      <c r="E39" s="62"/>
      <c r="F39" s="62"/>
      <c r="G39" s="62"/>
      <c r="H39" s="62"/>
      <c r="I39" s="62"/>
    </row>
    <row r="40" spans="2:9" hidden="1" outlineLevel="1" x14ac:dyDescent="0.25">
      <c r="B40" s="70" t="str">
        <f>"Ovn3"&amp;Fuel!C10</f>
        <v>Ovn3Trae</v>
      </c>
      <c r="C40" s="71">
        <f>Fuel!D10</f>
        <v>0</v>
      </c>
      <c r="D40" s="62">
        <v>0</v>
      </c>
      <c r="E40" s="62"/>
      <c r="F40" s="62"/>
      <c r="G40" s="62"/>
      <c r="H40" s="62"/>
      <c r="I40" s="62"/>
    </row>
    <row r="41" spans="2:9" hidden="1" outlineLevel="1" x14ac:dyDescent="0.25">
      <c r="B41" s="70" t="str">
        <f>"Ovn3"&amp;Fuel!C11</f>
        <v>Ovn3DagrenRast</v>
      </c>
      <c r="C41" s="71">
        <f>Fuel!D11</f>
        <v>0</v>
      </c>
      <c r="D41" s="62">
        <v>0</v>
      </c>
      <c r="E41" s="62"/>
      <c r="F41" s="62"/>
      <c r="G41" s="62"/>
      <c r="H41" s="62"/>
      <c r="I41" s="62"/>
    </row>
    <row r="42" spans="2:9" hidden="1" outlineLevel="1" x14ac:dyDescent="0.25">
      <c r="B42" s="70" t="str">
        <f>"Ovn3"&amp;Fuel!C12</f>
        <v>Ovn3DagrenInst</v>
      </c>
      <c r="C42" s="71">
        <f>Fuel!D12</f>
        <v>1</v>
      </c>
      <c r="D42" s="62">
        <v>650</v>
      </c>
      <c r="E42" s="62"/>
      <c r="F42" s="62"/>
      <c r="G42" s="62"/>
      <c r="H42" s="62"/>
      <c r="I42" s="62"/>
    </row>
    <row r="43" spans="2:9" hidden="1" outlineLevel="1" x14ac:dyDescent="0.25">
      <c r="B43" s="70" t="str">
        <f>"Ovn3"&amp;Fuel!C13</f>
        <v>Ovn3DagrenHandel</v>
      </c>
      <c r="C43" s="71">
        <f>Fuel!D13</f>
        <v>0</v>
      </c>
      <c r="D43" s="62">
        <v>0</v>
      </c>
      <c r="E43" s="62"/>
      <c r="F43" s="62"/>
      <c r="G43" s="62"/>
      <c r="H43" s="62"/>
      <c r="I43" s="62"/>
    </row>
    <row r="44" spans="2:9" hidden="1" outlineLevel="1" x14ac:dyDescent="0.25">
      <c r="B44" s="70" t="str">
        <f>"Ovn3"&amp;Fuel!C14</f>
        <v>Ovn3DagrenRestau</v>
      </c>
      <c r="C44" s="71">
        <f>Fuel!D14</f>
        <v>0</v>
      </c>
      <c r="D44" s="62">
        <v>0</v>
      </c>
      <c r="E44" s="62"/>
      <c r="F44" s="62"/>
      <c r="G44" s="62"/>
      <c r="H44" s="62"/>
      <c r="I44" s="62"/>
    </row>
    <row r="45" spans="2:9" hidden="1" outlineLevel="1" x14ac:dyDescent="0.25">
      <c r="B45" s="70" t="str">
        <f>"Ovn3"&amp;Fuel!C15</f>
        <v>Ovn3Erhverv</v>
      </c>
      <c r="C45" s="71">
        <f>Fuel!D15</f>
        <v>1</v>
      </c>
      <c r="D45" s="62">
        <v>433.33333333333331</v>
      </c>
      <c r="E45" s="62"/>
      <c r="F45" s="62"/>
      <c r="G45" s="62"/>
      <c r="H45" s="62"/>
      <c r="I45" s="62"/>
    </row>
    <row r="46" spans="2:9" hidden="1" outlineLevel="1" x14ac:dyDescent="0.25">
      <c r="B46" s="70" t="str">
        <f>"Ovn3"&amp;Fuel!C16</f>
        <v>Ovn3DagrenErhverv</v>
      </c>
      <c r="C46" s="71">
        <f>Fuel!D16</f>
        <v>1</v>
      </c>
      <c r="D46" s="62">
        <v>41.666666666666664</v>
      </c>
      <c r="E46" s="62"/>
      <c r="F46" s="62"/>
      <c r="G46" s="62"/>
      <c r="H46" s="62"/>
      <c r="I46" s="62"/>
    </row>
    <row r="47" spans="2:9" hidden="1" outlineLevel="1" x14ac:dyDescent="0.25">
      <c r="B47" s="70" t="str">
        <f>"Ovn3"&amp;Fuel!C17</f>
        <v>Ovn3HandelKontor</v>
      </c>
      <c r="C47" s="71">
        <f>Fuel!D17</f>
        <v>0</v>
      </c>
      <c r="D47" s="62">
        <v>0</v>
      </c>
      <c r="E47" s="62"/>
      <c r="F47" s="62"/>
      <c r="G47" s="62"/>
      <c r="H47" s="62"/>
      <c r="I47" s="62"/>
    </row>
    <row r="48" spans="2:9" hidden="1" outlineLevel="1" x14ac:dyDescent="0.25">
      <c r="B48" s="70" t="str">
        <f>"Ovn3"&amp;Fuel!C18</f>
        <v>Ovn3Privat</v>
      </c>
      <c r="C48" s="71">
        <f>Fuel!D18</f>
        <v>0</v>
      </c>
      <c r="D48" s="62">
        <v>0</v>
      </c>
      <c r="E48" s="62"/>
      <c r="F48" s="62"/>
      <c r="G48" s="62"/>
      <c r="H48" s="62"/>
      <c r="I48" s="62"/>
    </row>
    <row r="49" spans="2:9" hidden="1" outlineLevel="1" x14ac:dyDescent="0.25">
      <c r="B49" s="70" t="str">
        <f>"Ovn3"&amp;Fuel!C19</f>
        <v>Ovn3TyskRest</v>
      </c>
      <c r="C49" s="71">
        <f>Fuel!D19</f>
        <v>1</v>
      </c>
      <c r="D49" s="62">
        <v>3333.3333333333335</v>
      </c>
      <c r="E49" s="62"/>
      <c r="F49" s="62"/>
      <c r="G49" s="62"/>
      <c r="H49" s="62"/>
      <c r="I49" s="62"/>
    </row>
    <row r="50" spans="2:9" hidden="1" outlineLevel="1" x14ac:dyDescent="0.25">
      <c r="B50" s="70" t="str">
        <f>"Ovn3"&amp;Fuel!C20</f>
        <v>Ovn3PolskRest</v>
      </c>
      <c r="C50" s="71">
        <f>Fuel!D20</f>
        <v>1</v>
      </c>
      <c r="D50" s="62">
        <v>166.66666666666666</v>
      </c>
      <c r="E50" s="62"/>
      <c r="F50" s="62"/>
      <c r="G50" s="62"/>
      <c r="H50" s="62"/>
      <c r="I50" s="62"/>
    </row>
    <row r="51" spans="2:9" hidden="1" outlineLevel="1" x14ac:dyDescent="0.25">
      <c r="B51" s="70" t="str">
        <f>"Ovn3"&amp;Fuel!C21</f>
        <v>Ovn3PcbTrae</v>
      </c>
      <c r="C51" s="71">
        <f>Fuel!D21</f>
        <v>0</v>
      </c>
      <c r="D51" s="62">
        <v>0</v>
      </c>
      <c r="E51" s="62"/>
      <c r="F51" s="62"/>
      <c r="G51" s="62"/>
      <c r="H51" s="62"/>
      <c r="I51" s="62"/>
    </row>
    <row r="52" spans="2:9" hidden="1" outlineLevel="1" x14ac:dyDescent="0.25">
      <c r="B52" s="70" t="str">
        <f>"Ovn3"&amp;Fuel!C22</f>
        <v>Ovn3TraeRekv</v>
      </c>
      <c r="C52" s="71">
        <f>Fuel!D22</f>
        <v>0</v>
      </c>
      <c r="D52" s="62">
        <v>12.5</v>
      </c>
      <c r="E52" s="62"/>
      <c r="F52" s="62"/>
      <c r="G52" s="62"/>
      <c r="H52" s="62"/>
      <c r="I52" s="62"/>
    </row>
    <row r="53" spans="2:9" hidden="1" outlineLevel="1" x14ac:dyDescent="0.25">
      <c r="B53" s="70" t="str">
        <f>"Ovn3"&amp;Fuel!C23</f>
        <v>Ovn3Halm</v>
      </c>
      <c r="C53" s="71">
        <f>Fuel!D23</f>
        <v>0</v>
      </c>
      <c r="D53" s="62">
        <v>125</v>
      </c>
      <c r="E53" s="62"/>
      <c r="F53" s="62"/>
      <c r="G53" s="62"/>
      <c r="H53" s="62"/>
      <c r="I53" s="62"/>
    </row>
    <row r="54" spans="2:9" hidden="1" outlineLevel="1" x14ac:dyDescent="0.25">
      <c r="B54" s="70" t="str">
        <f>"Ovn3"&amp;Fuel!C24</f>
        <v>Ovn3Pulver</v>
      </c>
      <c r="C54" s="71">
        <f>Fuel!D24</f>
        <v>1</v>
      </c>
      <c r="D54" s="62">
        <v>0</v>
      </c>
      <c r="E54" s="62"/>
      <c r="F54" s="62"/>
      <c r="G54" s="62"/>
      <c r="H54" s="62"/>
      <c r="I54" s="62"/>
    </row>
    <row r="55" spans="2:9" hidden="1" outlineLevel="1" x14ac:dyDescent="0.25">
      <c r="B55" s="70" t="str">
        <f>"Ovn3"&amp;Fuel!C25</f>
        <v>Ovn3FlisAffald</v>
      </c>
      <c r="C55" s="71">
        <f>Fuel!D25</f>
        <v>1</v>
      </c>
      <c r="D55" s="62">
        <v>10</v>
      </c>
      <c r="E55" s="62"/>
      <c r="F55" s="62"/>
      <c r="G55" s="62"/>
      <c r="H55" s="62"/>
      <c r="I55" s="62"/>
    </row>
    <row r="56" spans="2:9" collapsed="1" x14ac:dyDescent="0.25">
      <c r="B56" s="72" t="str">
        <f>Fuel!C26</f>
        <v>NyAff1</v>
      </c>
      <c r="C56" s="73">
        <f>Fuel!D26</f>
        <v>1</v>
      </c>
      <c r="D56" s="62">
        <v>1666.6666666666667</v>
      </c>
      <c r="E56" s="62"/>
      <c r="F56" s="62"/>
      <c r="G56" s="62"/>
      <c r="H56" s="62"/>
      <c r="I56" s="62"/>
    </row>
    <row r="57" spans="2:9" outlineLevel="1" x14ac:dyDescent="0.25">
      <c r="B57" s="72" t="str">
        <f>Fuel!C27</f>
        <v>NyAff2</v>
      </c>
      <c r="C57" s="73">
        <f>Fuel!D27</f>
        <v>1</v>
      </c>
      <c r="D57" s="62">
        <v>4000</v>
      </c>
      <c r="E57" s="62"/>
      <c r="F57" s="62"/>
      <c r="G57" s="62"/>
      <c r="H57" s="62"/>
      <c r="I57" s="62"/>
    </row>
    <row r="58" spans="2:9" outlineLevel="1" x14ac:dyDescent="0.25">
      <c r="B58" s="74" t="str">
        <f>Fuel!C28</f>
        <v>Flis</v>
      </c>
      <c r="C58" s="75">
        <f>Fuel!D28</f>
        <v>1</v>
      </c>
      <c r="D58" s="62">
        <v>8333.3333333333339</v>
      </c>
      <c r="E58" s="62"/>
      <c r="F58" s="62"/>
      <c r="G58" s="62"/>
      <c r="H58" s="62"/>
      <c r="I58" s="62"/>
    </row>
    <row r="59" spans="2:9" x14ac:dyDescent="0.25">
      <c r="B59" s="61" t="s">
        <v>192</v>
      </c>
      <c r="D59" s="58">
        <v>1</v>
      </c>
      <c r="E59" s="58"/>
      <c r="F59" s="58"/>
      <c r="G59" s="58"/>
      <c r="H59" s="58"/>
      <c r="I59" s="58"/>
    </row>
    <row r="60" spans="2:9" outlineLevel="1" x14ac:dyDescent="0.25">
      <c r="B60" s="61" t="s">
        <v>193</v>
      </c>
      <c r="D60" s="58">
        <v>1</v>
      </c>
      <c r="E60" s="58"/>
      <c r="F60" s="58"/>
      <c r="G60" s="58"/>
      <c r="H60" s="58"/>
      <c r="I60" s="58"/>
    </row>
    <row r="61" spans="2:9" outlineLevel="1" x14ac:dyDescent="0.25">
      <c r="B61" s="61" t="s">
        <v>194</v>
      </c>
      <c r="D61" s="58">
        <v>1</v>
      </c>
      <c r="E61" s="58"/>
      <c r="F61" s="58"/>
      <c r="G61" s="58"/>
      <c r="H61" s="58"/>
      <c r="I61" s="58"/>
    </row>
    <row r="62" spans="2:9" outlineLevel="1" x14ac:dyDescent="0.25">
      <c r="B62" s="61" t="s">
        <v>210</v>
      </c>
      <c r="D62" s="65">
        <v>2</v>
      </c>
      <c r="E62" s="65"/>
      <c r="F62" s="65"/>
      <c r="G62" s="65"/>
      <c r="H62" s="65"/>
      <c r="I62" s="65"/>
    </row>
    <row r="63" spans="2:9" outlineLevel="1" x14ac:dyDescent="0.25">
      <c r="B63" s="61" t="s">
        <v>211</v>
      </c>
      <c r="D63" s="65">
        <v>3</v>
      </c>
      <c r="E63" s="65"/>
      <c r="F63" s="65"/>
      <c r="G63" s="65"/>
      <c r="H63" s="65"/>
      <c r="I63" s="65"/>
    </row>
    <row r="64" spans="2:9" outlineLevel="1" x14ac:dyDescent="0.25">
      <c r="B64" s="61" t="s">
        <v>146</v>
      </c>
      <c r="D64" s="65">
        <v>99</v>
      </c>
      <c r="E64" s="65"/>
      <c r="F64" s="65"/>
      <c r="G64" s="65"/>
      <c r="H64" s="65"/>
      <c r="I64" s="65"/>
    </row>
    <row r="65" spans="2:10" x14ac:dyDescent="0.25">
      <c r="B65" s="61" t="s">
        <v>204</v>
      </c>
      <c r="D65" s="65">
        <v>0</v>
      </c>
    </row>
    <row r="66" spans="2:10" x14ac:dyDescent="0.25">
      <c r="B66" s="61" t="s">
        <v>226</v>
      </c>
      <c r="D66" s="65">
        <v>0</v>
      </c>
    </row>
    <row r="67" spans="2:10" outlineLevel="1" x14ac:dyDescent="0.25">
      <c r="B67" s="61" t="s">
        <v>228</v>
      </c>
      <c r="D67" s="65">
        <v>0</v>
      </c>
      <c r="E67" s="65"/>
      <c r="F67" s="65"/>
      <c r="G67" s="65"/>
      <c r="H67" s="65"/>
      <c r="I67" s="65"/>
    </row>
    <row r="68" spans="2:10" outlineLevel="1" x14ac:dyDescent="0.25">
      <c r="B68" s="61" t="s">
        <v>227</v>
      </c>
      <c r="D68" s="65">
        <v>0</v>
      </c>
      <c r="E68" s="65"/>
      <c r="F68" s="65"/>
      <c r="G68" s="65"/>
      <c r="H68" s="65"/>
      <c r="I68" s="65"/>
    </row>
    <row r="69" spans="2:10" x14ac:dyDescent="0.25">
      <c r="B69" s="61" t="s">
        <v>195</v>
      </c>
      <c r="D69" s="65">
        <v>0</v>
      </c>
    </row>
    <row r="71" spans="2:10" ht="90" x14ac:dyDescent="0.25">
      <c r="B71" s="57" t="s">
        <v>122</v>
      </c>
      <c r="D71" s="55" cm="1">
        <f t="array" ref="D71">D74-D77-D78-Penalty_QRgkMiss*D87</f>
        <v>-4950</v>
      </c>
      <c r="J71" s="54" t="s">
        <v>123</v>
      </c>
    </row>
    <row r="73" spans="2:10" x14ac:dyDescent="0.25">
      <c r="B73" s="57" t="s">
        <v>177</v>
      </c>
      <c r="D73" s="62"/>
    </row>
    <row r="74" spans="2:10" x14ac:dyDescent="0.25">
      <c r="B74" s="55" t="s">
        <v>124</v>
      </c>
      <c r="D74" s="62"/>
      <c r="J74" s="55" t="s">
        <v>125</v>
      </c>
    </row>
    <row r="75" spans="2:10" x14ac:dyDescent="0.25">
      <c r="B75" s="55" t="s">
        <v>127</v>
      </c>
      <c r="D75" s="62"/>
      <c r="J75" s="55" t="s">
        <v>126</v>
      </c>
    </row>
    <row r="76" spans="2:10" x14ac:dyDescent="0.25">
      <c r="D76" s="62"/>
    </row>
    <row r="77" spans="2:10" x14ac:dyDescent="0.25">
      <c r="B77" s="55" t="s">
        <v>129</v>
      </c>
      <c r="D77" s="62"/>
      <c r="J77" s="55" t="s">
        <v>128</v>
      </c>
    </row>
    <row r="78" spans="2:10" x14ac:dyDescent="0.25">
      <c r="B78" s="55" t="s">
        <v>130</v>
      </c>
      <c r="D78" s="62"/>
      <c r="J78" s="55" t="s">
        <v>131</v>
      </c>
    </row>
    <row r="79" spans="2:10" x14ac:dyDescent="0.25">
      <c r="B79" s="55" t="s">
        <v>133</v>
      </c>
      <c r="D79" s="62"/>
      <c r="J79" s="55" t="s">
        <v>132</v>
      </c>
    </row>
    <row r="80" spans="2:10" x14ac:dyDescent="0.25">
      <c r="B80" s="55" t="s">
        <v>134</v>
      </c>
      <c r="D80" s="62"/>
      <c r="J80" s="55" t="s">
        <v>135</v>
      </c>
    </row>
    <row r="81" spans="2:10" x14ac:dyDescent="0.25">
      <c r="B81" s="55" t="s">
        <v>136</v>
      </c>
      <c r="D81" s="62"/>
      <c r="J81" s="55" t="s">
        <v>137</v>
      </c>
    </row>
    <row r="82" spans="2:10" x14ac:dyDescent="0.25">
      <c r="D82" s="62"/>
    </row>
    <row r="83" spans="2:10" x14ac:dyDescent="0.25">
      <c r="B83" s="55" t="s">
        <v>140</v>
      </c>
      <c r="C83" s="58" t="s">
        <v>224</v>
      </c>
      <c r="D83" s="62">
        <f>SUM(D119:D120)-D69</f>
        <v>103505.84375</v>
      </c>
      <c r="J83" s="55" t="s">
        <v>138</v>
      </c>
    </row>
    <row r="84" spans="2:10" x14ac:dyDescent="0.25">
      <c r="B84" s="55" t="s">
        <v>141</v>
      </c>
      <c r="C84" s="58" t="s">
        <v>224</v>
      </c>
      <c r="D84" s="62">
        <f>SUMPRODUCT(D14:D34,Fuel!J5:J25)+SUMPRODUCT(D35:D55,Fuel!J5:J25)+SUMPRODUCT(D56:D58,Fuel!J26:J28)</f>
        <v>680120801.66666663</v>
      </c>
      <c r="J84" s="55" t="s">
        <v>139</v>
      </c>
    </row>
    <row r="85" spans="2:10" x14ac:dyDescent="0.25">
      <c r="B85" s="55" t="s">
        <v>230</v>
      </c>
      <c r="C85" s="58" t="s">
        <v>221</v>
      </c>
      <c r="D85" s="62">
        <f>HLOOKUP("Elprod",DataU!C15:J27,$E$2,FALSE)</f>
        <v>5952</v>
      </c>
      <c r="J85" s="55" t="s">
        <v>239</v>
      </c>
    </row>
    <row r="86" spans="2:10" x14ac:dyDescent="0.25">
      <c r="B86" s="55" t="s">
        <v>143</v>
      </c>
      <c r="C86" s="58" t="s">
        <v>224</v>
      </c>
      <c r="D86" s="62">
        <f>D85+SUM(D119:D120)</f>
        <v>109457.84375</v>
      </c>
      <c r="J86" s="55" t="s">
        <v>142</v>
      </c>
    </row>
    <row r="87" spans="2:10" x14ac:dyDescent="0.25">
      <c r="B87" s="55" t="s">
        <v>146</v>
      </c>
      <c r="C87" s="58" t="s">
        <v>229</v>
      </c>
      <c r="D87" s="62">
        <f>D64</f>
        <v>99</v>
      </c>
      <c r="E87" s="76" t="s">
        <v>202</v>
      </c>
      <c r="F87" s="62">
        <f>-SUM(D104:D105)+RgkRabatMinShare*D86</f>
        <v>7657.0490625000011</v>
      </c>
      <c r="J87" s="55" t="s">
        <v>144</v>
      </c>
    </row>
    <row r="88" spans="2:10" x14ac:dyDescent="0.25">
      <c r="B88" s="55" t="s">
        <v>233</v>
      </c>
      <c r="C88" s="58" t="s">
        <v>221</v>
      </c>
      <c r="D88" s="62">
        <f>2*RgkRabatMinShare*31*24*SUM(DataU!G5:G6)</f>
        <v>3333.1200000000008</v>
      </c>
      <c r="E88" s="76"/>
      <c r="F88" s="62"/>
      <c r="J88" s="55" t="s">
        <v>234</v>
      </c>
    </row>
    <row r="89" spans="2:10" x14ac:dyDescent="0.25">
      <c r="B89" s="55" t="s">
        <v>147</v>
      </c>
      <c r="C89" s="58" t="s">
        <v>229</v>
      </c>
      <c r="D89" s="62">
        <f>D64</f>
        <v>99</v>
      </c>
      <c r="E89" s="76" t="s">
        <v>201</v>
      </c>
      <c r="F89" s="55">
        <f>(1-D61)*D88</f>
        <v>0</v>
      </c>
      <c r="J89" s="55" t="s">
        <v>145</v>
      </c>
    </row>
    <row r="90" spans="2:10" x14ac:dyDescent="0.25">
      <c r="B90" s="55" t="s">
        <v>237</v>
      </c>
      <c r="C90" s="58" t="s">
        <v>221</v>
      </c>
      <c r="D90" s="62">
        <f>SUMPRODUCT(D6:D7,DataU!I5:I6)*VLOOKUP($D$2,DataU!$B$16:$J$27,8,FALSE)</f>
        <v>31005</v>
      </c>
      <c r="E90" s="76"/>
      <c r="J90" s="55" t="s">
        <v>238</v>
      </c>
    </row>
    <row r="91" spans="2:10" x14ac:dyDescent="0.25">
      <c r="B91" s="55" t="s">
        <v>235</v>
      </c>
      <c r="C91" s="58" t="s">
        <v>221</v>
      </c>
      <c r="D91" s="62">
        <f>RgkRabatSats*D90</f>
        <v>3100.5</v>
      </c>
      <c r="E91" s="76"/>
      <c r="J91" s="55" t="s">
        <v>236</v>
      </c>
    </row>
    <row r="92" spans="2:10" x14ac:dyDescent="0.25">
      <c r="B92" s="55" t="s">
        <v>151</v>
      </c>
      <c r="C92" s="58" t="s">
        <v>229</v>
      </c>
      <c r="D92" s="62">
        <f>D65</f>
        <v>0</v>
      </c>
      <c r="E92" s="58" t="s">
        <v>201</v>
      </c>
      <c r="F92" s="55">
        <f>D91*$D$61</f>
        <v>3100.5</v>
      </c>
      <c r="J92" s="55" t="s">
        <v>205</v>
      </c>
    </row>
    <row r="93" spans="2:10" x14ac:dyDescent="0.25">
      <c r="B93" s="55" t="s">
        <v>152</v>
      </c>
      <c r="C93" s="58" t="s">
        <v>229</v>
      </c>
      <c r="D93" s="62">
        <v>0</v>
      </c>
      <c r="E93" s="58" t="s">
        <v>201</v>
      </c>
      <c r="F93" s="55">
        <f>RgkRabatSats *$D$90-D65</f>
        <v>3100.5</v>
      </c>
      <c r="J93" s="55" t="s">
        <v>206</v>
      </c>
    </row>
    <row r="94" spans="2:10" x14ac:dyDescent="0.25">
      <c r="B94" s="55" t="s">
        <v>153</v>
      </c>
      <c r="C94" s="58" t="s">
        <v>229</v>
      </c>
      <c r="D94" s="62">
        <f>RgkRabatSats *$D$90-D65</f>
        <v>3100.5</v>
      </c>
      <c r="E94" s="58" t="s">
        <v>201</v>
      </c>
      <c r="F94" s="55">
        <f>D91*(1-D61)</f>
        <v>0</v>
      </c>
      <c r="J94" s="55" t="s">
        <v>207</v>
      </c>
    </row>
    <row r="95" spans="2:10" x14ac:dyDescent="0.25">
      <c r="D95" s="62"/>
    </row>
    <row r="96" spans="2:10" x14ac:dyDescent="0.25">
      <c r="B96" s="57" t="s">
        <v>161</v>
      </c>
      <c r="D96" s="62">
        <f ca="1">OFFSET(DataU!$C$32,Model!F96,Model!G96,1,1)</f>
        <v>31</v>
      </c>
      <c r="F96" s="55">
        <f>MATCH($D$2,DataU!B16:B27,0)</f>
        <v>11</v>
      </c>
      <c r="G96" s="55">
        <f>MATCH("varmebehov",DataU!C15:I15,0)</f>
        <v>2</v>
      </c>
      <c r="J96" s="55" t="s">
        <v>154</v>
      </c>
    </row>
    <row r="97" spans="2:10" x14ac:dyDescent="0.25">
      <c r="B97" s="57" t="s">
        <v>163</v>
      </c>
      <c r="C97" s="58" t="s">
        <v>224</v>
      </c>
      <c r="D97" s="62"/>
      <c r="J97" s="55" t="s">
        <v>155</v>
      </c>
    </row>
    <row r="98" spans="2:10" x14ac:dyDescent="0.25">
      <c r="B98" s="77" t="s">
        <v>196</v>
      </c>
      <c r="D98" s="62" cm="1">
        <f t="array" ref="D98:D99">D101:D102+D104:D105</f>
        <v>49680.004999999997</v>
      </c>
    </row>
    <row r="99" spans="2:10" x14ac:dyDescent="0.25">
      <c r="B99" s="77" t="s">
        <v>197</v>
      </c>
      <c r="D99" s="62">
        <v>53820.838750000003</v>
      </c>
    </row>
    <row r="100" spans="2:10" x14ac:dyDescent="0.25">
      <c r="B100" s="57" t="s">
        <v>162</v>
      </c>
      <c r="C100" s="58" t="s">
        <v>224</v>
      </c>
      <c r="D100" s="62"/>
      <c r="J100" s="55" t="s">
        <v>156</v>
      </c>
    </row>
    <row r="101" spans="2:10" x14ac:dyDescent="0.25">
      <c r="B101" s="77" t="s">
        <v>196</v>
      </c>
      <c r="D101" s="62">
        <f>DataU!L5*SUMPRODUCT($D$14:$D$34,Fuel!L5:L25)</f>
        <v>49678.004999999997</v>
      </c>
    </row>
    <row r="102" spans="2:10" x14ac:dyDescent="0.25">
      <c r="B102" s="77" t="s">
        <v>197</v>
      </c>
      <c r="D102" s="62">
        <f>DataU!L6*SUMPRODUCT($D$35:$D$55,Fuel!L5:L25)</f>
        <v>53817.838750000003</v>
      </c>
    </row>
    <row r="103" spans="2:10" x14ac:dyDescent="0.25">
      <c r="B103" s="57" t="s">
        <v>166</v>
      </c>
      <c r="C103" s="58" t="s">
        <v>229</v>
      </c>
      <c r="D103" s="62"/>
      <c r="J103" s="55" t="s">
        <v>158</v>
      </c>
    </row>
    <row r="104" spans="2:10" x14ac:dyDescent="0.25">
      <c r="B104" s="77" t="s">
        <v>196</v>
      </c>
      <c r="D104" s="62">
        <f>D62</f>
        <v>2</v>
      </c>
      <c r="E104" s="76" t="s">
        <v>201</v>
      </c>
    </row>
    <row r="105" spans="2:10" x14ac:dyDescent="0.25">
      <c r="B105" s="77" t="s">
        <v>197</v>
      </c>
      <c r="D105" s="62">
        <f>D63</f>
        <v>3</v>
      </c>
      <c r="E105" s="76" t="s">
        <v>201</v>
      </c>
    </row>
    <row r="106" spans="2:10" x14ac:dyDescent="0.25">
      <c r="B106" s="57" t="s">
        <v>164</v>
      </c>
      <c r="D106" s="62">
        <f>D56*DataU!$L$7*Fuel!L26</f>
        <v>16291.666666666668</v>
      </c>
      <c r="J106" s="55" t="s">
        <v>157</v>
      </c>
    </row>
    <row r="107" spans="2:10" x14ac:dyDescent="0.25">
      <c r="B107" s="57" t="s">
        <v>165</v>
      </c>
      <c r="D107" s="62">
        <f>D57*DataU!$L$8*Fuel!L27</f>
        <v>42000</v>
      </c>
      <c r="J107" s="55" t="s">
        <v>160</v>
      </c>
    </row>
    <row r="108" spans="2:10" x14ac:dyDescent="0.25">
      <c r="B108" s="57" t="s">
        <v>167</v>
      </c>
      <c r="C108" s="58" t="s">
        <v>229</v>
      </c>
      <c r="D108" s="62"/>
      <c r="E108" s="76"/>
      <c r="J108" s="55" t="s">
        <v>159</v>
      </c>
    </row>
    <row r="109" spans="2:10" x14ac:dyDescent="0.25">
      <c r="B109" s="77" t="s">
        <v>196</v>
      </c>
      <c r="D109" s="62" cm="1">
        <f t="array" ref="D109:D110">D62:D63</f>
        <v>2</v>
      </c>
      <c r="E109" s="76" t="s">
        <v>201</v>
      </c>
      <c r="F109" s="62" cm="1">
        <f t="array" aca="1" ref="F109:F110" ca="1">_xlfn.ANCHORARRAY(D136)*D59:D60</f>
        <v>1440</v>
      </c>
    </row>
    <row r="110" spans="2:10" x14ac:dyDescent="0.25">
      <c r="B110" s="77" t="s">
        <v>197</v>
      </c>
      <c r="D110" s="62">
        <v>3</v>
      </c>
      <c r="E110" s="76" t="s">
        <v>201</v>
      </c>
      <c r="F110" s="62">
        <f ca="1"/>
        <v>3600</v>
      </c>
    </row>
    <row r="111" spans="2:10" x14ac:dyDescent="0.25">
      <c r="B111" s="57" t="s">
        <v>174</v>
      </c>
      <c r="C111" s="58" t="s">
        <v>229</v>
      </c>
      <c r="D111" s="62"/>
      <c r="J111" s="55" t="s">
        <v>159</v>
      </c>
    </row>
    <row r="112" spans="2:10" x14ac:dyDescent="0.25">
      <c r="B112" s="77" t="s">
        <v>196</v>
      </c>
      <c r="D112" s="62" cm="1">
        <f t="array" ref="D112:D113">D62:D63</f>
        <v>2</v>
      </c>
      <c r="E112" s="76" t="s">
        <v>201</v>
      </c>
      <c r="F112" s="62" cm="1">
        <f t="array" aca="1" ref="F112:F113" ca="1">_xlfn.ANCHORARRAY(D136)*D59:D60</f>
        <v>1440</v>
      </c>
    </row>
    <row r="113" spans="2:10" x14ac:dyDescent="0.25">
      <c r="B113" s="77" t="s">
        <v>197</v>
      </c>
      <c r="D113" s="62">
        <v>3</v>
      </c>
      <c r="E113" s="76" t="s">
        <v>201</v>
      </c>
      <c r="F113" s="62">
        <f ca="1"/>
        <v>3600</v>
      </c>
    </row>
    <row r="114" spans="2:10" x14ac:dyDescent="0.25">
      <c r="B114" s="57" t="s">
        <v>169</v>
      </c>
      <c r="C114" s="58" t="s">
        <v>221</v>
      </c>
      <c r="D114" s="62"/>
      <c r="J114" s="55" t="s">
        <v>168</v>
      </c>
    </row>
    <row r="115" spans="2:10" x14ac:dyDescent="0.25">
      <c r="B115" s="77" t="s">
        <v>196</v>
      </c>
      <c r="D115" s="62">
        <f>D101</f>
        <v>49678.004999999997</v>
      </c>
      <c r="E115" s="76" t="s">
        <v>201</v>
      </c>
      <c r="F115" s="62" cm="1">
        <f t="array" aca="1" ref="F115:F116" ca="1">D133:D134</f>
        <v>6840</v>
      </c>
    </row>
    <row r="116" spans="2:10" x14ac:dyDescent="0.25">
      <c r="B116" s="77" t="s">
        <v>197</v>
      </c>
      <c r="D116" s="62">
        <f>D102</f>
        <v>53817.838750000003</v>
      </c>
      <c r="E116" s="76" t="s">
        <v>201</v>
      </c>
      <c r="F116" s="62">
        <f ca="1"/>
        <v>16200</v>
      </c>
    </row>
    <row r="117" spans="2:10" x14ac:dyDescent="0.25">
      <c r="B117" s="56" t="s">
        <v>172</v>
      </c>
      <c r="C117" s="78"/>
      <c r="D117" s="62"/>
      <c r="E117" s="56"/>
      <c r="F117" s="56"/>
      <c r="G117" s="56"/>
      <c r="H117" s="56"/>
      <c r="I117" s="56"/>
      <c r="J117" s="56" t="s">
        <v>170</v>
      </c>
    </row>
    <row r="118" spans="2:10" x14ac:dyDescent="0.25">
      <c r="B118" s="57" t="s">
        <v>223</v>
      </c>
      <c r="C118" s="58" t="s">
        <v>224</v>
      </c>
      <c r="D118" s="62"/>
    </row>
    <row r="119" spans="2:10" x14ac:dyDescent="0.25">
      <c r="B119" s="10" t="str" cm="1">
        <f t="array" ref="B119:B124">DataU!B5:B10</f>
        <v>Ovn2</v>
      </c>
      <c r="D119" s="62">
        <f>D98+D104</f>
        <v>49682.004999999997</v>
      </c>
      <c r="E119" s="76"/>
      <c r="J119" s="55" t="s">
        <v>225</v>
      </c>
    </row>
    <row r="120" spans="2:10" x14ac:dyDescent="0.25">
      <c r="B120" s="10" t="str">
        <v>Ovn3</v>
      </c>
      <c r="D120" s="62">
        <f>D99+D105</f>
        <v>53823.838750000003</v>
      </c>
      <c r="E120" s="76"/>
    </row>
    <row r="121" spans="2:10" x14ac:dyDescent="0.25">
      <c r="B121" s="10" t="str">
        <v>Fliskedel</v>
      </c>
      <c r="D121" s="62">
        <f>D56*DataU!L7*Fuel!L26</f>
        <v>16291.666666666668</v>
      </c>
      <c r="E121" s="76"/>
      <c r="J121" s="55" t="s">
        <v>157</v>
      </c>
    </row>
    <row r="122" spans="2:10" x14ac:dyDescent="0.25">
      <c r="B122" s="10" t="str">
        <v>NS-varme</v>
      </c>
      <c r="D122" s="62">
        <f>D57*DataU!L8*Fuel!L27</f>
        <v>42000</v>
      </c>
      <c r="E122" s="76"/>
      <c r="J122" s="55" t="s">
        <v>160</v>
      </c>
    </row>
    <row r="123" spans="2:10" x14ac:dyDescent="0.25">
      <c r="B123" s="10" t="str">
        <v>SR-kedler</v>
      </c>
      <c r="D123" s="62">
        <f>D58*DataU!L9*Fuel!L28</f>
        <v>78333.333333333343</v>
      </c>
      <c r="E123" s="76"/>
    </row>
    <row r="124" spans="2:10" x14ac:dyDescent="0.25">
      <c r="B124" s="79" t="str">
        <v>Cooler</v>
      </c>
      <c r="D124" s="62">
        <f>D69</f>
        <v>0</v>
      </c>
      <c r="E124" s="76"/>
    </row>
    <row r="125" spans="2:10" x14ac:dyDescent="0.25">
      <c r="B125" s="57" t="s">
        <v>173</v>
      </c>
      <c r="C125" s="58" t="s">
        <v>229</v>
      </c>
      <c r="D125" s="62"/>
      <c r="J125" s="55" t="s">
        <v>171</v>
      </c>
    </row>
    <row r="126" spans="2:10" x14ac:dyDescent="0.25">
      <c r="B126" s="10" t="str" cm="1">
        <f t="array" ref="B126:B131">DataU!B5:B10</f>
        <v>Ovn2</v>
      </c>
      <c r="D126" s="62" cm="1">
        <f t="array" ref="D126:D131">D119:D124</f>
        <v>49682.004999999997</v>
      </c>
      <c r="E126" s="76" t="s">
        <v>201</v>
      </c>
      <c r="F126" s="55" cm="1">
        <f t="array" ref="F126:F131">24*D6:D11*DataU!I5:I10</f>
        <v>8280</v>
      </c>
    </row>
    <row r="127" spans="2:10" x14ac:dyDescent="0.25">
      <c r="B127" s="10" t="str">
        <v>Ovn3</v>
      </c>
      <c r="D127" s="62">
        <v>53823.838750000003</v>
      </c>
      <c r="E127" s="76" t="s">
        <v>201</v>
      </c>
      <c r="F127" s="55">
        <v>19800</v>
      </c>
    </row>
    <row r="128" spans="2:10" x14ac:dyDescent="0.25">
      <c r="B128" s="10" t="str">
        <v>Fliskedel</v>
      </c>
      <c r="D128" s="62">
        <v>16291.666666666668</v>
      </c>
      <c r="E128" s="76" t="s">
        <v>201</v>
      </c>
      <c r="F128" s="55">
        <v>7560</v>
      </c>
    </row>
    <row r="129" spans="2:10" x14ac:dyDescent="0.25">
      <c r="B129" s="10" t="str">
        <v>NS-varme</v>
      </c>
      <c r="D129" s="62">
        <v>42000</v>
      </c>
      <c r="E129" s="76" t="s">
        <v>201</v>
      </c>
      <c r="F129" s="55">
        <v>1500</v>
      </c>
    </row>
    <row r="130" spans="2:10" x14ac:dyDescent="0.25">
      <c r="B130" s="10" t="str">
        <v>SR-kedler</v>
      </c>
      <c r="D130" s="62">
        <v>78333.333333333343</v>
      </c>
      <c r="E130" s="76" t="s">
        <v>201</v>
      </c>
      <c r="F130" s="55">
        <v>72000</v>
      </c>
    </row>
    <row r="131" spans="2:10" x14ac:dyDescent="0.25">
      <c r="B131" s="10" t="str">
        <v>Cooler</v>
      </c>
      <c r="D131" s="62">
        <v>0</v>
      </c>
      <c r="E131" s="76" t="s">
        <v>201</v>
      </c>
      <c r="F131" s="55">
        <v>10800</v>
      </c>
    </row>
    <row r="132" spans="2:10" x14ac:dyDescent="0.25">
      <c r="B132" s="57" t="s">
        <v>169</v>
      </c>
      <c r="C132" s="58" t="s">
        <v>221</v>
      </c>
      <c r="D132" s="62"/>
      <c r="E132" s="64" t="s">
        <v>217</v>
      </c>
      <c r="F132" s="64" t="s">
        <v>218</v>
      </c>
      <c r="J132" s="55" t="s">
        <v>213</v>
      </c>
    </row>
    <row r="133" spans="2:10" x14ac:dyDescent="0.25">
      <c r="B133" s="77" t="s">
        <v>196</v>
      </c>
      <c r="D133" s="62">
        <f ca="1">MIN(E133:F133)</f>
        <v>6840</v>
      </c>
      <c r="E133" s="62" cm="1">
        <f t="array" ref="E133:E134">24*D6:D7*DataU!G5:G6</f>
        <v>6840</v>
      </c>
      <c r="F133" s="62">
        <f ca="1">DataU!L5*SUMPRODUCT(OFFSET(Fuel!S4,1,MATCH($D$2,Fuel!T4:AE4,0),nFuelA,1),Fuel!L5:L25)</f>
        <v>141070.82999999999</v>
      </c>
      <c r="G133" s="62"/>
      <c r="H133" s="62"/>
      <c r="I133" s="62"/>
    </row>
    <row r="134" spans="2:10" x14ac:dyDescent="0.25">
      <c r="B134" s="77" t="s">
        <v>197</v>
      </c>
      <c r="D134" s="62">
        <f ca="1">MIN(E134:F134)</f>
        <v>16200</v>
      </c>
      <c r="E134" s="62">
        <v>16200</v>
      </c>
      <c r="F134" s="62">
        <f ca="1">DataU!L6*SUMPRODUCT(OFFSET(Fuel!S4,1,MATCH($D$2,Fuel!T4:AE4,0),nFuelA,1),Fuel!L5:L25)</f>
        <v>152826.73249999998</v>
      </c>
      <c r="G134" s="62"/>
      <c r="H134" s="62"/>
      <c r="I134" s="62"/>
    </row>
    <row r="135" spans="2:10" x14ac:dyDescent="0.25">
      <c r="B135" s="57" t="s">
        <v>167</v>
      </c>
      <c r="C135" s="58" t="s">
        <v>221</v>
      </c>
      <c r="D135" s="62"/>
      <c r="J135" s="55" t="s">
        <v>212</v>
      </c>
    </row>
    <row r="136" spans="2:10" x14ac:dyDescent="0.25">
      <c r="B136" s="77" t="s">
        <v>196</v>
      </c>
      <c r="D136" s="62" cm="1">
        <f t="array" aca="1" ref="D136:D137" ca="1">DataU!H5:H6/DataU!G5:G6*D133:D134</f>
        <v>1440</v>
      </c>
    </row>
    <row r="137" spans="2:10" x14ac:dyDescent="0.25">
      <c r="B137" s="77" t="s">
        <v>197</v>
      </c>
      <c r="D137" s="62">
        <f ca="1"/>
        <v>3600</v>
      </c>
    </row>
    <row r="138" spans="2:10" x14ac:dyDescent="0.25">
      <c r="B138" s="57" t="s">
        <v>176</v>
      </c>
      <c r="C138" s="58" t="s">
        <v>229</v>
      </c>
      <c r="D138" s="62"/>
      <c r="J138" s="55" t="s">
        <v>175</v>
      </c>
    </row>
    <row r="139" spans="2:10" x14ac:dyDescent="0.25">
      <c r="B139" s="77" t="str">
        <f>Fuel!R5</f>
        <v>DepoSort</v>
      </c>
      <c r="D139" s="62">
        <f t="shared" ref="D139:D159" si="0">D14+D35</f>
        <v>1515.5</v>
      </c>
      <c r="E139" s="76" t="s">
        <v>202</v>
      </c>
      <c r="F139" s="62">
        <f>Fuel!$T29</f>
        <v>0</v>
      </c>
    </row>
    <row r="140" spans="2:10" x14ac:dyDescent="0.25">
      <c r="B140" s="77" t="str">
        <f>Fuel!R6</f>
        <v>DepoSmaat</v>
      </c>
      <c r="D140" s="62">
        <f t="shared" si="0"/>
        <v>0</v>
      </c>
      <c r="E140" s="76" t="s">
        <v>202</v>
      </c>
      <c r="F140" s="62">
        <f>Fuel!$T30</f>
        <v>0</v>
      </c>
    </row>
    <row r="141" spans="2:10" x14ac:dyDescent="0.25">
      <c r="B141" s="77" t="str">
        <f>Fuel!R7</f>
        <v>DepoNedd</v>
      </c>
      <c r="D141" s="62">
        <f t="shared" si="0"/>
        <v>0</v>
      </c>
      <c r="E141" s="76" t="s">
        <v>202</v>
      </c>
      <c r="F141" s="62">
        <f>Fuel!$T31</f>
        <v>0</v>
      </c>
    </row>
    <row r="142" spans="2:10" x14ac:dyDescent="0.25">
      <c r="B142" s="77" t="str">
        <f>Fuel!R8</f>
        <v>Dagren</v>
      </c>
      <c r="D142" s="62">
        <f t="shared" si="0"/>
        <v>4811.5</v>
      </c>
      <c r="E142" s="76" t="s">
        <v>202</v>
      </c>
      <c r="F142" s="62">
        <f>Fuel!$T32</f>
        <v>0</v>
      </c>
    </row>
    <row r="143" spans="2:10" x14ac:dyDescent="0.25">
      <c r="B143" s="77" t="str">
        <f>Fuel!R9</f>
        <v>AndetBrand</v>
      </c>
      <c r="D143" s="62">
        <f t="shared" si="0"/>
        <v>583.33333333333337</v>
      </c>
      <c r="E143" s="76" t="s">
        <v>202</v>
      </c>
      <c r="F143" s="62">
        <f>Fuel!$T33</f>
        <v>0</v>
      </c>
    </row>
    <row r="144" spans="2:10" x14ac:dyDescent="0.25">
      <c r="B144" s="77" t="str">
        <f>Fuel!R10</f>
        <v>Trae</v>
      </c>
      <c r="D144" s="62">
        <f t="shared" si="0"/>
        <v>0</v>
      </c>
      <c r="E144" s="76" t="s">
        <v>202</v>
      </c>
      <c r="F144" s="62">
        <f>Fuel!$T34</f>
        <v>2405.75</v>
      </c>
    </row>
    <row r="145" spans="2:6" x14ac:dyDescent="0.25">
      <c r="B145" s="77" t="str">
        <f>Fuel!R11</f>
        <v>DagrenRast</v>
      </c>
      <c r="D145" s="62">
        <f t="shared" si="0"/>
        <v>0</v>
      </c>
      <c r="E145" s="76" t="s">
        <v>202</v>
      </c>
      <c r="F145" s="62">
        <f>Fuel!$T35</f>
        <v>291.66666666666669</v>
      </c>
    </row>
    <row r="146" spans="2:6" x14ac:dyDescent="0.25">
      <c r="B146" s="77" t="str">
        <f>Fuel!R12</f>
        <v>DagrenInst</v>
      </c>
      <c r="D146" s="62">
        <f t="shared" si="0"/>
        <v>1300</v>
      </c>
      <c r="E146" s="76" t="s">
        <v>202</v>
      </c>
      <c r="F146" s="62">
        <f>Fuel!$T36</f>
        <v>0</v>
      </c>
    </row>
    <row r="147" spans="2:6" x14ac:dyDescent="0.25">
      <c r="B147" s="77" t="str">
        <f>Fuel!R13</f>
        <v>DagrenHandel</v>
      </c>
      <c r="D147" s="62">
        <f t="shared" si="0"/>
        <v>0</v>
      </c>
      <c r="E147" s="76" t="s">
        <v>202</v>
      </c>
      <c r="F147" s="62">
        <f>Fuel!$T37</f>
        <v>0</v>
      </c>
    </row>
    <row r="148" spans="2:6" x14ac:dyDescent="0.25">
      <c r="B148" s="77" t="str">
        <f>Fuel!R14</f>
        <v>DagrenRestau</v>
      </c>
      <c r="D148" s="62">
        <f t="shared" si="0"/>
        <v>0</v>
      </c>
      <c r="E148" s="76" t="s">
        <v>202</v>
      </c>
      <c r="F148" s="62">
        <f>Fuel!$T38</f>
        <v>650</v>
      </c>
    </row>
    <row r="149" spans="2:6" x14ac:dyDescent="0.25">
      <c r="B149" s="77" t="str">
        <f>Fuel!R15</f>
        <v>Erhverv</v>
      </c>
      <c r="D149" s="62">
        <f t="shared" si="0"/>
        <v>866.66666666666663</v>
      </c>
      <c r="E149" s="76" t="s">
        <v>202</v>
      </c>
      <c r="F149" s="62">
        <f>Fuel!$T39</f>
        <v>0</v>
      </c>
    </row>
    <row r="150" spans="2:6" x14ac:dyDescent="0.25">
      <c r="B150" s="77" t="str">
        <f>Fuel!R16</f>
        <v>DagrenErhverv</v>
      </c>
      <c r="D150" s="62">
        <f t="shared" si="0"/>
        <v>83.333333333333329</v>
      </c>
      <c r="E150" s="76" t="s">
        <v>202</v>
      </c>
      <c r="F150" s="62">
        <f>Fuel!$T40</f>
        <v>0</v>
      </c>
    </row>
    <row r="151" spans="2:6" x14ac:dyDescent="0.25">
      <c r="B151" s="77" t="str">
        <f>Fuel!R17</f>
        <v>HandelKontor</v>
      </c>
      <c r="D151" s="62">
        <f t="shared" si="0"/>
        <v>0</v>
      </c>
      <c r="E151" s="76" t="s">
        <v>202</v>
      </c>
      <c r="F151" s="62">
        <f>Fuel!$T41</f>
        <v>0</v>
      </c>
    </row>
    <row r="152" spans="2:6" x14ac:dyDescent="0.25">
      <c r="B152" s="77" t="str">
        <f>Fuel!R18</f>
        <v>Privat</v>
      </c>
      <c r="D152" s="62">
        <f t="shared" si="0"/>
        <v>0</v>
      </c>
      <c r="E152" s="76" t="s">
        <v>202</v>
      </c>
      <c r="F152" s="62">
        <f>Fuel!$T42</f>
        <v>41.666666666666664</v>
      </c>
    </row>
    <row r="153" spans="2:6" x14ac:dyDescent="0.25">
      <c r="B153" s="77" t="str">
        <f>Fuel!R19</f>
        <v>TyskRest</v>
      </c>
      <c r="D153" s="62">
        <f t="shared" si="0"/>
        <v>6666.666666666667</v>
      </c>
      <c r="E153" s="76" t="s">
        <v>202</v>
      </c>
      <c r="F153" s="62">
        <f>Fuel!$T43</f>
        <v>0</v>
      </c>
    </row>
    <row r="154" spans="2:6" x14ac:dyDescent="0.25">
      <c r="B154" s="77" t="str">
        <f>Fuel!R20</f>
        <v>PolskRest</v>
      </c>
      <c r="D154" s="62">
        <f t="shared" si="0"/>
        <v>333.33333333333331</v>
      </c>
      <c r="E154" s="76" t="s">
        <v>202</v>
      </c>
      <c r="F154" s="62">
        <f>Fuel!$T44</f>
        <v>0</v>
      </c>
    </row>
    <row r="155" spans="2:6" x14ac:dyDescent="0.25">
      <c r="B155" s="77" t="str">
        <f>Fuel!R21</f>
        <v>PcbTrae</v>
      </c>
      <c r="D155" s="62">
        <f t="shared" si="0"/>
        <v>0</v>
      </c>
      <c r="E155" s="76" t="s">
        <v>202</v>
      </c>
      <c r="F155" s="62">
        <f>Fuel!$T45</f>
        <v>3333.3333333333335</v>
      </c>
    </row>
    <row r="156" spans="2:6" x14ac:dyDescent="0.25">
      <c r="B156" s="77" t="str">
        <f>Fuel!R22</f>
        <v>TraeRekv</v>
      </c>
      <c r="D156" s="62">
        <f t="shared" si="0"/>
        <v>25</v>
      </c>
      <c r="E156" s="76" t="s">
        <v>202</v>
      </c>
      <c r="F156" s="62">
        <f>Fuel!$T46</f>
        <v>166.66666666666666</v>
      </c>
    </row>
    <row r="157" spans="2:6" x14ac:dyDescent="0.25">
      <c r="B157" s="77" t="str">
        <f>Fuel!R23</f>
        <v>Halm</v>
      </c>
      <c r="D157" s="62">
        <f t="shared" si="0"/>
        <v>250</v>
      </c>
      <c r="E157" s="76" t="s">
        <v>202</v>
      </c>
      <c r="F157" s="62">
        <f>Fuel!$T47</f>
        <v>0</v>
      </c>
    </row>
    <row r="158" spans="2:6" x14ac:dyDescent="0.25">
      <c r="B158" s="77" t="str">
        <f>Fuel!R24</f>
        <v>Pulver</v>
      </c>
      <c r="D158" s="62">
        <f t="shared" si="0"/>
        <v>0</v>
      </c>
      <c r="E158" s="76" t="s">
        <v>202</v>
      </c>
      <c r="F158" s="62">
        <f>Fuel!$T48</f>
        <v>0</v>
      </c>
    </row>
    <row r="159" spans="2:6" x14ac:dyDescent="0.25">
      <c r="B159" s="77" t="str">
        <f>Fuel!R25</f>
        <v>FlisAffald</v>
      </c>
      <c r="D159" s="62">
        <f t="shared" si="0"/>
        <v>20</v>
      </c>
      <c r="E159" s="76" t="s">
        <v>202</v>
      </c>
      <c r="F159" s="62">
        <f>Fuel!$T49</f>
        <v>0</v>
      </c>
    </row>
    <row r="160" spans="2:6" x14ac:dyDescent="0.25">
      <c r="B160" s="77" t="str">
        <f>Fuel!R26</f>
        <v>NyAff1</v>
      </c>
      <c r="D160" s="62">
        <f>D56</f>
        <v>1666.6666666666667</v>
      </c>
      <c r="E160" s="76" t="s">
        <v>202</v>
      </c>
      <c r="F160" s="62">
        <f>Fuel!$T50</f>
        <v>10</v>
      </c>
    </row>
    <row r="161" spans="2:10" x14ac:dyDescent="0.25">
      <c r="B161" s="77" t="str">
        <f>Fuel!R27</f>
        <v>NyAff2</v>
      </c>
      <c r="D161" s="62">
        <f t="shared" ref="D161:D162" si="1">D57</f>
        <v>4000</v>
      </c>
      <c r="E161" s="76" t="s">
        <v>202</v>
      </c>
      <c r="F161" s="62">
        <f>Fuel!$T51</f>
        <v>0</v>
      </c>
    </row>
    <row r="162" spans="2:10" x14ac:dyDescent="0.25">
      <c r="B162" s="77" t="str">
        <f>Fuel!R28</f>
        <v>Flis</v>
      </c>
      <c r="D162" s="62">
        <f t="shared" si="1"/>
        <v>8333.3333333333339</v>
      </c>
      <c r="E162" s="76" t="s">
        <v>202</v>
      </c>
      <c r="F162" s="62">
        <f>Fuel!$T52</f>
        <v>4166.666666666667</v>
      </c>
    </row>
    <row r="163" spans="2:10" x14ac:dyDescent="0.25">
      <c r="B163" s="57" t="s">
        <v>208</v>
      </c>
      <c r="C163" s="58" t="s">
        <v>229</v>
      </c>
      <c r="J163" s="55" t="s">
        <v>209</v>
      </c>
    </row>
    <row r="164" spans="2:10" x14ac:dyDescent="0.25">
      <c r="B164" s="77" t="str">
        <f>Fuel!R5</f>
        <v>DepoSort</v>
      </c>
      <c r="D164" s="62">
        <f>D14+D35</f>
        <v>1515.5</v>
      </c>
      <c r="E164" s="76" t="s">
        <v>201</v>
      </c>
      <c r="F164" s="62">
        <f>Fuel!T5</f>
        <v>9093</v>
      </c>
    </row>
    <row r="165" spans="2:10" x14ac:dyDescent="0.25">
      <c r="B165" s="77" t="str">
        <f>Fuel!R6</f>
        <v>DepoSmaat</v>
      </c>
      <c r="D165" s="62">
        <f t="shared" ref="D165:D184" si="2">D15+D36</f>
        <v>0</v>
      </c>
      <c r="E165" s="76" t="s">
        <v>201</v>
      </c>
      <c r="F165" s="62">
        <f>Fuel!T6</f>
        <v>0</v>
      </c>
    </row>
    <row r="166" spans="2:10" x14ac:dyDescent="0.25">
      <c r="B166" s="77" t="str">
        <f>Fuel!R7</f>
        <v>DepoNedd</v>
      </c>
      <c r="D166" s="62">
        <f t="shared" si="2"/>
        <v>0</v>
      </c>
      <c r="E166" s="76" t="s">
        <v>201</v>
      </c>
      <c r="F166" s="62">
        <f>Fuel!T7</f>
        <v>0</v>
      </c>
    </row>
    <row r="167" spans="2:10" x14ac:dyDescent="0.25">
      <c r="B167" s="77" t="str">
        <f>Fuel!R8</f>
        <v>Dagren</v>
      </c>
      <c r="D167" s="62">
        <f t="shared" si="2"/>
        <v>4811.5</v>
      </c>
      <c r="E167" s="76" t="s">
        <v>201</v>
      </c>
      <c r="F167" s="62">
        <f>Fuel!T8</f>
        <v>2405.75</v>
      </c>
    </row>
    <row r="168" spans="2:10" x14ac:dyDescent="0.25">
      <c r="B168" s="77" t="str">
        <f>Fuel!R9</f>
        <v>AndetBrand</v>
      </c>
      <c r="D168" s="62">
        <f t="shared" si="2"/>
        <v>583.33333333333337</v>
      </c>
      <c r="E168" s="76" t="s">
        <v>201</v>
      </c>
      <c r="F168" s="62">
        <f>Fuel!T9</f>
        <v>291.66666666666669</v>
      </c>
    </row>
    <row r="169" spans="2:10" x14ac:dyDescent="0.25">
      <c r="B169" s="77" t="str">
        <f>Fuel!R10</f>
        <v>Trae</v>
      </c>
      <c r="D169" s="62">
        <f t="shared" si="2"/>
        <v>0</v>
      </c>
      <c r="E169" s="76" t="s">
        <v>201</v>
      </c>
      <c r="F169" s="62">
        <f>Fuel!T10</f>
        <v>0</v>
      </c>
    </row>
    <row r="170" spans="2:10" x14ac:dyDescent="0.25">
      <c r="B170" s="77" t="str">
        <f>Fuel!R11</f>
        <v>DagrenRast</v>
      </c>
      <c r="D170" s="62">
        <f t="shared" si="2"/>
        <v>0</v>
      </c>
      <c r="E170" s="76" t="s">
        <v>201</v>
      </c>
      <c r="F170" s="62">
        <f>Fuel!T11</f>
        <v>0</v>
      </c>
    </row>
    <row r="171" spans="2:10" x14ac:dyDescent="0.25">
      <c r="B171" s="77" t="str">
        <f>Fuel!R12</f>
        <v>DagrenInst</v>
      </c>
      <c r="D171" s="62">
        <f t="shared" si="2"/>
        <v>1300</v>
      </c>
      <c r="E171" s="76" t="s">
        <v>201</v>
      </c>
      <c r="F171" s="62">
        <f>Fuel!T12</f>
        <v>650</v>
      </c>
    </row>
    <row r="172" spans="2:10" x14ac:dyDescent="0.25">
      <c r="B172" s="77" t="str">
        <f>Fuel!R13</f>
        <v>DagrenHandel</v>
      </c>
      <c r="D172" s="62">
        <f t="shared" si="2"/>
        <v>0</v>
      </c>
      <c r="E172" s="76" t="s">
        <v>201</v>
      </c>
      <c r="F172" s="62">
        <f>Fuel!T13</f>
        <v>0</v>
      </c>
    </row>
    <row r="173" spans="2:10" x14ac:dyDescent="0.25">
      <c r="B173" s="77" t="str">
        <f>Fuel!R14</f>
        <v>DagrenRestau</v>
      </c>
      <c r="D173" s="62">
        <f t="shared" si="2"/>
        <v>0</v>
      </c>
      <c r="E173" s="76" t="s">
        <v>201</v>
      </c>
      <c r="F173" s="62">
        <f>Fuel!T14</f>
        <v>0</v>
      </c>
    </row>
    <row r="174" spans="2:10" x14ac:dyDescent="0.25">
      <c r="B174" s="77" t="str">
        <f>Fuel!R15</f>
        <v>Erhverv</v>
      </c>
      <c r="D174" s="62">
        <f t="shared" si="2"/>
        <v>866.66666666666663</v>
      </c>
      <c r="E174" s="76" t="s">
        <v>201</v>
      </c>
      <c r="F174" s="62">
        <f>Fuel!T15</f>
        <v>5200</v>
      </c>
    </row>
    <row r="175" spans="2:10" x14ac:dyDescent="0.25">
      <c r="B175" s="77" t="str">
        <f>Fuel!R16</f>
        <v>DagrenErhverv</v>
      </c>
      <c r="D175" s="62">
        <f t="shared" si="2"/>
        <v>83.333333333333329</v>
      </c>
      <c r="E175" s="76" t="s">
        <v>201</v>
      </c>
      <c r="F175" s="62">
        <f>Fuel!T16</f>
        <v>41.666666666666664</v>
      </c>
    </row>
    <row r="176" spans="2:10" x14ac:dyDescent="0.25">
      <c r="B176" s="77" t="str">
        <f>Fuel!R17</f>
        <v>HandelKontor</v>
      </c>
      <c r="D176" s="62">
        <f t="shared" si="2"/>
        <v>0</v>
      </c>
      <c r="E176" s="76" t="s">
        <v>201</v>
      </c>
      <c r="F176" s="62">
        <f>Fuel!T17</f>
        <v>0</v>
      </c>
    </row>
    <row r="177" spans="2:6" x14ac:dyDescent="0.25">
      <c r="B177" s="77" t="str">
        <f>Fuel!R18</f>
        <v>Privat</v>
      </c>
      <c r="D177" s="62">
        <f t="shared" si="2"/>
        <v>0</v>
      </c>
      <c r="E177" s="76" t="s">
        <v>201</v>
      </c>
      <c r="F177" s="62">
        <f>Fuel!T18</f>
        <v>0</v>
      </c>
    </row>
    <row r="178" spans="2:6" x14ac:dyDescent="0.25">
      <c r="B178" s="77" t="str">
        <f>Fuel!R19</f>
        <v>TyskRest</v>
      </c>
      <c r="D178" s="62">
        <f t="shared" si="2"/>
        <v>6666.666666666667</v>
      </c>
      <c r="E178" s="76" t="s">
        <v>201</v>
      </c>
      <c r="F178" s="62">
        <f>Fuel!T19</f>
        <v>3333.3333333333335</v>
      </c>
    </row>
    <row r="179" spans="2:6" x14ac:dyDescent="0.25">
      <c r="B179" s="77" t="str">
        <f>Fuel!R20</f>
        <v>PolskRest</v>
      </c>
      <c r="D179" s="62">
        <f t="shared" si="2"/>
        <v>333.33333333333331</v>
      </c>
      <c r="E179" s="76" t="s">
        <v>201</v>
      </c>
      <c r="F179" s="62">
        <f>Fuel!T20</f>
        <v>166.66666666666666</v>
      </c>
    </row>
    <row r="180" spans="2:6" x14ac:dyDescent="0.25">
      <c r="B180" s="77" t="str">
        <f>Fuel!R21</f>
        <v>PcbTrae</v>
      </c>
      <c r="D180" s="62">
        <f t="shared" si="2"/>
        <v>0</v>
      </c>
      <c r="E180" s="76" t="s">
        <v>201</v>
      </c>
      <c r="F180" s="62">
        <f>Fuel!T21</f>
        <v>0</v>
      </c>
    </row>
    <row r="181" spans="2:6" x14ac:dyDescent="0.25">
      <c r="B181" s="77" t="str">
        <f>Fuel!R22</f>
        <v>TraeRekv</v>
      </c>
      <c r="D181" s="62">
        <f t="shared" si="2"/>
        <v>25</v>
      </c>
      <c r="E181" s="76" t="s">
        <v>201</v>
      </c>
      <c r="F181" s="62">
        <f>Fuel!T22</f>
        <v>1500</v>
      </c>
    </row>
    <row r="182" spans="2:6" x14ac:dyDescent="0.25">
      <c r="B182" s="77" t="str">
        <f>Fuel!R23</f>
        <v>Halm</v>
      </c>
      <c r="D182" s="62">
        <f t="shared" si="2"/>
        <v>250</v>
      </c>
      <c r="E182" s="76" t="s">
        <v>201</v>
      </c>
      <c r="F182" s="62">
        <f>Fuel!T23</f>
        <v>0</v>
      </c>
    </row>
    <row r="183" spans="2:6" x14ac:dyDescent="0.25">
      <c r="B183" s="77" t="str">
        <f>Fuel!R24</f>
        <v>Pulver</v>
      </c>
      <c r="D183" s="62">
        <f t="shared" si="2"/>
        <v>0</v>
      </c>
      <c r="E183" s="76" t="s">
        <v>201</v>
      </c>
      <c r="F183" s="62">
        <f>Fuel!T24</f>
        <v>10</v>
      </c>
    </row>
    <row r="184" spans="2:6" x14ac:dyDescent="0.25">
      <c r="B184" s="77" t="str">
        <f>Fuel!R25</f>
        <v>FlisAffald</v>
      </c>
      <c r="D184" s="62">
        <f t="shared" si="2"/>
        <v>20</v>
      </c>
      <c r="E184" s="76" t="s">
        <v>201</v>
      </c>
      <c r="F184" s="62">
        <f>Fuel!T25</f>
        <v>150</v>
      </c>
    </row>
    <row r="185" spans="2:6" x14ac:dyDescent="0.25">
      <c r="B185" s="77" t="str">
        <f>Fuel!R26</f>
        <v>NyAff1</v>
      </c>
      <c r="D185" s="62">
        <f>D56</f>
        <v>1666.6666666666667</v>
      </c>
      <c r="E185" s="76" t="s">
        <v>201</v>
      </c>
      <c r="F185" s="62">
        <f>Fuel!T26</f>
        <v>4166.666666666667</v>
      </c>
    </row>
    <row r="186" spans="2:6" x14ac:dyDescent="0.25">
      <c r="B186" s="77" t="str">
        <f>Fuel!R27</f>
        <v>NyAff2</v>
      </c>
      <c r="D186" s="62">
        <f t="shared" ref="D186:D187" si="3">D57</f>
        <v>4000</v>
      </c>
      <c r="E186" s="76" t="s">
        <v>201</v>
      </c>
      <c r="F186" s="62">
        <f>Fuel!T27</f>
        <v>3333.3333333333335</v>
      </c>
    </row>
    <row r="187" spans="2:6" x14ac:dyDescent="0.25">
      <c r="B187" s="77" t="str">
        <f>Fuel!R28</f>
        <v>Flis</v>
      </c>
      <c r="D187" s="62">
        <f t="shared" si="3"/>
        <v>8333.3333333333339</v>
      </c>
      <c r="E187" s="76" t="s">
        <v>201</v>
      </c>
      <c r="F187" s="62">
        <f>Fuel!T28</f>
        <v>0</v>
      </c>
    </row>
  </sheetData>
  <phoneticPr fontId="18" type="noConversion"/>
  <conditionalFormatting sqref="D59:I61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1208E-15A4-46C5-8781-04942A618899}">
  <dimension ref="B3:P70"/>
  <sheetViews>
    <sheetView zoomScale="85" zoomScaleNormal="85" workbookViewId="0">
      <selection activeCell="D4" sqref="D4"/>
    </sheetView>
  </sheetViews>
  <sheetFormatPr defaultRowHeight="15" x14ac:dyDescent="0.25"/>
  <cols>
    <col min="1" max="1" width="4" customWidth="1"/>
    <col min="2" max="2" width="14.5703125" style="55" bestFit="1" customWidth="1"/>
    <col min="3" max="3" width="6.5703125" style="55" bestFit="1" customWidth="1"/>
    <col min="4" max="11" width="9.28515625" style="55" customWidth="1"/>
    <col min="12" max="15" width="9.28515625" customWidth="1"/>
    <col min="16" max="16" width="66.7109375" style="55" customWidth="1"/>
  </cols>
  <sheetData>
    <row r="3" spans="2:15" x14ac:dyDescent="0.25">
      <c r="B3" s="57" t="s">
        <v>178</v>
      </c>
      <c r="C3" s="57" t="s">
        <v>179</v>
      </c>
      <c r="D3" s="64" t="s">
        <v>180</v>
      </c>
      <c r="E3" s="64" t="s">
        <v>181</v>
      </c>
      <c r="F3" s="64" t="s">
        <v>182</v>
      </c>
      <c r="G3" s="64" t="s">
        <v>183</v>
      </c>
      <c r="H3" s="64" t="s">
        <v>184</v>
      </c>
      <c r="I3" s="64" t="s">
        <v>185</v>
      </c>
      <c r="J3" s="64" t="s">
        <v>186</v>
      </c>
      <c r="K3" s="64" t="s">
        <v>187</v>
      </c>
      <c r="L3" s="64" t="s">
        <v>188</v>
      </c>
      <c r="M3" s="64" t="s">
        <v>189</v>
      </c>
      <c r="N3" s="64" t="s">
        <v>190</v>
      </c>
      <c r="O3" s="64" t="s">
        <v>191</v>
      </c>
    </row>
    <row r="4" spans="2:15" x14ac:dyDescent="0.25">
      <c r="B4" s="59" t="str">
        <f>Fuel!C5</f>
        <v>DepoSort</v>
      </c>
      <c r="C4" s="58">
        <f>Fuel!D5</f>
        <v>1</v>
      </c>
      <c r="D4" s="62">
        <v>757.75</v>
      </c>
      <c r="E4" s="62">
        <v>757.75</v>
      </c>
      <c r="F4" s="62">
        <v>757.75</v>
      </c>
      <c r="G4" s="62">
        <v>757.75</v>
      </c>
      <c r="H4" s="62">
        <v>757.75</v>
      </c>
      <c r="I4" s="62">
        <v>757.75</v>
      </c>
      <c r="J4" s="62">
        <v>757.75</v>
      </c>
      <c r="K4" s="62">
        <v>757.75</v>
      </c>
      <c r="L4" s="63">
        <v>757.75</v>
      </c>
      <c r="M4" s="63">
        <v>757.75</v>
      </c>
      <c r="N4" s="63">
        <v>757.75</v>
      </c>
      <c r="O4" s="63">
        <v>757.75</v>
      </c>
    </row>
    <row r="5" spans="2:15" x14ac:dyDescent="0.25">
      <c r="B5" s="59" t="str">
        <f>Fuel!C6</f>
        <v>DepoSmaat</v>
      </c>
      <c r="C5" s="58">
        <f>Fuel!D6</f>
        <v>0</v>
      </c>
      <c r="D5" s="62">
        <v>0</v>
      </c>
      <c r="E5" s="62">
        <v>0</v>
      </c>
      <c r="F5" s="62">
        <v>0</v>
      </c>
      <c r="G5" s="62">
        <v>0</v>
      </c>
      <c r="H5" s="62">
        <v>0</v>
      </c>
      <c r="I5" s="62">
        <v>0</v>
      </c>
      <c r="J5" s="62">
        <v>0</v>
      </c>
      <c r="K5" s="62">
        <v>0</v>
      </c>
      <c r="L5" s="63">
        <v>0</v>
      </c>
      <c r="M5" s="63">
        <v>0</v>
      </c>
      <c r="N5" s="63">
        <v>0</v>
      </c>
      <c r="O5" s="63">
        <v>0</v>
      </c>
    </row>
    <row r="6" spans="2:15" x14ac:dyDescent="0.25">
      <c r="B6" s="59" t="str">
        <f>Fuel!C7</f>
        <v>DepoNedd</v>
      </c>
      <c r="C6" s="58">
        <f>Fuel!D7</f>
        <v>0</v>
      </c>
      <c r="D6" s="62">
        <v>0</v>
      </c>
      <c r="E6" s="62">
        <v>0</v>
      </c>
      <c r="F6" s="62">
        <v>0</v>
      </c>
      <c r="G6" s="62">
        <v>0</v>
      </c>
      <c r="H6" s="62">
        <v>0</v>
      </c>
      <c r="I6" s="62">
        <v>0</v>
      </c>
      <c r="J6" s="62">
        <v>0</v>
      </c>
      <c r="K6" s="62">
        <v>0</v>
      </c>
      <c r="L6" s="63">
        <v>0</v>
      </c>
      <c r="M6" s="63">
        <v>0</v>
      </c>
      <c r="N6" s="63">
        <v>0</v>
      </c>
      <c r="O6" s="63">
        <v>0</v>
      </c>
    </row>
    <row r="7" spans="2:15" x14ac:dyDescent="0.25">
      <c r="B7" s="59" t="str">
        <f>Fuel!C8</f>
        <v>Dagren</v>
      </c>
      <c r="C7" s="58">
        <f>Fuel!D8</f>
        <v>1</v>
      </c>
      <c r="D7" s="62">
        <v>2405.75</v>
      </c>
      <c r="E7" s="62">
        <v>2405.75</v>
      </c>
      <c r="F7" s="62">
        <v>2405.75</v>
      </c>
      <c r="G7" s="62">
        <v>2405.75</v>
      </c>
      <c r="H7" s="62">
        <v>2405.75</v>
      </c>
      <c r="I7" s="62">
        <v>2405.75</v>
      </c>
      <c r="J7" s="62">
        <v>2405.75</v>
      </c>
      <c r="K7" s="62">
        <v>2405.75</v>
      </c>
      <c r="L7" s="63">
        <v>2405.75</v>
      </c>
      <c r="M7" s="63">
        <v>2405.75</v>
      </c>
      <c r="N7" s="63">
        <v>2405.75</v>
      </c>
      <c r="O7" s="63">
        <v>2405.75</v>
      </c>
    </row>
    <row r="8" spans="2:15" x14ac:dyDescent="0.25">
      <c r="B8" s="59" t="str">
        <f>Fuel!C9</f>
        <v>AndetBrand</v>
      </c>
      <c r="C8" s="58">
        <f>Fuel!D9</f>
        <v>1</v>
      </c>
      <c r="D8" s="62">
        <v>291.66666666666669</v>
      </c>
      <c r="E8" s="62">
        <v>291.66666666666669</v>
      </c>
      <c r="F8" s="62">
        <v>291.66666666666669</v>
      </c>
      <c r="G8" s="62">
        <v>291.66666666666669</v>
      </c>
      <c r="H8" s="62">
        <v>291.66666666666669</v>
      </c>
      <c r="I8" s="62">
        <v>291.66666666666669</v>
      </c>
      <c r="J8" s="62">
        <v>291.66666666666669</v>
      </c>
      <c r="K8" s="62">
        <v>291.66666666666669</v>
      </c>
      <c r="L8" s="63">
        <v>291.66666666666669</v>
      </c>
      <c r="M8" s="63">
        <v>291.66666666666669</v>
      </c>
      <c r="N8" s="63">
        <v>291.66666666666669</v>
      </c>
      <c r="O8" s="63">
        <v>291.66666666666669</v>
      </c>
    </row>
    <row r="9" spans="2:15" x14ac:dyDescent="0.25">
      <c r="B9" s="59" t="str">
        <f>Fuel!C10</f>
        <v>Trae</v>
      </c>
      <c r="C9" s="58">
        <f>Fuel!D10</f>
        <v>0</v>
      </c>
      <c r="D9" s="62">
        <v>0</v>
      </c>
      <c r="E9" s="62">
        <v>0</v>
      </c>
      <c r="F9" s="62">
        <v>0</v>
      </c>
      <c r="G9" s="62">
        <v>0</v>
      </c>
      <c r="H9" s="62">
        <v>0</v>
      </c>
      <c r="I9" s="62">
        <v>0</v>
      </c>
      <c r="J9" s="62">
        <v>0</v>
      </c>
      <c r="K9" s="62">
        <v>0</v>
      </c>
      <c r="L9" s="63">
        <v>0</v>
      </c>
      <c r="M9" s="63">
        <v>0</v>
      </c>
      <c r="N9" s="63">
        <v>0</v>
      </c>
      <c r="O9" s="63">
        <v>0</v>
      </c>
    </row>
    <row r="10" spans="2:15" x14ac:dyDescent="0.25">
      <c r="B10" s="59" t="str">
        <f>Fuel!C11</f>
        <v>DagrenRast</v>
      </c>
      <c r="C10" s="58">
        <f>Fuel!D11</f>
        <v>0</v>
      </c>
      <c r="D10" s="62">
        <v>0</v>
      </c>
      <c r="E10" s="62">
        <v>0</v>
      </c>
      <c r="F10" s="62">
        <v>0</v>
      </c>
      <c r="G10" s="62">
        <v>0</v>
      </c>
      <c r="H10" s="62">
        <v>0</v>
      </c>
      <c r="I10" s="62">
        <v>0</v>
      </c>
      <c r="J10" s="62">
        <v>0</v>
      </c>
      <c r="K10" s="62">
        <v>0</v>
      </c>
      <c r="L10" s="63">
        <v>0</v>
      </c>
      <c r="M10" s="63">
        <v>0</v>
      </c>
      <c r="N10" s="63">
        <v>0</v>
      </c>
      <c r="O10" s="63">
        <v>0</v>
      </c>
    </row>
    <row r="11" spans="2:15" x14ac:dyDescent="0.25">
      <c r="B11" s="59" t="str">
        <f>Fuel!C12</f>
        <v>DagrenInst</v>
      </c>
      <c r="C11" s="58">
        <f>Fuel!D12</f>
        <v>1</v>
      </c>
      <c r="D11" s="62">
        <v>650</v>
      </c>
      <c r="E11" s="62">
        <v>650</v>
      </c>
      <c r="F11" s="62">
        <v>650</v>
      </c>
      <c r="G11" s="62">
        <v>650</v>
      </c>
      <c r="H11" s="62">
        <v>650</v>
      </c>
      <c r="I11" s="62">
        <v>650</v>
      </c>
      <c r="J11" s="62">
        <v>650</v>
      </c>
      <c r="K11" s="62">
        <v>650</v>
      </c>
      <c r="L11" s="63">
        <v>650</v>
      </c>
      <c r="M11" s="63">
        <v>650</v>
      </c>
      <c r="N11" s="63">
        <v>650</v>
      </c>
      <c r="O11" s="63">
        <v>650</v>
      </c>
    </row>
    <row r="12" spans="2:15" x14ac:dyDescent="0.25">
      <c r="B12" s="59" t="str">
        <f>Fuel!C13</f>
        <v>DagrenHandel</v>
      </c>
      <c r="C12" s="58">
        <f>Fuel!D13</f>
        <v>0</v>
      </c>
      <c r="D12" s="62">
        <v>0</v>
      </c>
      <c r="E12" s="62">
        <v>0</v>
      </c>
      <c r="F12" s="62">
        <v>0</v>
      </c>
      <c r="G12" s="62">
        <v>0</v>
      </c>
      <c r="H12" s="62">
        <v>0</v>
      </c>
      <c r="I12" s="62">
        <v>0</v>
      </c>
      <c r="J12" s="62">
        <v>0</v>
      </c>
      <c r="K12" s="62">
        <v>0</v>
      </c>
      <c r="L12" s="63">
        <v>0</v>
      </c>
      <c r="M12" s="63">
        <v>0</v>
      </c>
      <c r="N12" s="63">
        <v>0</v>
      </c>
      <c r="O12" s="63">
        <v>0</v>
      </c>
    </row>
    <row r="13" spans="2:15" x14ac:dyDescent="0.25">
      <c r="B13" s="59" t="str">
        <f>Fuel!C14</f>
        <v>DagrenRestau</v>
      </c>
      <c r="C13" s="58">
        <f>Fuel!D14</f>
        <v>0</v>
      </c>
      <c r="D13" s="62">
        <v>0</v>
      </c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63">
        <v>0</v>
      </c>
      <c r="M13" s="63">
        <v>0</v>
      </c>
      <c r="N13" s="63">
        <v>0</v>
      </c>
      <c r="O13" s="63">
        <v>0</v>
      </c>
    </row>
    <row r="14" spans="2:15" x14ac:dyDescent="0.25">
      <c r="B14" s="59" t="str">
        <f>Fuel!C15</f>
        <v>Erhverv</v>
      </c>
      <c r="C14" s="58">
        <f>Fuel!D15</f>
        <v>1</v>
      </c>
      <c r="D14" s="62">
        <v>433.33333333333331</v>
      </c>
      <c r="E14" s="62">
        <v>433.33333333333331</v>
      </c>
      <c r="F14" s="62">
        <v>433.33333333333331</v>
      </c>
      <c r="G14" s="62">
        <v>433.33333333333331</v>
      </c>
      <c r="H14" s="62">
        <v>433.33333333333331</v>
      </c>
      <c r="I14" s="62">
        <v>433.33333333333331</v>
      </c>
      <c r="J14" s="62">
        <v>433.33333333333331</v>
      </c>
      <c r="K14" s="62">
        <v>433.33333333333331</v>
      </c>
      <c r="L14" s="63">
        <v>433.33333333333331</v>
      </c>
      <c r="M14" s="63">
        <v>433.33333333333331</v>
      </c>
      <c r="N14" s="63">
        <v>433.33333333333331</v>
      </c>
      <c r="O14" s="63">
        <v>433.33333333333331</v>
      </c>
    </row>
    <row r="15" spans="2:15" x14ac:dyDescent="0.25">
      <c r="B15" s="59" t="str">
        <f>Fuel!C16</f>
        <v>DagrenErhverv</v>
      </c>
      <c r="C15" s="58">
        <f>Fuel!D16</f>
        <v>1</v>
      </c>
      <c r="D15" s="62">
        <v>41.666666666666664</v>
      </c>
      <c r="E15" s="62">
        <v>41.666666666666664</v>
      </c>
      <c r="F15" s="62">
        <v>41.666666666666664</v>
      </c>
      <c r="G15" s="62">
        <v>41.666666666666664</v>
      </c>
      <c r="H15" s="62">
        <v>41.666666666666664</v>
      </c>
      <c r="I15" s="62">
        <v>41.666666666666664</v>
      </c>
      <c r="J15" s="62">
        <v>41.666666666666664</v>
      </c>
      <c r="K15" s="62">
        <v>41.666666666666664</v>
      </c>
      <c r="L15" s="63">
        <v>41.666666666666664</v>
      </c>
      <c r="M15" s="63">
        <v>41.666666666666664</v>
      </c>
      <c r="N15" s="63">
        <v>41.666666666666664</v>
      </c>
      <c r="O15" s="63">
        <v>41.666666666666664</v>
      </c>
    </row>
    <row r="16" spans="2:15" x14ac:dyDescent="0.25">
      <c r="B16" s="59" t="str">
        <f>Fuel!C17</f>
        <v>HandelKontor</v>
      </c>
      <c r="C16" s="58">
        <f>Fuel!D17</f>
        <v>0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3">
        <v>0</v>
      </c>
      <c r="M16" s="63">
        <v>0</v>
      </c>
      <c r="N16" s="63">
        <v>0</v>
      </c>
      <c r="O16" s="63">
        <v>0</v>
      </c>
    </row>
    <row r="17" spans="2:15" x14ac:dyDescent="0.25">
      <c r="B17" s="59" t="str">
        <f>Fuel!C18</f>
        <v>Privat</v>
      </c>
      <c r="C17" s="58">
        <f>Fuel!D18</f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3">
        <v>0</v>
      </c>
      <c r="M17" s="63">
        <v>0</v>
      </c>
      <c r="N17" s="63">
        <v>0</v>
      </c>
      <c r="O17" s="63">
        <v>0</v>
      </c>
    </row>
    <row r="18" spans="2:15" x14ac:dyDescent="0.25">
      <c r="B18" s="59" t="str">
        <f>Fuel!C19</f>
        <v>TyskRest</v>
      </c>
      <c r="C18" s="58">
        <f>Fuel!D19</f>
        <v>1</v>
      </c>
      <c r="D18" s="62">
        <v>3333.3333333333335</v>
      </c>
      <c r="E18" s="62">
        <v>3333.3333333333335</v>
      </c>
      <c r="F18" s="62">
        <v>3333.3333333333335</v>
      </c>
      <c r="G18" s="62">
        <v>3333.3333333333335</v>
      </c>
      <c r="H18" s="62">
        <v>3333.3333333333335</v>
      </c>
      <c r="I18" s="62">
        <v>3333.3333333333335</v>
      </c>
      <c r="J18" s="62">
        <v>3333.3333333333335</v>
      </c>
      <c r="K18" s="62">
        <v>3333.3333333333335</v>
      </c>
      <c r="L18" s="63">
        <v>3333.3333333333335</v>
      </c>
      <c r="M18" s="63">
        <v>3333.3333333333335</v>
      </c>
      <c r="N18" s="63">
        <v>3333.3333333333335</v>
      </c>
      <c r="O18" s="63">
        <v>3333.3333333333335</v>
      </c>
    </row>
    <row r="19" spans="2:15" x14ac:dyDescent="0.25">
      <c r="B19" s="59" t="str">
        <f>Fuel!C20</f>
        <v>PolskRest</v>
      </c>
      <c r="C19" s="58">
        <f>Fuel!D20</f>
        <v>1</v>
      </c>
      <c r="D19" s="62">
        <v>166.66666666666666</v>
      </c>
      <c r="E19" s="62">
        <v>166.66666666666666</v>
      </c>
      <c r="F19" s="62">
        <v>166.66666666666666</v>
      </c>
      <c r="G19" s="62">
        <v>166.66666666666666</v>
      </c>
      <c r="H19" s="62">
        <v>166.66666666666666</v>
      </c>
      <c r="I19" s="62">
        <v>166.66666666666666</v>
      </c>
      <c r="J19" s="62">
        <v>166.66666666666666</v>
      </c>
      <c r="K19" s="62">
        <v>166.66666666666666</v>
      </c>
      <c r="L19" s="63">
        <v>166.66666666666666</v>
      </c>
      <c r="M19" s="63">
        <v>166.66666666666666</v>
      </c>
      <c r="N19" s="63">
        <v>166.66666666666666</v>
      </c>
      <c r="O19" s="63">
        <v>166.66666666666666</v>
      </c>
    </row>
    <row r="20" spans="2:15" x14ac:dyDescent="0.25">
      <c r="B20" s="59" t="str">
        <f>Fuel!C21</f>
        <v>PcbTrae</v>
      </c>
      <c r="C20" s="58">
        <f>Fuel!D21</f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3">
        <v>0</v>
      </c>
      <c r="M20" s="63">
        <v>0</v>
      </c>
      <c r="N20" s="63">
        <v>0</v>
      </c>
      <c r="O20" s="63">
        <v>0</v>
      </c>
    </row>
    <row r="21" spans="2:15" x14ac:dyDescent="0.25">
      <c r="B21" s="59" t="str">
        <f>Fuel!C22</f>
        <v>TraeRekv</v>
      </c>
      <c r="C21" s="58">
        <f>Fuel!D22</f>
        <v>0</v>
      </c>
      <c r="D21" s="62">
        <v>12.5</v>
      </c>
      <c r="E21" s="62">
        <v>12.5</v>
      </c>
      <c r="F21" s="62">
        <v>12.5</v>
      </c>
      <c r="G21" s="62">
        <v>12.5</v>
      </c>
      <c r="H21" s="62">
        <v>12.5</v>
      </c>
      <c r="I21" s="62">
        <v>12.5</v>
      </c>
      <c r="J21" s="62">
        <v>12.5</v>
      </c>
      <c r="K21" s="62">
        <v>12.5</v>
      </c>
      <c r="L21" s="63">
        <v>12.5</v>
      </c>
      <c r="M21" s="63">
        <v>12.5</v>
      </c>
      <c r="N21" s="63">
        <v>12.5</v>
      </c>
      <c r="O21" s="63">
        <v>12.5</v>
      </c>
    </row>
    <row r="22" spans="2:15" x14ac:dyDescent="0.25">
      <c r="B22" s="59" t="str">
        <f>Fuel!C23</f>
        <v>Halm</v>
      </c>
      <c r="C22" s="58">
        <f>Fuel!D23</f>
        <v>0</v>
      </c>
      <c r="D22" s="62">
        <v>125</v>
      </c>
      <c r="E22" s="62">
        <v>125</v>
      </c>
      <c r="F22" s="62">
        <v>125</v>
      </c>
      <c r="G22" s="62">
        <v>125</v>
      </c>
      <c r="H22" s="62">
        <v>125</v>
      </c>
      <c r="I22" s="62">
        <v>125</v>
      </c>
      <c r="J22" s="62">
        <v>125</v>
      </c>
      <c r="K22" s="62">
        <v>125</v>
      </c>
      <c r="L22" s="63">
        <v>125</v>
      </c>
      <c r="M22" s="63">
        <v>125</v>
      </c>
      <c r="N22" s="63">
        <v>125</v>
      </c>
      <c r="O22" s="63">
        <v>125</v>
      </c>
    </row>
    <row r="23" spans="2:15" x14ac:dyDescent="0.25">
      <c r="B23" s="59" t="str">
        <f>Fuel!C24</f>
        <v>Pulver</v>
      </c>
      <c r="C23" s="58">
        <f>Fuel!D24</f>
        <v>1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3">
        <v>0</v>
      </c>
      <c r="M23" s="63">
        <v>0</v>
      </c>
      <c r="N23" s="63">
        <v>0</v>
      </c>
      <c r="O23" s="63">
        <v>0</v>
      </c>
    </row>
    <row r="24" spans="2:15" x14ac:dyDescent="0.25">
      <c r="B24" s="59" t="str">
        <f>Fuel!C25</f>
        <v>FlisAffald</v>
      </c>
      <c r="C24" s="58">
        <f>Fuel!D25</f>
        <v>1</v>
      </c>
      <c r="D24" s="62">
        <v>10</v>
      </c>
      <c r="E24" s="62">
        <v>10</v>
      </c>
      <c r="F24" s="62">
        <v>10</v>
      </c>
      <c r="G24" s="62">
        <v>10</v>
      </c>
      <c r="H24" s="62">
        <v>10</v>
      </c>
      <c r="I24" s="62">
        <v>10</v>
      </c>
      <c r="J24" s="62">
        <v>10</v>
      </c>
      <c r="K24" s="62">
        <v>10</v>
      </c>
      <c r="L24" s="63">
        <v>10</v>
      </c>
      <c r="M24" s="63">
        <v>10</v>
      </c>
      <c r="N24" s="63">
        <v>10</v>
      </c>
      <c r="O24" s="63">
        <v>10</v>
      </c>
    </row>
    <row r="25" spans="2:15" x14ac:dyDescent="0.25">
      <c r="B25" s="60" t="str">
        <f>Fuel!C26</f>
        <v>NyAff1</v>
      </c>
      <c r="C25" s="58">
        <f>Fuel!D26</f>
        <v>1</v>
      </c>
      <c r="D25" s="62">
        <v>1666.6666666666667</v>
      </c>
      <c r="E25" s="62">
        <v>1666.6666666666667</v>
      </c>
      <c r="F25" s="62">
        <v>1666.6666666666667</v>
      </c>
      <c r="G25" s="62">
        <v>1666.6666666666667</v>
      </c>
      <c r="H25" s="62">
        <v>1666.6666666666667</v>
      </c>
      <c r="I25" s="62">
        <v>1666.6666666666667</v>
      </c>
      <c r="J25" s="62">
        <v>1666.6666666666667</v>
      </c>
      <c r="K25" s="62">
        <v>1666.6666666666667</v>
      </c>
      <c r="L25" s="63">
        <v>1666.6666666666667</v>
      </c>
      <c r="M25" s="63">
        <v>1666.6666666666667</v>
      </c>
      <c r="N25" s="63">
        <v>1666.6666666666667</v>
      </c>
      <c r="O25" s="63">
        <v>1666.6666666666667</v>
      </c>
    </row>
    <row r="26" spans="2:15" x14ac:dyDescent="0.25">
      <c r="B26" s="60" t="str">
        <f>Fuel!C27</f>
        <v>NyAff2</v>
      </c>
      <c r="C26" s="58">
        <f>Fuel!D27</f>
        <v>1</v>
      </c>
      <c r="D26" s="62">
        <v>4000</v>
      </c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2">
        <v>0</v>
      </c>
      <c r="K26" s="62">
        <v>0</v>
      </c>
      <c r="L26" s="63">
        <v>0</v>
      </c>
      <c r="M26" s="63">
        <v>0</v>
      </c>
      <c r="N26" s="63">
        <v>1500</v>
      </c>
      <c r="O26" s="63">
        <v>5600</v>
      </c>
    </row>
    <row r="27" spans="2:15" x14ac:dyDescent="0.25">
      <c r="B27" s="60" t="str">
        <f>Fuel!C28</f>
        <v>Flis</v>
      </c>
      <c r="C27" s="58">
        <f>Fuel!D28</f>
        <v>1</v>
      </c>
      <c r="D27" s="62">
        <v>8333.3333333333339</v>
      </c>
      <c r="E27" s="62">
        <v>8333.3333333333339</v>
      </c>
      <c r="F27" s="62">
        <v>8333.3333333333339</v>
      </c>
      <c r="G27" s="62">
        <v>8333.3333333333339</v>
      </c>
      <c r="H27" s="62">
        <v>8333.3333333333339</v>
      </c>
      <c r="I27" s="62">
        <v>8333.3333333333339</v>
      </c>
      <c r="J27" s="62">
        <v>8333.3333333333339</v>
      </c>
      <c r="K27" s="62">
        <v>8333.3333333333339</v>
      </c>
      <c r="L27" s="63">
        <v>8333.3333333333339</v>
      </c>
      <c r="M27" s="63">
        <v>8333.3333333333339</v>
      </c>
      <c r="N27" s="63">
        <v>8333.3333333333339</v>
      </c>
      <c r="O27" s="63">
        <v>8333.3333333333339</v>
      </c>
    </row>
    <row r="28" spans="2:15" x14ac:dyDescent="0.25">
      <c r="B28" s="61" t="s">
        <v>192</v>
      </c>
      <c r="D28" s="58">
        <v>1</v>
      </c>
      <c r="E28" s="58">
        <v>1</v>
      </c>
      <c r="F28" s="58">
        <v>1</v>
      </c>
      <c r="G28" s="58">
        <v>1</v>
      </c>
      <c r="H28" s="58">
        <v>1</v>
      </c>
      <c r="I28" s="58">
        <v>1</v>
      </c>
      <c r="J28" s="58">
        <v>0</v>
      </c>
      <c r="K28" s="58">
        <v>1</v>
      </c>
      <c r="L28" s="58">
        <v>1</v>
      </c>
      <c r="M28" s="58">
        <v>1</v>
      </c>
      <c r="N28" s="58">
        <v>1</v>
      </c>
      <c r="O28" s="58">
        <v>1</v>
      </c>
    </row>
    <row r="29" spans="2:15" x14ac:dyDescent="0.25">
      <c r="B29" s="61" t="s">
        <v>193</v>
      </c>
      <c r="D29" s="58">
        <v>1</v>
      </c>
      <c r="E29" s="58">
        <v>1</v>
      </c>
      <c r="F29" s="58">
        <v>1</v>
      </c>
      <c r="G29" s="58">
        <v>1</v>
      </c>
      <c r="H29" s="58">
        <v>1</v>
      </c>
      <c r="I29" s="58">
        <v>1</v>
      </c>
      <c r="J29" s="58">
        <v>0</v>
      </c>
      <c r="K29" s="58">
        <v>1</v>
      </c>
      <c r="L29" s="58">
        <v>1</v>
      </c>
      <c r="M29" s="58">
        <v>1</v>
      </c>
      <c r="N29" s="58">
        <v>1</v>
      </c>
      <c r="O29" s="58">
        <v>1</v>
      </c>
    </row>
    <row r="30" spans="2:15" x14ac:dyDescent="0.25">
      <c r="B30" s="61" t="s">
        <v>194</v>
      </c>
      <c r="D30" s="58">
        <v>1</v>
      </c>
      <c r="E30" s="58">
        <v>1</v>
      </c>
      <c r="F30" s="58">
        <v>1</v>
      </c>
      <c r="G30" s="58">
        <v>1</v>
      </c>
      <c r="H30" s="58">
        <v>1</v>
      </c>
      <c r="I30" s="58">
        <v>1</v>
      </c>
      <c r="J30" s="58">
        <v>0</v>
      </c>
      <c r="K30" s="58">
        <v>1</v>
      </c>
      <c r="L30" s="58">
        <v>1</v>
      </c>
      <c r="M30" s="58">
        <v>1</v>
      </c>
      <c r="N30" s="58">
        <v>1</v>
      </c>
      <c r="O30" s="58">
        <v>1</v>
      </c>
    </row>
    <row r="31" spans="2:15" x14ac:dyDescent="0.25">
      <c r="B31" s="61" t="s">
        <v>166</v>
      </c>
      <c r="D31" s="65">
        <v>0</v>
      </c>
      <c r="E31" s="65">
        <v>0</v>
      </c>
      <c r="F31" s="65">
        <v>0</v>
      </c>
      <c r="G31" s="65">
        <v>0</v>
      </c>
      <c r="H31" s="65">
        <v>0</v>
      </c>
      <c r="I31" s="65">
        <v>0</v>
      </c>
      <c r="J31" s="65">
        <v>0</v>
      </c>
      <c r="K31" s="65">
        <v>0</v>
      </c>
      <c r="L31" s="65">
        <v>0</v>
      </c>
      <c r="M31" s="65">
        <v>0</v>
      </c>
      <c r="N31" s="65">
        <v>0</v>
      </c>
      <c r="O31" s="65">
        <v>0</v>
      </c>
    </row>
    <row r="32" spans="2:15" x14ac:dyDescent="0.25">
      <c r="B32" s="61" t="s">
        <v>146</v>
      </c>
      <c r="D32" s="65">
        <v>0</v>
      </c>
      <c r="E32" s="65">
        <v>0</v>
      </c>
      <c r="F32" s="65">
        <v>0</v>
      </c>
      <c r="G32" s="65">
        <v>0</v>
      </c>
      <c r="H32" s="65">
        <v>0</v>
      </c>
      <c r="I32" s="65">
        <v>0</v>
      </c>
      <c r="J32" s="65">
        <v>0</v>
      </c>
      <c r="K32" s="65">
        <v>0</v>
      </c>
      <c r="L32" s="65">
        <v>0</v>
      </c>
      <c r="M32" s="65">
        <v>0</v>
      </c>
      <c r="N32" s="65">
        <v>0</v>
      </c>
      <c r="O32" s="65">
        <v>0</v>
      </c>
    </row>
    <row r="33" spans="2:16" x14ac:dyDescent="0.25">
      <c r="B33" s="61" t="s">
        <v>195</v>
      </c>
      <c r="D33" s="65">
        <v>0</v>
      </c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v>0</v>
      </c>
      <c r="K33" s="65">
        <v>0</v>
      </c>
      <c r="L33" s="65">
        <v>0</v>
      </c>
      <c r="M33" s="65">
        <v>0</v>
      </c>
      <c r="N33" s="65">
        <v>0</v>
      </c>
      <c r="O33" s="65">
        <v>0</v>
      </c>
    </row>
    <row r="36" spans="2:16" ht="90" x14ac:dyDescent="0.25">
      <c r="B36" s="57" t="s">
        <v>122</v>
      </c>
      <c r="P36" s="54" t="s">
        <v>123</v>
      </c>
    </row>
    <row r="38" spans="2:16" x14ac:dyDescent="0.25">
      <c r="B38" s="57" t="s">
        <v>177</v>
      </c>
    </row>
    <row r="39" spans="2:16" x14ac:dyDescent="0.25">
      <c r="B39" s="55" t="s">
        <v>124</v>
      </c>
      <c r="P39" s="55" t="s">
        <v>125</v>
      </c>
    </row>
    <row r="40" spans="2:16" x14ac:dyDescent="0.25">
      <c r="B40" s="55" t="s">
        <v>127</v>
      </c>
      <c r="P40" s="55" t="s">
        <v>126</v>
      </c>
    </row>
    <row r="42" spans="2:16" x14ac:dyDescent="0.25">
      <c r="B42" s="55" t="s">
        <v>129</v>
      </c>
      <c r="P42" s="55" t="s">
        <v>128</v>
      </c>
    </row>
    <row r="43" spans="2:16" x14ac:dyDescent="0.25">
      <c r="B43" s="55" t="s">
        <v>130</v>
      </c>
      <c r="P43" s="55" t="s">
        <v>131</v>
      </c>
    </row>
    <row r="44" spans="2:16" x14ac:dyDescent="0.25">
      <c r="B44" s="55" t="s">
        <v>133</v>
      </c>
      <c r="P44" s="55" t="s">
        <v>132</v>
      </c>
    </row>
    <row r="45" spans="2:16" x14ac:dyDescent="0.25">
      <c r="B45" s="55" t="s">
        <v>134</v>
      </c>
      <c r="P45" s="55" t="s">
        <v>135</v>
      </c>
    </row>
    <row r="46" spans="2:16" x14ac:dyDescent="0.25">
      <c r="B46" s="55" t="s">
        <v>136</v>
      </c>
      <c r="P46" s="55" t="s">
        <v>137</v>
      </c>
    </row>
    <row r="48" spans="2:16" x14ac:dyDescent="0.25">
      <c r="B48" s="55" t="s">
        <v>140</v>
      </c>
      <c r="P48" s="55" t="s">
        <v>138</v>
      </c>
    </row>
    <row r="49" spans="2:16" x14ac:dyDescent="0.25">
      <c r="B49" s="55" t="s">
        <v>141</v>
      </c>
      <c r="P49" s="55" t="s">
        <v>139</v>
      </c>
    </row>
    <row r="51" spans="2:16" x14ac:dyDescent="0.25">
      <c r="B51" s="55" t="s">
        <v>143</v>
      </c>
      <c r="P51" s="55" t="s">
        <v>142</v>
      </c>
    </row>
    <row r="52" spans="2:16" x14ac:dyDescent="0.25">
      <c r="B52" s="55" t="s">
        <v>146</v>
      </c>
      <c r="P52" s="55" t="s">
        <v>144</v>
      </c>
    </row>
    <row r="53" spans="2:16" x14ac:dyDescent="0.25">
      <c r="B53" s="55" t="s">
        <v>147</v>
      </c>
      <c r="P53" s="55" t="s">
        <v>145</v>
      </c>
    </row>
    <row r="54" spans="2:16" x14ac:dyDescent="0.25">
      <c r="B54" s="55" t="s">
        <v>151</v>
      </c>
      <c r="P54" s="55" t="s">
        <v>148</v>
      </c>
    </row>
    <row r="55" spans="2:16" x14ac:dyDescent="0.25">
      <c r="B55" s="55" t="s">
        <v>152</v>
      </c>
      <c r="P55" s="55" t="s">
        <v>149</v>
      </c>
    </row>
    <row r="56" spans="2:16" x14ac:dyDescent="0.25">
      <c r="B56" s="55" t="s">
        <v>153</v>
      </c>
      <c r="P56" s="55" t="s">
        <v>150</v>
      </c>
    </row>
    <row r="58" spans="2:16" x14ac:dyDescent="0.25">
      <c r="B58" s="55" t="s">
        <v>161</v>
      </c>
      <c r="P58" s="55" t="s">
        <v>154</v>
      </c>
    </row>
    <row r="59" spans="2:16" x14ac:dyDescent="0.25">
      <c r="B59" s="55" t="s">
        <v>163</v>
      </c>
      <c r="P59" s="55" t="s">
        <v>155</v>
      </c>
    </row>
    <row r="60" spans="2:16" x14ac:dyDescent="0.25">
      <c r="B60" s="55" t="s">
        <v>162</v>
      </c>
      <c r="P60" s="55" t="s">
        <v>156</v>
      </c>
    </row>
    <row r="61" spans="2:16" x14ac:dyDescent="0.25">
      <c r="B61" s="55" t="s">
        <v>164</v>
      </c>
      <c r="P61" s="55" t="s">
        <v>157</v>
      </c>
    </row>
    <row r="62" spans="2:16" x14ac:dyDescent="0.25">
      <c r="B62" s="55" t="s">
        <v>165</v>
      </c>
      <c r="P62" s="55" t="s">
        <v>160</v>
      </c>
    </row>
    <row r="63" spans="2:16" x14ac:dyDescent="0.25">
      <c r="B63" s="55" t="s">
        <v>166</v>
      </c>
      <c r="P63" s="55" t="s">
        <v>158</v>
      </c>
    </row>
    <row r="64" spans="2:16" x14ac:dyDescent="0.25">
      <c r="B64" s="55" t="s">
        <v>167</v>
      </c>
      <c r="P64" s="55" t="s">
        <v>159</v>
      </c>
    </row>
    <row r="65" spans="2:16" x14ac:dyDescent="0.25">
      <c r="B65" s="55" t="s">
        <v>169</v>
      </c>
      <c r="P65" s="55" t="s">
        <v>168</v>
      </c>
    </row>
    <row r="66" spans="2:16" x14ac:dyDescent="0.25">
      <c r="B66" s="56" t="s">
        <v>172</v>
      </c>
      <c r="C66" s="56"/>
      <c r="D66" s="56"/>
      <c r="E66" s="56"/>
      <c r="F66" s="56"/>
      <c r="G66" s="56"/>
      <c r="H66" s="56"/>
      <c r="I66" s="56"/>
      <c r="J66" s="56"/>
      <c r="K66" s="56"/>
      <c r="P66" s="56" t="s">
        <v>170</v>
      </c>
    </row>
    <row r="67" spans="2:16" x14ac:dyDescent="0.25">
      <c r="B67" s="55" t="s">
        <v>173</v>
      </c>
      <c r="P67" s="55" t="s">
        <v>171</v>
      </c>
    </row>
    <row r="68" spans="2:16" x14ac:dyDescent="0.25">
      <c r="B68" s="55" t="s">
        <v>174</v>
      </c>
      <c r="P68" s="55" t="s">
        <v>159</v>
      </c>
    </row>
    <row r="70" spans="2:16" x14ac:dyDescent="0.25">
      <c r="B70" s="55" t="s">
        <v>176</v>
      </c>
      <c r="P70" s="55" t="s">
        <v>175</v>
      </c>
    </row>
  </sheetData>
  <conditionalFormatting sqref="D28:O30">
    <cfRule type="colorScale" priority="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ModelParms</vt:lpstr>
      <vt:lpstr>DataU</vt:lpstr>
      <vt:lpstr>Fuel</vt:lpstr>
      <vt:lpstr>Model</vt:lpstr>
      <vt:lpstr>ModelOLD</vt:lpstr>
      <vt:lpstr>nFuelA</vt:lpstr>
      <vt:lpstr>Penalty_QRgkMiss</vt:lpstr>
      <vt:lpstr>RgkRabatMinShare</vt:lpstr>
      <vt:lpstr>RgkRabatSats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2021-10-18T12:55:09Z</dcterms:modified>
</cp:coreProperties>
</file>