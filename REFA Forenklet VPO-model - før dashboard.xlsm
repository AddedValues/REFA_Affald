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4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5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theme/themeOverride1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REFA Affald\"/>
    </mc:Choice>
  </mc:AlternateContent>
  <xr:revisionPtr revIDLastSave="0" documentId="13_ncr:1_{2C70E997-5E37-4CA2-AF67-4C3A00D2BFDC}" xr6:coauthVersionLast="47" xr6:coauthVersionMax="47" xr10:uidLastSave="{00000000-0000-0000-0000-000000000000}"/>
  <bookViews>
    <workbookView xWindow="-120" yWindow="-120" windowWidth="29040" windowHeight="15720" xr2:uid="{858EECC8-30FB-4D42-A70B-DA5455FDD71D}"/>
  </bookViews>
  <sheets>
    <sheet name="Scenarier" sheetId="9" r:id="rId1"/>
    <sheet name="Model" sheetId="1" r:id="rId2"/>
    <sheet name="Scenario 7 GWh" sheetId="8" r:id="rId3"/>
    <sheet name="Scenario 28 GWh" sheetId="6" r:id="rId4"/>
    <sheet name="Scenario 35 GWh" sheetId="7" r:id="rId5"/>
    <sheet name="Affald2021" sheetId="2" r:id="rId6"/>
  </sheets>
  <definedNames>
    <definedName name="_xlpm.col" hidden="1" xlm="1">#NAME?</definedName>
    <definedName name="_xlpm.icol" hidden="1" xlm="1">#NAME?</definedName>
    <definedName name="_xlpm.inputName" hidden="1" xlm="1">#NAME?</definedName>
    <definedName name="_xlpm.irow" hidden="1" xlm="1">#NAME?</definedName>
    <definedName name="_xlpm.ow" hidden="1" xlm="1">#NAME?</definedName>
    <definedName name="_xlpm.ran" hidden="1" xlm="1">#NAME?</definedName>
    <definedName name="_xlpm.reirow" hidden="1" xlm="1">#NAME?</definedName>
    <definedName name="_xlpm.resirow" hidden="1" xlm="1">#NAME?</definedName>
    <definedName name="_xlpm.resuirow" hidden="1" xlm="1">#NAME?</definedName>
    <definedName name="_xlpm.resulirow" hidden="1" xlm="1">#NAME?</definedName>
    <definedName name="_xlpm.result" hidden="1" xlm="1">#NAME?</definedName>
    <definedName name="_xlpm.resultirow" hidden="1" xlm="1">#NAME?</definedName>
    <definedName name="_xlpm.resultNairow" hidden="1" xlm="1">#NAME?</definedName>
    <definedName name="_xlpm.resultName" hidden="1" xlm="1">#NAME?</definedName>
    <definedName name="_xlpm.resultNameirow" hidden="1" xlm="1">#NAME?</definedName>
    <definedName name="_xlpm.resultNameow" hidden="1" xlm="1">#NAME?</definedName>
    <definedName name="_xlpm.resultNamerow" hidden="1" xlm="1">#NAME?</definedName>
    <definedName name="_xlpm.resultNamew" hidden="1" xlm="1">#NAME?</definedName>
    <definedName name="_xlpm.resultNamirow" hidden="1" xlm="1">#NAME?</definedName>
    <definedName name="_xlpm.resultNirow" hidden="1" xlm="1">#NAME?</definedName>
    <definedName name="_xlpm.rirow" hidden="1" xlm="1">#NAME?</definedName>
    <definedName name="_xlpm.row" hidden="1" xlm="1">#NAME?</definedName>
    <definedName name="_xlpm.w" hidden="1" xlm="1">#NAME?</definedName>
    <definedName name="AFV">Model!$C$38</definedName>
    <definedName name="AndelAffald">Model!$C$25</definedName>
    <definedName name="AndelBioaffald">Model!$D$25</definedName>
    <definedName name="ATL">Model!$C$39</definedName>
    <definedName name="BioAffaldTonnage">Model!$C$6</definedName>
    <definedName name="BioTonnage">Model!$C$7</definedName>
    <definedName name="CO2afgift">Model!$C$40</definedName>
    <definedName name="CO2indholdAfgift">Model!$C$30</definedName>
    <definedName name="CO2indholdKvote">Model!$C$31</definedName>
    <definedName name="DBmedRGK">Model!$K$72</definedName>
    <definedName name="DBudenRGK">Model!$J$72</definedName>
    <definedName name="Elpris">Model!$C$35</definedName>
    <definedName name="ElprodTarif">Model!$C$36</definedName>
    <definedName name="ENSkvoteLHV">Model!$C$32</definedName>
    <definedName name="EtaE">Model!$D$20</definedName>
    <definedName name="EtaQmaxOvn2">Model!$C$19</definedName>
    <definedName name="EtaQmaxOvn3">Model!$D$19</definedName>
    <definedName name="EtaQNomOvn2">Model!$C$17</definedName>
    <definedName name="EtaQNomOvn3">Model!$D$17</definedName>
    <definedName name="EtaRgkOvn2">Model!$C$18</definedName>
    <definedName name="EtaRgkOvn3">Model!$D$18</definedName>
    <definedName name="Ftotal">Model!$C$26</definedName>
    <definedName name="Htotal">Model!$C$27</definedName>
    <definedName name="KapQcool">Model!$E$13</definedName>
    <definedName name="KapQnomOvn2">Model!$C$13</definedName>
    <definedName name="KapQnomOvn3">Model!$D$13</definedName>
    <definedName name="Kvotepris">Model!$C$37</definedName>
    <definedName name="LHVaffald">Model!$C$29</definedName>
    <definedName name="LHVbioaffald">Model!$D$29</definedName>
    <definedName name="NSvarme">Model!$C$9</definedName>
    <definedName name="Qdemand">Model!$C$5</definedName>
    <definedName name="ranCtrlParms">Model!$C$5:$C$9</definedName>
    <definedName name="ranInputNames">Scenarier!$C$8:$C$12</definedName>
    <definedName name="ranModelResult">Model!$Q$5:$Q$41</definedName>
    <definedName name="ranResultNames">Scenarier!$A$53:$A$81</definedName>
    <definedName name="ranScenOutput">Scenarier!$C$93:$Y$129</definedName>
    <definedName name="ranScenOutputRowHeader">Scenarier!$C$93:$C$129</definedName>
    <definedName name="ResultRow">_xlfn.LAMBDA(_xlpm.resultName, MATCH(_xlpm.resultName,ranScenOutputRowHeader,0))</definedName>
    <definedName name="ResultValue">_xlfn.LAMBDA(_xlpm.resultName,_xlpm.icol,_xlfn.LET(_xlpm.irow,ResultRow(_xlpm.resultName),INDEX(ranScenOutput,_xlpm.irow,_xlpm.icol)))</definedName>
    <definedName name="RGKudnyttelse">Model!$C$8</definedName>
    <definedName name="solver_adj" localSheetId="1" hidden="1">Model!$C$8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lhs1" localSheetId="1" hidden="1">Model!$C$8</definedName>
    <definedName name="solver_lhs2" localSheetId="1" hidden="1">Model!$C$8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2</definedName>
    <definedName name="solver_nwt" localSheetId="1" hidden="1">1</definedName>
    <definedName name="solver_opt" localSheetId="1" hidden="1">Model!$K$72</definedName>
    <definedName name="solver_pre" localSheetId="1" hidden="1">0.000001</definedName>
    <definedName name="solver_rbv" localSheetId="1" hidden="1">1</definedName>
    <definedName name="solver_rel1" localSheetId="1" hidden="1">1</definedName>
    <definedName name="solver_rel2" localSheetId="1" hidden="1">3</definedName>
    <definedName name="solver_rhs1" localSheetId="1" hidden="1">1</definedName>
    <definedName name="solver_rhs2" localSheetId="1" hidden="1">0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1</definedName>
    <definedName name="solver_val" localSheetId="1" hidden="1">0</definedName>
    <definedName name="solver_ver" localSheetId="1" hidden="1">3</definedName>
    <definedName name="Varmesalgspris">Model!$C$34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78" i="9" l="1"/>
  <c r="C79" i="9"/>
  <c r="C80" i="9"/>
  <c r="C81" i="9"/>
  <c r="C82" i="9"/>
  <c r="C83" i="9"/>
  <c r="C84" i="9"/>
  <c r="C85" i="9"/>
  <c r="C86" i="9"/>
  <c r="C77" i="9"/>
  <c r="C76" i="9"/>
  <c r="E79" i="9" a="1"/>
  <c r="E79" i="9" s="1"/>
  <c r="F79" i="9" a="1"/>
  <c r="F79" i="9" s="1"/>
  <c r="G79" i="9" a="1"/>
  <c r="G79" i="9" s="1"/>
  <c r="H79" i="9" a="1"/>
  <c r="H79" i="9" s="1"/>
  <c r="I79" i="9" a="1"/>
  <c r="I79" i="9" s="1"/>
  <c r="J79" i="9" a="1"/>
  <c r="J79" i="9" s="1"/>
  <c r="K79" i="9" a="1"/>
  <c r="K79" i="9" s="1"/>
  <c r="L79" i="9" a="1"/>
  <c r="L79" i="9" s="1"/>
  <c r="M79" i="9" a="1"/>
  <c r="M79" i="9" s="1"/>
  <c r="N79" i="9" a="1"/>
  <c r="N79" i="9" s="1"/>
  <c r="O79" i="9" a="1"/>
  <c r="O79" i="9" s="1"/>
  <c r="P79" i="9" a="1"/>
  <c r="P79" i="9" s="1"/>
  <c r="Q79" i="9" a="1"/>
  <c r="Q79" i="9" s="1"/>
  <c r="R79" i="9" a="1"/>
  <c r="R79" i="9" s="1"/>
  <c r="S79" i="9" a="1"/>
  <c r="S79" i="9" s="1"/>
  <c r="T79" i="9" a="1"/>
  <c r="T79" i="9" s="1"/>
  <c r="U79" i="9" a="1"/>
  <c r="U79" i="9" s="1"/>
  <c r="V79" i="9" a="1"/>
  <c r="V79" i="9" s="1"/>
  <c r="W79" i="9" a="1"/>
  <c r="W79" i="9" s="1"/>
  <c r="X79" i="9" a="1"/>
  <c r="X79" i="9" s="1"/>
  <c r="Y79" i="9" a="1"/>
  <c r="Y79" i="9" s="1"/>
  <c r="E80" i="9" a="1"/>
  <c r="E80" i="9" s="1"/>
  <c r="F80" i="9" a="1"/>
  <c r="F80" i="9" s="1"/>
  <c r="G80" i="9" a="1"/>
  <c r="G80" i="9" s="1"/>
  <c r="H80" i="9" a="1"/>
  <c r="H80" i="9" s="1"/>
  <c r="I80" i="9" a="1"/>
  <c r="I80" i="9" s="1"/>
  <c r="J80" i="9" a="1"/>
  <c r="J80" i="9" s="1"/>
  <c r="K80" i="9" a="1"/>
  <c r="K80" i="9" s="1"/>
  <c r="L80" i="9" a="1"/>
  <c r="L80" i="9" s="1"/>
  <c r="M80" i="9" a="1"/>
  <c r="M80" i="9" s="1"/>
  <c r="N80" i="9" a="1"/>
  <c r="N80" i="9" s="1"/>
  <c r="O80" i="9" a="1"/>
  <c r="O80" i="9" s="1"/>
  <c r="P80" i="9" a="1"/>
  <c r="P80" i="9" s="1"/>
  <c r="Q80" i="9" a="1"/>
  <c r="Q80" i="9" s="1"/>
  <c r="R80" i="9" a="1"/>
  <c r="R80" i="9" s="1"/>
  <c r="S80" i="9" a="1"/>
  <c r="S80" i="9" s="1"/>
  <c r="T80" i="9" a="1"/>
  <c r="T80" i="9" s="1"/>
  <c r="U80" i="9" a="1"/>
  <c r="U80" i="9" s="1"/>
  <c r="V80" i="9" a="1"/>
  <c r="V80" i="9" s="1"/>
  <c r="W80" i="9" a="1"/>
  <c r="W80" i="9" s="1"/>
  <c r="X80" i="9" a="1"/>
  <c r="X80" i="9"/>
  <c r="Y80" i="9" a="1"/>
  <c r="Y80" i="9" s="1"/>
  <c r="E81" i="9" a="1"/>
  <c r="E81" i="9" s="1"/>
  <c r="F81" i="9" a="1"/>
  <c r="F81" i="9" s="1"/>
  <c r="G81" i="9" a="1"/>
  <c r="G81" i="9" s="1"/>
  <c r="H81" i="9" a="1"/>
  <c r="H81" i="9" s="1"/>
  <c r="I81" i="9" a="1"/>
  <c r="I81" i="9" s="1"/>
  <c r="J81" i="9" a="1"/>
  <c r="J81" i="9"/>
  <c r="K81" i="9" a="1"/>
  <c r="K81" i="9" s="1"/>
  <c r="L81" i="9" a="1"/>
  <c r="L81" i="9" s="1"/>
  <c r="M81" i="9" a="1"/>
  <c r="M81" i="9" s="1"/>
  <c r="N81" i="9" a="1"/>
  <c r="N81" i="9" s="1"/>
  <c r="O81" i="9" a="1"/>
  <c r="O81" i="9" s="1"/>
  <c r="P81" i="9" a="1"/>
  <c r="P81" i="9" s="1"/>
  <c r="Q81" i="9" a="1"/>
  <c r="Q81" i="9" s="1"/>
  <c r="R81" i="9" a="1"/>
  <c r="R81" i="9" s="1"/>
  <c r="S81" i="9" a="1"/>
  <c r="S81" i="9" s="1"/>
  <c r="T81" i="9" a="1"/>
  <c r="T81" i="9" s="1"/>
  <c r="U81" i="9" a="1"/>
  <c r="U81" i="9" s="1"/>
  <c r="V81" i="9" a="1"/>
  <c r="V81" i="9" s="1"/>
  <c r="W81" i="9" a="1"/>
  <c r="W81" i="9" s="1"/>
  <c r="X81" i="9" a="1"/>
  <c r="X81" i="9" s="1"/>
  <c r="Y81" i="9" a="1"/>
  <c r="Y81" i="9" s="1"/>
  <c r="E82" i="9" a="1"/>
  <c r="E82" i="9" s="1"/>
  <c r="F82" i="9" a="1"/>
  <c r="F82" i="9" s="1"/>
  <c r="G82" i="9" a="1"/>
  <c r="G82" i="9" s="1"/>
  <c r="H82" i="9" a="1"/>
  <c r="H82" i="9" s="1"/>
  <c r="I82" i="9" a="1"/>
  <c r="I82" i="9" s="1"/>
  <c r="J82" i="9" a="1"/>
  <c r="J82" i="9" s="1"/>
  <c r="K82" i="9" a="1"/>
  <c r="K82" i="9" s="1"/>
  <c r="L82" i="9" a="1"/>
  <c r="L82" i="9" s="1"/>
  <c r="M82" i="9" a="1"/>
  <c r="M82" i="9" s="1"/>
  <c r="N82" i="9" a="1"/>
  <c r="N82" i="9" s="1"/>
  <c r="O82" i="9" a="1"/>
  <c r="O82" i="9" s="1"/>
  <c r="P82" i="9" a="1"/>
  <c r="P82" i="9" s="1"/>
  <c r="Q82" i="9" a="1"/>
  <c r="Q82" i="9" s="1"/>
  <c r="R82" i="9" a="1"/>
  <c r="R82" i="9" s="1"/>
  <c r="S82" i="9" a="1"/>
  <c r="S82" i="9" s="1"/>
  <c r="T82" i="9" a="1"/>
  <c r="T82" i="9" s="1"/>
  <c r="U82" i="9" a="1"/>
  <c r="U82" i="9" s="1"/>
  <c r="V82" i="9" a="1"/>
  <c r="V82" i="9" s="1"/>
  <c r="W82" i="9" a="1"/>
  <c r="W82" i="9" s="1"/>
  <c r="X82" i="9" a="1"/>
  <c r="X82" i="9" s="1"/>
  <c r="Y82" i="9" a="1"/>
  <c r="Y82" i="9" s="1"/>
  <c r="E83" i="9" a="1"/>
  <c r="E83" i="9" s="1"/>
  <c r="F83" i="9" a="1"/>
  <c r="F83" i="9" s="1"/>
  <c r="G83" i="9" a="1"/>
  <c r="G83" i="9" s="1"/>
  <c r="H83" i="9" a="1"/>
  <c r="H83" i="9" s="1"/>
  <c r="I83" i="9" a="1"/>
  <c r="I83" i="9" s="1"/>
  <c r="J83" i="9" a="1"/>
  <c r="J83" i="9" s="1"/>
  <c r="K83" i="9" a="1"/>
  <c r="K83" i="9" s="1"/>
  <c r="L83" i="9" a="1"/>
  <c r="L83" i="9" s="1"/>
  <c r="M83" i="9" a="1"/>
  <c r="M83" i="9" s="1"/>
  <c r="N83" i="9" a="1"/>
  <c r="N83" i="9" s="1"/>
  <c r="O83" i="9" a="1"/>
  <c r="O83" i="9" s="1"/>
  <c r="P83" i="9" a="1"/>
  <c r="P83" i="9"/>
  <c r="Q83" i="9" a="1"/>
  <c r="Q83" i="9" s="1"/>
  <c r="R83" i="9" a="1"/>
  <c r="R83" i="9" s="1"/>
  <c r="S83" i="9" a="1"/>
  <c r="S83" i="9" s="1"/>
  <c r="T83" i="9" a="1"/>
  <c r="T83" i="9" s="1"/>
  <c r="U83" i="9" a="1"/>
  <c r="U83" i="9" s="1"/>
  <c r="V83" i="9" a="1"/>
  <c r="V83" i="9" s="1"/>
  <c r="W83" i="9" a="1"/>
  <c r="W83" i="9" s="1"/>
  <c r="X83" i="9" a="1"/>
  <c r="X83" i="9" s="1"/>
  <c r="Y83" i="9" a="1"/>
  <c r="Y83" i="9" s="1"/>
  <c r="E84" i="9" a="1"/>
  <c r="E84" i="9" s="1"/>
  <c r="F84" i="9" a="1"/>
  <c r="F84" i="9" s="1"/>
  <c r="G84" i="9" a="1"/>
  <c r="G84" i="9" s="1"/>
  <c r="H84" i="9" a="1"/>
  <c r="H84" i="9" s="1"/>
  <c r="I84" i="9" a="1"/>
  <c r="I84" i="9" s="1"/>
  <c r="J84" i="9" a="1"/>
  <c r="J84" i="9" s="1"/>
  <c r="K84" i="9" a="1"/>
  <c r="K84" i="9" s="1"/>
  <c r="L84" i="9" a="1"/>
  <c r="L84" i="9" s="1"/>
  <c r="M84" i="9" a="1"/>
  <c r="M84" i="9" s="1"/>
  <c r="N84" i="9" a="1"/>
  <c r="N84" i="9" s="1"/>
  <c r="O84" i="9" a="1"/>
  <c r="O84" i="9" s="1"/>
  <c r="P84" i="9" a="1"/>
  <c r="P84" i="9" s="1"/>
  <c r="Q84" i="9" a="1"/>
  <c r="Q84" i="9" s="1"/>
  <c r="R84" i="9" a="1"/>
  <c r="R84" i="9" s="1"/>
  <c r="S84" i="9" a="1"/>
  <c r="S84" i="9" s="1"/>
  <c r="T84" i="9" a="1"/>
  <c r="T84" i="9" s="1"/>
  <c r="U84" i="9" a="1"/>
  <c r="U84" i="9" s="1"/>
  <c r="V84" i="9" a="1"/>
  <c r="V84" i="9" s="1"/>
  <c r="W84" i="9" a="1"/>
  <c r="W84" i="9" s="1"/>
  <c r="X84" i="9" a="1"/>
  <c r="X84" i="9" s="1"/>
  <c r="Y84" i="9" a="1"/>
  <c r="Y84" i="9" s="1"/>
  <c r="E85" i="9" a="1"/>
  <c r="E85" i="9" s="1"/>
  <c r="F85" i="9" a="1"/>
  <c r="F85" i="9" s="1"/>
  <c r="G85" i="9" a="1"/>
  <c r="G85" i="9" s="1"/>
  <c r="H85" i="9" a="1"/>
  <c r="H85" i="9" s="1"/>
  <c r="I85" i="9" a="1"/>
  <c r="I85" i="9" s="1"/>
  <c r="J85" i="9" a="1"/>
  <c r="J85" i="9" s="1"/>
  <c r="K85" i="9" a="1"/>
  <c r="K85" i="9" s="1"/>
  <c r="L85" i="9" a="1"/>
  <c r="L85" i="9" s="1"/>
  <c r="M85" i="9" a="1"/>
  <c r="M85" i="9" s="1"/>
  <c r="N85" i="9" a="1"/>
  <c r="N85" i="9" s="1"/>
  <c r="O85" i="9" a="1"/>
  <c r="O85" i="9" s="1"/>
  <c r="P85" i="9" a="1"/>
  <c r="P85" i="9" s="1"/>
  <c r="Q85" i="9" a="1"/>
  <c r="Q85" i="9" s="1"/>
  <c r="R85" i="9" a="1"/>
  <c r="R85" i="9" s="1"/>
  <c r="S85" i="9" a="1"/>
  <c r="S85" i="9" s="1"/>
  <c r="T85" i="9" a="1"/>
  <c r="T85" i="9" s="1"/>
  <c r="U85" i="9" a="1"/>
  <c r="U85" i="9" s="1"/>
  <c r="V85" i="9" a="1"/>
  <c r="V85" i="9" s="1"/>
  <c r="W85" i="9" a="1"/>
  <c r="W85" i="9" s="1"/>
  <c r="X85" i="9" a="1"/>
  <c r="X85" i="9" s="1"/>
  <c r="Y85" i="9" a="1"/>
  <c r="Y85" i="9" s="1"/>
  <c r="E86" i="9" a="1"/>
  <c r="E86" i="9" s="1"/>
  <c r="F86" i="9" a="1"/>
  <c r="F86" i="9" s="1"/>
  <c r="G86" i="9" a="1"/>
  <c r="G86" i="9" s="1"/>
  <c r="H86" i="9" a="1"/>
  <c r="H86" i="9" s="1"/>
  <c r="I86" i="9" a="1"/>
  <c r="I86" i="9" s="1"/>
  <c r="J86" i="9" a="1"/>
  <c r="J86" i="9" s="1"/>
  <c r="K86" i="9" a="1"/>
  <c r="K86" i="9" s="1"/>
  <c r="L86" i="9" a="1"/>
  <c r="L86" i="9" s="1"/>
  <c r="M86" i="9" a="1"/>
  <c r="M86" i="9" s="1"/>
  <c r="N86" i="9" a="1"/>
  <c r="N86" i="9" s="1"/>
  <c r="O86" i="9" a="1"/>
  <c r="O86" i="9" s="1"/>
  <c r="P86" i="9" a="1"/>
  <c r="P86" i="9" s="1"/>
  <c r="Q86" i="9" a="1"/>
  <c r="Q86" i="9" s="1"/>
  <c r="R86" i="9" a="1"/>
  <c r="R86" i="9" s="1"/>
  <c r="S86" i="9" a="1"/>
  <c r="S86" i="9" s="1"/>
  <c r="T86" i="9" a="1"/>
  <c r="T86" i="9" s="1"/>
  <c r="U86" i="9" a="1"/>
  <c r="U86" i="9" s="1"/>
  <c r="V86" i="9" a="1"/>
  <c r="V86" i="9" s="1"/>
  <c r="W86" i="9" a="1"/>
  <c r="W86" i="9" s="1"/>
  <c r="X86" i="9" a="1"/>
  <c r="X86" i="9" s="1"/>
  <c r="Y86" i="9" a="1"/>
  <c r="Y86" i="9" s="1"/>
  <c r="D83" i="9"/>
  <c r="D84" i="9"/>
  <c r="D85" i="9"/>
  <c r="D86" i="9"/>
  <c r="D77" i="9"/>
  <c r="D78" i="9"/>
  <c r="D79" i="9"/>
  <c r="D80" i="9"/>
  <c r="D81" i="9"/>
  <c r="D82" i="9"/>
  <c r="C55" i="9"/>
  <c r="C56" i="9"/>
  <c r="C57" i="9"/>
  <c r="C58" i="9"/>
  <c r="C59" i="9"/>
  <c r="C60" i="9"/>
  <c r="C61" i="9"/>
  <c r="C62" i="9"/>
  <c r="C63" i="9"/>
  <c r="C64" i="9"/>
  <c r="C65" i="9"/>
  <c r="C66" i="9"/>
  <c r="C67" i="9"/>
  <c r="C68" i="9"/>
  <c r="C69" i="9"/>
  <c r="C70" i="9"/>
  <c r="C71" i="9"/>
  <c r="C72" i="9"/>
  <c r="C73" i="9"/>
  <c r="C54" i="9"/>
  <c r="D55" i="9"/>
  <c r="D56" i="9"/>
  <c r="D57" i="9"/>
  <c r="J57" i="9" s="1" a="1"/>
  <c r="J57" i="9" s="1"/>
  <c r="D58" i="9"/>
  <c r="G58" i="9" s="1" a="1"/>
  <c r="G58" i="9" s="1"/>
  <c r="D59" i="9"/>
  <c r="D60" i="9"/>
  <c r="D61" i="9"/>
  <c r="D62" i="9"/>
  <c r="D63" i="9"/>
  <c r="D64" i="9"/>
  <c r="D65" i="9"/>
  <c r="D66" i="9"/>
  <c r="D67" i="9"/>
  <c r="D68" i="9"/>
  <c r="D69" i="9"/>
  <c r="D70" i="9"/>
  <c r="D71" i="9"/>
  <c r="D72" i="9"/>
  <c r="D73" i="9"/>
  <c r="D54" i="9"/>
  <c r="F58" i="9" a="1"/>
  <c r="F58" i="9" s="1"/>
  <c r="N58" i="9" a="1"/>
  <c r="N58" i="9" s="1"/>
  <c r="V58" i="9" a="1"/>
  <c r="V58" i="9" s="1"/>
  <c r="K54" i="1"/>
  <c r="K51" i="1"/>
  <c r="F8" i="9"/>
  <c r="G8" i="9"/>
  <c r="H8" i="9"/>
  <c r="I8" i="9"/>
  <c r="J8" i="9"/>
  <c r="K8" i="9"/>
  <c r="L8" i="9"/>
  <c r="M8" i="9"/>
  <c r="N8" i="9"/>
  <c r="O8" i="9"/>
  <c r="P8" i="9"/>
  <c r="Q8" i="9"/>
  <c r="R8" i="9"/>
  <c r="S8" i="9"/>
  <c r="T8" i="9"/>
  <c r="U8" i="9"/>
  <c r="V8" i="9"/>
  <c r="W8" i="9"/>
  <c r="X8" i="9"/>
  <c r="Y8" i="9"/>
  <c r="E8" i="9"/>
  <c r="F53" i="9"/>
  <c r="F75" i="9" s="1"/>
  <c r="G53" i="9"/>
  <c r="G75" i="9" s="1"/>
  <c r="H53" i="9"/>
  <c r="H75" i="9" s="1"/>
  <c r="I53" i="9"/>
  <c r="I75" i="9" s="1"/>
  <c r="J53" i="9"/>
  <c r="J75" i="9" s="1"/>
  <c r="K53" i="9"/>
  <c r="K75" i="9" s="1"/>
  <c r="L53" i="9"/>
  <c r="L75" i="9" s="1"/>
  <c r="M53" i="9"/>
  <c r="M75" i="9" s="1"/>
  <c r="N53" i="9"/>
  <c r="N75" i="9" s="1"/>
  <c r="O53" i="9"/>
  <c r="O75" i="9" s="1"/>
  <c r="P53" i="9"/>
  <c r="P75" i="9" s="1"/>
  <c r="Q53" i="9"/>
  <c r="Q75" i="9" s="1"/>
  <c r="R53" i="9"/>
  <c r="R75" i="9" s="1"/>
  <c r="S53" i="9"/>
  <c r="S75" i="9" s="1"/>
  <c r="T53" i="9"/>
  <c r="T75" i="9" s="1"/>
  <c r="U53" i="9"/>
  <c r="U75" i="9" s="1"/>
  <c r="V53" i="9"/>
  <c r="V75" i="9" s="1"/>
  <c r="W53" i="9"/>
  <c r="W75" i="9" s="1"/>
  <c r="X53" i="9"/>
  <c r="X75" i="9" s="1"/>
  <c r="Y53" i="9"/>
  <c r="Y75" i="9" s="1"/>
  <c r="E53" i="9"/>
  <c r="C9" i="9"/>
  <c r="D9" i="9"/>
  <c r="E9" i="9"/>
  <c r="C10" i="9"/>
  <c r="D10" i="9"/>
  <c r="E10" i="9"/>
  <c r="C11" i="9"/>
  <c r="D11" i="9"/>
  <c r="C12" i="9"/>
  <c r="D12" i="9"/>
  <c r="E12" i="9"/>
  <c r="D8" i="9"/>
  <c r="C8" i="9"/>
  <c r="F92" i="9"/>
  <c r="G92" i="9"/>
  <c r="H92" i="9"/>
  <c r="I92" i="9"/>
  <c r="J92" i="9"/>
  <c r="K92" i="9"/>
  <c r="L92" i="9"/>
  <c r="M92" i="9"/>
  <c r="N92" i="9"/>
  <c r="O92" i="9"/>
  <c r="P92" i="9"/>
  <c r="Q92" i="9"/>
  <c r="R92" i="9"/>
  <c r="S92" i="9"/>
  <c r="T92" i="9"/>
  <c r="U92" i="9"/>
  <c r="V92" i="9"/>
  <c r="W92" i="9"/>
  <c r="X92" i="9"/>
  <c r="Y92" i="9"/>
  <c r="E92" i="9"/>
  <c r="C92" i="9"/>
  <c r="D92" i="9"/>
  <c r="C93" i="9"/>
  <c r="D93" i="9"/>
  <c r="C94" i="9"/>
  <c r="D94" i="9"/>
  <c r="C95" i="9"/>
  <c r="D95" i="9"/>
  <c r="C97" i="9"/>
  <c r="D97" i="9"/>
  <c r="C98" i="9"/>
  <c r="D98" i="9"/>
  <c r="C99" i="9"/>
  <c r="D99" i="9"/>
  <c r="C100" i="9"/>
  <c r="D100" i="9"/>
  <c r="C102" i="9"/>
  <c r="D102" i="9"/>
  <c r="C103" i="9"/>
  <c r="D103" i="9"/>
  <c r="C104" i="9"/>
  <c r="D104" i="9"/>
  <c r="C105" i="9"/>
  <c r="D105" i="9"/>
  <c r="C106" i="9"/>
  <c r="D106" i="9"/>
  <c r="C107" i="9"/>
  <c r="D107" i="9"/>
  <c r="C109" i="9"/>
  <c r="C110" i="9"/>
  <c r="D110" i="9"/>
  <c r="C111" i="9"/>
  <c r="D111" i="9"/>
  <c r="C112" i="9"/>
  <c r="D112" i="9"/>
  <c r="C113" i="9"/>
  <c r="D113" i="9"/>
  <c r="C114" i="9"/>
  <c r="D114" i="9"/>
  <c r="C115" i="9"/>
  <c r="D115" i="9"/>
  <c r="C117" i="9"/>
  <c r="C118" i="9"/>
  <c r="D118" i="9"/>
  <c r="C119" i="9"/>
  <c r="D119" i="9"/>
  <c r="C120" i="9"/>
  <c r="D120" i="9"/>
  <c r="C121" i="9"/>
  <c r="D121" i="9"/>
  <c r="C122" i="9"/>
  <c r="D122" i="9"/>
  <c r="C123" i="9"/>
  <c r="D123" i="9"/>
  <c r="C124" i="9"/>
  <c r="D124" i="9"/>
  <c r="C126" i="9"/>
  <c r="C127" i="9"/>
  <c r="D127" i="9"/>
  <c r="C128" i="9"/>
  <c r="D128" i="9"/>
  <c r="C129" i="9"/>
  <c r="D129" i="9"/>
  <c r="C26" i="1"/>
  <c r="C25" i="1"/>
  <c r="D25" i="1" s="1"/>
  <c r="A39" i="8"/>
  <c r="A38" i="8"/>
  <c r="A37" i="8"/>
  <c r="A36" i="8"/>
  <c r="A35" i="8"/>
  <c r="A34" i="8"/>
  <c r="A33" i="8"/>
  <c r="A32" i="8"/>
  <c r="A31" i="8"/>
  <c r="A24" i="8"/>
  <c r="A23" i="8"/>
  <c r="A16" i="8"/>
  <c r="A11" i="8"/>
  <c r="A39" i="7"/>
  <c r="A38" i="7"/>
  <c r="A37" i="7"/>
  <c r="A36" i="7"/>
  <c r="A35" i="7"/>
  <c r="A34" i="7"/>
  <c r="A33" i="7"/>
  <c r="A32" i="7"/>
  <c r="A31" i="7"/>
  <c r="A24" i="7"/>
  <c r="A23" i="7"/>
  <c r="A16" i="7"/>
  <c r="A11" i="7"/>
  <c r="A39" i="6"/>
  <c r="A38" i="6"/>
  <c r="A37" i="6"/>
  <c r="A36" i="6"/>
  <c r="A35" i="6"/>
  <c r="A34" i="6"/>
  <c r="A33" i="6"/>
  <c r="A32" i="6"/>
  <c r="A31" i="6"/>
  <c r="A24" i="6"/>
  <c r="A23" i="6"/>
  <c r="A16" i="6"/>
  <c r="A11" i="6"/>
  <c r="O57" i="9" l="1" a="1"/>
  <c r="O57" i="9" s="1"/>
  <c r="G57" i="9" a="1"/>
  <c r="G57" i="9" s="1"/>
  <c r="W57" i="9" a="1"/>
  <c r="W57" i="9" s="1"/>
  <c r="U58" i="9" a="1"/>
  <c r="U58" i="9" s="1"/>
  <c r="M58" i="9" a="1"/>
  <c r="M58" i="9" s="1"/>
  <c r="T58" i="9" a="1"/>
  <c r="T58" i="9" s="1"/>
  <c r="L58" i="9" a="1"/>
  <c r="L58" i="9" s="1"/>
  <c r="S58" i="9" a="1"/>
  <c r="S58" i="9" s="1"/>
  <c r="K58" i="9" a="1"/>
  <c r="K58" i="9" s="1"/>
  <c r="E58" i="9" a="1"/>
  <c r="E58" i="9" s="1"/>
  <c r="R58" i="9" a="1"/>
  <c r="R58" i="9" s="1"/>
  <c r="J58" i="9" a="1"/>
  <c r="J58" i="9" s="1"/>
  <c r="Y58" i="9" a="1"/>
  <c r="Y58" i="9" s="1"/>
  <c r="Q58" i="9" a="1"/>
  <c r="Q58" i="9" s="1"/>
  <c r="I58" i="9" a="1"/>
  <c r="I58" i="9" s="1"/>
  <c r="P58" i="9" a="1"/>
  <c r="P58" i="9" s="1"/>
  <c r="H58" i="9" a="1"/>
  <c r="H58" i="9" s="1"/>
  <c r="X58" i="9" a="1"/>
  <c r="X58" i="9" s="1"/>
  <c r="W58" i="9" a="1"/>
  <c r="W58" i="9" s="1"/>
  <c r="O58" i="9" a="1"/>
  <c r="O58" i="9" s="1"/>
  <c r="Y57" i="9" a="1"/>
  <c r="Y57" i="9" s="1"/>
  <c r="Q57" i="9" a="1"/>
  <c r="Q57" i="9" s="1"/>
  <c r="I57" i="9" a="1"/>
  <c r="I57" i="9" s="1"/>
  <c r="X57" i="9" a="1"/>
  <c r="X57" i="9" s="1"/>
  <c r="P57" i="9" a="1"/>
  <c r="P57" i="9" s="1"/>
  <c r="H57" i="9" a="1"/>
  <c r="H57" i="9" s="1"/>
  <c r="E57" i="9" a="1"/>
  <c r="E57" i="9" s="1"/>
  <c r="V57" i="9" a="1"/>
  <c r="V57" i="9" s="1"/>
  <c r="N57" i="9" a="1"/>
  <c r="N57" i="9" s="1"/>
  <c r="F57" i="9" a="1"/>
  <c r="F57" i="9" s="1"/>
  <c r="U57" i="9" a="1"/>
  <c r="U57" i="9" s="1"/>
  <c r="M57" i="9" a="1"/>
  <c r="M57" i="9" s="1"/>
  <c r="L57" i="9" a="1"/>
  <c r="L57" i="9" s="1"/>
  <c r="S57" i="9" a="1"/>
  <c r="S57" i="9" s="1"/>
  <c r="K57" i="9" a="1"/>
  <c r="K57" i="9" s="1"/>
  <c r="T57" i="9" a="1"/>
  <c r="T57" i="9" s="1"/>
  <c r="R57" i="9" a="1"/>
  <c r="R57" i="9" s="1"/>
  <c r="R54" i="9" a="1"/>
  <c r="R54" i="9" s="1"/>
  <c r="X67" i="9" a="1"/>
  <c r="X67" i="9" s="1"/>
  <c r="S68" i="9" a="1"/>
  <c r="S68" i="9" s="1"/>
  <c r="J69" i="9" a="1"/>
  <c r="J69" i="9" s="1"/>
  <c r="I70" i="9" a="1"/>
  <c r="I70" i="9" s="1"/>
  <c r="M70" i="9" a="1"/>
  <c r="M70" i="9" s="1"/>
  <c r="Q70" i="9" a="1"/>
  <c r="Q70" i="9" s="1"/>
  <c r="U70" i="9" a="1"/>
  <c r="U70" i="9" s="1"/>
  <c r="Y70" i="9" a="1"/>
  <c r="Y70" i="9" s="1"/>
  <c r="H71" i="9" a="1"/>
  <c r="H71" i="9" s="1"/>
  <c r="L71" i="9" a="1"/>
  <c r="L71" i="9" s="1"/>
  <c r="P71" i="9" a="1"/>
  <c r="P71" i="9" s="1"/>
  <c r="T71" i="9" a="1"/>
  <c r="T71" i="9" s="1"/>
  <c r="X71" i="9" a="1"/>
  <c r="X71" i="9" s="1"/>
  <c r="G72" i="9" a="1"/>
  <c r="G72" i="9" s="1"/>
  <c r="K72" i="9" a="1"/>
  <c r="K72" i="9" s="1"/>
  <c r="O72" i="9" a="1"/>
  <c r="O72" i="9" s="1"/>
  <c r="S72" i="9" a="1"/>
  <c r="S72" i="9" s="1"/>
  <c r="W72" i="9" a="1"/>
  <c r="W72" i="9" s="1"/>
  <c r="F73" i="9" a="1"/>
  <c r="F73" i="9" s="1"/>
  <c r="J73" i="9" a="1"/>
  <c r="J73" i="9" s="1"/>
  <c r="N73" i="9" a="1"/>
  <c r="N73" i="9" s="1"/>
  <c r="R73" i="9" a="1"/>
  <c r="R73" i="9" s="1"/>
  <c r="V73" i="9" a="1"/>
  <c r="V73" i="9" s="1"/>
  <c r="T67" i="9" a="1"/>
  <c r="T67" i="9" s="1"/>
  <c r="N69" i="9" a="1"/>
  <c r="N69" i="9" s="1"/>
  <c r="E67" i="9" a="1"/>
  <c r="E67" i="9" s="1"/>
  <c r="M67" i="9" a="1"/>
  <c r="M67" i="9" s="1"/>
  <c r="U67" i="9" a="1"/>
  <c r="U67" i="9" s="1"/>
  <c r="H68" i="9" a="1"/>
  <c r="H68" i="9" s="1"/>
  <c r="P68" i="9" a="1"/>
  <c r="P68" i="9" s="1"/>
  <c r="X68" i="9" a="1"/>
  <c r="X68" i="9" s="1"/>
  <c r="G69" i="9" a="1"/>
  <c r="G69" i="9" s="1"/>
  <c r="S69" i="9" a="1"/>
  <c r="S69" i="9" s="1"/>
  <c r="F70" i="9" a="1"/>
  <c r="F70" i="9" s="1"/>
  <c r="J70" i="9" a="1"/>
  <c r="J70" i="9" s="1"/>
  <c r="R70" i="9" a="1"/>
  <c r="R70" i="9" s="1"/>
  <c r="E71" i="9" a="1"/>
  <c r="E71" i="9" s="1"/>
  <c r="I71" i="9" a="1"/>
  <c r="I71" i="9" s="1"/>
  <c r="Q71" i="9" a="1"/>
  <c r="Q71" i="9" s="1"/>
  <c r="U71" i="9" a="1"/>
  <c r="U71" i="9" s="1"/>
  <c r="Y71" i="9" a="1"/>
  <c r="Y71" i="9" s="1"/>
  <c r="H72" i="9" a="1"/>
  <c r="H72" i="9" s="1"/>
  <c r="L72" i="9" a="1"/>
  <c r="L72" i="9" s="1"/>
  <c r="P72" i="9" a="1"/>
  <c r="P72" i="9" s="1"/>
  <c r="X72" i="9" a="1"/>
  <c r="X72" i="9" s="1"/>
  <c r="G73" i="9" a="1"/>
  <c r="G73" i="9" s="1"/>
  <c r="K73" i="9" a="1"/>
  <c r="K73" i="9" s="1"/>
  <c r="O73" i="9" a="1"/>
  <c r="O73" i="9" s="1"/>
  <c r="S73" i="9" a="1"/>
  <c r="S73" i="9" s="1"/>
  <c r="W73" i="9" a="1"/>
  <c r="W73" i="9" s="1"/>
  <c r="K68" i="9" a="1"/>
  <c r="K68" i="9" s="1"/>
  <c r="R69" i="9" a="1"/>
  <c r="R69" i="9" s="1"/>
  <c r="I67" i="9" a="1"/>
  <c r="I67" i="9" s="1"/>
  <c r="Q67" i="9" a="1"/>
  <c r="Q67" i="9" s="1"/>
  <c r="Y67" i="9" a="1"/>
  <c r="Y67" i="9" s="1"/>
  <c r="L68" i="9" a="1"/>
  <c r="L68" i="9" s="1"/>
  <c r="T68" i="9" a="1"/>
  <c r="T68" i="9" s="1"/>
  <c r="K69" i="9" a="1"/>
  <c r="K69" i="9" s="1"/>
  <c r="O69" i="9" a="1"/>
  <c r="O69" i="9" s="1"/>
  <c r="W69" i="9" a="1"/>
  <c r="W69" i="9" s="1"/>
  <c r="N70" i="9" a="1"/>
  <c r="N70" i="9" s="1"/>
  <c r="V70" i="9" a="1"/>
  <c r="V70" i="9" s="1"/>
  <c r="M71" i="9" a="1"/>
  <c r="M71" i="9" s="1"/>
  <c r="T72" i="9" a="1"/>
  <c r="T72" i="9" s="1"/>
  <c r="G68" i="9" a="1"/>
  <c r="G68" i="9" s="1"/>
  <c r="E70" i="9" a="1"/>
  <c r="E70" i="9" s="1"/>
  <c r="F67" i="9" a="1"/>
  <c r="F67" i="9" s="1"/>
  <c r="N67" i="9" a="1"/>
  <c r="N67" i="9" s="1"/>
  <c r="R67" i="9" a="1"/>
  <c r="R67" i="9" s="1"/>
  <c r="E68" i="9" a="1"/>
  <c r="E68" i="9" s="1"/>
  <c r="I68" i="9" a="1"/>
  <c r="I68" i="9" s="1"/>
  <c r="Q68" i="9" a="1"/>
  <c r="Q68" i="9" s="1"/>
  <c r="U68" i="9" a="1"/>
  <c r="U68" i="9" s="1"/>
  <c r="Y68" i="9" a="1"/>
  <c r="Y68" i="9" s="1"/>
  <c r="H69" i="9" a="1"/>
  <c r="H69" i="9" s="1"/>
  <c r="P69" i="9" a="1"/>
  <c r="P69" i="9" s="1"/>
  <c r="T69" i="9" a="1"/>
  <c r="T69" i="9" s="1"/>
  <c r="X69" i="9" a="1"/>
  <c r="X69" i="9" s="1"/>
  <c r="G70" i="9" a="1"/>
  <c r="G70" i="9" s="1"/>
  <c r="K70" i="9" a="1"/>
  <c r="K70" i="9" s="1"/>
  <c r="O70" i="9" a="1"/>
  <c r="O70" i="9" s="1"/>
  <c r="S70" i="9" a="1"/>
  <c r="S70" i="9" s="1"/>
  <c r="W70" i="9" a="1"/>
  <c r="W70" i="9" s="1"/>
  <c r="F71" i="9" a="1"/>
  <c r="F71" i="9" s="1"/>
  <c r="J71" i="9" a="1"/>
  <c r="J71" i="9" s="1"/>
  <c r="N71" i="9" a="1"/>
  <c r="N71" i="9" s="1"/>
  <c r="R71" i="9" a="1"/>
  <c r="R71" i="9" s="1"/>
  <c r="V71" i="9" a="1"/>
  <c r="V71" i="9" s="1"/>
  <c r="E72" i="9" a="1"/>
  <c r="E72" i="9" s="1"/>
  <c r="I72" i="9" a="1"/>
  <c r="I72" i="9" s="1"/>
  <c r="M72" i="9" a="1"/>
  <c r="M72" i="9" s="1"/>
  <c r="Q72" i="9" a="1"/>
  <c r="Q72" i="9" s="1"/>
  <c r="U72" i="9" a="1"/>
  <c r="U72" i="9" s="1"/>
  <c r="Y72" i="9" a="1"/>
  <c r="Y72" i="9" s="1"/>
  <c r="H73" i="9" a="1"/>
  <c r="H73" i="9" s="1"/>
  <c r="L73" i="9" a="1"/>
  <c r="L73" i="9" s="1"/>
  <c r="P73" i="9" a="1"/>
  <c r="P73" i="9" s="1"/>
  <c r="T73" i="9" a="1"/>
  <c r="T73" i="9" s="1"/>
  <c r="X73" i="9" a="1"/>
  <c r="X73" i="9" s="1"/>
  <c r="H67" i="9" a="1"/>
  <c r="H67" i="9" s="1"/>
  <c r="O68" i="9" a="1"/>
  <c r="O68" i="9" s="1"/>
  <c r="V69" i="9" a="1"/>
  <c r="V69" i="9" s="1"/>
  <c r="J67" i="9" a="1"/>
  <c r="J67" i="9" s="1"/>
  <c r="V67" i="9" a="1"/>
  <c r="V67" i="9" s="1"/>
  <c r="M68" i="9" a="1"/>
  <c r="M68" i="9" s="1"/>
  <c r="L69" i="9" a="1"/>
  <c r="L69" i="9" s="1"/>
  <c r="L67" i="9" a="1"/>
  <c r="L67" i="9" s="1"/>
  <c r="W68" i="9" a="1"/>
  <c r="W68" i="9" s="1"/>
  <c r="G67" i="9" a="1"/>
  <c r="G67" i="9" s="1"/>
  <c r="O67" i="9" a="1"/>
  <c r="O67" i="9" s="1"/>
  <c r="W67" i="9" a="1"/>
  <c r="W67" i="9" s="1"/>
  <c r="N68" i="9" a="1"/>
  <c r="N68" i="9" s="1"/>
  <c r="V68" i="9" a="1"/>
  <c r="V68" i="9" s="1"/>
  <c r="I69" i="9" a="1"/>
  <c r="I69" i="9" s="1"/>
  <c r="Q69" i="9" a="1"/>
  <c r="Q69" i="9" s="1"/>
  <c r="Y69" i="9" a="1"/>
  <c r="Y69" i="9" s="1"/>
  <c r="H70" i="9" a="1"/>
  <c r="H70" i="9" s="1"/>
  <c r="P70" i="9" a="1"/>
  <c r="P70" i="9" s="1"/>
  <c r="X70" i="9" a="1"/>
  <c r="X70" i="9" s="1"/>
  <c r="G71" i="9" a="1"/>
  <c r="G71" i="9" s="1"/>
  <c r="K71" i="9" a="1"/>
  <c r="K71" i="9" s="1"/>
  <c r="O71" i="9" a="1"/>
  <c r="O71" i="9" s="1"/>
  <c r="S71" i="9" a="1"/>
  <c r="S71" i="9" s="1"/>
  <c r="F72" i="9" a="1"/>
  <c r="F72" i="9" s="1"/>
  <c r="J72" i="9" a="1"/>
  <c r="J72" i="9" s="1"/>
  <c r="N72" i="9" a="1"/>
  <c r="N72" i="9" s="1"/>
  <c r="R72" i="9" a="1"/>
  <c r="R72" i="9" s="1"/>
  <c r="V72" i="9" a="1"/>
  <c r="V72" i="9" s="1"/>
  <c r="E73" i="9" a="1"/>
  <c r="E73" i="9" s="1"/>
  <c r="I73" i="9" a="1"/>
  <c r="I73" i="9" s="1"/>
  <c r="M73" i="9" a="1"/>
  <c r="M73" i="9" s="1"/>
  <c r="Q73" i="9" a="1"/>
  <c r="Q73" i="9" s="1"/>
  <c r="U73" i="9" a="1"/>
  <c r="U73" i="9" s="1"/>
  <c r="Y73" i="9" a="1"/>
  <c r="Y73" i="9" s="1"/>
  <c r="P67" i="9" a="1"/>
  <c r="P67" i="9" s="1"/>
  <c r="F69" i="9" a="1"/>
  <c r="F69" i="9" s="1"/>
  <c r="K67" i="9" a="1"/>
  <c r="K67" i="9" s="1"/>
  <c r="S67" i="9" a="1"/>
  <c r="S67" i="9" s="1"/>
  <c r="F68" i="9" a="1"/>
  <c r="F68" i="9" s="1"/>
  <c r="J68" i="9" a="1"/>
  <c r="J68" i="9" s="1"/>
  <c r="R68" i="9" a="1"/>
  <c r="R68" i="9" s="1"/>
  <c r="E69" i="9" a="1"/>
  <c r="E69" i="9" s="1"/>
  <c r="M69" i="9" a="1"/>
  <c r="M69" i="9" s="1"/>
  <c r="U69" i="9" a="1"/>
  <c r="U69" i="9" s="1"/>
  <c r="L70" i="9" a="1"/>
  <c r="L70" i="9" s="1"/>
  <c r="T70" i="9" a="1"/>
  <c r="T70" i="9" s="1"/>
  <c r="W71" i="9" a="1"/>
  <c r="W71" i="9" s="1"/>
  <c r="X64" i="9" a="1"/>
  <c r="X64" i="9" s="1"/>
  <c r="K65" i="9" a="1"/>
  <c r="K65" i="9" s="1"/>
  <c r="O65" i="9" a="1"/>
  <c r="O65" i="9" s="1"/>
  <c r="S65" i="9" a="1"/>
  <c r="S65" i="9" s="1"/>
  <c r="W65" i="9" a="1"/>
  <c r="W65" i="9" s="1"/>
  <c r="F66" i="9" a="1"/>
  <c r="F66" i="9" s="1"/>
  <c r="J66" i="9" a="1"/>
  <c r="J66" i="9" s="1"/>
  <c r="N66" i="9" a="1"/>
  <c r="N66" i="9" s="1"/>
  <c r="R66" i="9" a="1"/>
  <c r="R66" i="9" s="1"/>
  <c r="V66" i="9" a="1"/>
  <c r="V66" i="9" s="1"/>
  <c r="G65" i="9" a="1"/>
  <c r="G65" i="9" s="1"/>
  <c r="I64" i="9" a="1"/>
  <c r="I64" i="9" s="1"/>
  <c r="M64" i="9" a="1"/>
  <c r="M64" i="9" s="1"/>
  <c r="Q64" i="9" a="1"/>
  <c r="Q64" i="9" s="1"/>
  <c r="U64" i="9" a="1"/>
  <c r="U64" i="9" s="1"/>
  <c r="H65" i="9" a="1"/>
  <c r="H65" i="9" s="1"/>
  <c r="L65" i="9" a="1"/>
  <c r="L65" i="9" s="1"/>
  <c r="P65" i="9" a="1"/>
  <c r="P65" i="9" s="1"/>
  <c r="T65" i="9" a="1"/>
  <c r="T65" i="9" s="1"/>
  <c r="X65" i="9" a="1"/>
  <c r="X65" i="9" s="1"/>
  <c r="G66" i="9" a="1"/>
  <c r="G66" i="9" s="1"/>
  <c r="K66" i="9" a="1"/>
  <c r="K66" i="9" s="1"/>
  <c r="O66" i="9" a="1"/>
  <c r="O66" i="9" s="1"/>
  <c r="S66" i="9" a="1"/>
  <c r="S66" i="9" s="1"/>
  <c r="W66" i="9" a="1"/>
  <c r="W66" i="9" s="1"/>
  <c r="T64" i="9" a="1"/>
  <c r="T64" i="9" s="1"/>
  <c r="E64" i="9" a="1"/>
  <c r="E64" i="9" s="1"/>
  <c r="Y64" i="9" a="1"/>
  <c r="Y64" i="9" s="1"/>
  <c r="F64" i="9" a="1"/>
  <c r="F64" i="9" s="1"/>
  <c r="J64" i="9" a="1"/>
  <c r="J64" i="9" s="1"/>
  <c r="N64" i="9" a="1"/>
  <c r="N64" i="9" s="1"/>
  <c r="V64" i="9" a="1"/>
  <c r="V64" i="9" s="1"/>
  <c r="E65" i="9" a="1"/>
  <c r="E65" i="9" s="1"/>
  <c r="I65" i="9" a="1"/>
  <c r="I65" i="9" s="1"/>
  <c r="M65" i="9" a="1"/>
  <c r="M65" i="9" s="1"/>
  <c r="Q65" i="9" a="1"/>
  <c r="Q65" i="9" s="1"/>
  <c r="U65" i="9" a="1"/>
  <c r="U65" i="9" s="1"/>
  <c r="Y65" i="9" a="1"/>
  <c r="Y65" i="9" s="1"/>
  <c r="H66" i="9" a="1"/>
  <c r="H66" i="9" s="1"/>
  <c r="L66" i="9" a="1"/>
  <c r="L66" i="9" s="1"/>
  <c r="P66" i="9" a="1"/>
  <c r="P66" i="9" s="1"/>
  <c r="T66" i="9" a="1"/>
  <c r="T66" i="9" s="1"/>
  <c r="X66" i="9" a="1"/>
  <c r="X66" i="9" s="1"/>
  <c r="H64" i="9" a="1"/>
  <c r="H64" i="9" s="1"/>
  <c r="R64" i="9" a="1"/>
  <c r="R64" i="9" s="1"/>
  <c r="P64" i="9" a="1"/>
  <c r="P64" i="9" s="1"/>
  <c r="K64" i="9" a="1"/>
  <c r="K64" i="9" s="1"/>
  <c r="S64" i="9" a="1"/>
  <c r="S64" i="9" s="1"/>
  <c r="W64" i="9" a="1"/>
  <c r="W64" i="9" s="1"/>
  <c r="F65" i="9" a="1"/>
  <c r="F65" i="9" s="1"/>
  <c r="J65" i="9" a="1"/>
  <c r="J65" i="9" s="1"/>
  <c r="N65" i="9" a="1"/>
  <c r="N65" i="9" s="1"/>
  <c r="V65" i="9" a="1"/>
  <c r="V65" i="9" s="1"/>
  <c r="E66" i="9" a="1"/>
  <c r="E66" i="9" s="1"/>
  <c r="I66" i="9" a="1"/>
  <c r="I66" i="9" s="1"/>
  <c r="M66" i="9" a="1"/>
  <c r="M66" i="9" s="1"/>
  <c r="Q66" i="9" a="1"/>
  <c r="Q66" i="9" s="1"/>
  <c r="U66" i="9" a="1"/>
  <c r="U66" i="9" s="1"/>
  <c r="Y66" i="9" a="1"/>
  <c r="Y66" i="9" s="1"/>
  <c r="L64" i="9" a="1"/>
  <c r="L64" i="9" s="1"/>
  <c r="G64" i="9" a="1"/>
  <c r="G64" i="9" s="1"/>
  <c r="O64" i="9" a="1"/>
  <c r="O64" i="9" s="1"/>
  <c r="R65" i="9" a="1"/>
  <c r="R65" i="9" s="1"/>
  <c r="K54" i="9" a="1"/>
  <c r="K54" i="9" s="1"/>
  <c r="E55" i="9" a="1"/>
  <c r="E55" i="9" s="1"/>
  <c r="F77" i="9" a="1"/>
  <c r="F77" i="9" s="1"/>
  <c r="P76" i="9" a="1"/>
  <c r="P76" i="9" s="1"/>
  <c r="V56" i="9" a="1"/>
  <c r="V56" i="9" s="1"/>
  <c r="O56" i="9" a="1"/>
  <c r="O56" i="9" s="1"/>
  <c r="N77" i="9" a="1"/>
  <c r="N77" i="9" s="1"/>
  <c r="E76" i="9" a="1"/>
  <c r="E76" i="9" s="1"/>
  <c r="H56" i="9" a="1"/>
  <c r="H56" i="9" s="1"/>
  <c r="U55" i="9" a="1"/>
  <c r="U55" i="9" s="1"/>
  <c r="M55" i="9" a="1"/>
  <c r="M55" i="9" s="1"/>
  <c r="F55" i="9" a="1"/>
  <c r="F55" i="9" s="1"/>
  <c r="T63" i="9" a="1"/>
  <c r="T63" i="9" s="1"/>
  <c r="V59" i="9" a="1"/>
  <c r="V59" i="9" s="1"/>
  <c r="G78" i="9" a="1"/>
  <c r="G78" i="9" s="1"/>
  <c r="J76" i="9" a="1"/>
  <c r="J76" i="9" s="1"/>
  <c r="E59" i="9" a="1"/>
  <c r="E59" i="9" s="1"/>
  <c r="X63" i="9" a="1"/>
  <c r="X63" i="9" s="1"/>
  <c r="Q63" i="9" a="1"/>
  <c r="Q63" i="9" s="1"/>
  <c r="K63" i="9" a="1"/>
  <c r="K63" i="9" s="1"/>
  <c r="R62" i="9" a="1"/>
  <c r="R62" i="9" s="1"/>
  <c r="L62" i="9" a="1"/>
  <c r="L62" i="9" s="1"/>
  <c r="Y61" i="9" a="1"/>
  <c r="Y61" i="9" s="1"/>
  <c r="S61" i="9" a="1"/>
  <c r="S61" i="9" s="1"/>
  <c r="F61" i="9" a="1"/>
  <c r="F61" i="9" s="1"/>
  <c r="T60" i="9" a="1"/>
  <c r="T60" i="9" s="1"/>
  <c r="M60" i="9" a="1"/>
  <c r="M60" i="9" s="1"/>
  <c r="G60" i="9" a="1"/>
  <c r="G60" i="9" s="1"/>
  <c r="S59" i="9" a="1"/>
  <c r="S59" i="9" s="1"/>
  <c r="L59" i="9" a="1"/>
  <c r="L59" i="9" s="1"/>
  <c r="S56" i="9" a="1"/>
  <c r="S56" i="9" s="1"/>
  <c r="Y55" i="9" a="1"/>
  <c r="Y55" i="9" s="1"/>
  <c r="R55" i="9" a="1"/>
  <c r="R55" i="9" s="1"/>
  <c r="K55" i="9" a="1"/>
  <c r="K55" i="9" s="1"/>
  <c r="W54" i="9" a="1"/>
  <c r="W54" i="9" s="1"/>
  <c r="O54" i="9" a="1"/>
  <c r="O54" i="9" s="1"/>
  <c r="H54" i="9" a="1"/>
  <c r="H54" i="9" s="1"/>
  <c r="X78" i="9" a="1"/>
  <c r="X78" i="9" s="1"/>
  <c r="K78" i="9" a="1"/>
  <c r="K78" i="9" s="1"/>
  <c r="Y77" i="9" a="1"/>
  <c r="Y77" i="9" s="1"/>
  <c r="R77" i="9" a="1"/>
  <c r="R77" i="9" s="1"/>
  <c r="L77" i="9" a="1"/>
  <c r="L77" i="9" s="1"/>
  <c r="U61" i="9" a="1"/>
  <c r="U61" i="9" s="1"/>
  <c r="N59" i="9" a="1"/>
  <c r="N59" i="9" s="1"/>
  <c r="U77" i="9" a="1"/>
  <c r="U77" i="9" s="1"/>
  <c r="W63" i="9" a="1"/>
  <c r="W63" i="9" s="1"/>
  <c r="J63" i="9" a="1"/>
  <c r="J63" i="9" s="1"/>
  <c r="X62" i="9" a="1"/>
  <c r="X62" i="9" s="1"/>
  <c r="Q62" i="9" a="1"/>
  <c r="Q62" i="9" s="1"/>
  <c r="K62" i="9" a="1"/>
  <c r="K62" i="9" s="1"/>
  <c r="R61" i="9" a="1"/>
  <c r="R61" i="9" s="1"/>
  <c r="L61" i="9" a="1"/>
  <c r="L61" i="9" s="1"/>
  <c r="Y60" i="9" a="1"/>
  <c r="Y60" i="9" s="1"/>
  <c r="S60" i="9" a="1"/>
  <c r="S60" i="9" s="1"/>
  <c r="F60" i="9" a="1"/>
  <c r="F60" i="9" s="1"/>
  <c r="R59" i="9" a="1"/>
  <c r="R59" i="9" s="1"/>
  <c r="K59" i="9" a="1"/>
  <c r="K59" i="9" s="1"/>
  <c r="Y56" i="9" a="1"/>
  <c r="Y56" i="9" s="1"/>
  <c r="R56" i="9" a="1"/>
  <c r="R56" i="9" s="1"/>
  <c r="L56" i="9" a="1"/>
  <c r="L56" i="9" s="1"/>
  <c r="Q55" i="9" a="1"/>
  <c r="Q55" i="9" s="1"/>
  <c r="J55" i="9" a="1"/>
  <c r="J55" i="9" s="1"/>
  <c r="V54" i="9" a="1"/>
  <c r="V54" i="9" s="1"/>
  <c r="N54" i="9" a="1"/>
  <c r="N54" i="9" s="1"/>
  <c r="G54" i="9" a="1"/>
  <c r="G54" i="9" s="1"/>
  <c r="E78" i="9" a="1"/>
  <c r="E78" i="9" s="1"/>
  <c r="W78" i="9" a="1"/>
  <c r="W78" i="9" s="1"/>
  <c r="Q78" i="9" a="1"/>
  <c r="Q78" i="9" s="1"/>
  <c r="J78" i="9" a="1"/>
  <c r="J78" i="9" s="1"/>
  <c r="X77" i="9" a="1"/>
  <c r="X77" i="9" s="1"/>
  <c r="K77" i="9" a="1"/>
  <c r="K77" i="9" s="1"/>
  <c r="H62" i="9" a="1"/>
  <c r="H62" i="9" s="1"/>
  <c r="G59" i="9" a="1"/>
  <c r="G59" i="9" s="1"/>
  <c r="V63" i="9" a="1"/>
  <c r="V63" i="9" s="1"/>
  <c r="P63" i="9" a="1"/>
  <c r="P63" i="9" s="1"/>
  <c r="I63" i="9" a="1"/>
  <c r="I63" i="9" s="1"/>
  <c r="W62" i="9" a="1"/>
  <c r="W62" i="9" s="1"/>
  <c r="J62" i="9" a="1"/>
  <c r="J62" i="9" s="1"/>
  <c r="X61" i="9" a="1"/>
  <c r="X61" i="9" s="1"/>
  <c r="Q61" i="9" a="1"/>
  <c r="Q61" i="9" s="1"/>
  <c r="K61" i="9" a="1"/>
  <c r="K61" i="9" s="1"/>
  <c r="R60" i="9" a="1"/>
  <c r="R60" i="9" s="1"/>
  <c r="L60" i="9" a="1"/>
  <c r="L60" i="9" s="1"/>
  <c r="Y59" i="9" a="1"/>
  <c r="Y59" i="9" s="1"/>
  <c r="Q59" i="9" a="1"/>
  <c r="Q59" i="9" s="1"/>
  <c r="J59" i="9" a="1"/>
  <c r="J59" i="9" s="1"/>
  <c r="Q56" i="9" a="1"/>
  <c r="Q56" i="9" s="1"/>
  <c r="K56" i="9" a="1"/>
  <c r="K56" i="9" s="1"/>
  <c r="X55" i="9" a="1"/>
  <c r="X55" i="9" s="1"/>
  <c r="P55" i="9" a="1"/>
  <c r="P55" i="9" s="1"/>
  <c r="I55" i="9" a="1"/>
  <c r="I55" i="9" s="1"/>
  <c r="U54" i="9" a="1"/>
  <c r="U54" i="9" s="1"/>
  <c r="M54" i="9" a="1"/>
  <c r="M54" i="9" s="1"/>
  <c r="F54" i="9" a="1"/>
  <c r="F54" i="9" s="1"/>
  <c r="V78" i="9" a="1"/>
  <c r="V78" i="9" s="1"/>
  <c r="P78" i="9" a="1"/>
  <c r="P78" i="9" s="1"/>
  <c r="W77" i="9" a="1"/>
  <c r="W77" i="9" s="1"/>
  <c r="Q77" i="9" a="1"/>
  <c r="Q77" i="9" s="1"/>
  <c r="J77" i="9" a="1"/>
  <c r="J77" i="9" s="1"/>
  <c r="G63" i="9" a="1"/>
  <c r="G63" i="9" s="1"/>
  <c r="E54" i="9" a="1"/>
  <c r="E54" i="9" s="1"/>
  <c r="U63" i="9" a="1"/>
  <c r="U63" i="9" s="1"/>
  <c r="O63" i="9" a="1"/>
  <c r="O63" i="9" s="1"/>
  <c r="V62" i="9" a="1"/>
  <c r="V62" i="9" s="1"/>
  <c r="P62" i="9" a="1"/>
  <c r="P62" i="9" s="1"/>
  <c r="I62" i="9" a="1"/>
  <c r="I62" i="9" s="1"/>
  <c r="W61" i="9" a="1"/>
  <c r="W61" i="9" s="1"/>
  <c r="J61" i="9" a="1"/>
  <c r="J61" i="9" s="1"/>
  <c r="X60" i="9" a="1"/>
  <c r="X60" i="9" s="1"/>
  <c r="Q60" i="9" a="1"/>
  <c r="Q60" i="9" s="1"/>
  <c r="K60" i="9" a="1"/>
  <c r="K60" i="9" s="1"/>
  <c r="X59" i="9" a="1"/>
  <c r="X59" i="9" s="1"/>
  <c r="P59" i="9" a="1"/>
  <c r="P59" i="9" s="1"/>
  <c r="I59" i="9" a="1"/>
  <c r="I59" i="9" s="1"/>
  <c r="X56" i="9" a="1"/>
  <c r="X56" i="9" s="1"/>
  <c r="J56" i="9" a="1"/>
  <c r="J56" i="9" s="1"/>
  <c r="W55" i="9" a="1"/>
  <c r="W55" i="9" s="1"/>
  <c r="O55" i="9" a="1"/>
  <c r="O55" i="9" s="1"/>
  <c r="H55" i="9" a="1"/>
  <c r="H55" i="9" s="1"/>
  <c r="T54" i="9" a="1"/>
  <c r="T54" i="9" s="1"/>
  <c r="E77" i="9" a="1"/>
  <c r="E77" i="9" s="1"/>
  <c r="O78" i="9" a="1"/>
  <c r="O78" i="9" s="1"/>
  <c r="I78" i="9" a="1"/>
  <c r="I78" i="9" s="1"/>
  <c r="V77" i="9" a="1"/>
  <c r="V77" i="9" s="1"/>
  <c r="P77" i="9" a="1"/>
  <c r="P77" i="9" s="1"/>
  <c r="O61" i="9" a="1"/>
  <c r="O61" i="9" s="1"/>
  <c r="P60" i="9" a="1"/>
  <c r="P60" i="9" s="1"/>
  <c r="T78" i="9" a="1"/>
  <c r="T78" i="9" s="1"/>
  <c r="E63" i="9" a="1"/>
  <c r="E63" i="9" s="1"/>
  <c r="E56" i="9" a="1"/>
  <c r="E56" i="9" s="1"/>
  <c r="N63" i="9" a="1"/>
  <c r="N63" i="9" s="1"/>
  <c r="H63" i="9" a="1"/>
  <c r="H63" i="9" s="1"/>
  <c r="U62" i="9" a="1"/>
  <c r="U62" i="9" s="1"/>
  <c r="O62" i="9" a="1"/>
  <c r="O62" i="9" s="1"/>
  <c r="V61" i="9" a="1"/>
  <c r="V61" i="9" s="1"/>
  <c r="P61" i="9" a="1"/>
  <c r="P61" i="9" s="1"/>
  <c r="I61" i="9" a="1"/>
  <c r="I61" i="9" s="1"/>
  <c r="W60" i="9" a="1"/>
  <c r="W60" i="9" s="1"/>
  <c r="J60" i="9" a="1"/>
  <c r="J60" i="9" s="1"/>
  <c r="W59" i="9" a="1"/>
  <c r="W59" i="9" s="1"/>
  <c r="O59" i="9" a="1"/>
  <c r="O59" i="9" s="1"/>
  <c r="H59" i="9" a="1"/>
  <c r="H59" i="9" s="1"/>
  <c r="W56" i="9" a="1"/>
  <c r="W56" i="9" s="1"/>
  <c r="P56" i="9" a="1"/>
  <c r="P56" i="9" s="1"/>
  <c r="I56" i="9" a="1"/>
  <c r="I56" i="9" s="1"/>
  <c r="V55" i="9" a="1"/>
  <c r="V55" i="9" s="1"/>
  <c r="N55" i="9" a="1"/>
  <c r="N55" i="9" s="1"/>
  <c r="G55" i="9" a="1"/>
  <c r="G55" i="9" s="1"/>
  <c r="S54" i="9" a="1"/>
  <c r="S54" i="9" s="1"/>
  <c r="L54" i="9" a="1"/>
  <c r="L54" i="9" s="1"/>
  <c r="U78" i="9" a="1"/>
  <c r="U78" i="9" s="1"/>
  <c r="N78" i="9" a="1"/>
  <c r="N78" i="9" s="1"/>
  <c r="H78" i="9" a="1"/>
  <c r="H78" i="9" s="1"/>
  <c r="O77" i="9" a="1"/>
  <c r="O77" i="9" s="1"/>
  <c r="I77" i="9" a="1"/>
  <c r="I77" i="9" s="1"/>
  <c r="E62" i="9" a="1"/>
  <c r="E62" i="9" s="1"/>
  <c r="N62" i="9" a="1"/>
  <c r="N62" i="9" s="1"/>
  <c r="V60" i="9" a="1"/>
  <c r="V60" i="9" s="1"/>
  <c r="H77" i="9" a="1"/>
  <c r="H77" i="9" s="1"/>
  <c r="U76" i="9" a="1"/>
  <c r="U76" i="9" s="1"/>
  <c r="E61" i="9" a="1"/>
  <c r="E61" i="9" s="1"/>
  <c r="Y63" i="9" a="1"/>
  <c r="Y63" i="9" s="1"/>
  <c r="S63" i="9" a="1"/>
  <c r="S63" i="9" s="1"/>
  <c r="F63" i="9" a="1"/>
  <c r="F63" i="9" s="1"/>
  <c r="T62" i="9" a="1"/>
  <c r="T62" i="9" s="1"/>
  <c r="M62" i="9" a="1"/>
  <c r="M62" i="9" s="1"/>
  <c r="G62" i="9" a="1"/>
  <c r="G62" i="9" s="1"/>
  <c r="N61" i="9" a="1"/>
  <c r="N61" i="9" s="1"/>
  <c r="H61" i="9" a="1"/>
  <c r="H61" i="9" s="1"/>
  <c r="U60" i="9" a="1"/>
  <c r="U60" i="9" s="1"/>
  <c r="O60" i="9" a="1"/>
  <c r="O60" i="9" s="1"/>
  <c r="U59" i="9" a="1"/>
  <c r="U59" i="9" s="1"/>
  <c r="M59" i="9" a="1"/>
  <c r="M59" i="9" s="1"/>
  <c r="F59" i="9" a="1"/>
  <c r="F59" i="9" s="1"/>
  <c r="U56" i="9" a="1"/>
  <c r="U56" i="9" s="1"/>
  <c r="N56" i="9" a="1"/>
  <c r="N56" i="9" s="1"/>
  <c r="G56" i="9" a="1"/>
  <c r="G56" i="9" s="1"/>
  <c r="T55" i="9" a="1"/>
  <c r="T55" i="9" s="1"/>
  <c r="Y54" i="9" a="1"/>
  <c r="Y54" i="9" s="1"/>
  <c r="Q54" i="9" a="1"/>
  <c r="Q54" i="9" s="1"/>
  <c r="J54" i="9" a="1"/>
  <c r="J54" i="9" s="1"/>
  <c r="S78" i="9" a="1"/>
  <c r="S78" i="9" s="1"/>
  <c r="M78" i="9" a="1"/>
  <c r="M78" i="9" s="1"/>
  <c r="F78" i="9" a="1"/>
  <c r="F78" i="9" s="1"/>
  <c r="T77" i="9" a="1"/>
  <c r="T77" i="9" s="1"/>
  <c r="G77" i="9" a="1"/>
  <c r="G77" i="9" s="1"/>
  <c r="M63" i="9" a="1"/>
  <c r="M63" i="9" s="1"/>
  <c r="I60" i="9" a="1"/>
  <c r="I60" i="9" s="1"/>
  <c r="O76" i="9" a="1"/>
  <c r="O76" i="9" s="1"/>
  <c r="E60" i="9" a="1"/>
  <c r="E60" i="9" s="1"/>
  <c r="R63" i="9" a="1"/>
  <c r="R63" i="9" s="1"/>
  <c r="L63" i="9" a="1"/>
  <c r="L63" i="9" s="1"/>
  <c r="Y62" i="9" a="1"/>
  <c r="Y62" i="9" s="1"/>
  <c r="S62" i="9" a="1"/>
  <c r="S62" i="9" s="1"/>
  <c r="F62" i="9" a="1"/>
  <c r="F62" i="9" s="1"/>
  <c r="T61" i="9" a="1"/>
  <c r="T61" i="9" s="1"/>
  <c r="M61" i="9" a="1"/>
  <c r="M61" i="9" s="1"/>
  <c r="G61" i="9" a="1"/>
  <c r="G61" i="9" s="1"/>
  <c r="N60" i="9" a="1"/>
  <c r="N60" i="9" s="1"/>
  <c r="H60" i="9" a="1"/>
  <c r="H60" i="9" s="1"/>
  <c r="T59" i="9" a="1"/>
  <c r="T59" i="9" s="1"/>
  <c r="T56" i="9" a="1"/>
  <c r="T56" i="9" s="1"/>
  <c r="M56" i="9" a="1"/>
  <c r="M56" i="9" s="1"/>
  <c r="F56" i="9" a="1"/>
  <c r="F56" i="9" s="1"/>
  <c r="S55" i="9" a="1"/>
  <c r="S55" i="9" s="1"/>
  <c r="L55" i="9" a="1"/>
  <c r="L55" i="9" s="1"/>
  <c r="X54" i="9" a="1"/>
  <c r="X54" i="9" s="1"/>
  <c r="P54" i="9" a="1"/>
  <c r="P54" i="9" s="1"/>
  <c r="I54" i="9" a="1"/>
  <c r="I54" i="9" s="1"/>
  <c r="Y78" i="9" a="1"/>
  <c r="Y78" i="9" s="1"/>
  <c r="R78" i="9" a="1"/>
  <c r="R78" i="9" s="1"/>
  <c r="L78" i="9" a="1"/>
  <c r="L78" i="9" s="1"/>
  <c r="S77" i="9" a="1"/>
  <c r="S77" i="9" s="1"/>
  <c r="M77" i="9" a="1"/>
  <c r="M77" i="9" s="1"/>
  <c r="T76" i="9" a="1"/>
  <c r="T76" i="9" s="1"/>
  <c r="Y76" i="9" a="1"/>
  <c r="Y76" i="9" s="1"/>
  <c r="S76" i="9" a="1"/>
  <c r="S76" i="9" s="1"/>
  <c r="N76" i="9" a="1"/>
  <c r="N76" i="9" s="1"/>
  <c r="I76" i="9" a="1"/>
  <c r="I76" i="9" s="1"/>
  <c r="X76" i="9" a="1"/>
  <c r="X76" i="9" s="1"/>
  <c r="H76" i="9" a="1"/>
  <c r="H76" i="9" s="1"/>
  <c r="W76" i="9" a="1"/>
  <c r="W76" i="9" s="1"/>
  <c r="R76" i="9" a="1"/>
  <c r="R76" i="9" s="1"/>
  <c r="M76" i="9" a="1"/>
  <c r="M76" i="9" s="1"/>
  <c r="G76" i="9" a="1"/>
  <c r="G76" i="9" s="1"/>
  <c r="L76" i="9" a="1"/>
  <c r="L76" i="9" s="1"/>
  <c r="V76" i="9" a="1"/>
  <c r="V76" i="9" s="1"/>
  <c r="Q76" i="9" a="1"/>
  <c r="Q76" i="9" s="1"/>
  <c r="K76" i="9" a="1"/>
  <c r="K76" i="9" s="1"/>
  <c r="F76" i="9" a="1"/>
  <c r="F76" i="9" s="1"/>
  <c r="A53" i="9" a="1"/>
  <c r="A53" i="9" s="1"/>
  <c r="O10" i="1" l="1"/>
  <c r="O11" i="1"/>
  <c r="P11" i="1"/>
  <c r="O12" i="1"/>
  <c r="O14" i="1"/>
  <c r="O15" i="1"/>
  <c r="O16" i="1"/>
  <c r="O17" i="1"/>
  <c r="O18" i="1"/>
  <c r="O19" i="1"/>
  <c r="O5" i="1"/>
  <c r="O6" i="1"/>
  <c r="O7" i="1"/>
  <c r="N10" i="1"/>
  <c r="N11" i="1"/>
  <c r="N12" i="1"/>
  <c r="N14" i="1"/>
  <c r="N15" i="1"/>
  <c r="N16" i="1"/>
  <c r="N17" i="1"/>
  <c r="N18" i="1"/>
  <c r="N19" i="1"/>
  <c r="N5" i="1"/>
  <c r="N6" i="1"/>
  <c r="N7" i="1"/>
  <c r="R4" i="1"/>
  <c r="O9" i="1"/>
  <c r="N9" i="1"/>
  <c r="K13" i="1"/>
  <c r="A21" i="8" l="1"/>
  <c r="A21" i="7"/>
  <c r="A20" i="8"/>
  <c r="A20" i="7"/>
  <c r="A19" i="8"/>
  <c r="A19" i="7"/>
  <c r="A13" i="8"/>
  <c r="A13" i="7"/>
  <c r="A18" i="8"/>
  <c r="A18" i="7"/>
  <c r="A10" i="8"/>
  <c r="A10" i="7"/>
  <c r="A17" i="8"/>
  <c r="A17" i="7"/>
  <c r="A9" i="8"/>
  <c r="A9" i="7"/>
  <c r="A15" i="8"/>
  <c r="A15" i="7"/>
  <c r="A22" i="8"/>
  <c r="A22" i="7"/>
  <c r="A12" i="8"/>
  <c r="A12" i="7"/>
  <c r="A8" i="7"/>
  <c r="A8" i="8"/>
  <c r="A14" i="8"/>
  <c r="A14" i="7"/>
  <c r="A22" i="6"/>
  <c r="A13" i="6"/>
  <c r="A12" i="6"/>
  <c r="A20" i="6"/>
  <c r="A19" i="6"/>
  <c r="A21" i="6"/>
  <c r="A18" i="6"/>
  <c r="A17" i="6"/>
  <c r="A10" i="6"/>
  <c r="A9" i="6"/>
  <c r="A15" i="6"/>
  <c r="A8" i="6"/>
  <c r="A14" i="6"/>
  <c r="T4" i="1"/>
  <c r="T25" i="1"/>
  <c r="N25" i="1"/>
  <c r="P24" i="1"/>
  <c r="N26" i="1"/>
  <c r="N27" i="1"/>
  <c r="N24" i="1"/>
  <c r="N23" i="1"/>
  <c r="N22" i="1"/>
  <c r="T47" i="1"/>
  <c r="J57" i="1"/>
  <c r="P4" i="1" s="1"/>
  <c r="K57" i="1"/>
  <c r="Q4" i="1" s="1"/>
  <c r="D18" i="1"/>
  <c r="C18" i="1"/>
  <c r="A28" i="8" l="1"/>
  <c r="A28" i="7"/>
  <c r="A29" i="7"/>
  <c r="A29" i="8"/>
  <c r="A25" i="8"/>
  <c r="A25" i="7"/>
  <c r="A26" i="7"/>
  <c r="A26" i="8"/>
  <c r="A27" i="8"/>
  <c r="A27" i="7"/>
  <c r="A30" i="7"/>
  <c r="A30" i="8"/>
  <c r="A27" i="6"/>
  <c r="A30" i="6"/>
  <c r="A28" i="6"/>
  <c r="A26" i="6"/>
  <c r="A29" i="6"/>
  <c r="A25" i="6"/>
  <c r="K38" i="1"/>
  <c r="J38" i="1"/>
  <c r="D28" i="2"/>
  <c r="N27" i="2"/>
  <c r="M27" i="2"/>
  <c r="M5" i="2"/>
  <c r="N5" i="2"/>
  <c r="M6" i="2"/>
  <c r="N6" i="2"/>
  <c r="M7" i="2"/>
  <c r="N7" i="2"/>
  <c r="M8" i="2"/>
  <c r="N8" i="2"/>
  <c r="N25" i="2" s="1"/>
  <c r="M9" i="2"/>
  <c r="N9" i="2"/>
  <c r="M10" i="2"/>
  <c r="N10" i="2"/>
  <c r="M11" i="2"/>
  <c r="N11" i="2"/>
  <c r="M12" i="2"/>
  <c r="N12" i="2"/>
  <c r="M13" i="2"/>
  <c r="N13" i="2"/>
  <c r="M14" i="2"/>
  <c r="N14" i="2"/>
  <c r="M15" i="2"/>
  <c r="N15" i="2"/>
  <c r="M16" i="2"/>
  <c r="N16" i="2"/>
  <c r="M17" i="2"/>
  <c r="N17" i="2"/>
  <c r="M18" i="2"/>
  <c r="N18" i="2"/>
  <c r="M19" i="2"/>
  <c r="N19" i="2"/>
  <c r="M20" i="2"/>
  <c r="N20" i="2"/>
  <c r="M21" i="2"/>
  <c r="N21" i="2"/>
  <c r="M22" i="2"/>
  <c r="N22" i="2"/>
  <c r="M23" i="2"/>
  <c r="N23" i="2"/>
  <c r="M24" i="2"/>
  <c r="N24" i="2"/>
  <c r="N4" i="2"/>
  <c r="M4" i="2"/>
  <c r="D25" i="2"/>
  <c r="D26" i="2" s="1"/>
  <c r="L38" i="1" l="1"/>
  <c r="D29" i="2"/>
  <c r="M25" i="2"/>
  <c r="K6" i="1" l="1"/>
  <c r="K7" i="1" s="1"/>
  <c r="J6" i="1"/>
  <c r="J7" i="1" s="1"/>
  <c r="D28" i="1"/>
  <c r="D19" i="1"/>
  <c r="C19" i="1"/>
  <c r="L7" i="1" l="1"/>
  <c r="K8" i="1"/>
  <c r="C27" i="1"/>
  <c r="K10" i="1"/>
  <c r="J10" i="1"/>
  <c r="J8" i="1"/>
  <c r="L8" i="1" l="1"/>
  <c r="L10" i="1"/>
  <c r="J14" i="1"/>
  <c r="K11" i="1"/>
  <c r="J11" i="1"/>
  <c r="D27" i="1"/>
  <c r="J9" i="1"/>
  <c r="K9" i="1"/>
  <c r="K14" i="1" s="1"/>
  <c r="L9" i="1" l="1"/>
  <c r="L11" i="1"/>
  <c r="K15" i="1"/>
  <c r="Q30" i="1" s="1"/>
  <c r="L14" i="1"/>
  <c r="K16" i="1" l="1"/>
  <c r="J27" i="1"/>
  <c r="K27" i="1" s="1"/>
  <c r="L27" i="1" s="1"/>
  <c r="J15" i="1"/>
  <c r="J16" i="1"/>
  <c r="J18" i="1" s="1"/>
  <c r="P31" i="1" s="1"/>
  <c r="L15" i="1" l="1"/>
  <c r="P30" i="1"/>
  <c r="K18" i="1"/>
  <c r="L16" i="1"/>
  <c r="K17" i="1"/>
  <c r="J17" i="1"/>
  <c r="J19" i="1"/>
  <c r="L18" i="1" l="1"/>
  <c r="Q31" i="1"/>
  <c r="R30" i="1"/>
  <c r="K19" i="1"/>
  <c r="L17" i="1"/>
  <c r="J20" i="1"/>
  <c r="R31" i="1" l="1"/>
  <c r="L19" i="1"/>
  <c r="K20" i="1"/>
  <c r="K21" i="1" s="1"/>
  <c r="J22" i="1"/>
  <c r="J25" i="1" s="1"/>
  <c r="J24" i="1"/>
  <c r="J26" i="1"/>
  <c r="K26" i="1" s="1"/>
  <c r="L26" i="1" s="1"/>
  <c r="J21" i="1"/>
  <c r="J23" i="1" l="1"/>
  <c r="J36" i="1" s="1"/>
  <c r="P32" i="1"/>
  <c r="K22" i="1"/>
  <c r="K25" i="1" s="1"/>
  <c r="L25" i="1" s="1"/>
  <c r="K24" i="1"/>
  <c r="L24" i="1" s="1"/>
  <c r="L20" i="1"/>
  <c r="P36" i="1" l="1"/>
  <c r="J35" i="1"/>
  <c r="J28" i="1"/>
  <c r="J29" i="1" s="1"/>
  <c r="P33" i="1" s="1"/>
  <c r="P39" i="1" s="1"/>
  <c r="K23" i="1"/>
  <c r="K36" i="1" s="1"/>
  <c r="Q32" i="1"/>
  <c r="L21" i="1"/>
  <c r="K43" i="1"/>
  <c r="L43" i="1" s="1"/>
  <c r="L22" i="1"/>
  <c r="J63" i="1"/>
  <c r="P14" i="1" s="1"/>
  <c r="J61" i="1"/>
  <c r="P12" i="1" s="1"/>
  <c r="Q36" i="1" l="1"/>
  <c r="K35" i="1"/>
  <c r="K50" i="1" s="1"/>
  <c r="K63" i="1"/>
  <c r="Q14" i="1" s="1"/>
  <c r="K61" i="1"/>
  <c r="Q12" i="1" s="1"/>
  <c r="L36" i="1"/>
  <c r="K28" i="1"/>
  <c r="K29" i="1" s="1"/>
  <c r="Q33" i="1" s="1"/>
  <c r="J41" i="1"/>
  <c r="P23" i="1" s="1"/>
  <c r="L23" i="1"/>
  <c r="J30" i="1"/>
  <c r="J31" i="1" s="1"/>
  <c r="J40" i="1" s="1"/>
  <c r="J37" i="1"/>
  <c r="J39" i="1" s="1"/>
  <c r="J59" i="1" s="1"/>
  <c r="P10" i="1" s="1"/>
  <c r="R32" i="1"/>
  <c r="Q24" i="1"/>
  <c r="J68" i="1"/>
  <c r="P19" i="1" s="1"/>
  <c r="J50" i="1"/>
  <c r="J49" i="1"/>
  <c r="R24" i="1" l="1"/>
  <c r="R36" i="1"/>
  <c r="R33" i="1"/>
  <c r="L50" i="1"/>
  <c r="L35" i="1"/>
  <c r="K68" i="1"/>
  <c r="Q19" i="1" s="1"/>
  <c r="K49" i="1"/>
  <c r="L49" i="1" s="1"/>
  <c r="L63" i="1"/>
  <c r="R14" i="1" s="1"/>
  <c r="Q39" i="1"/>
  <c r="K30" i="1"/>
  <c r="L30" i="1" s="1"/>
  <c r="L61" i="1"/>
  <c r="R12" i="1" s="1"/>
  <c r="K41" i="1"/>
  <c r="Q23" i="1" s="1"/>
  <c r="L29" i="1"/>
  <c r="L28" i="1"/>
  <c r="K37" i="1"/>
  <c r="K39" i="1" s="1"/>
  <c r="J32" i="1"/>
  <c r="P22" i="1"/>
  <c r="J42" i="1"/>
  <c r="J45" i="1" s="1"/>
  <c r="J51" i="1" s="1"/>
  <c r="J52" i="1" s="1"/>
  <c r="J54" i="1" s="1"/>
  <c r="J66" i="1" s="1"/>
  <c r="P17" i="1" s="1"/>
  <c r="J34" i="1"/>
  <c r="P25" i="1" s="1"/>
  <c r="P41" i="1" s="1"/>
  <c r="R39" i="1" l="1"/>
  <c r="R23" i="1"/>
  <c r="L68" i="1"/>
  <c r="R19" i="1" s="1"/>
  <c r="K31" i="1"/>
  <c r="K40" i="1" s="1"/>
  <c r="L37" i="1"/>
  <c r="L41" i="1"/>
  <c r="J33" i="1"/>
  <c r="P34" i="1"/>
  <c r="J64" i="1"/>
  <c r="K59" i="1"/>
  <c r="L39" i="1"/>
  <c r="J46" i="1"/>
  <c r="P26" i="1" s="1"/>
  <c r="J67" i="1"/>
  <c r="P18" i="1" s="1"/>
  <c r="J55" i="1"/>
  <c r="J53" i="1"/>
  <c r="K32" i="1" l="1"/>
  <c r="Q34" i="1" s="1"/>
  <c r="L31" i="1"/>
  <c r="K34" i="1"/>
  <c r="Q25" i="1" s="1"/>
  <c r="P40" i="1"/>
  <c r="P35" i="1"/>
  <c r="L59" i="1"/>
  <c r="R10" i="1" s="1"/>
  <c r="Q10" i="1"/>
  <c r="K64" i="1"/>
  <c r="Q15" i="1" s="1"/>
  <c r="P15" i="1"/>
  <c r="J58" i="1"/>
  <c r="J47" i="1"/>
  <c r="P27" i="1" s="1"/>
  <c r="J65" i="1"/>
  <c r="L40" i="1"/>
  <c r="Q22" i="1"/>
  <c r="K42" i="1"/>
  <c r="R22" i="1" l="1"/>
  <c r="Q40" i="1"/>
  <c r="K33" i="1"/>
  <c r="L33" i="1" s="1"/>
  <c r="Q35" i="1"/>
  <c r="R34" i="1"/>
  <c r="L32" i="1"/>
  <c r="L34" i="1"/>
  <c r="R25" i="1"/>
  <c r="Q41" i="1"/>
  <c r="L64" i="1"/>
  <c r="R15" i="1" s="1"/>
  <c r="J71" i="1"/>
  <c r="P6" i="1" s="1"/>
  <c r="P16" i="1"/>
  <c r="J70" i="1"/>
  <c r="P5" i="1" s="1"/>
  <c r="P9" i="1"/>
  <c r="K45" i="1"/>
  <c r="L42" i="1"/>
  <c r="K46" i="1"/>
  <c r="R40" i="1" l="1"/>
  <c r="R35" i="1"/>
  <c r="R41" i="1"/>
  <c r="J72" i="1"/>
  <c r="L46" i="1"/>
  <c r="Q26" i="1"/>
  <c r="K58" i="1"/>
  <c r="K47" i="1"/>
  <c r="K65" i="1"/>
  <c r="K44" i="1"/>
  <c r="L44" i="1" s="1"/>
  <c r="L45" i="1"/>
  <c r="R26" i="1" l="1"/>
  <c r="P7" i="1"/>
  <c r="L65" i="1"/>
  <c r="R16" i="1" s="1"/>
  <c r="Q16" i="1"/>
  <c r="L58" i="1"/>
  <c r="R9" i="1" s="1"/>
  <c r="Q9" i="1"/>
  <c r="L51" i="1"/>
  <c r="K53" i="1"/>
  <c r="L53" i="1" s="1"/>
  <c r="K52" i="1"/>
  <c r="Q27" i="1"/>
  <c r="L47" i="1"/>
  <c r="R27" i="1" l="1"/>
  <c r="L52" i="1"/>
  <c r="L54" i="1" l="1"/>
  <c r="K55" i="1"/>
  <c r="L55" i="1" s="1"/>
  <c r="K66" i="1"/>
  <c r="Q17" i="1" s="1"/>
  <c r="K67" i="1"/>
  <c r="L67" i="1" l="1"/>
  <c r="R18" i="1" s="1"/>
  <c r="Q18" i="1"/>
  <c r="L66" i="1"/>
  <c r="R17" i="1" s="1"/>
  <c r="K60" i="1"/>
  <c r="Q11" i="1" s="1"/>
  <c r="K71" i="1"/>
  <c r="L71" i="1" l="1"/>
  <c r="R6" i="1" s="1"/>
  <c r="Q6" i="1"/>
  <c r="K70" i="1"/>
  <c r="Q5" i="1" s="1"/>
  <c r="L60" i="1"/>
  <c r="R11" i="1" s="1"/>
  <c r="L70" i="1" l="1"/>
  <c r="R5" i="1" s="1"/>
  <c r="K72" i="1"/>
  <c r="Q7" i="1" s="1"/>
  <c r="L72" i="1" l="1"/>
  <c r="R7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C11" authorId="0" shapeId="0" xr:uid="{7C6AC104-1F23-4C18-B47B-1F181DD49207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RGK-udnyttelsen gælder RGK-varme for begge ovne.</t>
        </r>
      </text>
    </comment>
    <comment ref="B15" authorId="0" shapeId="0" xr:uid="{CB41652B-4D34-48FA-9876-B13894D1C37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Værdien divideres med skalafaktoren, medmindre den er nul, hvilket svarer til ikke at vise den pågældende kurve.</t>
        </r>
      </text>
    </comment>
    <comment ref="B39" authorId="0" shapeId="0" xr:uid="{9E9BA144-F652-4F2B-BCF8-DAB2B8A4175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Værdien divideres med skalafaktoren, medmindre den er nul, hvilket svarer til ikke at vise den pågældende kurve.</t>
        </r>
      </text>
    </comment>
    <comment ref="D53" authorId="0" shapeId="0" xr:uid="{B03CA1D6-EEFF-4151-934F-F2FD0259E654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Værdien divideres med skalafaktoren, medmindre den er nul, hvilket svarer til ikke at vise den pågældende kurve.</t>
        </r>
      </text>
    </comment>
    <comment ref="D76" authorId="0" shapeId="0" xr:uid="{35553203-6717-48AD-B211-314B0EF8A637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Værdien divideres med skalafaktoren, medmindre den er nul, hvilket svarer til ikke at vise den pågældende kurve.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H7" authorId="0" shapeId="0" xr:uid="{99E6E9A7-E7BD-4D43-896C-155B1FA9758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Bestemt af ovnenes modtryksvarmekapacitet.</t>
        </r>
      </text>
    </comment>
    <comment ref="A8" authorId="0" shapeId="0" xr:uid="{9E6784D6-CFB9-4ADD-B826-0EEF251BF123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RGK-udnyttelsen gælder RGK-varme for begge ovne.</t>
        </r>
      </text>
    </comment>
    <comment ref="H8" authorId="0" shapeId="0" xr:uid="{4D7CFC1E-0B74-43AD-9F74-D693C0CFD274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Bestemt af ovnenes RGK-varmekapacitet</t>
        </r>
      </text>
    </comment>
    <comment ref="H9" authorId="0" shapeId="0" xr:uid="{E8D6452C-48C2-409C-B1FE-5EF855F43057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Sum af modtryks- og RGK-kapacitet</t>
        </r>
      </text>
    </comment>
    <comment ref="H10" authorId="0" shapeId="0" xr:uid="{B69B3E21-4228-486A-B428-B190A9EE4DD3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Tilbageregning fra modtryksvarmekapacitet til indfyret effekt.</t>
        </r>
      </text>
    </comment>
    <comment ref="H11" authorId="0" shapeId="0" xr:uid="{C1760424-EF25-4286-83F8-5D112E5AD220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Omregning fra indfyret effekt til indfyret tonnage.</t>
        </r>
      </text>
    </comment>
    <comment ref="H26" authorId="0" shapeId="0" xr:uid="{D2876E8E-868B-4C35-AE54-6F4911DC146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Modtryksvarme-kapacitet, da restkapaciteten kun skal bruges til at producere bortkøle-varme.</t>
        </r>
      </text>
    </comment>
    <comment ref="H27" authorId="0" shapeId="0" xr:uid="{4A972A95-DA8E-4F46-A3AD-84F96433A260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Modtryksvarme-kapacitet, da restkapaciteten kun skal bruges til at producere bortkøle-varme.</t>
        </r>
      </text>
    </comment>
    <comment ref="A30" authorId="0" shapeId="0" xr:uid="{2280859C-2DF6-4A51-A57E-C182B3B12940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Anvendes kun ift. CO2-afgift, da Energistyrelsen har fastsat en administrativ sats for kvote-beregning.</t>
        </r>
      </text>
    </comment>
    <comment ref="A31" authorId="0" shapeId="0" xr:uid="{27A6E152-F1EA-4DA9-9A23-A1C43403FE80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Energistyrelsen har fastsat en administrativ sats for nedre brændværdi på 10,6 GJ/ton ved kvote-beregning.</t>
        </r>
      </text>
    </comment>
    <comment ref="K51" authorId="0" shapeId="0" xr:uid="{13AC1DFB-EE37-454A-B29C-CD773EE4A06A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Særtilfældet RKG=0 håndteres eksplicit her, idet afgiftsberegningen med RKG ikke konvergerer mod afgiftsberegningen uden RKG, når RKG-udnyttelsen går mod nul.</t>
        </r>
      </text>
    </comment>
    <comment ref="K54" authorId="0" shapeId="0" xr:uid="{6BB5D98D-49B4-412D-BA71-7CA42652857D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Særtilfældet RKG=0 håndteres eksplicit her, idet afgiftsberegningen med RKG ikke konvergerer mod afgiftsberegningen uden RKG, når RKG-udnyttelsen går mod nul.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<sst xmlns="http://schemas.openxmlformats.org/spreadsheetml/2006/main" count="561" uniqueCount="249">
  <si>
    <t>INPUT</t>
  </si>
  <si>
    <t>Ovn2</t>
  </si>
  <si>
    <t>Ovn3</t>
  </si>
  <si>
    <t>Varmekapacitet</t>
  </si>
  <si>
    <t>MWq</t>
  </si>
  <si>
    <t>Elkapacitet</t>
  </si>
  <si>
    <t>MWe</t>
  </si>
  <si>
    <t>Egetforbrug</t>
  </si>
  <si>
    <t>Køler</t>
  </si>
  <si>
    <t>RGK-kapacitet</t>
  </si>
  <si>
    <t>Modtryksvarme-virkningsgrad</t>
  </si>
  <si>
    <t>RGK-varme-virkningsgrad</t>
  </si>
  <si>
    <t>El-virkningsgrad</t>
  </si>
  <si>
    <t>Antal rådige døgn</t>
  </si>
  <si>
    <t>MWhe/døgn</t>
  </si>
  <si>
    <t>Anlæg</t>
  </si>
  <si>
    <t>Brændsler</t>
  </si>
  <si>
    <t>Affald</t>
  </si>
  <si>
    <t>ton</t>
  </si>
  <si>
    <t>Bioaffald</t>
  </si>
  <si>
    <t>Rådig mængde</t>
  </si>
  <si>
    <t>DV-omk sats</t>
  </si>
  <si>
    <t>kr/MWhf</t>
  </si>
  <si>
    <t>NS</t>
  </si>
  <si>
    <t>Priser</t>
  </si>
  <si>
    <t>Varmesalg</t>
  </si>
  <si>
    <t>kr/MWhq</t>
  </si>
  <si>
    <t>kr/ton</t>
  </si>
  <si>
    <t>Elspotpris</t>
  </si>
  <si>
    <t>kr/MWhe</t>
  </si>
  <si>
    <t>CO2 kvotepris</t>
  </si>
  <si>
    <t>Varmesalgspris</t>
  </si>
  <si>
    <t>Nedre brændværdi</t>
  </si>
  <si>
    <t>GJ/ton</t>
  </si>
  <si>
    <t>Affaldvarme-afgift</t>
  </si>
  <si>
    <t>Tillægsafgift</t>
  </si>
  <si>
    <t>CO2-afgift</t>
  </si>
  <si>
    <t>kgCO2/GJ</t>
  </si>
  <si>
    <t>kr/GJq</t>
  </si>
  <si>
    <t>CO2-indhold ift. CO2-afgift</t>
  </si>
  <si>
    <t>CO2-indhold ift. CO2-kvote</t>
  </si>
  <si>
    <t>kr/tonCO2</t>
  </si>
  <si>
    <t>Modtagepris</t>
  </si>
  <si>
    <t>Elproduktions-tarif</t>
  </si>
  <si>
    <t>MWhq</t>
  </si>
  <si>
    <t>RESULTATER</t>
  </si>
  <si>
    <t>Uden RGK</t>
  </si>
  <si>
    <t>Bortkølet varme</t>
  </si>
  <si>
    <t>Brutto elproduktion</t>
  </si>
  <si>
    <t>Netto elproduktion</t>
  </si>
  <si>
    <t>Enhed</t>
  </si>
  <si>
    <t>MWhe</t>
  </si>
  <si>
    <t>Antal driftstimer</t>
  </si>
  <si>
    <t>Max modtryksvarme</t>
  </si>
  <si>
    <t>Max. indfyret effekt</t>
  </si>
  <si>
    <t>MWhf</t>
  </si>
  <si>
    <t>Max. affaldsmængde</t>
  </si>
  <si>
    <t>Mængdefordeling</t>
  </si>
  <si>
    <t>Max. varmeproduktion Ovn3</t>
  </si>
  <si>
    <t>Rest varmebehov</t>
  </si>
  <si>
    <t>Rest total affaldsmængde</t>
  </si>
  <si>
    <t>Affaldsmængde forbrug</t>
  </si>
  <si>
    <t>Nedre brændværdi affald ialt</t>
  </si>
  <si>
    <t>Affaldsmængde ialt</t>
  </si>
  <si>
    <t>Max. NS-varme</t>
  </si>
  <si>
    <t>Max. varmeproduktion Ovn2</t>
  </si>
  <si>
    <t>Max. RGK-varme</t>
  </si>
  <si>
    <t>Max. varmeproduktion affald</t>
  </si>
  <si>
    <t>Varmeproduktion affald ialt</t>
  </si>
  <si>
    <t>Udækket varmebehov</t>
  </si>
  <si>
    <t>Sum varmevirkningsgrad</t>
  </si>
  <si>
    <t>mo1</t>
  </si>
  <si>
    <t>DepoSort</t>
  </si>
  <si>
    <t>DepoSmaat</t>
  </si>
  <si>
    <t>DepoNedd</t>
  </si>
  <si>
    <t>Dagren</t>
  </si>
  <si>
    <t>AndetBrand</t>
  </si>
  <si>
    <t>Trae</t>
  </si>
  <si>
    <t>DagrenRast</t>
  </si>
  <si>
    <t>DagrenInst</t>
  </si>
  <si>
    <t>DagrenHandel</t>
  </si>
  <si>
    <t>DagrenRestau</t>
  </si>
  <si>
    <t>Erhverv</t>
  </si>
  <si>
    <t>DagrenErhverv</t>
  </si>
  <si>
    <t>HandelKontor</t>
  </si>
  <si>
    <t>Privat</t>
  </si>
  <si>
    <t>TyskRest</t>
  </si>
  <si>
    <t>PolskRest</t>
  </si>
  <si>
    <t>PcbTrae</t>
  </si>
  <si>
    <t>TraeRekv</t>
  </si>
  <si>
    <t>Halm</t>
  </si>
  <si>
    <t>Pulver</t>
  </si>
  <si>
    <t>FlisAffald</t>
  </si>
  <si>
    <t>FuelConsP</t>
  </si>
  <si>
    <t>LHV</t>
  </si>
  <si>
    <t>FlisK</t>
  </si>
  <si>
    <t>Qm</t>
  </si>
  <si>
    <t>Fp</t>
  </si>
  <si>
    <t>GJ</t>
  </si>
  <si>
    <t>Restvarmekapacitet Ovn2</t>
  </si>
  <si>
    <t>Restvarmekapacitet Ovn3</t>
  </si>
  <si>
    <t>Kølevarme Ovn2</t>
  </si>
  <si>
    <t>Kølevarme Ovn3</t>
  </si>
  <si>
    <t>Affaldsforbrug kølevarme Ovn3</t>
  </si>
  <si>
    <t>Affaldsforbrug kølevarme Ovn2</t>
  </si>
  <si>
    <t>Økonomi</t>
  </si>
  <si>
    <t>Modtagebetaling affald</t>
  </si>
  <si>
    <t>Elsalg</t>
  </si>
  <si>
    <t>RGK-rabat</t>
  </si>
  <si>
    <t>Energiproduktion</t>
  </si>
  <si>
    <t>MWh</t>
  </si>
  <si>
    <t>Varmeproduktion ialt affaldsovne</t>
  </si>
  <si>
    <t>Leveret varme</t>
  </si>
  <si>
    <t>Betaling bioaffald</t>
  </si>
  <si>
    <t>DV-omkostninger</t>
  </si>
  <si>
    <t>Varmeproduktion Ovn2</t>
  </si>
  <si>
    <t>Varmeproduktion Ovn3</t>
  </si>
  <si>
    <t>Heraf RGK-varme</t>
  </si>
  <si>
    <t>Kvote-omkostning</t>
  </si>
  <si>
    <t>Udnyttet affaldsmængde</t>
  </si>
  <si>
    <t>Ikke-udnyttet affaldsmængde</t>
  </si>
  <si>
    <t>Indtægter total</t>
  </si>
  <si>
    <t>Omkostninger total</t>
  </si>
  <si>
    <t>Dækningsbidrag</t>
  </si>
  <si>
    <t>Mellemregninger for afgifter</t>
  </si>
  <si>
    <t>Energiproduktion ATL</t>
  </si>
  <si>
    <t>Forbrugt fossilt affald</t>
  </si>
  <si>
    <t>Forbrugt bioaffald</t>
  </si>
  <si>
    <t>Fossil elproduktion ATL</t>
  </si>
  <si>
    <t>Varmegrundlag ATL</t>
  </si>
  <si>
    <t>RGK-andel af energiproduktion</t>
  </si>
  <si>
    <t>Fossil varmeproduktion ATL,CO2</t>
  </si>
  <si>
    <t>Varmegrundlag CO2</t>
  </si>
  <si>
    <t>RGK-udnyttelse</t>
  </si>
  <si>
    <t>Styringsparametre</t>
  </si>
  <si>
    <t>procent</t>
  </si>
  <si>
    <t>Spidslastvarme</t>
  </si>
  <si>
    <t>FuelConsT</t>
  </si>
  <si>
    <t>Ovnkapaciteter</t>
  </si>
  <si>
    <t>Realiseret energi og mængde</t>
  </si>
  <si>
    <t>Kvote brændværdi jf. ENS</t>
  </si>
  <si>
    <t>tkr</t>
  </si>
  <si>
    <t>RGK ift. nominel</t>
  </si>
  <si>
    <t>Varmemængder</t>
  </si>
  <si>
    <t>RGK</t>
  </si>
  <si>
    <t>AFBILDNINGER</t>
  </si>
  <si>
    <t>MELLEMREGNINGER</t>
  </si>
  <si>
    <t>Affaldsforbrug Ovn3</t>
  </si>
  <si>
    <t>Nordic Sugar varme</t>
  </si>
  <si>
    <t>Affaldsforbrug Ovn2</t>
  </si>
  <si>
    <t>Ikke-udnyttet affald</t>
  </si>
  <si>
    <t>Udnyttet affald</t>
  </si>
  <si>
    <t>Brændselsmængder</t>
  </si>
  <si>
    <t>Kapacitetsudnyttelse</t>
  </si>
  <si>
    <t>Ovn3 tonnage</t>
  </si>
  <si>
    <t>Ovn2 tonnage</t>
  </si>
  <si>
    <t>Bortkøleanlæg varme</t>
  </si>
  <si>
    <t>SUM</t>
  </si>
  <si>
    <t>RGKudnyttelse</t>
  </si>
  <si>
    <t>$Q$5</t>
  </si>
  <si>
    <t>$Q$6</t>
  </si>
  <si>
    <t>$Q$7</t>
  </si>
  <si>
    <t>$Q$8</t>
  </si>
  <si>
    <t>$Q$9</t>
  </si>
  <si>
    <t>$Q$10</t>
  </si>
  <si>
    <t>$Q$11</t>
  </si>
  <si>
    <t>$Q$12</t>
  </si>
  <si>
    <t>$Q$13</t>
  </si>
  <si>
    <t>$Q$14</t>
  </si>
  <si>
    <t>$Q$15</t>
  </si>
  <si>
    <t>$Q$16</t>
  </si>
  <si>
    <t>$Q$17</t>
  </si>
  <si>
    <t>$Q$18</t>
  </si>
  <si>
    <t>$Q$19</t>
  </si>
  <si>
    <t>$Q$20</t>
  </si>
  <si>
    <t>$Q$21</t>
  </si>
  <si>
    <t>$Q$22</t>
  </si>
  <si>
    <t>$Q$23</t>
  </si>
  <si>
    <t>$Q$24</t>
  </si>
  <si>
    <t>$Q$25</t>
  </si>
  <si>
    <t>$Q$26</t>
  </si>
  <si>
    <t>$Q$27</t>
  </si>
  <si>
    <t>$Q$28</t>
  </si>
  <si>
    <t>$Q$29</t>
  </si>
  <si>
    <t>$Q$30</t>
  </si>
  <si>
    <t>$Q$31</t>
  </si>
  <si>
    <t>$Q$32</t>
  </si>
  <si>
    <t>$Q$33</t>
  </si>
  <si>
    <t>$Q$34</t>
  </si>
  <si>
    <t>$Q$35</t>
  </si>
  <si>
    <t>$Q$36</t>
  </si>
  <si>
    <t>RGK 10 %</t>
  </si>
  <si>
    <t>Created by Mogens Bech Laursen on 16-03-2022</t>
  </si>
  <si>
    <t>RGK 20 %</t>
  </si>
  <si>
    <t>RGK 30 %</t>
  </si>
  <si>
    <t>RGK 40 %</t>
  </si>
  <si>
    <t>RGK 50 %</t>
  </si>
  <si>
    <t>RGK 60 %</t>
  </si>
  <si>
    <t>RGK 70 %</t>
  </si>
  <si>
    <t>RGK 80 %</t>
  </si>
  <si>
    <t>RGK 90 %</t>
  </si>
  <si>
    <t>RGK 100 %</t>
  </si>
  <si>
    <t>Scenario Summary</t>
  </si>
  <si>
    <t>Changing Cells:</t>
  </si>
  <si>
    <t>Current Values:</t>
  </si>
  <si>
    <t>Result Cells:</t>
  </si>
  <si>
    <t>Notes:  Current Values column represents values of changing cells at</t>
  </si>
  <si>
    <t>time Scenario Summary Report was created.  Changing cells for each</t>
  </si>
  <si>
    <t>scenario are highlighted in gray.</t>
  </si>
  <si>
    <t>FJV-behov</t>
  </si>
  <si>
    <t>Affaldstonnage Fossil</t>
  </si>
  <si>
    <t>Affaldstonnage Biogen</t>
  </si>
  <si>
    <t>NordicSugar varme</t>
  </si>
  <si>
    <t>Værdi</t>
  </si>
  <si>
    <t>Nominelt</t>
  </si>
  <si>
    <t>sc1</t>
  </si>
  <si>
    <t>sc2</t>
  </si>
  <si>
    <t>sc3</t>
  </si>
  <si>
    <t>sc4</t>
  </si>
  <si>
    <t>sc5</t>
  </si>
  <si>
    <t>sc6</t>
  </si>
  <si>
    <t>sc7</t>
  </si>
  <si>
    <t>sc8</t>
  </si>
  <si>
    <t>sc9</t>
  </si>
  <si>
    <t>sc10</t>
  </si>
  <si>
    <t>sc11</t>
  </si>
  <si>
    <t>sc12</t>
  </si>
  <si>
    <t>sc13</t>
  </si>
  <si>
    <t>sc14</t>
  </si>
  <si>
    <t>sc15</t>
  </si>
  <si>
    <t>sc16</t>
  </si>
  <si>
    <t>sc17</t>
  </si>
  <si>
    <t>sc18</t>
  </si>
  <si>
    <t>sc19</t>
  </si>
  <si>
    <t>sc20</t>
  </si>
  <si>
    <t>Aktiv ?</t>
  </si>
  <si>
    <t xml:space="preserve"> RESULTATOMRÅDE</t>
  </si>
  <si>
    <t>Økonomi:</t>
  </si>
  <si>
    <t>Varmemængder:</t>
  </si>
  <si>
    <t>Brændselsmængder:</t>
  </si>
  <si>
    <t>Kapacitetsudnyttelse:</t>
  </si>
  <si>
    <t>Resultat-typer</t>
  </si>
  <si>
    <t>X-Y chart</t>
  </si>
  <si>
    <t>Titel:</t>
  </si>
  <si>
    <t>Modtagebetaling og RGK-rabat vs. RGK-udnyttelse</t>
  </si>
  <si>
    <t>Skalafaktor</t>
  </si>
  <si>
    <t xml:space="preserve"> INPUTOMRÅDE FOR SCENARIER</t>
  </si>
  <si>
    <t>Vælg resultat-type herunder</t>
  </si>
  <si>
    <t>Økonomiske nøgletal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</si>
</sst>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%"/>
    <numFmt numFmtId="165" formatCode="0.0"/>
    <numFmt numFmtId="166" formatCode="#,##0.0"/>
    <numFmt numFmtId="167" formatCode="#,##0,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2"/>
      <color indexed="9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11"/>
      <color indexed="18"/>
      <name val="Calibri"/>
      <family val="2"/>
      <scheme val="minor"/>
    </font>
    <font>
      <sz val="10"/>
      <color indexed="9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rgb="FFFFCC99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0"/>
        <bgColor indexed="24"/>
      </patternFill>
    </fill>
    <fill>
      <patternFill patternType="solid">
        <fgColor indexed="22"/>
        <bgColor indexed="24"/>
      </patternFill>
    </fill>
    <fill>
      <patternFill patternType="solid">
        <fgColor indexed="22"/>
        <bgColor indexed="7"/>
      </patternFill>
    </fill>
  </fills>
  <borders count="7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0" fontId="2" fillId="2" borderId="1" applyNumberFormat="0" applyAlignment="0" applyProtection="0"/>
    <xf numFmtId="0" fontId="6" fillId="6" borderId="0" applyNumberFormat="0" applyBorder="0" applyAlignment="0" applyProtection="0"/>
    <xf numFmtId="0" fontId="7" fillId="7" borderId="1" applyNumberFormat="0" applyAlignment="0" applyProtection="0"/>
  </cellStyleXfs>
  <cellXfs count="66">
    <xf numFmtId="0" fontId="0" fillId="0" borderId="0" xfId="0"/>
    <xf numFmtId="10" fontId="0" fillId="0" borderId="0" xfId="0" applyNumberFormat="1"/>
    <xf numFmtId="164" fontId="0" fillId="0" borderId="0" xfId="1" applyNumberFormat="1" applyFont="1"/>
    <xf numFmtId="164" fontId="0" fillId="0" borderId="0" xfId="0" applyNumberFormat="1"/>
    <xf numFmtId="164" fontId="2" fillId="2" borderId="1" xfId="2" applyNumberFormat="1"/>
    <xf numFmtId="0" fontId="3" fillId="0" borderId="0" xfId="0" applyFont="1"/>
    <xf numFmtId="0" fontId="3" fillId="0" borderId="0" xfId="0" applyFont="1" applyAlignment="1">
      <alignment horizontal="center"/>
    </xf>
    <xf numFmtId="0" fontId="0" fillId="0" borderId="0" xfId="0" applyAlignment="1">
      <alignment horizontal="left" indent="1"/>
    </xf>
    <xf numFmtId="0" fontId="0" fillId="0" borderId="0" xfId="0" applyAlignment="1">
      <alignment horizontal="left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left" indent="1"/>
    </xf>
    <xf numFmtId="0" fontId="0" fillId="4" borderId="0" xfId="0" applyFill="1"/>
    <xf numFmtId="0" fontId="3" fillId="4" borderId="0" xfId="0" applyFont="1" applyFill="1"/>
    <xf numFmtId="2" fontId="0" fillId="0" borderId="0" xfId="0" applyNumberFormat="1"/>
    <xf numFmtId="0" fontId="2" fillId="2" borderId="1" xfId="2"/>
    <xf numFmtId="165" fontId="2" fillId="2" borderId="1" xfId="2" applyNumberFormat="1"/>
    <xf numFmtId="3" fontId="0" fillId="0" borderId="0" xfId="0" applyNumberFormat="1"/>
    <xf numFmtId="166" fontId="0" fillId="0" borderId="0" xfId="0" applyNumberFormat="1"/>
    <xf numFmtId="0" fontId="0" fillId="0" borderId="0" xfId="0" applyFont="1" applyAlignment="1">
      <alignment horizontal="left" indent="1"/>
    </xf>
    <xf numFmtId="3" fontId="3" fillId="0" borderId="0" xfId="0" applyNumberFormat="1" applyFont="1" applyAlignment="1">
      <alignment horizontal="center"/>
    </xf>
    <xf numFmtId="3" fontId="0" fillId="0" borderId="0" xfId="0" applyNumberFormat="1" applyFont="1"/>
    <xf numFmtId="9" fontId="0" fillId="0" borderId="0" xfId="0" applyNumberFormat="1"/>
    <xf numFmtId="167" fontId="0" fillId="0" borderId="0" xfId="0" applyNumberFormat="1" applyFont="1"/>
    <xf numFmtId="167" fontId="0" fillId="0" borderId="0" xfId="0" applyNumberFormat="1"/>
    <xf numFmtId="0" fontId="3" fillId="4" borderId="0" xfId="0" applyFont="1" applyFill="1" applyAlignment="1">
      <alignment horizontal="left" indent="1"/>
    </xf>
    <xf numFmtId="0" fontId="3" fillId="3" borderId="0" xfId="0" applyFont="1" applyFill="1" applyAlignment="1">
      <alignment horizontal="center"/>
    </xf>
    <xf numFmtId="0" fontId="3" fillId="4" borderId="0" xfId="0" applyFont="1" applyFill="1" applyAlignment="1">
      <alignment horizontal="center"/>
    </xf>
    <xf numFmtId="0" fontId="3" fillId="8" borderId="0" xfId="0" applyFont="1" applyFill="1" applyAlignment="1">
      <alignment horizontal="center"/>
    </xf>
    <xf numFmtId="9" fontId="0" fillId="0" borderId="0" xfId="1" applyFont="1"/>
    <xf numFmtId="0" fontId="0" fillId="9" borderId="0" xfId="0" applyFill="1"/>
    <xf numFmtId="0" fontId="0" fillId="0" borderId="0" xfId="0" applyFill="1" applyBorder="1" applyAlignment="1"/>
    <xf numFmtId="9" fontId="0" fillId="0" borderId="0" xfId="0" applyNumberFormat="1" applyFill="1" applyBorder="1" applyAlignment="1"/>
    <xf numFmtId="167" fontId="0" fillId="0" borderId="0" xfId="0" applyNumberFormat="1" applyFill="1" applyBorder="1" applyAlignment="1"/>
    <xf numFmtId="3" fontId="0" fillId="0" borderId="0" xfId="0" applyNumberFormat="1" applyFill="1" applyBorder="1" applyAlignment="1"/>
    <xf numFmtId="3" fontId="0" fillId="0" borderId="3" xfId="0" applyNumberFormat="1" applyFill="1" applyBorder="1" applyAlignment="1"/>
    <xf numFmtId="0" fontId="8" fillId="10" borderId="4" xfId="0" applyFont="1" applyFill="1" applyBorder="1" applyAlignment="1">
      <alignment horizontal="left"/>
    </xf>
    <xf numFmtId="0" fontId="8" fillId="10" borderId="2" xfId="0" applyFont="1" applyFill="1" applyBorder="1" applyAlignment="1">
      <alignment horizontal="left"/>
    </xf>
    <xf numFmtId="0" fontId="0" fillId="0" borderId="5" xfId="0" applyFill="1" applyBorder="1" applyAlignment="1"/>
    <xf numFmtId="0" fontId="9" fillId="11" borderId="0" xfId="0" applyFont="1" applyFill="1" applyBorder="1" applyAlignment="1">
      <alignment horizontal="left"/>
    </xf>
    <xf numFmtId="0" fontId="10" fillId="11" borderId="5" xfId="0" applyFont="1" applyFill="1" applyBorder="1" applyAlignment="1">
      <alignment horizontal="left"/>
    </xf>
    <xf numFmtId="0" fontId="9" fillId="11" borderId="3" xfId="0" applyFont="1" applyFill="1" applyBorder="1" applyAlignment="1">
      <alignment horizontal="left"/>
    </xf>
    <xf numFmtId="0" fontId="11" fillId="10" borderId="2" xfId="0" applyFont="1" applyFill="1" applyBorder="1" applyAlignment="1">
      <alignment horizontal="right"/>
    </xf>
    <xf numFmtId="0" fontId="11" fillId="10" borderId="4" xfId="0" applyFont="1" applyFill="1" applyBorder="1" applyAlignment="1">
      <alignment horizontal="right"/>
    </xf>
    <xf numFmtId="9" fontId="0" fillId="12" borderId="0" xfId="0" applyNumberFormat="1" applyFill="1" applyBorder="1" applyAlignment="1"/>
    <xf numFmtId="0" fontId="12" fillId="0" borderId="0" xfId="0" applyFont="1" applyFill="1" applyBorder="1" applyAlignment="1">
      <alignment vertical="top" wrapText="1"/>
    </xf>
    <xf numFmtId="3" fontId="13" fillId="0" borderId="3" xfId="3" applyNumberFormat="1" applyFont="1" applyFill="1" applyBorder="1" applyAlignment="1"/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3" borderId="0" xfId="0" applyFill="1"/>
    <xf numFmtId="167" fontId="15" fillId="0" borderId="0" xfId="0" applyNumberFormat="1" applyFont="1"/>
    <xf numFmtId="3" fontId="15" fillId="0" borderId="0" xfId="0" applyNumberFormat="1" applyFont="1"/>
    <xf numFmtId="0" fontId="0" fillId="0" borderId="0" xfId="0" applyFont="1" applyBorder="1" applyAlignment="1">
      <alignment horizontal="center"/>
    </xf>
    <xf numFmtId="0" fontId="3" fillId="0" borderId="6" xfId="0" applyFont="1" applyFill="1" applyBorder="1" applyAlignment="1">
      <alignment horizontal="right" indent="1"/>
    </xf>
    <xf numFmtId="0" fontId="7" fillId="0" borderId="6" xfId="4" applyFill="1" applyBorder="1"/>
    <xf numFmtId="3" fontId="7" fillId="0" borderId="6" xfId="4" applyNumberFormat="1" applyFill="1" applyBorder="1"/>
    <xf numFmtId="0" fontId="0" fillId="5" borderId="0" xfId="0" applyFill="1"/>
    <xf numFmtId="0" fontId="3" fillId="5" borderId="5" xfId="0" applyFont="1" applyFill="1" applyBorder="1"/>
    <xf numFmtId="0" fontId="0" fillId="5" borderId="5" xfId="0" applyFill="1" applyBorder="1"/>
    <xf numFmtId="3" fontId="3" fillId="5" borderId="5" xfId="0" applyNumberFormat="1" applyFont="1" applyFill="1" applyBorder="1" applyAlignment="1">
      <alignment horizontal="center"/>
    </xf>
    <xf numFmtId="0" fontId="3" fillId="5" borderId="5" xfId="0" applyFont="1" applyFill="1" applyBorder="1" applyAlignment="1">
      <alignment horizontal="center"/>
    </xf>
    <xf numFmtId="0" fontId="0" fillId="0" borderId="0" xfId="0" applyFill="1"/>
    <xf numFmtId="0" fontId="15" fillId="0" borderId="0" xfId="0" applyFont="1"/>
    <xf numFmtId="0" fontId="16" fillId="0" borderId="0" xfId="0" applyFont="1"/>
    <xf numFmtId="0" fontId="13" fillId="0" borderId="0" xfId="0" applyFont="1"/>
    <xf numFmtId="0" fontId="0" fillId="0" borderId="4" xfId="0" applyBorder="1"/>
    <xf numFmtId="0" fontId="17" fillId="0" borderId="0" xfId="0" applyFont="1" applyFill="1"/>
  </cellXfs>
  <cellStyles count="5">
    <cellStyle name="Bad" xfId="3" builtinId="27"/>
    <cellStyle name="Calculation" xfId="2" builtinId="22"/>
    <cellStyle name="Input" xfId="4" builtinId="20"/>
    <cellStyle name="Normal" xfId="0" builtinId="0"/>
    <cellStyle name="Percent" xfId="1" builtinId="5"/>
  </cellStyles>
  <dxfs count="30"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alignment horizontal="left" vertical="bottom" textRotation="0" wrapText="0" indent="1" justifyLastLine="0" shrinkToFit="0" readingOrder="0"/>
    </dxf>
    <dxf>
      <alignment horizontal="left" vertical="bottom" textRotation="0" wrapText="0" indent="1" justifyLastLine="0" shrinkToFit="0" readingOrder="0"/>
    </dxf>
  </dxfs>
  <tableStyles count="0" defaultTableStyle="TableStyleMedium2" defaultPivotStyle="PivotStyleLight16"/>
  <colors>
    <mruColors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Scenarier!$K$14</c:f>
          <c:strCache>
            <c:ptCount val="1"/>
            <c:pt idx="0">
              <c:v>Økonomiske nøgletal</c:v>
            </c:pt>
          </c:strCache>
        </c:strRef>
      </c:tx>
      <c:layout>
        <c:manualLayout>
          <c:xMode val="edge"/>
          <c:yMode val="edge"/>
          <c:x val="0.38000259259259261"/>
          <c:y val="2.645833333333333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4420592592592593"/>
          <c:y val="0.1265111111111111"/>
          <c:w val="0.52309806742313769"/>
          <c:h val="0.78436604938271604"/>
        </c:manualLayout>
      </c:layout>
      <c:lineChart>
        <c:grouping val="standard"/>
        <c:varyColors val="0"/>
        <c:ser>
          <c:idx val="0"/>
          <c:order val="0"/>
          <c:tx>
            <c:strRef>
              <c:f>Scenarier!$C$54</c:f>
              <c:strCache>
                <c:ptCount val="1"/>
                <c:pt idx="0">
                  <c:v>Dækningsbidrag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Scenarier!$E$6:$Y$6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Scenarier!$E$54:$Y$54</c:f>
              <c:numCache>
                <c:formatCode>#,##0</c:formatCode>
                <c:ptCount val="21"/>
                <c:pt idx="0">
                  <c:v>8081.0686816686157</c:v>
                </c:pt>
                <c:pt idx="1">
                  <c:v>8329.056190743413</c:v>
                </c:pt>
                <c:pt idx="2">
                  <c:v>8301.1435517990449</c:v>
                </c:pt>
                <c:pt idx="3">
                  <c:v>8273.7919741592195</c:v>
                </c:pt>
                <c:pt idx="4">
                  <c:v>8246.984455966227</c:v>
                </c:pt>
                <c:pt idx="5">
                  <c:v>8220.7046754366638</c:v>
                </c:pt>
                <c:pt idx="6">
                  <c:v>8194.9369571943898</c:v>
                </c:pt>
                <c:pt idx="7">
                  <c:v>8169.6662405838888</c:v>
                </c:pt>
                <c:pt idx="8">
                  <c:v>8345.471851640461</c:v>
                </c:pt>
                <c:pt idx="9">
                  <c:v>8321.1522677270732</c:v>
                </c:pt>
                <c:pt idx="10">
                  <c:v>8297.2879018878102</c:v>
                </c:pt>
                <c:pt idx="11">
                  <c:v>8273.8658705922808</c:v>
                </c:pt>
                <c:pt idx="12">
                  <c:v>8250.8737719373821</c:v>
                </c:pt>
                <c:pt idx="13">
                  <c:v>8228.2996633497696</c:v>
                </c:pt>
                <c:pt idx="14">
                  <c:v>8206.1320405156621</c:v>
                </c:pt>
                <c:pt idx="15">
                  <c:v>8184.3598174599611</c:v>
                </c:pt>
                <c:pt idx="16">
                  <c:v>8162.9723077021736</c:v>
                </c:pt>
                <c:pt idx="17">
                  <c:v>8141.9592064218168</c:v>
                </c:pt>
                <c:pt idx="18">
                  <c:v>8121.3105735708205</c:v>
                </c:pt>
                <c:pt idx="19">
                  <c:v>8101.0168178747244</c:v>
                </c:pt>
                <c:pt idx="20">
                  <c:v>8081.0686816686157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F7-42B2-B353-28C953E21D03}"/>
            </c:ext>
          </c:extLst>
        </c:ser>
        <c:ser>
          <c:idx val="1"/>
          <c:order val="1"/>
          <c:tx>
            <c:strRef>
              <c:f>Scenarier!$C$55</c:f>
              <c:strCache>
                <c:ptCount val="1"/>
                <c:pt idx="0">
                  <c:v>Indtægter total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Scenarier!$E$6:$Y$6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Scenarier!$E$55:$Y$55</c:f>
              <c:numCache>
                <c:formatCode>#,##0</c:formatCode>
                <c:ptCount val="21"/>
                <c:pt idx="0">
                  <c:v>15652.263443326186</c:v>
                </c:pt>
                <c:pt idx="1">
                  <c:v>16181.783291652784</c:v>
                </c:pt>
                <c:pt idx="2">
                  <c:v>16136.225467580172</c:v>
                </c:pt>
                <c:pt idx="3">
                  <c:v>16091.597395019249</c:v>
                </c:pt>
                <c:pt idx="4">
                  <c:v>16047.870899681777</c:v>
                </c:pt>
                <c:pt idx="5">
                  <c:v>16005.018934251055</c:v>
                </c:pt>
                <c:pt idx="6">
                  <c:v>15963.01552259124</c:v>
                </c:pt>
                <c:pt idx="7">
                  <c:v>15921.835707238479</c:v>
                </c:pt>
                <c:pt idx="8">
                  <c:v>16082.049301761796</c:v>
                </c:pt>
                <c:pt idx="9">
                  <c:v>16042.445636921975</c:v>
                </c:pt>
                <c:pt idx="10">
                  <c:v>16003.596327602914</c:v>
                </c:pt>
                <c:pt idx="11">
                  <c:v>15965.480024120061</c:v>
                </c:pt>
                <c:pt idx="12">
                  <c:v>15928.076174907916</c:v>
                </c:pt>
                <c:pt idx="13">
                  <c:v>15891.364989570069</c:v>
                </c:pt>
                <c:pt idx="14">
                  <c:v>15855.327403963192</c:v>
                </c:pt>
                <c:pt idx="15">
                  <c:v>15819.945047185534</c:v>
                </c:pt>
                <c:pt idx="16">
                  <c:v>15785.200210349813</c:v>
                </c:pt>
                <c:pt idx="17">
                  <c:v>15751.075817029016</c:v>
                </c:pt>
                <c:pt idx="18">
                  <c:v>15717.55539527142</c:v>
                </c:pt>
                <c:pt idx="19">
                  <c:v>15684.623051088518</c:v>
                </c:pt>
                <c:pt idx="20">
                  <c:v>15652.263443326186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6F7-42B2-B353-28C953E21D03}"/>
            </c:ext>
          </c:extLst>
        </c:ser>
        <c:ser>
          <c:idx val="2"/>
          <c:order val="2"/>
          <c:tx>
            <c:strRef>
              <c:f>Scenarier!$C$56</c:f>
              <c:strCache>
                <c:ptCount val="1"/>
                <c:pt idx="0">
                  <c:v>Omkostninger total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Scenarier!$E$6:$Y$6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Scenarier!$E$56:$Y$56</c:f>
              <c:numCache>
                <c:formatCode>#,##0</c:formatCode>
                <c:ptCount val="21"/>
                <c:pt idx="0">
                  <c:v>-7571.1947616575708</c:v>
                </c:pt>
                <c:pt idx="1">
                  <c:v>-7852.7271009093702</c:v>
                </c:pt>
                <c:pt idx="2">
                  <c:v>-7835.0819157811293</c:v>
                </c:pt>
                <c:pt idx="3">
                  <c:v>-7817.8054208600297</c:v>
                </c:pt>
                <c:pt idx="4">
                  <c:v>-7800.8864437155489</c:v>
                </c:pt>
                <c:pt idx="5">
                  <c:v>-7784.314258814391</c:v>
                </c:pt>
                <c:pt idx="6">
                  <c:v>-7768.0785653968505</c:v>
                </c:pt>
                <c:pt idx="7">
                  <c:v>-7752.1694666545891</c:v>
                </c:pt>
                <c:pt idx="8">
                  <c:v>-7736.5774501213346</c:v>
                </c:pt>
                <c:pt idx="9">
                  <c:v>-7721.2933691949038</c:v>
                </c:pt>
                <c:pt idx="10">
                  <c:v>-7706.3084257151031</c:v>
                </c:pt>
                <c:pt idx="11">
                  <c:v>-7691.6141535277802</c:v>
                </c:pt>
                <c:pt idx="12">
                  <c:v>-7677.2024029705326</c:v>
                </c:pt>
                <c:pt idx="13">
                  <c:v>-7663.0653262203014</c:v>
                </c:pt>
                <c:pt idx="14">
                  <c:v>-7649.1953634475321</c:v>
                </c:pt>
                <c:pt idx="15">
                  <c:v>-7635.5852297255733</c:v>
                </c:pt>
                <c:pt idx="16">
                  <c:v>-7622.2279026476399</c:v>
                </c:pt>
                <c:pt idx="17">
                  <c:v>-7609.1166106071996</c:v>
                </c:pt>
                <c:pt idx="18">
                  <c:v>-7596.2448217006004</c:v>
                </c:pt>
                <c:pt idx="19">
                  <c:v>-7583.6062332137935</c:v>
                </c:pt>
                <c:pt idx="20">
                  <c:v>-7571.1947616575708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6F7-42B2-B353-28C953E21D03}"/>
            </c:ext>
          </c:extLst>
        </c:ser>
        <c:ser>
          <c:idx val="3"/>
          <c:order val="3"/>
          <c:tx>
            <c:strRef>
              <c:f>Scenarier!$C$57</c:f>
              <c:strCache>
                <c:ptCount val="1"/>
                <c:pt idx="0">
                  <c:v>RGK-rabat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Scenarier!$E$6:$Y$6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Scenarier!$E$57:$Y$57</c:f>
              <c:numCache>
                <c:formatCode>#,##0</c:formatCode>
                <c:ptCount val="21"/>
                <c:pt idx="0">
                  <c:v>200.59380181097563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200.59380181097563</c:v>
                </c:pt>
                <c:pt idx="9">
                  <c:v>200.59380181097563</c:v>
                </c:pt>
                <c:pt idx="10">
                  <c:v>200.59380181097563</c:v>
                </c:pt>
                <c:pt idx="11">
                  <c:v>200.59380181097563</c:v>
                </c:pt>
                <c:pt idx="12">
                  <c:v>200.59380181097563</c:v>
                </c:pt>
                <c:pt idx="13">
                  <c:v>200.59380181097563</c:v>
                </c:pt>
                <c:pt idx="14">
                  <c:v>200.59380181097563</c:v>
                </c:pt>
                <c:pt idx="15">
                  <c:v>200.59380181097563</c:v>
                </c:pt>
                <c:pt idx="16">
                  <c:v>200.59380181097563</c:v>
                </c:pt>
                <c:pt idx="17">
                  <c:v>200.59380181097563</c:v>
                </c:pt>
                <c:pt idx="18">
                  <c:v>200.59380181097563</c:v>
                </c:pt>
                <c:pt idx="19">
                  <c:v>200.59380181097563</c:v>
                </c:pt>
                <c:pt idx="20">
                  <c:v>200.59380181097563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96F7-42B2-B353-28C953E21D03}"/>
            </c:ext>
          </c:extLst>
        </c:ser>
        <c:ser>
          <c:idx val="4"/>
          <c:order val="4"/>
          <c:tx>
            <c:strRef>
              <c:f>Scenarier!$C$58</c:f>
              <c:strCache>
                <c:ptCount val="1"/>
                <c:pt idx="0">
                  <c:v>Modtagebetaling affald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Scenarier!$E$6:$Y$6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Scenarier!$E$58:$Y$58</c:f>
              <c:numCache>
                <c:formatCode>#,##0</c:formatCode>
                <c:ptCount val="21"/>
                <c:pt idx="0">
                  <c:v>4040.3371902956987</c:v>
                </c:pt>
                <c:pt idx="1">
                  <c:v>4770.4508404332728</c:v>
                </c:pt>
                <c:pt idx="2">
                  <c:v>4724.8930163606619</c:v>
                </c:pt>
                <c:pt idx="3">
                  <c:v>4680.2649437997379</c:v>
                </c:pt>
                <c:pt idx="4">
                  <c:v>4636.5384484622655</c:v>
                </c:pt>
                <c:pt idx="5">
                  <c:v>4593.6864830315435</c:v>
                </c:pt>
                <c:pt idx="6">
                  <c:v>4551.6830713717272</c:v>
                </c:pt>
                <c:pt idx="7">
                  <c:v>4510.5032560189666</c:v>
                </c:pt>
                <c:pt idx="8">
                  <c:v>4470.1230487313078</c:v>
                </c:pt>
                <c:pt idx="9">
                  <c:v>4430.5193838914875</c:v>
                </c:pt>
                <c:pt idx="10">
                  <c:v>4391.6700745724256</c:v>
                </c:pt>
                <c:pt idx="11">
                  <c:v>4353.5537710895724</c:v>
                </c:pt>
                <c:pt idx="12">
                  <c:v>4316.1499218774279</c:v>
                </c:pt>
                <c:pt idx="13">
                  <c:v>4279.4387365395824</c:v>
                </c:pt>
                <c:pt idx="14">
                  <c:v>4243.4011509327056</c:v>
                </c:pt>
                <c:pt idx="15">
                  <c:v>4208.0187941550466</c:v>
                </c:pt>
                <c:pt idx="16">
                  <c:v>4173.2739573193248</c:v>
                </c:pt>
                <c:pt idx="17">
                  <c:v>4139.1495639985287</c:v>
                </c:pt>
                <c:pt idx="18">
                  <c:v>4105.6291422409313</c:v>
                </c:pt>
                <c:pt idx="19">
                  <c:v>4072.6967980580289</c:v>
                </c:pt>
                <c:pt idx="20">
                  <c:v>4040.3371902956987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96F7-42B2-B353-28C953E21D03}"/>
            </c:ext>
          </c:extLst>
        </c:ser>
        <c:ser>
          <c:idx val="5"/>
          <c:order val="5"/>
          <c:tx>
            <c:strRef>
              <c:f>Scenarier!$C$59</c:f>
              <c:strCache>
                <c:ptCount val="1"/>
                <c:pt idx="0">
                  <c:v>Varmesalg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Scenarier!$E$6:$Y$6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Scenarier!$E$59:$Y$59</c:f>
              <c:numCache>
                <c:formatCode>#,##0</c:formatCode>
                <c:ptCount val="21"/>
                <c:pt idx="0">
                  <c:v>7464</c:v>
                </c:pt>
                <c:pt idx="1">
                  <c:v>7464</c:v>
                </c:pt>
                <c:pt idx="2">
                  <c:v>7464</c:v>
                </c:pt>
                <c:pt idx="3">
                  <c:v>7464</c:v>
                </c:pt>
                <c:pt idx="4">
                  <c:v>7464</c:v>
                </c:pt>
                <c:pt idx="5">
                  <c:v>7464</c:v>
                </c:pt>
                <c:pt idx="6">
                  <c:v>7464</c:v>
                </c:pt>
                <c:pt idx="7">
                  <c:v>7464</c:v>
                </c:pt>
                <c:pt idx="8">
                  <c:v>7464</c:v>
                </c:pt>
                <c:pt idx="9">
                  <c:v>7464</c:v>
                </c:pt>
                <c:pt idx="10">
                  <c:v>7464</c:v>
                </c:pt>
                <c:pt idx="11">
                  <c:v>7464</c:v>
                </c:pt>
                <c:pt idx="12">
                  <c:v>7464</c:v>
                </c:pt>
                <c:pt idx="13">
                  <c:v>7464</c:v>
                </c:pt>
                <c:pt idx="14">
                  <c:v>7464</c:v>
                </c:pt>
                <c:pt idx="15">
                  <c:v>7464</c:v>
                </c:pt>
                <c:pt idx="16">
                  <c:v>7464</c:v>
                </c:pt>
                <c:pt idx="17">
                  <c:v>7464</c:v>
                </c:pt>
                <c:pt idx="18">
                  <c:v>7464</c:v>
                </c:pt>
                <c:pt idx="19">
                  <c:v>7464</c:v>
                </c:pt>
                <c:pt idx="20">
                  <c:v>7464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96F7-42B2-B353-28C953E21D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12614768"/>
        <c:axId val="1112618096"/>
      </c:lineChart>
      <c:catAx>
        <c:axId val="1112614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12618096"/>
        <c:crosses val="autoZero"/>
        <c:auto val="1"/>
        <c:lblAlgn val="ctr"/>
        <c:lblOffset val="100"/>
        <c:noMultiLvlLbl val="0"/>
      </c:catAx>
      <c:valAx>
        <c:axId val="1112618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126147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9245915239827893"/>
          <c:y val="0.13756265432098763"/>
          <c:w val="0.30586908860044931"/>
          <c:h val="0.439601851851851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 sz="1000"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Scenarier!$D$14</c:f>
          <c:strCache>
            <c:ptCount val="1"/>
            <c:pt idx="0">
              <c:v>Modtagebetaling og RGK-rabat vs. RGK-udnyttelse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9.1289197530864202E-2"/>
          <c:y val="0.16400868055555556"/>
          <c:w val="0.62724104938271596"/>
          <c:h val="0.72515486111111116"/>
        </c:manualLayout>
      </c:layout>
      <c:scatterChart>
        <c:scatterStyle val="lineMarker"/>
        <c:varyColors val="0"/>
        <c:ser>
          <c:idx val="0"/>
          <c:order val="0"/>
          <c:tx>
            <c:strRef>
              <c:f>Scenarier!$C$77</c:f>
              <c:strCache>
                <c:ptCount val="1"/>
                <c:pt idx="0">
                  <c:v>RGK-rabat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19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1905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E564-4A1A-BA54-14E76CACE87F}"/>
              </c:ext>
            </c:extLst>
          </c:dPt>
          <c:xVal>
            <c:numRef>
              <c:f>Scenarier!$F$76:$Y$76</c:f>
              <c:numCache>
                <c:formatCode>0%</c:formatCode>
                <c:ptCount val="20"/>
                <c:pt idx="0">
                  <c:v>0.1</c:v>
                </c:pt>
                <c:pt idx="1">
                  <c:v>0.15</c:v>
                </c:pt>
                <c:pt idx="2">
                  <c:v>0.2</c:v>
                </c:pt>
                <c:pt idx="3">
                  <c:v>0.25</c:v>
                </c:pt>
                <c:pt idx="4">
                  <c:v>0.3</c:v>
                </c:pt>
                <c:pt idx="5">
                  <c:v>0.35</c:v>
                </c:pt>
                <c:pt idx="6">
                  <c:v>0.4</c:v>
                </c:pt>
                <c:pt idx="7">
                  <c:v>0.45</c:v>
                </c:pt>
                <c:pt idx="8">
                  <c:v>0.5</c:v>
                </c:pt>
                <c:pt idx="9">
                  <c:v>0.55000000000000004</c:v>
                </c:pt>
                <c:pt idx="10">
                  <c:v>0.6</c:v>
                </c:pt>
                <c:pt idx="11">
                  <c:v>0.65</c:v>
                </c:pt>
                <c:pt idx="12">
                  <c:v>0.7</c:v>
                </c:pt>
                <c:pt idx="13">
                  <c:v>0.75</c:v>
                </c:pt>
                <c:pt idx="14">
                  <c:v>0.8</c:v>
                </c:pt>
                <c:pt idx="15">
                  <c:v>0.85</c:v>
                </c:pt>
                <c:pt idx="16">
                  <c:v>0.9</c:v>
                </c:pt>
                <c:pt idx="17">
                  <c:v>0.95</c:v>
                </c:pt>
                <c:pt idx="18">
                  <c:v>1</c:v>
                </c:pt>
                <c:pt idx="19">
                  <c:v>0</c:v>
                </c:pt>
              </c:numCache>
            </c:numRef>
          </c:xVal>
          <c:yVal>
            <c:numRef>
              <c:f>Scenarier!$F$77:$Y$77</c:f>
              <c:numCache>
                <c:formatCode>#,##0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200.59380181097563</c:v>
                </c:pt>
                <c:pt idx="8">
                  <c:v>200.59380181097563</c:v>
                </c:pt>
                <c:pt idx="9">
                  <c:v>200.59380181097563</c:v>
                </c:pt>
                <c:pt idx="10">
                  <c:v>200.59380181097563</c:v>
                </c:pt>
                <c:pt idx="11">
                  <c:v>200.59380181097563</c:v>
                </c:pt>
                <c:pt idx="12">
                  <c:v>200.59380181097563</c:v>
                </c:pt>
                <c:pt idx="13">
                  <c:v>200.59380181097563</c:v>
                </c:pt>
                <c:pt idx="14">
                  <c:v>200.59380181097563</c:v>
                </c:pt>
                <c:pt idx="15">
                  <c:v>200.59380181097563</c:v>
                </c:pt>
                <c:pt idx="16">
                  <c:v>200.59380181097563</c:v>
                </c:pt>
                <c:pt idx="17">
                  <c:v>200.59380181097563</c:v>
                </c:pt>
                <c:pt idx="18">
                  <c:v>200.59380181097563</c:v>
                </c:pt>
                <c:pt idx="19">
                  <c:v>200.59380181097563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564-4A1A-BA54-14E76CACE87F}"/>
            </c:ext>
          </c:extLst>
        </c:ser>
        <c:ser>
          <c:idx val="1"/>
          <c:order val="1"/>
          <c:tx>
            <c:strRef>
              <c:f>Scenarier!$C$78</c:f>
              <c:strCache>
                <c:ptCount val="1"/>
                <c:pt idx="0">
                  <c:v>Modtagebetaling affald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19"/>
            <c:marker>
              <c:symbol val="circle"/>
              <c:size val="5"/>
              <c:spPr>
                <a:solidFill>
                  <a:schemeClr val="accent2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1905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E564-4A1A-BA54-14E76CACE87F}"/>
              </c:ext>
            </c:extLst>
          </c:dPt>
          <c:xVal>
            <c:numRef>
              <c:f>Scenarier!$F$76:$Y$76</c:f>
              <c:numCache>
                <c:formatCode>0%</c:formatCode>
                <c:ptCount val="20"/>
                <c:pt idx="0">
                  <c:v>0.1</c:v>
                </c:pt>
                <c:pt idx="1">
                  <c:v>0.15</c:v>
                </c:pt>
                <c:pt idx="2">
                  <c:v>0.2</c:v>
                </c:pt>
                <c:pt idx="3">
                  <c:v>0.25</c:v>
                </c:pt>
                <c:pt idx="4">
                  <c:v>0.3</c:v>
                </c:pt>
                <c:pt idx="5">
                  <c:v>0.35</c:v>
                </c:pt>
                <c:pt idx="6">
                  <c:v>0.4</c:v>
                </c:pt>
                <c:pt idx="7">
                  <c:v>0.45</c:v>
                </c:pt>
                <c:pt idx="8">
                  <c:v>0.5</c:v>
                </c:pt>
                <c:pt idx="9">
                  <c:v>0.55000000000000004</c:v>
                </c:pt>
                <c:pt idx="10">
                  <c:v>0.6</c:v>
                </c:pt>
                <c:pt idx="11">
                  <c:v>0.65</c:v>
                </c:pt>
                <c:pt idx="12">
                  <c:v>0.7</c:v>
                </c:pt>
                <c:pt idx="13">
                  <c:v>0.75</c:v>
                </c:pt>
                <c:pt idx="14">
                  <c:v>0.8</c:v>
                </c:pt>
                <c:pt idx="15">
                  <c:v>0.85</c:v>
                </c:pt>
                <c:pt idx="16">
                  <c:v>0.9</c:v>
                </c:pt>
                <c:pt idx="17">
                  <c:v>0.95</c:v>
                </c:pt>
                <c:pt idx="18">
                  <c:v>1</c:v>
                </c:pt>
                <c:pt idx="19">
                  <c:v>0</c:v>
                </c:pt>
              </c:numCache>
            </c:numRef>
          </c:xVal>
          <c:yVal>
            <c:numRef>
              <c:f>Scenarier!$F$78:$Y$78</c:f>
              <c:numCache>
                <c:formatCode>#,##0</c:formatCode>
                <c:ptCount val="20"/>
                <c:pt idx="0">
                  <c:v>4770.4508404332728</c:v>
                </c:pt>
                <c:pt idx="1">
                  <c:v>4724.8930163606619</c:v>
                </c:pt>
                <c:pt idx="2">
                  <c:v>4680.2649437997379</c:v>
                </c:pt>
                <c:pt idx="3">
                  <c:v>4636.5384484622655</c:v>
                </c:pt>
                <c:pt idx="4">
                  <c:v>4593.6864830315435</c:v>
                </c:pt>
                <c:pt idx="5">
                  <c:v>4551.6830713717272</c:v>
                </c:pt>
                <c:pt idx="6">
                  <c:v>4510.5032560189666</c:v>
                </c:pt>
                <c:pt idx="7">
                  <c:v>4470.1230487313078</c:v>
                </c:pt>
                <c:pt idx="8">
                  <c:v>4430.5193838914875</c:v>
                </c:pt>
                <c:pt idx="9">
                  <c:v>4391.6700745724256</c:v>
                </c:pt>
                <c:pt idx="10">
                  <c:v>4353.5537710895724</c:v>
                </c:pt>
                <c:pt idx="11">
                  <c:v>4316.1499218774279</c:v>
                </c:pt>
                <c:pt idx="12">
                  <c:v>4279.4387365395824</c:v>
                </c:pt>
                <c:pt idx="13">
                  <c:v>4243.4011509327056</c:v>
                </c:pt>
                <c:pt idx="14">
                  <c:v>4208.0187941550466</c:v>
                </c:pt>
                <c:pt idx="15">
                  <c:v>4173.2739573193248</c:v>
                </c:pt>
                <c:pt idx="16">
                  <c:v>4139.1495639985287</c:v>
                </c:pt>
                <c:pt idx="17">
                  <c:v>4105.6291422409313</c:v>
                </c:pt>
                <c:pt idx="18">
                  <c:v>4072.6967980580289</c:v>
                </c:pt>
                <c:pt idx="19">
                  <c:v>4040.3371902956987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564-4A1A-BA54-14E76CACE8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0910240"/>
        <c:axId val="670910656"/>
      </c:scatterChart>
      <c:valAx>
        <c:axId val="670910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670910656"/>
        <c:crosses val="autoZero"/>
        <c:crossBetween val="midCat"/>
      </c:valAx>
      <c:valAx>
        <c:axId val="67091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6709102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4068780864197525"/>
          <c:y val="0.18627098765432099"/>
          <c:w val="0.25491234567901233"/>
          <c:h val="0.1465339506172839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Scenarier!$T$14</c:f>
          <c:strCache>
            <c:ptCount val="1"/>
            <c:pt idx="0">
              <c:v>Varmemængder</c:v>
            </c:pt>
          </c:strCache>
        </c:strRef>
      </c:tx>
      <c:layout>
        <c:manualLayout>
          <c:xMode val="edge"/>
          <c:yMode val="edge"/>
          <c:x val="0.38000259259259261"/>
          <c:y val="2.645833333333333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0500847144930994"/>
          <c:y val="0.1265111111111111"/>
          <c:w val="0.62697150818340919"/>
          <c:h val="0.7255697530864198"/>
        </c:manualLayout>
      </c:layout>
      <c:lineChart>
        <c:grouping val="standard"/>
        <c:varyColors val="0"/>
        <c:ser>
          <c:idx val="0"/>
          <c:order val="0"/>
          <c:tx>
            <c:strRef>
              <c:f>Scenarier!$C$59</c:f>
              <c:strCache>
                <c:ptCount val="1"/>
                <c:pt idx="0">
                  <c:v>Varmesalg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Scenarier!$E$6:$Y$6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Scenarier!$E$59:$Y$59</c:f>
              <c:numCache>
                <c:formatCode>#,##0</c:formatCode>
                <c:ptCount val="21"/>
                <c:pt idx="0">
                  <c:v>7464</c:v>
                </c:pt>
                <c:pt idx="1">
                  <c:v>7464</c:v>
                </c:pt>
                <c:pt idx="2">
                  <c:v>7464</c:v>
                </c:pt>
                <c:pt idx="3">
                  <c:v>7464</c:v>
                </c:pt>
                <c:pt idx="4">
                  <c:v>7464</c:v>
                </c:pt>
                <c:pt idx="5">
                  <c:v>7464</c:v>
                </c:pt>
                <c:pt idx="6">
                  <c:v>7464</c:v>
                </c:pt>
                <c:pt idx="7">
                  <c:v>7464</c:v>
                </c:pt>
                <c:pt idx="8">
                  <c:v>7464</c:v>
                </c:pt>
                <c:pt idx="9">
                  <c:v>7464</c:v>
                </c:pt>
                <c:pt idx="10">
                  <c:v>7464</c:v>
                </c:pt>
                <c:pt idx="11">
                  <c:v>7464</c:v>
                </c:pt>
                <c:pt idx="12">
                  <c:v>7464</c:v>
                </c:pt>
                <c:pt idx="13">
                  <c:v>7464</c:v>
                </c:pt>
                <c:pt idx="14">
                  <c:v>7464</c:v>
                </c:pt>
                <c:pt idx="15">
                  <c:v>7464</c:v>
                </c:pt>
                <c:pt idx="16">
                  <c:v>7464</c:v>
                </c:pt>
                <c:pt idx="17">
                  <c:v>7464</c:v>
                </c:pt>
                <c:pt idx="18">
                  <c:v>7464</c:v>
                </c:pt>
                <c:pt idx="19">
                  <c:v>7464</c:v>
                </c:pt>
                <c:pt idx="20">
                  <c:v>7464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E8C-4A3E-879F-9C74DD9D4B81}"/>
            </c:ext>
          </c:extLst>
        </c:ser>
        <c:ser>
          <c:idx val="1"/>
          <c:order val="1"/>
          <c:tx>
            <c:strRef>
              <c:f>Scenarier!$C$60</c:f>
              <c:strCache>
                <c:ptCount val="1"/>
                <c:pt idx="0">
                  <c:v>Varmeproduktion Ovn2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Scenarier!$E$6:$Y$6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Scenarier!$E$60:$Y$60</c:f>
              <c:numCache>
                <c:formatCode>#,##0</c:formatCode>
                <c:ptCount val="21"/>
                <c:pt idx="0">
                  <c:v>3168</c:v>
                </c:pt>
                <c:pt idx="1">
                  <c:v>7055.4000000000015</c:v>
                </c:pt>
                <c:pt idx="2">
                  <c:v>6850.7999999999993</c:v>
                </c:pt>
                <c:pt idx="3">
                  <c:v>6646.2000000000007</c:v>
                </c:pt>
                <c:pt idx="4">
                  <c:v>6441.5999999999985</c:v>
                </c:pt>
                <c:pt idx="5">
                  <c:v>6237</c:v>
                </c:pt>
                <c:pt idx="6">
                  <c:v>6032.4000000000015</c:v>
                </c:pt>
                <c:pt idx="7">
                  <c:v>5827.7999999999993</c:v>
                </c:pt>
                <c:pt idx="8">
                  <c:v>5623.2000000000007</c:v>
                </c:pt>
                <c:pt idx="9">
                  <c:v>5418.5999999999985</c:v>
                </c:pt>
                <c:pt idx="10">
                  <c:v>5214</c:v>
                </c:pt>
                <c:pt idx="11">
                  <c:v>5009.4000000000015</c:v>
                </c:pt>
                <c:pt idx="12">
                  <c:v>4804.7999999999993</c:v>
                </c:pt>
                <c:pt idx="13">
                  <c:v>4600.2000000000007</c:v>
                </c:pt>
                <c:pt idx="14">
                  <c:v>4395.5999999999985</c:v>
                </c:pt>
                <c:pt idx="15">
                  <c:v>4191</c:v>
                </c:pt>
                <c:pt idx="16">
                  <c:v>3986.4000000000015</c:v>
                </c:pt>
                <c:pt idx="17">
                  <c:v>3781.7999999999993</c:v>
                </c:pt>
                <c:pt idx="18">
                  <c:v>3577.2000000000007</c:v>
                </c:pt>
                <c:pt idx="19">
                  <c:v>3372.5999999999985</c:v>
                </c:pt>
                <c:pt idx="20">
                  <c:v>3168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E8C-4A3E-879F-9C74DD9D4B81}"/>
            </c:ext>
          </c:extLst>
        </c:ser>
        <c:ser>
          <c:idx val="2"/>
          <c:order val="2"/>
          <c:tx>
            <c:strRef>
              <c:f>Scenarier!$C$61</c:f>
              <c:strCache>
                <c:ptCount val="1"/>
                <c:pt idx="0">
                  <c:v>Varmeproduktion Ovn3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Scenarier!$E$6:$Y$6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Scenarier!$E$61:$Y$61</c:f>
              <c:numCache>
                <c:formatCode>#,##0</c:formatCode>
                <c:ptCount val="21"/>
                <c:pt idx="0">
                  <c:v>20832</c:v>
                </c:pt>
                <c:pt idx="1">
                  <c:v>16944.599999999999</c:v>
                </c:pt>
                <c:pt idx="2">
                  <c:v>17149.2</c:v>
                </c:pt>
                <c:pt idx="3">
                  <c:v>17353.8</c:v>
                </c:pt>
                <c:pt idx="4">
                  <c:v>17558.400000000001</c:v>
                </c:pt>
                <c:pt idx="5">
                  <c:v>17763</c:v>
                </c:pt>
                <c:pt idx="6">
                  <c:v>17967.599999999999</c:v>
                </c:pt>
                <c:pt idx="7">
                  <c:v>18172.2</c:v>
                </c:pt>
                <c:pt idx="8">
                  <c:v>18376.8</c:v>
                </c:pt>
                <c:pt idx="9">
                  <c:v>18581.400000000001</c:v>
                </c:pt>
                <c:pt idx="10">
                  <c:v>18786</c:v>
                </c:pt>
                <c:pt idx="11">
                  <c:v>18990.599999999999</c:v>
                </c:pt>
                <c:pt idx="12">
                  <c:v>19195.2</c:v>
                </c:pt>
                <c:pt idx="13">
                  <c:v>19399.8</c:v>
                </c:pt>
                <c:pt idx="14">
                  <c:v>19604.400000000001</c:v>
                </c:pt>
                <c:pt idx="15">
                  <c:v>19809</c:v>
                </c:pt>
                <c:pt idx="16">
                  <c:v>20013.599999999999</c:v>
                </c:pt>
                <c:pt idx="17">
                  <c:v>20218.2</c:v>
                </c:pt>
                <c:pt idx="18">
                  <c:v>20422.8</c:v>
                </c:pt>
                <c:pt idx="19">
                  <c:v>20627.400000000001</c:v>
                </c:pt>
                <c:pt idx="20">
                  <c:v>20832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E8C-4A3E-879F-9C74DD9D4B81}"/>
            </c:ext>
          </c:extLst>
        </c:ser>
        <c:ser>
          <c:idx val="3"/>
          <c:order val="3"/>
          <c:tx>
            <c:strRef>
              <c:f>Scenarier!$C$62</c:f>
              <c:strCache>
                <c:ptCount val="1"/>
                <c:pt idx="0">
                  <c:v>Bortkølet varme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Scenarier!$E$6:$Y$6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Scenarier!$E$62:$Y$62</c:f>
              <c:numCache>
                <c:formatCode>#,##0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E8C-4A3E-879F-9C74DD9D4B81}"/>
            </c:ext>
          </c:extLst>
        </c:ser>
        <c:ser>
          <c:idx val="4"/>
          <c:order val="4"/>
          <c:tx>
            <c:strRef>
              <c:f>Scenarier!$C$63</c:f>
              <c:strCache>
                <c:ptCount val="1"/>
                <c:pt idx="0">
                  <c:v>Leveret varme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Scenarier!$E$6:$Y$6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Scenarier!$E$63:$Y$63</c:f>
              <c:numCache>
                <c:formatCode>#,##0</c:formatCode>
                <c:ptCount val="21"/>
                <c:pt idx="0">
                  <c:v>24000</c:v>
                </c:pt>
                <c:pt idx="1">
                  <c:v>24000</c:v>
                </c:pt>
                <c:pt idx="2">
                  <c:v>24000</c:v>
                </c:pt>
                <c:pt idx="3">
                  <c:v>24000</c:v>
                </c:pt>
                <c:pt idx="4">
                  <c:v>24000</c:v>
                </c:pt>
                <c:pt idx="5">
                  <c:v>24000</c:v>
                </c:pt>
                <c:pt idx="6">
                  <c:v>24000</c:v>
                </c:pt>
                <c:pt idx="7">
                  <c:v>24000</c:v>
                </c:pt>
                <c:pt idx="8">
                  <c:v>24000</c:v>
                </c:pt>
                <c:pt idx="9">
                  <c:v>24000</c:v>
                </c:pt>
                <c:pt idx="10">
                  <c:v>24000</c:v>
                </c:pt>
                <c:pt idx="11">
                  <c:v>24000</c:v>
                </c:pt>
                <c:pt idx="12">
                  <c:v>24000</c:v>
                </c:pt>
                <c:pt idx="13">
                  <c:v>24000</c:v>
                </c:pt>
                <c:pt idx="14">
                  <c:v>24000</c:v>
                </c:pt>
                <c:pt idx="15">
                  <c:v>24000</c:v>
                </c:pt>
                <c:pt idx="16">
                  <c:v>24000</c:v>
                </c:pt>
                <c:pt idx="17">
                  <c:v>24000</c:v>
                </c:pt>
                <c:pt idx="18">
                  <c:v>24000</c:v>
                </c:pt>
                <c:pt idx="19">
                  <c:v>24000</c:v>
                </c:pt>
                <c:pt idx="20">
                  <c:v>24000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E8C-4A3E-879F-9C74DD9D4B81}"/>
            </c:ext>
          </c:extLst>
        </c:ser>
        <c:ser>
          <c:idx val="5"/>
          <c:order val="5"/>
          <c:tx>
            <c:strRef>
              <c:f>Scenarier!$C$64</c:f>
              <c:strCache>
                <c:ptCount val="1"/>
                <c:pt idx="0">
                  <c:v>Spidslastvarme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Scenarier!$E$6:$Y$6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Scenarier!$E$64:$Y$64</c:f>
              <c:numCache>
                <c:formatCode>#,##0</c:formatCode>
                <c:ptCount val="21"/>
                <c:pt idx="0">
                  <c:v>4000</c:v>
                </c:pt>
                <c:pt idx="1">
                  <c:v>4000</c:v>
                </c:pt>
                <c:pt idx="2">
                  <c:v>4000</c:v>
                </c:pt>
                <c:pt idx="3">
                  <c:v>4000</c:v>
                </c:pt>
                <c:pt idx="4">
                  <c:v>4000</c:v>
                </c:pt>
                <c:pt idx="5">
                  <c:v>4000</c:v>
                </c:pt>
                <c:pt idx="6">
                  <c:v>4000</c:v>
                </c:pt>
                <c:pt idx="7">
                  <c:v>4000</c:v>
                </c:pt>
                <c:pt idx="8">
                  <c:v>4000</c:v>
                </c:pt>
                <c:pt idx="9">
                  <c:v>4000</c:v>
                </c:pt>
                <c:pt idx="10">
                  <c:v>4000</c:v>
                </c:pt>
                <c:pt idx="11">
                  <c:v>4000</c:v>
                </c:pt>
                <c:pt idx="12">
                  <c:v>4000</c:v>
                </c:pt>
                <c:pt idx="13">
                  <c:v>4000</c:v>
                </c:pt>
                <c:pt idx="14">
                  <c:v>4000</c:v>
                </c:pt>
                <c:pt idx="15">
                  <c:v>4000</c:v>
                </c:pt>
                <c:pt idx="16">
                  <c:v>4000</c:v>
                </c:pt>
                <c:pt idx="17">
                  <c:v>4000</c:v>
                </c:pt>
                <c:pt idx="18">
                  <c:v>4000</c:v>
                </c:pt>
                <c:pt idx="19">
                  <c:v>4000</c:v>
                </c:pt>
                <c:pt idx="20">
                  <c:v>4000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E8C-4A3E-879F-9C74DD9D4B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12614768"/>
        <c:axId val="1112618096"/>
      </c:lineChart>
      <c:catAx>
        <c:axId val="1112614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12618096"/>
        <c:crosses val="autoZero"/>
        <c:auto val="1"/>
        <c:lblAlgn val="ctr"/>
        <c:lblOffset val="100"/>
        <c:noMultiLvlLbl val="0"/>
      </c:catAx>
      <c:valAx>
        <c:axId val="1112618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126147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4341593788294447"/>
          <c:y val="0.13756265432098763"/>
          <c:w val="0.25606847900177793"/>
          <c:h val="0.439601851851851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Scenarier!$K$33</c:f>
          <c:strCache>
            <c:ptCount val="1"/>
            <c:pt idx="0">
              <c:v>Brændselsmængder</c:v>
            </c:pt>
          </c:strCache>
        </c:strRef>
      </c:tx>
      <c:layout>
        <c:manualLayout>
          <c:xMode val="edge"/>
          <c:yMode val="edge"/>
          <c:x val="0.38000259259259261"/>
          <c:y val="2.645833333333333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4420592592592593"/>
          <c:y val="0.1265111111111111"/>
          <c:w val="0.52318940634934819"/>
          <c:h val="0.7255697530864198"/>
        </c:manualLayout>
      </c:layout>
      <c:lineChart>
        <c:grouping val="standard"/>
        <c:varyColors val="0"/>
        <c:ser>
          <c:idx val="0"/>
          <c:order val="0"/>
          <c:tx>
            <c:strRef>
              <c:f>Scenarier!$C$65</c:f>
              <c:strCache>
                <c:ptCount val="1"/>
                <c:pt idx="0">
                  <c:v>Affaldsforbrug Ovn2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Scenarier!$E$6:$Y$6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Scenarier!$E$65:$Y$65</c:f>
              <c:numCache>
                <c:formatCode>#,##0</c:formatCode>
                <c:ptCount val="21"/>
                <c:pt idx="0">
                  <c:v>1094.3867347062462</c:v>
                </c:pt>
                <c:pt idx="1">
                  <c:v>2919.670860050182</c:v>
                </c:pt>
                <c:pt idx="2">
                  <c:v>2805.7762998686553</c:v>
                </c:pt>
                <c:pt idx="3">
                  <c:v>2694.2061184663444</c:v>
                </c:pt>
                <c:pt idx="4">
                  <c:v>2584.8898801226651</c:v>
                </c:pt>
                <c:pt idx="5">
                  <c:v>2477.7599665458606</c:v>
                </c:pt>
                <c:pt idx="6">
                  <c:v>2372.751437396319</c:v>
                </c:pt>
                <c:pt idx="7">
                  <c:v>2269.8018990144151</c:v>
                </c:pt>
                <c:pt idx="8">
                  <c:v>2168.8513807952672</c:v>
                </c:pt>
                <c:pt idx="9">
                  <c:v>2069.8422186957168</c:v>
                </c:pt>
                <c:pt idx="10">
                  <c:v>1972.7189453980645</c:v>
                </c:pt>
                <c:pt idx="11">
                  <c:v>1877.4281866909339</c:v>
                </c:pt>
                <c:pt idx="12">
                  <c:v>1783.9185636605707</c:v>
                </c:pt>
                <c:pt idx="13">
                  <c:v>1692.1406003159564</c:v>
                </c:pt>
                <c:pt idx="14">
                  <c:v>1602.0466362987647</c:v>
                </c:pt>
                <c:pt idx="15">
                  <c:v>1513.5907443546141</c:v>
                </c:pt>
                <c:pt idx="16">
                  <c:v>1426.728652265313</c:v>
                </c:pt>
                <c:pt idx="17">
                  <c:v>1341.41766896332</c:v>
                </c:pt>
                <c:pt idx="18">
                  <c:v>1257.6166145693278</c:v>
                </c:pt>
                <c:pt idx="19">
                  <c:v>1175.2857541120711</c:v>
                </c:pt>
                <c:pt idx="20">
                  <c:v>1094.3867347062462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C7-4F8E-9C43-539F0400EE89}"/>
            </c:ext>
          </c:extLst>
        </c:ser>
        <c:ser>
          <c:idx val="1"/>
          <c:order val="1"/>
          <c:tx>
            <c:strRef>
              <c:f>Scenarier!$C$66</c:f>
              <c:strCache>
                <c:ptCount val="1"/>
                <c:pt idx="0">
                  <c:v>Affaldsforbrug Ovn3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Scenarier!$E$6:$Y$6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Scenarier!$E$66:$Y$66</c:f>
              <c:numCache>
                <c:formatCode>#,##0</c:formatCode>
                <c:ptCount val="21"/>
                <c:pt idx="0">
                  <c:v>9006.456241033</c:v>
                </c:pt>
                <c:pt idx="1">
                  <c:v>9006.4562410329982</c:v>
                </c:pt>
                <c:pt idx="2">
                  <c:v>9006.456241033</c:v>
                </c:pt>
                <c:pt idx="3">
                  <c:v>9006.4562410329982</c:v>
                </c:pt>
                <c:pt idx="4">
                  <c:v>9006.456241033</c:v>
                </c:pt>
                <c:pt idx="5">
                  <c:v>9006.456241033</c:v>
                </c:pt>
                <c:pt idx="6">
                  <c:v>9006.456241033</c:v>
                </c:pt>
                <c:pt idx="7">
                  <c:v>9006.456241033</c:v>
                </c:pt>
                <c:pt idx="8">
                  <c:v>9006.456241033</c:v>
                </c:pt>
                <c:pt idx="9">
                  <c:v>9006.456241033</c:v>
                </c:pt>
                <c:pt idx="10">
                  <c:v>9006.456241033</c:v>
                </c:pt>
                <c:pt idx="11">
                  <c:v>9006.4562410329982</c:v>
                </c:pt>
                <c:pt idx="12">
                  <c:v>9006.456241033</c:v>
                </c:pt>
                <c:pt idx="13">
                  <c:v>9006.456241033</c:v>
                </c:pt>
                <c:pt idx="14">
                  <c:v>9006.456241033</c:v>
                </c:pt>
                <c:pt idx="15">
                  <c:v>9006.456241033</c:v>
                </c:pt>
                <c:pt idx="16">
                  <c:v>9006.456241033</c:v>
                </c:pt>
                <c:pt idx="17">
                  <c:v>9006.456241033</c:v>
                </c:pt>
                <c:pt idx="18">
                  <c:v>9006.456241033</c:v>
                </c:pt>
                <c:pt idx="19">
                  <c:v>9006.456241033</c:v>
                </c:pt>
                <c:pt idx="20">
                  <c:v>9006.456241033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C7-4F8E-9C43-539F0400EE89}"/>
            </c:ext>
          </c:extLst>
        </c:ser>
        <c:ser>
          <c:idx val="2"/>
          <c:order val="2"/>
          <c:tx>
            <c:strRef>
              <c:f>Scenarier!$C$67</c:f>
              <c:strCache>
                <c:ptCount val="1"/>
                <c:pt idx="0">
                  <c:v>Affaldsforbrug kølevarme Ovn2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Scenarier!$E$6:$Y$6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Scenarier!$E$67:$Y$67</c:f>
              <c:numCache>
                <c:formatCode>#,##0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C7-4F8E-9C43-539F0400EE89}"/>
            </c:ext>
          </c:extLst>
        </c:ser>
        <c:ser>
          <c:idx val="3"/>
          <c:order val="3"/>
          <c:tx>
            <c:strRef>
              <c:f>Scenarier!$C$68</c:f>
              <c:strCache>
                <c:ptCount val="1"/>
                <c:pt idx="0">
                  <c:v>Affaldsforbrug kølevarme Ovn3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Scenarier!$E$6:$Y$6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Scenarier!$E$68:$Y$68</c:f>
              <c:numCache>
                <c:formatCode>#,##0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3C7-4F8E-9C43-539F0400EE89}"/>
            </c:ext>
          </c:extLst>
        </c:ser>
        <c:ser>
          <c:idx val="4"/>
          <c:order val="4"/>
          <c:tx>
            <c:strRef>
              <c:f>Scenarier!$C$69</c:f>
              <c:strCache>
                <c:ptCount val="1"/>
                <c:pt idx="0">
                  <c:v>Udnyttet affald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Scenarier!$E$6:$Y$6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Scenarier!$E$69:$Y$69</c:f>
              <c:numCache>
                <c:formatCode>#,##0</c:formatCode>
                <c:ptCount val="21"/>
                <c:pt idx="0">
                  <c:v>10100.842975739246</c:v>
                </c:pt>
                <c:pt idx="1">
                  <c:v>11926.127101083181</c:v>
                </c:pt>
                <c:pt idx="2">
                  <c:v>11812.232540901656</c:v>
                </c:pt>
                <c:pt idx="3">
                  <c:v>11700.662359499343</c:v>
                </c:pt>
                <c:pt idx="4">
                  <c:v>11591.346121155664</c:v>
                </c:pt>
                <c:pt idx="5">
                  <c:v>11484.21620757886</c:v>
                </c:pt>
                <c:pt idx="6">
                  <c:v>11379.207678429319</c:v>
                </c:pt>
                <c:pt idx="7">
                  <c:v>11276.258140047416</c:v>
                </c:pt>
                <c:pt idx="8">
                  <c:v>11175.307621828268</c:v>
                </c:pt>
                <c:pt idx="9">
                  <c:v>11076.298459728718</c:v>
                </c:pt>
                <c:pt idx="10">
                  <c:v>10979.175186431065</c:v>
                </c:pt>
                <c:pt idx="11">
                  <c:v>10883.884427723931</c:v>
                </c:pt>
                <c:pt idx="12">
                  <c:v>10790.374804693571</c:v>
                </c:pt>
                <c:pt idx="13">
                  <c:v>10698.596841348957</c:v>
                </c:pt>
                <c:pt idx="14">
                  <c:v>10608.502877331764</c:v>
                </c:pt>
                <c:pt idx="15">
                  <c:v>10520.046985387615</c:v>
                </c:pt>
                <c:pt idx="16">
                  <c:v>10433.184893298312</c:v>
                </c:pt>
                <c:pt idx="17">
                  <c:v>10347.87390999632</c:v>
                </c:pt>
                <c:pt idx="18">
                  <c:v>10264.072855602328</c:v>
                </c:pt>
                <c:pt idx="19">
                  <c:v>10181.741995145072</c:v>
                </c:pt>
                <c:pt idx="20">
                  <c:v>10100.842975739246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3C7-4F8E-9C43-539F0400EE89}"/>
            </c:ext>
          </c:extLst>
        </c:ser>
        <c:ser>
          <c:idx val="5"/>
          <c:order val="5"/>
          <c:tx>
            <c:strRef>
              <c:f>Scenarier!$C$70</c:f>
              <c:strCache>
                <c:ptCount val="1"/>
                <c:pt idx="0">
                  <c:v>Ikke-udnyttet affald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Scenarier!$E$6:$Y$6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Scenarier!$E$70:$Y$70</c:f>
              <c:numCache>
                <c:formatCode>#,##0</c:formatCode>
                <c:ptCount val="21"/>
                <c:pt idx="0">
                  <c:v>1899.1570242607538</c:v>
                </c:pt>
                <c:pt idx="1">
                  <c:v>73.87289891681985</c:v>
                </c:pt>
                <c:pt idx="2">
                  <c:v>187.76745909834472</c:v>
                </c:pt>
                <c:pt idx="3">
                  <c:v>299.33764050065747</c:v>
                </c:pt>
                <c:pt idx="4">
                  <c:v>408.65387884433494</c:v>
                </c:pt>
                <c:pt idx="5">
                  <c:v>515.78379242113942</c:v>
                </c:pt>
                <c:pt idx="6">
                  <c:v>620.792321570681</c:v>
                </c:pt>
                <c:pt idx="7">
                  <c:v>723.74185995258495</c:v>
                </c:pt>
                <c:pt idx="8">
                  <c:v>824.6923781717328</c:v>
                </c:pt>
                <c:pt idx="9">
                  <c:v>923.70154027128319</c:v>
                </c:pt>
                <c:pt idx="10">
                  <c:v>1020.8248135689355</c:v>
                </c:pt>
                <c:pt idx="11">
                  <c:v>1116.115572276068</c:v>
                </c:pt>
                <c:pt idx="12">
                  <c:v>1209.6251953064293</c:v>
                </c:pt>
                <c:pt idx="13">
                  <c:v>1301.4031586510437</c:v>
                </c:pt>
                <c:pt idx="14">
                  <c:v>1391.4971226682353</c:v>
                </c:pt>
                <c:pt idx="15">
                  <c:v>1479.9530146123859</c:v>
                </c:pt>
                <c:pt idx="16">
                  <c:v>1566.815106701687</c:v>
                </c:pt>
                <c:pt idx="17">
                  <c:v>1652.12609000368</c:v>
                </c:pt>
                <c:pt idx="18">
                  <c:v>1735.9271443976722</c:v>
                </c:pt>
                <c:pt idx="19">
                  <c:v>1818.2580048549289</c:v>
                </c:pt>
                <c:pt idx="20">
                  <c:v>1899.1570242607538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53C7-4F8E-9C43-539F0400EE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12614768"/>
        <c:axId val="1112618096"/>
      </c:lineChart>
      <c:catAx>
        <c:axId val="1112614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12618096"/>
        <c:crosses val="autoZero"/>
        <c:auto val="1"/>
        <c:lblAlgn val="ctr"/>
        <c:lblOffset val="100"/>
        <c:noMultiLvlLbl val="0"/>
      </c:catAx>
      <c:valAx>
        <c:axId val="1112618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126147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4341593788294447"/>
          <c:y val="0.13756265432098763"/>
          <c:w val="0.25658412400969616"/>
          <c:h val="0.439601851851851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Scenarier!$T$33</c:f>
          <c:strCache>
            <c:ptCount val="1"/>
            <c:pt idx="0">
              <c:v>Kapacitetsudnyttelse</c:v>
            </c:pt>
          </c:strCache>
        </c:strRef>
      </c:tx>
      <c:layout>
        <c:manualLayout>
          <c:xMode val="edge"/>
          <c:yMode val="edge"/>
          <c:x val="0.38000259259259261"/>
          <c:y val="2.645833333333333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8.5409709041711565E-2"/>
          <c:y val="0.1265111111111111"/>
          <c:w val="0.64657027059100769"/>
          <c:h val="0.7255697530864198"/>
        </c:manualLayout>
      </c:layout>
      <c:lineChart>
        <c:grouping val="standard"/>
        <c:varyColors val="0"/>
        <c:ser>
          <c:idx val="0"/>
          <c:order val="0"/>
          <c:tx>
            <c:strRef>
              <c:f>Scenarier!$C$71</c:f>
              <c:strCache>
                <c:ptCount val="1"/>
                <c:pt idx="0">
                  <c:v>Ovn2 tonnage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Scenarier!$E$6:$Y$6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Scenarier!$E$71:$Y$71</c:f>
              <c:numCache>
                <c:formatCode>#,##0</c:formatCode>
                <c:ptCount val="21"/>
                <c:pt idx="0">
                  <c:v>0.3702664796633941</c:v>
                </c:pt>
                <c:pt idx="1">
                  <c:v>0.98781922043010761</c:v>
                </c:pt>
                <c:pt idx="2">
                  <c:v>0.94928500166278673</c:v>
                </c:pt>
                <c:pt idx="3">
                  <c:v>0.91153719552337065</c:v>
                </c:pt>
                <c:pt idx="4">
                  <c:v>0.87455197132616469</c:v>
                </c:pt>
                <c:pt idx="5">
                  <c:v>0.83830645161290329</c:v>
                </c:pt>
                <c:pt idx="6">
                  <c:v>0.80277866496327055</c:v>
                </c:pt>
                <c:pt idx="7">
                  <c:v>0.76794750158127767</c:v>
                </c:pt>
                <c:pt idx="8">
                  <c:v>0.7337926714688382</c:v>
                </c:pt>
                <c:pt idx="9">
                  <c:v>0.70029466501240667</c:v>
                </c:pt>
                <c:pt idx="10">
                  <c:v>0.66743471582181246</c:v>
                </c:pt>
                <c:pt idx="11">
                  <c:v>0.63519476567255029</c:v>
                </c:pt>
                <c:pt idx="12">
                  <c:v>0.60355743141392815</c:v>
                </c:pt>
                <c:pt idx="13">
                  <c:v>0.57250597371565126</c:v>
                </c:pt>
                <c:pt idx="14">
                  <c:v>0.5420242675347734</c:v>
                </c:pt>
                <c:pt idx="15">
                  <c:v>0.51209677419354838</c:v>
                </c:pt>
                <c:pt idx="16">
                  <c:v>0.48270851496657963</c:v>
                </c:pt>
                <c:pt idx="17">
                  <c:v>0.45384504608294923</c:v>
                </c:pt>
                <c:pt idx="18">
                  <c:v>0.4254924350556667</c:v>
                </c:pt>
                <c:pt idx="19">
                  <c:v>0.39763723825693248</c:v>
                </c:pt>
                <c:pt idx="20">
                  <c:v>0.3702664796633941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4B-483C-9BB7-342CDF6944DE}"/>
            </c:ext>
          </c:extLst>
        </c:ser>
        <c:ser>
          <c:idx val="1"/>
          <c:order val="1"/>
          <c:tx>
            <c:strRef>
              <c:f>Scenarier!$C$72</c:f>
              <c:strCache>
                <c:ptCount val="1"/>
                <c:pt idx="0">
                  <c:v>Ovn3 tonnage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Scenarier!$E$6:$Y$6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Scenarier!$E$72:$Y$72</c:f>
              <c:numCache>
                <c:formatCode>#,##0</c:formatCode>
                <c:ptCount val="21"/>
                <c:pt idx="0">
                  <c:v>1</c:v>
                </c:pt>
                <c:pt idx="1">
                  <c:v>0.99999999999999978</c:v>
                </c:pt>
                <c:pt idx="2">
                  <c:v>1</c:v>
                </c:pt>
                <c:pt idx="3">
                  <c:v>0.99999999999999978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0.99999999999999978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4B-483C-9BB7-342CDF6944DE}"/>
            </c:ext>
          </c:extLst>
        </c:ser>
        <c:ser>
          <c:idx val="2"/>
          <c:order val="2"/>
          <c:tx>
            <c:strRef>
              <c:f>Scenarier!$C$73</c:f>
              <c:strCache>
                <c:ptCount val="1"/>
                <c:pt idx="0">
                  <c:v>Bortkøleanlæg varme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Scenarier!$E$6:$Y$6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Scenarier!$E$73:$Y$73</c:f>
              <c:numCache>
                <c:formatCode>#,##0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B4B-483C-9BB7-342CDF694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12614768"/>
        <c:axId val="1112618096"/>
      </c:lineChart>
      <c:catAx>
        <c:axId val="1112614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12618096"/>
        <c:crosses val="autoZero"/>
        <c:auto val="1"/>
        <c:lblAlgn val="ctr"/>
        <c:lblOffset val="100"/>
        <c:noMultiLvlLbl val="0"/>
      </c:catAx>
      <c:valAx>
        <c:axId val="1112618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126147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4341593788294447"/>
          <c:y val="0.13756265432098763"/>
          <c:w val="0.25491234567901233"/>
          <c:h val="0.2436141975308641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Model!$T$47</c:f>
          <c:strCache>
            <c:ptCount val="1"/>
            <c:pt idx="0">
              <c:v>Økonomiske nøgletal: 12000 ton affald, 0 ton bioaffald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23179196497151472"/>
          <c:y val="0.13775301764159703"/>
          <c:w val="0.71910013595718381"/>
          <c:h val="0.70151002712404698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12"/>
              <c:layout>
                <c:manualLayout>
                  <c:x val="6.2597809076682318E-3"/>
                  <c:y val="2.228412256267409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a-DK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147-4151-9579-4A35B12BE046}"/>
                </c:ext>
              </c:extLst>
            </c:dLbl>
            <c:dLbl>
              <c:idx val="13"/>
              <c:layout>
                <c:manualLayout>
                  <c:x val="2.5039123630672927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a-DK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147-4151-9579-4A35B12BE046}"/>
                </c:ext>
              </c:extLst>
            </c:dLbl>
            <c:dLbl>
              <c:idx val="14"/>
              <c:layout>
                <c:manualLayout>
                  <c:x val="5.4251434533124594E-2"/>
                  <c:y val="-3.4044793960164884E-17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a-DK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147-4151-9579-4A35B12BE04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Model!$N$5:$N$19</c:f>
              <c:strCache>
                <c:ptCount val="15"/>
                <c:pt idx="0">
                  <c:v>Indtægter total</c:v>
                </c:pt>
                <c:pt idx="1">
                  <c:v>Omkostninger total</c:v>
                </c:pt>
                <c:pt idx="2">
                  <c:v>Dækningsbidrag</c:v>
                </c:pt>
                <c:pt idx="4">
                  <c:v>Varmesalg</c:v>
                </c:pt>
                <c:pt idx="5">
                  <c:v>Elsalg</c:v>
                </c:pt>
                <c:pt idx="6">
                  <c:v>RGK-rabat</c:v>
                </c:pt>
                <c:pt idx="7">
                  <c:v>Modtagebetaling affald</c:v>
                </c:pt>
                <c:pt idx="9">
                  <c:v>Betaling bioaffald</c:v>
                </c:pt>
                <c:pt idx="10">
                  <c:v>DV-omkostninger</c:v>
                </c:pt>
                <c:pt idx="11">
                  <c:v>Affaldvarme-afgift</c:v>
                </c:pt>
                <c:pt idx="12">
                  <c:v>Tillægsafgift</c:v>
                </c:pt>
                <c:pt idx="13">
                  <c:v>CO2-afgift</c:v>
                </c:pt>
                <c:pt idx="14">
                  <c:v>Kvote-omkostning</c:v>
                </c:pt>
              </c:strCache>
            </c:strRef>
          </c:cat>
          <c:val>
            <c:numRef>
              <c:f>Model!$P$5:$P$19</c:f>
              <c:numCache>
                <c:formatCode>#,##0,</c:formatCode>
                <c:ptCount val="15"/>
                <c:pt idx="0">
                  <c:v>16136472.253459308</c:v>
                </c:pt>
                <c:pt idx="1">
                  <c:v>8158905.7849090286</c:v>
                </c:pt>
                <c:pt idx="2">
                  <c:v>7977566.4685502797</c:v>
                </c:pt>
                <c:pt idx="4">
                  <c:v>7404288</c:v>
                </c:pt>
                <c:pt idx="5">
                  <c:v>3947332.4512195126</c:v>
                </c:pt>
                <c:pt idx="6">
                  <c:v>0</c:v>
                </c:pt>
                <c:pt idx="7">
                  <c:v>4784851.8022397961</c:v>
                </c:pt>
                <c:pt idx="9">
                  <c:v>0</c:v>
                </c:pt>
                <c:pt idx="10">
                  <c:v>1049040</c:v>
                </c:pt>
                <c:pt idx="11">
                  <c:v>2211287.04</c:v>
                </c:pt>
                <c:pt idx="12">
                  <c:v>2271283.2000000002</c:v>
                </c:pt>
                <c:pt idx="13">
                  <c:v>471719.80799999996</c:v>
                </c:pt>
                <c:pt idx="14">
                  <c:v>2155575.7369090281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47-4151-9579-4A35B12BE046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Model!$N$5:$N$19</c:f>
              <c:strCache>
                <c:ptCount val="15"/>
                <c:pt idx="0">
                  <c:v>Indtægter total</c:v>
                </c:pt>
                <c:pt idx="1">
                  <c:v>Omkostninger total</c:v>
                </c:pt>
                <c:pt idx="2">
                  <c:v>Dækningsbidrag</c:v>
                </c:pt>
                <c:pt idx="4">
                  <c:v>Varmesalg</c:v>
                </c:pt>
                <c:pt idx="5">
                  <c:v>Elsalg</c:v>
                </c:pt>
                <c:pt idx="6">
                  <c:v>RGK-rabat</c:v>
                </c:pt>
                <c:pt idx="7">
                  <c:v>Modtagebetaling affald</c:v>
                </c:pt>
                <c:pt idx="9">
                  <c:v>Betaling bioaffald</c:v>
                </c:pt>
                <c:pt idx="10">
                  <c:v>DV-omkostninger</c:v>
                </c:pt>
                <c:pt idx="11">
                  <c:v>Affaldvarme-afgift</c:v>
                </c:pt>
                <c:pt idx="12">
                  <c:v>Tillægsafgift</c:v>
                </c:pt>
                <c:pt idx="13">
                  <c:v>CO2-afgift</c:v>
                </c:pt>
                <c:pt idx="14">
                  <c:v>Kvote-omkostning</c:v>
                </c:pt>
              </c:strCache>
            </c:strRef>
          </c:cat>
          <c:val>
            <c:numRef>
              <c:f>Model!$Q$5:$Q$19</c:f>
              <c:numCache>
                <c:formatCode>#,##0,</c:formatCode>
                <c:ptCount val="15"/>
                <c:pt idx="0">
                  <c:v>16136472.253459308</c:v>
                </c:pt>
                <c:pt idx="1">
                  <c:v>8158905.7849090286</c:v>
                </c:pt>
                <c:pt idx="2">
                  <c:v>7977566.4685502797</c:v>
                </c:pt>
                <c:pt idx="4">
                  <c:v>7404288</c:v>
                </c:pt>
                <c:pt idx="5">
                  <c:v>3947332.4512195126</c:v>
                </c:pt>
                <c:pt idx="6">
                  <c:v>0</c:v>
                </c:pt>
                <c:pt idx="7">
                  <c:v>4784851.8022397961</c:v>
                </c:pt>
                <c:pt idx="9">
                  <c:v>0</c:v>
                </c:pt>
                <c:pt idx="10">
                  <c:v>1049040</c:v>
                </c:pt>
                <c:pt idx="11">
                  <c:v>2211287.04</c:v>
                </c:pt>
                <c:pt idx="12">
                  <c:v>2271283.2000000002</c:v>
                </c:pt>
                <c:pt idx="13">
                  <c:v>471719.80799999996</c:v>
                </c:pt>
                <c:pt idx="14">
                  <c:v>2155575.7369090281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47-4151-9579-4A35B12BE0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30"/>
        <c:overlap val="-50"/>
        <c:axId val="907630911"/>
        <c:axId val="907631327"/>
      </c:barChart>
      <c:catAx>
        <c:axId val="90763091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7631327"/>
        <c:crosses val="autoZero"/>
        <c:auto val="1"/>
        <c:lblAlgn val="ctr"/>
        <c:lblOffset val="100"/>
        <c:noMultiLvlLbl val="0"/>
      </c:catAx>
      <c:valAx>
        <c:axId val="9076313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tkr</a:t>
                </a:r>
              </a:p>
            </c:rich>
          </c:tx>
          <c:layout>
            <c:manualLayout>
              <c:xMode val="edge"/>
              <c:yMode val="edge"/>
              <c:x val="0.89663146566773055"/>
              <c:y val="0.7768610678539834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#,##0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76309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Model!$T$25</c:f>
          <c:strCache>
            <c:ptCount val="1"/>
            <c:pt idx="0">
              <c:v>Varmemængder: 12000 ton affald, 0 ton bioaffald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Model!$P$21</c:f>
              <c:strCache>
                <c:ptCount val="1"/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Model!$N$22:$N$27</c:f>
              <c:strCache>
                <c:ptCount val="6"/>
                <c:pt idx="0">
                  <c:v>Varmeproduktion Ovn2</c:v>
                </c:pt>
                <c:pt idx="1">
                  <c:v>Varmeproduktion Ovn3</c:v>
                </c:pt>
                <c:pt idx="2">
                  <c:v>Heraf RGK-varme</c:v>
                </c:pt>
                <c:pt idx="3">
                  <c:v>Bortkølet varme</c:v>
                </c:pt>
                <c:pt idx="4">
                  <c:v>Leveret varme</c:v>
                </c:pt>
                <c:pt idx="5">
                  <c:v>Spidslastvarme</c:v>
                </c:pt>
              </c:strCache>
            </c:strRef>
          </c:cat>
          <c:val>
            <c:numRef>
              <c:f>Model!$P$22:$P$27</c:f>
              <c:numCache>
                <c:formatCode>#,##0</c:formatCode>
                <c:ptCount val="6"/>
                <c:pt idx="0">
                  <c:v>7068</c:v>
                </c:pt>
                <c:pt idx="1">
                  <c:v>16740</c:v>
                </c:pt>
                <c:pt idx="2">
                  <c:v>0</c:v>
                </c:pt>
                <c:pt idx="3">
                  <c:v>0</c:v>
                </c:pt>
                <c:pt idx="4">
                  <c:v>23808</c:v>
                </c:pt>
                <c:pt idx="5">
                  <c:v>4192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14-49F1-B745-D6FCA8553D30}"/>
            </c:ext>
          </c:extLst>
        </c:ser>
        <c:ser>
          <c:idx val="1"/>
          <c:order val="1"/>
          <c:tx>
            <c:strRef>
              <c:f>Model!$Q$21</c:f>
              <c:strCache>
                <c:ptCount val="1"/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Model!$N$22:$N$27</c:f>
              <c:strCache>
                <c:ptCount val="6"/>
                <c:pt idx="0">
                  <c:v>Varmeproduktion Ovn2</c:v>
                </c:pt>
                <c:pt idx="1">
                  <c:v>Varmeproduktion Ovn3</c:v>
                </c:pt>
                <c:pt idx="2">
                  <c:v>Heraf RGK-varme</c:v>
                </c:pt>
                <c:pt idx="3">
                  <c:v>Bortkølet varme</c:v>
                </c:pt>
                <c:pt idx="4">
                  <c:v>Leveret varme</c:v>
                </c:pt>
                <c:pt idx="5">
                  <c:v>Spidslastvarme</c:v>
                </c:pt>
              </c:strCache>
            </c:strRef>
          </c:cat>
          <c:val>
            <c:numRef>
              <c:f>Model!$Q$22:$Q$27</c:f>
              <c:numCache>
                <c:formatCode>#,##0</c:formatCode>
                <c:ptCount val="6"/>
                <c:pt idx="0">
                  <c:v>7068</c:v>
                </c:pt>
                <c:pt idx="1">
                  <c:v>16740</c:v>
                </c:pt>
                <c:pt idx="2">
                  <c:v>0</c:v>
                </c:pt>
                <c:pt idx="3">
                  <c:v>0</c:v>
                </c:pt>
                <c:pt idx="4">
                  <c:v>23808</c:v>
                </c:pt>
                <c:pt idx="5">
                  <c:v>4192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14-49F1-B745-D6FCA8553D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30"/>
        <c:overlap val="-50"/>
        <c:axId val="795770207"/>
        <c:axId val="795780607"/>
      </c:barChart>
      <c:catAx>
        <c:axId val="795770207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795780607"/>
        <c:crosses val="autoZero"/>
        <c:auto val="1"/>
        <c:lblAlgn val="ctr"/>
        <c:lblOffset val="100"/>
        <c:noMultiLvlLbl val="0"/>
      </c:catAx>
      <c:valAx>
        <c:axId val="795780607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7957702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Model!$T$4</c:f>
          <c:strCache>
            <c:ptCount val="1"/>
            <c:pt idx="0">
              <c:v>RGK ift. Nominel: 12000 ton affald, 0 ton bioaffald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25886580647107943"/>
          <c:y val="0.13775301764159703"/>
          <c:w val="0.7055502752638998"/>
          <c:h val="0.7650099999999999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,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Model!$N$5:$N$19</c:f>
              <c:strCache>
                <c:ptCount val="15"/>
                <c:pt idx="0">
                  <c:v>Indtægter total</c:v>
                </c:pt>
                <c:pt idx="1">
                  <c:v>Omkostninger total</c:v>
                </c:pt>
                <c:pt idx="2">
                  <c:v>Dækningsbidrag</c:v>
                </c:pt>
                <c:pt idx="4">
                  <c:v>Varmesalg</c:v>
                </c:pt>
                <c:pt idx="5">
                  <c:v>Elsalg</c:v>
                </c:pt>
                <c:pt idx="6">
                  <c:v>RGK-rabat</c:v>
                </c:pt>
                <c:pt idx="7">
                  <c:v>Modtagebetaling affald</c:v>
                </c:pt>
                <c:pt idx="9">
                  <c:v>Betaling bioaffald</c:v>
                </c:pt>
                <c:pt idx="10">
                  <c:v>DV-omkostninger</c:v>
                </c:pt>
                <c:pt idx="11">
                  <c:v>Affaldvarme-afgift</c:v>
                </c:pt>
                <c:pt idx="12">
                  <c:v>Tillægsafgift</c:v>
                </c:pt>
                <c:pt idx="13">
                  <c:v>CO2-afgift</c:v>
                </c:pt>
                <c:pt idx="14">
                  <c:v>Kvote-omkostning</c:v>
                </c:pt>
              </c:strCache>
            </c:strRef>
          </c:cat>
          <c:val>
            <c:numRef>
              <c:f>Model!$R$5:$R$19</c:f>
              <c:numCache>
                <c:formatCode>#,##0,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A42-4788-BDF9-D7F6BC1C9D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30"/>
        <c:overlap val="-50"/>
        <c:axId val="907630911"/>
        <c:axId val="907631327"/>
      </c:barChart>
      <c:catAx>
        <c:axId val="90763091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7631327"/>
        <c:crosses val="autoZero"/>
        <c:auto val="1"/>
        <c:lblAlgn val="ctr"/>
        <c:lblOffset val="100"/>
        <c:noMultiLvlLbl val="0"/>
      </c:catAx>
      <c:valAx>
        <c:axId val="9076313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tkr</a:t>
                </a:r>
              </a:p>
            </c:rich>
          </c:tx>
          <c:layout>
            <c:manualLayout>
              <c:xMode val="edge"/>
              <c:yMode val="edge"/>
              <c:x val="0.18021717413221192"/>
              <c:y val="0.9285555555555555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#,##0,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763091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'Scenario 7 GWh'!$A$9</c:f>
              <c:strCache>
                <c:ptCount val="1"/>
                <c:pt idx="0">
                  <c:v>Omkostninger total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'Scenario 7 GWh'!$E$3:$N$3</c:f>
              <c:strCache>
                <c:ptCount val="10"/>
                <c:pt idx="0">
                  <c:v>RGK 10 %</c:v>
                </c:pt>
                <c:pt idx="1">
                  <c:v>RGK 20 %</c:v>
                </c:pt>
                <c:pt idx="2">
                  <c:v>RGK 30 %</c:v>
                </c:pt>
                <c:pt idx="3">
                  <c:v>RGK 40 %</c:v>
                </c:pt>
                <c:pt idx="4">
                  <c:v>RGK 50 %</c:v>
                </c:pt>
                <c:pt idx="5">
                  <c:v>RGK 60 %</c:v>
                </c:pt>
                <c:pt idx="6">
                  <c:v>RGK 70 %</c:v>
                </c:pt>
                <c:pt idx="7">
                  <c:v>RGK 80 %</c:v>
                </c:pt>
                <c:pt idx="8">
                  <c:v>RGK 90 %</c:v>
                </c:pt>
                <c:pt idx="9">
                  <c:v>RGK 100 %</c:v>
                </c:pt>
              </c:strCache>
            </c:strRef>
          </c:cat>
          <c:val>
            <c:numRef>
              <c:f>'Scenario 7 GWh'!$E$9:$N$9</c:f>
              <c:numCache>
                <c:formatCode>#,##0,</c:formatCode>
                <c:ptCount val="10"/>
                <c:pt idx="0">
                  <c:v>4123321.3703158302</c:v>
                </c:pt>
                <c:pt idx="1">
                  <c:v>4110275.5213671499</c:v>
                </c:pt>
                <c:pt idx="2">
                  <c:v>4097823.8932815501</c:v>
                </c:pt>
                <c:pt idx="3">
                  <c:v>4085926.79114307</c:v>
                </c:pt>
                <c:pt idx="4">
                  <c:v>4074547.97860272</c:v>
                </c:pt>
                <c:pt idx="5">
                  <c:v>4063654.3092326801</c:v>
                </c:pt>
                <c:pt idx="6">
                  <c:v>4053215.4040488801</c:v>
                </c:pt>
                <c:pt idx="7">
                  <c:v>4043203.3685937799</c:v>
                </c:pt>
                <c:pt idx="8">
                  <c:v>4033592.5440312298</c:v>
                </c:pt>
                <c:pt idx="9">
                  <c:v>4024359.2875764999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73-407E-96F8-7C95247B1AE9}"/>
            </c:ext>
          </c:extLst>
        </c:ser>
        <c:ser>
          <c:idx val="2"/>
          <c:order val="1"/>
          <c:tx>
            <c:strRef>
              <c:f>'Scenario 7 GWh'!$A$10</c:f>
              <c:strCache>
                <c:ptCount val="1"/>
                <c:pt idx="0">
                  <c:v>Dækningsbidrag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'Scenario 7 GWh'!$E$3:$N$3</c:f>
              <c:strCache>
                <c:ptCount val="10"/>
                <c:pt idx="0">
                  <c:v>RGK 10 %</c:v>
                </c:pt>
                <c:pt idx="1">
                  <c:v>RGK 20 %</c:v>
                </c:pt>
                <c:pt idx="2">
                  <c:v>RGK 30 %</c:v>
                </c:pt>
                <c:pt idx="3">
                  <c:v>RGK 40 %</c:v>
                </c:pt>
                <c:pt idx="4">
                  <c:v>RGK 50 %</c:v>
                </c:pt>
                <c:pt idx="5">
                  <c:v>RGK 60 %</c:v>
                </c:pt>
                <c:pt idx="6">
                  <c:v>RGK 70 %</c:v>
                </c:pt>
                <c:pt idx="7">
                  <c:v>RGK 80 %</c:v>
                </c:pt>
                <c:pt idx="8">
                  <c:v>RGK 90 %</c:v>
                </c:pt>
                <c:pt idx="9">
                  <c:v>RGK 100 %</c:v>
                </c:pt>
              </c:strCache>
            </c:strRef>
          </c:cat>
          <c:val>
            <c:numRef>
              <c:f>'Scenario 7 GWh'!$E$10:$N$10</c:f>
              <c:numCache>
                <c:formatCode>#,##0,</c:formatCode>
                <c:ptCount val="10"/>
                <c:pt idx="0">
                  <c:v>3425980.5598761602</c:v>
                </c:pt>
                <c:pt idx="1">
                  <c:v>3361337.75855528</c:v>
                </c:pt>
                <c:pt idx="2">
                  <c:v>3299639.34984115</c:v>
                </c:pt>
                <c:pt idx="3">
                  <c:v>3240688.6435393998</c:v>
                </c:pt>
                <c:pt idx="4">
                  <c:v>3184306.0868191002</c:v>
                </c:pt>
                <c:pt idx="5">
                  <c:v>3130327.4375558798</c:v>
                </c:pt>
                <c:pt idx="6">
                  <c:v>3078602.1664402601</c:v>
                </c:pt>
                <c:pt idx="7">
                  <c:v>3028992.0551100401</c:v>
                </c:pt>
                <c:pt idx="8">
                  <c:v>2981369.9628130901</c:v>
                </c:pt>
                <c:pt idx="9">
                  <c:v>2935618.7384278099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173-407E-96F8-7C95247B1A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01000192"/>
        <c:axId val="604163440"/>
      </c:barChart>
      <c:catAx>
        <c:axId val="2001000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604163440"/>
        <c:crosses val="autoZero"/>
        <c:auto val="1"/>
        <c:lblAlgn val="ctr"/>
        <c:lblOffset val="100"/>
        <c:noMultiLvlLbl val="0"/>
      </c:catAx>
      <c:valAx>
        <c:axId val="604163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2001000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'Scenario 28 GWh'!$A$9</c:f>
              <c:strCache>
                <c:ptCount val="1"/>
                <c:pt idx="0">
                  <c:v>Omkostninger total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'Scenario 28 GWh'!$E$3:$N$3</c:f>
              <c:strCache>
                <c:ptCount val="10"/>
                <c:pt idx="0">
                  <c:v>RGK 10 %</c:v>
                </c:pt>
                <c:pt idx="1">
                  <c:v>RGK 20 %</c:v>
                </c:pt>
                <c:pt idx="2">
                  <c:v>RGK 30 %</c:v>
                </c:pt>
                <c:pt idx="3">
                  <c:v>RGK 40 %</c:v>
                </c:pt>
                <c:pt idx="4">
                  <c:v>RGK 50 %</c:v>
                </c:pt>
                <c:pt idx="5">
                  <c:v>RGK 60 %</c:v>
                </c:pt>
                <c:pt idx="6">
                  <c:v>RGK 70 %</c:v>
                </c:pt>
                <c:pt idx="7">
                  <c:v>RGK 80 %</c:v>
                </c:pt>
                <c:pt idx="8">
                  <c:v>RGK 90 %</c:v>
                </c:pt>
                <c:pt idx="9">
                  <c:v>RGK 100 %</c:v>
                </c:pt>
              </c:strCache>
            </c:strRef>
          </c:cat>
          <c:val>
            <c:numRef>
              <c:f>'Scenario 28 GWh'!$E$9:$N$9</c:f>
              <c:numCache>
                <c:formatCode>#,##0,</c:formatCode>
                <c:ptCount val="10"/>
                <c:pt idx="0">
                  <c:v>7866196.3108281298</c:v>
                </c:pt>
                <c:pt idx="1">
                  <c:v>7831849.9144885596</c:v>
                </c:pt>
                <c:pt idx="2">
                  <c:v>7798897.0890948502</c:v>
                </c:pt>
                <c:pt idx="3">
                  <c:v>7767256.6557569401</c:v>
                </c:pt>
                <c:pt idx="4">
                  <c:v>7736853.6206430802</c:v>
                </c:pt>
                <c:pt idx="5">
                  <c:v>7707618.5969369598</c:v>
                </c:pt>
                <c:pt idx="6">
                  <c:v>7679487.2904326404</c:v>
                </c:pt>
                <c:pt idx="7">
                  <c:v>7652400.0407408504</c:v>
                </c:pt>
                <c:pt idx="8">
                  <c:v>7626301.4112166697</c:v>
                </c:pt>
                <c:pt idx="9">
                  <c:v>7601139.8216774501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A9-4995-94D5-E3D25067DFCE}"/>
            </c:ext>
          </c:extLst>
        </c:ser>
        <c:ser>
          <c:idx val="2"/>
          <c:order val="1"/>
          <c:tx>
            <c:strRef>
              <c:f>'Scenario 28 GWh'!$A$10</c:f>
              <c:strCache>
                <c:ptCount val="1"/>
                <c:pt idx="0">
                  <c:v>Dækningsbidrag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'Scenario 28 GWh'!$E$3:$N$3</c:f>
              <c:strCache>
                <c:ptCount val="10"/>
                <c:pt idx="0">
                  <c:v>RGK 10 %</c:v>
                </c:pt>
                <c:pt idx="1">
                  <c:v>RGK 20 %</c:v>
                </c:pt>
                <c:pt idx="2">
                  <c:v>RGK 30 %</c:v>
                </c:pt>
                <c:pt idx="3">
                  <c:v>RGK 40 %</c:v>
                </c:pt>
                <c:pt idx="4">
                  <c:v>RGK 50 %</c:v>
                </c:pt>
                <c:pt idx="5">
                  <c:v>RGK 60 %</c:v>
                </c:pt>
                <c:pt idx="6">
                  <c:v>RGK 70 %</c:v>
                </c:pt>
                <c:pt idx="7">
                  <c:v>RGK 80 %</c:v>
                </c:pt>
                <c:pt idx="8">
                  <c:v>RGK 90 %</c:v>
                </c:pt>
                <c:pt idx="9">
                  <c:v>RGK 100 %</c:v>
                </c:pt>
              </c:strCache>
            </c:strRef>
          </c:cat>
          <c:val>
            <c:numRef>
              <c:f>'Scenario 28 GWh'!$E$10:$N$10</c:f>
              <c:numCache>
                <c:formatCode>#,##0,</c:formatCode>
                <c:ptCount val="10"/>
                <c:pt idx="0">
                  <c:v>8324633.6659763698</c:v>
                </c:pt>
                <c:pt idx="1">
                  <c:v>8270244.8982715895</c:v>
                </c:pt>
                <c:pt idx="2">
                  <c:v>8217976.8235435002</c:v>
                </c:pt>
                <c:pt idx="3">
                  <c:v>8369287.0980898896</c:v>
                </c:pt>
                <c:pt idx="4">
                  <c:v>8320899.2150051603</c:v>
                </c:pt>
                <c:pt idx="5">
                  <c:v>8274288.7753986102</c:v>
                </c:pt>
                <c:pt idx="6">
                  <c:v>8229357.9383448502</c:v>
                </c:pt>
                <c:pt idx="7">
                  <c:v>8186015.9145167004</c:v>
                </c:pt>
                <c:pt idx="8">
                  <c:v>8144178.3421499496</c:v>
                </c:pt>
                <c:pt idx="9">
                  <c:v>8103766.7281248998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DA9-4995-94D5-E3D25067DF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01000192"/>
        <c:axId val="604163440"/>
      </c:barChart>
      <c:catAx>
        <c:axId val="2001000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604163440"/>
        <c:crosses val="autoZero"/>
        <c:auto val="1"/>
        <c:lblAlgn val="ctr"/>
        <c:lblOffset val="100"/>
        <c:noMultiLvlLbl val="0"/>
      </c:catAx>
      <c:valAx>
        <c:axId val="604163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2001000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'Scenario 35 GWh'!$A$9</c:f>
              <c:strCache>
                <c:ptCount val="1"/>
                <c:pt idx="0">
                  <c:v>Omkostninger total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'Scenario 35 GWh'!$E$3:$N$3</c:f>
              <c:strCache>
                <c:ptCount val="10"/>
                <c:pt idx="0">
                  <c:v>RGK 10 %</c:v>
                </c:pt>
                <c:pt idx="1">
                  <c:v>RGK 20 %</c:v>
                </c:pt>
                <c:pt idx="2">
                  <c:v>RGK 30 %</c:v>
                </c:pt>
                <c:pt idx="3">
                  <c:v>RGK 40 %</c:v>
                </c:pt>
                <c:pt idx="4">
                  <c:v>RGK 50 %</c:v>
                </c:pt>
                <c:pt idx="5">
                  <c:v>RGK 60 %</c:v>
                </c:pt>
                <c:pt idx="6">
                  <c:v>RGK 70 %</c:v>
                </c:pt>
                <c:pt idx="7">
                  <c:v>RGK 80 %</c:v>
                </c:pt>
                <c:pt idx="8">
                  <c:v>RGK 90 %</c:v>
                </c:pt>
                <c:pt idx="9">
                  <c:v>RGK 100 %</c:v>
                </c:pt>
              </c:strCache>
            </c:strRef>
          </c:cat>
          <c:val>
            <c:numRef>
              <c:f>'Scenario 35 GWh'!$E$9:$N$9</c:f>
              <c:numCache>
                <c:formatCode>#,##0,</c:formatCode>
                <c:ptCount val="10"/>
                <c:pt idx="0">
                  <c:v>7934106.8600176601</c:v>
                </c:pt>
                <c:pt idx="1">
                  <c:v>8049671.2001874102</c:v>
                </c:pt>
                <c:pt idx="2">
                  <c:v>8165235.5403571697</c:v>
                </c:pt>
                <c:pt idx="3">
                  <c:v>8280799.8805269198</c:v>
                </c:pt>
                <c:pt idx="4">
                  <c:v>8396364.2206966802</c:v>
                </c:pt>
                <c:pt idx="5">
                  <c:v>8511928.5608664397</c:v>
                </c:pt>
                <c:pt idx="6">
                  <c:v>8627492.9010361899</c:v>
                </c:pt>
                <c:pt idx="7">
                  <c:v>8743057.2412059493</c:v>
                </c:pt>
                <c:pt idx="8">
                  <c:v>8858621.5813757107</c:v>
                </c:pt>
                <c:pt idx="9">
                  <c:v>8974185.9215454608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0F-4161-9C5F-96CAE1FF0B02}"/>
            </c:ext>
          </c:extLst>
        </c:ser>
        <c:ser>
          <c:idx val="2"/>
          <c:order val="1"/>
          <c:tx>
            <c:strRef>
              <c:f>'Scenario 35 GWh'!$A$10</c:f>
              <c:strCache>
                <c:ptCount val="1"/>
                <c:pt idx="0">
                  <c:v>Dækningsbidrag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'Scenario 35 GWh'!$E$3:$N$3</c:f>
              <c:strCache>
                <c:ptCount val="10"/>
                <c:pt idx="0">
                  <c:v>RGK 10 %</c:v>
                </c:pt>
                <c:pt idx="1">
                  <c:v>RGK 20 %</c:v>
                </c:pt>
                <c:pt idx="2">
                  <c:v>RGK 30 %</c:v>
                </c:pt>
                <c:pt idx="3">
                  <c:v>RGK 40 %</c:v>
                </c:pt>
                <c:pt idx="4">
                  <c:v>RGK 50 %</c:v>
                </c:pt>
                <c:pt idx="5">
                  <c:v>RGK 60 %</c:v>
                </c:pt>
                <c:pt idx="6">
                  <c:v>RGK 70 %</c:v>
                </c:pt>
                <c:pt idx="7">
                  <c:v>RGK 80 %</c:v>
                </c:pt>
                <c:pt idx="8">
                  <c:v>RGK 90 %</c:v>
                </c:pt>
                <c:pt idx="9">
                  <c:v>RGK 100 %</c:v>
                </c:pt>
              </c:strCache>
            </c:strRef>
          </c:cat>
          <c:val>
            <c:numRef>
              <c:f>'Scenario 35 GWh'!$E$10:$N$10</c:f>
              <c:numCache>
                <c:formatCode>#,##0,</c:formatCode>
                <c:ptCount val="10"/>
                <c:pt idx="0">
                  <c:v>8375903.3934416501</c:v>
                </c:pt>
                <c:pt idx="1">
                  <c:v>8433877.0532719009</c:v>
                </c:pt>
                <c:pt idx="2">
                  <c:v>8491850.7131021395</c:v>
                </c:pt>
                <c:pt idx="3">
                  <c:v>8767933.6147433594</c:v>
                </c:pt>
                <c:pt idx="4">
                  <c:v>8830698.2625735998</c:v>
                </c:pt>
                <c:pt idx="5">
                  <c:v>8893462.9104038496</c:v>
                </c:pt>
                <c:pt idx="6">
                  <c:v>8956227.55823409</c:v>
                </c:pt>
                <c:pt idx="7">
                  <c:v>9018992.2060643304</c:v>
                </c:pt>
                <c:pt idx="8">
                  <c:v>9081756.8538945802</c:v>
                </c:pt>
                <c:pt idx="9">
                  <c:v>9144521.5017248206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40F-4161-9C5F-96CAE1FF0B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01000192"/>
        <c:axId val="604163440"/>
      </c:barChart>
      <c:catAx>
        <c:axId val="2001000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604163440"/>
        <c:crosses val="autoZero"/>
        <c:auto val="1"/>
        <c:lblAlgn val="ctr"/>
        <c:lblOffset val="100"/>
        <c:noMultiLvlLbl val="0"/>
      </c:catAx>
      <c:valAx>
        <c:axId val="604163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2001000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257734</xdr:colOff>
      <xdr:row>4</xdr:row>
      <xdr:rowOff>33617</xdr:rowOff>
    </xdr:from>
    <xdr:to>
      <xdr:col>0</xdr:col>
      <xdr:colOff>1423146</xdr:colOff>
      <xdr:row>5</xdr:row>
      <xdr:rowOff>156882</xdr:rowOff>
    </xdr:to>
    <xdr:sp macro="[0]!CalcScenario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49BE63B5-BB0B-42BB-B63B-E561DE980B45}"/>
            </a:ext>
          </a:extLst>
        </xdr:cNvPr>
        <xdr:cNvSpPr/>
      </xdr:nvSpPr>
      <xdr:spPr>
        <a:xfrm>
          <a:off x="257734" y="795617"/>
          <a:ext cx="1165412" cy="31376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a-DK" sz="1800" b="0"/>
            <a:t>Beregn</a:t>
          </a:r>
        </a:p>
      </xdr:txBody>
    </xdr:sp>
    <xdr:clientData/>
  </xdr:twoCellAnchor>
  <xdr:twoCellAnchor editAs="oneCell">
    <xdr:from>
      <xdr:col>9</xdr:col>
      <xdr:colOff>5598</xdr:colOff>
      <xdr:row>14</xdr:row>
      <xdr:rowOff>21012</xdr:rowOff>
    </xdr:from>
    <xdr:to>
      <xdr:col>17</xdr:col>
      <xdr:colOff>748187</xdr:colOff>
      <xdr:row>31</xdr:row>
      <xdr:rowOff>22512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97BA95A-D40D-44DF-A1D6-3E9E8BFE72A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</xdr:col>
      <xdr:colOff>52338</xdr:colOff>
      <xdr:row>14</xdr:row>
      <xdr:rowOff>23530</xdr:rowOff>
    </xdr:from>
    <xdr:to>
      <xdr:col>8</xdr:col>
      <xdr:colOff>559603</xdr:colOff>
      <xdr:row>31</xdr:row>
      <xdr:rowOff>25030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94B42506-7FE5-47C8-B2D5-C55E170D64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18</xdr:col>
      <xdr:colOff>0</xdr:colOff>
      <xdr:row>14</xdr:row>
      <xdr:rowOff>0</xdr:rowOff>
    </xdr:from>
    <xdr:to>
      <xdr:col>27</xdr:col>
      <xdr:colOff>249530</xdr:colOff>
      <xdr:row>31</xdr:row>
      <xdr:rowOff>1500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AF656D25-C713-46DE-93FC-5636B02BEDC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9</xdr:col>
      <xdr:colOff>0</xdr:colOff>
      <xdr:row>33</xdr:row>
      <xdr:rowOff>34636</xdr:rowOff>
    </xdr:from>
    <xdr:to>
      <xdr:col>17</xdr:col>
      <xdr:colOff>751758</xdr:colOff>
      <xdr:row>50</xdr:row>
      <xdr:rowOff>36136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90C96A5B-8D07-4369-89FE-0DF0928744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18</xdr:col>
      <xdr:colOff>0</xdr:colOff>
      <xdr:row>33</xdr:row>
      <xdr:rowOff>34636</xdr:rowOff>
    </xdr:from>
    <xdr:to>
      <xdr:col>27</xdr:col>
      <xdr:colOff>249530</xdr:colOff>
      <xdr:row>50</xdr:row>
      <xdr:rowOff>36136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6C6DC65D-2668-4D69-AFFF-212F529D2B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525413</xdr:colOff>
      <xdr:row>13</xdr:row>
      <xdr:rowOff>151778</xdr:rowOff>
    </xdr:from>
    <xdr:to>
      <xdr:col>34</xdr:col>
      <xdr:colOff>99958</xdr:colOff>
      <xdr:row>23</xdr:row>
      <xdr:rowOff>132728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9C587586-E294-4C74-9BF4-FBD48805E0B1}"/>
            </a:ext>
          </a:extLst>
        </xdr:cNvPr>
        <xdr:cNvSpPr txBox="1"/>
      </xdr:nvSpPr>
      <xdr:spPr>
        <a:xfrm rot="20887090">
          <a:off x="18213338" y="2628278"/>
          <a:ext cx="4451345" cy="1885950"/>
        </a:xfrm>
        <a:prstGeom prst="rect">
          <a:avLst/>
        </a:prstGeom>
        <a:solidFill>
          <a:srgbClr val="00FFFF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da-DK" sz="3600" b="1"/>
            <a:t>brug SCENARIO Manager</a:t>
          </a:r>
        </a:p>
      </xdr:txBody>
    </xdr:sp>
    <xdr:clientData/>
  </xdr:twoCellAnchor>
  <xdr:twoCellAnchor editAs="oneCell">
    <xdr:from>
      <xdr:col>19</xdr:col>
      <xdr:colOff>12324</xdr:colOff>
      <xdr:row>47</xdr:row>
      <xdr:rowOff>38098</xdr:rowOff>
    </xdr:from>
    <xdr:to>
      <xdr:col>25</xdr:col>
      <xdr:colOff>585972</xdr:colOff>
      <xdr:row>66</xdr:row>
      <xdr:rowOff>18598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29CC451-141C-42FB-9C6D-598CDB10EDF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19</xdr:col>
      <xdr:colOff>31325</xdr:colOff>
      <xdr:row>25</xdr:row>
      <xdr:rowOff>36368</xdr:rowOff>
    </xdr:from>
    <xdr:to>
      <xdr:col>25</xdr:col>
      <xdr:colOff>604973</xdr:colOff>
      <xdr:row>44</xdr:row>
      <xdr:rowOff>16868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812EC5D3-8CF7-46F7-AF51-A9935B03370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19</xdr:col>
      <xdr:colOff>11206</xdr:colOff>
      <xdr:row>4</xdr:row>
      <xdr:rowOff>22412</xdr:rowOff>
    </xdr:from>
    <xdr:to>
      <xdr:col>25</xdr:col>
      <xdr:colOff>584854</xdr:colOff>
      <xdr:row>23</xdr:row>
      <xdr:rowOff>2912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6EF3D20A-DAAF-45D8-BA9E-4526496A45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7</xdr:row>
      <xdr:rowOff>0</xdr:rowOff>
    </xdr:from>
    <xdr:to>
      <xdr:col>25</xdr:col>
      <xdr:colOff>526675</xdr:colOff>
      <xdr:row>21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57CC950-9C2B-48DC-B9AC-47177C8A95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7</xdr:row>
      <xdr:rowOff>6723</xdr:rowOff>
    </xdr:from>
    <xdr:to>
      <xdr:col>25</xdr:col>
      <xdr:colOff>526676</xdr:colOff>
      <xdr:row>21</xdr:row>
      <xdr:rowOff>82923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FA4D9C9-768C-4DAE-8849-6EB3EDF6D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145677</xdr:colOff>
      <xdr:row>0</xdr:row>
      <xdr:rowOff>22412</xdr:rowOff>
    </xdr:from>
    <xdr:to>
      <xdr:col>25</xdr:col>
      <xdr:colOff>560295</xdr:colOff>
      <xdr:row>7</xdr:row>
      <xdr:rowOff>11206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14FCCF80-8E07-44A5-9B7D-AB6F722FDE5A}"/>
            </a:ext>
          </a:extLst>
        </xdr:cNvPr>
        <xdr:cNvSpPr txBox="1"/>
      </xdr:nvSpPr>
      <xdr:spPr>
        <a:xfrm>
          <a:off x="14847795" y="22412"/>
          <a:ext cx="5860676" cy="1165412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a-DK" sz="1400"/>
            <a:t>Maksimal</a:t>
          </a:r>
          <a:r>
            <a:rPr lang="da-DK" sz="1400" baseline="0"/>
            <a:t> DB opnås her, når RGK-graden netop udløser RGK-rabatten. </a:t>
          </a:r>
        </a:p>
        <a:p>
          <a:r>
            <a:rPr lang="da-DK" sz="1400" baseline="0"/>
            <a:t>For større RGK-grad falder modtagebetalingen. </a:t>
          </a:r>
        </a:p>
        <a:p>
          <a:r>
            <a:rPr lang="da-DK" sz="1400" baseline="0"/>
            <a:t>Denne situation opstår, når varmebehovet ikke udnytter ovnkapaciteterne fuldt ud, om vinteren når NordicSugar-varme kommer ind, og om sommeren, når varmebehovet falder.</a:t>
          </a:r>
          <a:endParaRPr lang="da-DK" sz="14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7</xdr:row>
      <xdr:rowOff>0</xdr:rowOff>
    </xdr:from>
    <xdr:to>
      <xdr:col>25</xdr:col>
      <xdr:colOff>526675</xdr:colOff>
      <xdr:row>21</xdr:row>
      <xdr:rowOff>76200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A269395D-72BD-4C7E-A718-632CAABE67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5A9C23E-C378-4102-8DD3-8B9AF314D6D7}" name="TabelScenInput" displayName="TabelScenInput" ref="C6:Y12" totalsRowShown="0" headerRowDxfId="6">
  <autoFilter ref="C6:Y12" xr:uid="{95A9C23E-C378-4102-8DD3-8B9AF314D6D7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</autoFilter>
  <tableColumns count="23">
    <tableColumn id="1" xr3:uid="{03FC837D-D635-4526-963C-94D1302FC9EF}" name="Styringsparametre" dataDxfId="29"/>
    <tableColumn id="2" xr3:uid="{4ECB9DFC-8137-4247-93BA-68C1724288E6}" name="Enhed" dataDxfId="28"/>
    <tableColumn id="3" xr3:uid="{55F59C40-F2A8-4F2B-8C1D-FDF8B35B1A99}" name="Nominelt" dataDxfId="27"/>
    <tableColumn id="4" xr3:uid="{BC57ECF0-9B8D-4EA2-91E2-F2D1FA547227}" name="sc1" dataDxfId="26"/>
    <tableColumn id="5" xr3:uid="{01988D7D-4600-45BC-9FA2-873012A74628}" name="sc2" dataDxfId="25"/>
    <tableColumn id="6" xr3:uid="{0705A3E8-EBC4-42F3-A477-85E4D24068B9}" name="sc3" dataDxfId="24"/>
    <tableColumn id="7" xr3:uid="{D55146F2-4ECC-432E-A7E7-72F0F82FBB6D}" name="sc4" dataDxfId="23"/>
    <tableColumn id="8" xr3:uid="{0DEF3965-EA01-48E4-A019-79B6CE44B987}" name="sc5" dataDxfId="22"/>
    <tableColumn id="9" xr3:uid="{5CA941A0-E033-4111-A0B4-4D35A8856436}" name="sc6" dataDxfId="21"/>
    <tableColumn id="10" xr3:uid="{33E24628-41A1-4776-AF6B-4B891424C343}" name="sc7" dataDxfId="20"/>
    <tableColumn id="11" xr3:uid="{2377AD50-A2B8-41A9-A383-8177E3E7F6B4}" name="sc8" dataDxfId="19"/>
    <tableColumn id="12" xr3:uid="{B2CAD7D2-B1D3-4853-98B0-75401598665E}" name="sc9" dataDxfId="18"/>
    <tableColumn id="13" xr3:uid="{5CC18DD0-2958-40D8-BA6C-50B3BC06340B}" name="sc10" dataDxfId="17"/>
    <tableColumn id="14" xr3:uid="{A720AE3D-7BD1-480F-85F7-8B37830879BF}" name="sc11" dataDxfId="16"/>
    <tableColumn id="15" xr3:uid="{12423910-29FF-4F62-B679-2234314E087C}" name="sc12" dataDxfId="15"/>
    <tableColumn id="16" xr3:uid="{436C3CD5-D90C-415F-9094-F1CC0F15E436}" name="sc13" dataDxfId="14"/>
    <tableColumn id="17" xr3:uid="{E1F9B952-AB5D-4F44-A5AF-05DD7578035D}" name="sc14" dataDxfId="13"/>
    <tableColumn id="18" xr3:uid="{AE465BB8-15B0-42B3-B78E-92C0B1EF5E34}" name="sc15" dataDxfId="12"/>
    <tableColumn id="19" xr3:uid="{999C0A31-3BA0-4E6B-B060-B9CC34562DFF}" name="sc16" dataDxfId="11"/>
    <tableColumn id="20" xr3:uid="{4C409C04-6F68-4559-9D89-74EAA8059A6B}" name="sc17" dataDxfId="10"/>
    <tableColumn id="21" xr3:uid="{F882ABED-2A99-411C-A5B5-9B27C337B4C8}" name="sc18" dataDxfId="9"/>
    <tableColumn id="22" xr3:uid="{418CE78F-DA10-4EB7-BF16-2004DAE1F7EB}" name="sc19" dataDxfId="8"/>
    <tableColumn id="23" xr3:uid="{6872F8D1-2620-4297-A898-11F2C537F385}" name="sc20" dataDxfId="7"/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57430D07-40D6-430A-B5EC-3D50F467409A}">
  <we:reference id="wa200003696" version="1.0.0.0" store="en-US" storeType="OMEX"/>
  <we:alternateReferences>
    <we:reference id="wa200003696" version="1.0.0.0" store="WA200003696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FA8DB-58B5-4F5D-9E46-7BD8B1B89D7C}">
  <sheetPr codeName="Sheet1"/>
  <dimension ref="A1:AB146"/>
  <sheetViews>
    <sheetView tabSelected="1" topLeftCell="A5" zoomScale="85" zoomScaleNormal="85" workbookViewId="0">
      <selection activeCell="D36" sqref="D36"/>
    </sheetView>
  </sheetViews>
  <sheetFormatPr defaultRowHeight="15" outlineLevelRow="1" x14ac:dyDescent="0.25"/>
  <cols>
    <col min="1" max="1" width="27.85546875" customWidth="1"/>
    <col min="2" max="2" width="16.140625" customWidth="1"/>
    <col min="3" max="3" width="31.28515625" bestFit="1" customWidth="1"/>
    <col min="4" max="4" width="11.42578125" customWidth="1"/>
    <col min="5" max="5" width="10.85546875" customWidth="1"/>
    <col min="6" max="6" width="14.42578125" bestFit="1" customWidth="1"/>
    <col min="7" max="17" width="10.7109375" customWidth="1"/>
    <col min="18" max="18" width="11.85546875" customWidth="1"/>
    <col min="19" max="25" width="10.7109375" customWidth="1"/>
  </cols>
  <sheetData>
    <row r="1" spans="1:28" hidden="1" outlineLevel="1" x14ac:dyDescent="0.25"/>
    <row r="2" spans="1:28" hidden="1" outlineLevel="1" x14ac:dyDescent="0.25"/>
    <row r="3" spans="1:28" hidden="1" outlineLevel="1" x14ac:dyDescent="0.25"/>
    <row r="4" spans="1:28" hidden="1" outlineLevel="1" x14ac:dyDescent="0.25"/>
    <row r="5" spans="1:28" ht="21" collapsed="1" x14ac:dyDescent="0.35">
      <c r="C5" s="65" t="s">
        <v>246</v>
      </c>
      <c r="D5" s="60"/>
      <c r="E5" s="60"/>
      <c r="F5" s="60"/>
      <c r="G5" s="60"/>
      <c r="H5" s="60"/>
      <c r="I5" s="60"/>
      <c r="J5" s="60"/>
      <c r="K5" s="60"/>
      <c r="L5" s="60"/>
      <c r="M5" s="60"/>
      <c r="N5" s="60"/>
      <c r="O5" s="60"/>
      <c r="P5" s="60"/>
      <c r="Q5" s="60"/>
      <c r="R5" s="60"/>
      <c r="S5" s="60"/>
      <c r="T5" s="60"/>
      <c r="U5" s="60"/>
      <c r="V5" s="60"/>
      <c r="W5" s="60"/>
      <c r="X5" s="60"/>
      <c r="Y5" s="60"/>
    </row>
    <row r="6" spans="1:28" x14ac:dyDescent="0.25">
      <c r="C6" s="5" t="s">
        <v>134</v>
      </c>
      <c r="D6" s="10" t="s">
        <v>50</v>
      </c>
      <c r="E6" s="6" t="s">
        <v>214</v>
      </c>
      <c r="F6" s="6" t="s">
        <v>215</v>
      </c>
      <c r="G6" s="6" t="s">
        <v>216</v>
      </c>
      <c r="H6" s="6" t="s">
        <v>217</v>
      </c>
      <c r="I6" s="6" t="s">
        <v>218</v>
      </c>
      <c r="J6" s="6" t="s">
        <v>219</v>
      </c>
      <c r="K6" s="6" t="s">
        <v>220</v>
      </c>
      <c r="L6" s="6" t="s">
        <v>221</v>
      </c>
      <c r="M6" s="6" t="s">
        <v>222</v>
      </c>
      <c r="N6" s="6" t="s">
        <v>223</v>
      </c>
      <c r="O6" s="6" t="s">
        <v>224</v>
      </c>
      <c r="P6" s="6" t="s">
        <v>225</v>
      </c>
      <c r="Q6" s="6" t="s">
        <v>226</v>
      </c>
      <c r="R6" s="6" t="s">
        <v>227</v>
      </c>
      <c r="S6" s="6" t="s">
        <v>228</v>
      </c>
      <c r="T6" s="6" t="s">
        <v>229</v>
      </c>
      <c r="U6" s="6" t="s">
        <v>230</v>
      </c>
      <c r="V6" s="6" t="s">
        <v>231</v>
      </c>
      <c r="W6" s="6" t="s">
        <v>232</v>
      </c>
      <c r="X6" s="6" t="s">
        <v>233</v>
      </c>
      <c r="Y6" s="6" t="s">
        <v>234</v>
      </c>
    </row>
    <row r="7" spans="1:28" x14ac:dyDescent="0.25">
      <c r="C7" s="18" t="s">
        <v>235</v>
      </c>
      <c r="D7" s="10"/>
      <c r="E7" s="46">
        <v>1</v>
      </c>
      <c r="F7" s="47">
        <v>1</v>
      </c>
      <c r="G7" s="47">
        <v>1</v>
      </c>
      <c r="H7" s="47">
        <v>1</v>
      </c>
      <c r="I7" s="47">
        <v>1</v>
      </c>
      <c r="J7" s="47">
        <v>1</v>
      </c>
      <c r="K7" s="47">
        <v>1</v>
      </c>
      <c r="L7" s="47">
        <v>1</v>
      </c>
      <c r="M7" s="47">
        <v>1</v>
      </c>
      <c r="N7" s="47">
        <v>1</v>
      </c>
      <c r="O7" s="47">
        <v>1</v>
      </c>
      <c r="P7" s="47">
        <v>1</v>
      </c>
      <c r="Q7" s="47">
        <v>1</v>
      </c>
      <c r="R7" s="47">
        <v>1</v>
      </c>
      <c r="S7" s="47">
        <v>1</v>
      </c>
      <c r="T7" s="47">
        <v>1</v>
      </c>
      <c r="U7" s="47">
        <v>1</v>
      </c>
      <c r="V7" s="47">
        <v>1</v>
      </c>
      <c r="W7" s="47">
        <v>1</v>
      </c>
      <c r="X7" s="47">
        <v>1</v>
      </c>
      <c r="Y7" s="47">
        <v>1</v>
      </c>
    </row>
    <row r="8" spans="1:28" x14ac:dyDescent="0.25">
      <c r="C8" s="7" t="str">
        <f>Model!A5</f>
        <v>FJV-behov</v>
      </c>
      <c r="D8" s="7" t="str">
        <f>Model!B5</f>
        <v>MWhq</v>
      </c>
      <c r="E8" s="16">
        <f>28000</f>
        <v>28000</v>
      </c>
      <c r="F8" s="16">
        <f>28000</f>
        <v>28000</v>
      </c>
      <c r="G8" s="16">
        <f>28000</f>
        <v>28000</v>
      </c>
      <c r="H8" s="16">
        <f>28000</f>
        <v>28000</v>
      </c>
      <c r="I8" s="16">
        <f>28000</f>
        <v>28000</v>
      </c>
      <c r="J8" s="16">
        <f>28000</f>
        <v>28000</v>
      </c>
      <c r="K8" s="16">
        <f>28000</f>
        <v>28000</v>
      </c>
      <c r="L8" s="16">
        <f>28000</f>
        <v>28000</v>
      </c>
      <c r="M8" s="16">
        <f>28000</f>
        <v>28000</v>
      </c>
      <c r="N8" s="16">
        <f>28000</f>
        <v>28000</v>
      </c>
      <c r="O8" s="16">
        <f>28000</f>
        <v>28000</v>
      </c>
      <c r="P8" s="16">
        <f>28000</f>
        <v>28000</v>
      </c>
      <c r="Q8" s="16">
        <f>28000</f>
        <v>28000</v>
      </c>
      <c r="R8" s="16">
        <f>28000</f>
        <v>28000</v>
      </c>
      <c r="S8" s="16">
        <f>28000</f>
        <v>28000</v>
      </c>
      <c r="T8" s="16">
        <f>28000</f>
        <v>28000</v>
      </c>
      <c r="U8" s="16">
        <f>28000</f>
        <v>28000</v>
      </c>
      <c r="V8" s="16">
        <f>28000</f>
        <v>28000</v>
      </c>
      <c r="W8" s="16">
        <f>28000</f>
        <v>28000</v>
      </c>
      <c r="X8" s="16">
        <f>28000</f>
        <v>28000</v>
      </c>
      <c r="Y8" s="16">
        <f>28000</f>
        <v>28000</v>
      </c>
    </row>
    <row r="9" spans="1:28" x14ac:dyDescent="0.25">
      <c r="C9" s="7" t="str">
        <f>Model!A6</f>
        <v>Affaldstonnage Fossil</v>
      </c>
      <c r="D9" s="7" t="str">
        <f>Model!B6</f>
        <v>ton</v>
      </c>
      <c r="E9" s="16">
        <f>Model!C6</f>
        <v>12000</v>
      </c>
      <c r="F9" s="16">
        <v>12000</v>
      </c>
      <c r="G9" s="16">
        <v>12000</v>
      </c>
      <c r="H9" s="16">
        <v>12000</v>
      </c>
      <c r="I9" s="16">
        <v>12000</v>
      </c>
      <c r="J9" s="16">
        <v>12000</v>
      </c>
      <c r="K9" s="16">
        <v>12000</v>
      </c>
      <c r="L9" s="16">
        <v>12000</v>
      </c>
      <c r="M9" s="16">
        <v>12000</v>
      </c>
      <c r="N9" s="16">
        <v>12000</v>
      </c>
      <c r="O9" s="16">
        <v>12000</v>
      </c>
      <c r="P9" s="16">
        <v>12000</v>
      </c>
      <c r="Q9" s="16">
        <v>12000</v>
      </c>
      <c r="R9" s="16">
        <v>12000</v>
      </c>
      <c r="S9" s="16">
        <v>12000</v>
      </c>
      <c r="T9" s="16">
        <v>12000</v>
      </c>
      <c r="U9" s="16">
        <v>12000</v>
      </c>
      <c r="V9" s="16">
        <v>12000</v>
      </c>
      <c r="W9" s="16">
        <v>12000</v>
      </c>
      <c r="X9" s="16">
        <v>12000</v>
      </c>
      <c r="Y9" s="16">
        <v>12000</v>
      </c>
    </row>
    <row r="10" spans="1:28" x14ac:dyDescent="0.25">
      <c r="C10" s="7" t="str">
        <f>Model!A7</f>
        <v>Affaldstonnage Biogen</v>
      </c>
      <c r="D10" s="7" t="str">
        <f>Model!B7</f>
        <v>ton</v>
      </c>
      <c r="E10" s="16">
        <f>Model!C7</f>
        <v>0</v>
      </c>
      <c r="F10" s="16">
        <v>0</v>
      </c>
      <c r="G10" s="16">
        <v>0</v>
      </c>
      <c r="H10" s="16">
        <v>0</v>
      </c>
      <c r="I10" s="16">
        <v>0</v>
      </c>
      <c r="J10" s="16">
        <v>0</v>
      </c>
      <c r="K10" s="16">
        <v>0</v>
      </c>
      <c r="L10" s="16">
        <v>0</v>
      </c>
      <c r="M10" s="16">
        <v>0</v>
      </c>
      <c r="N10" s="16">
        <v>0</v>
      </c>
      <c r="O10" s="16">
        <v>0</v>
      </c>
      <c r="P10" s="16">
        <v>0</v>
      </c>
      <c r="Q10" s="16">
        <v>0</v>
      </c>
      <c r="R10" s="16">
        <v>0</v>
      </c>
      <c r="S10" s="16">
        <v>0</v>
      </c>
      <c r="T10" s="16">
        <v>0</v>
      </c>
      <c r="U10" s="16">
        <v>0</v>
      </c>
      <c r="V10" s="16">
        <v>0</v>
      </c>
      <c r="W10" s="16">
        <v>0</v>
      </c>
      <c r="X10" s="16">
        <v>0</v>
      </c>
      <c r="Y10" s="16">
        <v>0</v>
      </c>
    </row>
    <row r="11" spans="1:28" x14ac:dyDescent="0.25">
      <c r="C11" s="7" t="str">
        <f>Model!A8</f>
        <v>RGK-udnyttelse</v>
      </c>
      <c r="D11" s="7" t="str">
        <f>Model!B8</f>
        <v>procent</v>
      </c>
      <c r="E11" s="21">
        <v>1</v>
      </c>
      <c r="F11" s="21">
        <v>0.05</v>
      </c>
      <c r="G11" s="21">
        <v>0.1</v>
      </c>
      <c r="H11" s="21">
        <v>0.15</v>
      </c>
      <c r="I11" s="21">
        <v>0.2</v>
      </c>
      <c r="J11" s="21">
        <v>0.25</v>
      </c>
      <c r="K11" s="21">
        <v>0.3</v>
      </c>
      <c r="L11" s="21">
        <v>0.35</v>
      </c>
      <c r="M11" s="21">
        <v>0.4</v>
      </c>
      <c r="N11" s="21">
        <v>0.45</v>
      </c>
      <c r="O11" s="21">
        <v>0.5</v>
      </c>
      <c r="P11" s="21">
        <v>0.55000000000000004</v>
      </c>
      <c r="Q11" s="21">
        <v>0.6</v>
      </c>
      <c r="R11" s="21">
        <v>0.65</v>
      </c>
      <c r="S11" s="21">
        <v>0.7</v>
      </c>
      <c r="T11" s="21">
        <v>0.75</v>
      </c>
      <c r="U11" s="21">
        <v>0.8</v>
      </c>
      <c r="V11" s="21">
        <v>0.85</v>
      </c>
      <c r="W11" s="21">
        <v>0.9</v>
      </c>
      <c r="X11" s="21">
        <v>0.95</v>
      </c>
      <c r="Y11" s="21">
        <v>1</v>
      </c>
    </row>
    <row r="12" spans="1:28" x14ac:dyDescent="0.25">
      <c r="C12" s="7" t="str">
        <f>Model!A9</f>
        <v>NordicSugar varme</v>
      </c>
      <c r="D12" s="7" t="str">
        <f>Model!B9</f>
        <v>MWhq</v>
      </c>
      <c r="E12" s="16">
        <f>Model!C9</f>
        <v>4000</v>
      </c>
      <c r="F12" s="16">
        <v>4000</v>
      </c>
      <c r="G12" s="16">
        <v>4000</v>
      </c>
      <c r="H12" s="16">
        <v>4000</v>
      </c>
      <c r="I12" s="16">
        <v>4000</v>
      </c>
      <c r="J12" s="16">
        <v>4000</v>
      </c>
      <c r="K12" s="16">
        <v>4000</v>
      </c>
      <c r="L12" s="16">
        <v>4000</v>
      </c>
      <c r="M12" s="16">
        <v>4000</v>
      </c>
      <c r="N12" s="16">
        <v>4000</v>
      </c>
      <c r="O12" s="16">
        <v>4000</v>
      </c>
      <c r="P12" s="16">
        <v>4000</v>
      </c>
      <c r="Q12" s="16">
        <v>4000</v>
      </c>
      <c r="R12" s="16">
        <v>4000</v>
      </c>
      <c r="S12" s="16">
        <v>4000</v>
      </c>
      <c r="T12" s="16">
        <v>4000</v>
      </c>
      <c r="U12" s="16">
        <v>4000</v>
      </c>
      <c r="V12" s="16">
        <v>4000</v>
      </c>
      <c r="W12" s="16">
        <v>4000</v>
      </c>
      <c r="X12" s="16">
        <v>4000</v>
      </c>
      <c r="Y12" s="16">
        <v>4000</v>
      </c>
    </row>
    <row r="13" spans="1:28" x14ac:dyDescent="0.25">
      <c r="C13" s="7"/>
      <c r="D13" s="7"/>
      <c r="E13" s="16"/>
      <c r="F13" s="16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  <c r="T13" s="16"/>
      <c r="U13" s="16"/>
      <c r="V13" s="16"/>
      <c r="W13" s="16"/>
      <c r="X13" s="16"/>
      <c r="Y13" s="16"/>
    </row>
    <row r="14" spans="1:28" x14ac:dyDescent="0.25">
      <c r="C14" s="52" t="s">
        <v>243</v>
      </c>
      <c r="D14" s="53" t="s">
        <v>244</v>
      </c>
      <c r="E14" s="54"/>
      <c r="F14" s="54"/>
      <c r="G14" s="54"/>
      <c r="H14" s="54"/>
      <c r="I14" s="53"/>
      <c r="J14" s="52" t="s">
        <v>243</v>
      </c>
      <c r="K14" s="53" t="s">
        <v>248</v>
      </c>
      <c r="L14" s="54"/>
      <c r="M14" s="54"/>
      <c r="N14" s="54"/>
      <c r="O14" s="54"/>
      <c r="P14" s="54"/>
      <c r="Q14" s="54"/>
      <c r="R14" s="54"/>
      <c r="S14" s="54" t="s">
        <v>243</v>
      </c>
      <c r="T14" s="54" t="s">
        <v>143</v>
      </c>
      <c r="U14" s="54"/>
      <c r="V14" s="54"/>
      <c r="W14" s="54"/>
      <c r="X14" s="54"/>
      <c r="Y14" s="54"/>
      <c r="Z14" s="54"/>
      <c r="AA14" s="54"/>
      <c r="AB14" s="54"/>
    </row>
    <row r="15" spans="1:28" x14ac:dyDescent="0.25">
      <c r="A15" s="56" t="s">
        <v>247</v>
      </c>
      <c r="B15" s="59" t="s">
        <v>245</v>
      </c>
      <c r="C15" s="7"/>
      <c r="D15" s="7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16"/>
      <c r="V15" s="16"/>
      <c r="W15" s="16"/>
      <c r="X15" s="16"/>
      <c r="Y15" s="16"/>
    </row>
    <row r="16" spans="1:28" x14ac:dyDescent="0.25">
      <c r="A16" t="s">
        <v>123</v>
      </c>
      <c r="B16" s="51">
        <v>1000</v>
      </c>
      <c r="C16" s="7"/>
      <c r="D16" s="7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6"/>
      <c r="V16" s="16"/>
      <c r="W16" s="16"/>
      <c r="X16" s="16"/>
      <c r="Y16" s="16"/>
    </row>
    <row r="17" spans="1:25" x14ac:dyDescent="0.25">
      <c r="A17" t="s">
        <v>121</v>
      </c>
      <c r="B17" s="51">
        <v>1000</v>
      </c>
      <c r="C17" s="7"/>
      <c r="D17" s="7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</row>
    <row r="18" spans="1:25" x14ac:dyDescent="0.25">
      <c r="A18" t="s">
        <v>122</v>
      </c>
      <c r="B18" s="51">
        <v>-1000</v>
      </c>
      <c r="C18" s="7"/>
      <c r="D18" s="7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</row>
    <row r="19" spans="1:25" x14ac:dyDescent="0.25">
      <c r="A19" t="s">
        <v>108</v>
      </c>
      <c r="B19" s="51">
        <v>1000</v>
      </c>
      <c r="C19" s="7"/>
      <c r="D19" s="7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</row>
    <row r="20" spans="1:25" x14ac:dyDescent="0.25">
      <c r="A20" t="s">
        <v>106</v>
      </c>
      <c r="B20" s="51">
        <v>1000</v>
      </c>
      <c r="C20" s="7"/>
      <c r="D20" s="7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</row>
    <row r="21" spans="1:25" x14ac:dyDescent="0.25">
      <c r="A21" t="s">
        <v>25</v>
      </c>
      <c r="B21" s="51">
        <v>1000</v>
      </c>
      <c r="C21" s="7"/>
      <c r="D21" s="7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</row>
    <row r="22" spans="1:25" x14ac:dyDescent="0.25">
      <c r="A22" t="s">
        <v>115</v>
      </c>
      <c r="B22" s="51">
        <v>1</v>
      </c>
      <c r="C22" s="7"/>
      <c r="D22" s="7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</row>
    <row r="23" spans="1:25" x14ac:dyDescent="0.25">
      <c r="A23" t="s">
        <v>116</v>
      </c>
      <c r="B23" s="51">
        <v>1</v>
      </c>
      <c r="C23" s="7"/>
      <c r="D23" s="7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</row>
    <row r="24" spans="1:25" x14ac:dyDescent="0.25">
      <c r="A24" t="s">
        <v>47</v>
      </c>
      <c r="B24" s="51">
        <v>-1</v>
      </c>
      <c r="C24" s="7"/>
      <c r="D24" s="7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</row>
    <row r="25" spans="1:25" x14ac:dyDescent="0.25">
      <c r="A25" t="s">
        <v>112</v>
      </c>
      <c r="B25" s="51">
        <v>1</v>
      </c>
      <c r="C25" s="7"/>
      <c r="D25" s="7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</row>
    <row r="26" spans="1:25" x14ac:dyDescent="0.25">
      <c r="A26" t="s">
        <v>136</v>
      </c>
      <c r="B26" s="51">
        <v>1</v>
      </c>
      <c r="C26" s="7"/>
      <c r="D26" s="7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</row>
    <row r="27" spans="1:25" x14ac:dyDescent="0.25">
      <c r="A27" t="s">
        <v>149</v>
      </c>
      <c r="B27" s="51">
        <v>1</v>
      </c>
      <c r="C27" s="7"/>
      <c r="D27" s="7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</row>
    <row r="28" spans="1:25" x14ac:dyDescent="0.25">
      <c r="A28" t="s">
        <v>147</v>
      </c>
      <c r="B28" s="51">
        <v>1</v>
      </c>
      <c r="C28" s="7"/>
      <c r="D28" s="7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</row>
    <row r="29" spans="1:25" x14ac:dyDescent="0.25">
      <c r="A29" t="s">
        <v>104</v>
      </c>
      <c r="B29" s="51">
        <v>1</v>
      </c>
      <c r="C29" s="7"/>
      <c r="D29" s="7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</row>
    <row r="30" spans="1:25" x14ac:dyDescent="0.25">
      <c r="A30" t="s">
        <v>103</v>
      </c>
      <c r="B30" s="51">
        <v>1</v>
      </c>
      <c r="C30" s="7"/>
      <c r="D30" s="7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</row>
    <row r="31" spans="1:25" x14ac:dyDescent="0.25">
      <c r="A31" t="s">
        <v>151</v>
      </c>
      <c r="B31" s="51">
        <v>1</v>
      </c>
      <c r="C31" s="7"/>
      <c r="D31" s="7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</row>
    <row r="32" spans="1:25" x14ac:dyDescent="0.25">
      <c r="A32" t="s">
        <v>150</v>
      </c>
      <c r="B32" s="51">
        <v>1</v>
      </c>
      <c r="C32" s="7"/>
      <c r="D32" s="7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</row>
    <row r="33" spans="1:25" x14ac:dyDescent="0.25">
      <c r="A33" t="s">
        <v>155</v>
      </c>
      <c r="B33" s="51">
        <v>1</v>
      </c>
      <c r="C33" s="52"/>
      <c r="D33" s="53"/>
      <c r="E33" s="54"/>
      <c r="F33" s="54"/>
      <c r="G33" s="54"/>
      <c r="H33" s="54"/>
      <c r="I33" s="54"/>
      <c r="J33" s="54" t="s">
        <v>243</v>
      </c>
      <c r="K33" s="54" t="s">
        <v>152</v>
      </c>
      <c r="L33" s="54"/>
      <c r="M33" s="54"/>
      <c r="N33" s="54"/>
      <c r="O33" s="54"/>
      <c r="P33" s="54"/>
      <c r="Q33" s="54"/>
      <c r="R33" s="54"/>
      <c r="S33" s="54" t="s">
        <v>243</v>
      </c>
      <c r="T33" s="54" t="s">
        <v>153</v>
      </c>
      <c r="U33" s="54"/>
      <c r="V33" s="16"/>
      <c r="W33" s="16"/>
      <c r="X33" s="16"/>
      <c r="Y33" s="16"/>
    </row>
    <row r="34" spans="1:25" x14ac:dyDescent="0.25">
      <c r="A34" t="s">
        <v>154</v>
      </c>
      <c r="B34" s="51">
        <v>1</v>
      </c>
      <c r="C34" s="7"/>
      <c r="D34" s="7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16"/>
      <c r="V34" s="16"/>
      <c r="W34" s="16"/>
      <c r="X34" s="16"/>
      <c r="Y34" s="16"/>
    </row>
    <row r="35" spans="1:25" x14ac:dyDescent="0.25">
      <c r="A35" t="s">
        <v>156</v>
      </c>
      <c r="B35" s="51">
        <v>1</v>
      </c>
      <c r="C35" s="7"/>
      <c r="D35" s="7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  <c r="Y35" s="16"/>
    </row>
    <row r="38" spans="1:25" x14ac:dyDescent="0.25">
      <c r="A38" s="56" t="s">
        <v>242</v>
      </c>
      <c r="B38" s="57"/>
    </row>
    <row r="39" spans="1:25" x14ac:dyDescent="0.25">
      <c r="A39" s="48" t="s">
        <v>133</v>
      </c>
      <c r="B39" s="6" t="s">
        <v>245</v>
      </c>
    </row>
    <row r="40" spans="1:25" x14ac:dyDescent="0.25">
      <c r="A40" s="55" t="s">
        <v>108</v>
      </c>
      <c r="B40" s="51">
        <v>1000</v>
      </c>
    </row>
    <row r="41" spans="1:25" x14ac:dyDescent="0.25">
      <c r="A41" s="55" t="s">
        <v>106</v>
      </c>
      <c r="B41" s="51">
        <v>1000</v>
      </c>
    </row>
    <row r="42" spans="1:25" x14ac:dyDescent="0.25">
      <c r="A42" s="55"/>
      <c r="B42" s="51">
        <v>0</v>
      </c>
    </row>
    <row r="43" spans="1:25" x14ac:dyDescent="0.25">
      <c r="A43" s="55"/>
      <c r="B43" s="51">
        <v>0</v>
      </c>
    </row>
    <row r="44" spans="1:25" x14ac:dyDescent="0.25">
      <c r="A44" s="55"/>
      <c r="B44" s="51">
        <v>0</v>
      </c>
    </row>
    <row r="45" spans="1:25" x14ac:dyDescent="0.25">
      <c r="A45" s="55"/>
      <c r="B45" s="51">
        <v>0</v>
      </c>
    </row>
    <row r="46" spans="1:25" x14ac:dyDescent="0.25">
      <c r="A46" s="55"/>
      <c r="B46" s="51">
        <v>0</v>
      </c>
    </row>
    <row r="47" spans="1:25" x14ac:dyDescent="0.25">
      <c r="A47" s="55"/>
      <c r="B47" s="51">
        <v>0</v>
      </c>
    </row>
    <row r="48" spans="1:25" x14ac:dyDescent="0.25">
      <c r="A48" s="55"/>
      <c r="B48" s="51">
        <v>0</v>
      </c>
    </row>
    <row r="49" spans="1:28" x14ac:dyDescent="0.25">
      <c r="A49" s="55"/>
      <c r="B49" s="51">
        <v>0</v>
      </c>
    </row>
    <row r="51" spans="1:28" x14ac:dyDescent="0.25">
      <c r="C51" s="64"/>
      <c r="D51" s="64"/>
      <c r="E51" s="64"/>
      <c r="F51" s="64"/>
      <c r="G51" s="64"/>
      <c r="H51" s="64"/>
      <c r="I51" s="64"/>
      <c r="J51" s="64"/>
      <c r="K51" s="64"/>
      <c r="L51" s="64"/>
      <c r="M51" s="64"/>
      <c r="N51" s="64"/>
      <c r="O51" s="64"/>
      <c r="P51" s="64"/>
      <c r="Q51" s="64"/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</row>
    <row r="52" spans="1:28" x14ac:dyDescent="0.25">
      <c r="A52" s="62" t="s">
        <v>241</v>
      </c>
    </row>
    <row r="53" spans="1:28" x14ac:dyDescent="0.25">
      <c r="A53" s="63" t="str" cm="1">
        <f t="array" ref="A53:A81">_xlfn.LET(_xlpm.ran,C92:C129,_xlfn._xlws.FILTER(_xlpm.ran,(LEN(_xlpm.ran)&gt;0)*(IFERROR(FIND(":",_xlpm.ran)=0,TRUE))))</f>
        <v>Indtægter total</v>
      </c>
      <c r="C53" s="56" t="s">
        <v>247</v>
      </c>
      <c r="D53" s="56" t="s">
        <v>245</v>
      </c>
      <c r="E53" s="59" t="str">
        <f>TabelScenInput[[#Headers],[Nominelt]]</f>
        <v>Nominelt</v>
      </c>
      <c r="F53" s="59" t="str">
        <f>TabelScenInput[[#Headers],[sc1]]</f>
        <v>sc1</v>
      </c>
      <c r="G53" s="59" t="str">
        <f>TabelScenInput[[#Headers],[sc2]]</f>
        <v>sc2</v>
      </c>
      <c r="H53" s="59" t="str">
        <f>TabelScenInput[[#Headers],[sc3]]</f>
        <v>sc3</v>
      </c>
      <c r="I53" s="59" t="str">
        <f>TabelScenInput[[#Headers],[sc4]]</f>
        <v>sc4</v>
      </c>
      <c r="J53" s="59" t="str">
        <f>TabelScenInput[[#Headers],[sc5]]</f>
        <v>sc5</v>
      </c>
      <c r="K53" s="59" t="str">
        <f>TabelScenInput[[#Headers],[sc6]]</f>
        <v>sc6</v>
      </c>
      <c r="L53" s="59" t="str">
        <f>TabelScenInput[[#Headers],[sc7]]</f>
        <v>sc7</v>
      </c>
      <c r="M53" s="59" t="str">
        <f>TabelScenInput[[#Headers],[sc8]]</f>
        <v>sc8</v>
      </c>
      <c r="N53" s="59" t="str">
        <f>TabelScenInput[[#Headers],[sc9]]</f>
        <v>sc9</v>
      </c>
      <c r="O53" s="59" t="str">
        <f>TabelScenInput[[#Headers],[sc10]]</f>
        <v>sc10</v>
      </c>
      <c r="P53" s="59" t="str">
        <f>TabelScenInput[[#Headers],[sc11]]</f>
        <v>sc11</v>
      </c>
      <c r="Q53" s="59" t="str">
        <f>TabelScenInput[[#Headers],[sc12]]</f>
        <v>sc12</v>
      </c>
      <c r="R53" s="59" t="str">
        <f>TabelScenInput[[#Headers],[sc13]]</f>
        <v>sc13</v>
      </c>
      <c r="S53" s="59" t="str">
        <f>TabelScenInput[[#Headers],[sc14]]</f>
        <v>sc14</v>
      </c>
      <c r="T53" s="59" t="str">
        <f>TabelScenInput[[#Headers],[sc15]]</f>
        <v>sc15</v>
      </c>
      <c r="U53" s="59" t="str">
        <f>TabelScenInput[[#Headers],[sc16]]</f>
        <v>sc16</v>
      </c>
      <c r="V53" s="59" t="str">
        <f>TabelScenInput[[#Headers],[sc17]]</f>
        <v>sc17</v>
      </c>
      <c r="W53" s="59" t="str">
        <f>TabelScenInput[[#Headers],[sc18]]</f>
        <v>sc18</v>
      </c>
      <c r="X53" s="59" t="str">
        <f>TabelScenInput[[#Headers],[sc19]]</f>
        <v>sc19</v>
      </c>
      <c r="Y53" s="59" t="str">
        <f>TabelScenInput[[#Headers],[sc20]]</f>
        <v>sc20</v>
      </c>
    </row>
    <row r="54" spans="1:28" x14ac:dyDescent="0.25">
      <c r="A54" t="str">
        <v>Omkostninger total</v>
      </c>
      <c r="B54" s="61"/>
      <c r="C54" t="str">
        <f>IF(ISBLANK(A16),"",A16)</f>
        <v>Dækningsbidrag</v>
      </c>
      <c r="D54" s="51">
        <f>B16</f>
        <v>1000</v>
      </c>
      <c r="E54" s="16" cm="1">
        <f t="array" ref="E54">IFERROR(IF($D54 &lt;&gt;0,ResultValue($C54,COLUMN(F54)-COLUMN($C54))/$D54,""),"")</f>
        <v>8081.0686816686157</v>
      </c>
      <c r="F54" s="16" cm="1">
        <f t="array" ref="F54">IFERROR(IF($D54 &lt;&gt;0,ResultValue($C54,COLUMN(G54)-COLUMN($C54))/$D54,""),"")</f>
        <v>8329.056190743413</v>
      </c>
      <c r="G54" s="16" cm="1">
        <f t="array" ref="G54">IFERROR(IF($D54 &lt;&gt;0,ResultValue($C54,COLUMN(H54)-COLUMN($C54))/$D54,""),"")</f>
        <v>8301.1435517990449</v>
      </c>
      <c r="H54" s="16" cm="1">
        <f t="array" ref="H54">IFERROR(IF($D54 &lt;&gt;0,ResultValue($C54,COLUMN(I54)-COLUMN($C54))/$D54,""),"")</f>
        <v>8273.7919741592195</v>
      </c>
      <c r="I54" s="16" cm="1">
        <f t="array" ref="I54">IFERROR(IF($D54 &lt;&gt;0,ResultValue($C54,COLUMN(J54)-COLUMN($C54))/$D54,""),"")</f>
        <v>8246.984455966227</v>
      </c>
      <c r="J54" s="16" cm="1">
        <f t="array" ref="J54">IFERROR(IF($D54 &lt;&gt;0,ResultValue($C54,COLUMN(K54)-COLUMN($C54))/$D54,""),"")</f>
        <v>8220.7046754366638</v>
      </c>
      <c r="K54" s="16" cm="1">
        <f t="array" ref="K54">IFERROR(IF($D54 &lt;&gt;0,ResultValue($C54,COLUMN(L54)-COLUMN($C54))/$D54,""),"")</f>
        <v>8194.9369571943898</v>
      </c>
      <c r="L54" s="16" cm="1">
        <f t="array" ref="L54">IFERROR(IF($D54 &lt;&gt;0,ResultValue($C54,COLUMN(M54)-COLUMN($C54))/$D54,""),"")</f>
        <v>8169.6662405838888</v>
      </c>
      <c r="M54" s="16" cm="1">
        <f t="array" ref="M54">IFERROR(IF($D54 &lt;&gt;0,ResultValue($C54,COLUMN(N54)-COLUMN($C54))/$D54,""),"")</f>
        <v>8345.471851640461</v>
      </c>
      <c r="N54" s="16" cm="1">
        <f t="array" ref="N54">IFERROR(IF($D54 &lt;&gt;0,ResultValue($C54,COLUMN(O54)-COLUMN($C54))/$D54,""),"")</f>
        <v>8321.1522677270732</v>
      </c>
      <c r="O54" s="16" cm="1">
        <f t="array" ref="O54">IFERROR(IF($D54 &lt;&gt;0,ResultValue($C54,COLUMN(P54)-COLUMN($C54))/$D54,""),"")</f>
        <v>8297.2879018878102</v>
      </c>
      <c r="P54" s="16" cm="1">
        <f t="array" ref="P54">IFERROR(IF($D54 &lt;&gt;0,ResultValue($C54,COLUMN(Q54)-COLUMN($C54))/$D54,""),"")</f>
        <v>8273.8658705922808</v>
      </c>
      <c r="Q54" s="16" cm="1">
        <f t="array" ref="Q54">IFERROR(IF($D54 &lt;&gt;0,ResultValue($C54,COLUMN(R54)-COLUMN($C54))/$D54,""),"")</f>
        <v>8250.8737719373821</v>
      </c>
      <c r="R54" s="16" cm="1">
        <f t="array" ref="R54">IFERROR(IF($D54 &lt;&gt;0,ResultValue($C54,COLUMN(S54)-COLUMN($C54))/$D54,""),"")</f>
        <v>8228.2996633497696</v>
      </c>
      <c r="S54" s="16" cm="1">
        <f t="array" ref="S54">IFERROR(IF($D54 &lt;&gt;0,ResultValue($C54,COLUMN(T54)-COLUMN($C54))/$D54,""),"")</f>
        <v>8206.1320405156621</v>
      </c>
      <c r="T54" s="16" cm="1">
        <f t="array" ref="T54">IFERROR(IF($D54 &lt;&gt;0,ResultValue($C54,COLUMN(U54)-COLUMN($C54))/$D54,""),"")</f>
        <v>8184.3598174599611</v>
      </c>
      <c r="U54" s="16" cm="1">
        <f t="array" ref="U54">IFERROR(IF($D54 &lt;&gt;0,ResultValue($C54,COLUMN(V54)-COLUMN($C54))/$D54,""),"")</f>
        <v>8162.9723077021736</v>
      </c>
      <c r="V54" s="16" cm="1">
        <f t="array" ref="V54">IFERROR(IF($D54 &lt;&gt;0,ResultValue($C54,COLUMN(W54)-COLUMN($C54))/$D54,""),"")</f>
        <v>8141.9592064218168</v>
      </c>
      <c r="W54" s="16" cm="1">
        <f t="array" ref="W54">IFERROR(IF($D54 &lt;&gt;0,ResultValue($C54,COLUMN(X54)-COLUMN($C54))/$D54,""),"")</f>
        <v>8121.3105735708205</v>
      </c>
      <c r="X54" s="16" cm="1">
        <f t="array" ref="X54">IFERROR(IF($D54 &lt;&gt;0,ResultValue($C54,COLUMN(Y54)-COLUMN($C54))/$D54,""),"")</f>
        <v>8101.0168178747244</v>
      </c>
      <c r="Y54" s="16" cm="1">
        <f t="array" ref="Y54">IFERROR(IF($D54 &lt;&gt;0,ResultValue($C54,COLUMN(Z54)-COLUMN($C54))/$D54,""),"")</f>
        <v>8081.0686816686157</v>
      </c>
    </row>
    <row r="55" spans="1:28" x14ac:dyDescent="0.25">
      <c r="A55" t="str">
        <v>Dækningsbidrag</v>
      </c>
      <c r="B55" s="61"/>
      <c r="C55" t="str">
        <f>IF(ISBLANK(A17),"",A17)</f>
        <v>Indtægter total</v>
      </c>
      <c r="D55" s="51">
        <f>B17</f>
        <v>1000</v>
      </c>
      <c r="E55" s="16" cm="1">
        <f t="array" ref="E55">IFERROR(IF($D55 &lt;&gt;0,ResultValue($C55,COLUMN(F55)-COLUMN($C55))/$D55,""),"")</f>
        <v>15652.263443326186</v>
      </c>
      <c r="F55" s="16" cm="1">
        <f t="array" ref="F55">IFERROR(IF($D55 &lt;&gt;0,ResultValue($C55,COLUMN(G55)-COLUMN($C55))/$D55,""),"")</f>
        <v>16181.783291652784</v>
      </c>
      <c r="G55" s="16" cm="1">
        <f t="array" ref="G55">IFERROR(IF($D55 &lt;&gt;0,ResultValue($C55,COLUMN(H55)-COLUMN($C55))/$D55,""),"")</f>
        <v>16136.225467580172</v>
      </c>
      <c r="H55" s="16" cm="1">
        <f t="array" ref="H55">IFERROR(IF($D55 &lt;&gt;0,ResultValue($C55,COLUMN(I55)-COLUMN($C55))/$D55,""),"")</f>
        <v>16091.597395019249</v>
      </c>
      <c r="I55" s="16" cm="1">
        <f t="array" ref="I55">IFERROR(IF($D55 &lt;&gt;0,ResultValue($C55,COLUMN(J55)-COLUMN($C55))/$D55,""),"")</f>
        <v>16047.870899681777</v>
      </c>
      <c r="J55" s="16" cm="1">
        <f t="array" ref="J55">IFERROR(IF($D55 &lt;&gt;0,ResultValue($C55,COLUMN(K55)-COLUMN($C55))/$D55,""),"")</f>
        <v>16005.018934251055</v>
      </c>
      <c r="K55" s="16" cm="1">
        <f t="array" ref="K55">IFERROR(IF($D55 &lt;&gt;0,ResultValue($C55,COLUMN(L55)-COLUMN($C55))/$D55,""),"")</f>
        <v>15963.01552259124</v>
      </c>
      <c r="L55" s="16" cm="1">
        <f t="array" ref="L55">IFERROR(IF($D55 &lt;&gt;0,ResultValue($C55,COLUMN(M55)-COLUMN($C55))/$D55,""),"")</f>
        <v>15921.835707238479</v>
      </c>
      <c r="M55" s="16" cm="1">
        <f t="array" ref="M55">IFERROR(IF($D55 &lt;&gt;0,ResultValue($C55,COLUMN(N55)-COLUMN($C55))/$D55,""),"")</f>
        <v>16082.049301761796</v>
      </c>
      <c r="N55" s="16" cm="1">
        <f t="array" ref="N55">IFERROR(IF($D55 &lt;&gt;0,ResultValue($C55,COLUMN(O55)-COLUMN($C55))/$D55,""),"")</f>
        <v>16042.445636921975</v>
      </c>
      <c r="O55" s="16" cm="1">
        <f t="array" ref="O55">IFERROR(IF($D55 &lt;&gt;0,ResultValue($C55,COLUMN(P55)-COLUMN($C55))/$D55,""),"")</f>
        <v>16003.596327602914</v>
      </c>
      <c r="P55" s="16" cm="1">
        <f t="array" ref="P55">IFERROR(IF($D55 &lt;&gt;0,ResultValue($C55,COLUMN(Q55)-COLUMN($C55))/$D55,""),"")</f>
        <v>15965.480024120061</v>
      </c>
      <c r="Q55" s="16" cm="1">
        <f t="array" ref="Q55">IFERROR(IF($D55 &lt;&gt;0,ResultValue($C55,COLUMN(R55)-COLUMN($C55))/$D55,""),"")</f>
        <v>15928.076174907916</v>
      </c>
      <c r="R55" s="16" cm="1">
        <f t="array" ref="R55">IFERROR(IF($D55 &lt;&gt;0,ResultValue($C55,COLUMN(S55)-COLUMN($C55))/$D55,""),"")</f>
        <v>15891.364989570069</v>
      </c>
      <c r="S55" s="16" cm="1">
        <f t="array" ref="S55">IFERROR(IF($D55 &lt;&gt;0,ResultValue($C55,COLUMN(T55)-COLUMN($C55))/$D55,""),"")</f>
        <v>15855.327403963192</v>
      </c>
      <c r="T55" s="16" cm="1">
        <f t="array" ref="T55">IFERROR(IF($D55 &lt;&gt;0,ResultValue($C55,COLUMN(U55)-COLUMN($C55))/$D55,""),"")</f>
        <v>15819.945047185534</v>
      </c>
      <c r="U55" s="16" cm="1">
        <f t="array" ref="U55">IFERROR(IF($D55 &lt;&gt;0,ResultValue($C55,COLUMN(V55)-COLUMN($C55))/$D55,""),"")</f>
        <v>15785.200210349813</v>
      </c>
      <c r="V55" s="16" cm="1">
        <f t="array" ref="V55">IFERROR(IF($D55 &lt;&gt;0,ResultValue($C55,COLUMN(W55)-COLUMN($C55))/$D55,""),"")</f>
        <v>15751.075817029016</v>
      </c>
      <c r="W55" s="16" cm="1">
        <f t="array" ref="W55">IFERROR(IF($D55 &lt;&gt;0,ResultValue($C55,COLUMN(X55)-COLUMN($C55))/$D55,""),"")</f>
        <v>15717.55539527142</v>
      </c>
      <c r="X55" s="16" cm="1">
        <f t="array" ref="X55">IFERROR(IF($D55 &lt;&gt;0,ResultValue($C55,COLUMN(Y55)-COLUMN($C55))/$D55,""),"")</f>
        <v>15684.623051088518</v>
      </c>
      <c r="Y55" s="16" cm="1">
        <f t="array" ref="Y55">IFERROR(IF($D55 &lt;&gt;0,ResultValue($C55,COLUMN(Z55)-COLUMN($C55))/$D55,""),"")</f>
        <v>15652.263443326186</v>
      </c>
    </row>
    <row r="56" spans="1:28" x14ac:dyDescent="0.25">
      <c r="A56" t="str">
        <v>Varmesalg</v>
      </c>
      <c r="B56" s="61"/>
      <c r="C56" t="str">
        <f>IF(ISBLANK(A18),"",A18)</f>
        <v>Omkostninger total</v>
      </c>
      <c r="D56" s="51">
        <f>B18</f>
        <v>-1000</v>
      </c>
      <c r="E56" s="16" cm="1">
        <f t="array" ref="E56">IFERROR(IF($D56 &lt;&gt;0,ResultValue($C56,COLUMN(F56)-COLUMN($C56))/$D56,""),"")</f>
        <v>-7571.1947616575708</v>
      </c>
      <c r="F56" s="16" cm="1">
        <f t="array" ref="F56">IFERROR(IF($D56 &lt;&gt;0,ResultValue($C56,COLUMN(G56)-COLUMN($C56))/$D56,""),"")</f>
        <v>-7852.7271009093702</v>
      </c>
      <c r="G56" s="16" cm="1">
        <f t="array" ref="G56">IFERROR(IF($D56 &lt;&gt;0,ResultValue($C56,COLUMN(H56)-COLUMN($C56))/$D56,""),"")</f>
        <v>-7835.0819157811293</v>
      </c>
      <c r="H56" s="16" cm="1">
        <f t="array" ref="H56">IFERROR(IF($D56 &lt;&gt;0,ResultValue($C56,COLUMN(I56)-COLUMN($C56))/$D56,""),"")</f>
        <v>-7817.8054208600297</v>
      </c>
      <c r="I56" s="16" cm="1">
        <f t="array" ref="I56">IFERROR(IF($D56 &lt;&gt;0,ResultValue($C56,COLUMN(J56)-COLUMN($C56))/$D56,""),"")</f>
        <v>-7800.8864437155489</v>
      </c>
      <c r="J56" s="16" cm="1">
        <f t="array" ref="J56">IFERROR(IF($D56 &lt;&gt;0,ResultValue($C56,COLUMN(K56)-COLUMN($C56))/$D56,""),"")</f>
        <v>-7784.314258814391</v>
      </c>
      <c r="K56" s="16" cm="1">
        <f t="array" ref="K56">IFERROR(IF($D56 &lt;&gt;0,ResultValue($C56,COLUMN(L56)-COLUMN($C56))/$D56,""),"")</f>
        <v>-7768.0785653968505</v>
      </c>
      <c r="L56" s="16" cm="1">
        <f t="array" ref="L56">IFERROR(IF($D56 &lt;&gt;0,ResultValue($C56,COLUMN(M56)-COLUMN($C56))/$D56,""),"")</f>
        <v>-7752.1694666545891</v>
      </c>
      <c r="M56" s="16" cm="1">
        <f t="array" ref="M56">IFERROR(IF($D56 &lt;&gt;0,ResultValue($C56,COLUMN(N56)-COLUMN($C56))/$D56,""),"")</f>
        <v>-7736.5774501213346</v>
      </c>
      <c r="N56" s="16" cm="1">
        <f t="array" ref="N56">IFERROR(IF($D56 &lt;&gt;0,ResultValue($C56,COLUMN(O56)-COLUMN($C56))/$D56,""),"")</f>
        <v>-7721.2933691949038</v>
      </c>
      <c r="O56" s="16" cm="1">
        <f t="array" ref="O56">IFERROR(IF($D56 &lt;&gt;0,ResultValue($C56,COLUMN(P56)-COLUMN($C56))/$D56,""),"")</f>
        <v>-7706.3084257151031</v>
      </c>
      <c r="P56" s="16" cm="1">
        <f t="array" ref="P56">IFERROR(IF($D56 &lt;&gt;0,ResultValue($C56,COLUMN(Q56)-COLUMN($C56))/$D56,""),"")</f>
        <v>-7691.6141535277802</v>
      </c>
      <c r="Q56" s="16" cm="1">
        <f t="array" ref="Q56">IFERROR(IF($D56 &lt;&gt;0,ResultValue($C56,COLUMN(R56)-COLUMN($C56))/$D56,""),"")</f>
        <v>-7677.2024029705326</v>
      </c>
      <c r="R56" s="16" cm="1">
        <f t="array" ref="R56">IFERROR(IF($D56 &lt;&gt;0,ResultValue($C56,COLUMN(S56)-COLUMN($C56))/$D56,""),"")</f>
        <v>-7663.0653262203014</v>
      </c>
      <c r="S56" s="16" cm="1">
        <f t="array" ref="S56">IFERROR(IF($D56 &lt;&gt;0,ResultValue($C56,COLUMN(T56)-COLUMN($C56))/$D56,""),"")</f>
        <v>-7649.1953634475321</v>
      </c>
      <c r="T56" s="16" cm="1">
        <f t="array" ref="T56">IFERROR(IF($D56 &lt;&gt;0,ResultValue($C56,COLUMN(U56)-COLUMN($C56))/$D56,""),"")</f>
        <v>-7635.5852297255733</v>
      </c>
      <c r="U56" s="16" cm="1">
        <f t="array" ref="U56">IFERROR(IF($D56 &lt;&gt;0,ResultValue($C56,COLUMN(V56)-COLUMN($C56))/$D56,""),"")</f>
        <v>-7622.2279026476399</v>
      </c>
      <c r="V56" s="16" cm="1">
        <f t="array" ref="V56">IFERROR(IF($D56 &lt;&gt;0,ResultValue($C56,COLUMN(W56)-COLUMN($C56))/$D56,""),"")</f>
        <v>-7609.1166106071996</v>
      </c>
      <c r="W56" s="16" cm="1">
        <f t="array" ref="W56">IFERROR(IF($D56 &lt;&gt;0,ResultValue($C56,COLUMN(X56)-COLUMN($C56))/$D56,""),"")</f>
        <v>-7596.2448217006004</v>
      </c>
      <c r="X56" s="16" cm="1">
        <f t="array" ref="X56">IFERROR(IF($D56 &lt;&gt;0,ResultValue($C56,COLUMN(Y56)-COLUMN($C56))/$D56,""),"")</f>
        <v>-7583.6062332137935</v>
      </c>
      <c r="Y56" s="16" cm="1">
        <f t="array" ref="Y56">IFERROR(IF($D56 &lt;&gt;0,ResultValue($C56,COLUMN(Z56)-COLUMN($C56))/$D56,""),"")</f>
        <v>-7571.1947616575708</v>
      </c>
    </row>
    <row r="57" spans="1:28" x14ac:dyDescent="0.25">
      <c r="A57" t="str">
        <v>Elsalg</v>
      </c>
      <c r="B57" s="61"/>
      <c r="C57" t="str">
        <f>IF(ISBLANK(A19),"",A19)</f>
        <v>RGK-rabat</v>
      </c>
      <c r="D57" s="51">
        <f>B19</f>
        <v>1000</v>
      </c>
      <c r="E57" s="16" cm="1">
        <f t="array" ref="E57">IFERROR(IF($D57 &lt;&gt;0,ResultValue($C57,COLUMN(F57)-COLUMN($C57))/$D57,""),"")</f>
        <v>200.59380181097563</v>
      </c>
      <c r="F57" s="16" cm="1">
        <f t="array" ref="F57">IFERROR(IF($D57 &lt;&gt;0,ResultValue($C57,COLUMN(G57)-COLUMN($C57))/$D57,""),"")</f>
        <v>0</v>
      </c>
      <c r="G57" s="16" cm="1">
        <f t="array" ref="G57">IFERROR(IF($D57 &lt;&gt;0,ResultValue($C57,COLUMN(H57)-COLUMN($C57))/$D57,""),"")</f>
        <v>0</v>
      </c>
      <c r="H57" s="16" cm="1">
        <f t="array" ref="H57">IFERROR(IF($D57 &lt;&gt;0,ResultValue($C57,COLUMN(I57)-COLUMN($C57))/$D57,""),"")</f>
        <v>0</v>
      </c>
      <c r="I57" s="16" cm="1">
        <f t="array" ref="I57">IFERROR(IF($D57 &lt;&gt;0,ResultValue($C57,COLUMN(J57)-COLUMN($C57))/$D57,""),"")</f>
        <v>0</v>
      </c>
      <c r="J57" s="16" cm="1">
        <f t="array" ref="J57">IFERROR(IF($D57 &lt;&gt;0,ResultValue($C57,COLUMN(K57)-COLUMN($C57))/$D57,""),"")</f>
        <v>0</v>
      </c>
      <c r="K57" s="16" cm="1">
        <f t="array" ref="K57">IFERROR(IF($D57 &lt;&gt;0,ResultValue($C57,COLUMN(L57)-COLUMN($C57))/$D57,""),"")</f>
        <v>0</v>
      </c>
      <c r="L57" s="16" cm="1">
        <f t="array" ref="L57">IFERROR(IF($D57 &lt;&gt;0,ResultValue($C57,COLUMN(M57)-COLUMN($C57))/$D57,""),"")</f>
        <v>0</v>
      </c>
      <c r="M57" s="16" cm="1">
        <f t="array" ref="M57">IFERROR(IF($D57 &lt;&gt;0,ResultValue($C57,COLUMN(N57)-COLUMN($C57))/$D57,""),"")</f>
        <v>200.59380181097563</v>
      </c>
      <c r="N57" s="16" cm="1">
        <f t="array" ref="N57">IFERROR(IF($D57 &lt;&gt;0,ResultValue($C57,COLUMN(O57)-COLUMN($C57))/$D57,""),"")</f>
        <v>200.59380181097563</v>
      </c>
      <c r="O57" s="16" cm="1">
        <f t="array" ref="O57">IFERROR(IF($D57 &lt;&gt;0,ResultValue($C57,COLUMN(P57)-COLUMN($C57))/$D57,""),"")</f>
        <v>200.59380181097563</v>
      </c>
      <c r="P57" s="16" cm="1">
        <f t="array" ref="P57">IFERROR(IF($D57 &lt;&gt;0,ResultValue($C57,COLUMN(Q57)-COLUMN($C57))/$D57,""),"")</f>
        <v>200.59380181097563</v>
      </c>
      <c r="Q57" s="16" cm="1">
        <f t="array" ref="Q57">IFERROR(IF($D57 &lt;&gt;0,ResultValue($C57,COLUMN(R57)-COLUMN($C57))/$D57,""),"")</f>
        <v>200.59380181097563</v>
      </c>
      <c r="R57" s="16" cm="1">
        <f t="array" ref="R57">IFERROR(IF($D57 &lt;&gt;0,ResultValue($C57,COLUMN(S57)-COLUMN($C57))/$D57,""),"")</f>
        <v>200.59380181097563</v>
      </c>
      <c r="S57" s="16" cm="1">
        <f t="array" ref="S57">IFERROR(IF($D57 &lt;&gt;0,ResultValue($C57,COLUMN(T57)-COLUMN($C57))/$D57,""),"")</f>
        <v>200.59380181097563</v>
      </c>
      <c r="T57" s="16" cm="1">
        <f t="array" ref="T57">IFERROR(IF($D57 &lt;&gt;0,ResultValue($C57,COLUMN(U57)-COLUMN($C57))/$D57,""),"")</f>
        <v>200.59380181097563</v>
      </c>
      <c r="U57" s="16" cm="1">
        <f t="array" ref="U57">IFERROR(IF($D57 &lt;&gt;0,ResultValue($C57,COLUMN(V57)-COLUMN($C57))/$D57,""),"")</f>
        <v>200.59380181097563</v>
      </c>
      <c r="V57" s="16" cm="1">
        <f t="array" ref="V57">IFERROR(IF($D57 &lt;&gt;0,ResultValue($C57,COLUMN(W57)-COLUMN($C57))/$D57,""),"")</f>
        <v>200.59380181097563</v>
      </c>
      <c r="W57" s="16" cm="1">
        <f t="array" ref="W57">IFERROR(IF($D57 &lt;&gt;0,ResultValue($C57,COLUMN(X57)-COLUMN($C57))/$D57,""),"")</f>
        <v>200.59380181097563</v>
      </c>
      <c r="X57" s="16" cm="1">
        <f t="array" ref="X57">IFERROR(IF($D57 &lt;&gt;0,ResultValue($C57,COLUMN(Y57)-COLUMN($C57))/$D57,""),"")</f>
        <v>200.59380181097563</v>
      </c>
      <c r="Y57" s="16" cm="1">
        <f t="array" ref="Y57">IFERROR(IF($D57 &lt;&gt;0,ResultValue($C57,COLUMN(Z57)-COLUMN($C57))/$D57,""),"")</f>
        <v>200.59380181097563</v>
      </c>
    </row>
    <row r="58" spans="1:28" x14ac:dyDescent="0.25">
      <c r="A58" t="str">
        <v>RGK-rabat</v>
      </c>
      <c r="B58" s="61"/>
      <c r="C58" t="str">
        <f>IF(ISBLANK(A20),"",A20)</f>
        <v>Modtagebetaling affald</v>
      </c>
      <c r="D58" s="51">
        <f>B20</f>
        <v>1000</v>
      </c>
      <c r="E58" s="16" cm="1">
        <f t="array" ref="E58">IFERROR(IF($D58 &lt;&gt;0,ResultValue($C58,COLUMN(F58)-COLUMN($C58))/$D58,""),"")</f>
        <v>4040.3371902956987</v>
      </c>
      <c r="F58" s="16" cm="1">
        <f t="array" ref="F58">IFERROR(IF($D58 &lt;&gt;0,ResultValue($C58,COLUMN(G58)-COLUMN($C58))/$D58,""),"")</f>
        <v>4770.4508404332728</v>
      </c>
      <c r="G58" s="16" cm="1">
        <f t="array" ref="G58">IFERROR(IF($D58 &lt;&gt;0,ResultValue($C58,COLUMN(H58)-COLUMN($C58))/$D58,""),"")</f>
        <v>4724.8930163606619</v>
      </c>
      <c r="H58" s="16" cm="1">
        <f t="array" ref="H58">IFERROR(IF($D58 &lt;&gt;0,ResultValue($C58,COLUMN(I58)-COLUMN($C58))/$D58,""),"")</f>
        <v>4680.2649437997379</v>
      </c>
      <c r="I58" s="16" cm="1">
        <f t="array" ref="I58">IFERROR(IF($D58 &lt;&gt;0,ResultValue($C58,COLUMN(J58)-COLUMN($C58))/$D58,""),"")</f>
        <v>4636.5384484622655</v>
      </c>
      <c r="J58" s="16" cm="1">
        <f t="array" ref="J58">IFERROR(IF($D58 &lt;&gt;0,ResultValue($C58,COLUMN(K58)-COLUMN($C58))/$D58,""),"")</f>
        <v>4593.6864830315435</v>
      </c>
      <c r="K58" s="16" cm="1">
        <f t="array" ref="K58">IFERROR(IF($D58 &lt;&gt;0,ResultValue($C58,COLUMN(L58)-COLUMN($C58))/$D58,""),"")</f>
        <v>4551.6830713717272</v>
      </c>
      <c r="L58" s="16" cm="1">
        <f t="array" ref="L58">IFERROR(IF($D58 &lt;&gt;0,ResultValue($C58,COLUMN(M58)-COLUMN($C58))/$D58,""),"")</f>
        <v>4510.5032560189666</v>
      </c>
      <c r="M58" s="16" cm="1">
        <f t="array" ref="M58">IFERROR(IF($D58 &lt;&gt;0,ResultValue($C58,COLUMN(N58)-COLUMN($C58))/$D58,""),"")</f>
        <v>4470.1230487313078</v>
      </c>
      <c r="N58" s="16" cm="1">
        <f t="array" ref="N58">IFERROR(IF($D58 &lt;&gt;0,ResultValue($C58,COLUMN(O58)-COLUMN($C58))/$D58,""),"")</f>
        <v>4430.5193838914875</v>
      </c>
      <c r="O58" s="16" cm="1">
        <f t="array" ref="O58">IFERROR(IF($D58 &lt;&gt;0,ResultValue($C58,COLUMN(P58)-COLUMN($C58))/$D58,""),"")</f>
        <v>4391.6700745724256</v>
      </c>
      <c r="P58" s="16" cm="1">
        <f t="array" ref="P58">IFERROR(IF($D58 &lt;&gt;0,ResultValue($C58,COLUMN(Q58)-COLUMN($C58))/$D58,""),"")</f>
        <v>4353.5537710895724</v>
      </c>
      <c r="Q58" s="16" cm="1">
        <f t="array" ref="Q58">IFERROR(IF($D58 &lt;&gt;0,ResultValue($C58,COLUMN(R58)-COLUMN($C58))/$D58,""),"")</f>
        <v>4316.1499218774279</v>
      </c>
      <c r="R58" s="16" cm="1">
        <f t="array" ref="R58">IFERROR(IF($D58 &lt;&gt;0,ResultValue($C58,COLUMN(S58)-COLUMN($C58))/$D58,""),"")</f>
        <v>4279.4387365395824</v>
      </c>
      <c r="S58" s="16" cm="1">
        <f t="array" ref="S58">IFERROR(IF($D58 &lt;&gt;0,ResultValue($C58,COLUMN(T58)-COLUMN($C58))/$D58,""),"")</f>
        <v>4243.4011509327056</v>
      </c>
      <c r="T58" s="16" cm="1">
        <f t="array" ref="T58">IFERROR(IF($D58 &lt;&gt;0,ResultValue($C58,COLUMN(U58)-COLUMN($C58))/$D58,""),"")</f>
        <v>4208.0187941550466</v>
      </c>
      <c r="U58" s="16" cm="1">
        <f t="array" ref="U58">IFERROR(IF($D58 &lt;&gt;0,ResultValue($C58,COLUMN(V58)-COLUMN($C58))/$D58,""),"")</f>
        <v>4173.2739573193248</v>
      </c>
      <c r="V58" s="16" cm="1">
        <f t="array" ref="V58">IFERROR(IF($D58 &lt;&gt;0,ResultValue($C58,COLUMN(W58)-COLUMN($C58))/$D58,""),"")</f>
        <v>4139.1495639985287</v>
      </c>
      <c r="W58" s="16" cm="1">
        <f t="array" ref="W58">IFERROR(IF($D58 &lt;&gt;0,ResultValue($C58,COLUMN(X58)-COLUMN($C58))/$D58,""),"")</f>
        <v>4105.6291422409313</v>
      </c>
      <c r="X58" s="16" cm="1">
        <f t="array" ref="X58">IFERROR(IF($D58 &lt;&gt;0,ResultValue($C58,COLUMN(Y58)-COLUMN($C58))/$D58,""),"")</f>
        <v>4072.6967980580289</v>
      </c>
      <c r="Y58" s="16" cm="1">
        <f t="array" ref="Y58">IFERROR(IF($D58 &lt;&gt;0,ResultValue($C58,COLUMN(Z58)-COLUMN($C58))/$D58,""),"")</f>
        <v>4040.3371902956987</v>
      </c>
    </row>
    <row r="59" spans="1:28" x14ac:dyDescent="0.25">
      <c r="A59" t="str">
        <v>Modtagebetaling affald</v>
      </c>
      <c r="B59" s="61"/>
      <c r="C59" t="str">
        <f>IF(ISBLANK(A21),"",A21)</f>
        <v>Varmesalg</v>
      </c>
      <c r="D59" s="51">
        <f>B21</f>
        <v>1000</v>
      </c>
      <c r="E59" s="16" cm="1">
        <f t="array" ref="E59">IFERROR(IF($D59 &lt;&gt;0,ResultValue($C59,COLUMN(F59)-COLUMN($C59))/$D59,""),"")</f>
        <v>7464</v>
      </c>
      <c r="F59" s="16" cm="1">
        <f t="array" ref="F59">IFERROR(IF($D59 &lt;&gt;0,ResultValue($C59,COLUMN(G59)-COLUMN($C59))/$D59,""),"")</f>
        <v>7464</v>
      </c>
      <c r="G59" s="16" cm="1">
        <f t="array" ref="G59">IFERROR(IF($D59 &lt;&gt;0,ResultValue($C59,COLUMN(H59)-COLUMN($C59))/$D59,""),"")</f>
        <v>7464</v>
      </c>
      <c r="H59" s="16" cm="1">
        <f t="array" ref="H59">IFERROR(IF($D59 &lt;&gt;0,ResultValue($C59,COLUMN(I59)-COLUMN($C59))/$D59,""),"")</f>
        <v>7464</v>
      </c>
      <c r="I59" s="16" cm="1">
        <f t="array" ref="I59">IFERROR(IF($D59 &lt;&gt;0,ResultValue($C59,COLUMN(J59)-COLUMN($C59))/$D59,""),"")</f>
        <v>7464</v>
      </c>
      <c r="J59" s="16" cm="1">
        <f t="array" ref="J59">IFERROR(IF($D59 &lt;&gt;0,ResultValue($C59,COLUMN(K59)-COLUMN($C59))/$D59,""),"")</f>
        <v>7464</v>
      </c>
      <c r="K59" s="16" cm="1">
        <f t="array" ref="K59">IFERROR(IF($D59 &lt;&gt;0,ResultValue($C59,COLUMN(L59)-COLUMN($C59))/$D59,""),"")</f>
        <v>7464</v>
      </c>
      <c r="L59" s="16" cm="1">
        <f t="array" ref="L59">IFERROR(IF($D59 &lt;&gt;0,ResultValue($C59,COLUMN(M59)-COLUMN($C59))/$D59,""),"")</f>
        <v>7464</v>
      </c>
      <c r="M59" s="16" cm="1">
        <f t="array" ref="M59">IFERROR(IF($D59 &lt;&gt;0,ResultValue($C59,COLUMN(N59)-COLUMN($C59))/$D59,""),"")</f>
        <v>7464</v>
      </c>
      <c r="N59" s="16" cm="1">
        <f t="array" ref="N59">IFERROR(IF($D59 &lt;&gt;0,ResultValue($C59,COLUMN(O59)-COLUMN($C59))/$D59,""),"")</f>
        <v>7464</v>
      </c>
      <c r="O59" s="16" cm="1">
        <f t="array" ref="O59">IFERROR(IF($D59 &lt;&gt;0,ResultValue($C59,COLUMN(P59)-COLUMN($C59))/$D59,""),"")</f>
        <v>7464</v>
      </c>
      <c r="P59" s="16" cm="1">
        <f t="array" ref="P59">IFERROR(IF($D59 &lt;&gt;0,ResultValue($C59,COLUMN(Q59)-COLUMN($C59))/$D59,""),"")</f>
        <v>7464</v>
      </c>
      <c r="Q59" s="16" cm="1">
        <f t="array" ref="Q59">IFERROR(IF($D59 &lt;&gt;0,ResultValue($C59,COLUMN(R59)-COLUMN($C59))/$D59,""),"")</f>
        <v>7464</v>
      </c>
      <c r="R59" s="16" cm="1">
        <f t="array" ref="R59">IFERROR(IF($D59 &lt;&gt;0,ResultValue($C59,COLUMN(S59)-COLUMN($C59))/$D59,""),"")</f>
        <v>7464</v>
      </c>
      <c r="S59" s="16" cm="1">
        <f t="array" ref="S59">IFERROR(IF($D59 &lt;&gt;0,ResultValue($C59,COLUMN(T59)-COLUMN($C59))/$D59,""),"")</f>
        <v>7464</v>
      </c>
      <c r="T59" s="16" cm="1">
        <f t="array" ref="T59">IFERROR(IF($D59 &lt;&gt;0,ResultValue($C59,COLUMN(U59)-COLUMN($C59))/$D59,""),"")</f>
        <v>7464</v>
      </c>
      <c r="U59" s="16" cm="1">
        <f t="array" ref="U59">IFERROR(IF($D59 &lt;&gt;0,ResultValue($C59,COLUMN(V59)-COLUMN($C59))/$D59,""),"")</f>
        <v>7464</v>
      </c>
      <c r="V59" s="16" cm="1">
        <f t="array" ref="V59">IFERROR(IF($D59 &lt;&gt;0,ResultValue($C59,COLUMN(W59)-COLUMN($C59))/$D59,""),"")</f>
        <v>7464</v>
      </c>
      <c r="W59" s="16" cm="1">
        <f t="array" ref="W59">IFERROR(IF($D59 &lt;&gt;0,ResultValue($C59,COLUMN(X59)-COLUMN($C59))/$D59,""),"")</f>
        <v>7464</v>
      </c>
      <c r="X59" s="16" cm="1">
        <f t="array" ref="X59">IFERROR(IF($D59 &lt;&gt;0,ResultValue($C59,COLUMN(Y59)-COLUMN($C59))/$D59,""),"")</f>
        <v>7464</v>
      </c>
      <c r="Y59" s="16" cm="1">
        <f t="array" ref="Y59">IFERROR(IF($D59 &lt;&gt;0,ResultValue($C59,COLUMN(Z59)-COLUMN($C59))/$D59,""),"")</f>
        <v>7464</v>
      </c>
    </row>
    <row r="60" spans="1:28" x14ac:dyDescent="0.25">
      <c r="A60" t="str">
        <v>Betaling bioaffald</v>
      </c>
      <c r="B60" s="61"/>
      <c r="C60" t="str">
        <f>IF(ISBLANK(A22),"",A22)</f>
        <v>Varmeproduktion Ovn2</v>
      </c>
      <c r="D60" s="51">
        <f>B22</f>
        <v>1</v>
      </c>
      <c r="E60" s="16" cm="1">
        <f t="array" ref="E60">IFERROR(IF($D60 &lt;&gt;0,ResultValue($C60,COLUMN(F60)-COLUMN($C60))/$D60,""),"")</f>
        <v>3168</v>
      </c>
      <c r="F60" s="16" cm="1">
        <f t="array" ref="F60">IFERROR(IF($D60 &lt;&gt;0,ResultValue($C60,COLUMN(G60)-COLUMN($C60))/$D60,""),"")</f>
        <v>7055.4000000000015</v>
      </c>
      <c r="G60" s="16" cm="1">
        <f t="array" ref="G60">IFERROR(IF($D60 &lt;&gt;0,ResultValue($C60,COLUMN(H60)-COLUMN($C60))/$D60,""),"")</f>
        <v>6850.7999999999993</v>
      </c>
      <c r="H60" s="16" cm="1">
        <f t="array" ref="H60">IFERROR(IF($D60 &lt;&gt;0,ResultValue($C60,COLUMN(I60)-COLUMN($C60))/$D60,""),"")</f>
        <v>6646.2000000000007</v>
      </c>
      <c r="I60" s="16" cm="1">
        <f t="array" ref="I60">IFERROR(IF($D60 &lt;&gt;0,ResultValue($C60,COLUMN(J60)-COLUMN($C60))/$D60,""),"")</f>
        <v>6441.5999999999985</v>
      </c>
      <c r="J60" s="16" cm="1">
        <f t="array" ref="J60">IFERROR(IF($D60 &lt;&gt;0,ResultValue($C60,COLUMN(K60)-COLUMN($C60))/$D60,""),"")</f>
        <v>6237</v>
      </c>
      <c r="K60" s="16" cm="1">
        <f t="array" ref="K60">IFERROR(IF($D60 &lt;&gt;0,ResultValue($C60,COLUMN(L60)-COLUMN($C60))/$D60,""),"")</f>
        <v>6032.4000000000015</v>
      </c>
      <c r="L60" s="16" cm="1">
        <f t="array" ref="L60">IFERROR(IF($D60 &lt;&gt;0,ResultValue($C60,COLUMN(M60)-COLUMN($C60))/$D60,""),"")</f>
        <v>5827.7999999999993</v>
      </c>
      <c r="M60" s="16" cm="1">
        <f t="array" ref="M60">IFERROR(IF($D60 &lt;&gt;0,ResultValue($C60,COLUMN(N60)-COLUMN($C60))/$D60,""),"")</f>
        <v>5623.2000000000007</v>
      </c>
      <c r="N60" s="16" cm="1">
        <f t="array" ref="N60">IFERROR(IF($D60 &lt;&gt;0,ResultValue($C60,COLUMN(O60)-COLUMN($C60))/$D60,""),"")</f>
        <v>5418.5999999999985</v>
      </c>
      <c r="O60" s="16" cm="1">
        <f t="array" ref="O60">IFERROR(IF($D60 &lt;&gt;0,ResultValue($C60,COLUMN(P60)-COLUMN($C60))/$D60,""),"")</f>
        <v>5214</v>
      </c>
      <c r="P60" s="16" cm="1">
        <f t="array" ref="P60">IFERROR(IF($D60 &lt;&gt;0,ResultValue($C60,COLUMN(Q60)-COLUMN($C60))/$D60,""),"")</f>
        <v>5009.4000000000015</v>
      </c>
      <c r="Q60" s="16" cm="1">
        <f t="array" ref="Q60">IFERROR(IF($D60 &lt;&gt;0,ResultValue($C60,COLUMN(R60)-COLUMN($C60))/$D60,""),"")</f>
        <v>4804.7999999999993</v>
      </c>
      <c r="R60" s="16" cm="1">
        <f t="array" ref="R60">IFERROR(IF($D60 &lt;&gt;0,ResultValue($C60,COLUMN(S60)-COLUMN($C60))/$D60,""),"")</f>
        <v>4600.2000000000007</v>
      </c>
      <c r="S60" s="16" cm="1">
        <f t="array" ref="S60">IFERROR(IF($D60 &lt;&gt;0,ResultValue($C60,COLUMN(T60)-COLUMN($C60))/$D60,""),"")</f>
        <v>4395.5999999999985</v>
      </c>
      <c r="T60" s="16" cm="1">
        <f t="array" ref="T60">IFERROR(IF($D60 &lt;&gt;0,ResultValue($C60,COLUMN(U60)-COLUMN($C60))/$D60,""),"")</f>
        <v>4191</v>
      </c>
      <c r="U60" s="16" cm="1">
        <f t="array" ref="U60">IFERROR(IF($D60 &lt;&gt;0,ResultValue($C60,COLUMN(V60)-COLUMN($C60))/$D60,""),"")</f>
        <v>3986.4000000000015</v>
      </c>
      <c r="V60" s="16" cm="1">
        <f t="array" ref="V60">IFERROR(IF($D60 &lt;&gt;0,ResultValue($C60,COLUMN(W60)-COLUMN($C60))/$D60,""),"")</f>
        <v>3781.7999999999993</v>
      </c>
      <c r="W60" s="16" cm="1">
        <f t="array" ref="W60">IFERROR(IF($D60 &lt;&gt;0,ResultValue($C60,COLUMN(X60)-COLUMN($C60))/$D60,""),"")</f>
        <v>3577.2000000000007</v>
      </c>
      <c r="X60" s="16" cm="1">
        <f t="array" ref="X60">IFERROR(IF($D60 &lt;&gt;0,ResultValue($C60,COLUMN(Y60)-COLUMN($C60))/$D60,""),"")</f>
        <v>3372.5999999999985</v>
      </c>
      <c r="Y60" s="16" cm="1">
        <f t="array" ref="Y60">IFERROR(IF($D60 &lt;&gt;0,ResultValue($C60,COLUMN(Z60)-COLUMN($C60))/$D60,""),"")</f>
        <v>3168</v>
      </c>
    </row>
    <row r="61" spans="1:28" x14ac:dyDescent="0.25">
      <c r="A61" t="str">
        <v>DV-omkostninger</v>
      </c>
      <c r="B61" s="61"/>
      <c r="C61" t="str">
        <f>IF(ISBLANK(A23),"",A23)</f>
        <v>Varmeproduktion Ovn3</v>
      </c>
      <c r="D61" s="51">
        <f>B23</f>
        <v>1</v>
      </c>
      <c r="E61" s="16" cm="1">
        <f t="array" ref="E61">IFERROR(IF($D61 &lt;&gt;0,ResultValue($C61,COLUMN(F61)-COLUMN($C61))/$D61,""),"")</f>
        <v>20832</v>
      </c>
      <c r="F61" s="16" cm="1">
        <f t="array" ref="F61">IFERROR(IF($D61 &lt;&gt;0,ResultValue($C61,COLUMN(G61)-COLUMN($C61))/$D61,""),"")</f>
        <v>16944.599999999999</v>
      </c>
      <c r="G61" s="16" cm="1">
        <f t="array" ref="G61">IFERROR(IF($D61 &lt;&gt;0,ResultValue($C61,COLUMN(H61)-COLUMN($C61))/$D61,""),"")</f>
        <v>17149.2</v>
      </c>
      <c r="H61" s="16" cm="1">
        <f t="array" ref="H61">IFERROR(IF($D61 &lt;&gt;0,ResultValue($C61,COLUMN(I61)-COLUMN($C61))/$D61,""),"")</f>
        <v>17353.8</v>
      </c>
      <c r="I61" s="16" cm="1">
        <f t="array" ref="I61">IFERROR(IF($D61 &lt;&gt;0,ResultValue($C61,COLUMN(J61)-COLUMN($C61))/$D61,""),"")</f>
        <v>17558.400000000001</v>
      </c>
      <c r="J61" s="16" cm="1">
        <f t="array" ref="J61">IFERROR(IF($D61 &lt;&gt;0,ResultValue($C61,COLUMN(K61)-COLUMN($C61))/$D61,""),"")</f>
        <v>17763</v>
      </c>
      <c r="K61" s="16" cm="1">
        <f t="array" ref="K61">IFERROR(IF($D61 &lt;&gt;0,ResultValue($C61,COLUMN(L61)-COLUMN($C61))/$D61,""),"")</f>
        <v>17967.599999999999</v>
      </c>
      <c r="L61" s="16" cm="1">
        <f t="array" ref="L61">IFERROR(IF($D61 &lt;&gt;0,ResultValue($C61,COLUMN(M61)-COLUMN($C61))/$D61,""),"")</f>
        <v>18172.2</v>
      </c>
      <c r="M61" s="16" cm="1">
        <f t="array" ref="M61">IFERROR(IF($D61 &lt;&gt;0,ResultValue($C61,COLUMN(N61)-COLUMN($C61))/$D61,""),"")</f>
        <v>18376.8</v>
      </c>
      <c r="N61" s="16" cm="1">
        <f t="array" ref="N61">IFERROR(IF($D61 &lt;&gt;0,ResultValue($C61,COLUMN(O61)-COLUMN($C61))/$D61,""),"")</f>
        <v>18581.400000000001</v>
      </c>
      <c r="O61" s="16" cm="1">
        <f t="array" ref="O61">IFERROR(IF($D61 &lt;&gt;0,ResultValue($C61,COLUMN(P61)-COLUMN($C61))/$D61,""),"")</f>
        <v>18786</v>
      </c>
      <c r="P61" s="16" cm="1">
        <f t="array" ref="P61">IFERROR(IF($D61 &lt;&gt;0,ResultValue($C61,COLUMN(Q61)-COLUMN($C61))/$D61,""),"")</f>
        <v>18990.599999999999</v>
      </c>
      <c r="Q61" s="16" cm="1">
        <f t="array" ref="Q61">IFERROR(IF($D61 &lt;&gt;0,ResultValue($C61,COLUMN(R61)-COLUMN($C61))/$D61,""),"")</f>
        <v>19195.2</v>
      </c>
      <c r="R61" s="16" cm="1">
        <f t="array" ref="R61">IFERROR(IF($D61 &lt;&gt;0,ResultValue($C61,COLUMN(S61)-COLUMN($C61))/$D61,""),"")</f>
        <v>19399.8</v>
      </c>
      <c r="S61" s="16" cm="1">
        <f t="array" ref="S61">IFERROR(IF($D61 &lt;&gt;0,ResultValue($C61,COLUMN(T61)-COLUMN($C61))/$D61,""),"")</f>
        <v>19604.400000000001</v>
      </c>
      <c r="T61" s="16" cm="1">
        <f t="array" ref="T61">IFERROR(IF($D61 &lt;&gt;0,ResultValue($C61,COLUMN(U61)-COLUMN($C61))/$D61,""),"")</f>
        <v>19809</v>
      </c>
      <c r="U61" s="16" cm="1">
        <f t="array" ref="U61">IFERROR(IF($D61 &lt;&gt;0,ResultValue($C61,COLUMN(V61)-COLUMN($C61))/$D61,""),"")</f>
        <v>20013.599999999999</v>
      </c>
      <c r="V61" s="16" cm="1">
        <f t="array" ref="V61">IFERROR(IF($D61 &lt;&gt;0,ResultValue($C61,COLUMN(W61)-COLUMN($C61))/$D61,""),"")</f>
        <v>20218.2</v>
      </c>
      <c r="W61" s="16" cm="1">
        <f t="array" ref="W61">IFERROR(IF($D61 &lt;&gt;0,ResultValue($C61,COLUMN(X61)-COLUMN($C61))/$D61,""),"")</f>
        <v>20422.8</v>
      </c>
      <c r="X61" s="16" cm="1">
        <f t="array" ref="X61">IFERROR(IF($D61 &lt;&gt;0,ResultValue($C61,COLUMN(Y61)-COLUMN($C61))/$D61,""),"")</f>
        <v>20627.400000000001</v>
      </c>
      <c r="Y61" s="16" cm="1">
        <f t="array" ref="Y61">IFERROR(IF($D61 &lt;&gt;0,ResultValue($C61,COLUMN(Z61)-COLUMN($C61))/$D61,""),"")</f>
        <v>20832</v>
      </c>
    </row>
    <row r="62" spans="1:28" x14ac:dyDescent="0.25">
      <c r="A62" t="str">
        <v>Affaldvarme-afgift</v>
      </c>
      <c r="B62" s="61"/>
      <c r="C62" t="str">
        <f>IF(ISBLANK(A24),"",A24)</f>
        <v>Bortkølet varme</v>
      </c>
      <c r="D62" s="51">
        <f>B24</f>
        <v>-1</v>
      </c>
      <c r="E62" s="16" cm="1">
        <f t="array" ref="E62">IFERROR(IF($D62 &lt;&gt;0,ResultValue($C62,COLUMN(F62)-COLUMN($C62))/$D62,""),"")</f>
        <v>0</v>
      </c>
      <c r="F62" s="16" cm="1">
        <f t="array" ref="F62">IFERROR(IF($D62 &lt;&gt;0,ResultValue($C62,COLUMN(G62)-COLUMN($C62))/$D62,""),"")</f>
        <v>0</v>
      </c>
      <c r="G62" s="16" cm="1">
        <f t="array" ref="G62">IFERROR(IF($D62 &lt;&gt;0,ResultValue($C62,COLUMN(H62)-COLUMN($C62))/$D62,""),"")</f>
        <v>0</v>
      </c>
      <c r="H62" s="16" cm="1">
        <f t="array" ref="H62">IFERROR(IF($D62 &lt;&gt;0,ResultValue($C62,COLUMN(I62)-COLUMN($C62))/$D62,""),"")</f>
        <v>0</v>
      </c>
      <c r="I62" s="16" cm="1">
        <f t="array" ref="I62">IFERROR(IF($D62 &lt;&gt;0,ResultValue($C62,COLUMN(J62)-COLUMN($C62))/$D62,""),"")</f>
        <v>0</v>
      </c>
      <c r="J62" s="16" cm="1">
        <f t="array" ref="J62">IFERROR(IF($D62 &lt;&gt;0,ResultValue($C62,COLUMN(K62)-COLUMN($C62))/$D62,""),"")</f>
        <v>0</v>
      </c>
      <c r="K62" s="16" cm="1">
        <f t="array" ref="K62">IFERROR(IF($D62 &lt;&gt;0,ResultValue($C62,COLUMN(L62)-COLUMN($C62))/$D62,""),"")</f>
        <v>0</v>
      </c>
      <c r="L62" s="16" cm="1">
        <f t="array" ref="L62">IFERROR(IF($D62 &lt;&gt;0,ResultValue($C62,COLUMN(M62)-COLUMN($C62))/$D62,""),"")</f>
        <v>0</v>
      </c>
      <c r="M62" s="16" cm="1">
        <f t="array" ref="M62">IFERROR(IF($D62 &lt;&gt;0,ResultValue($C62,COLUMN(N62)-COLUMN($C62))/$D62,""),"")</f>
        <v>0</v>
      </c>
      <c r="N62" s="16" cm="1">
        <f t="array" ref="N62">IFERROR(IF($D62 &lt;&gt;0,ResultValue($C62,COLUMN(O62)-COLUMN($C62))/$D62,""),"")</f>
        <v>0</v>
      </c>
      <c r="O62" s="16" cm="1">
        <f t="array" ref="O62">IFERROR(IF($D62 &lt;&gt;0,ResultValue($C62,COLUMN(P62)-COLUMN($C62))/$D62,""),"")</f>
        <v>0</v>
      </c>
      <c r="P62" s="16" cm="1">
        <f t="array" ref="P62">IFERROR(IF($D62 &lt;&gt;0,ResultValue($C62,COLUMN(Q62)-COLUMN($C62))/$D62,""),"")</f>
        <v>0</v>
      </c>
      <c r="Q62" s="16" cm="1">
        <f t="array" ref="Q62">IFERROR(IF($D62 &lt;&gt;0,ResultValue($C62,COLUMN(R62)-COLUMN($C62))/$D62,""),"")</f>
        <v>0</v>
      </c>
      <c r="R62" s="16" cm="1">
        <f t="array" ref="R62">IFERROR(IF($D62 &lt;&gt;0,ResultValue($C62,COLUMN(S62)-COLUMN($C62))/$D62,""),"")</f>
        <v>0</v>
      </c>
      <c r="S62" s="16" cm="1">
        <f t="array" ref="S62">IFERROR(IF($D62 &lt;&gt;0,ResultValue($C62,COLUMN(T62)-COLUMN($C62))/$D62,""),"")</f>
        <v>0</v>
      </c>
      <c r="T62" s="16" cm="1">
        <f t="array" ref="T62">IFERROR(IF($D62 &lt;&gt;0,ResultValue($C62,COLUMN(U62)-COLUMN($C62))/$D62,""),"")</f>
        <v>0</v>
      </c>
      <c r="U62" s="16" cm="1">
        <f t="array" ref="U62">IFERROR(IF($D62 &lt;&gt;0,ResultValue($C62,COLUMN(V62)-COLUMN($C62))/$D62,""),"")</f>
        <v>0</v>
      </c>
      <c r="V62" s="16" cm="1">
        <f t="array" ref="V62">IFERROR(IF($D62 &lt;&gt;0,ResultValue($C62,COLUMN(W62)-COLUMN($C62))/$D62,""),"")</f>
        <v>0</v>
      </c>
      <c r="W62" s="16" cm="1">
        <f t="array" ref="W62">IFERROR(IF($D62 &lt;&gt;0,ResultValue($C62,COLUMN(X62)-COLUMN($C62))/$D62,""),"")</f>
        <v>0</v>
      </c>
      <c r="X62" s="16" cm="1">
        <f t="array" ref="X62">IFERROR(IF($D62 &lt;&gt;0,ResultValue($C62,COLUMN(Y62)-COLUMN($C62))/$D62,""),"")</f>
        <v>0</v>
      </c>
      <c r="Y62" s="16" cm="1">
        <f t="array" ref="Y62">IFERROR(IF($D62 &lt;&gt;0,ResultValue($C62,COLUMN(Z62)-COLUMN($C62))/$D62,""),"")</f>
        <v>0</v>
      </c>
    </row>
    <row r="63" spans="1:28" x14ac:dyDescent="0.25">
      <c r="A63" t="str">
        <v>Tillægsafgift</v>
      </c>
      <c r="B63" s="61"/>
      <c r="C63" t="str">
        <f>IF(ISBLANK(A25),"",A25)</f>
        <v>Leveret varme</v>
      </c>
      <c r="D63" s="51">
        <f>B25</f>
        <v>1</v>
      </c>
      <c r="E63" s="16" cm="1">
        <f t="array" ref="E63">IFERROR(IF($D63 &lt;&gt;0,ResultValue($C63,COLUMN(F63)-COLUMN($C63))/$D63,""),"")</f>
        <v>24000</v>
      </c>
      <c r="F63" s="16" cm="1">
        <f t="array" ref="F63">IFERROR(IF($D63 &lt;&gt;0,ResultValue($C63,COLUMN(G63)-COLUMN($C63))/$D63,""),"")</f>
        <v>24000</v>
      </c>
      <c r="G63" s="16" cm="1">
        <f t="array" ref="G63">IFERROR(IF($D63 &lt;&gt;0,ResultValue($C63,COLUMN(H63)-COLUMN($C63))/$D63,""),"")</f>
        <v>24000</v>
      </c>
      <c r="H63" s="16" cm="1">
        <f t="array" ref="H63">IFERROR(IF($D63 &lt;&gt;0,ResultValue($C63,COLUMN(I63)-COLUMN($C63))/$D63,""),"")</f>
        <v>24000</v>
      </c>
      <c r="I63" s="16" cm="1">
        <f t="array" ref="I63">IFERROR(IF($D63 &lt;&gt;0,ResultValue($C63,COLUMN(J63)-COLUMN($C63))/$D63,""),"")</f>
        <v>24000</v>
      </c>
      <c r="J63" s="16" cm="1">
        <f t="array" ref="J63">IFERROR(IF($D63 &lt;&gt;0,ResultValue($C63,COLUMN(K63)-COLUMN($C63))/$D63,""),"")</f>
        <v>24000</v>
      </c>
      <c r="K63" s="16" cm="1">
        <f t="array" ref="K63">IFERROR(IF($D63 &lt;&gt;0,ResultValue($C63,COLUMN(L63)-COLUMN($C63))/$D63,""),"")</f>
        <v>24000</v>
      </c>
      <c r="L63" s="16" cm="1">
        <f t="array" ref="L63">IFERROR(IF($D63 &lt;&gt;0,ResultValue($C63,COLUMN(M63)-COLUMN($C63))/$D63,""),"")</f>
        <v>24000</v>
      </c>
      <c r="M63" s="16" cm="1">
        <f t="array" ref="M63">IFERROR(IF($D63 &lt;&gt;0,ResultValue($C63,COLUMN(N63)-COLUMN($C63))/$D63,""),"")</f>
        <v>24000</v>
      </c>
      <c r="N63" s="16" cm="1">
        <f t="array" ref="N63">IFERROR(IF($D63 &lt;&gt;0,ResultValue($C63,COLUMN(O63)-COLUMN($C63))/$D63,""),"")</f>
        <v>24000</v>
      </c>
      <c r="O63" s="16" cm="1">
        <f t="array" ref="O63">IFERROR(IF($D63 &lt;&gt;0,ResultValue($C63,COLUMN(P63)-COLUMN($C63))/$D63,""),"")</f>
        <v>24000</v>
      </c>
      <c r="P63" s="16" cm="1">
        <f t="array" ref="P63">IFERROR(IF($D63 &lt;&gt;0,ResultValue($C63,COLUMN(Q63)-COLUMN($C63))/$D63,""),"")</f>
        <v>24000</v>
      </c>
      <c r="Q63" s="16" cm="1">
        <f t="array" ref="Q63">IFERROR(IF($D63 &lt;&gt;0,ResultValue($C63,COLUMN(R63)-COLUMN($C63))/$D63,""),"")</f>
        <v>24000</v>
      </c>
      <c r="R63" s="16" cm="1">
        <f t="array" ref="R63">IFERROR(IF($D63 &lt;&gt;0,ResultValue($C63,COLUMN(S63)-COLUMN($C63))/$D63,""),"")</f>
        <v>24000</v>
      </c>
      <c r="S63" s="16" cm="1">
        <f t="array" ref="S63">IFERROR(IF($D63 &lt;&gt;0,ResultValue($C63,COLUMN(T63)-COLUMN($C63))/$D63,""),"")</f>
        <v>24000</v>
      </c>
      <c r="T63" s="16" cm="1">
        <f t="array" ref="T63">IFERROR(IF($D63 &lt;&gt;0,ResultValue($C63,COLUMN(U63)-COLUMN($C63))/$D63,""),"")</f>
        <v>24000</v>
      </c>
      <c r="U63" s="16" cm="1">
        <f t="array" ref="U63">IFERROR(IF($D63 &lt;&gt;0,ResultValue($C63,COLUMN(V63)-COLUMN($C63))/$D63,""),"")</f>
        <v>24000</v>
      </c>
      <c r="V63" s="16" cm="1">
        <f t="array" ref="V63">IFERROR(IF($D63 &lt;&gt;0,ResultValue($C63,COLUMN(W63)-COLUMN($C63))/$D63,""),"")</f>
        <v>24000</v>
      </c>
      <c r="W63" s="16" cm="1">
        <f t="array" ref="W63">IFERROR(IF($D63 &lt;&gt;0,ResultValue($C63,COLUMN(X63)-COLUMN($C63))/$D63,""),"")</f>
        <v>24000</v>
      </c>
      <c r="X63" s="16" cm="1">
        <f t="array" ref="X63">IFERROR(IF($D63 &lt;&gt;0,ResultValue($C63,COLUMN(Y63)-COLUMN($C63))/$D63,""),"")</f>
        <v>24000</v>
      </c>
      <c r="Y63" s="16" cm="1">
        <f t="array" ref="Y63">IFERROR(IF($D63 &lt;&gt;0,ResultValue($C63,COLUMN(Z63)-COLUMN($C63))/$D63,""),"")</f>
        <v>24000</v>
      </c>
    </row>
    <row r="64" spans="1:28" x14ac:dyDescent="0.25">
      <c r="A64" t="str">
        <v>CO2-afgift</v>
      </c>
      <c r="B64" s="61"/>
      <c r="C64" t="str">
        <f>IF(ISBLANK(A26),"",A26)</f>
        <v>Spidslastvarme</v>
      </c>
      <c r="D64" s="51">
        <f>B26</f>
        <v>1</v>
      </c>
      <c r="E64" s="16" cm="1">
        <f t="array" ref="E64">IFERROR(IF($D64 &lt;&gt;0,ResultValue($C64,COLUMN(F64)-COLUMN($C64))/$D64,""),"")</f>
        <v>4000</v>
      </c>
      <c r="F64" s="16" cm="1">
        <f t="array" ref="F64">IFERROR(IF($D64 &lt;&gt;0,ResultValue($C64,COLUMN(G64)-COLUMN($C64))/$D64,""),"")</f>
        <v>4000</v>
      </c>
      <c r="G64" s="16" cm="1">
        <f t="array" ref="G64">IFERROR(IF($D64 &lt;&gt;0,ResultValue($C64,COLUMN(H64)-COLUMN($C64))/$D64,""),"")</f>
        <v>4000</v>
      </c>
      <c r="H64" s="16" cm="1">
        <f t="array" ref="H64">IFERROR(IF($D64 &lt;&gt;0,ResultValue($C64,COLUMN(I64)-COLUMN($C64))/$D64,""),"")</f>
        <v>4000</v>
      </c>
      <c r="I64" s="16" cm="1">
        <f t="array" ref="I64">IFERROR(IF($D64 &lt;&gt;0,ResultValue($C64,COLUMN(J64)-COLUMN($C64))/$D64,""),"")</f>
        <v>4000</v>
      </c>
      <c r="J64" s="16" cm="1">
        <f t="array" ref="J64">IFERROR(IF($D64 &lt;&gt;0,ResultValue($C64,COLUMN(K64)-COLUMN($C64))/$D64,""),"")</f>
        <v>4000</v>
      </c>
      <c r="K64" s="16" cm="1">
        <f t="array" ref="K64">IFERROR(IF($D64 &lt;&gt;0,ResultValue($C64,COLUMN(L64)-COLUMN($C64))/$D64,""),"")</f>
        <v>4000</v>
      </c>
      <c r="L64" s="16" cm="1">
        <f t="array" ref="L64">IFERROR(IF($D64 &lt;&gt;0,ResultValue($C64,COLUMN(M64)-COLUMN($C64))/$D64,""),"")</f>
        <v>4000</v>
      </c>
      <c r="M64" s="16" cm="1">
        <f t="array" ref="M64">IFERROR(IF($D64 &lt;&gt;0,ResultValue($C64,COLUMN(N64)-COLUMN($C64))/$D64,""),"")</f>
        <v>4000</v>
      </c>
      <c r="N64" s="16" cm="1">
        <f t="array" ref="N64">IFERROR(IF($D64 &lt;&gt;0,ResultValue($C64,COLUMN(O64)-COLUMN($C64))/$D64,""),"")</f>
        <v>4000</v>
      </c>
      <c r="O64" s="16" cm="1">
        <f t="array" ref="O64">IFERROR(IF($D64 &lt;&gt;0,ResultValue($C64,COLUMN(P64)-COLUMN($C64))/$D64,""),"")</f>
        <v>4000</v>
      </c>
      <c r="P64" s="16" cm="1">
        <f t="array" ref="P64">IFERROR(IF($D64 &lt;&gt;0,ResultValue($C64,COLUMN(Q64)-COLUMN($C64))/$D64,""),"")</f>
        <v>4000</v>
      </c>
      <c r="Q64" s="16" cm="1">
        <f t="array" ref="Q64">IFERROR(IF($D64 &lt;&gt;0,ResultValue($C64,COLUMN(R64)-COLUMN($C64))/$D64,""),"")</f>
        <v>4000</v>
      </c>
      <c r="R64" s="16" cm="1">
        <f t="array" ref="R64">IFERROR(IF($D64 &lt;&gt;0,ResultValue($C64,COLUMN(S64)-COLUMN($C64))/$D64,""),"")</f>
        <v>4000</v>
      </c>
      <c r="S64" s="16" cm="1">
        <f t="array" ref="S64">IFERROR(IF($D64 &lt;&gt;0,ResultValue($C64,COLUMN(T64)-COLUMN($C64))/$D64,""),"")</f>
        <v>4000</v>
      </c>
      <c r="T64" s="16" cm="1">
        <f t="array" ref="T64">IFERROR(IF($D64 &lt;&gt;0,ResultValue($C64,COLUMN(U64)-COLUMN($C64))/$D64,""),"")</f>
        <v>4000</v>
      </c>
      <c r="U64" s="16" cm="1">
        <f t="array" ref="U64">IFERROR(IF($D64 &lt;&gt;0,ResultValue($C64,COLUMN(V64)-COLUMN($C64))/$D64,""),"")</f>
        <v>4000</v>
      </c>
      <c r="V64" s="16" cm="1">
        <f t="array" ref="V64">IFERROR(IF($D64 &lt;&gt;0,ResultValue($C64,COLUMN(W64)-COLUMN($C64))/$D64,""),"")</f>
        <v>4000</v>
      </c>
      <c r="W64" s="16" cm="1">
        <f t="array" ref="W64">IFERROR(IF($D64 &lt;&gt;0,ResultValue($C64,COLUMN(X64)-COLUMN($C64))/$D64,""),"")</f>
        <v>4000</v>
      </c>
      <c r="X64" s="16" cm="1">
        <f t="array" ref="X64">IFERROR(IF($D64 &lt;&gt;0,ResultValue($C64,COLUMN(Y64)-COLUMN($C64))/$D64,""),"")</f>
        <v>4000</v>
      </c>
      <c r="Y64" s="16" cm="1">
        <f t="array" ref="Y64">IFERROR(IF($D64 &lt;&gt;0,ResultValue($C64,COLUMN(Z64)-COLUMN($C64))/$D64,""),"")</f>
        <v>4000</v>
      </c>
    </row>
    <row r="65" spans="1:25" x14ac:dyDescent="0.25">
      <c r="A65" t="str">
        <v>Kvote-omkostning</v>
      </c>
      <c r="B65" s="61"/>
      <c r="C65" t="str">
        <f>IF(ISBLANK(A27),"",A27)</f>
        <v>Affaldsforbrug Ovn2</v>
      </c>
      <c r="D65" s="51">
        <f>B27</f>
        <v>1</v>
      </c>
      <c r="E65" s="16" cm="1">
        <f t="array" ref="E65">IFERROR(IF($D65 &lt;&gt;0,ResultValue($C65,COLUMN(F65)-COLUMN($C65))/$D65,""),"")</f>
        <v>1094.3867347062462</v>
      </c>
      <c r="F65" s="16" cm="1">
        <f t="array" ref="F65">IFERROR(IF($D65 &lt;&gt;0,ResultValue($C65,COLUMN(G65)-COLUMN($C65))/$D65,""),"")</f>
        <v>2919.670860050182</v>
      </c>
      <c r="G65" s="16" cm="1">
        <f t="array" ref="G65">IFERROR(IF($D65 &lt;&gt;0,ResultValue($C65,COLUMN(H65)-COLUMN($C65))/$D65,""),"")</f>
        <v>2805.7762998686553</v>
      </c>
      <c r="H65" s="16" cm="1">
        <f t="array" ref="H65">IFERROR(IF($D65 &lt;&gt;0,ResultValue($C65,COLUMN(I65)-COLUMN($C65))/$D65,""),"")</f>
        <v>2694.2061184663444</v>
      </c>
      <c r="I65" s="16" cm="1">
        <f t="array" ref="I65">IFERROR(IF($D65 &lt;&gt;0,ResultValue($C65,COLUMN(J65)-COLUMN($C65))/$D65,""),"")</f>
        <v>2584.8898801226651</v>
      </c>
      <c r="J65" s="16" cm="1">
        <f t="array" ref="J65">IFERROR(IF($D65 &lt;&gt;0,ResultValue($C65,COLUMN(K65)-COLUMN($C65))/$D65,""),"")</f>
        <v>2477.7599665458606</v>
      </c>
      <c r="K65" s="16" cm="1">
        <f t="array" ref="K65">IFERROR(IF($D65 &lt;&gt;0,ResultValue($C65,COLUMN(L65)-COLUMN($C65))/$D65,""),"")</f>
        <v>2372.751437396319</v>
      </c>
      <c r="L65" s="16" cm="1">
        <f t="array" ref="L65">IFERROR(IF($D65 &lt;&gt;0,ResultValue($C65,COLUMN(M65)-COLUMN($C65))/$D65,""),"")</f>
        <v>2269.8018990144151</v>
      </c>
      <c r="M65" s="16" cm="1">
        <f t="array" ref="M65">IFERROR(IF($D65 &lt;&gt;0,ResultValue($C65,COLUMN(N65)-COLUMN($C65))/$D65,""),"")</f>
        <v>2168.8513807952672</v>
      </c>
      <c r="N65" s="16" cm="1">
        <f t="array" ref="N65">IFERROR(IF($D65 &lt;&gt;0,ResultValue($C65,COLUMN(O65)-COLUMN($C65))/$D65,""),"")</f>
        <v>2069.8422186957168</v>
      </c>
      <c r="O65" s="16" cm="1">
        <f t="array" ref="O65">IFERROR(IF($D65 &lt;&gt;0,ResultValue($C65,COLUMN(P65)-COLUMN($C65))/$D65,""),"")</f>
        <v>1972.7189453980645</v>
      </c>
      <c r="P65" s="16" cm="1">
        <f t="array" ref="P65">IFERROR(IF($D65 &lt;&gt;0,ResultValue($C65,COLUMN(Q65)-COLUMN($C65))/$D65,""),"")</f>
        <v>1877.4281866909339</v>
      </c>
      <c r="Q65" s="16" cm="1">
        <f t="array" ref="Q65">IFERROR(IF($D65 &lt;&gt;0,ResultValue($C65,COLUMN(R65)-COLUMN($C65))/$D65,""),"")</f>
        <v>1783.9185636605707</v>
      </c>
      <c r="R65" s="16" cm="1">
        <f t="array" ref="R65">IFERROR(IF($D65 &lt;&gt;0,ResultValue($C65,COLUMN(S65)-COLUMN($C65))/$D65,""),"")</f>
        <v>1692.1406003159564</v>
      </c>
      <c r="S65" s="16" cm="1">
        <f t="array" ref="S65">IFERROR(IF($D65 &lt;&gt;0,ResultValue($C65,COLUMN(T65)-COLUMN($C65))/$D65,""),"")</f>
        <v>1602.0466362987647</v>
      </c>
      <c r="T65" s="16" cm="1">
        <f t="array" ref="T65">IFERROR(IF($D65 &lt;&gt;0,ResultValue($C65,COLUMN(U65)-COLUMN($C65))/$D65,""),"")</f>
        <v>1513.5907443546141</v>
      </c>
      <c r="U65" s="16" cm="1">
        <f t="array" ref="U65">IFERROR(IF($D65 &lt;&gt;0,ResultValue($C65,COLUMN(V65)-COLUMN($C65))/$D65,""),"")</f>
        <v>1426.728652265313</v>
      </c>
      <c r="V65" s="16" cm="1">
        <f t="array" ref="V65">IFERROR(IF($D65 &lt;&gt;0,ResultValue($C65,COLUMN(W65)-COLUMN($C65))/$D65,""),"")</f>
        <v>1341.41766896332</v>
      </c>
      <c r="W65" s="16" cm="1">
        <f t="array" ref="W65">IFERROR(IF($D65 &lt;&gt;0,ResultValue($C65,COLUMN(X65)-COLUMN($C65))/$D65,""),"")</f>
        <v>1257.6166145693278</v>
      </c>
      <c r="X65" s="16" cm="1">
        <f t="array" ref="X65">IFERROR(IF($D65 &lt;&gt;0,ResultValue($C65,COLUMN(Y65)-COLUMN($C65))/$D65,""),"")</f>
        <v>1175.2857541120711</v>
      </c>
      <c r="Y65" s="16" cm="1">
        <f t="array" ref="Y65">IFERROR(IF($D65 &lt;&gt;0,ResultValue($C65,COLUMN(Z65)-COLUMN($C65))/$D65,""),"")</f>
        <v>1094.3867347062462</v>
      </c>
    </row>
    <row r="66" spans="1:25" x14ac:dyDescent="0.25">
      <c r="A66" t="str">
        <v>Varmeproduktion Ovn2</v>
      </c>
      <c r="B66" s="61"/>
      <c r="C66" t="str">
        <f>IF(ISBLANK(A28),"",A28)</f>
        <v>Affaldsforbrug Ovn3</v>
      </c>
      <c r="D66" s="51">
        <f>B28</f>
        <v>1</v>
      </c>
      <c r="E66" s="16" cm="1">
        <f t="array" ref="E66">IFERROR(IF($D66 &lt;&gt;0,ResultValue($C66,COLUMN(F66)-COLUMN($C66))/$D66,""),"")</f>
        <v>9006.456241033</v>
      </c>
      <c r="F66" s="16" cm="1">
        <f t="array" ref="F66">IFERROR(IF($D66 &lt;&gt;0,ResultValue($C66,COLUMN(G66)-COLUMN($C66))/$D66,""),"")</f>
        <v>9006.4562410329982</v>
      </c>
      <c r="G66" s="16" cm="1">
        <f t="array" ref="G66">IFERROR(IF($D66 &lt;&gt;0,ResultValue($C66,COLUMN(H66)-COLUMN($C66))/$D66,""),"")</f>
        <v>9006.456241033</v>
      </c>
      <c r="H66" s="16" cm="1">
        <f t="array" ref="H66">IFERROR(IF($D66 &lt;&gt;0,ResultValue($C66,COLUMN(I66)-COLUMN($C66))/$D66,""),"")</f>
        <v>9006.4562410329982</v>
      </c>
      <c r="I66" s="16" cm="1">
        <f t="array" ref="I66">IFERROR(IF($D66 &lt;&gt;0,ResultValue($C66,COLUMN(J66)-COLUMN($C66))/$D66,""),"")</f>
        <v>9006.456241033</v>
      </c>
      <c r="J66" s="16" cm="1">
        <f t="array" ref="J66">IFERROR(IF($D66 &lt;&gt;0,ResultValue($C66,COLUMN(K66)-COLUMN($C66))/$D66,""),"")</f>
        <v>9006.456241033</v>
      </c>
      <c r="K66" s="16" cm="1">
        <f t="array" ref="K66">IFERROR(IF($D66 &lt;&gt;0,ResultValue($C66,COLUMN(L66)-COLUMN($C66))/$D66,""),"")</f>
        <v>9006.456241033</v>
      </c>
      <c r="L66" s="16" cm="1">
        <f t="array" ref="L66">IFERROR(IF($D66 &lt;&gt;0,ResultValue($C66,COLUMN(M66)-COLUMN($C66))/$D66,""),"")</f>
        <v>9006.456241033</v>
      </c>
      <c r="M66" s="16" cm="1">
        <f t="array" ref="M66">IFERROR(IF($D66 &lt;&gt;0,ResultValue($C66,COLUMN(N66)-COLUMN($C66))/$D66,""),"")</f>
        <v>9006.456241033</v>
      </c>
      <c r="N66" s="16" cm="1">
        <f t="array" ref="N66">IFERROR(IF($D66 &lt;&gt;0,ResultValue($C66,COLUMN(O66)-COLUMN($C66))/$D66,""),"")</f>
        <v>9006.456241033</v>
      </c>
      <c r="O66" s="16" cm="1">
        <f t="array" ref="O66">IFERROR(IF($D66 &lt;&gt;0,ResultValue($C66,COLUMN(P66)-COLUMN($C66))/$D66,""),"")</f>
        <v>9006.456241033</v>
      </c>
      <c r="P66" s="16" cm="1">
        <f t="array" ref="P66">IFERROR(IF($D66 &lt;&gt;0,ResultValue($C66,COLUMN(Q66)-COLUMN($C66))/$D66,""),"")</f>
        <v>9006.4562410329982</v>
      </c>
      <c r="Q66" s="16" cm="1">
        <f t="array" ref="Q66">IFERROR(IF($D66 &lt;&gt;0,ResultValue($C66,COLUMN(R66)-COLUMN($C66))/$D66,""),"")</f>
        <v>9006.456241033</v>
      </c>
      <c r="R66" s="16" cm="1">
        <f t="array" ref="R66">IFERROR(IF($D66 &lt;&gt;0,ResultValue($C66,COLUMN(S66)-COLUMN($C66))/$D66,""),"")</f>
        <v>9006.456241033</v>
      </c>
      <c r="S66" s="16" cm="1">
        <f t="array" ref="S66">IFERROR(IF($D66 &lt;&gt;0,ResultValue($C66,COLUMN(T66)-COLUMN($C66))/$D66,""),"")</f>
        <v>9006.456241033</v>
      </c>
      <c r="T66" s="16" cm="1">
        <f t="array" ref="T66">IFERROR(IF($D66 &lt;&gt;0,ResultValue($C66,COLUMN(U66)-COLUMN($C66))/$D66,""),"")</f>
        <v>9006.456241033</v>
      </c>
      <c r="U66" s="16" cm="1">
        <f t="array" ref="U66">IFERROR(IF($D66 &lt;&gt;0,ResultValue($C66,COLUMN(V66)-COLUMN($C66))/$D66,""),"")</f>
        <v>9006.456241033</v>
      </c>
      <c r="V66" s="16" cm="1">
        <f t="array" ref="V66">IFERROR(IF($D66 &lt;&gt;0,ResultValue($C66,COLUMN(W66)-COLUMN($C66))/$D66,""),"")</f>
        <v>9006.456241033</v>
      </c>
      <c r="W66" s="16" cm="1">
        <f t="array" ref="W66">IFERROR(IF($D66 &lt;&gt;0,ResultValue($C66,COLUMN(X66)-COLUMN($C66))/$D66,""),"")</f>
        <v>9006.456241033</v>
      </c>
      <c r="X66" s="16" cm="1">
        <f t="array" ref="X66">IFERROR(IF($D66 &lt;&gt;0,ResultValue($C66,COLUMN(Y66)-COLUMN($C66))/$D66,""),"")</f>
        <v>9006.456241033</v>
      </c>
      <c r="Y66" s="16" cm="1">
        <f t="array" ref="Y66">IFERROR(IF($D66 &lt;&gt;0,ResultValue($C66,COLUMN(Z66)-COLUMN($C66))/$D66,""),"")</f>
        <v>9006.456241033</v>
      </c>
    </row>
    <row r="67" spans="1:25" x14ac:dyDescent="0.25">
      <c r="A67" t="str">
        <v>Varmeproduktion Ovn3</v>
      </c>
      <c r="B67" s="61"/>
      <c r="C67" t="str">
        <f>IF(ISBLANK(A29),"",A29)</f>
        <v>Affaldsforbrug kølevarme Ovn2</v>
      </c>
      <c r="D67" s="51">
        <f>B29</f>
        <v>1</v>
      </c>
      <c r="E67" s="16" cm="1">
        <f t="array" ref="E67">IFERROR(IF($D67 &lt;&gt;0,ResultValue($C67,COLUMN(F67)-COLUMN($C67))/$D67,""),"")</f>
        <v>0</v>
      </c>
      <c r="F67" s="16" cm="1">
        <f t="array" ref="F67">IFERROR(IF($D67 &lt;&gt;0,ResultValue($C67,COLUMN(G67)-COLUMN($C67))/$D67,""),"")</f>
        <v>0</v>
      </c>
      <c r="G67" s="16" cm="1">
        <f t="array" ref="G67">IFERROR(IF($D67 &lt;&gt;0,ResultValue($C67,COLUMN(H67)-COLUMN($C67))/$D67,""),"")</f>
        <v>0</v>
      </c>
      <c r="H67" s="16" cm="1">
        <f t="array" ref="H67">IFERROR(IF($D67 &lt;&gt;0,ResultValue($C67,COLUMN(I67)-COLUMN($C67))/$D67,""),"")</f>
        <v>0</v>
      </c>
      <c r="I67" s="16" cm="1">
        <f t="array" ref="I67">IFERROR(IF($D67 &lt;&gt;0,ResultValue($C67,COLUMN(J67)-COLUMN($C67))/$D67,""),"")</f>
        <v>0</v>
      </c>
      <c r="J67" s="16" cm="1">
        <f t="array" ref="J67">IFERROR(IF($D67 &lt;&gt;0,ResultValue($C67,COLUMN(K67)-COLUMN($C67))/$D67,""),"")</f>
        <v>0</v>
      </c>
      <c r="K67" s="16" cm="1">
        <f t="array" ref="K67">IFERROR(IF($D67 &lt;&gt;0,ResultValue($C67,COLUMN(L67)-COLUMN($C67))/$D67,""),"")</f>
        <v>0</v>
      </c>
      <c r="L67" s="16" cm="1">
        <f t="array" ref="L67">IFERROR(IF($D67 &lt;&gt;0,ResultValue($C67,COLUMN(M67)-COLUMN($C67))/$D67,""),"")</f>
        <v>0</v>
      </c>
      <c r="M67" s="16" cm="1">
        <f t="array" ref="M67">IFERROR(IF($D67 &lt;&gt;0,ResultValue($C67,COLUMN(N67)-COLUMN($C67))/$D67,""),"")</f>
        <v>0</v>
      </c>
      <c r="N67" s="16" cm="1">
        <f t="array" ref="N67">IFERROR(IF($D67 &lt;&gt;0,ResultValue($C67,COLUMN(O67)-COLUMN($C67))/$D67,""),"")</f>
        <v>0</v>
      </c>
      <c r="O67" s="16" cm="1">
        <f t="array" ref="O67">IFERROR(IF($D67 &lt;&gt;0,ResultValue($C67,COLUMN(P67)-COLUMN($C67))/$D67,""),"")</f>
        <v>0</v>
      </c>
      <c r="P67" s="16" cm="1">
        <f t="array" ref="P67">IFERROR(IF($D67 &lt;&gt;0,ResultValue($C67,COLUMN(Q67)-COLUMN($C67))/$D67,""),"")</f>
        <v>0</v>
      </c>
      <c r="Q67" s="16" cm="1">
        <f t="array" ref="Q67">IFERROR(IF($D67 &lt;&gt;0,ResultValue($C67,COLUMN(R67)-COLUMN($C67))/$D67,""),"")</f>
        <v>0</v>
      </c>
      <c r="R67" s="16" cm="1">
        <f t="array" ref="R67">IFERROR(IF($D67 &lt;&gt;0,ResultValue($C67,COLUMN(S67)-COLUMN($C67))/$D67,""),"")</f>
        <v>0</v>
      </c>
      <c r="S67" s="16" cm="1">
        <f t="array" ref="S67">IFERROR(IF($D67 &lt;&gt;0,ResultValue($C67,COLUMN(T67)-COLUMN($C67))/$D67,""),"")</f>
        <v>0</v>
      </c>
      <c r="T67" s="16" cm="1">
        <f t="array" ref="T67">IFERROR(IF($D67 &lt;&gt;0,ResultValue($C67,COLUMN(U67)-COLUMN($C67))/$D67,""),"")</f>
        <v>0</v>
      </c>
      <c r="U67" s="16" cm="1">
        <f t="array" ref="U67">IFERROR(IF($D67 &lt;&gt;0,ResultValue($C67,COLUMN(V67)-COLUMN($C67))/$D67,""),"")</f>
        <v>0</v>
      </c>
      <c r="V67" s="16" cm="1">
        <f t="array" ref="V67">IFERROR(IF($D67 &lt;&gt;0,ResultValue($C67,COLUMN(W67)-COLUMN($C67))/$D67,""),"")</f>
        <v>0</v>
      </c>
      <c r="W67" s="16" cm="1">
        <f t="array" ref="W67">IFERROR(IF($D67 &lt;&gt;0,ResultValue($C67,COLUMN(X67)-COLUMN($C67))/$D67,""),"")</f>
        <v>0</v>
      </c>
      <c r="X67" s="16" cm="1">
        <f t="array" ref="X67">IFERROR(IF($D67 &lt;&gt;0,ResultValue($C67,COLUMN(Y67)-COLUMN($C67))/$D67,""),"")</f>
        <v>0</v>
      </c>
      <c r="Y67" s="16" cm="1">
        <f t="array" ref="Y67">IFERROR(IF($D67 &lt;&gt;0,ResultValue($C67,COLUMN(Z67)-COLUMN($C67))/$D67,""),"")</f>
        <v>0</v>
      </c>
    </row>
    <row r="68" spans="1:25" x14ac:dyDescent="0.25">
      <c r="A68" t="str">
        <v>Heraf RGK-varme</v>
      </c>
      <c r="B68" s="61"/>
      <c r="C68" t="str">
        <f>IF(ISBLANK(A30),"",A30)</f>
        <v>Affaldsforbrug kølevarme Ovn3</v>
      </c>
      <c r="D68" s="51">
        <f>B30</f>
        <v>1</v>
      </c>
      <c r="E68" s="16" cm="1">
        <f t="array" ref="E68">IFERROR(IF($D68 &lt;&gt;0,ResultValue($C68,COLUMN(F68)-COLUMN($C68))/$D68,""),"")</f>
        <v>0</v>
      </c>
      <c r="F68" s="16" cm="1">
        <f t="array" ref="F68">IFERROR(IF($D68 &lt;&gt;0,ResultValue($C68,COLUMN(G68)-COLUMN($C68))/$D68,""),"")</f>
        <v>0</v>
      </c>
      <c r="G68" s="16" cm="1">
        <f t="array" ref="G68">IFERROR(IF($D68 &lt;&gt;0,ResultValue($C68,COLUMN(H68)-COLUMN($C68))/$D68,""),"")</f>
        <v>0</v>
      </c>
      <c r="H68" s="16" cm="1">
        <f t="array" ref="H68">IFERROR(IF($D68 &lt;&gt;0,ResultValue($C68,COLUMN(I68)-COLUMN($C68))/$D68,""),"")</f>
        <v>0</v>
      </c>
      <c r="I68" s="16" cm="1">
        <f t="array" ref="I68">IFERROR(IF($D68 &lt;&gt;0,ResultValue($C68,COLUMN(J68)-COLUMN($C68))/$D68,""),"")</f>
        <v>0</v>
      </c>
      <c r="J68" s="16" cm="1">
        <f t="array" ref="J68">IFERROR(IF($D68 &lt;&gt;0,ResultValue($C68,COLUMN(K68)-COLUMN($C68))/$D68,""),"")</f>
        <v>0</v>
      </c>
      <c r="K68" s="16" cm="1">
        <f t="array" ref="K68">IFERROR(IF($D68 &lt;&gt;0,ResultValue($C68,COLUMN(L68)-COLUMN($C68))/$D68,""),"")</f>
        <v>0</v>
      </c>
      <c r="L68" s="16" cm="1">
        <f t="array" ref="L68">IFERROR(IF($D68 &lt;&gt;0,ResultValue($C68,COLUMN(M68)-COLUMN($C68))/$D68,""),"")</f>
        <v>0</v>
      </c>
      <c r="M68" s="16" cm="1">
        <f t="array" ref="M68">IFERROR(IF($D68 &lt;&gt;0,ResultValue($C68,COLUMN(N68)-COLUMN($C68))/$D68,""),"")</f>
        <v>0</v>
      </c>
      <c r="N68" s="16" cm="1">
        <f t="array" ref="N68">IFERROR(IF($D68 &lt;&gt;0,ResultValue($C68,COLUMN(O68)-COLUMN($C68))/$D68,""),"")</f>
        <v>0</v>
      </c>
      <c r="O68" s="16" cm="1">
        <f t="array" ref="O68">IFERROR(IF($D68 &lt;&gt;0,ResultValue($C68,COLUMN(P68)-COLUMN($C68))/$D68,""),"")</f>
        <v>0</v>
      </c>
      <c r="P68" s="16" cm="1">
        <f t="array" ref="P68">IFERROR(IF($D68 &lt;&gt;0,ResultValue($C68,COLUMN(Q68)-COLUMN($C68))/$D68,""),"")</f>
        <v>0</v>
      </c>
      <c r="Q68" s="16" cm="1">
        <f t="array" ref="Q68">IFERROR(IF($D68 &lt;&gt;0,ResultValue($C68,COLUMN(R68)-COLUMN($C68))/$D68,""),"")</f>
        <v>0</v>
      </c>
      <c r="R68" s="16" cm="1">
        <f t="array" ref="R68">IFERROR(IF($D68 &lt;&gt;0,ResultValue($C68,COLUMN(S68)-COLUMN($C68))/$D68,""),"")</f>
        <v>0</v>
      </c>
      <c r="S68" s="16" cm="1">
        <f t="array" ref="S68">IFERROR(IF($D68 &lt;&gt;0,ResultValue($C68,COLUMN(T68)-COLUMN($C68))/$D68,""),"")</f>
        <v>0</v>
      </c>
      <c r="T68" s="16" cm="1">
        <f t="array" ref="T68">IFERROR(IF($D68 &lt;&gt;0,ResultValue($C68,COLUMN(U68)-COLUMN($C68))/$D68,""),"")</f>
        <v>0</v>
      </c>
      <c r="U68" s="16" cm="1">
        <f t="array" ref="U68">IFERROR(IF($D68 &lt;&gt;0,ResultValue($C68,COLUMN(V68)-COLUMN($C68))/$D68,""),"")</f>
        <v>0</v>
      </c>
      <c r="V68" s="16" cm="1">
        <f t="array" ref="V68">IFERROR(IF($D68 &lt;&gt;0,ResultValue($C68,COLUMN(W68)-COLUMN($C68))/$D68,""),"")</f>
        <v>0</v>
      </c>
      <c r="W68" s="16" cm="1">
        <f t="array" ref="W68">IFERROR(IF($D68 &lt;&gt;0,ResultValue($C68,COLUMN(X68)-COLUMN($C68))/$D68,""),"")</f>
        <v>0</v>
      </c>
      <c r="X68" s="16" cm="1">
        <f t="array" ref="X68">IFERROR(IF($D68 &lt;&gt;0,ResultValue($C68,COLUMN(Y68)-COLUMN($C68))/$D68,""),"")</f>
        <v>0</v>
      </c>
      <c r="Y68" s="16" cm="1">
        <f t="array" ref="Y68">IFERROR(IF($D68 &lt;&gt;0,ResultValue($C68,COLUMN(Z68)-COLUMN($C68))/$D68,""),"")</f>
        <v>0</v>
      </c>
    </row>
    <row r="69" spans="1:25" x14ac:dyDescent="0.25">
      <c r="A69" t="str">
        <v>Bortkølet varme</v>
      </c>
      <c r="B69" s="61"/>
      <c r="C69" t="str">
        <f>IF(ISBLANK(A31),"",A31)</f>
        <v>Udnyttet affald</v>
      </c>
      <c r="D69" s="51">
        <f>B31</f>
        <v>1</v>
      </c>
      <c r="E69" s="16" cm="1">
        <f t="array" ref="E69">IFERROR(IF($D69 &lt;&gt;0,ResultValue($C69,COLUMN(F69)-COLUMN($C69))/$D69,""),"")</f>
        <v>10100.842975739246</v>
      </c>
      <c r="F69" s="16" cm="1">
        <f t="array" ref="F69">IFERROR(IF($D69 &lt;&gt;0,ResultValue($C69,COLUMN(G69)-COLUMN($C69))/$D69,""),"")</f>
        <v>11926.127101083181</v>
      </c>
      <c r="G69" s="16" cm="1">
        <f t="array" ref="G69">IFERROR(IF($D69 &lt;&gt;0,ResultValue($C69,COLUMN(H69)-COLUMN($C69))/$D69,""),"")</f>
        <v>11812.232540901656</v>
      </c>
      <c r="H69" s="16" cm="1">
        <f t="array" ref="H69">IFERROR(IF($D69 &lt;&gt;0,ResultValue($C69,COLUMN(I69)-COLUMN($C69))/$D69,""),"")</f>
        <v>11700.662359499343</v>
      </c>
      <c r="I69" s="16" cm="1">
        <f t="array" ref="I69">IFERROR(IF($D69 &lt;&gt;0,ResultValue($C69,COLUMN(J69)-COLUMN($C69))/$D69,""),"")</f>
        <v>11591.346121155664</v>
      </c>
      <c r="J69" s="16" cm="1">
        <f t="array" ref="J69">IFERROR(IF($D69 &lt;&gt;0,ResultValue($C69,COLUMN(K69)-COLUMN($C69))/$D69,""),"")</f>
        <v>11484.21620757886</v>
      </c>
      <c r="K69" s="16" cm="1">
        <f t="array" ref="K69">IFERROR(IF($D69 &lt;&gt;0,ResultValue($C69,COLUMN(L69)-COLUMN($C69))/$D69,""),"")</f>
        <v>11379.207678429319</v>
      </c>
      <c r="L69" s="16" cm="1">
        <f t="array" ref="L69">IFERROR(IF($D69 &lt;&gt;0,ResultValue($C69,COLUMN(M69)-COLUMN($C69))/$D69,""),"")</f>
        <v>11276.258140047416</v>
      </c>
      <c r="M69" s="16" cm="1">
        <f t="array" ref="M69">IFERROR(IF($D69 &lt;&gt;0,ResultValue($C69,COLUMN(N69)-COLUMN($C69))/$D69,""),"")</f>
        <v>11175.307621828268</v>
      </c>
      <c r="N69" s="16" cm="1">
        <f t="array" ref="N69">IFERROR(IF($D69 &lt;&gt;0,ResultValue($C69,COLUMN(O69)-COLUMN($C69))/$D69,""),"")</f>
        <v>11076.298459728718</v>
      </c>
      <c r="O69" s="16" cm="1">
        <f t="array" ref="O69">IFERROR(IF($D69 &lt;&gt;0,ResultValue($C69,COLUMN(P69)-COLUMN($C69))/$D69,""),"")</f>
        <v>10979.175186431065</v>
      </c>
      <c r="P69" s="16" cm="1">
        <f t="array" ref="P69">IFERROR(IF($D69 &lt;&gt;0,ResultValue($C69,COLUMN(Q69)-COLUMN($C69))/$D69,""),"")</f>
        <v>10883.884427723931</v>
      </c>
      <c r="Q69" s="16" cm="1">
        <f t="array" ref="Q69">IFERROR(IF($D69 &lt;&gt;0,ResultValue($C69,COLUMN(R69)-COLUMN($C69))/$D69,""),"")</f>
        <v>10790.374804693571</v>
      </c>
      <c r="R69" s="16" cm="1">
        <f t="array" ref="R69">IFERROR(IF($D69 &lt;&gt;0,ResultValue($C69,COLUMN(S69)-COLUMN($C69))/$D69,""),"")</f>
        <v>10698.596841348957</v>
      </c>
      <c r="S69" s="16" cm="1">
        <f t="array" ref="S69">IFERROR(IF($D69 &lt;&gt;0,ResultValue($C69,COLUMN(T69)-COLUMN($C69))/$D69,""),"")</f>
        <v>10608.502877331764</v>
      </c>
      <c r="T69" s="16" cm="1">
        <f t="array" ref="T69">IFERROR(IF($D69 &lt;&gt;0,ResultValue($C69,COLUMN(U69)-COLUMN($C69))/$D69,""),"")</f>
        <v>10520.046985387615</v>
      </c>
      <c r="U69" s="16" cm="1">
        <f t="array" ref="U69">IFERROR(IF($D69 &lt;&gt;0,ResultValue($C69,COLUMN(V69)-COLUMN($C69))/$D69,""),"")</f>
        <v>10433.184893298312</v>
      </c>
      <c r="V69" s="16" cm="1">
        <f t="array" ref="V69">IFERROR(IF($D69 &lt;&gt;0,ResultValue($C69,COLUMN(W69)-COLUMN($C69))/$D69,""),"")</f>
        <v>10347.87390999632</v>
      </c>
      <c r="W69" s="16" cm="1">
        <f t="array" ref="W69">IFERROR(IF($D69 &lt;&gt;0,ResultValue($C69,COLUMN(X69)-COLUMN($C69))/$D69,""),"")</f>
        <v>10264.072855602328</v>
      </c>
      <c r="X69" s="16" cm="1">
        <f t="array" ref="X69">IFERROR(IF($D69 &lt;&gt;0,ResultValue($C69,COLUMN(Y69)-COLUMN($C69))/$D69,""),"")</f>
        <v>10181.741995145072</v>
      </c>
      <c r="Y69" s="16" cm="1">
        <f t="array" ref="Y69">IFERROR(IF($D69 &lt;&gt;0,ResultValue($C69,COLUMN(Z69)-COLUMN($C69))/$D69,""),"")</f>
        <v>10100.842975739246</v>
      </c>
    </row>
    <row r="70" spans="1:25" x14ac:dyDescent="0.25">
      <c r="A70" t="str">
        <v>Leveret varme</v>
      </c>
      <c r="B70" s="61"/>
      <c r="C70" t="str">
        <f>IF(ISBLANK(A32),"",A32)</f>
        <v>Ikke-udnyttet affald</v>
      </c>
      <c r="D70" s="51">
        <f>B32</f>
        <v>1</v>
      </c>
      <c r="E70" s="16" cm="1">
        <f t="array" ref="E70">IFERROR(IF($D70 &lt;&gt;0,ResultValue($C70,COLUMN(F70)-COLUMN($C70))/$D70,""),"")</f>
        <v>1899.1570242607538</v>
      </c>
      <c r="F70" s="16" cm="1">
        <f t="array" ref="F70">IFERROR(IF($D70 &lt;&gt;0,ResultValue($C70,COLUMN(G70)-COLUMN($C70))/$D70,""),"")</f>
        <v>73.87289891681985</v>
      </c>
      <c r="G70" s="16" cm="1">
        <f t="array" ref="G70">IFERROR(IF($D70 &lt;&gt;0,ResultValue($C70,COLUMN(H70)-COLUMN($C70))/$D70,""),"")</f>
        <v>187.76745909834472</v>
      </c>
      <c r="H70" s="16" cm="1">
        <f t="array" ref="H70">IFERROR(IF($D70 &lt;&gt;0,ResultValue($C70,COLUMN(I70)-COLUMN($C70))/$D70,""),"")</f>
        <v>299.33764050065747</v>
      </c>
      <c r="I70" s="16" cm="1">
        <f t="array" ref="I70">IFERROR(IF($D70 &lt;&gt;0,ResultValue($C70,COLUMN(J70)-COLUMN($C70))/$D70,""),"")</f>
        <v>408.65387884433494</v>
      </c>
      <c r="J70" s="16" cm="1">
        <f t="array" ref="J70">IFERROR(IF($D70 &lt;&gt;0,ResultValue($C70,COLUMN(K70)-COLUMN($C70))/$D70,""),"")</f>
        <v>515.78379242113942</v>
      </c>
      <c r="K70" s="16" cm="1">
        <f t="array" ref="K70">IFERROR(IF($D70 &lt;&gt;0,ResultValue($C70,COLUMN(L70)-COLUMN($C70))/$D70,""),"")</f>
        <v>620.792321570681</v>
      </c>
      <c r="L70" s="16" cm="1">
        <f t="array" ref="L70">IFERROR(IF($D70 &lt;&gt;0,ResultValue($C70,COLUMN(M70)-COLUMN($C70))/$D70,""),"")</f>
        <v>723.74185995258495</v>
      </c>
      <c r="M70" s="16" cm="1">
        <f t="array" ref="M70">IFERROR(IF($D70 &lt;&gt;0,ResultValue($C70,COLUMN(N70)-COLUMN($C70))/$D70,""),"")</f>
        <v>824.6923781717328</v>
      </c>
      <c r="N70" s="16" cm="1">
        <f t="array" ref="N70">IFERROR(IF($D70 &lt;&gt;0,ResultValue($C70,COLUMN(O70)-COLUMN($C70))/$D70,""),"")</f>
        <v>923.70154027128319</v>
      </c>
      <c r="O70" s="16" cm="1">
        <f t="array" ref="O70">IFERROR(IF($D70 &lt;&gt;0,ResultValue($C70,COLUMN(P70)-COLUMN($C70))/$D70,""),"")</f>
        <v>1020.8248135689355</v>
      </c>
      <c r="P70" s="16" cm="1">
        <f t="array" ref="P70">IFERROR(IF($D70 &lt;&gt;0,ResultValue($C70,COLUMN(Q70)-COLUMN($C70))/$D70,""),"")</f>
        <v>1116.115572276068</v>
      </c>
      <c r="Q70" s="16" cm="1">
        <f t="array" ref="Q70">IFERROR(IF($D70 &lt;&gt;0,ResultValue($C70,COLUMN(R70)-COLUMN($C70))/$D70,""),"")</f>
        <v>1209.6251953064293</v>
      </c>
      <c r="R70" s="16" cm="1">
        <f t="array" ref="R70">IFERROR(IF($D70 &lt;&gt;0,ResultValue($C70,COLUMN(S70)-COLUMN($C70))/$D70,""),"")</f>
        <v>1301.4031586510437</v>
      </c>
      <c r="S70" s="16" cm="1">
        <f t="array" ref="S70">IFERROR(IF($D70 &lt;&gt;0,ResultValue($C70,COLUMN(T70)-COLUMN($C70))/$D70,""),"")</f>
        <v>1391.4971226682353</v>
      </c>
      <c r="T70" s="16" cm="1">
        <f t="array" ref="T70">IFERROR(IF($D70 &lt;&gt;0,ResultValue($C70,COLUMN(U70)-COLUMN($C70))/$D70,""),"")</f>
        <v>1479.9530146123859</v>
      </c>
      <c r="U70" s="16" cm="1">
        <f t="array" ref="U70">IFERROR(IF($D70 &lt;&gt;0,ResultValue($C70,COLUMN(V70)-COLUMN($C70))/$D70,""),"")</f>
        <v>1566.815106701687</v>
      </c>
      <c r="V70" s="16" cm="1">
        <f t="array" ref="V70">IFERROR(IF($D70 &lt;&gt;0,ResultValue($C70,COLUMN(W70)-COLUMN($C70))/$D70,""),"")</f>
        <v>1652.12609000368</v>
      </c>
      <c r="W70" s="16" cm="1">
        <f t="array" ref="W70">IFERROR(IF($D70 &lt;&gt;0,ResultValue($C70,COLUMN(X70)-COLUMN($C70))/$D70,""),"")</f>
        <v>1735.9271443976722</v>
      </c>
      <c r="X70" s="16" cm="1">
        <f t="array" ref="X70">IFERROR(IF($D70 &lt;&gt;0,ResultValue($C70,COLUMN(Y70)-COLUMN($C70))/$D70,""),"")</f>
        <v>1818.2580048549289</v>
      </c>
      <c r="Y70" s="16" cm="1">
        <f t="array" ref="Y70">IFERROR(IF($D70 &lt;&gt;0,ResultValue($C70,COLUMN(Z70)-COLUMN($C70))/$D70,""),"")</f>
        <v>1899.1570242607538</v>
      </c>
    </row>
    <row r="71" spans="1:25" x14ac:dyDescent="0.25">
      <c r="A71" t="str">
        <v>Spidslastvarme</v>
      </c>
      <c r="B71" s="61"/>
      <c r="C71" t="str">
        <f>IF(ISBLANK(A33),"",A33)</f>
        <v>Ovn2 tonnage</v>
      </c>
      <c r="D71" s="51">
        <f>B33</f>
        <v>1</v>
      </c>
      <c r="E71" s="16" cm="1">
        <f t="array" ref="E71">IFERROR(IF($D71 &lt;&gt;0,ResultValue($C71,COLUMN(F71)-COLUMN($C71))/$D71,""),"")</f>
        <v>0.3702664796633941</v>
      </c>
      <c r="F71" s="16" cm="1">
        <f t="array" ref="F71">IFERROR(IF($D71 &lt;&gt;0,ResultValue($C71,COLUMN(G71)-COLUMN($C71))/$D71,""),"")</f>
        <v>0.98781922043010761</v>
      </c>
      <c r="G71" s="16" cm="1">
        <f t="array" ref="G71">IFERROR(IF($D71 &lt;&gt;0,ResultValue($C71,COLUMN(H71)-COLUMN($C71))/$D71,""),"")</f>
        <v>0.94928500166278673</v>
      </c>
      <c r="H71" s="16" cm="1">
        <f t="array" ref="H71">IFERROR(IF($D71 &lt;&gt;0,ResultValue($C71,COLUMN(I71)-COLUMN($C71))/$D71,""),"")</f>
        <v>0.91153719552337065</v>
      </c>
      <c r="I71" s="16" cm="1">
        <f t="array" ref="I71">IFERROR(IF($D71 &lt;&gt;0,ResultValue($C71,COLUMN(J71)-COLUMN($C71))/$D71,""),"")</f>
        <v>0.87455197132616469</v>
      </c>
      <c r="J71" s="16" cm="1">
        <f t="array" ref="J71">IFERROR(IF($D71 &lt;&gt;0,ResultValue($C71,COLUMN(K71)-COLUMN($C71))/$D71,""),"")</f>
        <v>0.83830645161290329</v>
      </c>
      <c r="K71" s="16" cm="1">
        <f t="array" ref="K71">IFERROR(IF($D71 &lt;&gt;0,ResultValue($C71,COLUMN(L71)-COLUMN($C71))/$D71,""),"")</f>
        <v>0.80277866496327055</v>
      </c>
      <c r="L71" s="16" cm="1">
        <f t="array" ref="L71">IFERROR(IF($D71 &lt;&gt;0,ResultValue($C71,COLUMN(M71)-COLUMN($C71))/$D71,""),"")</f>
        <v>0.76794750158127767</v>
      </c>
      <c r="M71" s="16" cm="1">
        <f t="array" ref="M71">IFERROR(IF($D71 &lt;&gt;0,ResultValue($C71,COLUMN(N71)-COLUMN($C71))/$D71,""),"")</f>
        <v>0.7337926714688382</v>
      </c>
      <c r="N71" s="16" cm="1">
        <f t="array" ref="N71">IFERROR(IF($D71 &lt;&gt;0,ResultValue($C71,COLUMN(O71)-COLUMN($C71))/$D71,""),"")</f>
        <v>0.70029466501240667</v>
      </c>
      <c r="O71" s="16" cm="1">
        <f t="array" ref="O71">IFERROR(IF($D71 &lt;&gt;0,ResultValue($C71,COLUMN(P71)-COLUMN($C71))/$D71,""),"")</f>
        <v>0.66743471582181246</v>
      </c>
      <c r="P71" s="16" cm="1">
        <f t="array" ref="P71">IFERROR(IF($D71 &lt;&gt;0,ResultValue($C71,COLUMN(Q71)-COLUMN($C71))/$D71,""),"")</f>
        <v>0.63519476567255029</v>
      </c>
      <c r="Q71" s="16" cm="1">
        <f t="array" ref="Q71">IFERROR(IF($D71 &lt;&gt;0,ResultValue($C71,COLUMN(R71)-COLUMN($C71))/$D71,""),"")</f>
        <v>0.60355743141392815</v>
      </c>
      <c r="R71" s="16" cm="1">
        <f t="array" ref="R71">IFERROR(IF($D71 &lt;&gt;0,ResultValue($C71,COLUMN(S71)-COLUMN($C71))/$D71,""),"")</f>
        <v>0.57250597371565126</v>
      </c>
      <c r="S71" s="16" cm="1">
        <f t="array" ref="S71">IFERROR(IF($D71 &lt;&gt;0,ResultValue($C71,COLUMN(T71)-COLUMN($C71))/$D71,""),"")</f>
        <v>0.5420242675347734</v>
      </c>
      <c r="T71" s="16" cm="1">
        <f t="array" ref="T71">IFERROR(IF($D71 &lt;&gt;0,ResultValue($C71,COLUMN(U71)-COLUMN($C71))/$D71,""),"")</f>
        <v>0.51209677419354838</v>
      </c>
      <c r="U71" s="16" cm="1">
        <f t="array" ref="U71">IFERROR(IF($D71 &lt;&gt;0,ResultValue($C71,COLUMN(V71)-COLUMN($C71))/$D71,""),"")</f>
        <v>0.48270851496657963</v>
      </c>
      <c r="V71" s="16" cm="1">
        <f t="array" ref="V71">IFERROR(IF($D71 &lt;&gt;0,ResultValue($C71,COLUMN(W71)-COLUMN($C71))/$D71,""),"")</f>
        <v>0.45384504608294923</v>
      </c>
      <c r="W71" s="16" cm="1">
        <f t="array" ref="W71">IFERROR(IF($D71 &lt;&gt;0,ResultValue($C71,COLUMN(X71)-COLUMN($C71))/$D71,""),"")</f>
        <v>0.4254924350556667</v>
      </c>
      <c r="X71" s="16" cm="1">
        <f t="array" ref="X71">IFERROR(IF($D71 &lt;&gt;0,ResultValue($C71,COLUMN(Y71)-COLUMN($C71))/$D71,""),"")</f>
        <v>0.39763723825693248</v>
      </c>
      <c r="Y71" s="16" cm="1">
        <f t="array" ref="Y71">IFERROR(IF($D71 &lt;&gt;0,ResultValue($C71,COLUMN(Z71)-COLUMN($C71))/$D71,""),"")</f>
        <v>0.3702664796633941</v>
      </c>
    </row>
    <row r="72" spans="1:25" x14ac:dyDescent="0.25">
      <c r="A72" t="str">
        <v>Affaldsforbrug Ovn3</v>
      </c>
      <c r="B72" s="61"/>
      <c r="C72" t="str">
        <f>IF(ISBLANK(A34),"",A34)</f>
        <v>Ovn3 tonnage</v>
      </c>
      <c r="D72" s="51">
        <f>B34</f>
        <v>1</v>
      </c>
      <c r="E72" s="16" cm="1">
        <f t="array" ref="E72">IFERROR(IF($D72 &lt;&gt;0,ResultValue($C72,COLUMN(F72)-COLUMN($C72))/$D72,""),"")</f>
        <v>1</v>
      </c>
      <c r="F72" s="16" cm="1">
        <f t="array" ref="F72">IFERROR(IF($D72 &lt;&gt;0,ResultValue($C72,COLUMN(G72)-COLUMN($C72))/$D72,""),"")</f>
        <v>0.99999999999999978</v>
      </c>
      <c r="G72" s="16" cm="1">
        <f t="array" ref="G72">IFERROR(IF($D72 &lt;&gt;0,ResultValue($C72,COLUMN(H72)-COLUMN($C72))/$D72,""),"")</f>
        <v>1</v>
      </c>
      <c r="H72" s="16" cm="1">
        <f t="array" ref="H72">IFERROR(IF($D72 &lt;&gt;0,ResultValue($C72,COLUMN(I72)-COLUMN($C72))/$D72,""),"")</f>
        <v>0.99999999999999978</v>
      </c>
      <c r="I72" s="16" cm="1">
        <f t="array" ref="I72">IFERROR(IF($D72 &lt;&gt;0,ResultValue($C72,COLUMN(J72)-COLUMN($C72))/$D72,""),"")</f>
        <v>1</v>
      </c>
      <c r="J72" s="16" cm="1">
        <f t="array" ref="J72">IFERROR(IF($D72 &lt;&gt;0,ResultValue($C72,COLUMN(K72)-COLUMN($C72))/$D72,""),"")</f>
        <v>1</v>
      </c>
      <c r="K72" s="16" cm="1">
        <f t="array" ref="K72">IFERROR(IF($D72 &lt;&gt;0,ResultValue($C72,COLUMN(L72)-COLUMN($C72))/$D72,""),"")</f>
        <v>1</v>
      </c>
      <c r="L72" s="16" cm="1">
        <f t="array" ref="L72">IFERROR(IF($D72 &lt;&gt;0,ResultValue($C72,COLUMN(M72)-COLUMN($C72))/$D72,""),"")</f>
        <v>1</v>
      </c>
      <c r="M72" s="16" cm="1">
        <f t="array" ref="M72">IFERROR(IF($D72 &lt;&gt;0,ResultValue($C72,COLUMN(N72)-COLUMN($C72))/$D72,""),"")</f>
        <v>1</v>
      </c>
      <c r="N72" s="16" cm="1">
        <f t="array" ref="N72">IFERROR(IF($D72 &lt;&gt;0,ResultValue($C72,COLUMN(O72)-COLUMN($C72))/$D72,""),"")</f>
        <v>1</v>
      </c>
      <c r="O72" s="16" cm="1">
        <f t="array" ref="O72">IFERROR(IF($D72 &lt;&gt;0,ResultValue($C72,COLUMN(P72)-COLUMN($C72))/$D72,""),"")</f>
        <v>1</v>
      </c>
      <c r="P72" s="16" cm="1">
        <f t="array" ref="P72">IFERROR(IF($D72 &lt;&gt;0,ResultValue($C72,COLUMN(Q72)-COLUMN($C72))/$D72,""),"")</f>
        <v>0.99999999999999978</v>
      </c>
      <c r="Q72" s="16" cm="1">
        <f t="array" ref="Q72">IFERROR(IF($D72 &lt;&gt;0,ResultValue($C72,COLUMN(R72)-COLUMN($C72))/$D72,""),"")</f>
        <v>1</v>
      </c>
      <c r="R72" s="16" cm="1">
        <f t="array" ref="R72">IFERROR(IF($D72 &lt;&gt;0,ResultValue($C72,COLUMN(S72)-COLUMN($C72))/$D72,""),"")</f>
        <v>1</v>
      </c>
      <c r="S72" s="16" cm="1">
        <f t="array" ref="S72">IFERROR(IF($D72 &lt;&gt;0,ResultValue($C72,COLUMN(T72)-COLUMN($C72))/$D72,""),"")</f>
        <v>1</v>
      </c>
      <c r="T72" s="16" cm="1">
        <f t="array" ref="T72">IFERROR(IF($D72 &lt;&gt;0,ResultValue($C72,COLUMN(U72)-COLUMN($C72))/$D72,""),"")</f>
        <v>1</v>
      </c>
      <c r="U72" s="16" cm="1">
        <f t="array" ref="U72">IFERROR(IF($D72 &lt;&gt;0,ResultValue($C72,COLUMN(V72)-COLUMN($C72))/$D72,""),"")</f>
        <v>1</v>
      </c>
      <c r="V72" s="16" cm="1">
        <f t="array" ref="V72">IFERROR(IF($D72 &lt;&gt;0,ResultValue($C72,COLUMN(W72)-COLUMN($C72))/$D72,""),"")</f>
        <v>1</v>
      </c>
      <c r="W72" s="16" cm="1">
        <f t="array" ref="W72">IFERROR(IF($D72 &lt;&gt;0,ResultValue($C72,COLUMN(X72)-COLUMN($C72))/$D72,""),"")</f>
        <v>1</v>
      </c>
      <c r="X72" s="16" cm="1">
        <f t="array" ref="X72">IFERROR(IF($D72 &lt;&gt;0,ResultValue($C72,COLUMN(Y72)-COLUMN($C72))/$D72,""),"")</f>
        <v>1</v>
      </c>
      <c r="Y72" s="16" cm="1">
        <f t="array" ref="Y72">IFERROR(IF($D72 &lt;&gt;0,ResultValue($C72,COLUMN(Z72)-COLUMN($C72))/$D72,""),"")</f>
        <v>1</v>
      </c>
    </row>
    <row r="73" spans="1:25" x14ac:dyDescent="0.25">
      <c r="A73" t="str">
        <v>Nordic Sugar varme</v>
      </c>
      <c r="B73" s="61"/>
      <c r="C73" t="str">
        <f>IF(ISBLANK(A35),"",A35)</f>
        <v>Bortkøleanlæg varme</v>
      </c>
      <c r="D73" s="51">
        <f>B35</f>
        <v>1</v>
      </c>
      <c r="E73" s="16" cm="1">
        <f t="array" ref="E73">IFERROR(IF($D73 &lt;&gt;0,ResultValue($C73,COLUMN(F73)-COLUMN($C73))/$D73,""),"")</f>
        <v>0</v>
      </c>
      <c r="F73" s="16" cm="1">
        <f t="array" ref="F73">IFERROR(IF($D73 &lt;&gt;0,ResultValue($C73,COLUMN(G73)-COLUMN($C73))/$D73,""),"")</f>
        <v>0</v>
      </c>
      <c r="G73" s="16" cm="1">
        <f t="array" ref="G73">IFERROR(IF($D73 &lt;&gt;0,ResultValue($C73,COLUMN(H73)-COLUMN($C73))/$D73,""),"")</f>
        <v>0</v>
      </c>
      <c r="H73" s="16" cm="1">
        <f t="array" ref="H73">IFERROR(IF($D73 &lt;&gt;0,ResultValue($C73,COLUMN(I73)-COLUMN($C73))/$D73,""),"")</f>
        <v>0</v>
      </c>
      <c r="I73" s="16" cm="1">
        <f t="array" ref="I73">IFERROR(IF($D73 &lt;&gt;0,ResultValue($C73,COLUMN(J73)-COLUMN($C73))/$D73,""),"")</f>
        <v>0</v>
      </c>
      <c r="J73" s="16" cm="1">
        <f t="array" ref="J73">IFERROR(IF($D73 &lt;&gt;0,ResultValue($C73,COLUMN(K73)-COLUMN($C73))/$D73,""),"")</f>
        <v>0</v>
      </c>
      <c r="K73" s="16" cm="1">
        <f t="array" ref="K73">IFERROR(IF($D73 &lt;&gt;0,ResultValue($C73,COLUMN(L73)-COLUMN($C73))/$D73,""),"")</f>
        <v>0</v>
      </c>
      <c r="L73" s="16" cm="1">
        <f t="array" ref="L73">IFERROR(IF($D73 &lt;&gt;0,ResultValue($C73,COLUMN(M73)-COLUMN($C73))/$D73,""),"")</f>
        <v>0</v>
      </c>
      <c r="M73" s="16" cm="1">
        <f t="array" ref="M73">IFERROR(IF($D73 &lt;&gt;0,ResultValue($C73,COLUMN(N73)-COLUMN($C73))/$D73,""),"")</f>
        <v>0</v>
      </c>
      <c r="N73" s="16" cm="1">
        <f t="array" ref="N73">IFERROR(IF($D73 &lt;&gt;0,ResultValue($C73,COLUMN(O73)-COLUMN($C73))/$D73,""),"")</f>
        <v>0</v>
      </c>
      <c r="O73" s="16" cm="1">
        <f t="array" ref="O73">IFERROR(IF($D73 &lt;&gt;0,ResultValue($C73,COLUMN(P73)-COLUMN($C73))/$D73,""),"")</f>
        <v>0</v>
      </c>
      <c r="P73" s="16" cm="1">
        <f t="array" ref="P73">IFERROR(IF($D73 &lt;&gt;0,ResultValue($C73,COLUMN(Q73)-COLUMN($C73))/$D73,""),"")</f>
        <v>0</v>
      </c>
      <c r="Q73" s="16" cm="1">
        <f t="array" ref="Q73">IFERROR(IF($D73 &lt;&gt;0,ResultValue($C73,COLUMN(R73)-COLUMN($C73))/$D73,""),"")</f>
        <v>0</v>
      </c>
      <c r="R73" s="16" cm="1">
        <f t="array" ref="R73">IFERROR(IF($D73 &lt;&gt;0,ResultValue($C73,COLUMN(S73)-COLUMN($C73))/$D73,""),"")</f>
        <v>0</v>
      </c>
      <c r="S73" s="16" cm="1">
        <f t="array" ref="S73">IFERROR(IF($D73 &lt;&gt;0,ResultValue($C73,COLUMN(T73)-COLUMN($C73))/$D73,""),"")</f>
        <v>0</v>
      </c>
      <c r="T73" s="16" cm="1">
        <f t="array" ref="T73">IFERROR(IF($D73 &lt;&gt;0,ResultValue($C73,COLUMN(U73)-COLUMN($C73))/$D73,""),"")</f>
        <v>0</v>
      </c>
      <c r="U73" s="16" cm="1">
        <f t="array" ref="U73">IFERROR(IF($D73 &lt;&gt;0,ResultValue($C73,COLUMN(V73)-COLUMN($C73))/$D73,""),"")</f>
        <v>0</v>
      </c>
      <c r="V73" s="16" cm="1">
        <f t="array" ref="V73">IFERROR(IF($D73 &lt;&gt;0,ResultValue($C73,COLUMN(W73)-COLUMN($C73))/$D73,""),"")</f>
        <v>0</v>
      </c>
      <c r="W73" s="16" cm="1">
        <f t="array" ref="W73">IFERROR(IF($D73 &lt;&gt;0,ResultValue($C73,COLUMN(X73)-COLUMN($C73))/$D73,""),"")</f>
        <v>0</v>
      </c>
      <c r="X73" s="16" cm="1">
        <f t="array" ref="X73">IFERROR(IF($D73 &lt;&gt;0,ResultValue($C73,COLUMN(Y73)-COLUMN($C73))/$D73,""),"")</f>
        <v>0</v>
      </c>
      <c r="Y73" s="16" cm="1">
        <f t="array" ref="Y73">IFERROR(IF($D73 &lt;&gt;0,ResultValue($C73,COLUMN(Z73)-COLUMN($C73))/$D73,""),"")</f>
        <v>0</v>
      </c>
    </row>
    <row r="74" spans="1:25" x14ac:dyDescent="0.25">
      <c r="A74" t="str">
        <v>Affaldsforbrug Ovn2</v>
      </c>
      <c r="B74" s="61"/>
      <c r="C74" s="60"/>
      <c r="D74" s="60"/>
      <c r="E74" s="60"/>
      <c r="F74" s="60"/>
      <c r="G74" s="60"/>
      <c r="H74" s="60"/>
      <c r="I74" s="60"/>
      <c r="J74" s="60"/>
      <c r="K74" s="60"/>
      <c r="L74" s="60"/>
      <c r="M74" s="60"/>
      <c r="N74" s="60"/>
      <c r="O74" s="60"/>
      <c r="P74" s="60"/>
      <c r="Q74" s="60"/>
      <c r="R74" s="60"/>
      <c r="S74" s="60"/>
      <c r="T74" s="60"/>
      <c r="U74" s="60"/>
      <c r="V74" s="60"/>
      <c r="W74" s="60"/>
      <c r="X74" s="60"/>
      <c r="Y74" s="60"/>
    </row>
    <row r="75" spans="1:25" x14ac:dyDescent="0.25">
      <c r="A75" t="str">
        <v>Affaldsforbrug kølevarme Ovn3</v>
      </c>
      <c r="B75" s="61"/>
      <c r="C75" s="56" t="s">
        <v>242</v>
      </c>
      <c r="D75" s="57"/>
      <c r="E75" s="56" t="s">
        <v>214</v>
      </c>
      <c r="F75" s="58" t="str">
        <f>F53</f>
        <v>sc1</v>
      </c>
      <c r="G75" s="58" t="str">
        <f t="shared" ref="G75:Y75" si="0">G53</f>
        <v>sc2</v>
      </c>
      <c r="H75" s="58" t="str">
        <f t="shared" si="0"/>
        <v>sc3</v>
      </c>
      <c r="I75" s="58" t="str">
        <f t="shared" si="0"/>
        <v>sc4</v>
      </c>
      <c r="J75" s="58" t="str">
        <f t="shared" si="0"/>
        <v>sc5</v>
      </c>
      <c r="K75" s="58" t="str">
        <f t="shared" si="0"/>
        <v>sc6</v>
      </c>
      <c r="L75" s="58" t="str">
        <f t="shared" si="0"/>
        <v>sc7</v>
      </c>
      <c r="M75" s="58" t="str">
        <f t="shared" si="0"/>
        <v>sc8</v>
      </c>
      <c r="N75" s="58" t="str">
        <f t="shared" si="0"/>
        <v>sc9</v>
      </c>
      <c r="O75" s="58" t="str">
        <f t="shared" si="0"/>
        <v>sc10</v>
      </c>
      <c r="P75" s="58" t="str">
        <f t="shared" si="0"/>
        <v>sc11</v>
      </c>
      <c r="Q75" s="58" t="str">
        <f t="shared" si="0"/>
        <v>sc12</v>
      </c>
      <c r="R75" s="58" t="str">
        <f t="shared" si="0"/>
        <v>sc13</v>
      </c>
      <c r="S75" s="58" t="str">
        <f t="shared" si="0"/>
        <v>sc14</v>
      </c>
      <c r="T75" s="58" t="str">
        <f t="shared" si="0"/>
        <v>sc15</v>
      </c>
      <c r="U75" s="58" t="str">
        <f t="shared" si="0"/>
        <v>sc16</v>
      </c>
      <c r="V75" s="58" t="str">
        <f t="shared" si="0"/>
        <v>sc17</v>
      </c>
      <c r="W75" s="58" t="str">
        <f t="shared" si="0"/>
        <v>sc18</v>
      </c>
      <c r="X75" s="58" t="str">
        <f t="shared" si="0"/>
        <v>sc19</v>
      </c>
      <c r="Y75" s="58" t="str">
        <f t="shared" si="0"/>
        <v>sc20</v>
      </c>
    </row>
    <row r="76" spans="1:25" x14ac:dyDescent="0.25">
      <c r="A76" t="str">
        <v>Affaldsforbrug kølevarme Ovn2</v>
      </c>
      <c r="B76" s="61"/>
      <c r="C76" s="48" t="str">
        <f>IF(ISBLANK(A39),"X-værdi mangler",A39)</f>
        <v>RGK-udnyttelse</v>
      </c>
      <c r="D76" s="5" t="s">
        <v>245</v>
      </c>
      <c r="E76" s="28" cm="1">
        <f t="array" ref="E76">_xlfn.LET(_xlpm.inputName,$C76,_xlpm.icol,COLUMN(E54)-1,_xlpm.irow,MATCH(_xlpm.inputName,ranInputNames,0),INDEX(TabelScenInput[],_xlpm.irow+1,_xlpm.icol))</f>
        <v>0.05</v>
      </c>
      <c r="F76" s="28" cm="1">
        <f t="array" ref="F76">_xlfn.LET(_xlpm.inputName,$C76,_xlpm.icol,COLUMN(F54)-1,_xlpm.irow,MATCH(_xlpm.inputName,ranInputNames,0),INDEX(TabelScenInput[],_xlpm.irow+1,_xlpm.icol))</f>
        <v>0.1</v>
      </c>
      <c r="G76" s="28" cm="1">
        <f t="array" ref="G76">_xlfn.LET(_xlpm.inputName,$C76,_xlpm.icol,COLUMN(G54)-1,_xlpm.irow,MATCH(_xlpm.inputName,ranInputNames,0),INDEX(TabelScenInput[],_xlpm.irow+1,_xlpm.icol))</f>
        <v>0.15</v>
      </c>
      <c r="H76" s="28" cm="1">
        <f t="array" ref="H76">_xlfn.LET(_xlpm.inputName,$C76,_xlpm.icol,COLUMN(H54)-1,_xlpm.irow,MATCH(_xlpm.inputName,ranInputNames,0),INDEX(TabelScenInput[],_xlpm.irow+1,_xlpm.icol))</f>
        <v>0.2</v>
      </c>
      <c r="I76" s="28" cm="1">
        <f t="array" ref="I76">_xlfn.LET(_xlpm.inputName,$C76,_xlpm.icol,COLUMN(I54)-1,_xlpm.irow,MATCH(_xlpm.inputName,ranInputNames,0),INDEX(TabelScenInput[],_xlpm.irow+1,_xlpm.icol))</f>
        <v>0.25</v>
      </c>
      <c r="J76" s="28" cm="1">
        <f t="array" ref="J76">_xlfn.LET(_xlpm.inputName,$C76,_xlpm.icol,COLUMN(J54)-1,_xlpm.irow,MATCH(_xlpm.inputName,ranInputNames,0),INDEX(TabelScenInput[],_xlpm.irow+1,_xlpm.icol))</f>
        <v>0.3</v>
      </c>
      <c r="K76" s="28" cm="1">
        <f t="array" ref="K76">_xlfn.LET(_xlpm.inputName,$C76,_xlpm.icol,COLUMN(K54)-1,_xlpm.irow,MATCH(_xlpm.inputName,ranInputNames,0),INDEX(TabelScenInput[],_xlpm.irow+1,_xlpm.icol))</f>
        <v>0.35</v>
      </c>
      <c r="L76" s="28" cm="1">
        <f t="array" ref="L76">_xlfn.LET(_xlpm.inputName,$C76,_xlpm.icol,COLUMN(L54)-1,_xlpm.irow,MATCH(_xlpm.inputName,ranInputNames,0),INDEX(TabelScenInput[],_xlpm.irow+1,_xlpm.icol))</f>
        <v>0.4</v>
      </c>
      <c r="M76" s="28" cm="1">
        <f t="array" ref="M76">_xlfn.LET(_xlpm.inputName,$C76,_xlpm.icol,COLUMN(M54)-1,_xlpm.irow,MATCH(_xlpm.inputName,ranInputNames,0),INDEX(TabelScenInput[],_xlpm.irow+1,_xlpm.icol))</f>
        <v>0.45</v>
      </c>
      <c r="N76" s="28" cm="1">
        <f t="array" ref="N76">_xlfn.LET(_xlpm.inputName,$C76,_xlpm.icol,COLUMN(N54)-1,_xlpm.irow,MATCH(_xlpm.inputName,ranInputNames,0),INDEX(TabelScenInput[],_xlpm.irow+1,_xlpm.icol))</f>
        <v>0.5</v>
      </c>
      <c r="O76" s="28" cm="1">
        <f t="array" ref="O76">_xlfn.LET(_xlpm.inputName,$C76,_xlpm.icol,COLUMN(O54)-1,_xlpm.irow,MATCH(_xlpm.inputName,ranInputNames,0),INDEX(TabelScenInput[],_xlpm.irow+1,_xlpm.icol))</f>
        <v>0.55000000000000004</v>
      </c>
      <c r="P76" s="28" cm="1">
        <f t="array" ref="P76">_xlfn.LET(_xlpm.inputName,$C76,_xlpm.icol,COLUMN(P54)-1,_xlpm.irow,MATCH(_xlpm.inputName,ranInputNames,0),INDEX(TabelScenInput[],_xlpm.irow+1,_xlpm.icol))</f>
        <v>0.6</v>
      </c>
      <c r="Q76" s="28" cm="1">
        <f t="array" ref="Q76">_xlfn.LET(_xlpm.inputName,$C76,_xlpm.icol,COLUMN(Q54)-1,_xlpm.irow,MATCH(_xlpm.inputName,ranInputNames,0),INDEX(TabelScenInput[],_xlpm.irow+1,_xlpm.icol))</f>
        <v>0.65</v>
      </c>
      <c r="R76" s="28" cm="1">
        <f t="array" ref="R76">_xlfn.LET(_xlpm.inputName,$C76,_xlpm.icol,COLUMN(R54)-1,_xlpm.irow,MATCH(_xlpm.inputName,ranInputNames,0),INDEX(TabelScenInput[],_xlpm.irow+1,_xlpm.icol))</f>
        <v>0.7</v>
      </c>
      <c r="S76" s="28" cm="1">
        <f t="array" ref="S76">_xlfn.LET(_xlpm.inputName,$C76,_xlpm.icol,COLUMN(S54)-1,_xlpm.irow,MATCH(_xlpm.inputName,ranInputNames,0),INDEX(TabelScenInput[],_xlpm.irow+1,_xlpm.icol))</f>
        <v>0.75</v>
      </c>
      <c r="T76" s="28" cm="1">
        <f t="array" ref="T76">_xlfn.LET(_xlpm.inputName,$C76,_xlpm.icol,COLUMN(T54)-1,_xlpm.irow,MATCH(_xlpm.inputName,ranInputNames,0),INDEX(TabelScenInput[],_xlpm.irow+1,_xlpm.icol))</f>
        <v>0.8</v>
      </c>
      <c r="U76" s="28" cm="1">
        <f t="array" ref="U76">_xlfn.LET(_xlpm.inputName,$C76,_xlpm.icol,COLUMN(U54)-1,_xlpm.irow,MATCH(_xlpm.inputName,ranInputNames,0),INDEX(TabelScenInput[],_xlpm.irow+1,_xlpm.icol))</f>
        <v>0.85</v>
      </c>
      <c r="V76" s="28" cm="1">
        <f t="array" ref="V76">_xlfn.LET(_xlpm.inputName,$C76,_xlpm.icol,COLUMN(V54)-1,_xlpm.irow,MATCH(_xlpm.inputName,ranInputNames,0),INDEX(TabelScenInput[],_xlpm.irow+1,_xlpm.icol))</f>
        <v>0.9</v>
      </c>
      <c r="W76" s="28" cm="1">
        <f t="array" ref="W76">_xlfn.LET(_xlpm.inputName,$C76,_xlpm.icol,COLUMN(W54)-1,_xlpm.irow,MATCH(_xlpm.inputName,ranInputNames,0),INDEX(TabelScenInput[],_xlpm.irow+1,_xlpm.icol))</f>
        <v>0.95</v>
      </c>
      <c r="X76" s="28" cm="1">
        <f t="array" ref="X76">_xlfn.LET(_xlpm.inputName,$C76,_xlpm.icol,COLUMN(X54)-1,_xlpm.irow,MATCH(_xlpm.inputName,ranInputNames,0),INDEX(TabelScenInput[],_xlpm.irow+1,_xlpm.icol))</f>
        <v>1</v>
      </c>
      <c r="Y76" s="28" t="e" cm="1">
        <f t="array" ref="Y76">_xlfn.LET(_xlpm.inputName,$C76,_xlpm.icol,COLUMN(Y54)-1,_xlpm.irow,MATCH(_xlpm.inputName,ranInputNames,0),INDEX(TabelScenInput[],_xlpm.irow+1,_xlpm.icol))</f>
        <v>#REF!</v>
      </c>
    </row>
    <row r="77" spans="1:25" x14ac:dyDescent="0.25">
      <c r="A77" t="str">
        <v>Udnyttet affald</v>
      </c>
      <c r="B77" s="61"/>
      <c r="C77" s="55" t="str">
        <f>IF(ISBLANK(A40),"",A40)</f>
        <v>RGK-rabat</v>
      </c>
      <c r="D77" s="51">
        <f t="shared" ref="C77:D82" si="1">B40</f>
        <v>1000</v>
      </c>
      <c r="E77" s="16" cm="1">
        <f t="array" ref="E77">IF($D77 &lt;&gt;0,ResultValue($C77,COLUMN(F77)-COLUMN($C77))/$D77,"")</f>
        <v>200.59380181097563</v>
      </c>
      <c r="F77" s="16" cm="1">
        <f t="array" ref="F77">IF($D77 &lt;&gt;0,ResultValue($C77,COLUMN(G77)-COLUMN($C77))/$D77,"")</f>
        <v>0</v>
      </c>
      <c r="G77" s="16" cm="1">
        <f t="array" ref="G77">IF($D77 &lt;&gt;0,ResultValue($C77,COLUMN(H77)-COLUMN($C77))/$D77,"")</f>
        <v>0</v>
      </c>
      <c r="H77" s="16" cm="1">
        <f t="array" ref="H77">IF($D77 &lt;&gt;0,ResultValue($C77,COLUMN(I77)-COLUMN($C77))/$D77,"")</f>
        <v>0</v>
      </c>
      <c r="I77" s="16" cm="1">
        <f t="array" ref="I77">IF($D77 &lt;&gt;0,ResultValue($C77,COLUMN(J77)-COLUMN($C77))/$D77,"")</f>
        <v>0</v>
      </c>
      <c r="J77" s="16" cm="1">
        <f t="array" ref="J77">IF($D77 &lt;&gt;0,ResultValue($C77,COLUMN(K77)-COLUMN($C77))/$D77,"")</f>
        <v>0</v>
      </c>
      <c r="K77" s="16" cm="1">
        <f t="array" ref="K77">IF($D77 &lt;&gt;0,ResultValue($C77,COLUMN(L77)-COLUMN($C77))/$D77,"")</f>
        <v>0</v>
      </c>
      <c r="L77" s="16" cm="1">
        <f t="array" ref="L77">IF($D77 &lt;&gt;0,ResultValue($C77,COLUMN(M77)-COLUMN($C77))/$D77,"")</f>
        <v>0</v>
      </c>
      <c r="M77" s="16" cm="1">
        <f t="array" ref="M77">IF($D77 &lt;&gt;0,ResultValue($C77,COLUMN(N77)-COLUMN($C77))/$D77,"")</f>
        <v>200.59380181097563</v>
      </c>
      <c r="N77" s="16" cm="1">
        <f t="array" ref="N77">IF($D77 &lt;&gt;0,ResultValue($C77,COLUMN(O77)-COLUMN($C77))/$D77,"")</f>
        <v>200.59380181097563</v>
      </c>
      <c r="O77" s="16" cm="1">
        <f t="array" ref="O77">IF($D77 &lt;&gt;0,ResultValue($C77,COLUMN(P77)-COLUMN($C77))/$D77,"")</f>
        <v>200.59380181097563</v>
      </c>
      <c r="P77" s="16" cm="1">
        <f t="array" ref="P77">IF($D77 &lt;&gt;0,ResultValue($C77,COLUMN(Q77)-COLUMN($C77))/$D77,"")</f>
        <v>200.59380181097563</v>
      </c>
      <c r="Q77" s="16" cm="1">
        <f t="array" ref="Q77">IF($D77 &lt;&gt;0,ResultValue($C77,COLUMN(R77)-COLUMN($C77))/$D77,"")</f>
        <v>200.59380181097563</v>
      </c>
      <c r="R77" s="16" cm="1">
        <f t="array" ref="R77">IF($D77 &lt;&gt;0,ResultValue($C77,COLUMN(S77)-COLUMN($C77))/$D77,"")</f>
        <v>200.59380181097563</v>
      </c>
      <c r="S77" s="16" cm="1">
        <f t="array" ref="S77">IF($D77 &lt;&gt;0,ResultValue($C77,COLUMN(T77)-COLUMN($C77))/$D77,"")</f>
        <v>200.59380181097563</v>
      </c>
      <c r="T77" s="16" cm="1">
        <f t="array" ref="T77">IF($D77 &lt;&gt;0,ResultValue($C77,COLUMN(U77)-COLUMN($C77))/$D77,"")</f>
        <v>200.59380181097563</v>
      </c>
      <c r="U77" s="16" cm="1">
        <f t="array" ref="U77">IF($D77 &lt;&gt;0,ResultValue($C77,COLUMN(V77)-COLUMN($C77))/$D77,"")</f>
        <v>200.59380181097563</v>
      </c>
      <c r="V77" s="16" cm="1">
        <f t="array" ref="V77">IF($D77 &lt;&gt;0,ResultValue($C77,COLUMN(W77)-COLUMN($C77))/$D77,"")</f>
        <v>200.59380181097563</v>
      </c>
      <c r="W77" s="16" cm="1">
        <f t="array" ref="W77">IF($D77 &lt;&gt;0,ResultValue($C77,COLUMN(X77)-COLUMN($C77))/$D77,"")</f>
        <v>200.59380181097563</v>
      </c>
      <c r="X77" s="16" cm="1">
        <f t="array" ref="X77">IF($D77 &lt;&gt;0,ResultValue($C77,COLUMN(Y77)-COLUMN($C77))/$D77,"")</f>
        <v>200.59380181097563</v>
      </c>
      <c r="Y77" s="16" cm="1">
        <f t="array" ref="Y77">IF($D77 &lt;&gt;0,ResultValue($C77,COLUMN(Z78)-COLUMN($C77))/$D77,"")</f>
        <v>200.59380181097563</v>
      </c>
    </row>
    <row r="78" spans="1:25" x14ac:dyDescent="0.25">
      <c r="A78" t="str">
        <v>Ikke-udnyttet affald</v>
      </c>
      <c r="B78" s="61"/>
      <c r="C78" s="55" t="str">
        <f t="shared" ref="C78:C86" si="2">IF(ISBLANK(A41),"",A41)</f>
        <v>Modtagebetaling affald</v>
      </c>
      <c r="D78" s="51">
        <f t="shared" si="1"/>
        <v>1000</v>
      </c>
      <c r="E78" s="16" cm="1">
        <f t="array" ref="E78">IF($D78 &lt;&gt;0,ResultValue($C78,COLUMN(F78)-COLUMN($C78))/$D78,"")</f>
        <v>4040.3371902956987</v>
      </c>
      <c r="F78" s="16" cm="1">
        <f t="array" ref="F78">IF($D78 &lt;&gt;0,ResultValue($C78,COLUMN(G78)-COLUMN($C78))/$D78,"")</f>
        <v>4770.4508404332728</v>
      </c>
      <c r="G78" s="16" cm="1">
        <f t="array" ref="G78">IF($D78 &lt;&gt;0,ResultValue($C78,COLUMN(H78)-COLUMN($C78))/$D78,"")</f>
        <v>4724.8930163606619</v>
      </c>
      <c r="H78" s="16" cm="1">
        <f t="array" ref="H78">IF($D78 &lt;&gt;0,ResultValue($C78,COLUMN(I78)-COLUMN($C78))/$D78,"")</f>
        <v>4680.2649437997379</v>
      </c>
      <c r="I78" s="16" cm="1">
        <f t="array" ref="I78">IF($D78 &lt;&gt;0,ResultValue($C78,COLUMN(J78)-COLUMN($C78))/$D78,"")</f>
        <v>4636.5384484622655</v>
      </c>
      <c r="J78" s="16" cm="1">
        <f t="array" ref="J78">IF($D78 &lt;&gt;0,ResultValue($C78,COLUMN(K78)-COLUMN($C78))/$D78,"")</f>
        <v>4593.6864830315435</v>
      </c>
      <c r="K78" s="16" cm="1">
        <f t="array" ref="K78">IF($D78 &lt;&gt;0,ResultValue($C78,COLUMN(L78)-COLUMN($C78))/$D78,"")</f>
        <v>4551.6830713717272</v>
      </c>
      <c r="L78" s="16" cm="1">
        <f t="array" ref="L78">IF($D78 &lt;&gt;0,ResultValue($C78,COLUMN(M78)-COLUMN($C78))/$D78,"")</f>
        <v>4510.5032560189666</v>
      </c>
      <c r="M78" s="16" cm="1">
        <f t="array" ref="M78">IF($D78 &lt;&gt;0,ResultValue($C78,COLUMN(N78)-COLUMN($C78))/$D78,"")</f>
        <v>4470.1230487313078</v>
      </c>
      <c r="N78" s="16" cm="1">
        <f t="array" ref="N78">IF($D78 &lt;&gt;0,ResultValue($C78,COLUMN(O78)-COLUMN($C78))/$D78,"")</f>
        <v>4430.5193838914875</v>
      </c>
      <c r="O78" s="16" cm="1">
        <f t="array" ref="O78">IF($D78 &lt;&gt;0,ResultValue($C78,COLUMN(P78)-COLUMN($C78))/$D78,"")</f>
        <v>4391.6700745724256</v>
      </c>
      <c r="P78" s="16" cm="1">
        <f t="array" ref="P78">IF($D78 &lt;&gt;0,ResultValue($C78,COLUMN(Q78)-COLUMN($C78))/$D78,"")</f>
        <v>4353.5537710895724</v>
      </c>
      <c r="Q78" s="16" cm="1">
        <f t="array" ref="Q78">IF($D78 &lt;&gt;0,ResultValue($C78,COLUMN(R78)-COLUMN($C78))/$D78,"")</f>
        <v>4316.1499218774279</v>
      </c>
      <c r="R78" s="16" cm="1">
        <f t="array" ref="R78">IF($D78 &lt;&gt;0,ResultValue($C78,COLUMN(S78)-COLUMN($C78))/$D78,"")</f>
        <v>4279.4387365395824</v>
      </c>
      <c r="S78" s="16" cm="1">
        <f t="array" ref="S78">IF($D78 &lt;&gt;0,ResultValue($C78,COLUMN(T78)-COLUMN($C78))/$D78,"")</f>
        <v>4243.4011509327056</v>
      </c>
      <c r="T78" s="16" cm="1">
        <f t="array" ref="T78">IF($D78 &lt;&gt;0,ResultValue($C78,COLUMN(U78)-COLUMN($C78))/$D78,"")</f>
        <v>4208.0187941550466</v>
      </c>
      <c r="U78" s="16" cm="1">
        <f t="array" ref="U78">IF($D78 &lt;&gt;0,ResultValue($C78,COLUMN(V78)-COLUMN($C78))/$D78,"")</f>
        <v>4173.2739573193248</v>
      </c>
      <c r="V78" s="16" cm="1">
        <f t="array" ref="V78">IF($D78 &lt;&gt;0,ResultValue($C78,COLUMN(W78)-COLUMN($C78))/$D78,"")</f>
        <v>4139.1495639985287</v>
      </c>
      <c r="W78" s="16" cm="1">
        <f t="array" ref="W78">IF($D78 &lt;&gt;0,ResultValue($C78,COLUMN(X78)-COLUMN($C78))/$D78,"")</f>
        <v>4105.6291422409313</v>
      </c>
      <c r="X78" s="16" cm="1">
        <f t="array" ref="X78">IF($D78 &lt;&gt;0,ResultValue($C78,COLUMN(Y78)-COLUMN($C78))/$D78,"")</f>
        <v>4072.6967980580289</v>
      </c>
      <c r="Y78" s="16" cm="1">
        <f t="array" ref="Y78">IF($D78 &lt;&gt;0,ResultValue($C78,COLUMN(Z79)-COLUMN($C78))/$D78,"")</f>
        <v>4040.3371902956987</v>
      </c>
    </row>
    <row r="79" spans="1:25" x14ac:dyDescent="0.25">
      <c r="A79" t="str">
        <v>Ovn3 tonnage</v>
      </c>
      <c r="B79" s="61"/>
      <c r="C79" s="55" t="str">
        <f t="shared" si="2"/>
        <v/>
      </c>
      <c r="D79" s="51">
        <f t="shared" si="1"/>
        <v>0</v>
      </c>
      <c r="E79" s="16" t="str" cm="1">
        <f t="array" ref="E79">IF($D79 &lt;&gt;0,ResultValue($C79,COLUMN(F79)-COLUMN($C79))/$D79,"")</f>
        <v/>
      </c>
      <c r="F79" s="16" t="str" cm="1">
        <f t="array" ref="F79">IF($D79 &lt;&gt;0,ResultValue($C79,COLUMN(G79)-COLUMN($C79))/$D79,"")</f>
        <v/>
      </c>
      <c r="G79" s="16" t="str" cm="1">
        <f t="array" ref="G79">IF($D79 &lt;&gt;0,ResultValue($C79,COLUMN(H79)-COLUMN($C79))/$D79,"")</f>
        <v/>
      </c>
      <c r="H79" s="16" t="str" cm="1">
        <f t="array" ref="H79">IF($D79 &lt;&gt;0,ResultValue($C79,COLUMN(I79)-COLUMN($C79))/$D79,"")</f>
        <v/>
      </c>
      <c r="I79" s="16" t="str" cm="1">
        <f t="array" ref="I79">IF($D79 &lt;&gt;0,ResultValue($C79,COLUMN(J79)-COLUMN($C79))/$D79,"")</f>
        <v/>
      </c>
      <c r="J79" s="16" t="str" cm="1">
        <f t="array" ref="J79">IF($D79 &lt;&gt;0,ResultValue($C79,COLUMN(K79)-COLUMN($C79))/$D79,"")</f>
        <v/>
      </c>
      <c r="K79" s="16" t="str" cm="1">
        <f t="array" ref="K79">IF($D79 &lt;&gt;0,ResultValue($C79,COLUMN(L79)-COLUMN($C79))/$D79,"")</f>
        <v/>
      </c>
      <c r="L79" s="16" t="str" cm="1">
        <f t="array" ref="L79">IF($D79 &lt;&gt;0,ResultValue($C79,COLUMN(M79)-COLUMN($C79))/$D79,"")</f>
        <v/>
      </c>
      <c r="M79" s="16" t="str" cm="1">
        <f t="array" ref="M79">IF($D79 &lt;&gt;0,ResultValue($C79,COLUMN(N79)-COLUMN($C79))/$D79,"")</f>
        <v/>
      </c>
      <c r="N79" s="16" t="str" cm="1">
        <f t="array" ref="N79">IF($D79 &lt;&gt;0,ResultValue($C79,COLUMN(O79)-COLUMN($C79))/$D79,"")</f>
        <v/>
      </c>
      <c r="O79" s="16" t="str" cm="1">
        <f t="array" ref="O79">IF($D79 &lt;&gt;0,ResultValue($C79,COLUMN(P79)-COLUMN($C79))/$D79,"")</f>
        <v/>
      </c>
      <c r="P79" s="16" t="str" cm="1">
        <f t="array" ref="P79">IF($D79 &lt;&gt;0,ResultValue($C79,COLUMN(Q79)-COLUMN($C79))/$D79,"")</f>
        <v/>
      </c>
      <c r="Q79" s="16" t="str" cm="1">
        <f t="array" ref="Q79">IF($D79 &lt;&gt;0,ResultValue($C79,COLUMN(R79)-COLUMN($C79))/$D79,"")</f>
        <v/>
      </c>
      <c r="R79" s="16" t="str" cm="1">
        <f t="array" ref="R79">IF($D79 &lt;&gt;0,ResultValue($C79,COLUMN(S79)-COLUMN($C79))/$D79,"")</f>
        <v/>
      </c>
      <c r="S79" s="16" t="str" cm="1">
        <f t="array" ref="S79">IF($D79 &lt;&gt;0,ResultValue($C79,COLUMN(T79)-COLUMN($C79))/$D79,"")</f>
        <v/>
      </c>
      <c r="T79" s="16" t="str" cm="1">
        <f t="array" ref="T79">IF($D79 &lt;&gt;0,ResultValue($C79,COLUMN(U79)-COLUMN($C79))/$D79,"")</f>
        <v/>
      </c>
      <c r="U79" s="16" t="str" cm="1">
        <f t="array" ref="U79">IF($D79 &lt;&gt;0,ResultValue($C79,COLUMN(V79)-COLUMN($C79))/$D79,"")</f>
        <v/>
      </c>
      <c r="V79" s="16" t="str" cm="1">
        <f t="array" ref="V79">IF($D79 &lt;&gt;0,ResultValue($C79,COLUMN(W79)-COLUMN($C79))/$D79,"")</f>
        <v/>
      </c>
      <c r="W79" s="16" t="str" cm="1">
        <f t="array" ref="W79">IF($D79 &lt;&gt;0,ResultValue($C79,COLUMN(X79)-COLUMN($C79))/$D79,"")</f>
        <v/>
      </c>
      <c r="X79" s="16" t="str" cm="1">
        <f t="array" ref="X79">IF($D79 &lt;&gt;0,ResultValue($C79,COLUMN(Y79)-COLUMN($C79))/$D79,"")</f>
        <v/>
      </c>
      <c r="Y79" s="16" t="str" cm="1">
        <f t="array" ref="Y79">IF($D79 &lt;&gt;0,ResultValue($C79,COLUMN(Z80)-COLUMN($C79))/$D79,"")</f>
        <v/>
      </c>
    </row>
    <row r="80" spans="1:25" x14ac:dyDescent="0.25">
      <c r="A80" t="str">
        <v>Ovn2 tonnage</v>
      </c>
      <c r="B80" s="61"/>
      <c r="C80" s="55" t="str">
        <f t="shared" si="2"/>
        <v/>
      </c>
      <c r="D80" s="51">
        <f t="shared" si="1"/>
        <v>0</v>
      </c>
      <c r="E80" s="16" t="str" cm="1">
        <f t="array" ref="E80">IF($D80 &lt;&gt;0,ResultValue($C80,COLUMN(F80)-COLUMN($C80))/$D80,"")</f>
        <v/>
      </c>
      <c r="F80" s="16" t="str" cm="1">
        <f t="array" ref="F80">IF($D80 &lt;&gt;0,ResultValue($C80,COLUMN(G80)-COLUMN($C80))/$D80,"")</f>
        <v/>
      </c>
      <c r="G80" s="16" t="str" cm="1">
        <f t="array" ref="G80">IF($D80 &lt;&gt;0,ResultValue($C80,COLUMN(H80)-COLUMN($C80))/$D80,"")</f>
        <v/>
      </c>
      <c r="H80" s="16" t="str" cm="1">
        <f t="array" ref="H80">IF($D80 &lt;&gt;0,ResultValue($C80,COLUMN(I80)-COLUMN($C80))/$D80,"")</f>
        <v/>
      </c>
      <c r="I80" s="16" t="str" cm="1">
        <f t="array" ref="I80">IF($D80 &lt;&gt;0,ResultValue($C80,COLUMN(J80)-COLUMN($C80))/$D80,"")</f>
        <v/>
      </c>
      <c r="J80" s="16" t="str" cm="1">
        <f t="array" ref="J80">IF($D80 &lt;&gt;0,ResultValue($C80,COLUMN(K80)-COLUMN($C80))/$D80,"")</f>
        <v/>
      </c>
      <c r="K80" s="16" t="str" cm="1">
        <f t="array" ref="K80">IF($D80 &lt;&gt;0,ResultValue($C80,COLUMN(L80)-COLUMN($C80))/$D80,"")</f>
        <v/>
      </c>
      <c r="L80" s="16" t="str" cm="1">
        <f t="array" ref="L80">IF($D80 &lt;&gt;0,ResultValue($C80,COLUMN(M80)-COLUMN($C80))/$D80,"")</f>
        <v/>
      </c>
      <c r="M80" s="16" t="str" cm="1">
        <f t="array" ref="M80">IF($D80 &lt;&gt;0,ResultValue($C80,COLUMN(N80)-COLUMN($C80))/$D80,"")</f>
        <v/>
      </c>
      <c r="N80" s="16" t="str" cm="1">
        <f t="array" ref="N80">IF($D80 &lt;&gt;0,ResultValue($C80,COLUMN(O80)-COLUMN($C80))/$D80,"")</f>
        <v/>
      </c>
      <c r="O80" s="16" t="str" cm="1">
        <f t="array" ref="O80">IF($D80 &lt;&gt;0,ResultValue($C80,COLUMN(P80)-COLUMN($C80))/$D80,"")</f>
        <v/>
      </c>
      <c r="P80" s="16" t="str" cm="1">
        <f t="array" ref="P80">IF($D80 &lt;&gt;0,ResultValue($C80,COLUMN(Q80)-COLUMN($C80))/$D80,"")</f>
        <v/>
      </c>
      <c r="Q80" s="16" t="str" cm="1">
        <f t="array" ref="Q80">IF($D80 &lt;&gt;0,ResultValue($C80,COLUMN(R80)-COLUMN($C80))/$D80,"")</f>
        <v/>
      </c>
      <c r="R80" s="16" t="str" cm="1">
        <f t="array" ref="R80">IF($D80 &lt;&gt;0,ResultValue($C80,COLUMN(S80)-COLUMN($C80))/$D80,"")</f>
        <v/>
      </c>
      <c r="S80" s="16" t="str" cm="1">
        <f t="array" ref="S80">IF($D80 &lt;&gt;0,ResultValue($C80,COLUMN(T80)-COLUMN($C80))/$D80,"")</f>
        <v/>
      </c>
      <c r="T80" s="16" t="str" cm="1">
        <f t="array" ref="T80">IF($D80 &lt;&gt;0,ResultValue($C80,COLUMN(U80)-COLUMN($C80))/$D80,"")</f>
        <v/>
      </c>
      <c r="U80" s="16" t="str" cm="1">
        <f t="array" ref="U80">IF($D80 &lt;&gt;0,ResultValue($C80,COLUMN(V80)-COLUMN($C80))/$D80,"")</f>
        <v/>
      </c>
      <c r="V80" s="16" t="str" cm="1">
        <f t="array" ref="V80">IF($D80 &lt;&gt;0,ResultValue($C80,COLUMN(W80)-COLUMN($C80))/$D80,"")</f>
        <v/>
      </c>
      <c r="W80" s="16" t="str" cm="1">
        <f t="array" ref="W80">IF($D80 &lt;&gt;0,ResultValue($C80,COLUMN(X80)-COLUMN($C80))/$D80,"")</f>
        <v/>
      </c>
      <c r="X80" s="16" t="str" cm="1">
        <f t="array" ref="X80">IF($D80 &lt;&gt;0,ResultValue($C80,COLUMN(Y80)-COLUMN($C80))/$D80,"")</f>
        <v/>
      </c>
      <c r="Y80" s="16" t="str" cm="1">
        <f t="array" ref="Y80">IF($D80 &lt;&gt;0,ResultValue($C80,COLUMN(Z81)-COLUMN($C80))/$D80,"")</f>
        <v/>
      </c>
    </row>
    <row r="81" spans="1:25" x14ac:dyDescent="0.25">
      <c r="A81" t="str">
        <v>Bortkøleanlæg varme</v>
      </c>
      <c r="B81" s="61"/>
      <c r="C81" s="55" t="str">
        <f t="shared" si="2"/>
        <v/>
      </c>
      <c r="D81" s="51">
        <f t="shared" si="1"/>
        <v>0</v>
      </c>
      <c r="E81" s="16" t="str" cm="1">
        <f t="array" ref="E81">IF($D81 &lt;&gt;0,ResultValue($C81,COLUMN(F81)-COLUMN($C81))/$D81,"")</f>
        <v/>
      </c>
      <c r="F81" s="16" t="str" cm="1">
        <f t="array" ref="F81">IF($D81 &lt;&gt;0,ResultValue($C81,COLUMN(G81)-COLUMN($C81))/$D81,"")</f>
        <v/>
      </c>
      <c r="G81" s="16" t="str" cm="1">
        <f t="array" ref="G81">IF($D81 &lt;&gt;0,ResultValue($C81,COLUMN(H81)-COLUMN($C81))/$D81,"")</f>
        <v/>
      </c>
      <c r="H81" s="16" t="str" cm="1">
        <f t="array" ref="H81">IF($D81 &lt;&gt;0,ResultValue($C81,COLUMN(I81)-COLUMN($C81))/$D81,"")</f>
        <v/>
      </c>
      <c r="I81" s="16" t="str" cm="1">
        <f t="array" ref="I81">IF($D81 &lt;&gt;0,ResultValue($C81,COLUMN(J81)-COLUMN($C81))/$D81,"")</f>
        <v/>
      </c>
      <c r="J81" s="16" t="str" cm="1">
        <f t="array" ref="J81">IF($D81 &lt;&gt;0,ResultValue($C81,COLUMN(K81)-COLUMN($C81))/$D81,"")</f>
        <v/>
      </c>
      <c r="K81" s="16" t="str" cm="1">
        <f t="array" ref="K81">IF($D81 &lt;&gt;0,ResultValue($C81,COLUMN(L81)-COLUMN($C81))/$D81,"")</f>
        <v/>
      </c>
      <c r="L81" s="16" t="str" cm="1">
        <f t="array" ref="L81">IF($D81 &lt;&gt;0,ResultValue($C81,COLUMN(M81)-COLUMN($C81))/$D81,"")</f>
        <v/>
      </c>
      <c r="M81" s="16" t="str" cm="1">
        <f t="array" ref="M81">IF($D81 &lt;&gt;0,ResultValue($C81,COLUMN(N81)-COLUMN($C81))/$D81,"")</f>
        <v/>
      </c>
      <c r="N81" s="16" t="str" cm="1">
        <f t="array" ref="N81">IF($D81 &lt;&gt;0,ResultValue($C81,COLUMN(O81)-COLUMN($C81))/$D81,"")</f>
        <v/>
      </c>
      <c r="O81" s="16" t="str" cm="1">
        <f t="array" ref="O81">IF($D81 &lt;&gt;0,ResultValue($C81,COLUMN(P81)-COLUMN($C81))/$D81,"")</f>
        <v/>
      </c>
      <c r="P81" s="16" t="str" cm="1">
        <f t="array" ref="P81">IF($D81 &lt;&gt;0,ResultValue($C81,COLUMN(Q81)-COLUMN($C81))/$D81,"")</f>
        <v/>
      </c>
      <c r="Q81" s="16" t="str" cm="1">
        <f t="array" ref="Q81">IF($D81 &lt;&gt;0,ResultValue($C81,COLUMN(R81)-COLUMN($C81))/$D81,"")</f>
        <v/>
      </c>
      <c r="R81" s="16" t="str" cm="1">
        <f t="array" ref="R81">IF($D81 &lt;&gt;0,ResultValue($C81,COLUMN(S81)-COLUMN($C81))/$D81,"")</f>
        <v/>
      </c>
      <c r="S81" s="16" t="str" cm="1">
        <f t="array" ref="S81">IF($D81 &lt;&gt;0,ResultValue($C81,COLUMN(T81)-COLUMN($C81))/$D81,"")</f>
        <v/>
      </c>
      <c r="T81" s="16" t="str" cm="1">
        <f t="array" ref="T81">IF($D81 &lt;&gt;0,ResultValue($C81,COLUMN(U81)-COLUMN($C81))/$D81,"")</f>
        <v/>
      </c>
      <c r="U81" s="16" t="str" cm="1">
        <f t="array" ref="U81">IF($D81 &lt;&gt;0,ResultValue($C81,COLUMN(V81)-COLUMN($C81))/$D81,"")</f>
        <v/>
      </c>
      <c r="V81" s="16" t="str" cm="1">
        <f t="array" ref="V81">IF($D81 &lt;&gt;0,ResultValue($C81,COLUMN(W81)-COLUMN($C81))/$D81,"")</f>
        <v/>
      </c>
      <c r="W81" s="16" t="str" cm="1">
        <f t="array" ref="W81">IF($D81 &lt;&gt;0,ResultValue($C81,COLUMN(X81)-COLUMN($C81))/$D81,"")</f>
        <v/>
      </c>
      <c r="X81" s="16" t="str" cm="1">
        <f t="array" ref="X81">IF($D81 &lt;&gt;0,ResultValue($C81,COLUMN(Y81)-COLUMN($C81))/$D81,"")</f>
        <v/>
      </c>
      <c r="Y81" s="16" t="str" cm="1">
        <f t="array" ref="Y81">IF($D81 &lt;&gt;0,ResultValue($C81,COLUMN(Z82)-COLUMN($C81))/$D81,"")</f>
        <v/>
      </c>
    </row>
    <row r="82" spans="1:25" x14ac:dyDescent="0.25">
      <c r="A82" s="61"/>
      <c r="B82" s="61"/>
      <c r="C82" s="55" t="str">
        <f t="shared" si="2"/>
        <v/>
      </c>
      <c r="D82" s="51">
        <f t="shared" si="1"/>
        <v>0</v>
      </c>
      <c r="E82" s="16" t="str" cm="1">
        <f t="array" ref="E82">IF($D82 &lt;&gt;0,ResultValue($C82,COLUMN(F82)-COLUMN($C82))/$D82,"")</f>
        <v/>
      </c>
      <c r="F82" s="16" t="str" cm="1">
        <f t="array" ref="F82">IF($D82 &lt;&gt;0,ResultValue($C82,COLUMN(G82)-COLUMN($C82))/$D82,"")</f>
        <v/>
      </c>
      <c r="G82" s="16" t="str" cm="1">
        <f t="array" ref="G82">IF($D82 &lt;&gt;0,ResultValue($C82,COLUMN(H82)-COLUMN($C82))/$D82,"")</f>
        <v/>
      </c>
      <c r="H82" s="16" t="str" cm="1">
        <f t="array" ref="H82">IF($D82 &lt;&gt;0,ResultValue($C82,COLUMN(I82)-COLUMN($C82))/$D82,"")</f>
        <v/>
      </c>
      <c r="I82" s="16" t="str" cm="1">
        <f t="array" ref="I82">IF($D82 &lt;&gt;0,ResultValue($C82,COLUMN(J82)-COLUMN($C82))/$D82,"")</f>
        <v/>
      </c>
      <c r="J82" s="16" t="str" cm="1">
        <f t="array" ref="J82">IF($D82 &lt;&gt;0,ResultValue($C82,COLUMN(K82)-COLUMN($C82))/$D82,"")</f>
        <v/>
      </c>
      <c r="K82" s="16" t="str" cm="1">
        <f t="array" ref="K82">IF($D82 &lt;&gt;0,ResultValue($C82,COLUMN(L82)-COLUMN($C82))/$D82,"")</f>
        <v/>
      </c>
      <c r="L82" s="16" t="str" cm="1">
        <f t="array" ref="L82">IF($D82 &lt;&gt;0,ResultValue($C82,COLUMN(M82)-COLUMN($C82))/$D82,"")</f>
        <v/>
      </c>
      <c r="M82" s="16" t="str" cm="1">
        <f t="array" ref="M82">IF($D82 &lt;&gt;0,ResultValue($C82,COLUMN(N82)-COLUMN($C82))/$D82,"")</f>
        <v/>
      </c>
      <c r="N82" s="16" t="str" cm="1">
        <f t="array" ref="N82">IF($D82 &lt;&gt;0,ResultValue($C82,COLUMN(O82)-COLUMN($C82))/$D82,"")</f>
        <v/>
      </c>
      <c r="O82" s="16" t="str" cm="1">
        <f t="array" ref="O82">IF($D82 &lt;&gt;0,ResultValue($C82,COLUMN(P82)-COLUMN($C82))/$D82,"")</f>
        <v/>
      </c>
      <c r="P82" s="16" t="str" cm="1">
        <f t="array" ref="P82">IF($D82 &lt;&gt;0,ResultValue($C82,COLUMN(Q82)-COLUMN($C82))/$D82,"")</f>
        <v/>
      </c>
      <c r="Q82" s="16" t="str" cm="1">
        <f t="array" ref="Q82">IF($D82 &lt;&gt;0,ResultValue($C82,COLUMN(R82)-COLUMN($C82))/$D82,"")</f>
        <v/>
      </c>
      <c r="R82" s="16" t="str" cm="1">
        <f t="array" ref="R82">IF($D82 &lt;&gt;0,ResultValue($C82,COLUMN(S82)-COLUMN($C82))/$D82,"")</f>
        <v/>
      </c>
      <c r="S82" s="16" t="str" cm="1">
        <f t="array" ref="S82">IF($D82 &lt;&gt;0,ResultValue($C82,COLUMN(T82)-COLUMN($C82))/$D82,"")</f>
        <v/>
      </c>
      <c r="T82" s="16" t="str" cm="1">
        <f t="array" ref="T82">IF($D82 &lt;&gt;0,ResultValue($C82,COLUMN(U82)-COLUMN($C82))/$D82,"")</f>
        <v/>
      </c>
      <c r="U82" s="16" t="str" cm="1">
        <f t="array" ref="U82">IF($D82 &lt;&gt;0,ResultValue($C82,COLUMN(V82)-COLUMN($C82))/$D82,"")</f>
        <v/>
      </c>
      <c r="V82" s="16" t="str" cm="1">
        <f t="array" ref="V82">IF($D82 &lt;&gt;0,ResultValue($C82,COLUMN(W82)-COLUMN($C82))/$D82,"")</f>
        <v/>
      </c>
      <c r="W82" s="16" t="str" cm="1">
        <f t="array" ref="W82">IF($D82 &lt;&gt;0,ResultValue($C82,COLUMN(X82)-COLUMN($C82))/$D82,"")</f>
        <v/>
      </c>
      <c r="X82" s="16" t="str" cm="1">
        <f t="array" ref="X82">IF($D82 &lt;&gt;0,ResultValue($C82,COLUMN(Y82)-COLUMN($C82))/$D82,"")</f>
        <v/>
      </c>
      <c r="Y82" s="16" t="str" cm="1">
        <f t="array" ref="Y82">IF($D82 &lt;&gt;0,ResultValue($C82,COLUMN(Z83)-COLUMN($C82))/$D82,"")</f>
        <v/>
      </c>
    </row>
    <row r="83" spans="1:25" x14ac:dyDescent="0.25">
      <c r="A83" s="61"/>
      <c r="B83" s="61"/>
      <c r="C83" s="55" t="str">
        <f t="shared" si="2"/>
        <v/>
      </c>
      <c r="D83" s="51">
        <f t="shared" ref="D83:D86" si="3">B46</f>
        <v>0</v>
      </c>
      <c r="E83" s="16" t="str" cm="1">
        <f t="array" ref="E83">IF($D83 &lt;&gt;0,ResultValue($C83,COLUMN(F83)-COLUMN($C83))/$D83,"")</f>
        <v/>
      </c>
      <c r="F83" s="16" t="str" cm="1">
        <f t="array" ref="F83">IF($D83 &lt;&gt;0,ResultValue($C83,COLUMN(G83)-COLUMN($C83))/$D83,"")</f>
        <v/>
      </c>
      <c r="G83" s="16" t="str" cm="1">
        <f t="array" ref="G83">IF($D83 &lt;&gt;0,ResultValue($C83,COLUMN(H83)-COLUMN($C83))/$D83,"")</f>
        <v/>
      </c>
      <c r="H83" s="16" t="str" cm="1">
        <f t="array" ref="H83">IF($D83 &lt;&gt;0,ResultValue($C83,COLUMN(I83)-COLUMN($C83))/$D83,"")</f>
        <v/>
      </c>
      <c r="I83" s="16" t="str" cm="1">
        <f t="array" ref="I83">IF($D83 &lt;&gt;0,ResultValue($C83,COLUMN(J83)-COLUMN($C83))/$D83,"")</f>
        <v/>
      </c>
      <c r="J83" s="16" t="str" cm="1">
        <f t="array" ref="J83">IF($D83 &lt;&gt;0,ResultValue($C83,COLUMN(K83)-COLUMN($C83))/$D83,"")</f>
        <v/>
      </c>
      <c r="K83" s="16" t="str" cm="1">
        <f t="array" ref="K83">IF($D83 &lt;&gt;0,ResultValue($C83,COLUMN(L83)-COLUMN($C83))/$D83,"")</f>
        <v/>
      </c>
      <c r="L83" s="16" t="str" cm="1">
        <f t="array" ref="L83">IF($D83 &lt;&gt;0,ResultValue($C83,COLUMN(M83)-COLUMN($C83))/$D83,"")</f>
        <v/>
      </c>
      <c r="M83" s="16" t="str" cm="1">
        <f t="array" ref="M83">IF($D83 &lt;&gt;0,ResultValue($C83,COLUMN(N83)-COLUMN($C83))/$D83,"")</f>
        <v/>
      </c>
      <c r="N83" s="16" t="str" cm="1">
        <f t="array" ref="N83">IF($D83 &lt;&gt;0,ResultValue($C83,COLUMN(O83)-COLUMN($C83))/$D83,"")</f>
        <v/>
      </c>
      <c r="O83" s="16" t="str" cm="1">
        <f t="array" ref="O83">IF($D83 &lt;&gt;0,ResultValue($C83,COLUMN(P83)-COLUMN($C83))/$D83,"")</f>
        <v/>
      </c>
      <c r="P83" s="16" t="str" cm="1">
        <f t="array" ref="P83">IF($D83 &lt;&gt;0,ResultValue($C83,COLUMN(Q83)-COLUMN($C83))/$D83,"")</f>
        <v/>
      </c>
      <c r="Q83" s="16" t="str" cm="1">
        <f t="array" ref="Q83">IF($D83 &lt;&gt;0,ResultValue($C83,COLUMN(R83)-COLUMN($C83))/$D83,"")</f>
        <v/>
      </c>
      <c r="R83" s="16" t="str" cm="1">
        <f t="array" ref="R83">IF($D83 &lt;&gt;0,ResultValue($C83,COLUMN(S83)-COLUMN($C83))/$D83,"")</f>
        <v/>
      </c>
      <c r="S83" s="16" t="str" cm="1">
        <f t="array" ref="S83">IF($D83 &lt;&gt;0,ResultValue($C83,COLUMN(T83)-COLUMN($C83))/$D83,"")</f>
        <v/>
      </c>
      <c r="T83" s="16" t="str" cm="1">
        <f t="array" ref="T83">IF($D83 &lt;&gt;0,ResultValue($C83,COLUMN(U83)-COLUMN($C83))/$D83,"")</f>
        <v/>
      </c>
      <c r="U83" s="16" t="str" cm="1">
        <f t="array" ref="U83">IF($D83 &lt;&gt;0,ResultValue($C83,COLUMN(V83)-COLUMN($C83))/$D83,"")</f>
        <v/>
      </c>
      <c r="V83" s="16" t="str" cm="1">
        <f t="array" ref="V83">IF($D83 &lt;&gt;0,ResultValue($C83,COLUMN(W83)-COLUMN($C83))/$D83,"")</f>
        <v/>
      </c>
      <c r="W83" s="16" t="str" cm="1">
        <f t="array" ref="W83">IF($D83 &lt;&gt;0,ResultValue($C83,COLUMN(X83)-COLUMN($C83))/$D83,"")</f>
        <v/>
      </c>
      <c r="X83" s="16" t="str" cm="1">
        <f t="array" ref="X83">IF($D83 &lt;&gt;0,ResultValue($C83,COLUMN(Y83)-COLUMN($C83))/$D83,"")</f>
        <v/>
      </c>
      <c r="Y83" s="16" t="str" cm="1">
        <f t="array" ref="Y83">IF($D83 &lt;&gt;0,ResultValue($C83,COLUMN(Z84)-COLUMN($C83))/$D83,"")</f>
        <v/>
      </c>
    </row>
    <row r="84" spans="1:25" x14ac:dyDescent="0.25">
      <c r="A84" s="61"/>
      <c r="B84" s="61"/>
      <c r="C84" s="55" t="str">
        <f t="shared" si="2"/>
        <v/>
      </c>
      <c r="D84" s="51">
        <f t="shared" si="3"/>
        <v>0</v>
      </c>
      <c r="E84" s="16" t="str" cm="1">
        <f t="array" ref="E84">IF($D84 &lt;&gt;0,ResultValue($C84,COLUMN(F84)-COLUMN($C84))/$D84,"")</f>
        <v/>
      </c>
      <c r="F84" s="16" t="str" cm="1">
        <f t="array" ref="F84">IF($D84 &lt;&gt;0,ResultValue($C84,COLUMN(G84)-COLUMN($C84))/$D84,"")</f>
        <v/>
      </c>
      <c r="G84" s="16" t="str" cm="1">
        <f t="array" ref="G84">IF($D84 &lt;&gt;0,ResultValue($C84,COLUMN(H84)-COLUMN($C84))/$D84,"")</f>
        <v/>
      </c>
      <c r="H84" s="16" t="str" cm="1">
        <f t="array" ref="H84">IF($D84 &lt;&gt;0,ResultValue($C84,COLUMN(I84)-COLUMN($C84))/$D84,"")</f>
        <v/>
      </c>
      <c r="I84" s="16" t="str" cm="1">
        <f t="array" ref="I84">IF($D84 &lt;&gt;0,ResultValue($C84,COLUMN(J84)-COLUMN($C84))/$D84,"")</f>
        <v/>
      </c>
      <c r="J84" s="16" t="str" cm="1">
        <f t="array" ref="J84">IF($D84 &lt;&gt;0,ResultValue($C84,COLUMN(K84)-COLUMN($C84))/$D84,"")</f>
        <v/>
      </c>
      <c r="K84" s="16" t="str" cm="1">
        <f t="array" ref="K84">IF($D84 &lt;&gt;0,ResultValue($C84,COLUMN(L84)-COLUMN($C84))/$D84,"")</f>
        <v/>
      </c>
      <c r="L84" s="16" t="str" cm="1">
        <f t="array" ref="L84">IF($D84 &lt;&gt;0,ResultValue($C84,COLUMN(M84)-COLUMN($C84))/$D84,"")</f>
        <v/>
      </c>
      <c r="M84" s="16" t="str" cm="1">
        <f t="array" ref="M84">IF($D84 &lt;&gt;0,ResultValue($C84,COLUMN(N84)-COLUMN($C84))/$D84,"")</f>
        <v/>
      </c>
      <c r="N84" s="16" t="str" cm="1">
        <f t="array" ref="N84">IF($D84 &lt;&gt;0,ResultValue($C84,COLUMN(O84)-COLUMN($C84))/$D84,"")</f>
        <v/>
      </c>
      <c r="O84" s="16" t="str" cm="1">
        <f t="array" ref="O84">IF($D84 &lt;&gt;0,ResultValue($C84,COLUMN(P84)-COLUMN($C84))/$D84,"")</f>
        <v/>
      </c>
      <c r="P84" s="16" t="str" cm="1">
        <f t="array" ref="P84">IF($D84 &lt;&gt;0,ResultValue($C84,COLUMN(Q84)-COLUMN($C84))/$D84,"")</f>
        <v/>
      </c>
      <c r="Q84" s="16" t="str" cm="1">
        <f t="array" ref="Q84">IF($D84 &lt;&gt;0,ResultValue($C84,COLUMN(R84)-COLUMN($C84))/$D84,"")</f>
        <v/>
      </c>
      <c r="R84" s="16" t="str" cm="1">
        <f t="array" ref="R84">IF($D84 &lt;&gt;0,ResultValue($C84,COLUMN(S84)-COLUMN($C84))/$D84,"")</f>
        <v/>
      </c>
      <c r="S84" s="16" t="str" cm="1">
        <f t="array" ref="S84">IF($D84 &lt;&gt;0,ResultValue($C84,COLUMN(T84)-COLUMN($C84))/$D84,"")</f>
        <v/>
      </c>
      <c r="T84" s="16" t="str" cm="1">
        <f t="array" ref="T84">IF($D84 &lt;&gt;0,ResultValue($C84,COLUMN(U84)-COLUMN($C84))/$D84,"")</f>
        <v/>
      </c>
      <c r="U84" s="16" t="str" cm="1">
        <f t="array" ref="U84">IF($D84 &lt;&gt;0,ResultValue($C84,COLUMN(V84)-COLUMN($C84))/$D84,"")</f>
        <v/>
      </c>
      <c r="V84" s="16" t="str" cm="1">
        <f t="array" ref="V84">IF($D84 &lt;&gt;0,ResultValue($C84,COLUMN(W84)-COLUMN($C84))/$D84,"")</f>
        <v/>
      </c>
      <c r="W84" s="16" t="str" cm="1">
        <f t="array" ref="W84">IF($D84 &lt;&gt;0,ResultValue($C84,COLUMN(X84)-COLUMN($C84))/$D84,"")</f>
        <v/>
      </c>
      <c r="X84" s="16" t="str" cm="1">
        <f t="array" ref="X84">IF($D84 &lt;&gt;0,ResultValue($C84,COLUMN(Y84)-COLUMN($C84))/$D84,"")</f>
        <v/>
      </c>
      <c r="Y84" s="16" t="str" cm="1">
        <f t="array" ref="Y84">IF($D84 &lt;&gt;0,ResultValue($C84,COLUMN(Z85)-COLUMN($C84))/$D84,"")</f>
        <v/>
      </c>
    </row>
    <row r="85" spans="1:25" x14ac:dyDescent="0.25">
      <c r="A85" s="61"/>
      <c r="B85" s="61"/>
      <c r="C85" s="55" t="str">
        <f t="shared" si="2"/>
        <v/>
      </c>
      <c r="D85" s="51">
        <f t="shared" si="3"/>
        <v>0</v>
      </c>
      <c r="E85" s="16" t="str" cm="1">
        <f t="array" ref="E85">IF($D85 &lt;&gt;0,ResultValue($C85,COLUMN(F85)-COLUMN($C85))/$D85,"")</f>
        <v/>
      </c>
      <c r="F85" s="16" t="str" cm="1">
        <f t="array" ref="F85">IF($D85 &lt;&gt;0,ResultValue($C85,COLUMN(G85)-COLUMN($C85))/$D85,"")</f>
        <v/>
      </c>
      <c r="G85" s="16" t="str" cm="1">
        <f t="array" ref="G85">IF($D85 &lt;&gt;0,ResultValue($C85,COLUMN(H85)-COLUMN($C85))/$D85,"")</f>
        <v/>
      </c>
      <c r="H85" s="16" t="str" cm="1">
        <f t="array" ref="H85">IF($D85 &lt;&gt;0,ResultValue($C85,COLUMN(I85)-COLUMN($C85))/$D85,"")</f>
        <v/>
      </c>
      <c r="I85" s="16" t="str" cm="1">
        <f t="array" ref="I85">IF($D85 &lt;&gt;0,ResultValue($C85,COLUMN(J85)-COLUMN($C85))/$D85,"")</f>
        <v/>
      </c>
      <c r="J85" s="16" t="str" cm="1">
        <f t="array" ref="J85">IF($D85 &lt;&gt;0,ResultValue($C85,COLUMN(K85)-COLUMN($C85))/$D85,"")</f>
        <v/>
      </c>
      <c r="K85" s="16" t="str" cm="1">
        <f t="array" ref="K85">IF($D85 &lt;&gt;0,ResultValue($C85,COLUMN(L85)-COLUMN($C85))/$D85,"")</f>
        <v/>
      </c>
      <c r="L85" s="16" t="str" cm="1">
        <f t="array" ref="L85">IF($D85 &lt;&gt;0,ResultValue($C85,COLUMN(M85)-COLUMN($C85))/$D85,"")</f>
        <v/>
      </c>
      <c r="M85" s="16" t="str" cm="1">
        <f t="array" ref="M85">IF($D85 &lt;&gt;0,ResultValue($C85,COLUMN(N85)-COLUMN($C85))/$D85,"")</f>
        <v/>
      </c>
      <c r="N85" s="16" t="str" cm="1">
        <f t="array" ref="N85">IF($D85 &lt;&gt;0,ResultValue($C85,COLUMN(O85)-COLUMN($C85))/$D85,"")</f>
        <v/>
      </c>
      <c r="O85" s="16" t="str" cm="1">
        <f t="array" ref="O85">IF($D85 &lt;&gt;0,ResultValue($C85,COLUMN(P85)-COLUMN($C85))/$D85,"")</f>
        <v/>
      </c>
      <c r="P85" s="16" t="str" cm="1">
        <f t="array" ref="P85">IF($D85 &lt;&gt;0,ResultValue($C85,COLUMN(Q85)-COLUMN($C85))/$D85,"")</f>
        <v/>
      </c>
      <c r="Q85" s="16" t="str" cm="1">
        <f t="array" ref="Q85">IF($D85 &lt;&gt;0,ResultValue($C85,COLUMN(R85)-COLUMN($C85))/$D85,"")</f>
        <v/>
      </c>
      <c r="R85" s="16" t="str" cm="1">
        <f t="array" ref="R85">IF($D85 &lt;&gt;0,ResultValue($C85,COLUMN(S85)-COLUMN($C85))/$D85,"")</f>
        <v/>
      </c>
      <c r="S85" s="16" t="str" cm="1">
        <f t="array" ref="S85">IF($D85 &lt;&gt;0,ResultValue($C85,COLUMN(T85)-COLUMN($C85))/$D85,"")</f>
        <v/>
      </c>
      <c r="T85" s="16" t="str" cm="1">
        <f t="array" ref="T85">IF($D85 &lt;&gt;0,ResultValue($C85,COLUMN(U85)-COLUMN($C85))/$D85,"")</f>
        <v/>
      </c>
      <c r="U85" s="16" t="str" cm="1">
        <f t="array" ref="U85">IF($D85 &lt;&gt;0,ResultValue($C85,COLUMN(V85)-COLUMN($C85))/$D85,"")</f>
        <v/>
      </c>
      <c r="V85" s="16" t="str" cm="1">
        <f t="array" ref="V85">IF($D85 &lt;&gt;0,ResultValue($C85,COLUMN(W85)-COLUMN($C85))/$D85,"")</f>
        <v/>
      </c>
      <c r="W85" s="16" t="str" cm="1">
        <f t="array" ref="W85">IF($D85 &lt;&gt;0,ResultValue($C85,COLUMN(X85)-COLUMN($C85))/$D85,"")</f>
        <v/>
      </c>
      <c r="X85" s="16" t="str" cm="1">
        <f t="array" ref="X85">IF($D85 &lt;&gt;0,ResultValue($C85,COLUMN(Y85)-COLUMN($C85))/$D85,"")</f>
        <v/>
      </c>
      <c r="Y85" s="16" t="str" cm="1">
        <f t="array" ref="Y85">IF($D85 &lt;&gt;0,ResultValue($C85,COLUMN(Z86)-COLUMN($C85))/$D85,"")</f>
        <v/>
      </c>
    </row>
    <row r="86" spans="1:25" x14ac:dyDescent="0.25">
      <c r="A86" s="61"/>
      <c r="B86" s="61"/>
      <c r="C86" s="55" t="str">
        <f t="shared" si="2"/>
        <v/>
      </c>
      <c r="D86" s="51">
        <f t="shared" si="3"/>
        <v>0</v>
      </c>
      <c r="E86" s="16" t="str" cm="1">
        <f t="array" ref="E86">IF($D86 &lt;&gt;0,ResultValue($C86,COLUMN(F86)-COLUMN($C86))/$D86,"")</f>
        <v/>
      </c>
      <c r="F86" s="16" t="str" cm="1">
        <f t="array" ref="F86">IF($D86 &lt;&gt;0,ResultValue($C86,COLUMN(G86)-COLUMN($C86))/$D86,"")</f>
        <v/>
      </c>
      <c r="G86" s="16" t="str" cm="1">
        <f t="array" ref="G86">IF($D86 &lt;&gt;0,ResultValue($C86,COLUMN(H86)-COLUMN($C86))/$D86,"")</f>
        <v/>
      </c>
      <c r="H86" s="16" t="str" cm="1">
        <f t="array" ref="H86">IF($D86 &lt;&gt;0,ResultValue($C86,COLUMN(I86)-COLUMN($C86))/$D86,"")</f>
        <v/>
      </c>
      <c r="I86" s="16" t="str" cm="1">
        <f t="array" ref="I86">IF($D86 &lt;&gt;0,ResultValue($C86,COLUMN(J86)-COLUMN($C86))/$D86,"")</f>
        <v/>
      </c>
      <c r="J86" s="16" t="str" cm="1">
        <f t="array" ref="J86">IF($D86 &lt;&gt;0,ResultValue($C86,COLUMN(K86)-COLUMN($C86))/$D86,"")</f>
        <v/>
      </c>
      <c r="K86" s="16" t="str" cm="1">
        <f t="array" ref="K86">IF($D86 &lt;&gt;0,ResultValue($C86,COLUMN(L86)-COLUMN($C86))/$D86,"")</f>
        <v/>
      </c>
      <c r="L86" s="16" t="str" cm="1">
        <f t="array" ref="L86">IF($D86 &lt;&gt;0,ResultValue($C86,COLUMN(M86)-COLUMN($C86))/$D86,"")</f>
        <v/>
      </c>
      <c r="M86" s="16" t="str" cm="1">
        <f t="array" ref="M86">IF($D86 &lt;&gt;0,ResultValue($C86,COLUMN(N86)-COLUMN($C86))/$D86,"")</f>
        <v/>
      </c>
      <c r="N86" s="16" t="str" cm="1">
        <f t="array" ref="N86">IF($D86 &lt;&gt;0,ResultValue($C86,COLUMN(O86)-COLUMN($C86))/$D86,"")</f>
        <v/>
      </c>
      <c r="O86" s="16" t="str" cm="1">
        <f t="array" ref="O86">IF($D86 &lt;&gt;0,ResultValue($C86,COLUMN(P86)-COLUMN($C86))/$D86,"")</f>
        <v/>
      </c>
      <c r="P86" s="16" t="str" cm="1">
        <f t="array" ref="P86">IF($D86 &lt;&gt;0,ResultValue($C86,COLUMN(Q86)-COLUMN($C86))/$D86,"")</f>
        <v/>
      </c>
      <c r="Q86" s="16" t="str" cm="1">
        <f t="array" ref="Q86">IF($D86 &lt;&gt;0,ResultValue($C86,COLUMN(R86)-COLUMN($C86))/$D86,"")</f>
        <v/>
      </c>
      <c r="R86" s="16" t="str" cm="1">
        <f t="array" ref="R86">IF($D86 &lt;&gt;0,ResultValue($C86,COLUMN(S86)-COLUMN($C86))/$D86,"")</f>
        <v/>
      </c>
      <c r="S86" s="16" t="str" cm="1">
        <f t="array" ref="S86">IF($D86 &lt;&gt;0,ResultValue($C86,COLUMN(T86)-COLUMN($C86))/$D86,"")</f>
        <v/>
      </c>
      <c r="T86" s="16" t="str" cm="1">
        <f t="array" ref="T86">IF($D86 &lt;&gt;0,ResultValue($C86,COLUMN(U86)-COLUMN($C86))/$D86,"")</f>
        <v/>
      </c>
      <c r="U86" s="16" t="str" cm="1">
        <f t="array" ref="U86">IF($D86 &lt;&gt;0,ResultValue($C86,COLUMN(V86)-COLUMN($C86))/$D86,"")</f>
        <v/>
      </c>
      <c r="V86" s="16" t="str" cm="1">
        <f t="array" ref="V86">IF($D86 &lt;&gt;0,ResultValue($C86,COLUMN(W86)-COLUMN($C86))/$D86,"")</f>
        <v/>
      </c>
      <c r="W86" s="16" t="str" cm="1">
        <f t="array" ref="W86">IF($D86 &lt;&gt;0,ResultValue($C86,COLUMN(X86)-COLUMN($C86))/$D86,"")</f>
        <v/>
      </c>
      <c r="X86" s="16" t="str" cm="1">
        <f t="array" ref="X86">IF($D86 &lt;&gt;0,ResultValue($C86,COLUMN(Y86)-COLUMN($C86))/$D86,"")</f>
        <v/>
      </c>
      <c r="Y86" s="16" t="str" cm="1">
        <f t="array" ref="Y86">IF($D86 &lt;&gt;0,ResultValue($C86,COLUMN(Z87)-COLUMN($C86))/$D86,"")</f>
        <v/>
      </c>
    </row>
    <row r="87" spans="1:25" x14ac:dyDescent="0.25">
      <c r="A87" s="61"/>
      <c r="B87" s="61"/>
      <c r="E87" s="16"/>
      <c r="F87" s="16"/>
      <c r="G87" s="16"/>
      <c r="H87" s="16"/>
      <c r="I87" s="16"/>
      <c r="J87" s="16"/>
      <c r="K87" s="16"/>
      <c r="L87" s="16"/>
      <c r="M87" s="16"/>
      <c r="N87" s="16"/>
      <c r="O87" s="16"/>
      <c r="P87" s="16"/>
      <c r="Q87" s="16"/>
      <c r="R87" s="16"/>
      <c r="S87" s="16"/>
      <c r="T87" s="16"/>
      <c r="U87" s="16"/>
      <c r="V87" s="16"/>
      <c r="W87" s="16"/>
      <c r="X87" s="16"/>
      <c r="Y87" s="16"/>
    </row>
    <row r="88" spans="1:25" x14ac:dyDescent="0.25">
      <c r="A88" s="61"/>
      <c r="B88" s="61"/>
      <c r="C88" s="55"/>
      <c r="D88" s="55"/>
      <c r="E88" s="55"/>
      <c r="F88" s="55"/>
      <c r="G88" s="55"/>
      <c r="H88" s="55"/>
      <c r="I88" s="55"/>
      <c r="J88" s="55"/>
      <c r="K88" s="55"/>
      <c r="L88" s="55"/>
      <c r="M88" s="55"/>
      <c r="N88" s="55"/>
      <c r="O88" s="55"/>
      <c r="P88" s="55"/>
      <c r="Q88" s="55"/>
      <c r="R88" s="55"/>
      <c r="S88" s="55"/>
      <c r="T88" s="55"/>
      <c r="U88" s="55"/>
      <c r="V88" s="55"/>
      <c r="W88" s="55"/>
      <c r="X88" s="55"/>
      <c r="Y88" s="55"/>
    </row>
    <row r="89" spans="1:25" x14ac:dyDescent="0.25">
      <c r="A89" s="61"/>
      <c r="B89" s="61"/>
      <c r="E89" s="16"/>
      <c r="F89" s="16"/>
      <c r="G89" s="16"/>
      <c r="H89" s="16"/>
      <c r="I89" s="16"/>
      <c r="J89" s="16"/>
      <c r="K89" s="16"/>
      <c r="L89" s="16"/>
      <c r="M89" s="16"/>
      <c r="N89" s="16"/>
      <c r="O89" s="16"/>
      <c r="P89" s="16"/>
      <c r="Q89" s="16"/>
      <c r="R89" s="16"/>
      <c r="S89" s="16"/>
      <c r="T89" s="16"/>
      <c r="U89" s="16"/>
      <c r="V89" s="16"/>
      <c r="W89" s="16"/>
      <c r="X89" s="16"/>
      <c r="Y89" s="16"/>
    </row>
    <row r="90" spans="1:25" x14ac:dyDescent="0.25">
      <c r="A90" s="61"/>
      <c r="B90" s="61"/>
    </row>
    <row r="91" spans="1:25" x14ac:dyDescent="0.25">
      <c r="A91" s="61"/>
      <c r="B91" s="61"/>
      <c r="C91" s="12" t="s">
        <v>236</v>
      </c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11"/>
      <c r="W91" s="11"/>
      <c r="X91" s="11"/>
      <c r="Y91" s="11"/>
    </row>
    <row r="92" spans="1:25" x14ac:dyDescent="0.25">
      <c r="A92" s="61"/>
      <c r="B92" s="61"/>
      <c r="C92" s="5" t="str">
        <f>Model!N4</f>
        <v>Økonomi:</v>
      </c>
      <c r="D92" s="10" t="str">
        <f>Model!O4</f>
        <v>Enhed</v>
      </c>
      <c r="E92" s="19" t="str">
        <f>E6</f>
        <v>Nominelt</v>
      </c>
      <c r="F92" s="19" t="str">
        <f>F6</f>
        <v>sc1</v>
      </c>
      <c r="G92" s="19" t="str">
        <f>G6</f>
        <v>sc2</v>
      </c>
      <c r="H92" s="19" t="str">
        <f>H6</f>
        <v>sc3</v>
      </c>
      <c r="I92" s="19" t="str">
        <f>I6</f>
        <v>sc4</v>
      </c>
      <c r="J92" s="19" t="str">
        <f>J6</f>
        <v>sc5</v>
      </c>
      <c r="K92" s="19" t="str">
        <f>K6</f>
        <v>sc6</v>
      </c>
      <c r="L92" s="19" t="str">
        <f>L6</f>
        <v>sc7</v>
      </c>
      <c r="M92" s="19" t="str">
        <f>M6</f>
        <v>sc8</v>
      </c>
      <c r="N92" s="19" t="str">
        <f>N6</f>
        <v>sc9</v>
      </c>
      <c r="O92" s="19" t="str">
        <f>O6</f>
        <v>sc10</v>
      </c>
      <c r="P92" s="19" t="str">
        <f>P6</f>
        <v>sc11</v>
      </c>
      <c r="Q92" s="19" t="str">
        <f>Q6</f>
        <v>sc12</v>
      </c>
      <c r="R92" s="19" t="str">
        <f>R6</f>
        <v>sc13</v>
      </c>
      <c r="S92" s="19" t="str">
        <f>S6</f>
        <v>sc14</v>
      </c>
      <c r="T92" s="19" t="str">
        <f>T6</f>
        <v>sc15</v>
      </c>
      <c r="U92" s="19" t="str">
        <f>U6</f>
        <v>sc16</v>
      </c>
      <c r="V92" s="19" t="str">
        <f>V6</f>
        <v>sc17</v>
      </c>
      <c r="W92" s="19" t="str">
        <f>W6</f>
        <v>sc18</v>
      </c>
      <c r="X92" s="19" t="str">
        <f>X6</f>
        <v>sc19</v>
      </c>
      <c r="Y92" s="19" t="str">
        <f>Y6</f>
        <v>sc20</v>
      </c>
    </row>
    <row r="93" spans="1:25" x14ac:dyDescent="0.25">
      <c r="A93" s="61"/>
      <c r="B93" s="61"/>
      <c r="C93" s="18" t="str">
        <f>Model!N5</f>
        <v>Indtægter total</v>
      </c>
      <c r="D93" s="18" t="str">
        <f>Model!O5</f>
        <v>tkr</v>
      </c>
      <c r="E93" s="23">
        <v>15652263.443326186</v>
      </c>
      <c r="F93" s="23">
        <v>16181783.291652784</v>
      </c>
      <c r="G93" s="23">
        <v>16136225.467580173</v>
      </c>
      <c r="H93" s="23">
        <v>16091597.39501925</v>
      </c>
      <c r="I93" s="23">
        <v>16047870.899681777</v>
      </c>
      <c r="J93" s="23">
        <v>16005018.934251055</v>
      </c>
      <c r="K93" s="23">
        <v>15963015.522591241</v>
      </c>
      <c r="L93" s="23">
        <v>15921835.707238479</v>
      </c>
      <c r="M93" s="23">
        <v>16082049.301761795</v>
      </c>
      <c r="N93" s="23">
        <v>16042445.636921976</v>
      </c>
      <c r="O93" s="23">
        <v>16003596.327602914</v>
      </c>
      <c r="P93" s="23">
        <v>15965480.024120061</v>
      </c>
      <c r="Q93" s="23">
        <v>15928076.174907915</v>
      </c>
      <c r="R93" s="23">
        <v>15891364.98957007</v>
      </c>
      <c r="S93" s="23">
        <v>15855327.403963193</v>
      </c>
      <c r="T93" s="23">
        <v>15819945.047185535</v>
      </c>
      <c r="U93" s="23">
        <v>15785200.210349813</v>
      </c>
      <c r="V93" s="23">
        <v>15751075.817029016</v>
      </c>
      <c r="W93" s="23">
        <v>15717555.39527142</v>
      </c>
      <c r="X93" s="23">
        <v>15684623.051088518</v>
      </c>
      <c r="Y93" s="23">
        <v>15652263.443326186</v>
      </c>
    </row>
    <row r="94" spans="1:25" x14ac:dyDescent="0.25">
      <c r="A94" s="61"/>
      <c r="B94" s="61"/>
      <c r="C94" s="18" t="str">
        <f>Model!N6</f>
        <v>Omkostninger total</v>
      </c>
      <c r="D94" s="18" t="str">
        <f>Model!O6</f>
        <v>tkr</v>
      </c>
      <c r="E94" s="23">
        <v>7571194.7616575705</v>
      </c>
      <c r="F94" s="23">
        <v>7852727.10090937</v>
      </c>
      <c r="G94" s="23">
        <v>7835081.9157811292</v>
      </c>
      <c r="H94" s="23">
        <v>7817805.4208600298</v>
      </c>
      <c r="I94" s="23">
        <v>7800886.4437155491</v>
      </c>
      <c r="J94" s="23">
        <v>7784314.2588143907</v>
      </c>
      <c r="K94" s="23">
        <v>7768078.5653968509</v>
      </c>
      <c r="L94" s="23">
        <v>7752169.4666545894</v>
      </c>
      <c r="M94" s="23">
        <v>7736577.4501213348</v>
      </c>
      <c r="N94" s="23">
        <v>7721293.3691949034</v>
      </c>
      <c r="O94" s="23">
        <v>7706308.4257151028</v>
      </c>
      <c r="P94" s="23">
        <v>7691614.1535277804</v>
      </c>
      <c r="Q94" s="23">
        <v>7677202.4029705329</v>
      </c>
      <c r="R94" s="23">
        <v>7663065.326220301</v>
      </c>
      <c r="S94" s="23">
        <v>7649195.3634475321</v>
      </c>
      <c r="T94" s="23">
        <v>7635585.2297255732</v>
      </c>
      <c r="U94" s="23">
        <v>7622227.9026476396</v>
      </c>
      <c r="V94" s="23">
        <v>7609116.6106071994</v>
      </c>
      <c r="W94" s="23">
        <v>7596244.8217006</v>
      </c>
      <c r="X94" s="23">
        <v>7583606.2332137935</v>
      </c>
      <c r="Y94" s="23">
        <v>7571194.7616575705</v>
      </c>
    </row>
    <row r="95" spans="1:25" x14ac:dyDescent="0.25">
      <c r="A95" s="61"/>
      <c r="B95" s="61"/>
      <c r="C95" s="18" t="str">
        <f>Model!N7</f>
        <v>Dækningsbidrag</v>
      </c>
      <c r="D95" s="18" t="str">
        <f>Model!O7</f>
        <v>tkr</v>
      </c>
      <c r="E95" s="23">
        <v>8081068.6816686159</v>
      </c>
      <c r="F95" s="23">
        <v>8329056.1907434138</v>
      </c>
      <c r="G95" s="23">
        <v>8301143.551799044</v>
      </c>
      <c r="H95" s="23">
        <v>8273791.9741592202</v>
      </c>
      <c r="I95" s="23">
        <v>8246984.4559662277</v>
      </c>
      <c r="J95" s="23">
        <v>8220704.6754366644</v>
      </c>
      <c r="K95" s="23">
        <v>8194936.9571943898</v>
      </c>
      <c r="L95" s="23">
        <v>8169666.2405838892</v>
      </c>
      <c r="M95" s="23">
        <v>8345471.8516404601</v>
      </c>
      <c r="N95" s="23">
        <v>8321152.2677270724</v>
      </c>
      <c r="O95" s="23">
        <v>8297287.9018878108</v>
      </c>
      <c r="P95" s="23">
        <v>8273865.8705922803</v>
      </c>
      <c r="Q95" s="23">
        <v>8250873.7719373824</v>
      </c>
      <c r="R95" s="23">
        <v>8228299.6633497691</v>
      </c>
      <c r="S95" s="23">
        <v>8206132.0405156612</v>
      </c>
      <c r="T95" s="23">
        <v>8184359.8174599614</v>
      </c>
      <c r="U95" s="23">
        <v>8162972.3077021735</v>
      </c>
      <c r="V95" s="23">
        <v>8141959.2064218167</v>
      </c>
      <c r="W95" s="23">
        <v>8121310.5735708205</v>
      </c>
      <c r="X95" s="23">
        <v>8101016.817874724</v>
      </c>
      <c r="Y95" s="23">
        <v>8081068.6816686159</v>
      </c>
    </row>
    <row r="96" spans="1:25" x14ac:dyDescent="0.25">
      <c r="C96" s="5"/>
      <c r="D96" s="10"/>
      <c r="E96" s="19"/>
      <c r="F96" s="19"/>
      <c r="G96" s="19"/>
      <c r="H96" s="19"/>
      <c r="I96" s="19"/>
      <c r="J96" s="19"/>
      <c r="K96" s="19"/>
      <c r="L96" s="19"/>
      <c r="M96" s="19"/>
      <c r="N96" s="19"/>
      <c r="O96" s="19"/>
      <c r="P96" s="19"/>
      <c r="Q96" s="19"/>
      <c r="R96" s="19"/>
      <c r="S96" s="19"/>
      <c r="T96" s="19"/>
      <c r="U96" s="19"/>
      <c r="V96" s="19"/>
      <c r="W96" s="19"/>
      <c r="X96" s="19"/>
      <c r="Y96" s="19"/>
    </row>
    <row r="97" spans="1:26" x14ac:dyDescent="0.25">
      <c r="C97" s="18" t="str">
        <f>Model!N9</f>
        <v>Varmesalg</v>
      </c>
      <c r="D97" s="18" t="str">
        <f>Model!O9</f>
        <v>tkr</v>
      </c>
      <c r="E97" s="22">
        <v>7464000</v>
      </c>
      <c r="F97" s="22">
        <v>7464000</v>
      </c>
      <c r="G97" s="22">
        <v>7464000</v>
      </c>
      <c r="H97" s="22">
        <v>7464000</v>
      </c>
      <c r="I97" s="22">
        <v>7464000</v>
      </c>
      <c r="J97" s="22">
        <v>7464000</v>
      </c>
      <c r="K97" s="22">
        <v>7464000</v>
      </c>
      <c r="L97" s="22">
        <v>7464000</v>
      </c>
      <c r="M97" s="22">
        <v>7464000</v>
      </c>
      <c r="N97" s="22">
        <v>7464000</v>
      </c>
      <c r="O97" s="22">
        <v>7464000</v>
      </c>
      <c r="P97" s="22">
        <v>7464000</v>
      </c>
      <c r="Q97" s="22">
        <v>7464000</v>
      </c>
      <c r="R97" s="22">
        <v>7464000</v>
      </c>
      <c r="S97" s="22">
        <v>7464000</v>
      </c>
      <c r="T97" s="22">
        <v>7464000</v>
      </c>
      <c r="U97" s="22">
        <v>7464000</v>
      </c>
      <c r="V97" s="22">
        <v>7464000</v>
      </c>
      <c r="W97" s="22">
        <v>7464000</v>
      </c>
      <c r="X97" s="22">
        <v>7464000</v>
      </c>
      <c r="Y97" s="22">
        <v>7464000</v>
      </c>
    </row>
    <row r="98" spans="1:26" x14ac:dyDescent="0.25">
      <c r="C98" s="18" t="str">
        <f>Model!N10</f>
        <v>Elsalg</v>
      </c>
      <c r="D98" s="18" t="str">
        <f>Model!O10</f>
        <v>tkr</v>
      </c>
      <c r="E98" s="22">
        <v>3947332.4512195126</v>
      </c>
      <c r="F98" s="22">
        <v>3947332.4512195117</v>
      </c>
      <c r="G98" s="22">
        <v>3947332.4512195126</v>
      </c>
      <c r="H98" s="22">
        <v>3947332.4512195117</v>
      </c>
      <c r="I98" s="22">
        <v>3947332.4512195126</v>
      </c>
      <c r="J98" s="22">
        <v>3947332.4512195126</v>
      </c>
      <c r="K98" s="22">
        <v>3947332.4512195126</v>
      </c>
      <c r="L98" s="22">
        <v>3947332.4512195126</v>
      </c>
      <c r="M98" s="22">
        <v>3947332.4512195126</v>
      </c>
      <c r="N98" s="22">
        <v>3947332.4512195126</v>
      </c>
      <c r="O98" s="22">
        <v>3947332.4512195126</v>
      </c>
      <c r="P98" s="22">
        <v>3947332.4512195117</v>
      </c>
      <c r="Q98" s="22">
        <v>3947332.4512195126</v>
      </c>
      <c r="R98" s="22">
        <v>3947332.4512195126</v>
      </c>
      <c r="S98" s="22">
        <v>3947332.4512195126</v>
      </c>
      <c r="T98" s="22">
        <v>3947332.4512195126</v>
      </c>
      <c r="U98" s="22">
        <v>3947332.4512195126</v>
      </c>
      <c r="V98" s="22">
        <v>3947332.4512195126</v>
      </c>
      <c r="W98" s="22">
        <v>3947332.4512195126</v>
      </c>
      <c r="X98" s="22">
        <v>3947332.4512195126</v>
      </c>
      <c r="Y98" s="22">
        <v>3947332.4512195126</v>
      </c>
    </row>
    <row r="99" spans="1:26" x14ac:dyDescent="0.25">
      <c r="C99" s="18" t="str">
        <f>Model!N11</f>
        <v>RGK-rabat</v>
      </c>
      <c r="D99" s="18" t="str">
        <f>Model!O11</f>
        <v>tkr</v>
      </c>
      <c r="E99" s="22">
        <v>200593.80181097562</v>
      </c>
      <c r="F99" s="22">
        <v>0</v>
      </c>
      <c r="G99" s="22">
        <v>0</v>
      </c>
      <c r="H99" s="22">
        <v>0</v>
      </c>
      <c r="I99" s="22">
        <v>0</v>
      </c>
      <c r="J99" s="22">
        <v>0</v>
      </c>
      <c r="K99" s="22">
        <v>0</v>
      </c>
      <c r="L99" s="22">
        <v>0</v>
      </c>
      <c r="M99" s="22">
        <v>200593.80181097562</v>
      </c>
      <c r="N99" s="22">
        <v>200593.80181097562</v>
      </c>
      <c r="O99" s="22">
        <v>200593.80181097562</v>
      </c>
      <c r="P99" s="22">
        <v>200593.80181097562</v>
      </c>
      <c r="Q99" s="22">
        <v>200593.80181097562</v>
      </c>
      <c r="R99" s="22">
        <v>200593.80181097562</v>
      </c>
      <c r="S99" s="22">
        <v>200593.80181097562</v>
      </c>
      <c r="T99" s="22">
        <v>200593.80181097562</v>
      </c>
      <c r="U99" s="22">
        <v>200593.80181097562</v>
      </c>
      <c r="V99" s="22">
        <v>200593.80181097562</v>
      </c>
      <c r="W99" s="22">
        <v>200593.80181097562</v>
      </c>
      <c r="X99" s="22">
        <v>200593.80181097562</v>
      </c>
      <c r="Y99" s="22">
        <v>200593.80181097562</v>
      </c>
    </row>
    <row r="100" spans="1:26" x14ac:dyDescent="0.25">
      <c r="C100" s="18" t="str">
        <f>Model!N12</f>
        <v>Modtagebetaling affald</v>
      </c>
      <c r="D100" s="18" t="str">
        <f>Model!O12</f>
        <v>tkr</v>
      </c>
      <c r="E100" s="22">
        <v>4040337.1902956986</v>
      </c>
      <c r="F100" s="22">
        <v>4770450.8404332725</v>
      </c>
      <c r="G100" s="22">
        <v>4724893.0163606619</v>
      </c>
      <c r="H100" s="22">
        <v>4680264.9437997378</v>
      </c>
      <c r="I100" s="22">
        <v>4636538.4484622655</v>
      </c>
      <c r="J100" s="22">
        <v>4593686.4830315439</v>
      </c>
      <c r="K100" s="22">
        <v>4551683.0713717276</v>
      </c>
      <c r="L100" s="22">
        <v>4510503.2560189664</v>
      </c>
      <c r="M100" s="22">
        <v>4470123.0487313075</v>
      </c>
      <c r="N100" s="22">
        <v>4430519.3838914875</v>
      </c>
      <c r="O100" s="22">
        <v>4391670.0745724253</v>
      </c>
      <c r="P100" s="22">
        <v>4353553.7710895725</v>
      </c>
      <c r="Q100" s="22">
        <v>4316149.921877428</v>
      </c>
      <c r="R100" s="22">
        <v>4279438.7365395827</v>
      </c>
      <c r="S100" s="22">
        <v>4243401.150932706</v>
      </c>
      <c r="T100" s="22">
        <v>4208018.7941550463</v>
      </c>
      <c r="U100" s="22">
        <v>4173273.9573193248</v>
      </c>
      <c r="V100" s="22">
        <v>4139149.5639985283</v>
      </c>
      <c r="W100" s="22">
        <v>4105629.1422409313</v>
      </c>
      <c r="X100" s="22">
        <v>4072696.7980580288</v>
      </c>
      <c r="Y100" s="22">
        <v>4040337.1902956986</v>
      </c>
    </row>
    <row r="101" spans="1:26" x14ac:dyDescent="0.25">
      <c r="C101" s="18"/>
      <c r="D101" s="18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</row>
    <row r="102" spans="1:26" x14ac:dyDescent="0.25">
      <c r="C102" s="18" t="str">
        <f>Model!N14</f>
        <v>Betaling bioaffald</v>
      </c>
      <c r="D102" s="18" t="str">
        <f>Model!O14</f>
        <v>tkr</v>
      </c>
      <c r="E102" s="23">
        <v>0</v>
      </c>
      <c r="F102" s="23">
        <v>0</v>
      </c>
      <c r="G102" s="23">
        <v>0</v>
      </c>
      <c r="H102" s="23">
        <v>0</v>
      </c>
      <c r="I102" s="23">
        <v>0</v>
      </c>
      <c r="J102" s="23">
        <v>0</v>
      </c>
      <c r="K102" s="23">
        <v>0</v>
      </c>
      <c r="L102" s="23">
        <v>0</v>
      </c>
      <c r="M102" s="23">
        <v>0</v>
      </c>
      <c r="N102" s="23">
        <v>0</v>
      </c>
      <c r="O102" s="23">
        <v>0</v>
      </c>
      <c r="P102" s="23">
        <v>0</v>
      </c>
      <c r="Q102" s="23">
        <v>0</v>
      </c>
      <c r="R102" s="23">
        <v>0</v>
      </c>
      <c r="S102" s="23">
        <v>0</v>
      </c>
      <c r="T102" s="23">
        <v>0</v>
      </c>
      <c r="U102" s="23">
        <v>0</v>
      </c>
      <c r="V102" s="23">
        <v>0</v>
      </c>
      <c r="W102" s="23">
        <v>0</v>
      </c>
      <c r="X102" s="23">
        <v>0</v>
      </c>
      <c r="Y102" s="23">
        <v>0</v>
      </c>
    </row>
    <row r="103" spans="1:26" x14ac:dyDescent="0.25">
      <c r="C103" s="18" t="str">
        <f>Model!N15</f>
        <v>DV-omkostninger</v>
      </c>
      <c r="D103" s="18" t="str">
        <f>Model!O15</f>
        <v>tkr</v>
      </c>
      <c r="E103" s="22">
        <v>1099354.221690486</v>
      </c>
      <c r="F103" s="22">
        <v>1051970.3615553097</v>
      </c>
      <c r="G103" s="22">
        <v>1054848.9761717804</v>
      </c>
      <c r="H103" s="22">
        <v>1057677.4279393763</v>
      </c>
      <c r="I103" s="22">
        <v>1060457.236944427</v>
      </c>
      <c r="J103" s="22">
        <v>1063189.8624698089</v>
      </c>
      <c r="K103" s="22">
        <v>1065876.7060050168</v>
      </c>
      <c r="L103" s="22">
        <v>1068519.1140791739</v>
      </c>
      <c r="M103" s="22">
        <v>1071118.3809290098</v>
      </c>
      <c r="N103" s="22">
        <v>1073675.7510129178</v>
      </c>
      <c r="O103" s="22">
        <v>1076192.4213813539</v>
      </c>
      <c r="P103" s="22">
        <v>1078669.5439130571</v>
      </c>
      <c r="Q103" s="22">
        <v>1081108.22742588</v>
      </c>
      <c r="R103" s="22">
        <v>1083509.5396703472</v>
      </c>
      <c r="S103" s="22">
        <v>1085874.5092134776</v>
      </c>
      <c r="T103" s="22">
        <v>1088204.127219853</v>
      </c>
      <c r="U103" s="22">
        <v>1090499.3491364126</v>
      </c>
      <c r="V103" s="22">
        <v>1092761.0962869911</v>
      </c>
      <c r="W103" s="22">
        <v>1094990.2573821894</v>
      </c>
      <c r="X103" s="22">
        <v>1097187.6899497809</v>
      </c>
      <c r="Y103" s="22">
        <v>1099354.221690486</v>
      </c>
    </row>
    <row r="104" spans="1:26" x14ac:dyDescent="0.25">
      <c r="C104" s="18" t="str">
        <f>Model!N16</f>
        <v>Affaldvarme-afgift</v>
      </c>
      <c r="D104" s="18" t="str">
        <f>Model!O16</f>
        <v>tkr</v>
      </c>
      <c r="E104" s="22">
        <v>2229120</v>
      </c>
      <c r="F104" s="22">
        <v>2229120</v>
      </c>
      <c r="G104" s="22">
        <v>2229120</v>
      </c>
      <c r="H104" s="22">
        <v>2229120</v>
      </c>
      <c r="I104" s="22">
        <v>2229120</v>
      </c>
      <c r="J104" s="22">
        <v>2229120</v>
      </c>
      <c r="K104" s="22">
        <v>2229120</v>
      </c>
      <c r="L104" s="22">
        <v>2229120</v>
      </c>
      <c r="M104" s="22">
        <v>2229120</v>
      </c>
      <c r="N104" s="22">
        <v>2229120</v>
      </c>
      <c r="O104" s="22">
        <v>2229120</v>
      </c>
      <c r="P104" s="22">
        <v>2229120</v>
      </c>
      <c r="Q104" s="22">
        <v>2229120</v>
      </c>
      <c r="R104" s="22">
        <v>2229120</v>
      </c>
      <c r="S104" s="22">
        <v>2229120</v>
      </c>
      <c r="T104" s="22">
        <v>2229120</v>
      </c>
      <c r="U104" s="22">
        <v>2229120</v>
      </c>
      <c r="V104" s="22">
        <v>2229120</v>
      </c>
      <c r="W104" s="22">
        <v>2229120</v>
      </c>
      <c r="X104" s="22">
        <v>2229120</v>
      </c>
      <c r="Y104" s="22">
        <v>2229120</v>
      </c>
    </row>
    <row r="105" spans="1:26" x14ac:dyDescent="0.25">
      <c r="C105" s="18" t="str">
        <f>Model!N17</f>
        <v>Tillægsafgift</v>
      </c>
      <c r="D105" s="18" t="str">
        <f>Model!O17</f>
        <v>tkr</v>
      </c>
      <c r="E105" s="23">
        <v>2005938.0181097561</v>
      </c>
      <c r="F105" s="23">
        <v>2005938.0181097561</v>
      </c>
      <c r="G105" s="23">
        <v>2005938.0181097561</v>
      </c>
      <c r="H105" s="23">
        <v>2005938.0181097561</v>
      </c>
      <c r="I105" s="23">
        <v>2005938.0181097561</v>
      </c>
      <c r="J105" s="23">
        <v>2005938.0181097561</v>
      </c>
      <c r="K105" s="23">
        <v>2005938.0181097561</v>
      </c>
      <c r="L105" s="23">
        <v>2005938.0181097561</v>
      </c>
      <c r="M105" s="23">
        <v>2005938.0181097561</v>
      </c>
      <c r="N105" s="23">
        <v>2005938.0181097561</v>
      </c>
      <c r="O105" s="23">
        <v>2005938.0181097561</v>
      </c>
      <c r="P105" s="23">
        <v>2005938.0181097561</v>
      </c>
      <c r="Q105" s="23">
        <v>2005938.0181097561</v>
      </c>
      <c r="R105" s="23">
        <v>2005938.0181097561</v>
      </c>
      <c r="S105" s="23">
        <v>2005938.0181097561</v>
      </c>
      <c r="T105" s="23">
        <v>2005938.0181097561</v>
      </c>
      <c r="U105" s="23">
        <v>2005938.0181097561</v>
      </c>
      <c r="V105" s="23">
        <v>2005938.0181097561</v>
      </c>
      <c r="W105" s="23">
        <v>2005938.0181097561</v>
      </c>
      <c r="X105" s="23">
        <v>2005938.0181097561</v>
      </c>
      <c r="Y105" s="23">
        <v>2005938.0181097561</v>
      </c>
    </row>
    <row r="106" spans="1:26" x14ac:dyDescent="0.25">
      <c r="C106" s="18" t="str">
        <f>Model!N18</f>
        <v>CO2-afgift</v>
      </c>
      <c r="D106" s="18" t="str">
        <f>Model!O18</f>
        <v>tkr</v>
      </c>
      <c r="E106" s="23">
        <v>416610.61762911582</v>
      </c>
      <c r="F106" s="23">
        <v>416610.61762911582</v>
      </c>
      <c r="G106" s="23">
        <v>416610.61762911582</v>
      </c>
      <c r="H106" s="23">
        <v>416610.61762911582</v>
      </c>
      <c r="I106" s="23">
        <v>416610.61762911582</v>
      </c>
      <c r="J106" s="23">
        <v>416610.61762911582</v>
      </c>
      <c r="K106" s="23">
        <v>416610.61762911582</v>
      </c>
      <c r="L106" s="23">
        <v>416610.61762911582</v>
      </c>
      <c r="M106" s="23">
        <v>416610.61762911582</v>
      </c>
      <c r="N106" s="23">
        <v>416610.61762911582</v>
      </c>
      <c r="O106" s="23">
        <v>416610.61762911582</v>
      </c>
      <c r="P106" s="23">
        <v>416610.61762911582</v>
      </c>
      <c r="Q106" s="23">
        <v>416610.61762911582</v>
      </c>
      <c r="R106" s="23">
        <v>416610.61762911582</v>
      </c>
      <c r="S106" s="23">
        <v>416610.61762911582</v>
      </c>
      <c r="T106" s="23">
        <v>416610.61762911582</v>
      </c>
      <c r="U106" s="23">
        <v>416610.61762911582</v>
      </c>
      <c r="V106" s="23">
        <v>416610.61762911582</v>
      </c>
      <c r="W106" s="23">
        <v>416610.61762911582</v>
      </c>
      <c r="X106" s="23">
        <v>416610.61762911582</v>
      </c>
      <c r="Y106" s="23">
        <v>416610.61762911582</v>
      </c>
    </row>
    <row r="107" spans="1:26" x14ac:dyDescent="0.25">
      <c r="C107" s="18" t="str">
        <f>Model!N19</f>
        <v>Kvote-omkostning</v>
      </c>
      <c r="D107" s="18" t="str">
        <f>Model!O19</f>
        <v>tkr</v>
      </c>
      <c r="E107" s="23">
        <v>1820171.9042282121</v>
      </c>
      <c r="F107" s="23">
        <v>2149088.103615189</v>
      </c>
      <c r="G107" s="23">
        <v>2128564.3038704782</v>
      </c>
      <c r="H107" s="23">
        <v>2108459.3571817814</v>
      </c>
      <c r="I107" s="23">
        <v>2088760.5710322505</v>
      </c>
      <c r="J107" s="23">
        <v>2069455.7606057106</v>
      </c>
      <c r="K107" s="23">
        <v>2050533.2236529631</v>
      </c>
      <c r="L107" s="23">
        <v>2031981.7168365442</v>
      </c>
      <c r="M107" s="23">
        <v>2013790.4334534537</v>
      </c>
      <c r="N107" s="23">
        <v>1995948.9824431147</v>
      </c>
      <c r="O107" s="23">
        <v>1978447.3685948777</v>
      </c>
      <c r="P107" s="23">
        <v>1961275.9738758523</v>
      </c>
      <c r="Q107" s="23">
        <v>1944425.5398057813</v>
      </c>
      <c r="R107" s="23">
        <v>1927887.150811082</v>
      </c>
      <c r="S107" s="23">
        <v>1911652.2184951839</v>
      </c>
      <c r="T107" s="23">
        <v>1895712.466766848</v>
      </c>
      <c r="U107" s="23">
        <v>1880059.9177723557</v>
      </c>
      <c r="V107" s="23">
        <v>1864686.8785813369</v>
      </c>
      <c r="W107" s="23">
        <v>1849585.9285795393</v>
      </c>
      <c r="X107" s="23">
        <v>1834749.907525142</v>
      </c>
      <c r="Y107" s="23">
        <v>1820171.9042282121</v>
      </c>
    </row>
    <row r="108" spans="1:26" x14ac:dyDescent="0.25">
      <c r="C108" s="18"/>
      <c r="D108" s="18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</row>
    <row r="109" spans="1:26" x14ac:dyDescent="0.25">
      <c r="C109" s="9" t="str">
        <f>Model!N21</f>
        <v>Varmemængder:</v>
      </c>
      <c r="D109" s="7"/>
      <c r="E109" s="19"/>
      <c r="F109" s="19"/>
      <c r="G109" s="19"/>
      <c r="H109" s="19"/>
      <c r="I109" s="19"/>
      <c r="J109" s="19"/>
      <c r="K109" s="19"/>
      <c r="L109" s="19"/>
      <c r="M109" s="19"/>
      <c r="N109" s="19"/>
      <c r="O109" s="19"/>
      <c r="P109" s="19"/>
      <c r="Q109" s="19"/>
      <c r="R109" s="19"/>
      <c r="S109" s="19"/>
      <c r="T109" s="19"/>
      <c r="U109" s="19"/>
      <c r="V109" s="19"/>
      <c r="W109" s="19"/>
      <c r="X109" s="19"/>
      <c r="Y109" s="19"/>
    </row>
    <row r="110" spans="1:26" x14ac:dyDescent="0.25">
      <c r="C110" s="7" t="str">
        <f>Model!N22</f>
        <v>Varmeproduktion Ovn2</v>
      </c>
      <c r="D110" s="7" t="str">
        <f>Model!O22</f>
        <v>MWhq</v>
      </c>
      <c r="E110" s="16">
        <v>3168</v>
      </c>
      <c r="F110" s="16">
        <v>7055.4000000000015</v>
      </c>
      <c r="G110" s="16">
        <v>6850.7999999999993</v>
      </c>
      <c r="H110" s="16">
        <v>6646.2000000000007</v>
      </c>
      <c r="I110" s="16">
        <v>6441.5999999999985</v>
      </c>
      <c r="J110" s="16">
        <v>6237</v>
      </c>
      <c r="K110" s="16">
        <v>6032.4000000000015</v>
      </c>
      <c r="L110" s="16">
        <v>5827.7999999999993</v>
      </c>
      <c r="M110" s="16">
        <v>5623.2000000000007</v>
      </c>
      <c r="N110" s="16">
        <v>5418.5999999999985</v>
      </c>
      <c r="O110" s="16">
        <v>5214</v>
      </c>
      <c r="P110" s="16">
        <v>5009.4000000000015</v>
      </c>
      <c r="Q110" s="16">
        <v>4804.7999999999993</v>
      </c>
      <c r="R110" s="16">
        <v>4600.2000000000007</v>
      </c>
      <c r="S110" s="16">
        <v>4395.5999999999985</v>
      </c>
      <c r="T110" s="16">
        <v>4191</v>
      </c>
      <c r="U110" s="16">
        <v>3986.4000000000015</v>
      </c>
      <c r="V110" s="16">
        <v>3781.7999999999993</v>
      </c>
      <c r="W110" s="16">
        <v>3577.2000000000007</v>
      </c>
      <c r="X110" s="16">
        <v>3372.5999999999985</v>
      </c>
      <c r="Y110" s="16">
        <v>3168</v>
      </c>
      <c r="Z110" s="23"/>
    </row>
    <row r="111" spans="1:26" x14ac:dyDescent="0.25">
      <c r="C111" s="7" t="str">
        <f>Model!N23</f>
        <v>Varmeproduktion Ovn3</v>
      </c>
      <c r="D111" s="7" t="str">
        <f>Model!O23</f>
        <v>MWhq</v>
      </c>
      <c r="E111" s="16">
        <v>20832</v>
      </c>
      <c r="F111" s="16">
        <v>16944.599999999999</v>
      </c>
      <c r="G111" s="16">
        <v>17149.2</v>
      </c>
      <c r="H111" s="16">
        <v>17353.8</v>
      </c>
      <c r="I111" s="16">
        <v>17558.400000000001</v>
      </c>
      <c r="J111" s="16">
        <v>17763</v>
      </c>
      <c r="K111" s="16">
        <v>17967.599999999999</v>
      </c>
      <c r="L111" s="16">
        <v>18172.2</v>
      </c>
      <c r="M111" s="16">
        <v>18376.8</v>
      </c>
      <c r="N111" s="16">
        <v>18581.400000000001</v>
      </c>
      <c r="O111" s="16">
        <v>18786</v>
      </c>
      <c r="P111" s="16">
        <v>18990.599999999999</v>
      </c>
      <c r="Q111" s="16">
        <v>19195.2</v>
      </c>
      <c r="R111" s="16">
        <v>19399.8</v>
      </c>
      <c r="S111" s="16">
        <v>19604.400000000001</v>
      </c>
      <c r="T111" s="16">
        <v>19809</v>
      </c>
      <c r="U111" s="16">
        <v>20013.599999999999</v>
      </c>
      <c r="V111" s="16">
        <v>20218.2</v>
      </c>
      <c r="W111" s="16">
        <v>20422.8</v>
      </c>
      <c r="X111" s="16">
        <v>20627.400000000001</v>
      </c>
      <c r="Y111" s="16">
        <v>20832</v>
      </c>
      <c r="Z111" s="23"/>
    </row>
    <row r="112" spans="1:26" x14ac:dyDescent="0.25">
      <c r="A112" s="49"/>
      <c r="B112" s="49"/>
      <c r="C112" s="7" t="str">
        <f>Model!N24</f>
        <v>Heraf RGK-varme</v>
      </c>
      <c r="D112" s="7" t="str">
        <f>Model!O24</f>
        <v>MWhq</v>
      </c>
      <c r="E112" s="16">
        <v>5031.4221690485911</v>
      </c>
      <c r="F112" s="16">
        <v>293.03615553098348</v>
      </c>
      <c r="G112" s="16">
        <v>580.89761717804538</v>
      </c>
      <c r="H112" s="16">
        <v>863.74279393763243</v>
      </c>
      <c r="I112" s="16">
        <v>1141.7236944426982</v>
      </c>
      <c r="J112" s="16">
        <v>1414.9862469808784</v>
      </c>
      <c r="K112" s="16">
        <v>1683.6706005016847</v>
      </c>
      <c r="L112" s="16">
        <v>1947.9114079173924</v>
      </c>
      <c r="M112" s="16">
        <v>2207.8380929009663</v>
      </c>
      <c r="N112" s="16">
        <v>2463.5751012917935</v>
      </c>
      <c r="O112" s="16">
        <v>2715.242138135382</v>
      </c>
      <c r="P112" s="16">
        <v>2962.95439130571</v>
      </c>
      <c r="Q112" s="16">
        <v>3206.8227425880104</v>
      </c>
      <c r="R112" s="16">
        <v>3446.9539670347258</v>
      </c>
      <c r="S112" s="16">
        <v>3683.4509213477545</v>
      </c>
      <c r="T112" s="16">
        <v>3916.4127219852894</v>
      </c>
      <c r="U112" s="16">
        <v>4145.9349136412611</v>
      </c>
      <c r="V112" s="16">
        <v>4372.1096286991033</v>
      </c>
      <c r="W112" s="16">
        <v>4595.0257382189448</v>
      </c>
      <c r="X112" s="16">
        <v>4814.7689949781015</v>
      </c>
      <c r="Y112" s="16">
        <v>5031.4221690485911</v>
      </c>
      <c r="Z112" s="23"/>
    </row>
    <row r="113" spans="1:26" x14ac:dyDescent="0.25">
      <c r="C113" s="7" t="str">
        <f>Model!N25</f>
        <v>Bortkølet varme</v>
      </c>
      <c r="D113" s="7" t="str">
        <f>Model!O25</f>
        <v>MWhq</v>
      </c>
      <c r="E113" s="16">
        <v>0</v>
      </c>
      <c r="F113" s="16">
        <v>0</v>
      </c>
      <c r="G113" s="16">
        <v>0</v>
      </c>
      <c r="H113" s="16">
        <v>0</v>
      </c>
      <c r="I113" s="16">
        <v>0</v>
      </c>
      <c r="J113" s="16">
        <v>0</v>
      </c>
      <c r="K113" s="16">
        <v>0</v>
      </c>
      <c r="L113" s="16">
        <v>0</v>
      </c>
      <c r="M113" s="16">
        <v>0</v>
      </c>
      <c r="N113" s="16">
        <v>0</v>
      </c>
      <c r="O113" s="16">
        <v>0</v>
      </c>
      <c r="P113" s="16">
        <v>0</v>
      </c>
      <c r="Q113" s="16">
        <v>0</v>
      </c>
      <c r="R113" s="16">
        <v>0</v>
      </c>
      <c r="S113" s="16">
        <v>0</v>
      </c>
      <c r="T113" s="16">
        <v>0</v>
      </c>
      <c r="U113" s="16">
        <v>0</v>
      </c>
      <c r="V113" s="16">
        <v>0</v>
      </c>
      <c r="W113" s="16">
        <v>0</v>
      </c>
      <c r="X113" s="16">
        <v>0</v>
      </c>
      <c r="Y113" s="16">
        <v>0</v>
      </c>
      <c r="Z113" s="19"/>
    </row>
    <row r="114" spans="1:26" x14ac:dyDescent="0.25">
      <c r="C114" s="7" t="str">
        <f>Model!N26</f>
        <v>Leveret varme</v>
      </c>
      <c r="D114" s="7" t="str">
        <f>Model!O26</f>
        <v>MWhq</v>
      </c>
      <c r="E114" s="16">
        <v>24000</v>
      </c>
      <c r="F114" s="16">
        <v>24000</v>
      </c>
      <c r="G114" s="16">
        <v>24000</v>
      </c>
      <c r="H114" s="16">
        <v>24000</v>
      </c>
      <c r="I114" s="16">
        <v>24000</v>
      </c>
      <c r="J114" s="16">
        <v>24000</v>
      </c>
      <c r="K114" s="16">
        <v>24000</v>
      </c>
      <c r="L114" s="16">
        <v>24000</v>
      </c>
      <c r="M114" s="16">
        <v>24000</v>
      </c>
      <c r="N114" s="16">
        <v>24000</v>
      </c>
      <c r="O114" s="16">
        <v>24000</v>
      </c>
      <c r="P114" s="16">
        <v>24000</v>
      </c>
      <c r="Q114" s="16">
        <v>24000</v>
      </c>
      <c r="R114" s="16">
        <v>24000</v>
      </c>
      <c r="S114" s="16">
        <v>24000</v>
      </c>
      <c r="T114" s="16">
        <v>24000</v>
      </c>
      <c r="U114" s="16">
        <v>24000</v>
      </c>
      <c r="V114" s="16">
        <v>24000</v>
      </c>
      <c r="W114" s="16">
        <v>24000</v>
      </c>
      <c r="X114" s="16">
        <v>24000</v>
      </c>
      <c r="Y114" s="16">
        <v>24000</v>
      </c>
      <c r="Z114" s="22"/>
    </row>
    <row r="115" spans="1:26" x14ac:dyDescent="0.25">
      <c r="C115" s="7" t="str">
        <f>Model!N27</f>
        <v>Spidslastvarme</v>
      </c>
      <c r="D115" s="7" t="str">
        <f>Model!O27</f>
        <v>MWhq</v>
      </c>
      <c r="E115" s="16">
        <v>4000</v>
      </c>
      <c r="F115" s="16">
        <v>4000</v>
      </c>
      <c r="G115" s="16">
        <v>4000</v>
      </c>
      <c r="H115" s="16">
        <v>4000</v>
      </c>
      <c r="I115" s="16">
        <v>4000</v>
      </c>
      <c r="J115" s="16">
        <v>4000</v>
      </c>
      <c r="K115" s="16">
        <v>4000</v>
      </c>
      <c r="L115" s="16">
        <v>4000</v>
      </c>
      <c r="M115" s="16">
        <v>4000</v>
      </c>
      <c r="N115" s="16">
        <v>4000</v>
      </c>
      <c r="O115" s="16">
        <v>4000</v>
      </c>
      <c r="P115" s="16">
        <v>4000</v>
      </c>
      <c r="Q115" s="16">
        <v>4000</v>
      </c>
      <c r="R115" s="16">
        <v>4000</v>
      </c>
      <c r="S115" s="16">
        <v>4000</v>
      </c>
      <c r="T115" s="16">
        <v>4000</v>
      </c>
      <c r="U115" s="16">
        <v>4000</v>
      </c>
      <c r="V115" s="16">
        <v>4000</v>
      </c>
      <c r="W115" s="16">
        <v>4000</v>
      </c>
      <c r="X115" s="16">
        <v>4000</v>
      </c>
      <c r="Y115" s="16">
        <v>4000</v>
      </c>
      <c r="Z115" s="22"/>
    </row>
    <row r="116" spans="1:26" x14ac:dyDescent="0.25">
      <c r="C116" s="7"/>
      <c r="D116" s="7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2"/>
    </row>
    <row r="117" spans="1:26" x14ac:dyDescent="0.25">
      <c r="A117" s="49"/>
      <c r="B117" s="49"/>
      <c r="C117" s="9" t="str">
        <f>Model!N29</f>
        <v>Brændselsmængder:</v>
      </c>
      <c r="D117" s="7"/>
      <c r="E117" s="16"/>
      <c r="F117" s="16"/>
      <c r="G117" s="16"/>
      <c r="H117" s="16"/>
      <c r="I117" s="16"/>
      <c r="J117" s="16"/>
      <c r="K117" s="16"/>
      <c r="L117" s="16"/>
      <c r="M117" s="16"/>
      <c r="N117" s="16"/>
      <c r="O117" s="16"/>
      <c r="P117" s="16"/>
      <c r="Q117" s="16"/>
      <c r="R117" s="16"/>
      <c r="S117" s="16"/>
      <c r="T117" s="16"/>
      <c r="U117" s="16"/>
      <c r="V117" s="16"/>
      <c r="W117" s="16"/>
      <c r="X117" s="16"/>
      <c r="Y117" s="16"/>
      <c r="Z117" s="22"/>
    </row>
    <row r="118" spans="1:26" x14ac:dyDescent="0.25">
      <c r="C118" s="7" t="str">
        <f>Model!N30</f>
        <v>Affaldsforbrug Ovn3</v>
      </c>
      <c r="D118" s="7" t="str">
        <f>Model!O30</f>
        <v>ton</v>
      </c>
      <c r="E118" s="16">
        <v>9006.456241033</v>
      </c>
      <c r="F118" s="16">
        <v>9006.4562410329982</v>
      </c>
      <c r="G118" s="16">
        <v>9006.456241033</v>
      </c>
      <c r="H118" s="16">
        <v>9006.4562410329982</v>
      </c>
      <c r="I118" s="16">
        <v>9006.456241033</v>
      </c>
      <c r="J118" s="16">
        <v>9006.456241033</v>
      </c>
      <c r="K118" s="16">
        <v>9006.456241033</v>
      </c>
      <c r="L118" s="16">
        <v>9006.456241033</v>
      </c>
      <c r="M118" s="16">
        <v>9006.456241033</v>
      </c>
      <c r="N118" s="16">
        <v>9006.456241033</v>
      </c>
      <c r="O118" s="16">
        <v>9006.456241033</v>
      </c>
      <c r="P118" s="16">
        <v>9006.4562410329982</v>
      </c>
      <c r="Q118" s="16">
        <v>9006.456241033</v>
      </c>
      <c r="R118" s="16">
        <v>9006.456241033</v>
      </c>
      <c r="S118" s="16">
        <v>9006.456241033</v>
      </c>
      <c r="T118" s="16">
        <v>9006.456241033</v>
      </c>
      <c r="U118" s="16">
        <v>9006.456241033</v>
      </c>
      <c r="V118" s="16">
        <v>9006.456241033</v>
      </c>
      <c r="W118" s="16">
        <v>9006.456241033</v>
      </c>
      <c r="X118" s="16">
        <v>9006.456241033</v>
      </c>
      <c r="Y118" s="16">
        <v>9006.456241033</v>
      </c>
      <c r="Z118" s="23"/>
    </row>
    <row r="119" spans="1:26" x14ac:dyDescent="0.25">
      <c r="C119" s="7" t="str">
        <f>Model!N31</f>
        <v>Nordic Sugar varme</v>
      </c>
      <c r="D119" s="7" t="str">
        <f>Model!O31</f>
        <v>MWhq</v>
      </c>
      <c r="E119" s="16">
        <v>4000</v>
      </c>
      <c r="F119" s="16">
        <v>4000</v>
      </c>
      <c r="G119" s="16">
        <v>4000</v>
      </c>
      <c r="H119" s="16">
        <v>4000</v>
      </c>
      <c r="I119" s="16">
        <v>4000</v>
      </c>
      <c r="J119" s="16">
        <v>4000</v>
      </c>
      <c r="K119" s="16">
        <v>4000</v>
      </c>
      <c r="L119" s="16">
        <v>4000</v>
      </c>
      <c r="M119" s="16">
        <v>4000</v>
      </c>
      <c r="N119" s="16">
        <v>4000</v>
      </c>
      <c r="O119" s="16">
        <v>4000</v>
      </c>
      <c r="P119" s="16">
        <v>4000</v>
      </c>
      <c r="Q119" s="16">
        <v>4000</v>
      </c>
      <c r="R119" s="16">
        <v>4000</v>
      </c>
      <c r="S119" s="16">
        <v>4000</v>
      </c>
      <c r="T119" s="16">
        <v>4000</v>
      </c>
      <c r="U119" s="16">
        <v>4000</v>
      </c>
      <c r="V119" s="16">
        <v>4000</v>
      </c>
      <c r="W119" s="16">
        <v>4000</v>
      </c>
      <c r="X119" s="16">
        <v>4000</v>
      </c>
      <c r="Y119" s="16">
        <v>4000</v>
      </c>
      <c r="Z119" s="23"/>
    </row>
    <row r="120" spans="1:26" x14ac:dyDescent="0.25">
      <c r="C120" s="7" t="str">
        <f>Model!N32</f>
        <v>Affaldsforbrug Ovn2</v>
      </c>
      <c r="D120" s="7" t="str">
        <f>Model!O32</f>
        <v>ton</v>
      </c>
      <c r="E120" s="16">
        <v>1094.3867347062462</v>
      </c>
      <c r="F120" s="16">
        <v>2919.670860050182</v>
      </c>
      <c r="G120" s="16">
        <v>2805.7762998686553</v>
      </c>
      <c r="H120" s="16">
        <v>2694.2061184663444</v>
      </c>
      <c r="I120" s="16">
        <v>2584.8898801226651</v>
      </c>
      <c r="J120" s="16">
        <v>2477.7599665458606</v>
      </c>
      <c r="K120" s="16">
        <v>2372.751437396319</v>
      </c>
      <c r="L120" s="16">
        <v>2269.8018990144151</v>
      </c>
      <c r="M120" s="16">
        <v>2168.8513807952672</v>
      </c>
      <c r="N120" s="16">
        <v>2069.8422186957168</v>
      </c>
      <c r="O120" s="16">
        <v>1972.7189453980645</v>
      </c>
      <c r="P120" s="16">
        <v>1877.4281866909339</v>
      </c>
      <c r="Q120" s="16">
        <v>1783.9185636605707</v>
      </c>
      <c r="R120" s="16">
        <v>1692.1406003159564</v>
      </c>
      <c r="S120" s="16">
        <v>1602.0466362987647</v>
      </c>
      <c r="T120" s="16">
        <v>1513.5907443546141</v>
      </c>
      <c r="U120" s="16">
        <v>1426.728652265313</v>
      </c>
      <c r="V120" s="16">
        <v>1341.41766896332</v>
      </c>
      <c r="W120" s="16">
        <v>1257.6166145693278</v>
      </c>
      <c r="X120" s="16">
        <v>1175.2857541120711</v>
      </c>
      <c r="Y120" s="16">
        <v>1094.3867347062462</v>
      </c>
      <c r="Z120" s="22"/>
    </row>
    <row r="121" spans="1:26" x14ac:dyDescent="0.25">
      <c r="C121" s="7" t="str">
        <f>Model!N33</f>
        <v>Affaldsforbrug kølevarme Ovn3</v>
      </c>
      <c r="D121" s="7" t="str">
        <f>Model!O33</f>
        <v>ton</v>
      </c>
      <c r="E121" s="16">
        <v>0</v>
      </c>
      <c r="F121" s="16">
        <v>0</v>
      </c>
      <c r="G121" s="16">
        <v>0</v>
      </c>
      <c r="H121" s="16">
        <v>0</v>
      </c>
      <c r="I121" s="16">
        <v>0</v>
      </c>
      <c r="J121" s="16">
        <v>0</v>
      </c>
      <c r="K121" s="16">
        <v>0</v>
      </c>
      <c r="L121" s="16">
        <v>0</v>
      </c>
      <c r="M121" s="16">
        <v>0</v>
      </c>
      <c r="N121" s="16">
        <v>0</v>
      </c>
      <c r="O121" s="16">
        <v>0</v>
      </c>
      <c r="P121" s="16">
        <v>0</v>
      </c>
      <c r="Q121" s="16">
        <v>0</v>
      </c>
      <c r="R121" s="16">
        <v>0</v>
      </c>
      <c r="S121" s="16">
        <v>0</v>
      </c>
      <c r="T121" s="16">
        <v>0</v>
      </c>
      <c r="U121" s="16">
        <v>0</v>
      </c>
      <c r="V121" s="16">
        <v>0</v>
      </c>
      <c r="W121" s="16">
        <v>0</v>
      </c>
      <c r="X121" s="16">
        <v>0</v>
      </c>
      <c r="Y121" s="16">
        <v>0</v>
      </c>
      <c r="Z121" s="22"/>
    </row>
    <row r="122" spans="1:26" x14ac:dyDescent="0.25">
      <c r="C122" s="7" t="str">
        <f>Model!N34</f>
        <v>Affaldsforbrug kølevarme Ovn2</v>
      </c>
      <c r="D122" s="7" t="str">
        <f>Model!O34</f>
        <v>ton</v>
      </c>
      <c r="E122" s="16">
        <v>0</v>
      </c>
      <c r="F122" s="16">
        <v>0</v>
      </c>
      <c r="G122" s="16">
        <v>0</v>
      </c>
      <c r="H122" s="16">
        <v>0</v>
      </c>
      <c r="I122" s="16">
        <v>0</v>
      </c>
      <c r="J122" s="16">
        <v>0</v>
      </c>
      <c r="K122" s="16">
        <v>0</v>
      </c>
      <c r="L122" s="16">
        <v>0</v>
      </c>
      <c r="M122" s="16">
        <v>0</v>
      </c>
      <c r="N122" s="16">
        <v>0</v>
      </c>
      <c r="O122" s="16">
        <v>0</v>
      </c>
      <c r="P122" s="16">
        <v>0</v>
      </c>
      <c r="Q122" s="16">
        <v>0</v>
      </c>
      <c r="R122" s="16">
        <v>0</v>
      </c>
      <c r="S122" s="16">
        <v>0</v>
      </c>
      <c r="T122" s="16">
        <v>0</v>
      </c>
      <c r="U122" s="16">
        <v>0</v>
      </c>
      <c r="V122" s="16">
        <v>0</v>
      </c>
      <c r="W122" s="16">
        <v>0</v>
      </c>
      <c r="X122" s="16">
        <v>0</v>
      </c>
      <c r="Y122" s="16">
        <v>0</v>
      </c>
      <c r="Z122" s="23"/>
    </row>
    <row r="123" spans="1:26" x14ac:dyDescent="0.25">
      <c r="C123" s="7" t="str">
        <f>Model!N35</f>
        <v>Udnyttet affald</v>
      </c>
      <c r="D123" s="7" t="str">
        <f>Model!O35</f>
        <v>ton</v>
      </c>
      <c r="E123" s="16">
        <v>10100.842975739246</v>
      </c>
      <c r="F123" s="16">
        <v>11926.127101083181</v>
      </c>
      <c r="G123" s="16">
        <v>11812.232540901656</v>
      </c>
      <c r="H123" s="16">
        <v>11700.662359499343</v>
      </c>
      <c r="I123" s="16">
        <v>11591.346121155664</v>
      </c>
      <c r="J123" s="16">
        <v>11484.21620757886</v>
      </c>
      <c r="K123" s="16">
        <v>11379.207678429319</v>
      </c>
      <c r="L123" s="16">
        <v>11276.258140047416</v>
      </c>
      <c r="M123" s="16">
        <v>11175.307621828268</v>
      </c>
      <c r="N123" s="16">
        <v>11076.298459728718</v>
      </c>
      <c r="O123" s="16">
        <v>10979.175186431065</v>
      </c>
      <c r="P123" s="16">
        <v>10883.884427723931</v>
      </c>
      <c r="Q123" s="16">
        <v>10790.374804693571</v>
      </c>
      <c r="R123" s="16">
        <v>10698.596841348957</v>
      </c>
      <c r="S123" s="16">
        <v>10608.502877331764</v>
      </c>
      <c r="T123" s="16">
        <v>10520.046985387615</v>
      </c>
      <c r="U123" s="16">
        <v>10433.184893298312</v>
      </c>
      <c r="V123" s="16">
        <v>10347.87390999632</v>
      </c>
      <c r="W123" s="16">
        <v>10264.072855602328</v>
      </c>
      <c r="X123" s="16">
        <v>10181.741995145072</v>
      </c>
      <c r="Y123" s="16">
        <v>10100.842975739246</v>
      </c>
      <c r="Z123" s="23"/>
    </row>
    <row r="124" spans="1:26" x14ac:dyDescent="0.25">
      <c r="A124" s="50"/>
      <c r="B124" s="50"/>
      <c r="C124" s="7" t="str">
        <f>Model!N36</f>
        <v>Ikke-udnyttet affald</v>
      </c>
      <c r="D124" s="7" t="str">
        <f>Model!O36</f>
        <v>ton</v>
      </c>
      <c r="E124" s="20">
        <v>1899.1570242607538</v>
      </c>
      <c r="F124" s="20">
        <v>73.87289891681985</v>
      </c>
      <c r="G124" s="20">
        <v>187.76745909834472</v>
      </c>
      <c r="H124" s="20">
        <v>299.33764050065747</v>
      </c>
      <c r="I124" s="20">
        <v>408.65387884433494</v>
      </c>
      <c r="J124" s="20">
        <v>515.78379242113942</v>
      </c>
      <c r="K124" s="20">
        <v>620.792321570681</v>
      </c>
      <c r="L124" s="20">
        <v>723.74185995258495</v>
      </c>
      <c r="M124" s="20">
        <v>824.6923781717328</v>
      </c>
      <c r="N124" s="20">
        <v>923.70154027128319</v>
      </c>
      <c r="O124" s="20">
        <v>1020.8248135689355</v>
      </c>
      <c r="P124" s="20">
        <v>1116.115572276068</v>
      </c>
      <c r="Q124" s="20">
        <v>1209.6251953064293</v>
      </c>
      <c r="R124" s="20">
        <v>1301.4031586510437</v>
      </c>
      <c r="S124" s="20">
        <v>1391.4971226682353</v>
      </c>
      <c r="T124" s="20">
        <v>1479.9530146123859</v>
      </c>
      <c r="U124" s="20">
        <v>1566.815106701687</v>
      </c>
      <c r="V124" s="20">
        <v>1652.12609000368</v>
      </c>
      <c r="W124" s="20">
        <v>1735.9271443976722</v>
      </c>
      <c r="X124" s="20">
        <v>1818.2580048549289</v>
      </c>
      <c r="Y124" s="20">
        <v>1899.1570242607538</v>
      </c>
      <c r="Z124" s="23"/>
    </row>
    <row r="125" spans="1:26" x14ac:dyDescent="0.25">
      <c r="A125" s="50"/>
      <c r="B125" s="50"/>
      <c r="D125" s="7"/>
      <c r="E125" s="16"/>
      <c r="F125" s="16"/>
      <c r="G125" s="16"/>
      <c r="H125" s="16"/>
      <c r="I125" s="16"/>
      <c r="J125" s="16"/>
      <c r="K125" s="16"/>
      <c r="L125" s="16"/>
      <c r="M125" s="16"/>
      <c r="N125" s="16"/>
      <c r="O125" s="16"/>
      <c r="P125" s="16"/>
      <c r="Q125" s="16"/>
      <c r="R125" s="16"/>
      <c r="S125" s="16"/>
      <c r="T125" s="16"/>
      <c r="U125" s="16"/>
      <c r="V125" s="16"/>
      <c r="W125" s="16"/>
      <c r="X125" s="16"/>
      <c r="Y125" s="16"/>
      <c r="Z125" s="23"/>
    </row>
    <row r="126" spans="1:26" x14ac:dyDescent="0.25">
      <c r="C126" s="9" t="str">
        <f>Model!N38</f>
        <v>Kapacitetsudnyttelse:</v>
      </c>
      <c r="D126" s="7"/>
      <c r="E126" s="16"/>
      <c r="F126" s="16"/>
      <c r="G126" s="16"/>
      <c r="H126" s="16"/>
      <c r="I126" s="16"/>
      <c r="J126" s="16"/>
      <c r="K126" s="16"/>
      <c r="L126" s="16"/>
      <c r="M126" s="16"/>
      <c r="N126" s="16"/>
      <c r="O126" s="16"/>
      <c r="P126" s="16"/>
      <c r="Q126" s="16"/>
      <c r="R126" s="16"/>
      <c r="S126" s="16"/>
      <c r="T126" s="16"/>
      <c r="U126" s="16"/>
      <c r="V126" s="16"/>
      <c r="W126" s="16"/>
      <c r="X126" s="16"/>
      <c r="Y126" s="16"/>
      <c r="Z126" s="19"/>
    </row>
    <row r="127" spans="1:26" x14ac:dyDescent="0.25">
      <c r="C127" s="7" t="str">
        <f>Model!N39</f>
        <v>Ovn3 tonnage</v>
      </c>
      <c r="D127" s="7">
        <f>Model!O39</f>
        <v>0</v>
      </c>
      <c r="E127" s="2">
        <v>1</v>
      </c>
      <c r="F127" s="2">
        <v>0.99999999999999978</v>
      </c>
      <c r="G127" s="2">
        <v>1</v>
      </c>
      <c r="H127" s="2">
        <v>0.99999999999999978</v>
      </c>
      <c r="I127" s="2">
        <v>1</v>
      </c>
      <c r="J127" s="2">
        <v>1</v>
      </c>
      <c r="K127" s="2">
        <v>1</v>
      </c>
      <c r="L127" s="2">
        <v>1</v>
      </c>
      <c r="M127" s="2">
        <v>1</v>
      </c>
      <c r="N127" s="2">
        <v>1</v>
      </c>
      <c r="O127" s="2">
        <v>1</v>
      </c>
      <c r="P127" s="2">
        <v>0.99999999999999978</v>
      </c>
      <c r="Q127" s="2">
        <v>1</v>
      </c>
      <c r="R127" s="2">
        <v>1</v>
      </c>
      <c r="S127" s="2">
        <v>1</v>
      </c>
      <c r="T127" s="2">
        <v>1</v>
      </c>
      <c r="U127" s="2">
        <v>1</v>
      </c>
      <c r="V127" s="2">
        <v>1</v>
      </c>
      <c r="W127" s="2">
        <v>1</v>
      </c>
      <c r="X127" s="2">
        <v>1</v>
      </c>
      <c r="Y127" s="2">
        <v>1</v>
      </c>
      <c r="Z127" s="16"/>
    </row>
    <row r="128" spans="1:26" x14ac:dyDescent="0.25">
      <c r="C128" s="7" t="str">
        <f>Model!N40</f>
        <v>Ovn2 tonnage</v>
      </c>
      <c r="D128" s="7">
        <f>Model!O40</f>
        <v>0</v>
      </c>
      <c r="E128" s="2">
        <v>0.3702664796633941</v>
      </c>
      <c r="F128" s="2">
        <v>0.98781922043010761</v>
      </c>
      <c r="G128" s="2">
        <v>0.94928500166278673</v>
      </c>
      <c r="H128" s="2">
        <v>0.91153719552337065</v>
      </c>
      <c r="I128" s="2">
        <v>0.87455197132616469</v>
      </c>
      <c r="J128" s="2">
        <v>0.83830645161290329</v>
      </c>
      <c r="K128" s="2">
        <v>0.80277866496327055</v>
      </c>
      <c r="L128" s="2">
        <v>0.76794750158127767</v>
      </c>
      <c r="M128" s="2">
        <v>0.7337926714688382</v>
      </c>
      <c r="N128" s="2">
        <v>0.70029466501240667</v>
      </c>
      <c r="O128" s="2">
        <v>0.66743471582181246</v>
      </c>
      <c r="P128" s="2">
        <v>0.63519476567255029</v>
      </c>
      <c r="Q128" s="2">
        <v>0.60355743141392815</v>
      </c>
      <c r="R128" s="2">
        <v>0.57250597371565126</v>
      </c>
      <c r="S128" s="2">
        <v>0.5420242675347734</v>
      </c>
      <c r="T128" s="2">
        <v>0.51209677419354838</v>
      </c>
      <c r="U128" s="2">
        <v>0.48270851496657963</v>
      </c>
      <c r="V128" s="2">
        <v>0.45384504608294923</v>
      </c>
      <c r="W128" s="2">
        <v>0.4254924350556667</v>
      </c>
      <c r="X128" s="2">
        <v>0.39763723825693248</v>
      </c>
      <c r="Y128" s="2">
        <v>0.3702664796633941</v>
      </c>
      <c r="Z128" s="16"/>
    </row>
    <row r="129" spans="1:26" x14ac:dyDescent="0.25">
      <c r="C129" s="7" t="str">
        <f>Model!N41</f>
        <v>Bortkøleanlæg varme</v>
      </c>
      <c r="D129" s="7">
        <f>Model!O41</f>
        <v>0</v>
      </c>
      <c r="E129" s="2">
        <v>0</v>
      </c>
      <c r="F129" s="2">
        <v>0</v>
      </c>
      <c r="G129" s="2">
        <v>0</v>
      </c>
      <c r="H129" s="2">
        <v>0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 s="2">
        <v>0</v>
      </c>
      <c r="O129" s="2">
        <v>0</v>
      </c>
      <c r="P129" s="2">
        <v>0</v>
      </c>
      <c r="Q129" s="2">
        <v>0</v>
      </c>
      <c r="R129" s="2">
        <v>0</v>
      </c>
      <c r="S129" s="2">
        <v>0</v>
      </c>
      <c r="T129" s="2">
        <v>0</v>
      </c>
      <c r="U129" s="2">
        <v>0</v>
      </c>
      <c r="V129" s="2">
        <v>0</v>
      </c>
      <c r="W129" s="2">
        <v>0</v>
      </c>
      <c r="X129" s="2">
        <v>0</v>
      </c>
      <c r="Y129" s="2">
        <v>0</v>
      </c>
      <c r="Z129" s="16"/>
    </row>
    <row r="130" spans="1:26" x14ac:dyDescent="0.25">
      <c r="Z130" s="16"/>
    </row>
    <row r="131" spans="1:26" x14ac:dyDescent="0.25">
      <c r="Z131" s="16"/>
    </row>
    <row r="132" spans="1:26" x14ac:dyDescent="0.25">
      <c r="A132" s="50"/>
      <c r="B132" s="50"/>
      <c r="Z132" s="16"/>
    </row>
    <row r="133" spans="1:26" x14ac:dyDescent="0.25">
      <c r="A133" s="50"/>
      <c r="B133" s="50"/>
      <c r="Z133" s="23"/>
    </row>
    <row r="134" spans="1:26" x14ac:dyDescent="0.25">
      <c r="Z134" s="16"/>
    </row>
    <row r="135" spans="1:26" x14ac:dyDescent="0.25">
      <c r="Z135" s="16"/>
    </row>
    <row r="136" spans="1:26" x14ac:dyDescent="0.25">
      <c r="Z136" s="16"/>
    </row>
    <row r="137" spans="1:26" x14ac:dyDescent="0.25">
      <c r="Z137" s="16"/>
    </row>
    <row r="138" spans="1:26" x14ac:dyDescent="0.25">
      <c r="Z138" s="16"/>
    </row>
    <row r="139" spans="1:26" x14ac:dyDescent="0.25">
      <c r="Z139" s="16"/>
    </row>
    <row r="140" spans="1:26" x14ac:dyDescent="0.25">
      <c r="Z140" s="16"/>
    </row>
    <row r="141" spans="1:26" x14ac:dyDescent="0.25">
      <c r="A141" s="50"/>
      <c r="B141" s="50"/>
      <c r="Z141" s="20"/>
    </row>
    <row r="142" spans="1:26" x14ac:dyDescent="0.25">
      <c r="A142" s="50"/>
      <c r="B142" s="50"/>
      <c r="Z142" s="16"/>
    </row>
    <row r="143" spans="1:26" x14ac:dyDescent="0.25">
      <c r="Z143" s="16"/>
    </row>
    <row r="144" spans="1:26" x14ac:dyDescent="0.25">
      <c r="Z144" s="2"/>
    </row>
    <row r="145" spans="26:26" x14ac:dyDescent="0.25">
      <c r="Z145" s="2"/>
    </row>
    <row r="146" spans="26:26" x14ac:dyDescent="0.25">
      <c r="Z146" s="2"/>
    </row>
  </sheetData>
  <phoneticPr fontId="14" type="noConversion"/>
  <conditionalFormatting sqref="E7:Y7">
    <cfRule type="cellIs" dxfId="5" priority="5" operator="greaterThan">
      <formula>0</formula>
    </cfRule>
  </conditionalFormatting>
  <conditionalFormatting sqref="D77:D86">
    <cfRule type="cellIs" dxfId="4" priority="4" operator="notEqual">
      <formula>0</formula>
    </cfRule>
  </conditionalFormatting>
  <conditionalFormatting sqref="D54:D73">
    <cfRule type="cellIs" dxfId="3" priority="3" operator="notEqual">
      <formula>0</formula>
    </cfRule>
  </conditionalFormatting>
  <conditionalFormatting sqref="B16:B35">
    <cfRule type="cellIs" dxfId="2" priority="2" operator="notEqual">
      <formula>0</formula>
    </cfRule>
  </conditionalFormatting>
  <conditionalFormatting sqref="B40:B49">
    <cfRule type="cellIs" dxfId="1" priority="1" operator="notEqual">
      <formula>0</formula>
    </cfRule>
  </conditionalFormatting>
  <dataValidations count="2">
    <dataValidation type="list" allowBlank="1" showInputMessage="1" showErrorMessage="1" sqref="A16:A33 A40:A49 C54:D73 C77:C87" xr:uid="{1E94A7E2-205B-4EB1-8F0B-15D4AD919DF3}">
      <formula1>ranResultNames</formula1>
    </dataValidation>
    <dataValidation type="list" allowBlank="1" showInputMessage="1" showErrorMessage="1" sqref="D77:D86 A39 C76" xr:uid="{FBD01BC9-266F-4D8F-923C-A8B4F04F245A}">
      <formula1>ranInputNames</formula1>
    </dataValidation>
  </dataValidations>
  <pageMargins left="0.7" right="0.7" top="0.75" bottom="0.75" header="0.3" footer="0.3"/>
  <pageSetup paperSize="9" orientation="portrait" r:id="rId1"/>
  <drawing r:id="rId2"/>
  <legacyDrawing r:id="rId3"/>
  <tableParts count="1">
    <tablePart r:id="rId4"/>
  </tableParts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xr2:uid="{FE03995E-3471-4356-8735-C83153B9720F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Scenarier!E127:Y127</xm:f>
              <xm:sqref>A143</xm:sqref>
            </x14:sparkline>
            <x14:sparkline>
              <xm:f>Scenarier!F127:Z127</xm:f>
              <xm:sqref>B143</xm:sqref>
            </x14:sparkline>
            <x14:sparkline>
              <xm:f>Scenarier!E128:Y128</xm:f>
              <xm:sqref>A144</xm:sqref>
            </x14:sparkline>
            <x14:sparkline>
              <xm:f>Scenarier!F128:Z128</xm:f>
              <xm:sqref>B144</xm:sqref>
            </x14:sparkline>
            <x14:sparkline>
              <xm:f>Scenarier!E129:Y129</xm:f>
              <xm:sqref>A145</xm:sqref>
            </x14:sparkline>
            <x14:sparkline>
              <xm:f>Scenarier!F129:Z129</xm:f>
              <xm:sqref>B145</xm:sqref>
            </x14:sparkline>
          </x14:sparklines>
        </x14:sparklineGroup>
        <x14:sparklineGroup displayEmptyCellsAs="gap" xr2:uid="{0D4B8EA4-0655-49EB-9CD2-BA2FEFAE45C0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Scenarier!E118:Y118</xm:f>
              <xm:sqref>A134</xm:sqref>
            </x14:sparkline>
            <x14:sparkline>
              <xm:f>Scenarier!F118:Z118</xm:f>
              <xm:sqref>B134</xm:sqref>
            </x14:sparkline>
            <x14:sparkline>
              <xm:f>Scenarier!E119:Y119</xm:f>
              <xm:sqref>A135</xm:sqref>
            </x14:sparkline>
            <x14:sparkline>
              <xm:f>Scenarier!F119:Z119</xm:f>
              <xm:sqref>B135</xm:sqref>
            </x14:sparkline>
            <x14:sparkline>
              <xm:f>Scenarier!E120:Y120</xm:f>
              <xm:sqref>A136</xm:sqref>
            </x14:sparkline>
            <x14:sparkline>
              <xm:f>Scenarier!F120:Z120</xm:f>
              <xm:sqref>B136</xm:sqref>
            </x14:sparkline>
            <x14:sparkline>
              <xm:f>Scenarier!E121:Y121</xm:f>
              <xm:sqref>A137</xm:sqref>
            </x14:sparkline>
            <x14:sparkline>
              <xm:f>Scenarier!F121:Z121</xm:f>
              <xm:sqref>B137</xm:sqref>
            </x14:sparkline>
            <x14:sparkline>
              <xm:f>Scenarier!E122:Y122</xm:f>
              <xm:sqref>A138</xm:sqref>
            </x14:sparkline>
            <x14:sparkline>
              <xm:f>Scenarier!F122:Z122</xm:f>
              <xm:sqref>B138</xm:sqref>
            </x14:sparkline>
            <x14:sparkline>
              <xm:f>Scenarier!E123:Y123</xm:f>
              <xm:sqref>A139</xm:sqref>
            </x14:sparkline>
            <x14:sparkline>
              <xm:f>Scenarier!F123:Z123</xm:f>
              <xm:sqref>B139</xm:sqref>
            </x14:sparkline>
            <x14:sparkline>
              <xm:f>Scenarier!E124:Y124</xm:f>
              <xm:sqref>A140</xm:sqref>
            </x14:sparkline>
            <x14:sparkline>
              <xm:f>Scenarier!F124:Z124</xm:f>
              <xm:sqref>B140</xm:sqref>
            </x14:sparkline>
          </x14:sparklines>
        </x14:sparklineGroup>
        <x14:sparklineGroup displayEmptyCellsAs="gap" xr2:uid="{B8629B82-7D09-4B3B-BDD2-41802311B9C9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Scenarier!E110:Y110</xm:f>
              <xm:sqref>A126</xm:sqref>
            </x14:sparkline>
            <x14:sparkline>
              <xm:f>Scenarier!F110:Z110</xm:f>
              <xm:sqref>B126</xm:sqref>
            </x14:sparkline>
            <x14:sparkline>
              <xm:f>Scenarier!E111:Y111</xm:f>
              <xm:sqref>A127</xm:sqref>
            </x14:sparkline>
            <x14:sparkline>
              <xm:f>Scenarier!F111:Z111</xm:f>
              <xm:sqref>B127</xm:sqref>
            </x14:sparkline>
            <x14:sparkline>
              <xm:f>Scenarier!E112:Y112</xm:f>
              <xm:sqref>A128</xm:sqref>
            </x14:sparkline>
            <x14:sparkline>
              <xm:f>Scenarier!F112:Z112</xm:f>
              <xm:sqref>B128</xm:sqref>
            </x14:sparkline>
            <x14:sparkline>
              <xm:f>Scenarier!E113:Y113</xm:f>
              <xm:sqref>A129</xm:sqref>
            </x14:sparkline>
            <x14:sparkline>
              <xm:f>Scenarier!F113:Z113</xm:f>
              <xm:sqref>B129</xm:sqref>
            </x14:sparkline>
            <x14:sparkline>
              <xm:f>Scenarier!E114:Y114</xm:f>
              <xm:sqref>A130</xm:sqref>
            </x14:sparkline>
            <x14:sparkline>
              <xm:f>Scenarier!F114:Z114</xm:f>
              <xm:sqref>B130</xm:sqref>
            </x14:sparkline>
            <x14:sparkline>
              <xm:f>Scenarier!E115:Y115</xm:f>
              <xm:sqref>A131</xm:sqref>
            </x14:sparkline>
            <x14:sparkline>
              <xm:f>Scenarier!F115:Z115</xm:f>
              <xm:sqref>B131</xm:sqref>
            </x14:sparkline>
          </x14:sparklines>
        </x14:sparklineGroup>
        <x14:sparklineGroup displayEmptyCellsAs="gap" xr2:uid="{0EEAFD3A-9982-4344-9C28-68B58FC0F455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Scenarier!E102:Y102</xm:f>
              <xm:sqref>A118</xm:sqref>
            </x14:sparkline>
            <x14:sparkline>
              <xm:f>Scenarier!F102:Z102</xm:f>
              <xm:sqref>B118</xm:sqref>
            </x14:sparkline>
            <x14:sparkline>
              <xm:f>Scenarier!E103:Y103</xm:f>
              <xm:sqref>A119</xm:sqref>
            </x14:sparkline>
            <x14:sparkline>
              <xm:f>Scenarier!F103:Z103</xm:f>
              <xm:sqref>B119</xm:sqref>
            </x14:sparkline>
            <x14:sparkline>
              <xm:f>Scenarier!E104:Y104</xm:f>
              <xm:sqref>A120</xm:sqref>
            </x14:sparkline>
            <x14:sparkline>
              <xm:f>Scenarier!F104:Z104</xm:f>
              <xm:sqref>B120</xm:sqref>
            </x14:sparkline>
            <x14:sparkline>
              <xm:f>Scenarier!E105:Y105</xm:f>
              <xm:sqref>A121</xm:sqref>
            </x14:sparkline>
            <x14:sparkline>
              <xm:f>Scenarier!F105:Z105</xm:f>
              <xm:sqref>B121</xm:sqref>
            </x14:sparkline>
            <x14:sparkline>
              <xm:f>Scenarier!E106:Y106</xm:f>
              <xm:sqref>A122</xm:sqref>
            </x14:sparkline>
            <x14:sparkline>
              <xm:f>Scenarier!F106:Z106</xm:f>
              <xm:sqref>B122</xm:sqref>
            </x14:sparkline>
            <x14:sparkline>
              <xm:f>Scenarier!E107:Y107</xm:f>
              <xm:sqref>A123</xm:sqref>
            </x14:sparkline>
            <x14:sparkline>
              <xm:f>Scenarier!F107:Z107</xm:f>
              <xm:sqref>B123</xm:sqref>
            </x14:sparkline>
          </x14:sparklines>
        </x14:sparklineGroup>
        <x14:sparklineGroup displayEmptyCellsAs="gap" xr2:uid="{5CBA3426-1E87-4A46-95D9-C9FCFCA25B0F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Scenarier!E93:Y93</xm:f>
              <xm:sqref>A109</xm:sqref>
            </x14:sparkline>
            <x14:sparkline>
              <xm:f>Scenarier!F93:Z93</xm:f>
              <xm:sqref>B109</xm:sqref>
            </x14:sparkline>
            <x14:sparkline>
              <xm:f>Scenarier!E94:Y94</xm:f>
              <xm:sqref>A110</xm:sqref>
            </x14:sparkline>
            <x14:sparkline>
              <xm:f>Scenarier!F94:Z94</xm:f>
              <xm:sqref>B110</xm:sqref>
            </x14:sparkline>
            <x14:sparkline>
              <xm:f>Scenarier!E95:Y95</xm:f>
              <xm:sqref>A111</xm:sqref>
            </x14:sparkline>
            <x14:sparkline>
              <xm:f>Scenarier!F95:Z95</xm:f>
              <xm:sqref>B111</xm:sqref>
            </x14:sparkline>
          </x14:sparklines>
        </x14:sparklineGroup>
        <x14:sparklineGroup displayEmptyCellsAs="gap" xr2:uid="{BDB21E43-4F15-48D7-B5EB-8CE954572693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Scenarier!E97:Y97</xm:f>
              <xm:sqref>A113</xm:sqref>
            </x14:sparkline>
            <x14:sparkline>
              <xm:f>Scenarier!F97:Z97</xm:f>
              <xm:sqref>B113</xm:sqref>
            </x14:sparkline>
            <x14:sparkline>
              <xm:f>Scenarier!E98:Y98</xm:f>
              <xm:sqref>A114</xm:sqref>
            </x14:sparkline>
            <x14:sparkline>
              <xm:f>Scenarier!F98:Z98</xm:f>
              <xm:sqref>B114</xm:sqref>
            </x14:sparkline>
            <x14:sparkline>
              <xm:f>Scenarier!E99:Y99</xm:f>
              <xm:sqref>A115</xm:sqref>
            </x14:sparkline>
            <x14:sparkline>
              <xm:f>Scenarier!F99:Z99</xm:f>
              <xm:sqref>B115</xm:sqref>
            </x14:sparkline>
            <x14:sparkline>
              <xm:f>Scenarier!E100:Y100</xm:f>
              <xm:sqref>A116</xm:sqref>
            </x14:sparkline>
            <x14:sparkline>
              <xm:f>Scenarier!F100:Z100</xm:f>
              <xm:sqref>B116</xm:sqref>
            </x14:sparkline>
          </x14:sparklines>
        </x14:sparklineGroup>
        <x14:sparklineGroup displayEmptyCellsAs="gap" xr2:uid="{AD7BC6D0-95CF-4981-A1F0-1D2D7ECBE1BD}">
          <x14:colorSeries rgb="FF00B050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Scenarier!E8:Y8</xm:f>
              <xm:sqref>A8</xm:sqref>
            </x14:sparkline>
            <x14:sparkline>
              <xm:f>Scenarier!E9:Y9</xm:f>
              <xm:sqref>A9</xm:sqref>
            </x14:sparkline>
            <x14:sparkline>
              <xm:f>Scenarier!E10:Y10</xm:f>
              <xm:sqref>A10</xm:sqref>
            </x14:sparkline>
            <x14:sparkline>
              <xm:f>Scenarier!E11:Y11</xm:f>
              <xm:sqref>A11</xm:sqref>
            </x14:sparkline>
            <x14:sparkline>
              <xm:f>Scenarier!E12:Y12</xm:f>
              <xm:sqref>A12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54189-028E-4B88-AC75-E88799B17CAC}">
  <sheetPr codeName="Sheet2"/>
  <dimension ref="A2:Z72"/>
  <sheetViews>
    <sheetView zoomScale="80" zoomScaleNormal="80" workbookViewId="0">
      <selection activeCell="N48" sqref="N48"/>
    </sheetView>
  </sheetViews>
  <sheetFormatPr defaultRowHeight="15" outlineLevelCol="1" x14ac:dyDescent="0.25"/>
  <cols>
    <col min="1" max="1" width="28.5703125" customWidth="1" outlineLevel="1"/>
    <col min="2" max="2" width="12.28515625" style="7" customWidth="1" outlineLevel="1"/>
    <col min="3" max="5" width="9.140625" customWidth="1" outlineLevel="1"/>
    <col min="6" max="6" width="13.42578125" customWidth="1" outlineLevel="1"/>
    <col min="7" max="7" width="2.85546875" style="29" customWidth="1"/>
    <col min="8" max="8" width="34.28515625" customWidth="1" outlineLevel="1"/>
    <col min="9" max="9" width="11" style="7" customWidth="1" outlineLevel="1"/>
    <col min="10" max="10" width="13.28515625" style="16" customWidth="1" outlineLevel="1"/>
    <col min="11" max="11" width="14.42578125" style="16" customWidth="1" outlineLevel="1"/>
    <col min="12" max="12" width="14.42578125" customWidth="1" outlineLevel="1"/>
    <col min="13" max="13" width="2.85546875" style="29" customWidth="1" outlineLevel="1"/>
    <col min="14" max="14" width="30.7109375" bestFit="1" customWidth="1"/>
    <col min="15" max="15" width="8.42578125" style="7" bestFit="1" customWidth="1"/>
    <col min="16" max="16" width="10" style="16" bestFit="1" customWidth="1"/>
    <col min="17" max="17" width="14.42578125" style="16" bestFit="1" customWidth="1"/>
    <col min="18" max="18" width="15.7109375" bestFit="1" customWidth="1"/>
    <col min="19" max="19" width="4.140625" customWidth="1"/>
    <col min="20" max="20" width="29.7109375" style="7" customWidth="1"/>
    <col min="21" max="22" width="13" customWidth="1"/>
  </cols>
  <sheetData>
    <row r="2" spans="1:26" x14ac:dyDescent="0.25">
      <c r="A2" s="25" t="s">
        <v>0</v>
      </c>
      <c r="B2" s="25"/>
      <c r="C2" s="25"/>
      <c r="D2" s="25"/>
      <c r="E2" s="25"/>
      <c r="F2" s="25"/>
      <c r="H2" s="27" t="s">
        <v>146</v>
      </c>
      <c r="I2" s="27"/>
      <c r="J2" s="27"/>
      <c r="K2" s="27"/>
      <c r="L2" s="27"/>
      <c r="N2" s="26" t="s">
        <v>45</v>
      </c>
      <c r="O2" s="26"/>
      <c r="P2" s="26"/>
      <c r="Q2" s="26"/>
      <c r="R2" s="26"/>
      <c r="T2" s="26" t="s">
        <v>145</v>
      </c>
      <c r="U2" s="26"/>
      <c r="V2" s="26"/>
      <c r="W2" s="26"/>
      <c r="X2" s="26"/>
      <c r="Y2" s="26"/>
      <c r="Z2" s="26"/>
    </row>
    <row r="4" spans="1:26" x14ac:dyDescent="0.25">
      <c r="A4" s="5" t="s">
        <v>134</v>
      </c>
      <c r="B4" s="10" t="s">
        <v>50</v>
      </c>
      <c r="C4" s="6" t="s">
        <v>213</v>
      </c>
      <c r="D4" s="6"/>
      <c r="E4" s="6"/>
      <c r="F4" s="9"/>
      <c r="I4" s="10" t="s">
        <v>50</v>
      </c>
      <c r="J4" s="19"/>
      <c r="K4" s="19"/>
      <c r="L4" s="5"/>
      <c r="N4" s="5" t="s">
        <v>237</v>
      </c>
      <c r="O4" s="10" t="s">
        <v>50</v>
      </c>
      <c r="P4" s="19" t="str">
        <f>J57</f>
        <v>Uden RGK</v>
      </c>
      <c r="Q4" s="19" t="str">
        <f t="shared" ref="Q4:R4" si="0">K57</f>
        <v>Med 0% RGK</v>
      </c>
      <c r="R4" s="19" t="str">
        <f t="shared" si="0"/>
        <v>RGK ift. nominel</v>
      </c>
      <c r="T4" s="24" t="str">
        <f>"RGK ift. Nominel: "&amp;C6&amp;" ton affald, "&amp;C7&amp;" ton bioaffald"</f>
        <v>RGK ift. Nominel: 12000 ton affald, 0 ton bioaffald</v>
      </c>
      <c r="U4" s="11"/>
      <c r="V4" s="11"/>
      <c r="W4" s="11"/>
      <c r="X4" s="11"/>
      <c r="Y4" s="11"/>
      <c r="Z4" s="11"/>
    </row>
    <row r="5" spans="1:26" x14ac:dyDescent="0.25">
      <c r="A5" s="7" t="s">
        <v>209</v>
      </c>
      <c r="B5" s="7" t="s">
        <v>44</v>
      </c>
      <c r="C5" s="16">
        <v>28000</v>
      </c>
      <c r="H5" s="5" t="s">
        <v>138</v>
      </c>
      <c r="I5" s="10"/>
      <c r="J5" s="19" t="s">
        <v>1</v>
      </c>
      <c r="K5" s="19" t="s">
        <v>2</v>
      </c>
      <c r="L5" s="6" t="s">
        <v>157</v>
      </c>
      <c r="N5" s="18" t="str">
        <f>H70</f>
        <v>Indtægter total</v>
      </c>
      <c r="O5" s="18" t="str">
        <f>I70</f>
        <v>tkr</v>
      </c>
      <c r="P5" s="23">
        <f>J70</f>
        <v>16136472.253459308</v>
      </c>
      <c r="Q5" s="23">
        <f>K70</f>
        <v>16136472.253459308</v>
      </c>
      <c r="R5" s="23">
        <f>L70</f>
        <v>0</v>
      </c>
    </row>
    <row r="6" spans="1:26" x14ac:dyDescent="0.25">
      <c r="A6" s="7" t="s">
        <v>210</v>
      </c>
      <c r="B6" s="7" t="s">
        <v>18</v>
      </c>
      <c r="C6" s="16">
        <v>12000</v>
      </c>
      <c r="H6" s="8" t="s">
        <v>52</v>
      </c>
      <c r="I6" s="10"/>
      <c r="J6" s="16">
        <f>24*C$12</f>
        <v>744</v>
      </c>
      <c r="K6" s="16">
        <f>24*D$12</f>
        <v>744</v>
      </c>
      <c r="N6" s="18" t="str">
        <f>H71</f>
        <v>Omkostninger total</v>
      </c>
      <c r="O6" s="18" t="str">
        <f>I71</f>
        <v>tkr</v>
      </c>
      <c r="P6" s="23">
        <f>J71</f>
        <v>8158905.7849090286</v>
      </c>
      <c r="Q6" s="23">
        <f>K71</f>
        <v>8158905.7849090286</v>
      </c>
      <c r="R6" s="23">
        <f>L71</f>
        <v>0</v>
      </c>
    </row>
    <row r="7" spans="1:26" x14ac:dyDescent="0.25">
      <c r="A7" s="7" t="s">
        <v>211</v>
      </c>
      <c r="B7" s="7" t="s">
        <v>18</v>
      </c>
      <c r="C7" s="16">
        <v>0</v>
      </c>
      <c r="H7" s="8" t="s">
        <v>53</v>
      </c>
      <c r="I7" s="7" t="s">
        <v>44</v>
      </c>
      <c r="J7" s="20">
        <f>J6*C13</f>
        <v>7068</v>
      </c>
      <c r="K7" s="20">
        <f>K6*D13</f>
        <v>16740</v>
      </c>
      <c r="L7" s="20">
        <f>SUM(J7:K7)</f>
        <v>23808</v>
      </c>
      <c r="N7" s="18" t="str">
        <f>H72</f>
        <v>Dækningsbidrag</v>
      </c>
      <c r="O7" s="18" t="str">
        <f>I72</f>
        <v>tkr</v>
      </c>
      <c r="P7" s="23">
        <f>J72</f>
        <v>7977566.4685502797</v>
      </c>
      <c r="Q7" s="23">
        <f>K72</f>
        <v>7977566.4685502797</v>
      </c>
      <c r="R7" s="23">
        <f>L72</f>
        <v>0</v>
      </c>
    </row>
    <row r="8" spans="1:26" x14ac:dyDescent="0.25">
      <c r="A8" s="7" t="s">
        <v>133</v>
      </c>
      <c r="B8" s="7" t="s">
        <v>135</v>
      </c>
      <c r="C8" s="21">
        <v>0</v>
      </c>
      <c r="H8" s="8" t="s">
        <v>66</v>
      </c>
      <c r="I8" s="18" t="s">
        <v>44</v>
      </c>
      <c r="J8" s="20">
        <f>EtaRgkOvn2/EtaQNomOvn2*J7</f>
        <v>0</v>
      </c>
      <c r="K8" s="20">
        <f>EtaRgkOvn3/EtaQNomOvn3*K7</f>
        <v>0</v>
      </c>
      <c r="L8" s="20">
        <f t="shared" ref="L8:L11" si="1">SUM(J8:K8)</f>
        <v>0</v>
      </c>
      <c r="N8" s="5"/>
      <c r="O8" s="10"/>
      <c r="P8" s="19"/>
      <c r="Q8" s="19"/>
      <c r="R8" s="19"/>
    </row>
    <row r="9" spans="1:26" x14ac:dyDescent="0.25">
      <c r="A9" s="7" t="s">
        <v>212</v>
      </c>
      <c r="B9" s="7" t="s">
        <v>44</v>
      </c>
      <c r="C9" s="16">
        <v>4000</v>
      </c>
      <c r="H9" s="8" t="s">
        <v>67</v>
      </c>
      <c r="I9" s="18" t="s">
        <v>44</v>
      </c>
      <c r="J9" s="20">
        <f>SUM(J7:J8)</f>
        <v>7068</v>
      </c>
      <c r="K9" s="20">
        <f>SUM(K7:K8)</f>
        <v>16740</v>
      </c>
      <c r="L9" s="20">
        <f t="shared" si="1"/>
        <v>23808</v>
      </c>
      <c r="N9" s="18" t="str">
        <f>H58</f>
        <v>Varmesalg</v>
      </c>
      <c r="O9" s="18" t="str">
        <f t="shared" ref="O9:R12" si="2">I58</f>
        <v>tkr</v>
      </c>
      <c r="P9" s="22">
        <f t="shared" si="2"/>
        <v>7404288</v>
      </c>
      <c r="Q9" s="22">
        <f t="shared" si="2"/>
        <v>7404288</v>
      </c>
      <c r="R9" s="23">
        <f t="shared" si="2"/>
        <v>0</v>
      </c>
    </row>
    <row r="10" spans="1:26" x14ac:dyDescent="0.25">
      <c r="A10" s="7"/>
      <c r="H10" s="8" t="s">
        <v>54</v>
      </c>
      <c r="I10" s="7" t="s">
        <v>55</v>
      </c>
      <c r="J10" s="16">
        <f>J7/EtaQNomOvn2</f>
        <v>8374.4075829383892</v>
      </c>
      <c r="K10" s="16">
        <f>K7/EtaQNomOvn3</f>
        <v>25518.292682926829</v>
      </c>
      <c r="L10" s="20">
        <f t="shared" si="1"/>
        <v>33892.70026586522</v>
      </c>
      <c r="N10" s="18" t="str">
        <f>H59</f>
        <v>Elsalg</v>
      </c>
      <c r="O10" s="18" t="str">
        <f t="shared" si="2"/>
        <v>tkr</v>
      </c>
      <c r="P10" s="22">
        <f t="shared" si="2"/>
        <v>3947332.4512195126</v>
      </c>
      <c r="Q10" s="22">
        <f t="shared" si="2"/>
        <v>3947332.4512195126</v>
      </c>
      <c r="R10" s="23">
        <f t="shared" si="2"/>
        <v>0</v>
      </c>
    </row>
    <row r="11" spans="1:26" x14ac:dyDescent="0.25">
      <c r="A11" s="5" t="s">
        <v>15</v>
      </c>
      <c r="B11" s="10"/>
      <c r="C11" s="6" t="s">
        <v>1</v>
      </c>
      <c r="D11" s="6" t="s">
        <v>2</v>
      </c>
      <c r="E11" s="6" t="s">
        <v>8</v>
      </c>
      <c r="F11" s="6" t="s">
        <v>144</v>
      </c>
      <c r="H11" s="8" t="s">
        <v>56</v>
      </c>
      <c r="I11" s="18" t="s">
        <v>18</v>
      </c>
      <c r="J11" s="20">
        <f>J10*3.6/Htotal</f>
        <v>2955.6732645664906</v>
      </c>
      <c r="K11" s="20">
        <f>K10/(Htotal/3.6)</f>
        <v>9006.456241033</v>
      </c>
      <c r="L11" s="20">
        <f t="shared" si="1"/>
        <v>11962.129505599491</v>
      </c>
      <c r="N11" s="18" t="str">
        <f>H60</f>
        <v>RGK-rabat</v>
      </c>
      <c r="O11" s="18" t="str">
        <f t="shared" si="2"/>
        <v>tkr</v>
      </c>
      <c r="P11" s="22">
        <f t="shared" si="2"/>
        <v>0</v>
      </c>
      <c r="Q11" s="22">
        <f t="shared" si="2"/>
        <v>0</v>
      </c>
      <c r="R11" s="23">
        <f t="shared" si="2"/>
        <v>0</v>
      </c>
    </row>
    <row r="12" spans="1:26" x14ac:dyDescent="0.25">
      <c r="A12" s="7" t="s">
        <v>13</v>
      </c>
      <c r="C12">
        <v>31</v>
      </c>
      <c r="D12">
        <v>31</v>
      </c>
      <c r="E12">
        <v>31</v>
      </c>
      <c r="H12" s="7"/>
      <c r="J12" s="20"/>
      <c r="K12" s="20"/>
      <c r="N12" s="18" t="str">
        <f>H61</f>
        <v>Modtagebetaling affald</v>
      </c>
      <c r="O12" s="18" t="str">
        <f t="shared" si="2"/>
        <v>tkr</v>
      </c>
      <c r="P12" s="22">
        <f t="shared" si="2"/>
        <v>4784851.8022397961</v>
      </c>
      <c r="Q12" s="22">
        <f t="shared" si="2"/>
        <v>4784851.8022397961</v>
      </c>
      <c r="R12" s="23">
        <f t="shared" si="2"/>
        <v>0</v>
      </c>
    </row>
    <row r="13" spans="1:26" x14ac:dyDescent="0.25">
      <c r="A13" s="7" t="s">
        <v>3</v>
      </c>
      <c r="B13" s="7" t="s">
        <v>4</v>
      </c>
      <c r="C13">
        <v>9.5</v>
      </c>
      <c r="D13">
        <v>22.5</v>
      </c>
      <c r="E13">
        <v>15</v>
      </c>
      <c r="H13" s="9" t="s">
        <v>139</v>
      </c>
      <c r="J13" s="19" t="s">
        <v>46</v>
      </c>
      <c r="K13" s="19" t="str">
        <f>"Med "&amp;TEXT(RGKudnyttelse,"0%")&amp;" RGK"</f>
        <v>Med 0% RGK</v>
      </c>
      <c r="L13" s="5" t="s">
        <v>142</v>
      </c>
      <c r="N13" s="18"/>
      <c r="O13" s="18"/>
      <c r="P13" s="23"/>
      <c r="Q13" s="23"/>
      <c r="R13" s="23"/>
    </row>
    <row r="14" spans="1:26" x14ac:dyDescent="0.25">
      <c r="A14" s="7" t="s">
        <v>9</v>
      </c>
      <c r="B14" s="7" t="s">
        <v>4</v>
      </c>
      <c r="C14">
        <v>2</v>
      </c>
      <c r="D14">
        <v>5.5</v>
      </c>
      <c r="H14" s="8" t="s">
        <v>58</v>
      </c>
      <c r="I14" s="7" t="s">
        <v>44</v>
      </c>
      <c r="J14" s="20">
        <f>MIN(Qdemand,K7,EtaQNomOvn3*Ftotal*Htotal/3.6)</f>
        <v>16740</v>
      </c>
      <c r="K14" s="20">
        <f>MIN(Qdemand,K9,EtaQmaxOvn3*Ftotal*Htotal/3.6)</f>
        <v>16740</v>
      </c>
      <c r="L14" s="16">
        <f>K14-J14</f>
        <v>0</v>
      </c>
      <c r="N14" s="18" t="str">
        <f>H63</f>
        <v>Betaling bioaffald</v>
      </c>
      <c r="O14" s="18" t="str">
        <f t="shared" ref="O14:O19" si="3">I63</f>
        <v>tkr</v>
      </c>
      <c r="P14" s="23">
        <f t="shared" ref="P14:P19" si="4">J63</f>
        <v>0</v>
      </c>
      <c r="Q14" s="23">
        <f t="shared" ref="Q14:Q19" si="5">K63</f>
        <v>0</v>
      </c>
      <c r="R14" s="23">
        <f t="shared" ref="R14:R19" si="6">L63</f>
        <v>0</v>
      </c>
    </row>
    <row r="15" spans="1:26" x14ac:dyDescent="0.25">
      <c r="A15" s="7" t="s">
        <v>5</v>
      </c>
      <c r="B15" s="7" t="s">
        <v>6</v>
      </c>
      <c r="D15">
        <v>8</v>
      </c>
      <c r="H15" s="7" t="s">
        <v>61</v>
      </c>
      <c r="I15" s="7" t="s">
        <v>18</v>
      </c>
      <c r="J15" s="16">
        <f>$J$14/EtaQNomOvn3/(Htotal/3.6)</f>
        <v>9006.456241033</v>
      </c>
      <c r="K15" s="16">
        <f>$K$14/EtaQmaxOvn3/(Htotal/3.6)</f>
        <v>9006.456241033</v>
      </c>
      <c r="L15" s="16">
        <f t="shared" ref="L15:L55" si="7">K15-J15</f>
        <v>0</v>
      </c>
      <c r="N15" s="18" t="str">
        <f>H64</f>
        <v>DV-omkostninger</v>
      </c>
      <c r="O15" s="18" t="str">
        <f t="shared" si="3"/>
        <v>tkr</v>
      </c>
      <c r="P15" s="22">
        <f t="shared" si="4"/>
        <v>1049040</v>
      </c>
      <c r="Q15" s="22">
        <f t="shared" si="5"/>
        <v>1049040</v>
      </c>
      <c r="R15" s="23">
        <f t="shared" si="6"/>
        <v>0</v>
      </c>
    </row>
    <row r="16" spans="1:26" x14ac:dyDescent="0.25">
      <c r="A16" s="7" t="s">
        <v>7</v>
      </c>
      <c r="B16" s="7" t="s">
        <v>14</v>
      </c>
      <c r="D16">
        <v>25</v>
      </c>
      <c r="H16" s="7" t="s">
        <v>59</v>
      </c>
      <c r="I16" s="7" t="s">
        <v>44</v>
      </c>
      <c r="J16" s="20">
        <f>Qdemand-J14</f>
        <v>11260</v>
      </c>
      <c r="K16" s="20">
        <f>Qdemand-K14</f>
        <v>11260</v>
      </c>
      <c r="L16" s="16">
        <f t="shared" si="7"/>
        <v>0</v>
      </c>
      <c r="N16" s="18" t="str">
        <f>H65</f>
        <v>Affaldvarme-afgift</v>
      </c>
      <c r="O16" s="18" t="str">
        <f t="shared" si="3"/>
        <v>tkr</v>
      </c>
      <c r="P16" s="22">
        <f t="shared" si="4"/>
        <v>2211287.04</v>
      </c>
      <c r="Q16" s="22">
        <f t="shared" si="5"/>
        <v>2211287.04</v>
      </c>
      <c r="R16" s="23">
        <f t="shared" si="6"/>
        <v>0</v>
      </c>
    </row>
    <row r="17" spans="1:26" x14ac:dyDescent="0.25">
      <c r="A17" s="7" t="s">
        <v>10</v>
      </c>
      <c r="C17" s="3">
        <v>0.84399999999999997</v>
      </c>
      <c r="D17" s="3">
        <v>0.65600000000000003</v>
      </c>
      <c r="H17" s="7" t="s">
        <v>60</v>
      </c>
      <c r="I17" s="7" t="s">
        <v>18</v>
      </c>
      <c r="J17" s="20">
        <f>Ftotal-J15</f>
        <v>2993.543758967</v>
      </c>
      <c r="K17" s="20">
        <f>Ftotal-K15</f>
        <v>2993.543758967</v>
      </c>
      <c r="L17" s="16">
        <f t="shared" si="7"/>
        <v>0</v>
      </c>
      <c r="N17" s="18" t="str">
        <f>H66</f>
        <v>Tillægsafgift</v>
      </c>
      <c r="O17" s="18" t="str">
        <f t="shared" si="3"/>
        <v>tkr</v>
      </c>
      <c r="P17" s="23">
        <f t="shared" si="4"/>
        <v>2271283.2000000002</v>
      </c>
      <c r="Q17" s="23">
        <f t="shared" si="5"/>
        <v>2271283.2000000002</v>
      </c>
      <c r="R17" s="23">
        <f t="shared" si="6"/>
        <v>0</v>
      </c>
    </row>
    <row r="18" spans="1:26" x14ac:dyDescent="0.25">
      <c r="A18" s="7" t="s">
        <v>11</v>
      </c>
      <c r="C18" s="4">
        <f>$C$8*C14/C13*C17</f>
        <v>0</v>
      </c>
      <c r="D18" s="4">
        <f>$C$8*D14/D13*D17</f>
        <v>0</v>
      </c>
      <c r="H18" s="8" t="s">
        <v>64</v>
      </c>
      <c r="I18" s="7" t="s">
        <v>44</v>
      </c>
      <c r="J18" s="20">
        <f>MIN(J16,NSvarme)</f>
        <v>4000</v>
      </c>
      <c r="K18" s="20">
        <f>MIN(K16,NSvarme)</f>
        <v>4000</v>
      </c>
      <c r="L18" s="16">
        <f t="shared" si="7"/>
        <v>0</v>
      </c>
      <c r="N18" s="18" t="str">
        <f>H67</f>
        <v>CO2-afgift</v>
      </c>
      <c r="O18" s="18" t="str">
        <f t="shared" si="3"/>
        <v>tkr</v>
      </c>
      <c r="P18" s="23">
        <f t="shared" si="4"/>
        <v>471719.80799999996</v>
      </c>
      <c r="Q18" s="23">
        <f t="shared" si="5"/>
        <v>471719.80799999996</v>
      </c>
      <c r="R18" s="23">
        <f t="shared" si="6"/>
        <v>0</v>
      </c>
    </row>
    <row r="19" spans="1:26" x14ac:dyDescent="0.25">
      <c r="A19" s="7" t="s">
        <v>70</v>
      </c>
      <c r="C19" s="4">
        <f>SUM(C17:C18)</f>
        <v>0.84399999999999997</v>
      </c>
      <c r="D19" s="4">
        <f>SUM(D17:D18)</f>
        <v>0.65600000000000003</v>
      </c>
      <c r="H19" s="7" t="s">
        <v>59</v>
      </c>
      <c r="I19" s="7" t="s">
        <v>44</v>
      </c>
      <c r="J19" s="20">
        <f>J16-J18</f>
        <v>7260</v>
      </c>
      <c r="K19" s="20">
        <f>K16-K18</f>
        <v>7260</v>
      </c>
      <c r="L19" s="16">
        <f t="shared" si="7"/>
        <v>0</v>
      </c>
      <c r="N19" s="18" t="str">
        <f>H68</f>
        <v>Kvote-omkostning</v>
      </c>
      <c r="O19" s="18" t="str">
        <f t="shared" si="3"/>
        <v>tkr</v>
      </c>
      <c r="P19" s="23">
        <f t="shared" si="4"/>
        <v>2155575.7369090281</v>
      </c>
      <c r="Q19" s="23">
        <f t="shared" si="5"/>
        <v>2155575.7369090281</v>
      </c>
      <c r="R19" s="23">
        <f t="shared" si="6"/>
        <v>0</v>
      </c>
    </row>
    <row r="20" spans="1:26" x14ac:dyDescent="0.25">
      <c r="A20" s="7" t="s">
        <v>12</v>
      </c>
      <c r="D20" s="1">
        <v>0.22470000000000001</v>
      </c>
      <c r="H20" s="8" t="s">
        <v>65</v>
      </c>
      <c r="I20" s="7" t="s">
        <v>44</v>
      </c>
      <c r="J20" s="20">
        <f>MIN($J$19,J7,EtaQNomOvn2*(J17*Htotal)/3.6)</f>
        <v>7068</v>
      </c>
      <c r="K20" s="20">
        <f>MIN($K$19,J9,EtaQmaxOvn2*(K17*Htotal)/3.6)</f>
        <v>7068</v>
      </c>
      <c r="L20" s="16">
        <f t="shared" si="7"/>
        <v>0</v>
      </c>
      <c r="N20" s="18"/>
      <c r="O20" s="18"/>
      <c r="P20" s="23"/>
      <c r="Q20" s="23"/>
      <c r="R20" s="23"/>
    </row>
    <row r="21" spans="1:26" x14ac:dyDescent="0.25">
      <c r="A21" s="7" t="s">
        <v>21</v>
      </c>
      <c r="B21" s="7" t="s">
        <v>22</v>
      </c>
      <c r="C21">
        <v>30</v>
      </c>
      <c r="D21">
        <v>50</v>
      </c>
      <c r="E21">
        <v>10</v>
      </c>
      <c r="F21">
        <v>10</v>
      </c>
      <c r="H21" s="7" t="s">
        <v>61</v>
      </c>
      <c r="I21" s="7" t="s">
        <v>18</v>
      </c>
      <c r="J21" s="20">
        <f>$J$20/EtaQNomOvn2/(Htotal/3.6)</f>
        <v>2955.6732645664906</v>
      </c>
      <c r="K21" s="20">
        <f>$K$20/EtaQmaxOvn2/(Htotal/3.6)</f>
        <v>2955.6732645664906</v>
      </c>
      <c r="L21" s="16">
        <f t="shared" si="7"/>
        <v>0</v>
      </c>
      <c r="N21" s="9" t="s">
        <v>238</v>
      </c>
      <c r="P21" s="19"/>
      <c r="Q21" s="19"/>
      <c r="R21" s="16"/>
    </row>
    <row r="22" spans="1:26" x14ac:dyDescent="0.25">
      <c r="A22" s="7"/>
      <c r="H22" s="7" t="s">
        <v>59</v>
      </c>
      <c r="I22" s="7" t="s">
        <v>44</v>
      </c>
      <c r="J22" s="20">
        <f>J19-J20</f>
        <v>192</v>
      </c>
      <c r="K22" s="20">
        <f>K19-K20</f>
        <v>192</v>
      </c>
      <c r="L22" s="16">
        <f t="shared" si="7"/>
        <v>0</v>
      </c>
      <c r="N22" s="7" t="str">
        <f>H40</f>
        <v>Varmeproduktion Ovn2</v>
      </c>
      <c r="O22" s="7" t="s">
        <v>44</v>
      </c>
      <c r="P22" s="16">
        <f>J40</f>
        <v>7068</v>
      </c>
      <c r="Q22" s="16">
        <f>K40</f>
        <v>7068</v>
      </c>
      <c r="R22" s="16">
        <f>Q22-P22</f>
        <v>0</v>
      </c>
    </row>
    <row r="23" spans="1:26" x14ac:dyDescent="0.25">
      <c r="A23" s="9" t="s">
        <v>16</v>
      </c>
      <c r="C23" s="6" t="s">
        <v>17</v>
      </c>
      <c r="D23" s="6" t="s">
        <v>19</v>
      </c>
      <c r="E23" s="6" t="s">
        <v>23</v>
      </c>
      <c r="H23" s="7" t="s">
        <v>60</v>
      </c>
      <c r="I23" s="7" t="s">
        <v>18</v>
      </c>
      <c r="J23" s="20">
        <f>J17-J21</f>
        <v>37.870494400509415</v>
      </c>
      <c r="K23" s="20">
        <f>K17-K21</f>
        <v>37.870494400509415</v>
      </c>
      <c r="L23" s="16">
        <f t="shared" si="7"/>
        <v>0</v>
      </c>
      <c r="N23" s="7" t="str">
        <f>H41</f>
        <v>Varmeproduktion Ovn3</v>
      </c>
      <c r="O23" s="7" t="s">
        <v>44</v>
      </c>
      <c r="P23" s="16">
        <f>J41</f>
        <v>16740</v>
      </c>
      <c r="Q23" s="16">
        <f>K41</f>
        <v>16740</v>
      </c>
      <c r="R23" s="16">
        <f t="shared" ref="R23:R27" si="8">Q23-P23</f>
        <v>0</v>
      </c>
    </row>
    <row r="24" spans="1:26" x14ac:dyDescent="0.25">
      <c r="A24" s="7" t="s">
        <v>20</v>
      </c>
      <c r="B24" s="7" t="s">
        <v>18</v>
      </c>
      <c r="H24" s="8" t="s">
        <v>68</v>
      </c>
      <c r="I24" s="7" t="s">
        <v>44</v>
      </c>
      <c r="J24" s="20">
        <f>J14+J20</f>
        <v>23808</v>
      </c>
      <c r="K24" s="20">
        <f>K14+K20</f>
        <v>23808</v>
      </c>
      <c r="L24" s="16">
        <f t="shared" si="7"/>
        <v>0</v>
      </c>
      <c r="N24" s="7" t="str">
        <f>H43</f>
        <v>Heraf RGK-varme</v>
      </c>
      <c r="O24" s="7" t="s">
        <v>44</v>
      </c>
      <c r="P24" s="16">
        <f>J43</f>
        <v>0</v>
      </c>
      <c r="Q24" s="16">
        <f>K43</f>
        <v>0</v>
      </c>
      <c r="R24" s="16">
        <f t="shared" si="8"/>
        <v>0</v>
      </c>
    </row>
    <row r="25" spans="1:26" x14ac:dyDescent="0.25">
      <c r="A25" s="7" t="s">
        <v>57</v>
      </c>
      <c r="C25" s="2">
        <f>C6/SUM(C6:C7)</f>
        <v>1</v>
      </c>
      <c r="D25" s="2">
        <f>1-AndelAffald</f>
        <v>0</v>
      </c>
      <c r="H25" s="8" t="s">
        <v>69</v>
      </c>
      <c r="I25" s="7" t="s">
        <v>44</v>
      </c>
      <c r="J25" s="20">
        <f>J22</f>
        <v>192</v>
      </c>
      <c r="K25" s="20">
        <f>K22</f>
        <v>192</v>
      </c>
      <c r="L25" s="16">
        <f t="shared" si="7"/>
        <v>0</v>
      </c>
      <c r="N25" s="7" t="str">
        <f>H34</f>
        <v>Bortkølet varme</v>
      </c>
      <c r="O25" s="7" t="s">
        <v>44</v>
      </c>
      <c r="P25" s="16">
        <f>J34</f>
        <v>0</v>
      </c>
      <c r="Q25" s="16">
        <f>K34</f>
        <v>0</v>
      </c>
      <c r="R25" s="16">
        <f t="shared" si="8"/>
        <v>0</v>
      </c>
      <c r="T25" s="24" t="str">
        <f>"Varmemængder: "&amp;C6&amp;" ton affald, "&amp;C7&amp;" ton bioaffald"</f>
        <v>Varmemængder: 12000 ton affald, 0 ton bioaffald</v>
      </c>
      <c r="U25" s="12"/>
      <c r="V25" s="12"/>
      <c r="W25" s="12"/>
      <c r="X25" s="12"/>
      <c r="Y25" s="12"/>
      <c r="Z25" s="12"/>
    </row>
    <row r="26" spans="1:26" x14ac:dyDescent="0.25">
      <c r="A26" s="7" t="s">
        <v>63</v>
      </c>
      <c r="B26" s="7" t="s">
        <v>18</v>
      </c>
      <c r="C26" s="14">
        <f>SUM(C6:C7)</f>
        <v>12000</v>
      </c>
      <c r="H26" s="7" t="s">
        <v>99</v>
      </c>
      <c r="I26" s="7" t="s">
        <v>44</v>
      </c>
      <c r="J26" s="16">
        <f>$J$7-$J$20</f>
        <v>0</v>
      </c>
      <c r="K26" s="16">
        <f>J26</f>
        <v>0</v>
      </c>
      <c r="L26" s="16">
        <f t="shared" si="7"/>
        <v>0</v>
      </c>
      <c r="N26" s="7" t="str">
        <f>H46</f>
        <v>Leveret varme</v>
      </c>
      <c r="O26" s="7" t="s">
        <v>44</v>
      </c>
      <c r="P26" s="16">
        <f>J46</f>
        <v>23808</v>
      </c>
      <c r="Q26" s="16">
        <f>K46</f>
        <v>23808</v>
      </c>
      <c r="R26" s="16">
        <f t="shared" si="8"/>
        <v>0</v>
      </c>
    </row>
    <row r="27" spans="1:26" x14ac:dyDescent="0.25">
      <c r="A27" s="7" t="s">
        <v>62</v>
      </c>
      <c r="B27" s="7" t="s">
        <v>33</v>
      </c>
      <c r="C27" s="15">
        <f>(C6*LHVaffald+C7*LHVbioaffald)/Ftotal</f>
        <v>10.199999999999999</v>
      </c>
      <c r="D27" s="13">
        <f>Htotal/3.6</f>
        <v>2.833333333333333</v>
      </c>
      <c r="H27" s="7" t="s">
        <v>100</v>
      </c>
      <c r="I27" s="7" t="s">
        <v>44</v>
      </c>
      <c r="J27" s="16">
        <f>$K$7-$J$14</f>
        <v>0</v>
      </c>
      <c r="K27" s="16">
        <f>J27</f>
        <v>0</v>
      </c>
      <c r="L27" s="16">
        <f t="shared" si="7"/>
        <v>0</v>
      </c>
      <c r="N27" s="7" t="str">
        <f>H47</f>
        <v>Spidslastvarme</v>
      </c>
      <c r="O27" s="7" t="s">
        <v>44</v>
      </c>
      <c r="P27" s="16">
        <f>J47</f>
        <v>4192</v>
      </c>
      <c r="Q27" s="16">
        <f>K47</f>
        <v>4192</v>
      </c>
      <c r="R27" s="16">
        <f t="shared" si="8"/>
        <v>0</v>
      </c>
    </row>
    <row r="28" spans="1:26" x14ac:dyDescent="0.25">
      <c r="A28" s="7" t="s">
        <v>42</v>
      </c>
      <c r="B28" s="7" t="s">
        <v>27</v>
      </c>
      <c r="C28">
        <v>400</v>
      </c>
      <c r="D28">
        <f>-6.5*3.6</f>
        <v>-23.400000000000002</v>
      </c>
      <c r="E28">
        <v>0</v>
      </c>
      <c r="H28" s="7" t="s">
        <v>102</v>
      </c>
      <c r="I28" s="7" t="s">
        <v>44</v>
      </c>
      <c r="J28" s="16">
        <f>MIN(J27,EtaQNomOvn3*J23*Htotal/3.6,24*E12*KapQcool)</f>
        <v>0</v>
      </c>
      <c r="K28" s="16">
        <f>MIN(K27,EtaQNomOvn3*K23*Htotal/3.6,24*E12*KapQcool)</f>
        <v>0</v>
      </c>
      <c r="L28" s="16">
        <f t="shared" si="7"/>
        <v>0</v>
      </c>
      <c r="N28" s="7"/>
      <c r="P28" s="23"/>
      <c r="Q28" s="23"/>
      <c r="R28" s="16"/>
    </row>
    <row r="29" spans="1:26" x14ac:dyDescent="0.25">
      <c r="A29" s="7" t="s">
        <v>32</v>
      </c>
      <c r="B29" s="7" t="s">
        <v>33</v>
      </c>
      <c r="C29">
        <v>10.199999999999999</v>
      </c>
      <c r="D29">
        <v>14</v>
      </c>
      <c r="E29">
        <v>3.6</v>
      </c>
      <c r="H29" s="7" t="s">
        <v>103</v>
      </c>
      <c r="I29" s="7" t="s">
        <v>18</v>
      </c>
      <c r="J29" s="16">
        <f>J28/EtaQNomOvn3/(Htotal/3.6)</f>
        <v>0</v>
      </c>
      <c r="K29" s="16">
        <f>K28/EtaQNomOvn3/(Htotal/3.6)</f>
        <v>0</v>
      </c>
      <c r="L29" s="16">
        <f t="shared" si="7"/>
        <v>0</v>
      </c>
      <c r="N29" s="9" t="s">
        <v>239</v>
      </c>
      <c r="R29" s="16"/>
    </row>
    <row r="30" spans="1:26" x14ac:dyDescent="0.25">
      <c r="A30" s="7" t="s">
        <v>39</v>
      </c>
      <c r="B30" s="7" t="s">
        <v>37</v>
      </c>
      <c r="C30">
        <v>37</v>
      </c>
      <c r="D30">
        <v>0</v>
      </c>
      <c r="E30">
        <v>0</v>
      </c>
      <c r="H30" s="7" t="s">
        <v>60</v>
      </c>
      <c r="I30" s="7" t="s">
        <v>18</v>
      </c>
      <c r="J30" s="16">
        <f>J23-J29</f>
        <v>37.870494400509415</v>
      </c>
      <c r="K30" s="16">
        <f>K23-K29</f>
        <v>37.870494400509415</v>
      </c>
      <c r="L30" s="16">
        <f t="shared" si="7"/>
        <v>0</v>
      </c>
      <c r="N30" s="7" t="s">
        <v>147</v>
      </c>
      <c r="O30" s="7" t="s">
        <v>18</v>
      </c>
      <c r="P30" s="16">
        <f>J15</f>
        <v>9006.456241033</v>
      </c>
      <c r="Q30" s="16">
        <f>K15</f>
        <v>9006.456241033</v>
      </c>
      <c r="R30" s="16">
        <f>Q30-P30</f>
        <v>0</v>
      </c>
    </row>
    <row r="31" spans="1:26" x14ac:dyDescent="0.25">
      <c r="A31" s="7" t="s">
        <v>40</v>
      </c>
      <c r="B31" s="7" t="s">
        <v>37</v>
      </c>
      <c r="C31">
        <v>42.5</v>
      </c>
      <c r="D31">
        <v>0</v>
      </c>
      <c r="E31">
        <v>0</v>
      </c>
      <c r="H31" s="7" t="s">
        <v>101</v>
      </c>
      <c r="I31" s="7" t="s">
        <v>44</v>
      </c>
      <c r="J31" s="16">
        <f>MIN(J26,EtaQNomOvn3*J30*Htotal/3.6,24*E12*KapQcool-J28)</f>
        <v>0</v>
      </c>
      <c r="K31" s="16">
        <f>MIN(K26,EtaQNomOvn3*K30*Htotal/3.6,24*E12*KapQcool-K28)</f>
        <v>0</v>
      </c>
      <c r="L31" s="16">
        <f t="shared" si="7"/>
        <v>0</v>
      </c>
      <c r="N31" s="7" t="s">
        <v>148</v>
      </c>
      <c r="O31" s="7" t="s">
        <v>44</v>
      </c>
      <c r="P31" s="16">
        <f>J18</f>
        <v>4000</v>
      </c>
      <c r="Q31" s="16">
        <f>K18</f>
        <v>4000</v>
      </c>
      <c r="R31" s="16">
        <f t="shared" ref="R31:R36" si="9">Q31-P31</f>
        <v>0</v>
      </c>
    </row>
    <row r="32" spans="1:26" x14ac:dyDescent="0.25">
      <c r="A32" s="7" t="s">
        <v>140</v>
      </c>
      <c r="B32" s="7" t="s">
        <v>33</v>
      </c>
      <c r="C32">
        <v>10.6</v>
      </c>
      <c r="D32">
        <v>0</v>
      </c>
      <c r="E32">
        <v>0</v>
      </c>
      <c r="H32" s="7" t="s">
        <v>104</v>
      </c>
      <c r="I32" s="7" t="s">
        <v>18</v>
      </c>
      <c r="J32" s="16">
        <f>J31/EtaQNomOvn2/(Htotal/3.6)</f>
        <v>0</v>
      </c>
      <c r="K32" s="16">
        <f>K31/EtaQNomOvn2/(Htotal/3.6)</f>
        <v>0</v>
      </c>
      <c r="L32" s="16">
        <f t="shared" si="7"/>
        <v>0</v>
      </c>
      <c r="N32" s="7" t="s">
        <v>149</v>
      </c>
      <c r="O32" s="7" t="s">
        <v>18</v>
      </c>
      <c r="P32" s="16">
        <f>J21</f>
        <v>2955.6732645664906</v>
      </c>
      <c r="Q32" s="16">
        <f>K21</f>
        <v>2955.6732645664906</v>
      </c>
      <c r="R32" s="16">
        <f t="shared" si="9"/>
        <v>0</v>
      </c>
    </row>
    <row r="33" spans="1:26" x14ac:dyDescent="0.25">
      <c r="A33" s="9" t="s">
        <v>24</v>
      </c>
      <c r="H33" s="7" t="s">
        <v>60</v>
      </c>
      <c r="I33" s="7" t="s">
        <v>18</v>
      </c>
      <c r="J33" s="16">
        <f>J30-J32</f>
        <v>37.870494400509415</v>
      </c>
      <c r="K33" s="16">
        <f>K30-K32</f>
        <v>37.870494400509415</v>
      </c>
      <c r="L33" s="16">
        <f t="shared" si="7"/>
        <v>0</v>
      </c>
      <c r="N33" s="7" t="s">
        <v>103</v>
      </c>
      <c r="O33" s="7" t="s">
        <v>18</v>
      </c>
      <c r="P33" s="16">
        <f>J29</f>
        <v>0</v>
      </c>
      <c r="Q33" s="16">
        <f>K29</f>
        <v>0</v>
      </c>
      <c r="R33" s="16">
        <f t="shared" si="9"/>
        <v>0</v>
      </c>
    </row>
    <row r="34" spans="1:26" x14ac:dyDescent="0.25">
      <c r="A34" s="7" t="s">
        <v>31</v>
      </c>
      <c r="B34" s="7" t="s">
        <v>26</v>
      </c>
      <c r="C34">
        <v>311</v>
      </c>
      <c r="H34" s="7" t="s">
        <v>47</v>
      </c>
      <c r="I34" s="7" t="s">
        <v>44</v>
      </c>
      <c r="J34" s="16">
        <f>J28+J31</f>
        <v>0</v>
      </c>
      <c r="K34" s="16">
        <f>K28+K31</f>
        <v>0</v>
      </c>
      <c r="L34" s="16">
        <f t="shared" si="7"/>
        <v>0</v>
      </c>
      <c r="N34" s="7" t="s">
        <v>104</v>
      </c>
      <c r="O34" s="7" t="s">
        <v>18</v>
      </c>
      <c r="P34" s="16">
        <f>J32</f>
        <v>0</v>
      </c>
      <c r="Q34" s="16">
        <f>K32</f>
        <v>0</v>
      </c>
      <c r="R34" s="16">
        <f t="shared" si="9"/>
        <v>0</v>
      </c>
    </row>
    <row r="35" spans="1:26" x14ac:dyDescent="0.25">
      <c r="A35" s="7" t="s">
        <v>28</v>
      </c>
      <c r="B35" s="7" t="s">
        <v>29</v>
      </c>
      <c r="C35">
        <v>800</v>
      </c>
      <c r="H35" s="7" t="s">
        <v>119</v>
      </c>
      <c r="I35" s="7" t="s">
        <v>18</v>
      </c>
      <c r="J35" s="16">
        <f>Ftotal-J36</f>
        <v>11962.129505599491</v>
      </c>
      <c r="K35" s="16">
        <f>Ftotal-K36</f>
        <v>11962.129505599491</v>
      </c>
      <c r="L35" s="16">
        <f t="shared" si="7"/>
        <v>0</v>
      </c>
      <c r="N35" s="7" t="s">
        <v>151</v>
      </c>
      <c r="O35" s="7" t="s">
        <v>18</v>
      </c>
      <c r="P35" s="16">
        <f>P30+SUM(P32:P34)</f>
        <v>11962.129505599491</v>
      </c>
      <c r="Q35" s="16">
        <f>Q30+SUM(Q32:Q34)</f>
        <v>11962.129505599491</v>
      </c>
      <c r="R35" s="16">
        <f t="shared" si="9"/>
        <v>0</v>
      </c>
    </row>
    <row r="36" spans="1:26" x14ac:dyDescent="0.25">
      <c r="A36" s="7" t="s">
        <v>43</v>
      </c>
      <c r="B36" s="7" t="s">
        <v>29</v>
      </c>
      <c r="C36">
        <v>4</v>
      </c>
      <c r="H36" s="7" t="s">
        <v>120</v>
      </c>
      <c r="I36" s="7" t="s">
        <v>18</v>
      </c>
      <c r="J36" s="20">
        <f>J23</f>
        <v>37.870494400509415</v>
      </c>
      <c r="K36" s="20">
        <f>K23</f>
        <v>37.870494400509415</v>
      </c>
      <c r="L36" s="16">
        <f t="shared" si="7"/>
        <v>0</v>
      </c>
      <c r="N36" s="7" t="s">
        <v>150</v>
      </c>
      <c r="O36" s="7" t="s">
        <v>18</v>
      </c>
      <c r="P36" s="20">
        <f>J36</f>
        <v>37.870494400509415</v>
      </c>
      <c r="Q36" s="20">
        <f>K36</f>
        <v>37.870494400509415</v>
      </c>
      <c r="R36" s="16">
        <f t="shared" si="9"/>
        <v>0</v>
      </c>
    </row>
    <row r="37" spans="1:26" x14ac:dyDescent="0.25">
      <c r="A37" s="7" t="s">
        <v>30</v>
      </c>
      <c r="B37" s="7" t="s">
        <v>41</v>
      </c>
      <c r="C37">
        <v>400</v>
      </c>
      <c r="H37" t="s">
        <v>48</v>
      </c>
      <c r="I37" s="7" t="s">
        <v>51</v>
      </c>
      <c r="J37" s="16">
        <f>EtaE*(J15+J29)*Htotal/3.6</f>
        <v>5733.9603658536589</v>
      </c>
      <c r="K37" s="16">
        <f>EtaE*(K15+K29)*Htotal/3.6</f>
        <v>5733.9603658536589</v>
      </c>
      <c r="L37" s="16">
        <f t="shared" si="7"/>
        <v>0</v>
      </c>
      <c r="R37" s="16"/>
    </row>
    <row r="38" spans="1:26" x14ac:dyDescent="0.25">
      <c r="A38" s="7" t="s">
        <v>34</v>
      </c>
      <c r="B38" s="7" t="s">
        <v>38</v>
      </c>
      <c r="C38">
        <v>25.8</v>
      </c>
      <c r="H38" t="s">
        <v>7</v>
      </c>
      <c r="I38" s="7" t="s">
        <v>51</v>
      </c>
      <c r="J38" s="16">
        <f>$D$12*$D$16</f>
        <v>775</v>
      </c>
      <c r="K38" s="16">
        <f>$D$12*$D$16</f>
        <v>775</v>
      </c>
      <c r="L38" s="16">
        <f t="shared" si="7"/>
        <v>0</v>
      </c>
      <c r="N38" s="9" t="s">
        <v>240</v>
      </c>
      <c r="R38" s="16"/>
    </row>
    <row r="39" spans="1:26" x14ac:dyDescent="0.25">
      <c r="A39" s="7" t="s">
        <v>35</v>
      </c>
      <c r="B39" s="7" t="s">
        <v>38</v>
      </c>
      <c r="C39">
        <v>31.8</v>
      </c>
      <c r="H39" t="s">
        <v>49</v>
      </c>
      <c r="I39" s="7" t="s">
        <v>51</v>
      </c>
      <c r="J39" s="16">
        <f>J37-J38</f>
        <v>4958.9603658536589</v>
      </c>
      <c r="K39" s="16">
        <f>K37-K38</f>
        <v>4958.9603658536589</v>
      </c>
      <c r="L39" s="16">
        <f t="shared" si="7"/>
        <v>0</v>
      </c>
      <c r="N39" s="7" t="s">
        <v>154</v>
      </c>
      <c r="P39" s="2">
        <f>(P30+P33)/$K$11</f>
        <v>1</v>
      </c>
      <c r="Q39" s="2">
        <f>(Q30+Q33)/$K$11</f>
        <v>1</v>
      </c>
      <c r="R39" s="2">
        <f>Q39-P39</f>
        <v>0</v>
      </c>
    </row>
    <row r="40" spans="1:26" x14ac:dyDescent="0.25">
      <c r="A40" s="7" t="s">
        <v>36</v>
      </c>
      <c r="B40" s="7" t="s">
        <v>41</v>
      </c>
      <c r="C40">
        <v>178.5</v>
      </c>
      <c r="H40" t="s">
        <v>115</v>
      </c>
      <c r="I40" s="7" t="s">
        <v>44</v>
      </c>
      <c r="J40" s="16">
        <f>J20+J31</f>
        <v>7068</v>
      </c>
      <c r="K40" s="16">
        <f>K20+K31</f>
        <v>7068</v>
      </c>
      <c r="L40" s="16">
        <f t="shared" si="7"/>
        <v>0</v>
      </c>
      <c r="N40" s="7" t="s">
        <v>155</v>
      </c>
      <c r="P40" s="2">
        <f>(P32+P34)/$J$11</f>
        <v>1</v>
      </c>
      <c r="Q40" s="2">
        <f>(Q32+Q34)/$J$11</f>
        <v>1</v>
      </c>
      <c r="R40" s="2">
        <f t="shared" ref="R40:R41" si="10">Q40-P40</f>
        <v>0</v>
      </c>
    </row>
    <row r="41" spans="1:26" x14ac:dyDescent="0.25">
      <c r="H41" t="s">
        <v>116</v>
      </c>
      <c r="I41" s="7" t="s">
        <v>44</v>
      </c>
      <c r="J41" s="16">
        <f>J14+J28</f>
        <v>16740</v>
      </c>
      <c r="K41" s="16">
        <f>K14+K28</f>
        <v>16740</v>
      </c>
      <c r="L41" s="16">
        <f t="shared" si="7"/>
        <v>0</v>
      </c>
      <c r="N41" s="7" t="s">
        <v>156</v>
      </c>
      <c r="P41" s="2">
        <f>P25/(24*$E$12*KapQcool)</f>
        <v>0</v>
      </c>
      <c r="Q41" s="2">
        <f>Q25/(24*$E$12*KapQcool)</f>
        <v>0</v>
      </c>
      <c r="R41" s="2">
        <f t="shared" si="10"/>
        <v>0</v>
      </c>
    </row>
    <row r="42" spans="1:26" x14ac:dyDescent="0.25">
      <c r="A42" s="9"/>
      <c r="H42" t="s">
        <v>111</v>
      </c>
      <c r="I42" s="7" t="s">
        <v>44</v>
      </c>
      <c r="J42" s="16">
        <f>SUM(J40:J41)</f>
        <v>23808</v>
      </c>
      <c r="K42" s="16">
        <f>SUM(K40:K41)</f>
        <v>23808</v>
      </c>
      <c r="L42" s="16">
        <f t="shared" si="7"/>
        <v>0</v>
      </c>
      <c r="R42" s="16"/>
    </row>
    <row r="43" spans="1:26" x14ac:dyDescent="0.25">
      <c r="A43" s="7"/>
      <c r="H43" s="7" t="s">
        <v>117</v>
      </c>
      <c r="I43" s="7" t="s">
        <v>44</v>
      </c>
      <c r="J43" s="16">
        <v>0</v>
      </c>
      <c r="K43" s="16">
        <f>(EtaRgkOvn2*K15+EtaRgkOvn3*K21)*Htotal/3.6</f>
        <v>0</v>
      </c>
      <c r="L43" s="16">
        <f t="shared" si="7"/>
        <v>0</v>
      </c>
      <c r="N43" s="7"/>
      <c r="R43" s="16"/>
    </row>
    <row r="44" spans="1:26" x14ac:dyDescent="0.25">
      <c r="A44" s="7"/>
      <c r="H44" s="7" t="s">
        <v>130</v>
      </c>
      <c r="J44" s="16">
        <v>0</v>
      </c>
      <c r="K44" s="2">
        <f>K43/K45</f>
        <v>0</v>
      </c>
      <c r="L44" s="16">
        <f t="shared" si="7"/>
        <v>0</v>
      </c>
      <c r="N44" s="7"/>
      <c r="Q44" s="2"/>
      <c r="R44" s="16"/>
    </row>
    <row r="45" spans="1:26" x14ac:dyDescent="0.25">
      <c r="H45" t="s">
        <v>109</v>
      </c>
      <c r="I45" s="7" t="s">
        <v>110</v>
      </c>
      <c r="J45" s="16">
        <f>J42+J37</f>
        <v>29541.960365853658</v>
      </c>
      <c r="K45" s="16">
        <f>K42+K37</f>
        <v>29541.960365853658</v>
      </c>
      <c r="L45" s="16">
        <f t="shared" si="7"/>
        <v>0</v>
      </c>
      <c r="R45" s="16"/>
    </row>
    <row r="46" spans="1:26" x14ac:dyDescent="0.25">
      <c r="H46" t="s">
        <v>112</v>
      </c>
      <c r="I46" s="7" t="s">
        <v>44</v>
      </c>
      <c r="J46" s="16">
        <f>J42-J34</f>
        <v>23808</v>
      </c>
      <c r="K46" s="16">
        <f>K42-K34</f>
        <v>23808</v>
      </c>
      <c r="L46" s="16">
        <f t="shared" si="7"/>
        <v>0</v>
      </c>
      <c r="R46" s="16"/>
    </row>
    <row r="47" spans="1:26" x14ac:dyDescent="0.25">
      <c r="H47" t="s">
        <v>136</v>
      </c>
      <c r="I47" s="7" t="s">
        <v>44</v>
      </c>
      <c r="J47" s="16">
        <f>Qdemand-J46</f>
        <v>4192</v>
      </c>
      <c r="K47" s="16">
        <f>Qdemand-K46</f>
        <v>4192</v>
      </c>
      <c r="L47" s="16">
        <f t="shared" si="7"/>
        <v>0</v>
      </c>
      <c r="R47" s="16"/>
      <c r="T47" s="24" t="str">
        <f>"Økonomiske nøgletal: "&amp;C6&amp;" ton affald, "&amp;C7&amp;" ton bioaffald"</f>
        <v>Økonomiske nøgletal: 12000 ton affald, 0 ton bioaffald</v>
      </c>
      <c r="U47" s="11"/>
      <c r="V47" s="11"/>
      <c r="W47" s="11"/>
      <c r="X47" s="11"/>
      <c r="Y47" s="11"/>
      <c r="Z47" s="11"/>
    </row>
    <row r="48" spans="1:26" x14ac:dyDescent="0.25">
      <c r="H48" s="5" t="s">
        <v>124</v>
      </c>
      <c r="L48" s="16"/>
      <c r="N48" s="5"/>
      <c r="R48" s="16"/>
    </row>
    <row r="49" spans="8:18" x14ac:dyDescent="0.25">
      <c r="H49" t="s">
        <v>126</v>
      </c>
      <c r="I49" s="7" t="s">
        <v>55</v>
      </c>
      <c r="J49" s="16">
        <f>J$35*$C$25*LHVaffald/3.6</f>
        <v>33892.70026586522</v>
      </c>
      <c r="K49" s="16">
        <f>K$35*$C$25*LHVaffald/3.6</f>
        <v>33892.70026586522</v>
      </c>
      <c r="L49" s="16">
        <f t="shared" si="7"/>
        <v>0</v>
      </c>
      <c r="R49" s="16"/>
    </row>
    <row r="50" spans="8:18" x14ac:dyDescent="0.25">
      <c r="H50" t="s">
        <v>127</v>
      </c>
      <c r="I50" s="7" t="s">
        <v>55</v>
      </c>
      <c r="J50" s="16">
        <f>J$35*AndelBioaffald*LHVbioaffald/3.6</f>
        <v>0</v>
      </c>
      <c r="K50" s="16">
        <f>K$35*AndelBioaffald*LHVbioaffald/3.6</f>
        <v>0</v>
      </c>
      <c r="L50" s="16">
        <f t="shared" si="7"/>
        <v>0</v>
      </c>
      <c r="R50" s="16"/>
    </row>
    <row r="51" spans="8:18" x14ac:dyDescent="0.25">
      <c r="H51" t="s">
        <v>125</v>
      </c>
      <c r="I51" s="7" t="s">
        <v>110</v>
      </c>
      <c r="J51" s="16">
        <f>J45/0.85 - J50</f>
        <v>34755.247489239599</v>
      </c>
      <c r="K51" s="16">
        <f>IF(RGKudnyttelse&gt;0,K45/0.95 - K50,J51)</f>
        <v>34755.247489239599</v>
      </c>
      <c r="L51" s="16">
        <f t="shared" si="7"/>
        <v>0</v>
      </c>
      <c r="R51" s="16"/>
    </row>
    <row r="52" spans="8:18" x14ac:dyDescent="0.25">
      <c r="H52" t="s">
        <v>131</v>
      </c>
      <c r="I52" s="7" t="s">
        <v>44</v>
      </c>
      <c r="J52" s="16">
        <f>J42*J51/(J51+J50)</f>
        <v>23808</v>
      </c>
      <c r="K52" s="16">
        <f>K42*K51/(K51+K50)</f>
        <v>23808</v>
      </c>
      <c r="L52" s="16">
        <f t="shared" si="7"/>
        <v>0</v>
      </c>
      <c r="R52" s="16"/>
    </row>
    <row r="53" spans="8:18" x14ac:dyDescent="0.25">
      <c r="H53" t="s">
        <v>128</v>
      </c>
      <c r="I53" s="7" t="s">
        <v>51</v>
      </c>
      <c r="J53" s="16">
        <f>J37*J51/(J51+J50)</f>
        <v>5733.9603658536589</v>
      </c>
      <c r="K53" s="16">
        <f>K37*K51/(K51+K50)</f>
        <v>5733.9603658536589</v>
      </c>
      <c r="L53" s="16">
        <f t="shared" si="7"/>
        <v>0</v>
      </c>
      <c r="R53" s="16"/>
    </row>
    <row r="54" spans="8:18" x14ac:dyDescent="0.25">
      <c r="H54" t="s">
        <v>129</v>
      </c>
      <c r="I54" s="7" t="s">
        <v>44</v>
      </c>
      <c r="J54" s="16">
        <f>J52/1.2</f>
        <v>19840</v>
      </c>
      <c r="K54" s="16">
        <f>IF(RGKudnyttelse&gt;0,(K52-0.1*(K52+K53))/1.2,J54)</f>
        <v>19840</v>
      </c>
      <c r="L54" s="16">
        <f t="shared" si="7"/>
        <v>0</v>
      </c>
      <c r="R54" s="16"/>
    </row>
    <row r="55" spans="8:18" x14ac:dyDescent="0.25">
      <c r="H55" t="s">
        <v>132</v>
      </c>
      <c r="I55" s="7" t="s">
        <v>44</v>
      </c>
      <c r="J55" s="16">
        <f>J54</f>
        <v>19840</v>
      </c>
      <c r="K55" s="16">
        <f>K54</f>
        <v>19840</v>
      </c>
      <c r="L55" s="16">
        <f t="shared" si="7"/>
        <v>0</v>
      </c>
      <c r="R55" s="16"/>
    </row>
    <row r="57" spans="8:18" x14ac:dyDescent="0.25">
      <c r="H57" s="5" t="s">
        <v>105</v>
      </c>
      <c r="I57" s="10"/>
      <c r="J57" s="19" t="str">
        <f>J13</f>
        <v>Uden RGK</v>
      </c>
      <c r="K57" s="19" t="str">
        <f>K13</f>
        <v>Med 0% RGK</v>
      </c>
      <c r="L57" s="5" t="s">
        <v>142</v>
      </c>
      <c r="N57" s="5"/>
      <c r="O57" s="10"/>
      <c r="P57" s="19"/>
      <c r="Q57" s="19"/>
      <c r="R57" s="5"/>
    </row>
    <row r="58" spans="8:18" x14ac:dyDescent="0.25">
      <c r="H58" s="18" t="s">
        <v>25</v>
      </c>
      <c r="I58" s="18" t="s">
        <v>141</v>
      </c>
      <c r="J58" s="22">
        <f>Varmesalgspris*J46</f>
        <v>7404288</v>
      </c>
      <c r="K58" s="22">
        <f>Varmesalgspris*K46</f>
        <v>7404288</v>
      </c>
      <c r="L58" s="23">
        <f>K58-J58</f>
        <v>0</v>
      </c>
      <c r="N58" s="18"/>
      <c r="O58" s="18"/>
      <c r="P58" s="22"/>
      <c r="Q58" s="22"/>
      <c r="R58" s="23"/>
    </row>
    <row r="59" spans="8:18" x14ac:dyDescent="0.25">
      <c r="H59" s="18" t="s">
        <v>107</v>
      </c>
      <c r="I59" s="18" t="s">
        <v>141</v>
      </c>
      <c r="J59" s="22">
        <f>(Elpris-ElprodTarif)*J39</f>
        <v>3947332.4512195126</v>
      </c>
      <c r="K59" s="22">
        <f>(Elpris-ElprodTarif)*K39</f>
        <v>3947332.4512195126</v>
      </c>
      <c r="L59" s="23">
        <f t="shared" ref="L59:L72" si="11">K59-J59</f>
        <v>0</v>
      </c>
      <c r="N59" s="18"/>
      <c r="O59" s="18"/>
      <c r="P59" s="22"/>
      <c r="Q59" s="22"/>
      <c r="R59" s="23"/>
    </row>
    <row r="60" spans="8:18" x14ac:dyDescent="0.25">
      <c r="H60" s="18" t="s">
        <v>108</v>
      </c>
      <c r="I60" s="18" t="s">
        <v>141</v>
      </c>
      <c r="J60" s="22">
        <v>0</v>
      </c>
      <c r="K60" s="22">
        <f>IF(K43&lt;7%*K45,0,10%)*K66</f>
        <v>0</v>
      </c>
      <c r="L60" s="23">
        <f t="shared" si="11"/>
        <v>0</v>
      </c>
      <c r="N60" s="18"/>
      <c r="O60" s="18"/>
      <c r="P60" s="22"/>
      <c r="Q60" s="22"/>
      <c r="R60" s="23"/>
    </row>
    <row r="61" spans="8:18" x14ac:dyDescent="0.25">
      <c r="H61" s="18" t="s">
        <v>106</v>
      </c>
      <c r="I61" s="18" t="s">
        <v>141</v>
      </c>
      <c r="J61" s="22">
        <f>$C$28*($C$6-J36*$C$25)</f>
        <v>4784851.8022397961</v>
      </c>
      <c r="K61" s="22">
        <f>$C$28*($C$6-K36*$C$25)</f>
        <v>4784851.8022397961</v>
      </c>
      <c r="L61" s="23">
        <f t="shared" si="11"/>
        <v>0</v>
      </c>
      <c r="N61" s="18"/>
      <c r="O61" s="18"/>
      <c r="P61" s="22"/>
      <c r="Q61" s="22"/>
      <c r="R61" s="23"/>
    </row>
    <row r="62" spans="8:18" x14ac:dyDescent="0.25">
      <c r="I62" s="18"/>
      <c r="J62" s="23"/>
      <c r="K62" s="23"/>
      <c r="L62" s="23"/>
      <c r="O62" s="18"/>
      <c r="P62" s="23"/>
      <c r="Q62" s="23"/>
      <c r="R62" s="23"/>
    </row>
    <row r="63" spans="8:18" x14ac:dyDescent="0.25">
      <c r="H63" s="18" t="s">
        <v>113</v>
      </c>
      <c r="I63" s="18" t="s">
        <v>141</v>
      </c>
      <c r="J63" s="23">
        <f>$D$28*($C$7-J36*AndelBioaffald)</f>
        <v>0</v>
      </c>
      <c r="K63" s="23">
        <f>$D$28*($C$7-K36*AndelBioaffald)</f>
        <v>0</v>
      </c>
      <c r="L63" s="23">
        <f t="shared" si="11"/>
        <v>0</v>
      </c>
      <c r="N63" s="18"/>
      <c r="O63" s="18"/>
      <c r="P63" s="23"/>
      <c r="Q63" s="23"/>
      <c r="R63" s="23"/>
    </row>
    <row r="64" spans="8:18" x14ac:dyDescent="0.25">
      <c r="H64" s="18" t="s">
        <v>114</v>
      </c>
      <c r="I64" s="18" t="s">
        <v>141</v>
      </c>
      <c r="J64" s="22">
        <f>$C$21*J40+$D$21*J41+$E$21*J34</f>
        <v>1049040</v>
      </c>
      <c r="K64" s="22">
        <f>J64+$F$21*$K$43</f>
        <v>1049040</v>
      </c>
      <c r="L64" s="23">
        <f t="shared" si="11"/>
        <v>0</v>
      </c>
      <c r="N64" s="18"/>
      <c r="O64" s="18"/>
      <c r="P64" s="22"/>
      <c r="Q64" s="22"/>
      <c r="R64" s="23"/>
    </row>
    <row r="65" spans="8:18" x14ac:dyDescent="0.25">
      <c r="H65" s="18" t="s">
        <v>34</v>
      </c>
      <c r="I65" s="18" t="s">
        <v>141</v>
      </c>
      <c r="J65" s="22">
        <f>AFV*3.6*J46</f>
        <v>2211287.04</v>
      </c>
      <c r="K65" s="22">
        <f>AFV*3.6*K46</f>
        <v>2211287.04</v>
      </c>
      <c r="L65" s="23">
        <f t="shared" si="11"/>
        <v>0</v>
      </c>
      <c r="N65" s="18"/>
      <c r="O65" s="18"/>
      <c r="P65" s="22"/>
      <c r="Q65" s="22"/>
      <c r="R65" s="23"/>
    </row>
    <row r="66" spans="8:18" x14ac:dyDescent="0.25">
      <c r="H66" s="18" t="s">
        <v>35</v>
      </c>
      <c r="I66" s="18" t="s">
        <v>141</v>
      </c>
      <c r="J66" s="23">
        <f>ATL*3.6*J54</f>
        <v>2271283.2000000002</v>
      </c>
      <c r="K66" s="23">
        <f>ATL*3.6*K54</f>
        <v>2271283.2000000002</v>
      </c>
      <c r="L66" s="23">
        <f t="shared" si="11"/>
        <v>0</v>
      </c>
      <c r="N66" s="18"/>
      <c r="O66" s="18"/>
      <c r="P66" s="23"/>
      <c r="Q66" s="23"/>
      <c r="R66" s="23"/>
    </row>
    <row r="67" spans="8:18" x14ac:dyDescent="0.25">
      <c r="H67" s="18" t="s">
        <v>36</v>
      </c>
      <c r="I67" s="18" t="s">
        <v>141</v>
      </c>
      <c r="J67" s="23">
        <f>CO2afgift*$C$30 /1000 *3.6*J54</f>
        <v>471719.80799999996</v>
      </c>
      <c r="K67" s="23">
        <f>CO2afgift*$C$30 /1000 *3.6*K54</f>
        <v>471719.80799999996</v>
      </c>
      <c r="L67" s="23">
        <f t="shared" si="11"/>
        <v>0</v>
      </c>
      <c r="N67" s="18"/>
      <c r="O67" s="18"/>
      <c r="P67" s="23"/>
      <c r="Q67" s="23"/>
      <c r="R67" s="23"/>
    </row>
    <row r="68" spans="8:18" x14ac:dyDescent="0.25">
      <c r="H68" s="18" t="s">
        <v>118</v>
      </c>
      <c r="I68" s="18" t="s">
        <v>141</v>
      </c>
      <c r="J68" s="23">
        <f>Kvotepris*$C$31/1000*C32*J35</f>
        <v>2155575.7369090281</v>
      </c>
      <c r="K68" s="23">
        <f>Kvotepris*$C$31/1000*10.6*K35</f>
        <v>2155575.7369090281</v>
      </c>
      <c r="L68" s="23">
        <f t="shared" si="11"/>
        <v>0</v>
      </c>
      <c r="N68" s="18"/>
      <c r="O68" s="18"/>
      <c r="P68" s="23"/>
      <c r="Q68" s="23"/>
      <c r="R68" s="23"/>
    </row>
    <row r="69" spans="8:18" x14ac:dyDescent="0.25">
      <c r="I69" s="18"/>
      <c r="J69" s="23"/>
      <c r="K69" s="23"/>
      <c r="L69" s="23"/>
      <c r="O69" s="18"/>
      <c r="P69" s="23"/>
      <c r="Q69" s="23"/>
      <c r="R69" s="23"/>
    </row>
    <row r="70" spans="8:18" x14ac:dyDescent="0.25">
      <c r="H70" s="18" t="s">
        <v>121</v>
      </c>
      <c r="I70" s="18" t="s">
        <v>141</v>
      </c>
      <c r="J70" s="23">
        <f>SUM(J58:J61)</f>
        <v>16136472.253459308</v>
      </c>
      <c r="K70" s="23">
        <f>SUM(K58:K61)</f>
        <v>16136472.253459308</v>
      </c>
      <c r="L70" s="23">
        <f t="shared" si="11"/>
        <v>0</v>
      </c>
      <c r="N70" s="18"/>
      <c r="O70" s="18"/>
      <c r="P70" s="23"/>
      <c r="Q70" s="23"/>
      <c r="R70" s="23"/>
    </row>
    <row r="71" spans="8:18" x14ac:dyDescent="0.25">
      <c r="H71" s="18" t="s">
        <v>122</v>
      </c>
      <c r="I71" s="18" t="s">
        <v>141</v>
      </c>
      <c r="J71" s="23">
        <f>SUM(J63:J68)</f>
        <v>8158905.7849090286</v>
      </c>
      <c r="K71" s="23">
        <f>SUM(K63:K68)</f>
        <v>8158905.7849090286</v>
      </c>
      <c r="L71" s="23">
        <f t="shared" si="11"/>
        <v>0</v>
      </c>
      <c r="N71" s="18"/>
      <c r="O71" s="18"/>
      <c r="P71" s="23"/>
      <c r="Q71" s="23"/>
      <c r="R71" s="23"/>
    </row>
    <row r="72" spans="8:18" x14ac:dyDescent="0.25">
      <c r="H72" s="18" t="s">
        <v>123</v>
      </c>
      <c r="I72" s="18" t="s">
        <v>141</v>
      </c>
      <c r="J72" s="23">
        <f>J70-J71</f>
        <v>7977566.4685502797</v>
      </c>
      <c r="K72" s="23">
        <f>K70-K71</f>
        <v>7977566.4685502797</v>
      </c>
      <c r="L72" s="23">
        <f t="shared" si="11"/>
        <v>0</v>
      </c>
      <c r="N72" s="18"/>
      <c r="O72" s="18"/>
      <c r="P72" s="23"/>
      <c r="Q72" s="23"/>
      <c r="R72" s="23"/>
    </row>
  </sheetData>
  <scenarios current="9" show="9" sqref="Q5:Q36">
    <scenario name="RGK 10 %" locked="1" count="1" user="Mogens Bech Laursen" comment="Created by Mogens Bech Laursen on 16-03-2022">
      <inputCells r="C8" val="0,1" numFmtId="9"/>
    </scenario>
    <scenario name="RGK 20 %" locked="1" count="1" user="Mogens Bech Laursen" comment="Created by Mogens Bech Laursen on 16-03-2022">
      <inputCells r="C8" val="0,2" numFmtId="9"/>
    </scenario>
    <scenario name="RGK 30 %" locked="1" count="1" user="Mogens Bech Laursen" comment="Created by Mogens Bech Laursen on 16-03-2022">
      <inputCells r="C8" val="0,3" numFmtId="9"/>
    </scenario>
    <scenario name="RGK 40 %" locked="1" count="1" user="Mogens Bech Laursen" comment="Created by Mogens Bech Laursen on 16-03-2022">
      <inputCells r="C8" val="0,4" numFmtId="9"/>
    </scenario>
    <scenario name="RGK 50 %" locked="1" count="1" user="Mogens Bech Laursen" comment="Created by Mogens Bech Laursen on 16-03-2022">
      <inputCells r="C8" val="0,5" numFmtId="9"/>
    </scenario>
    <scenario name="RGK 60 %" locked="1" count="1" user="Mogens Bech Laursen" comment="Created by Mogens Bech Laursen on 16-03-2022">
      <inputCells r="C8" val="0,6" numFmtId="9"/>
    </scenario>
    <scenario name="RGK 70 %" locked="1" count="1" user="Mogens Bech Laursen" comment="Created by Mogens Bech Laursen on 16-03-2022">
      <inputCells r="C8" val="0,7" numFmtId="9"/>
    </scenario>
    <scenario name="RGK 80 %" locked="1" count="1" user="Mogens Bech Laursen" comment="Created by Mogens Bech Laursen on 16-03-2022">
      <inputCells r="C8" val="0,8" numFmtId="9"/>
    </scenario>
    <scenario name="RGK 90 %" locked="1" count="1" user="Mogens Bech Laursen" comment="Created by Mogens Bech Laursen on 16-03-2022">
      <inputCells r="C8" val="0,9" numFmtId="9"/>
    </scenario>
    <scenario name="RGK 100 %" locked="1" count="1" user="Mogens Bech Laursen" comment="Created by Mogens Bech Laursen on 16-03-2022">
      <inputCells r="C8" val="1" numFmtId="9"/>
    </scenario>
  </scenarios>
  <mergeCells count="4">
    <mergeCell ref="A2:F2"/>
    <mergeCell ref="H2:L2"/>
    <mergeCell ref="T2:Z2"/>
    <mergeCell ref="N2:R2"/>
  </mergeCells>
  <conditionalFormatting sqref="J14:K72">
    <cfRule type="cellIs" dxfId="0" priority="1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115981-8FA1-4768-995A-36FC6A3C9262}">
  <sheetPr codeName="Sheet3">
    <outlinePr summaryBelow="0"/>
  </sheetPr>
  <dimension ref="A1:N42"/>
  <sheetViews>
    <sheetView showGridLines="0" zoomScale="85" zoomScaleNormal="85" workbookViewId="0">
      <selection activeCell="Q31" sqref="Q31"/>
    </sheetView>
  </sheetViews>
  <sheetFormatPr defaultRowHeight="15" outlineLevelRow="1" outlineLevelCol="1" x14ac:dyDescent="0.25"/>
  <cols>
    <col min="1" max="1" width="31.28515625" bestFit="1" customWidth="1"/>
    <col min="2" max="2" width="4.5703125" customWidth="1"/>
    <col min="3" max="3" width="8.5703125" customWidth="1"/>
    <col min="4" max="14" width="13.140625" bestFit="1" customWidth="1" outlineLevel="1"/>
    <col min="15" max="15" width="18.42578125" customWidth="1"/>
  </cols>
  <sheetData>
    <row r="1" spans="1:14" ht="15.75" thickBot="1" x14ac:dyDescent="0.3"/>
    <row r="2" spans="1:14" ht="15.75" x14ac:dyDescent="0.25">
      <c r="B2" s="36" t="s">
        <v>202</v>
      </c>
      <c r="C2" s="36"/>
      <c r="D2" s="41"/>
      <c r="E2" s="41"/>
      <c r="F2" s="41"/>
      <c r="G2" s="41"/>
      <c r="H2" s="41"/>
      <c r="I2" s="41"/>
      <c r="J2" s="41"/>
      <c r="K2" s="41"/>
      <c r="L2" s="41"/>
      <c r="M2" s="41"/>
      <c r="N2" s="41"/>
    </row>
    <row r="3" spans="1:14" ht="15.75" collapsed="1" x14ac:dyDescent="0.25">
      <c r="B3" s="35"/>
      <c r="C3" s="35"/>
      <c r="D3" s="42" t="s">
        <v>204</v>
      </c>
      <c r="E3" s="42" t="s">
        <v>191</v>
      </c>
      <c r="F3" s="42" t="s">
        <v>193</v>
      </c>
      <c r="G3" s="42" t="s">
        <v>194</v>
      </c>
      <c r="H3" s="42" t="s">
        <v>195</v>
      </c>
      <c r="I3" s="42" t="s">
        <v>196</v>
      </c>
      <c r="J3" s="42" t="s">
        <v>197</v>
      </c>
      <c r="K3" s="42" t="s">
        <v>198</v>
      </c>
      <c r="L3" s="42" t="s">
        <v>199</v>
      </c>
      <c r="M3" s="42" t="s">
        <v>200</v>
      </c>
      <c r="N3" s="42" t="s">
        <v>201</v>
      </c>
    </row>
    <row r="4" spans="1:14" ht="45" hidden="1" outlineLevel="1" x14ac:dyDescent="0.25">
      <c r="B4" s="38"/>
      <c r="C4" s="38"/>
      <c r="D4" s="30"/>
      <c r="E4" s="44" t="s">
        <v>192</v>
      </c>
      <c r="F4" s="44" t="s">
        <v>192</v>
      </c>
      <c r="G4" s="44" t="s">
        <v>192</v>
      </c>
      <c r="H4" s="44" t="s">
        <v>192</v>
      </c>
      <c r="I4" s="44" t="s">
        <v>192</v>
      </c>
      <c r="J4" s="44" t="s">
        <v>192</v>
      </c>
      <c r="K4" s="44" t="s">
        <v>192</v>
      </c>
      <c r="L4" s="44" t="s">
        <v>192</v>
      </c>
      <c r="M4" s="44" t="s">
        <v>192</v>
      </c>
      <c r="N4" s="44" t="s">
        <v>192</v>
      </c>
    </row>
    <row r="5" spans="1:14" x14ac:dyDescent="0.25">
      <c r="B5" s="39" t="s">
        <v>203</v>
      </c>
      <c r="C5" s="39"/>
      <c r="D5" s="37"/>
      <c r="E5" s="37"/>
      <c r="F5" s="37"/>
      <c r="G5" s="37"/>
      <c r="H5" s="37"/>
      <c r="I5" s="37"/>
      <c r="J5" s="37"/>
      <c r="K5" s="37"/>
      <c r="L5" s="37"/>
      <c r="M5" s="37"/>
      <c r="N5" s="37"/>
    </row>
    <row r="6" spans="1:14" outlineLevel="1" x14ac:dyDescent="0.25">
      <c r="B6" s="38"/>
      <c r="C6" s="38" t="s">
        <v>158</v>
      </c>
      <c r="D6" s="31">
        <v>1</v>
      </c>
      <c r="E6" s="43">
        <v>0.1</v>
      </c>
      <c r="F6" s="43">
        <v>0.2</v>
      </c>
      <c r="G6" s="43">
        <v>0.3</v>
      </c>
      <c r="H6" s="43">
        <v>0.4</v>
      </c>
      <c r="I6" s="43">
        <v>0.5</v>
      </c>
      <c r="J6" s="43">
        <v>0.6</v>
      </c>
      <c r="K6" s="43">
        <v>0.7</v>
      </c>
      <c r="L6" s="43">
        <v>0.8</v>
      </c>
      <c r="M6" s="43">
        <v>0.9</v>
      </c>
      <c r="N6" s="43">
        <v>1</v>
      </c>
    </row>
    <row r="7" spans="1:14" x14ac:dyDescent="0.25">
      <c r="B7" s="39" t="s">
        <v>205</v>
      </c>
      <c r="C7" s="39"/>
      <c r="D7" s="37"/>
      <c r="E7" s="37"/>
      <c r="F7" s="37"/>
      <c r="G7" s="37"/>
      <c r="H7" s="37"/>
      <c r="I7" s="37"/>
      <c r="J7" s="37"/>
      <c r="K7" s="37"/>
      <c r="L7" s="37"/>
      <c r="M7" s="37"/>
      <c r="N7" s="37"/>
    </row>
    <row r="8" spans="1:14" outlineLevel="1" x14ac:dyDescent="0.25">
      <c r="A8" s="7" t="str">
        <f>Model!N5</f>
        <v>Indtægter total</v>
      </c>
      <c r="B8" s="38"/>
      <c r="C8" s="38" t="s">
        <v>159</v>
      </c>
      <c r="D8" s="32">
        <v>6959978.0260043005</v>
      </c>
      <c r="E8" s="32">
        <v>7549301.93019199</v>
      </c>
      <c r="F8" s="32">
        <v>7471613.2799224304</v>
      </c>
      <c r="G8" s="32">
        <v>7397463.2431226997</v>
      </c>
      <c r="H8" s="32">
        <v>7326615.4346824698</v>
      </c>
      <c r="I8" s="32">
        <v>7258854.0654218197</v>
      </c>
      <c r="J8" s="32">
        <v>7193981.7467885604</v>
      </c>
      <c r="K8" s="32">
        <v>7131817.5704891402</v>
      </c>
      <c r="L8" s="32">
        <v>7072195.4237038204</v>
      </c>
      <c r="M8" s="32">
        <v>7014962.5068443203</v>
      </c>
      <c r="N8" s="32">
        <v>6959978.0260043005</v>
      </c>
    </row>
    <row r="9" spans="1:14" outlineLevel="1" x14ac:dyDescent="0.25">
      <c r="A9" s="7" t="str">
        <f>Model!N6</f>
        <v>Omkostninger total</v>
      </c>
      <c r="B9" s="38"/>
      <c r="C9" s="38" t="s">
        <v>160</v>
      </c>
      <c r="D9" s="32">
        <v>4024359.2875764999</v>
      </c>
      <c r="E9" s="32">
        <v>4123321.3703158302</v>
      </c>
      <c r="F9" s="32">
        <v>4110275.5213671499</v>
      </c>
      <c r="G9" s="32">
        <v>4097823.8932815501</v>
      </c>
      <c r="H9" s="32">
        <v>4085926.79114307</v>
      </c>
      <c r="I9" s="32">
        <v>4074547.97860272</v>
      </c>
      <c r="J9" s="32">
        <v>4063654.3092326801</v>
      </c>
      <c r="K9" s="32">
        <v>4053215.4040488801</v>
      </c>
      <c r="L9" s="32">
        <v>4043203.3685937799</v>
      </c>
      <c r="M9" s="32">
        <v>4033592.5440312298</v>
      </c>
      <c r="N9" s="32">
        <v>4024359.2875764999</v>
      </c>
    </row>
    <row r="10" spans="1:14" outlineLevel="1" x14ac:dyDescent="0.25">
      <c r="A10" s="7" t="str">
        <f>Model!N7</f>
        <v>Dækningsbidrag</v>
      </c>
      <c r="B10" s="38"/>
      <c r="C10" s="38" t="s">
        <v>161</v>
      </c>
      <c r="D10" s="32">
        <v>2935618.7384278099</v>
      </c>
      <c r="E10" s="32">
        <v>3425980.5598761602</v>
      </c>
      <c r="F10" s="32">
        <v>3361337.75855528</v>
      </c>
      <c r="G10" s="32">
        <v>3299639.34984115</v>
      </c>
      <c r="H10" s="32">
        <v>3240688.6435393998</v>
      </c>
      <c r="I10" s="32">
        <v>3184306.0868191002</v>
      </c>
      <c r="J10" s="32">
        <v>3130327.4375558798</v>
      </c>
      <c r="K10" s="32">
        <v>3078602.1664402601</v>
      </c>
      <c r="L10" s="32">
        <v>3028992.0551100401</v>
      </c>
      <c r="M10" s="32">
        <v>2981369.9628130901</v>
      </c>
      <c r="N10" s="32">
        <v>2935618.7384278099</v>
      </c>
    </row>
    <row r="11" spans="1:14" outlineLevel="1" x14ac:dyDescent="0.25">
      <c r="A11" s="7">
        <f>Model!N8</f>
        <v>0</v>
      </c>
      <c r="B11" s="38"/>
      <c r="C11" s="38" t="s">
        <v>162</v>
      </c>
      <c r="D11" s="33"/>
      <c r="E11" s="33"/>
      <c r="F11" s="33"/>
      <c r="G11" s="33"/>
      <c r="H11" s="33"/>
      <c r="I11" s="33"/>
      <c r="J11" s="33"/>
      <c r="K11" s="33"/>
      <c r="L11" s="33"/>
      <c r="M11" s="33"/>
      <c r="N11" s="33"/>
    </row>
    <row r="12" spans="1:14" outlineLevel="1" x14ac:dyDescent="0.25">
      <c r="A12" s="7" t="str">
        <f>Model!N9</f>
        <v>Varmesalg</v>
      </c>
      <c r="B12" s="38"/>
      <c r="C12" s="38" t="s">
        <v>163</v>
      </c>
      <c r="D12" s="32">
        <v>2177000</v>
      </c>
      <c r="E12" s="32">
        <v>2177000</v>
      </c>
      <c r="F12" s="32">
        <v>2177000</v>
      </c>
      <c r="G12" s="32">
        <v>2177000</v>
      </c>
      <c r="H12" s="32">
        <v>2177000</v>
      </c>
      <c r="I12" s="32">
        <v>2177000</v>
      </c>
      <c r="J12" s="32">
        <v>2177000</v>
      </c>
      <c r="K12" s="32">
        <v>2177000</v>
      </c>
      <c r="L12" s="32">
        <v>2177000</v>
      </c>
      <c r="M12" s="32">
        <v>2177000</v>
      </c>
      <c r="N12" s="32">
        <v>2177000</v>
      </c>
    </row>
    <row r="13" spans="1:14" outlineLevel="1" x14ac:dyDescent="0.25">
      <c r="A13" s="7" t="str">
        <f>Model!N10</f>
        <v>Elsalg</v>
      </c>
      <c r="B13" s="38"/>
      <c r="C13" s="38" t="s">
        <v>164</v>
      </c>
      <c r="D13" s="32">
        <v>3572432.8323170701</v>
      </c>
      <c r="E13" s="32">
        <v>3901791.4996825601</v>
      </c>
      <c r="F13" s="32">
        <v>3858373.21961554</v>
      </c>
      <c r="G13" s="32">
        <v>3816932.5837751902</v>
      </c>
      <c r="H13" s="32">
        <v>3777337.4823244801</v>
      </c>
      <c r="I13" s="32">
        <v>3739467.3159864801</v>
      </c>
      <c r="J13" s="32">
        <v>3703211.7691435101</v>
      </c>
      <c r="K13" s="32">
        <v>3668469.7365899901</v>
      </c>
      <c r="L13" s="32">
        <v>3635148.38194759</v>
      </c>
      <c r="M13" s="32">
        <v>3603162.3092762898</v>
      </c>
      <c r="N13" s="32">
        <v>3572432.8323170701</v>
      </c>
    </row>
    <row r="14" spans="1:14" outlineLevel="1" x14ac:dyDescent="0.25">
      <c r="A14" s="7" t="str">
        <f>Model!N11</f>
        <v>RGK-rabat</v>
      </c>
      <c r="B14" s="38"/>
      <c r="C14" s="38" t="s">
        <v>165</v>
      </c>
      <c r="D14" s="32">
        <v>0</v>
      </c>
      <c r="E14" s="32">
        <v>0</v>
      </c>
      <c r="F14" s="32">
        <v>0</v>
      </c>
      <c r="G14" s="32">
        <v>0</v>
      </c>
      <c r="H14" s="32">
        <v>0</v>
      </c>
      <c r="I14" s="32">
        <v>0</v>
      </c>
      <c r="J14" s="32">
        <v>0</v>
      </c>
      <c r="K14" s="32">
        <v>0</v>
      </c>
      <c r="L14" s="32">
        <v>0</v>
      </c>
      <c r="M14" s="32">
        <v>0</v>
      </c>
      <c r="N14" s="32">
        <v>0</v>
      </c>
    </row>
    <row r="15" spans="1:14" outlineLevel="1" x14ac:dyDescent="0.25">
      <c r="A15" s="7" t="str">
        <f>Model!N12</f>
        <v>Modtagebetaling affald</v>
      </c>
      <c r="B15" s="38"/>
      <c r="C15" s="38" t="s">
        <v>166</v>
      </c>
      <c r="D15" s="32">
        <v>1210545.1936872301</v>
      </c>
      <c r="E15" s="32">
        <v>1470510.4305094299</v>
      </c>
      <c r="F15" s="32">
        <v>1436240.0603068799</v>
      </c>
      <c r="G15" s="32">
        <v>1403530.65934751</v>
      </c>
      <c r="H15" s="32">
        <v>1372277.95235799</v>
      </c>
      <c r="I15" s="32">
        <v>1342386.7494353401</v>
      </c>
      <c r="J15" s="32">
        <v>1313769.97764506</v>
      </c>
      <c r="K15" s="32">
        <v>1286347.8338991499</v>
      </c>
      <c r="L15" s="32">
        <v>1260047.0417562299</v>
      </c>
      <c r="M15" s="32">
        <v>1234800.1975680301</v>
      </c>
      <c r="N15" s="32">
        <v>1210545.1936872301</v>
      </c>
    </row>
    <row r="16" spans="1:14" outlineLevel="1" x14ac:dyDescent="0.25">
      <c r="A16" s="7">
        <f>Model!N13</f>
        <v>0</v>
      </c>
      <c r="B16" s="38"/>
      <c r="C16" s="38" t="s">
        <v>167</v>
      </c>
      <c r="D16" s="32"/>
      <c r="E16" s="32"/>
      <c r="F16" s="32"/>
      <c r="G16" s="32"/>
      <c r="H16" s="32"/>
      <c r="I16" s="32"/>
      <c r="J16" s="32"/>
      <c r="K16" s="32"/>
      <c r="L16" s="32"/>
      <c r="M16" s="32"/>
      <c r="N16" s="32"/>
    </row>
    <row r="17" spans="1:14" outlineLevel="1" x14ac:dyDescent="0.25">
      <c r="A17" s="7" t="str">
        <f>Model!N14</f>
        <v>Betaling bioaffald</v>
      </c>
      <c r="B17" s="38"/>
      <c r="C17" s="38" t="s">
        <v>168</v>
      </c>
      <c r="D17" s="32">
        <v>0</v>
      </c>
      <c r="E17" s="32">
        <v>0</v>
      </c>
      <c r="F17" s="32">
        <v>0</v>
      </c>
      <c r="G17" s="32">
        <v>0</v>
      </c>
      <c r="H17" s="32">
        <v>0</v>
      </c>
      <c r="I17" s="32">
        <v>0</v>
      </c>
      <c r="J17" s="32">
        <v>0</v>
      </c>
      <c r="K17" s="32">
        <v>0</v>
      </c>
      <c r="L17" s="32">
        <v>0</v>
      </c>
      <c r="M17" s="32">
        <v>0</v>
      </c>
      <c r="N17" s="32">
        <v>0</v>
      </c>
    </row>
    <row r="18" spans="1:14" outlineLevel="1" x14ac:dyDescent="0.25">
      <c r="A18" s="7" t="str">
        <f>Model!N15</f>
        <v>DV-omkostninger</v>
      </c>
      <c r="B18" s="38"/>
      <c r="C18" s="38" t="s">
        <v>169</v>
      </c>
      <c r="D18" s="32">
        <v>1006435.87933248</v>
      </c>
      <c r="E18" s="32">
        <v>993050.77926815301</v>
      </c>
      <c r="F18" s="32">
        <v>994815.29340092698</v>
      </c>
      <c r="G18" s="32">
        <v>996499.43628955702</v>
      </c>
      <c r="H18" s="32">
        <v>998108.57686330995</v>
      </c>
      <c r="I18" s="32">
        <v>999647.61626355199</v>
      </c>
      <c r="J18" s="32">
        <v>1001121.03770487</v>
      </c>
      <c r="K18" s="32">
        <v>1002532.95009171</v>
      </c>
      <c r="L18" s="32">
        <v>1003887.12628429</v>
      </c>
      <c r="M18" s="32">
        <v>1005187.03676424</v>
      </c>
      <c r="N18" s="32">
        <v>1006435.87933248</v>
      </c>
    </row>
    <row r="19" spans="1:14" outlineLevel="1" x14ac:dyDescent="0.25">
      <c r="A19" s="7" t="str">
        <f>Model!N16</f>
        <v>Affaldvarme-afgift</v>
      </c>
      <c r="B19" s="38"/>
      <c r="C19" s="38" t="s">
        <v>170</v>
      </c>
      <c r="D19" s="32">
        <v>650160</v>
      </c>
      <c r="E19" s="32">
        <v>650160</v>
      </c>
      <c r="F19" s="32">
        <v>650160</v>
      </c>
      <c r="G19" s="32">
        <v>650160</v>
      </c>
      <c r="H19" s="32">
        <v>650160</v>
      </c>
      <c r="I19" s="32">
        <v>650160</v>
      </c>
      <c r="J19" s="32">
        <v>650160</v>
      </c>
      <c r="K19" s="32">
        <v>650160</v>
      </c>
      <c r="L19" s="32">
        <v>650160</v>
      </c>
      <c r="M19" s="32">
        <v>650160</v>
      </c>
      <c r="N19" s="32">
        <v>650160</v>
      </c>
    </row>
    <row r="20" spans="1:14" outlineLevel="1" x14ac:dyDescent="0.25">
      <c r="A20" s="7" t="str">
        <f>Model!N17</f>
        <v>Tillægsafgift</v>
      </c>
      <c r="B20" s="38"/>
      <c r="C20" s="38" t="s">
        <v>171</v>
      </c>
      <c r="D20" s="32">
        <v>1509008.76178354</v>
      </c>
      <c r="E20" s="32">
        <v>1505061.42298119</v>
      </c>
      <c r="F20" s="32">
        <v>1505581.7877950601</v>
      </c>
      <c r="G20" s="32">
        <v>1506078.45069194</v>
      </c>
      <c r="H20" s="32">
        <v>1506552.9949982699</v>
      </c>
      <c r="I20" s="32">
        <v>1507006.8660873</v>
      </c>
      <c r="J20" s="32">
        <v>1507441.3860833801</v>
      </c>
      <c r="K20" s="32">
        <v>1507857.76672479</v>
      </c>
      <c r="L20" s="32">
        <v>1508257.1206485201</v>
      </c>
      <c r="M20" s="32">
        <v>1508640.4713184701</v>
      </c>
      <c r="N20" s="32">
        <v>1509008.76178354</v>
      </c>
    </row>
    <row r="21" spans="1:14" outlineLevel="1" x14ac:dyDescent="0.25">
      <c r="A21" s="7" t="str">
        <f>Model!N18</f>
        <v>CO2-afgift</v>
      </c>
      <c r="B21" s="38"/>
      <c r="C21" s="38" t="s">
        <v>172</v>
      </c>
      <c r="D21" s="32">
        <v>313404.03670438298</v>
      </c>
      <c r="E21" s="32">
        <v>312584.21912199003</v>
      </c>
      <c r="F21" s="32">
        <v>312692.293002908</v>
      </c>
      <c r="G21" s="32">
        <v>312795.44426399103</v>
      </c>
      <c r="H21" s="32">
        <v>312894.00174421701</v>
      </c>
      <c r="I21" s="32">
        <v>312988.26563124399</v>
      </c>
      <c r="J21" s="32">
        <v>313078.51051533601</v>
      </c>
      <c r="K21" s="32">
        <v>313164.98806081299</v>
      </c>
      <c r="L21" s="32">
        <v>313247.92934978398</v>
      </c>
      <c r="M21" s="32">
        <v>313327.54694411502</v>
      </c>
      <c r="N21" s="32">
        <v>313404.03670438298</v>
      </c>
    </row>
    <row r="22" spans="1:14" outlineLevel="1" x14ac:dyDescent="0.25">
      <c r="A22" s="7" t="str">
        <f>Model!N19</f>
        <v>Kvote-omkostning</v>
      </c>
      <c r="B22" s="38"/>
      <c r="C22" s="38" t="s">
        <v>173</v>
      </c>
      <c r="D22" s="32">
        <v>545350.60975609801</v>
      </c>
      <c r="E22" s="32">
        <v>662464.94894449995</v>
      </c>
      <c r="F22" s="32">
        <v>647026.14716825099</v>
      </c>
      <c r="G22" s="32">
        <v>632290.56203605502</v>
      </c>
      <c r="H22" s="32">
        <v>618211.21753727703</v>
      </c>
      <c r="I22" s="32">
        <v>604745.23062062298</v>
      </c>
      <c r="J22" s="32">
        <v>591853.37492909795</v>
      </c>
      <c r="K22" s="32">
        <v>579499.69917156501</v>
      </c>
      <c r="L22" s="32">
        <v>567651.19231118006</v>
      </c>
      <c r="M22" s="32">
        <v>556277.489004398</v>
      </c>
      <c r="N22" s="32">
        <v>545350.60975609801</v>
      </c>
    </row>
    <row r="23" spans="1:14" outlineLevel="1" x14ac:dyDescent="0.25">
      <c r="A23" s="7">
        <f>Model!N20</f>
        <v>0</v>
      </c>
      <c r="B23" s="38"/>
      <c r="C23" s="38" t="s">
        <v>174</v>
      </c>
      <c r="D23" s="32"/>
      <c r="E23" s="32"/>
      <c r="F23" s="32"/>
      <c r="G23" s="32"/>
      <c r="H23" s="32"/>
      <c r="I23" s="32"/>
      <c r="J23" s="32"/>
      <c r="K23" s="32"/>
      <c r="L23" s="32"/>
      <c r="M23" s="32"/>
      <c r="N23" s="32"/>
    </row>
    <row r="24" spans="1:14" outlineLevel="1" x14ac:dyDescent="0.25">
      <c r="A24" s="7" t="str">
        <f>Model!N21</f>
        <v>Varmemængder:</v>
      </c>
      <c r="B24" s="38"/>
      <c r="C24" s="38" t="s">
        <v>175</v>
      </c>
      <c r="D24" s="33"/>
      <c r="E24" s="33"/>
      <c r="F24" s="33"/>
      <c r="G24" s="33"/>
      <c r="H24" s="33"/>
      <c r="I24" s="33"/>
      <c r="J24" s="33"/>
      <c r="K24" s="33"/>
      <c r="L24" s="33"/>
      <c r="M24" s="33"/>
      <c r="N24" s="33"/>
    </row>
    <row r="25" spans="1:14" outlineLevel="1" x14ac:dyDescent="0.25">
      <c r="A25" s="7" t="str">
        <f>Model!N22</f>
        <v>Varmeproduktion Ovn2</v>
      </c>
      <c r="B25" s="38"/>
      <c r="C25" s="38" t="s">
        <v>176</v>
      </c>
      <c r="D25" s="33">
        <v>1420</v>
      </c>
      <c r="E25" s="33">
        <v>1420</v>
      </c>
      <c r="F25" s="33">
        <v>1420</v>
      </c>
      <c r="G25" s="33">
        <v>1420</v>
      </c>
      <c r="H25" s="33">
        <v>1420</v>
      </c>
      <c r="I25" s="33">
        <v>1420</v>
      </c>
      <c r="J25" s="33">
        <v>1420</v>
      </c>
      <c r="K25" s="33">
        <v>1420</v>
      </c>
      <c r="L25" s="33">
        <v>1420</v>
      </c>
      <c r="M25" s="33">
        <v>1420</v>
      </c>
      <c r="N25" s="33">
        <v>1420</v>
      </c>
    </row>
    <row r="26" spans="1:14" outlineLevel="1" x14ac:dyDescent="0.25">
      <c r="A26" s="7" t="str">
        <f>Model!N23</f>
        <v>Varmeproduktion Ovn3</v>
      </c>
      <c r="B26" s="38"/>
      <c r="C26" s="38" t="s">
        <v>177</v>
      </c>
      <c r="D26" s="33">
        <v>16740</v>
      </c>
      <c r="E26" s="33">
        <v>16740</v>
      </c>
      <c r="F26" s="33">
        <v>16740</v>
      </c>
      <c r="G26" s="33">
        <v>16740</v>
      </c>
      <c r="H26" s="33">
        <v>16740</v>
      </c>
      <c r="I26" s="33">
        <v>16740</v>
      </c>
      <c r="J26" s="33">
        <v>16740</v>
      </c>
      <c r="K26" s="33">
        <v>16740</v>
      </c>
      <c r="L26" s="33">
        <v>16740</v>
      </c>
      <c r="M26" s="33">
        <v>16740</v>
      </c>
      <c r="N26" s="33">
        <v>16740</v>
      </c>
    </row>
    <row r="27" spans="1:14" outlineLevel="1" x14ac:dyDescent="0.25">
      <c r="A27" s="7" t="str">
        <f>Model!N24</f>
        <v>Heraf RGK-varme</v>
      </c>
      <c r="B27" s="38"/>
      <c r="C27" s="38" t="s">
        <v>178</v>
      </c>
      <c r="D27" s="33">
        <v>1523.58793324775</v>
      </c>
      <c r="E27" s="33">
        <v>185.07792681534499</v>
      </c>
      <c r="F27" s="33">
        <v>361.52934009268699</v>
      </c>
      <c r="G27" s="33">
        <v>529.94362895574</v>
      </c>
      <c r="H27" s="33">
        <v>690.85768633096495</v>
      </c>
      <c r="I27" s="33">
        <v>844.76162635518995</v>
      </c>
      <c r="J27" s="33">
        <v>992.10377048690896</v>
      </c>
      <c r="K27" s="33">
        <v>1133.2950091709999</v>
      </c>
      <c r="L27" s="33">
        <v>1268.7126284293599</v>
      </c>
      <c r="M27" s="33">
        <v>1398.70367642417</v>
      </c>
      <c r="N27" s="33">
        <v>1523.58793324775</v>
      </c>
    </row>
    <row r="28" spans="1:14" outlineLevel="1" x14ac:dyDescent="0.25">
      <c r="A28" s="7" t="str">
        <f>Model!N25</f>
        <v>Bortkølet varme</v>
      </c>
      <c r="B28" s="38"/>
      <c r="C28" s="38" t="s">
        <v>179</v>
      </c>
      <c r="D28" s="33">
        <v>11160</v>
      </c>
      <c r="E28" s="33">
        <v>11160</v>
      </c>
      <c r="F28" s="33">
        <v>11160</v>
      </c>
      <c r="G28" s="33">
        <v>11160</v>
      </c>
      <c r="H28" s="33">
        <v>11160</v>
      </c>
      <c r="I28" s="33">
        <v>11160</v>
      </c>
      <c r="J28" s="33">
        <v>11160</v>
      </c>
      <c r="K28" s="33">
        <v>11160</v>
      </c>
      <c r="L28" s="33">
        <v>11160</v>
      </c>
      <c r="M28" s="33">
        <v>11160</v>
      </c>
      <c r="N28" s="33">
        <v>11160</v>
      </c>
    </row>
    <row r="29" spans="1:14" outlineLevel="1" x14ac:dyDescent="0.25">
      <c r="A29" s="7" t="str">
        <f>Model!N26</f>
        <v>Leveret varme</v>
      </c>
      <c r="B29" s="38"/>
      <c r="C29" s="38" t="s">
        <v>180</v>
      </c>
      <c r="D29" s="33">
        <v>7000</v>
      </c>
      <c r="E29" s="33">
        <v>7000</v>
      </c>
      <c r="F29" s="33">
        <v>7000</v>
      </c>
      <c r="G29" s="33">
        <v>7000</v>
      </c>
      <c r="H29" s="33">
        <v>7000</v>
      </c>
      <c r="I29" s="33">
        <v>7000</v>
      </c>
      <c r="J29" s="33">
        <v>7000</v>
      </c>
      <c r="K29" s="33">
        <v>7000</v>
      </c>
      <c r="L29" s="33">
        <v>7000</v>
      </c>
      <c r="M29" s="33">
        <v>7000</v>
      </c>
      <c r="N29" s="33">
        <v>7000</v>
      </c>
    </row>
    <row r="30" spans="1:14" outlineLevel="1" x14ac:dyDescent="0.25">
      <c r="A30" s="7" t="str">
        <f>Model!N27</f>
        <v>Spidslastvarme</v>
      </c>
      <c r="B30" s="38"/>
      <c r="C30" s="38" t="s">
        <v>181</v>
      </c>
      <c r="D30" s="33">
        <v>0</v>
      </c>
      <c r="E30" s="33">
        <v>0</v>
      </c>
      <c r="F30" s="33">
        <v>0</v>
      </c>
      <c r="G30" s="33">
        <v>0</v>
      </c>
      <c r="H30" s="33">
        <v>0</v>
      </c>
      <c r="I30" s="33">
        <v>0</v>
      </c>
      <c r="J30" s="33">
        <v>0</v>
      </c>
      <c r="K30" s="33">
        <v>0</v>
      </c>
      <c r="L30" s="33">
        <v>0</v>
      </c>
      <c r="M30" s="33">
        <v>0</v>
      </c>
      <c r="N30" s="33">
        <v>0</v>
      </c>
    </row>
    <row r="31" spans="1:14" outlineLevel="1" x14ac:dyDescent="0.25">
      <c r="A31" s="7">
        <f>Model!N28</f>
        <v>0</v>
      </c>
      <c r="B31" s="38"/>
      <c r="C31" s="38" t="s">
        <v>182</v>
      </c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</row>
    <row r="32" spans="1:14" outlineLevel="1" x14ac:dyDescent="0.25">
      <c r="A32" s="7" t="str">
        <f>Model!N29</f>
        <v>Brændselsmængder:</v>
      </c>
      <c r="B32" s="38"/>
      <c r="C32" s="38" t="s">
        <v>183</v>
      </c>
      <c r="D32" s="33"/>
      <c r="E32" s="33"/>
      <c r="F32" s="33"/>
      <c r="G32" s="33"/>
      <c r="H32" s="33"/>
      <c r="I32" s="33"/>
      <c r="J32" s="33"/>
      <c r="K32" s="33"/>
      <c r="L32" s="33"/>
      <c r="M32" s="33"/>
      <c r="N32" s="33"/>
    </row>
    <row r="33" spans="1:14" outlineLevel="1" x14ac:dyDescent="0.25">
      <c r="A33" s="7" t="str">
        <f>Model!N30</f>
        <v>Affaldsforbrug Ovn3</v>
      </c>
      <c r="B33" s="38"/>
      <c r="C33" s="38" t="s">
        <v>184</v>
      </c>
      <c r="D33" s="33">
        <v>3026.3629842180799</v>
      </c>
      <c r="E33" s="33">
        <v>3676.2760762735902</v>
      </c>
      <c r="F33" s="33">
        <v>3590.6001507672099</v>
      </c>
      <c r="G33" s="33">
        <v>3508.8266483687898</v>
      </c>
      <c r="H33" s="33">
        <v>3430.6948808949901</v>
      </c>
      <c r="I33" s="33">
        <v>3355.9668735883602</v>
      </c>
      <c r="J33" s="33">
        <v>3284.4249441126399</v>
      </c>
      <c r="K33" s="33">
        <v>3215.8695847478598</v>
      </c>
      <c r="L33" s="33">
        <v>3150.1176043905598</v>
      </c>
      <c r="M33" s="33">
        <v>3087.0004939200799</v>
      </c>
      <c r="N33" s="33">
        <v>3026.3629842180799</v>
      </c>
    </row>
    <row r="34" spans="1:14" outlineLevel="1" x14ac:dyDescent="0.25">
      <c r="A34" s="7" t="str">
        <f>Model!N31</f>
        <v>Nordic Sugar varme</v>
      </c>
      <c r="B34" s="38"/>
      <c r="C34" s="38" t="s">
        <v>185</v>
      </c>
      <c r="D34" s="33">
        <v>0</v>
      </c>
      <c r="E34" s="33">
        <v>0</v>
      </c>
      <c r="F34" s="33">
        <v>0</v>
      </c>
      <c r="G34" s="33">
        <v>0</v>
      </c>
      <c r="H34" s="33">
        <v>0</v>
      </c>
      <c r="I34" s="33">
        <v>0</v>
      </c>
      <c r="J34" s="33">
        <v>0</v>
      </c>
      <c r="K34" s="33">
        <v>0</v>
      </c>
      <c r="L34" s="33">
        <v>0</v>
      </c>
      <c r="M34" s="33">
        <v>0</v>
      </c>
      <c r="N34" s="33">
        <v>0</v>
      </c>
    </row>
    <row r="35" spans="1:14" outlineLevel="1" x14ac:dyDescent="0.25">
      <c r="A35" s="7" t="str">
        <f>Model!N32</f>
        <v>Affaldsforbrug Ovn2</v>
      </c>
      <c r="B35" s="38"/>
      <c r="C35" s="38" t="s">
        <v>186</v>
      </c>
      <c r="D35" s="33">
        <v>0</v>
      </c>
      <c r="E35" s="33">
        <v>0</v>
      </c>
      <c r="F35" s="33">
        <v>0</v>
      </c>
      <c r="G35" s="33">
        <v>0</v>
      </c>
      <c r="H35" s="33">
        <v>0</v>
      </c>
      <c r="I35" s="33">
        <v>0</v>
      </c>
      <c r="J35" s="33">
        <v>0</v>
      </c>
      <c r="K35" s="33">
        <v>0</v>
      </c>
      <c r="L35" s="33">
        <v>0</v>
      </c>
      <c r="M35" s="33">
        <v>0</v>
      </c>
      <c r="N35" s="33">
        <v>0</v>
      </c>
    </row>
    <row r="36" spans="1:14" outlineLevel="1" x14ac:dyDescent="0.25">
      <c r="A36" s="7" t="str">
        <f>Model!N33</f>
        <v>Affaldsforbrug kølevarme Ovn3</v>
      </c>
      <c r="B36" s="38"/>
      <c r="C36" s="38" t="s">
        <v>187</v>
      </c>
      <c r="D36" s="33">
        <v>5240.3156384505</v>
      </c>
      <c r="E36" s="33">
        <v>5240.3156384505</v>
      </c>
      <c r="F36" s="33">
        <v>5240.3156384505</v>
      </c>
      <c r="G36" s="33">
        <v>5240.3156384505</v>
      </c>
      <c r="H36" s="33">
        <v>5240.3156384505</v>
      </c>
      <c r="I36" s="33">
        <v>5240.3156384505</v>
      </c>
      <c r="J36" s="33">
        <v>5240.3156384505</v>
      </c>
      <c r="K36" s="33">
        <v>5240.3156384505</v>
      </c>
      <c r="L36" s="33">
        <v>5240.3156384505</v>
      </c>
      <c r="M36" s="33">
        <v>5240.3156384505</v>
      </c>
      <c r="N36" s="33">
        <v>5240.3156384505</v>
      </c>
    </row>
    <row r="37" spans="1:14" outlineLevel="1" x14ac:dyDescent="0.25">
      <c r="A37" s="7" t="str">
        <f>Model!N34</f>
        <v>Affaldsforbrug kølevarme Ovn2</v>
      </c>
      <c r="B37" s="38"/>
      <c r="C37" s="38" t="s">
        <v>188</v>
      </c>
      <c r="D37" s="33">
        <v>593.81098410928405</v>
      </c>
      <c r="E37" s="33">
        <v>593.81098410928405</v>
      </c>
      <c r="F37" s="33">
        <v>593.81098410928405</v>
      </c>
      <c r="G37" s="33">
        <v>593.81098410928405</v>
      </c>
      <c r="H37" s="33">
        <v>593.81098410928405</v>
      </c>
      <c r="I37" s="33">
        <v>593.81098410928405</v>
      </c>
      <c r="J37" s="33">
        <v>593.81098410928405</v>
      </c>
      <c r="K37" s="33">
        <v>593.81098410928405</v>
      </c>
      <c r="L37" s="33">
        <v>593.81098410928405</v>
      </c>
      <c r="M37" s="33">
        <v>593.81098410928405</v>
      </c>
      <c r="N37" s="33">
        <v>593.81098410928405</v>
      </c>
    </row>
    <row r="38" spans="1:14" outlineLevel="1" x14ac:dyDescent="0.25">
      <c r="A38" s="7" t="str">
        <f>Model!N35</f>
        <v>Udnyttet affald</v>
      </c>
      <c r="B38" s="38"/>
      <c r="C38" s="38" t="s">
        <v>189</v>
      </c>
      <c r="D38" s="33">
        <v>8860.4896067778609</v>
      </c>
      <c r="E38" s="33">
        <v>9510.4026988333699</v>
      </c>
      <c r="F38" s="33">
        <v>9424.726773327</v>
      </c>
      <c r="G38" s="33">
        <v>9342.9532709285704</v>
      </c>
      <c r="H38" s="33">
        <v>9264.8215034547702</v>
      </c>
      <c r="I38" s="33">
        <v>9190.0934961481507</v>
      </c>
      <c r="J38" s="33">
        <v>9118.5515666724295</v>
      </c>
      <c r="K38" s="33">
        <v>9049.9962073076495</v>
      </c>
      <c r="L38" s="33">
        <v>8984.2442269503499</v>
      </c>
      <c r="M38" s="33">
        <v>8921.12711647986</v>
      </c>
      <c r="N38" s="33">
        <v>8860.4896067778609</v>
      </c>
    </row>
    <row r="39" spans="1:14" ht="15.75" outlineLevel="1" thickBot="1" x14ac:dyDescent="0.3">
      <c r="A39" s="7" t="str">
        <f>Model!N36</f>
        <v>Ikke-udnyttet affald</v>
      </c>
      <c r="B39" s="40"/>
      <c r="C39" s="40" t="s">
        <v>190</v>
      </c>
      <c r="D39" s="34">
        <v>8973.6370157819201</v>
      </c>
      <c r="E39" s="34">
        <v>8323.7239237264093</v>
      </c>
      <c r="F39" s="34">
        <v>8409.3998492327901</v>
      </c>
      <c r="G39" s="34">
        <v>8491.1733516312106</v>
      </c>
      <c r="H39" s="34">
        <v>8569.3051191050108</v>
      </c>
      <c r="I39" s="34">
        <v>8644.0331264116394</v>
      </c>
      <c r="J39" s="34">
        <v>8715.5750558873606</v>
      </c>
      <c r="K39" s="34">
        <v>8784.1304152521407</v>
      </c>
      <c r="L39" s="34">
        <v>8849.8823956094293</v>
      </c>
      <c r="M39" s="34">
        <v>8912.9995060799192</v>
      </c>
      <c r="N39" s="34">
        <v>8973.6370157819201</v>
      </c>
    </row>
    <row r="40" spans="1:14" x14ac:dyDescent="0.25">
      <c r="B40" t="s">
        <v>206</v>
      </c>
    </row>
    <row r="41" spans="1:14" x14ac:dyDescent="0.25">
      <c r="B41" t="s">
        <v>207</v>
      </c>
    </row>
    <row r="42" spans="1:14" x14ac:dyDescent="0.25">
      <c r="B42" t="s">
        <v>208</v>
      </c>
    </row>
  </sheetData>
  <pageMargins left="0.7" right="0.7" top="0.75" bottom="0.75" header="0.3" footer="0.3"/>
  <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xr2:uid="{A3CF46C4-608E-48A4-993B-37B07B7C2DAC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'Scenario 7 GWh'!E8:N8</xm:f>
              <xm:sqref>O8</xm:sqref>
            </x14:sparkline>
            <x14:sparkline>
              <xm:f>'Scenario 7 GWh'!E9:N9</xm:f>
              <xm:sqref>O9</xm:sqref>
            </x14:sparkline>
            <x14:sparkline>
              <xm:f>'Scenario 7 GWh'!E10:N10</xm:f>
              <xm:sqref>O10</xm:sqref>
            </x14:sparkline>
            <x14:sparkline>
              <xm:f>'Scenario 7 GWh'!E11:N11</xm:f>
              <xm:sqref>O11</xm:sqref>
            </x14:sparkline>
            <x14:sparkline>
              <xm:f>'Scenario 7 GWh'!E12:N12</xm:f>
              <xm:sqref>O12</xm:sqref>
            </x14:sparkline>
            <x14:sparkline>
              <xm:f>'Scenario 7 GWh'!E13:N13</xm:f>
              <xm:sqref>O13</xm:sqref>
            </x14:sparkline>
            <x14:sparkline>
              <xm:f>'Scenario 7 GWh'!E14:N14</xm:f>
              <xm:sqref>O14</xm:sqref>
            </x14:sparkline>
            <x14:sparkline>
              <xm:f>'Scenario 7 GWh'!E15:N15</xm:f>
              <xm:sqref>O15</xm:sqref>
            </x14:sparkline>
            <x14:sparkline>
              <xm:f>'Scenario 7 GWh'!E16:N16</xm:f>
              <xm:sqref>O16</xm:sqref>
            </x14:sparkline>
            <x14:sparkline>
              <xm:f>'Scenario 7 GWh'!E17:N17</xm:f>
              <xm:sqref>O17</xm:sqref>
            </x14:sparkline>
            <x14:sparkline>
              <xm:f>'Scenario 7 GWh'!E18:N18</xm:f>
              <xm:sqref>O18</xm:sqref>
            </x14:sparkline>
            <x14:sparkline>
              <xm:f>'Scenario 7 GWh'!E19:N19</xm:f>
              <xm:sqref>O19</xm:sqref>
            </x14:sparkline>
            <x14:sparkline>
              <xm:f>'Scenario 7 GWh'!E20:N20</xm:f>
              <xm:sqref>O20</xm:sqref>
            </x14:sparkline>
            <x14:sparkline>
              <xm:f>'Scenario 7 GWh'!E21:N21</xm:f>
              <xm:sqref>O21</xm:sqref>
            </x14:sparkline>
            <x14:sparkline>
              <xm:f>'Scenario 7 GWh'!E22:N22</xm:f>
              <xm:sqref>O22</xm:sqref>
            </x14:sparkline>
            <x14:sparkline>
              <xm:f>'Scenario 7 GWh'!E23:N23</xm:f>
              <xm:sqref>O23</xm:sqref>
            </x14:sparkline>
            <x14:sparkline>
              <xm:f>'Scenario 7 GWh'!E24:N24</xm:f>
              <xm:sqref>O24</xm:sqref>
            </x14:sparkline>
            <x14:sparkline>
              <xm:f>'Scenario 7 GWh'!E25:N25</xm:f>
              <xm:sqref>O25</xm:sqref>
            </x14:sparkline>
            <x14:sparkline>
              <xm:f>'Scenario 7 GWh'!E26:N26</xm:f>
              <xm:sqref>O26</xm:sqref>
            </x14:sparkline>
            <x14:sparkline>
              <xm:f>'Scenario 7 GWh'!E27:N27</xm:f>
              <xm:sqref>O27</xm:sqref>
            </x14:sparkline>
            <x14:sparkline>
              <xm:f>'Scenario 7 GWh'!E28:N28</xm:f>
              <xm:sqref>O28</xm:sqref>
            </x14:sparkline>
            <x14:sparkline>
              <xm:f>'Scenario 7 GWh'!E29:N29</xm:f>
              <xm:sqref>O29</xm:sqref>
            </x14:sparkline>
            <x14:sparkline>
              <xm:f>'Scenario 7 GWh'!E30:N30</xm:f>
              <xm:sqref>O30</xm:sqref>
            </x14:sparkline>
            <x14:sparkline>
              <xm:f>'Scenario 7 GWh'!E31:N31</xm:f>
              <xm:sqref>O31</xm:sqref>
            </x14:sparkline>
            <x14:sparkline>
              <xm:f>'Scenario 7 GWh'!E32:N32</xm:f>
              <xm:sqref>O32</xm:sqref>
            </x14:sparkline>
            <x14:sparkline>
              <xm:f>'Scenario 7 GWh'!E33:N33</xm:f>
              <xm:sqref>O33</xm:sqref>
            </x14:sparkline>
            <x14:sparkline>
              <xm:f>'Scenario 7 GWh'!E34:N34</xm:f>
              <xm:sqref>O34</xm:sqref>
            </x14:sparkline>
            <x14:sparkline>
              <xm:f>'Scenario 7 GWh'!E35:N35</xm:f>
              <xm:sqref>O35</xm:sqref>
            </x14:sparkline>
            <x14:sparkline>
              <xm:f>'Scenario 7 GWh'!E36:N36</xm:f>
              <xm:sqref>O36</xm:sqref>
            </x14:sparkline>
            <x14:sparkline>
              <xm:f>'Scenario 7 GWh'!E37:N37</xm:f>
              <xm:sqref>O37</xm:sqref>
            </x14:sparkline>
            <x14:sparkline>
              <xm:f>'Scenario 7 GWh'!E38:N38</xm:f>
              <xm:sqref>O38</xm:sqref>
            </x14:sparkline>
            <x14:sparkline>
              <xm:f>'Scenario 7 GWh'!E39:N39</xm:f>
              <xm:sqref>O39</xm:sqref>
            </x14:sparkline>
          </x14:sparklines>
        </x14:sparklineGroup>
      </x14:sparklineGroup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54DFD8-61B1-4AF0-B8E6-D7688662F97B}">
  <sheetPr codeName="Sheet4">
    <outlinePr summaryBelow="0"/>
  </sheetPr>
  <dimension ref="A1:N42"/>
  <sheetViews>
    <sheetView showGridLines="0" zoomScale="85" zoomScaleNormal="85" workbookViewId="0">
      <selection activeCell="K28" sqref="K28"/>
    </sheetView>
  </sheetViews>
  <sheetFormatPr defaultRowHeight="15" outlineLevelRow="1" outlineLevelCol="1" x14ac:dyDescent="0.25"/>
  <cols>
    <col min="1" max="1" width="31.28515625" style="7" bestFit="1" customWidth="1"/>
    <col min="2" max="2" width="3.7109375" customWidth="1"/>
    <col min="3" max="3" width="13" customWidth="1"/>
    <col min="4" max="14" width="13.140625" bestFit="1" customWidth="1" outlineLevel="1"/>
    <col min="15" max="15" width="19.28515625" customWidth="1"/>
  </cols>
  <sheetData>
    <row r="1" spans="1:14" ht="15.75" thickBot="1" x14ac:dyDescent="0.3"/>
    <row r="2" spans="1:14" ht="15.75" x14ac:dyDescent="0.25">
      <c r="B2" s="36" t="s">
        <v>202</v>
      </c>
      <c r="C2" s="36"/>
      <c r="D2" s="41"/>
      <c r="E2" s="41"/>
      <c r="F2" s="41"/>
      <c r="G2" s="41"/>
      <c r="H2" s="41"/>
      <c r="I2" s="41"/>
      <c r="J2" s="41"/>
      <c r="K2" s="41"/>
      <c r="L2" s="41"/>
      <c r="M2" s="41"/>
      <c r="N2" s="41"/>
    </row>
    <row r="3" spans="1:14" ht="15.75" collapsed="1" x14ac:dyDescent="0.25">
      <c r="B3" s="35"/>
      <c r="C3" s="35"/>
      <c r="D3" s="42" t="s">
        <v>204</v>
      </c>
      <c r="E3" s="42" t="s">
        <v>191</v>
      </c>
      <c r="F3" s="42" t="s">
        <v>193</v>
      </c>
      <c r="G3" s="42" t="s">
        <v>194</v>
      </c>
      <c r="H3" s="42" t="s">
        <v>195</v>
      </c>
      <c r="I3" s="42" t="s">
        <v>196</v>
      </c>
      <c r="J3" s="42" t="s">
        <v>197</v>
      </c>
      <c r="K3" s="42" t="s">
        <v>198</v>
      </c>
      <c r="L3" s="42" t="s">
        <v>199</v>
      </c>
      <c r="M3" s="42" t="s">
        <v>200</v>
      </c>
      <c r="N3" s="42" t="s">
        <v>201</v>
      </c>
    </row>
    <row r="4" spans="1:14" ht="45" hidden="1" outlineLevel="1" x14ac:dyDescent="0.25">
      <c r="B4" s="38"/>
      <c r="C4" s="38"/>
      <c r="D4" s="30"/>
      <c r="E4" s="44" t="s">
        <v>192</v>
      </c>
      <c r="F4" s="44" t="s">
        <v>192</v>
      </c>
      <c r="G4" s="44" t="s">
        <v>192</v>
      </c>
      <c r="H4" s="44" t="s">
        <v>192</v>
      </c>
      <c r="I4" s="44" t="s">
        <v>192</v>
      </c>
      <c r="J4" s="44" t="s">
        <v>192</v>
      </c>
      <c r="K4" s="44" t="s">
        <v>192</v>
      </c>
      <c r="L4" s="44" t="s">
        <v>192</v>
      </c>
      <c r="M4" s="44" t="s">
        <v>192</v>
      </c>
      <c r="N4" s="44" t="s">
        <v>192</v>
      </c>
    </row>
    <row r="5" spans="1:14" x14ac:dyDescent="0.25">
      <c r="B5" s="39" t="s">
        <v>203</v>
      </c>
      <c r="C5" s="39"/>
      <c r="D5" s="37"/>
      <c r="E5" s="37"/>
      <c r="F5" s="37"/>
      <c r="G5" s="37"/>
      <c r="H5" s="37"/>
      <c r="I5" s="37"/>
      <c r="J5" s="37"/>
      <c r="K5" s="37"/>
      <c r="L5" s="37"/>
      <c r="M5" s="37"/>
      <c r="N5" s="37"/>
    </row>
    <row r="6" spans="1:14" outlineLevel="1" x14ac:dyDescent="0.25">
      <c r="B6" s="38"/>
      <c r="C6" s="38" t="s">
        <v>158</v>
      </c>
      <c r="D6" s="31">
        <v>1</v>
      </c>
      <c r="E6" s="43">
        <v>0.1</v>
      </c>
      <c r="F6" s="43">
        <v>0.2</v>
      </c>
      <c r="G6" s="43">
        <v>0.3</v>
      </c>
      <c r="H6" s="43">
        <v>0.4</v>
      </c>
      <c r="I6" s="43">
        <v>0.5</v>
      </c>
      <c r="J6" s="43">
        <v>0.6</v>
      </c>
      <c r="K6" s="43">
        <v>0.7</v>
      </c>
      <c r="L6" s="43">
        <v>0.8</v>
      </c>
      <c r="M6" s="43">
        <v>0.9</v>
      </c>
      <c r="N6" s="43">
        <v>1</v>
      </c>
    </row>
    <row r="7" spans="1:14" x14ac:dyDescent="0.25">
      <c r="B7" s="39" t="s">
        <v>205</v>
      </c>
      <c r="C7" s="39"/>
      <c r="D7" s="37"/>
      <c r="E7" s="37"/>
      <c r="F7" s="37"/>
      <c r="G7" s="37"/>
      <c r="H7" s="37"/>
      <c r="I7" s="37"/>
      <c r="J7" s="37"/>
      <c r="K7" s="37"/>
      <c r="L7" s="37"/>
      <c r="M7" s="37"/>
      <c r="N7" s="37"/>
    </row>
    <row r="8" spans="1:14" outlineLevel="1" x14ac:dyDescent="0.25">
      <c r="A8" s="7" t="str">
        <f>Model!N5</f>
        <v>Indtægter total</v>
      </c>
      <c r="B8" s="38"/>
      <c r="C8" s="38" t="s">
        <v>159</v>
      </c>
      <c r="D8" s="32">
        <v>15704906.5498023</v>
      </c>
      <c r="E8" s="32">
        <v>16190829.9768045</v>
      </c>
      <c r="F8" s="32">
        <v>16102094.8127602</v>
      </c>
      <c r="G8" s="32">
        <v>16016873.9126384</v>
      </c>
      <c r="H8" s="32">
        <v>16136543.7538468</v>
      </c>
      <c r="I8" s="32">
        <v>16057752.8356482</v>
      </c>
      <c r="J8" s="32">
        <v>15981907.3723356</v>
      </c>
      <c r="K8" s="32">
        <v>15908845.2287775</v>
      </c>
      <c r="L8" s="32">
        <v>15838415.9552575</v>
      </c>
      <c r="M8" s="32">
        <v>15770479.753366601</v>
      </c>
      <c r="N8" s="32">
        <v>15704906.5498023</v>
      </c>
    </row>
    <row r="9" spans="1:14" outlineLevel="1" x14ac:dyDescent="0.25">
      <c r="A9" s="7" t="str">
        <f>Model!N6</f>
        <v>Omkostninger total</v>
      </c>
      <c r="B9" s="38"/>
      <c r="C9" s="38" t="s">
        <v>160</v>
      </c>
      <c r="D9" s="32">
        <v>7601139.8216774501</v>
      </c>
      <c r="E9" s="32">
        <v>7866196.3108281298</v>
      </c>
      <c r="F9" s="32">
        <v>7831849.9144885596</v>
      </c>
      <c r="G9" s="32">
        <v>7798897.0890948502</v>
      </c>
      <c r="H9" s="32">
        <v>7767256.6557569401</v>
      </c>
      <c r="I9" s="32">
        <v>7736853.6206430802</v>
      </c>
      <c r="J9" s="32">
        <v>7707618.5969369598</v>
      </c>
      <c r="K9" s="32">
        <v>7679487.2904326404</v>
      </c>
      <c r="L9" s="32">
        <v>7652400.0407408504</v>
      </c>
      <c r="M9" s="32">
        <v>7626301.4112166697</v>
      </c>
      <c r="N9" s="32">
        <v>7601139.8216774501</v>
      </c>
    </row>
    <row r="10" spans="1:14" outlineLevel="1" x14ac:dyDescent="0.25">
      <c r="A10" s="7" t="str">
        <f>Model!N7</f>
        <v>Dækningsbidrag</v>
      </c>
      <c r="B10" s="38"/>
      <c r="C10" s="38" t="s">
        <v>161</v>
      </c>
      <c r="D10" s="32">
        <v>8103766.7281248998</v>
      </c>
      <c r="E10" s="32">
        <v>8324633.6659763698</v>
      </c>
      <c r="F10" s="32">
        <v>8270244.8982715895</v>
      </c>
      <c r="G10" s="32">
        <v>8217976.8235435002</v>
      </c>
      <c r="H10" s="32">
        <v>8369287.0980898896</v>
      </c>
      <c r="I10" s="32">
        <v>8320899.2150051603</v>
      </c>
      <c r="J10" s="32">
        <v>8274288.7753986102</v>
      </c>
      <c r="K10" s="32">
        <v>8229357.9383448502</v>
      </c>
      <c r="L10" s="32">
        <v>8186015.9145167004</v>
      </c>
      <c r="M10" s="32">
        <v>8144178.3421499496</v>
      </c>
      <c r="N10" s="32">
        <v>8103766.7281248998</v>
      </c>
    </row>
    <row r="11" spans="1:14" outlineLevel="1" x14ac:dyDescent="0.25">
      <c r="A11" s="7">
        <f>Model!N8</f>
        <v>0</v>
      </c>
      <c r="B11" s="38"/>
      <c r="C11" s="38" t="s">
        <v>162</v>
      </c>
      <c r="D11" s="33"/>
      <c r="E11" s="33"/>
      <c r="F11" s="33"/>
      <c r="G11" s="33"/>
      <c r="H11" s="33"/>
      <c r="I11" s="33"/>
      <c r="J11" s="33"/>
      <c r="K11" s="33"/>
      <c r="L11" s="33"/>
      <c r="M11" s="33"/>
      <c r="N11" s="33"/>
    </row>
    <row r="12" spans="1:14" outlineLevel="1" x14ac:dyDescent="0.25">
      <c r="A12" s="7" t="str">
        <f>Model!N9</f>
        <v>Varmesalg</v>
      </c>
      <c r="B12" s="38"/>
      <c r="C12" s="38" t="s">
        <v>163</v>
      </c>
      <c r="D12" s="32">
        <v>7499765</v>
      </c>
      <c r="E12" s="32">
        <v>7499765</v>
      </c>
      <c r="F12" s="32">
        <v>7499765</v>
      </c>
      <c r="G12" s="32">
        <v>7499765</v>
      </c>
      <c r="H12" s="32">
        <v>7499765</v>
      </c>
      <c r="I12" s="32">
        <v>7499765</v>
      </c>
      <c r="J12" s="32">
        <v>7499765</v>
      </c>
      <c r="K12" s="32">
        <v>7499765</v>
      </c>
      <c r="L12" s="32">
        <v>7499765</v>
      </c>
      <c r="M12" s="32">
        <v>7499765</v>
      </c>
      <c r="N12" s="32">
        <v>7499765</v>
      </c>
    </row>
    <row r="13" spans="1:14" outlineLevel="1" x14ac:dyDescent="0.25">
      <c r="A13" s="7" t="str">
        <f>Model!N10</f>
        <v>Elsalg</v>
      </c>
      <c r="B13" s="38"/>
      <c r="C13" s="38" t="s">
        <v>164</v>
      </c>
      <c r="D13" s="32">
        <v>3947332.4512195098</v>
      </c>
      <c r="E13" s="32">
        <v>3947332.4512195098</v>
      </c>
      <c r="F13" s="32">
        <v>3947332.4512195098</v>
      </c>
      <c r="G13" s="32">
        <v>3947332.4512195098</v>
      </c>
      <c r="H13" s="32">
        <v>3947332.4512195098</v>
      </c>
      <c r="I13" s="32">
        <v>3947332.4512195098</v>
      </c>
      <c r="J13" s="32">
        <v>3947332.4512195098</v>
      </c>
      <c r="K13" s="32">
        <v>3947332.4512195098</v>
      </c>
      <c r="L13" s="32">
        <v>3947332.4512195098</v>
      </c>
      <c r="M13" s="32">
        <v>3947332.4512195098</v>
      </c>
      <c r="N13" s="32">
        <v>3947332.4512195098</v>
      </c>
    </row>
    <row r="14" spans="1:14" outlineLevel="1" x14ac:dyDescent="0.25">
      <c r="A14" s="7" t="str">
        <f>Model!N11</f>
        <v>RGK-rabat</v>
      </c>
      <c r="B14" s="38"/>
      <c r="C14" s="38" t="s">
        <v>165</v>
      </c>
      <c r="D14" s="32">
        <v>201581.19181097599</v>
      </c>
      <c r="E14" s="32">
        <v>0</v>
      </c>
      <c r="F14" s="32">
        <v>0</v>
      </c>
      <c r="G14" s="32">
        <v>0</v>
      </c>
      <c r="H14" s="32">
        <v>201581.19181097599</v>
      </c>
      <c r="I14" s="32">
        <v>201581.19181097599</v>
      </c>
      <c r="J14" s="32">
        <v>201581.19181097599</v>
      </c>
      <c r="K14" s="32">
        <v>201581.19181097599</v>
      </c>
      <c r="L14" s="32">
        <v>201581.19181097599</v>
      </c>
      <c r="M14" s="32">
        <v>201581.19181097599</v>
      </c>
      <c r="N14" s="32">
        <v>201581.19181097599</v>
      </c>
    </row>
    <row r="15" spans="1:14" outlineLevel="1" x14ac:dyDescent="0.25">
      <c r="A15" s="7" t="str">
        <f>Model!N12</f>
        <v>Modtagebetaling affald</v>
      </c>
      <c r="B15" s="38"/>
      <c r="C15" s="38" t="s">
        <v>166</v>
      </c>
      <c r="D15" s="32">
        <v>4056227.9067718601</v>
      </c>
      <c r="E15" s="32">
        <v>4743732.5255849799</v>
      </c>
      <c r="F15" s="32">
        <v>4654997.3615406398</v>
      </c>
      <c r="G15" s="32">
        <v>4569776.4614188401</v>
      </c>
      <c r="H15" s="32">
        <v>4487865.11081634</v>
      </c>
      <c r="I15" s="32">
        <v>4409074.1926177498</v>
      </c>
      <c r="J15" s="32">
        <v>4333228.7293050801</v>
      </c>
      <c r="K15" s="32">
        <v>4260166.5857470101</v>
      </c>
      <c r="L15" s="32">
        <v>4189737.3122270601</v>
      </c>
      <c r="M15" s="32">
        <v>4121801.1103361398</v>
      </c>
      <c r="N15" s="32">
        <v>4056227.9067718601</v>
      </c>
    </row>
    <row r="16" spans="1:14" outlineLevel="1" x14ac:dyDescent="0.25">
      <c r="A16" s="7">
        <f>Model!N13</f>
        <v>0</v>
      </c>
      <c r="B16" s="38"/>
      <c r="C16" s="38" t="s">
        <v>167</v>
      </c>
      <c r="D16" s="32"/>
      <c r="E16" s="32"/>
      <c r="F16" s="32"/>
      <c r="G16" s="32"/>
      <c r="H16" s="32"/>
      <c r="I16" s="32"/>
      <c r="J16" s="32"/>
      <c r="K16" s="32"/>
      <c r="L16" s="32"/>
      <c r="M16" s="32"/>
      <c r="N16" s="32"/>
    </row>
    <row r="17" spans="1:14" outlineLevel="1" x14ac:dyDescent="0.25">
      <c r="A17" s="7" t="str">
        <f>Model!N14</f>
        <v>Betaling bioaffald</v>
      </c>
      <c r="B17" s="38"/>
      <c r="C17" s="38" t="s">
        <v>168</v>
      </c>
      <c r="D17" s="32">
        <v>0</v>
      </c>
      <c r="E17" s="32">
        <v>0</v>
      </c>
      <c r="F17" s="32">
        <v>0</v>
      </c>
      <c r="G17" s="32">
        <v>0</v>
      </c>
      <c r="H17" s="32">
        <v>0</v>
      </c>
      <c r="I17" s="32">
        <v>0</v>
      </c>
      <c r="J17" s="32">
        <v>0</v>
      </c>
      <c r="K17" s="32">
        <v>0</v>
      </c>
      <c r="L17" s="32">
        <v>0</v>
      </c>
      <c r="M17" s="32">
        <v>0</v>
      </c>
      <c r="N17" s="32">
        <v>0</v>
      </c>
    </row>
    <row r="18" spans="1:14" outlineLevel="1" x14ac:dyDescent="0.25">
      <c r="A18" s="7" t="str">
        <f>Model!N15</f>
        <v>DV-omkostninger</v>
      </c>
      <c r="B18" s="38"/>
      <c r="C18" s="38" t="s">
        <v>169</v>
      </c>
      <c r="D18" s="32">
        <v>1099534.71668785</v>
      </c>
      <c r="E18" s="32">
        <v>1054870.37506322</v>
      </c>
      <c r="F18" s="32">
        <v>1060499.17012563</v>
      </c>
      <c r="G18" s="32">
        <v>1065938.36023679</v>
      </c>
      <c r="H18" s="32">
        <v>1071198.99034531</v>
      </c>
      <c r="I18" s="32">
        <v>1076291.2638799101</v>
      </c>
      <c r="J18" s="32">
        <v>1081224.62139614</v>
      </c>
      <c r="K18" s="32">
        <v>1086007.8105647401</v>
      </c>
      <c r="L18" s="32">
        <v>1090648.9485936901</v>
      </c>
      <c r="M18" s="32">
        <v>1095155.5780213701</v>
      </c>
      <c r="N18" s="32">
        <v>1099534.71668785</v>
      </c>
    </row>
    <row r="19" spans="1:14" outlineLevel="1" x14ac:dyDescent="0.25">
      <c r="A19" s="7" t="str">
        <f>Model!N16</f>
        <v>Affaldvarme-afgift</v>
      </c>
      <c r="B19" s="38"/>
      <c r="C19" s="38" t="s">
        <v>170</v>
      </c>
      <c r="D19" s="32">
        <v>2239801.2000000002</v>
      </c>
      <c r="E19" s="32">
        <v>2239801.2000000002</v>
      </c>
      <c r="F19" s="32">
        <v>2239801.2000000002</v>
      </c>
      <c r="G19" s="32">
        <v>2239801.2000000002</v>
      </c>
      <c r="H19" s="32">
        <v>2239801.2000000002</v>
      </c>
      <c r="I19" s="32">
        <v>2239801.2000000002</v>
      </c>
      <c r="J19" s="32">
        <v>2239801.2000000002</v>
      </c>
      <c r="K19" s="32">
        <v>2239801.2000000002</v>
      </c>
      <c r="L19" s="32">
        <v>2239801.2000000002</v>
      </c>
      <c r="M19" s="32">
        <v>2239801.2000000002</v>
      </c>
      <c r="N19" s="32">
        <v>2239801.2000000002</v>
      </c>
    </row>
    <row r="20" spans="1:14" outlineLevel="1" x14ac:dyDescent="0.25">
      <c r="A20" s="7" t="str">
        <f>Model!N17</f>
        <v>Tillægsafgift</v>
      </c>
      <c r="B20" s="38"/>
      <c r="C20" s="38" t="s">
        <v>171</v>
      </c>
      <c r="D20" s="32">
        <v>2015811.9181097599</v>
      </c>
      <c r="E20" s="32">
        <v>2015811.9181097599</v>
      </c>
      <c r="F20" s="32">
        <v>2015811.9181097599</v>
      </c>
      <c r="G20" s="32">
        <v>2015811.9181097599</v>
      </c>
      <c r="H20" s="32">
        <v>2015811.9181097599</v>
      </c>
      <c r="I20" s="32">
        <v>2015811.9181097599</v>
      </c>
      <c r="J20" s="32">
        <v>2015811.9181097599</v>
      </c>
      <c r="K20" s="32">
        <v>2015811.9181097599</v>
      </c>
      <c r="L20" s="32">
        <v>2015811.9181097599</v>
      </c>
      <c r="M20" s="32">
        <v>2015811.9181097599</v>
      </c>
      <c r="N20" s="32">
        <v>2015811.9181097599</v>
      </c>
    </row>
    <row r="21" spans="1:14" outlineLevel="1" x14ac:dyDescent="0.25">
      <c r="A21" s="7" t="str">
        <f>Model!N18</f>
        <v>CO2-afgift</v>
      </c>
      <c r="B21" s="38"/>
      <c r="C21" s="38" t="s">
        <v>172</v>
      </c>
      <c r="D21" s="32">
        <v>418661.31487911602</v>
      </c>
      <c r="E21" s="32">
        <v>418661.31487911602</v>
      </c>
      <c r="F21" s="32">
        <v>418661.31487911602</v>
      </c>
      <c r="G21" s="32">
        <v>418661.31487911602</v>
      </c>
      <c r="H21" s="32">
        <v>418661.31487911602</v>
      </c>
      <c r="I21" s="32">
        <v>418661.31487911602</v>
      </c>
      <c r="J21" s="32">
        <v>418661.31487911602</v>
      </c>
      <c r="K21" s="32">
        <v>418661.31487911602</v>
      </c>
      <c r="L21" s="32">
        <v>418661.31487911602</v>
      </c>
      <c r="M21" s="32">
        <v>418661.31487911602</v>
      </c>
      <c r="N21" s="32">
        <v>418661.31487911602</v>
      </c>
    </row>
    <row r="22" spans="1:14" outlineLevel="1" x14ac:dyDescent="0.25">
      <c r="A22" s="7" t="str">
        <f>Model!N19</f>
        <v>Kvote-omkostning</v>
      </c>
      <c r="B22" s="38"/>
      <c r="C22" s="38" t="s">
        <v>173</v>
      </c>
      <c r="D22" s="32">
        <v>1827330.6720007199</v>
      </c>
      <c r="E22" s="32">
        <v>2137051.50277603</v>
      </c>
      <c r="F22" s="32">
        <v>2097076.3113740601</v>
      </c>
      <c r="G22" s="32">
        <v>2058684.29586919</v>
      </c>
      <c r="H22" s="32">
        <v>2021783.23242276</v>
      </c>
      <c r="I22" s="32">
        <v>1986287.9237742999</v>
      </c>
      <c r="J22" s="32">
        <v>1952119.5425519401</v>
      </c>
      <c r="K22" s="32">
        <v>1919205.0468790301</v>
      </c>
      <c r="L22" s="32">
        <v>1887476.6591582899</v>
      </c>
      <c r="M22" s="32">
        <v>1856871.4002064299</v>
      </c>
      <c r="N22" s="32">
        <v>1827330.6720007199</v>
      </c>
    </row>
    <row r="23" spans="1:14" outlineLevel="1" x14ac:dyDescent="0.25">
      <c r="A23" s="7">
        <f>Model!N20</f>
        <v>0</v>
      </c>
      <c r="B23" s="38"/>
      <c r="C23" s="38" t="s">
        <v>174</v>
      </c>
      <c r="D23" s="32"/>
      <c r="E23" s="32"/>
      <c r="F23" s="32"/>
      <c r="G23" s="32"/>
      <c r="H23" s="32"/>
      <c r="I23" s="32"/>
      <c r="J23" s="32"/>
      <c r="K23" s="32"/>
      <c r="L23" s="32"/>
      <c r="M23" s="32"/>
      <c r="N23" s="32"/>
    </row>
    <row r="24" spans="1:14" outlineLevel="1" x14ac:dyDescent="0.25">
      <c r="A24" s="7" t="str">
        <f>Model!N21</f>
        <v>Varmemængder:</v>
      </c>
      <c r="B24" s="38"/>
      <c r="C24" s="38" t="s">
        <v>175</v>
      </c>
      <c r="D24" s="33"/>
      <c r="E24" s="33"/>
      <c r="F24" s="33"/>
      <c r="G24" s="33"/>
      <c r="H24" s="33"/>
      <c r="I24" s="33"/>
      <c r="J24" s="33"/>
      <c r="K24" s="33"/>
      <c r="L24" s="33"/>
      <c r="M24" s="33"/>
      <c r="N24" s="33"/>
    </row>
    <row r="25" spans="1:14" outlineLevel="1" x14ac:dyDescent="0.25">
      <c r="A25" s="7" t="str">
        <f>Model!N22</f>
        <v>Varmeproduktion Ovn2</v>
      </c>
      <c r="B25" s="38"/>
      <c r="C25" s="38" t="s">
        <v>176</v>
      </c>
      <c r="D25" s="33">
        <v>3283</v>
      </c>
      <c r="E25" s="33">
        <v>6965.8</v>
      </c>
      <c r="F25" s="33">
        <v>6556.6</v>
      </c>
      <c r="G25" s="33">
        <v>6147.4</v>
      </c>
      <c r="H25" s="33">
        <v>5738.2</v>
      </c>
      <c r="I25" s="33">
        <v>5329</v>
      </c>
      <c r="J25" s="33">
        <v>4919.8</v>
      </c>
      <c r="K25" s="33">
        <v>4510.6000000000004</v>
      </c>
      <c r="L25" s="33">
        <v>4101.3999999999996</v>
      </c>
      <c r="M25" s="33">
        <v>3692.2</v>
      </c>
      <c r="N25" s="33">
        <v>3283</v>
      </c>
    </row>
    <row r="26" spans="1:14" outlineLevel="1" x14ac:dyDescent="0.25">
      <c r="A26" s="7" t="str">
        <f>Model!N23</f>
        <v>Varmeproduktion Ovn3</v>
      </c>
      <c r="B26" s="38"/>
      <c r="C26" s="38" t="s">
        <v>177</v>
      </c>
      <c r="D26" s="33">
        <v>20832</v>
      </c>
      <c r="E26" s="33">
        <v>17149.2</v>
      </c>
      <c r="F26" s="33">
        <v>17558.400000000001</v>
      </c>
      <c r="G26" s="33">
        <v>17967.599999999999</v>
      </c>
      <c r="H26" s="33">
        <v>18376.8</v>
      </c>
      <c r="I26" s="33">
        <v>18786</v>
      </c>
      <c r="J26" s="33">
        <v>19195.2</v>
      </c>
      <c r="K26" s="33">
        <v>19604.400000000001</v>
      </c>
      <c r="L26" s="33">
        <v>20013.599999999999</v>
      </c>
      <c r="M26" s="33">
        <v>20422.8</v>
      </c>
      <c r="N26" s="33">
        <v>20832</v>
      </c>
    </row>
    <row r="27" spans="1:14" outlineLevel="1" x14ac:dyDescent="0.25">
      <c r="A27" s="7" t="str">
        <f>Model!N24</f>
        <v>Heraf RGK-varme</v>
      </c>
      <c r="B27" s="38"/>
      <c r="C27" s="38" t="s">
        <v>178</v>
      </c>
      <c r="D27" s="33">
        <v>5049.4716687852897</v>
      </c>
      <c r="E27" s="33">
        <v>583.03750632208801</v>
      </c>
      <c r="F27" s="33">
        <v>1145.91701256335</v>
      </c>
      <c r="G27" s="33">
        <v>1689.83602367907</v>
      </c>
      <c r="H27" s="33">
        <v>2215.8990345309498</v>
      </c>
      <c r="I27" s="33">
        <v>2725.1263879911999</v>
      </c>
      <c r="J27" s="33">
        <v>3218.4621396144798</v>
      </c>
      <c r="K27" s="33">
        <v>3696.7810564744</v>
      </c>
      <c r="L27" s="33">
        <v>4160.8948593689802</v>
      </c>
      <c r="M27" s="33">
        <v>4611.5578021370802</v>
      </c>
      <c r="N27" s="33">
        <v>5049.4716687852897</v>
      </c>
    </row>
    <row r="28" spans="1:14" outlineLevel="1" x14ac:dyDescent="0.25">
      <c r="A28" s="7" t="str">
        <f>Model!N25</f>
        <v>Bortkølet varme</v>
      </c>
      <c r="B28" s="38"/>
      <c r="C28" s="38" t="s">
        <v>179</v>
      </c>
      <c r="D28" s="33">
        <v>0</v>
      </c>
      <c r="E28" s="33">
        <v>0</v>
      </c>
      <c r="F28" s="33">
        <v>0</v>
      </c>
      <c r="G28" s="33">
        <v>0</v>
      </c>
      <c r="H28" s="33">
        <v>0</v>
      </c>
      <c r="I28" s="33">
        <v>0</v>
      </c>
      <c r="J28" s="33">
        <v>0</v>
      </c>
      <c r="K28" s="33">
        <v>0</v>
      </c>
      <c r="L28" s="33">
        <v>0</v>
      </c>
      <c r="M28" s="33">
        <v>0</v>
      </c>
      <c r="N28" s="33">
        <v>0</v>
      </c>
    </row>
    <row r="29" spans="1:14" outlineLevel="1" x14ac:dyDescent="0.25">
      <c r="A29" s="7" t="str">
        <f>Model!N26</f>
        <v>Leveret varme</v>
      </c>
      <c r="B29" s="38"/>
      <c r="C29" s="38" t="s">
        <v>180</v>
      </c>
      <c r="D29" s="33">
        <v>24115</v>
      </c>
      <c r="E29" s="33">
        <v>24115</v>
      </c>
      <c r="F29" s="33">
        <v>24115</v>
      </c>
      <c r="G29" s="33">
        <v>24115</v>
      </c>
      <c r="H29" s="33">
        <v>24115</v>
      </c>
      <c r="I29" s="33">
        <v>24115</v>
      </c>
      <c r="J29" s="33">
        <v>24115</v>
      </c>
      <c r="K29" s="33">
        <v>24115</v>
      </c>
      <c r="L29" s="33">
        <v>24115</v>
      </c>
      <c r="M29" s="33">
        <v>24115</v>
      </c>
      <c r="N29" s="33">
        <v>24115</v>
      </c>
    </row>
    <row r="30" spans="1:14" outlineLevel="1" x14ac:dyDescent="0.25">
      <c r="A30" s="7" t="str">
        <f>Model!N27</f>
        <v>Spidslastvarme</v>
      </c>
      <c r="B30" s="38"/>
      <c r="C30" s="38" t="s">
        <v>181</v>
      </c>
      <c r="D30" s="33">
        <v>4000</v>
      </c>
      <c r="E30" s="33">
        <v>4000</v>
      </c>
      <c r="F30" s="33">
        <v>4000</v>
      </c>
      <c r="G30" s="33">
        <v>4000</v>
      </c>
      <c r="H30" s="33">
        <v>4000</v>
      </c>
      <c r="I30" s="33">
        <v>4000</v>
      </c>
      <c r="J30" s="33">
        <v>4000</v>
      </c>
      <c r="K30" s="33">
        <v>4000</v>
      </c>
      <c r="L30" s="33">
        <v>4000</v>
      </c>
      <c r="M30" s="33">
        <v>4000</v>
      </c>
      <c r="N30" s="33">
        <v>4000</v>
      </c>
    </row>
    <row r="31" spans="1:14" outlineLevel="1" x14ac:dyDescent="0.25">
      <c r="A31" s="7">
        <f>Model!N28</f>
        <v>0</v>
      </c>
      <c r="B31" s="38"/>
      <c r="C31" s="38" t="s">
        <v>182</v>
      </c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</row>
    <row r="32" spans="1:14" outlineLevel="1" x14ac:dyDescent="0.25">
      <c r="A32" s="7" t="str">
        <f>Model!N29</f>
        <v>Brændselsmængder:</v>
      </c>
      <c r="B32" s="38"/>
      <c r="C32" s="38" t="s">
        <v>183</v>
      </c>
      <c r="D32" s="33"/>
      <c r="E32" s="33"/>
      <c r="F32" s="33"/>
      <c r="G32" s="33"/>
      <c r="H32" s="33"/>
      <c r="I32" s="33"/>
      <c r="J32" s="33"/>
      <c r="K32" s="33"/>
      <c r="L32" s="33"/>
      <c r="M32" s="33"/>
      <c r="N32" s="33"/>
    </row>
    <row r="33" spans="1:14" outlineLevel="1" x14ac:dyDescent="0.25">
      <c r="A33" s="7" t="str">
        <f>Model!N30</f>
        <v>Affaldsforbrug Ovn3</v>
      </c>
      <c r="B33" s="38"/>
      <c r="C33" s="38" t="s">
        <v>184</v>
      </c>
      <c r="D33" s="33">
        <v>9006.456241033</v>
      </c>
      <c r="E33" s="33">
        <v>9006.456241033</v>
      </c>
      <c r="F33" s="33">
        <v>9006.456241033</v>
      </c>
      <c r="G33" s="33">
        <v>9006.456241033</v>
      </c>
      <c r="H33" s="33">
        <v>9006.456241033</v>
      </c>
      <c r="I33" s="33">
        <v>9006.456241033</v>
      </c>
      <c r="J33" s="33">
        <v>9006.456241033</v>
      </c>
      <c r="K33" s="33">
        <v>9006.456241033</v>
      </c>
      <c r="L33" s="33">
        <v>9006.456241033</v>
      </c>
      <c r="M33" s="33">
        <v>9006.456241033</v>
      </c>
      <c r="N33" s="33">
        <v>9006.456241033</v>
      </c>
    </row>
    <row r="34" spans="1:14" outlineLevel="1" x14ac:dyDescent="0.25">
      <c r="A34" s="7" t="str">
        <f>Model!N31</f>
        <v>Nordic Sugar varme</v>
      </c>
      <c r="B34" s="38"/>
      <c r="C34" s="38" t="s">
        <v>185</v>
      </c>
      <c r="D34" s="33">
        <v>4000</v>
      </c>
      <c r="E34" s="33">
        <v>4000</v>
      </c>
      <c r="F34" s="33">
        <v>4000</v>
      </c>
      <c r="G34" s="33">
        <v>4000</v>
      </c>
      <c r="H34" s="33">
        <v>4000</v>
      </c>
      <c r="I34" s="33">
        <v>4000</v>
      </c>
      <c r="J34" s="33">
        <v>4000</v>
      </c>
      <c r="K34" s="33">
        <v>4000</v>
      </c>
      <c r="L34" s="33">
        <v>4000</v>
      </c>
      <c r="M34" s="33">
        <v>4000</v>
      </c>
      <c r="N34" s="33">
        <v>4000</v>
      </c>
    </row>
    <row r="35" spans="1:14" outlineLevel="1" x14ac:dyDescent="0.25">
      <c r="A35" s="7" t="str">
        <f>Model!N32</f>
        <v>Affaldsforbrug Ovn2</v>
      </c>
      <c r="B35" s="38"/>
      <c r="C35" s="38" t="s">
        <v>186</v>
      </c>
      <c r="D35" s="33">
        <v>1134.1135258966599</v>
      </c>
      <c r="E35" s="33">
        <v>2852.8750729294502</v>
      </c>
      <c r="F35" s="33">
        <v>2631.0371628185999</v>
      </c>
      <c r="G35" s="33">
        <v>2417.98491251411</v>
      </c>
      <c r="H35" s="33">
        <v>2213.20653600786</v>
      </c>
      <c r="I35" s="33">
        <v>2016.2292405113701</v>
      </c>
      <c r="J35" s="33">
        <v>1826.6155822297001</v>
      </c>
      <c r="K35" s="33">
        <v>1643.9602233345199</v>
      </c>
      <c r="L35" s="33">
        <v>1467.8870395346601</v>
      </c>
      <c r="M35" s="33">
        <v>1298.0465348073601</v>
      </c>
      <c r="N35" s="33">
        <v>1134.1135258966599</v>
      </c>
    </row>
    <row r="36" spans="1:14" outlineLevel="1" x14ac:dyDescent="0.25">
      <c r="A36" s="7" t="str">
        <f>Model!N33</f>
        <v>Affaldsforbrug kølevarme Ovn3</v>
      </c>
      <c r="B36" s="38"/>
      <c r="C36" s="38" t="s">
        <v>187</v>
      </c>
      <c r="D36" s="33">
        <v>0</v>
      </c>
      <c r="E36" s="33">
        <v>0</v>
      </c>
      <c r="F36" s="33">
        <v>0</v>
      </c>
      <c r="G36" s="33">
        <v>0</v>
      </c>
      <c r="H36" s="33">
        <v>0</v>
      </c>
      <c r="I36" s="33">
        <v>0</v>
      </c>
      <c r="J36" s="33">
        <v>0</v>
      </c>
      <c r="K36" s="33">
        <v>0</v>
      </c>
      <c r="L36" s="33">
        <v>0</v>
      </c>
      <c r="M36" s="33">
        <v>0</v>
      </c>
      <c r="N36" s="33">
        <v>0</v>
      </c>
    </row>
    <row r="37" spans="1:14" outlineLevel="1" x14ac:dyDescent="0.25">
      <c r="A37" s="7" t="str">
        <f>Model!N34</f>
        <v>Affaldsforbrug kølevarme Ovn2</v>
      </c>
      <c r="B37" s="38"/>
      <c r="C37" s="38" t="s">
        <v>188</v>
      </c>
      <c r="D37" s="33">
        <v>0</v>
      </c>
      <c r="E37" s="33">
        <v>0</v>
      </c>
      <c r="F37" s="33">
        <v>0</v>
      </c>
      <c r="G37" s="33">
        <v>0</v>
      </c>
      <c r="H37" s="33">
        <v>0</v>
      </c>
      <c r="I37" s="33">
        <v>0</v>
      </c>
      <c r="J37" s="33">
        <v>0</v>
      </c>
      <c r="K37" s="33">
        <v>0</v>
      </c>
      <c r="L37" s="33">
        <v>0</v>
      </c>
      <c r="M37" s="33">
        <v>0</v>
      </c>
      <c r="N37" s="33">
        <v>0</v>
      </c>
    </row>
    <row r="38" spans="1:14" outlineLevel="1" x14ac:dyDescent="0.25">
      <c r="A38" s="7" t="str">
        <f>Model!N35</f>
        <v>Udnyttet affald</v>
      </c>
      <c r="B38" s="38"/>
      <c r="C38" s="38" t="s">
        <v>189</v>
      </c>
      <c r="D38" s="33">
        <v>10140.569766929701</v>
      </c>
      <c r="E38" s="33">
        <v>11859.331313962501</v>
      </c>
      <c r="F38" s="33">
        <v>11637.4934038516</v>
      </c>
      <c r="G38" s="33">
        <v>11424.441153547101</v>
      </c>
      <c r="H38" s="33">
        <v>11219.6627770409</v>
      </c>
      <c r="I38" s="33">
        <v>11022.6854815444</v>
      </c>
      <c r="J38" s="33">
        <v>10833.0718232627</v>
      </c>
      <c r="K38" s="33">
        <v>10650.416464367499</v>
      </c>
      <c r="L38" s="33">
        <v>10474.3432805677</v>
      </c>
      <c r="M38" s="33">
        <v>10304.502775840399</v>
      </c>
      <c r="N38" s="33">
        <v>10140.569766929701</v>
      </c>
    </row>
    <row r="39" spans="1:14" ht="15.75" outlineLevel="1" thickBot="1" x14ac:dyDescent="0.3">
      <c r="A39" s="7" t="str">
        <f>Model!N36</f>
        <v>Ikke-udnyttet affald</v>
      </c>
      <c r="B39" s="40"/>
      <c r="C39" s="40" t="s">
        <v>190</v>
      </c>
      <c r="D39" s="34">
        <v>1859.4302330703399</v>
      </c>
      <c r="E39" s="45">
        <v>140.66868603754901</v>
      </c>
      <c r="F39" s="45">
        <v>362.50659614840498</v>
      </c>
      <c r="G39" s="45">
        <v>575.558846452887</v>
      </c>
      <c r="H39" s="45">
        <v>780.33722295914004</v>
      </c>
      <c r="I39" s="45">
        <v>977.31451845562901</v>
      </c>
      <c r="J39" s="45">
        <v>1166.9281767373</v>
      </c>
      <c r="K39" s="45">
        <v>1349.5835356324801</v>
      </c>
      <c r="L39" s="45">
        <v>1525.65671943234</v>
      </c>
      <c r="M39" s="45">
        <v>1695.4972241596399</v>
      </c>
      <c r="N39" s="45">
        <v>1859.4302330703399</v>
      </c>
    </row>
    <row r="40" spans="1:14" x14ac:dyDescent="0.25">
      <c r="B40" t="s">
        <v>206</v>
      </c>
    </row>
    <row r="41" spans="1:14" x14ac:dyDescent="0.25">
      <c r="B41" t="s">
        <v>207</v>
      </c>
    </row>
    <row r="42" spans="1:14" x14ac:dyDescent="0.25">
      <c r="B42" t="s">
        <v>208</v>
      </c>
    </row>
  </sheetData>
  <pageMargins left="0.7" right="0.7" top="0.75" bottom="0.75" header="0.3" footer="0.3"/>
  <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xr2:uid="{AB46F0AC-F652-49DB-BE24-DA5E259D700D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'Scenario 28 GWh'!E8:N8</xm:f>
              <xm:sqref>O8</xm:sqref>
            </x14:sparkline>
            <x14:sparkline>
              <xm:f>'Scenario 28 GWh'!E9:N9</xm:f>
              <xm:sqref>O9</xm:sqref>
            </x14:sparkline>
            <x14:sparkline>
              <xm:f>'Scenario 28 GWh'!E10:N10</xm:f>
              <xm:sqref>O10</xm:sqref>
            </x14:sparkline>
            <x14:sparkline>
              <xm:f>'Scenario 28 GWh'!E11:N11</xm:f>
              <xm:sqref>O11</xm:sqref>
            </x14:sparkline>
            <x14:sparkline>
              <xm:f>'Scenario 28 GWh'!E12:N12</xm:f>
              <xm:sqref>O12</xm:sqref>
            </x14:sparkline>
            <x14:sparkline>
              <xm:f>'Scenario 28 GWh'!E13:N13</xm:f>
              <xm:sqref>O13</xm:sqref>
            </x14:sparkline>
            <x14:sparkline>
              <xm:f>'Scenario 28 GWh'!E14:N14</xm:f>
              <xm:sqref>O14</xm:sqref>
            </x14:sparkline>
            <x14:sparkline>
              <xm:f>'Scenario 28 GWh'!E15:N15</xm:f>
              <xm:sqref>O15</xm:sqref>
            </x14:sparkline>
            <x14:sparkline>
              <xm:f>'Scenario 28 GWh'!E16:N16</xm:f>
              <xm:sqref>O16</xm:sqref>
            </x14:sparkline>
            <x14:sparkline>
              <xm:f>'Scenario 28 GWh'!E17:N17</xm:f>
              <xm:sqref>O17</xm:sqref>
            </x14:sparkline>
            <x14:sparkline>
              <xm:f>'Scenario 28 GWh'!E18:N18</xm:f>
              <xm:sqref>O18</xm:sqref>
            </x14:sparkline>
            <x14:sparkline>
              <xm:f>'Scenario 28 GWh'!E19:N19</xm:f>
              <xm:sqref>O19</xm:sqref>
            </x14:sparkline>
            <x14:sparkline>
              <xm:f>'Scenario 28 GWh'!E20:N20</xm:f>
              <xm:sqref>O20</xm:sqref>
            </x14:sparkline>
            <x14:sparkline>
              <xm:f>'Scenario 28 GWh'!E21:N21</xm:f>
              <xm:sqref>O21</xm:sqref>
            </x14:sparkline>
            <x14:sparkline>
              <xm:f>'Scenario 28 GWh'!E22:N22</xm:f>
              <xm:sqref>O22</xm:sqref>
            </x14:sparkline>
            <x14:sparkline>
              <xm:f>'Scenario 28 GWh'!E23:N23</xm:f>
              <xm:sqref>O23</xm:sqref>
            </x14:sparkline>
            <x14:sparkline>
              <xm:f>'Scenario 28 GWh'!E24:N24</xm:f>
              <xm:sqref>O24</xm:sqref>
            </x14:sparkline>
            <x14:sparkline>
              <xm:f>'Scenario 28 GWh'!E25:N25</xm:f>
              <xm:sqref>O25</xm:sqref>
            </x14:sparkline>
            <x14:sparkline>
              <xm:f>'Scenario 28 GWh'!E26:N26</xm:f>
              <xm:sqref>O26</xm:sqref>
            </x14:sparkline>
            <x14:sparkline>
              <xm:f>'Scenario 28 GWh'!E27:N27</xm:f>
              <xm:sqref>O27</xm:sqref>
            </x14:sparkline>
            <x14:sparkline>
              <xm:f>'Scenario 28 GWh'!E28:N28</xm:f>
              <xm:sqref>O28</xm:sqref>
            </x14:sparkline>
            <x14:sparkline>
              <xm:f>'Scenario 28 GWh'!E29:N29</xm:f>
              <xm:sqref>O29</xm:sqref>
            </x14:sparkline>
            <x14:sparkline>
              <xm:f>'Scenario 28 GWh'!E30:N30</xm:f>
              <xm:sqref>O30</xm:sqref>
            </x14:sparkline>
            <x14:sparkline>
              <xm:f>'Scenario 28 GWh'!E31:N31</xm:f>
              <xm:sqref>O31</xm:sqref>
            </x14:sparkline>
            <x14:sparkline>
              <xm:f>'Scenario 28 GWh'!E32:N32</xm:f>
              <xm:sqref>O32</xm:sqref>
            </x14:sparkline>
            <x14:sparkline>
              <xm:f>'Scenario 28 GWh'!E33:N33</xm:f>
              <xm:sqref>O33</xm:sqref>
            </x14:sparkline>
            <x14:sparkline>
              <xm:f>'Scenario 28 GWh'!E34:N34</xm:f>
              <xm:sqref>O34</xm:sqref>
            </x14:sparkline>
            <x14:sparkline>
              <xm:f>'Scenario 28 GWh'!E35:N35</xm:f>
              <xm:sqref>O35</xm:sqref>
            </x14:sparkline>
            <x14:sparkline>
              <xm:f>'Scenario 28 GWh'!E36:N36</xm:f>
              <xm:sqref>O36</xm:sqref>
            </x14:sparkline>
            <x14:sparkline>
              <xm:f>'Scenario 28 GWh'!E37:N37</xm:f>
              <xm:sqref>O37</xm:sqref>
            </x14:sparkline>
            <x14:sparkline>
              <xm:f>'Scenario 28 GWh'!E38:N38</xm:f>
              <xm:sqref>O38</xm:sqref>
            </x14:sparkline>
            <x14:sparkline>
              <xm:f>'Scenario 28 GWh'!E39:N39</xm:f>
              <xm:sqref>O39</xm:sqref>
            </x14:sparkline>
          </x14:sparklines>
        </x14:sparklineGroup>
      </x14:sparklineGroup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97F49F-1561-419C-B31C-066F255F1EE0}">
  <sheetPr codeName="Sheet5">
    <outlinePr summaryBelow="0"/>
  </sheetPr>
  <dimension ref="A1:N42"/>
  <sheetViews>
    <sheetView showGridLines="0" zoomScale="85" zoomScaleNormal="85" workbookViewId="0">
      <selection activeCell="P5" sqref="P5"/>
    </sheetView>
  </sheetViews>
  <sheetFormatPr defaultRowHeight="15" outlineLevelRow="1" outlineLevelCol="1" x14ac:dyDescent="0.25"/>
  <cols>
    <col min="1" max="1" width="30.7109375" bestFit="1" customWidth="1"/>
    <col min="2" max="2" width="3" customWidth="1"/>
    <col min="3" max="3" width="11.28515625" customWidth="1"/>
    <col min="4" max="14" width="13.140625" bestFit="1" customWidth="1" outlineLevel="1"/>
    <col min="15" max="15" width="17.85546875" customWidth="1"/>
  </cols>
  <sheetData>
    <row r="1" spans="1:14" ht="15.75" thickBot="1" x14ac:dyDescent="0.3"/>
    <row r="2" spans="1:14" ht="15.75" x14ac:dyDescent="0.25">
      <c r="B2" s="36" t="s">
        <v>202</v>
      </c>
      <c r="C2" s="36"/>
      <c r="D2" s="41"/>
      <c r="E2" s="41"/>
      <c r="F2" s="41"/>
      <c r="G2" s="41"/>
      <c r="H2" s="41"/>
      <c r="I2" s="41"/>
      <c r="J2" s="41"/>
      <c r="K2" s="41"/>
      <c r="L2" s="41"/>
      <c r="M2" s="41"/>
      <c r="N2" s="41"/>
    </row>
    <row r="3" spans="1:14" ht="15.75" collapsed="1" x14ac:dyDescent="0.25">
      <c r="B3" s="35"/>
      <c r="C3" s="35"/>
      <c r="D3" s="42" t="s">
        <v>204</v>
      </c>
      <c r="E3" s="42" t="s">
        <v>191</v>
      </c>
      <c r="F3" s="42" t="s">
        <v>193</v>
      </c>
      <c r="G3" s="42" t="s">
        <v>194</v>
      </c>
      <c r="H3" s="42" t="s">
        <v>195</v>
      </c>
      <c r="I3" s="42" t="s">
        <v>196</v>
      </c>
      <c r="J3" s="42" t="s">
        <v>197</v>
      </c>
      <c r="K3" s="42" t="s">
        <v>198</v>
      </c>
      <c r="L3" s="42" t="s">
        <v>199</v>
      </c>
      <c r="M3" s="42" t="s">
        <v>200</v>
      </c>
      <c r="N3" s="42" t="s">
        <v>201</v>
      </c>
    </row>
    <row r="4" spans="1:14" ht="45" hidden="1" outlineLevel="1" x14ac:dyDescent="0.25">
      <c r="B4" s="38"/>
      <c r="C4" s="38"/>
      <c r="D4" s="30"/>
      <c r="E4" s="44" t="s">
        <v>192</v>
      </c>
      <c r="F4" s="44" t="s">
        <v>192</v>
      </c>
      <c r="G4" s="44" t="s">
        <v>192</v>
      </c>
      <c r="H4" s="44" t="s">
        <v>192</v>
      </c>
      <c r="I4" s="44" t="s">
        <v>192</v>
      </c>
      <c r="J4" s="44" t="s">
        <v>192</v>
      </c>
      <c r="K4" s="44" t="s">
        <v>192</v>
      </c>
      <c r="L4" s="44" t="s">
        <v>192</v>
      </c>
      <c r="M4" s="44" t="s">
        <v>192</v>
      </c>
      <c r="N4" s="44" t="s">
        <v>192</v>
      </c>
    </row>
    <row r="5" spans="1:14" x14ac:dyDescent="0.25">
      <c r="B5" s="39" t="s">
        <v>203</v>
      </c>
      <c r="C5" s="39"/>
      <c r="D5" s="37"/>
      <c r="E5" s="37"/>
      <c r="F5" s="37"/>
      <c r="G5" s="37"/>
      <c r="H5" s="37"/>
      <c r="I5" s="37"/>
      <c r="J5" s="37"/>
      <c r="K5" s="37"/>
      <c r="L5" s="37"/>
      <c r="M5" s="37"/>
      <c r="N5" s="37"/>
    </row>
    <row r="6" spans="1:14" outlineLevel="1" x14ac:dyDescent="0.25">
      <c r="B6" s="38"/>
      <c r="C6" s="38" t="s">
        <v>158</v>
      </c>
      <c r="D6" s="31">
        <v>1</v>
      </c>
      <c r="E6" s="43">
        <v>0.1</v>
      </c>
      <c r="F6" s="43">
        <v>0.2</v>
      </c>
      <c r="G6" s="43">
        <v>0.3</v>
      </c>
      <c r="H6" s="43">
        <v>0.4</v>
      </c>
      <c r="I6" s="43">
        <v>0.5</v>
      </c>
      <c r="J6" s="43">
        <v>0.6</v>
      </c>
      <c r="K6" s="43">
        <v>0.7</v>
      </c>
      <c r="L6" s="43">
        <v>0.8</v>
      </c>
      <c r="M6" s="43">
        <v>0.9</v>
      </c>
      <c r="N6" s="43">
        <v>1</v>
      </c>
    </row>
    <row r="7" spans="1:14" x14ac:dyDescent="0.25">
      <c r="B7" s="39" t="s">
        <v>205</v>
      </c>
      <c r="C7" s="39"/>
      <c r="D7" s="37"/>
      <c r="E7" s="37"/>
      <c r="F7" s="37"/>
      <c r="G7" s="37"/>
      <c r="H7" s="37"/>
      <c r="I7" s="37"/>
      <c r="J7" s="37"/>
      <c r="K7" s="37"/>
      <c r="L7" s="37"/>
      <c r="M7" s="37"/>
      <c r="N7" s="37"/>
    </row>
    <row r="8" spans="1:14" outlineLevel="1" x14ac:dyDescent="0.25">
      <c r="A8" s="7" t="str">
        <f>Model!N5</f>
        <v>Indtægter total</v>
      </c>
      <c r="B8" s="38"/>
      <c r="C8" s="38" t="s">
        <v>159</v>
      </c>
      <c r="D8" s="32">
        <v>18118707.4232703</v>
      </c>
      <c r="E8" s="32">
        <v>16310010.253459301</v>
      </c>
      <c r="F8" s="32">
        <v>16483548.253459301</v>
      </c>
      <c r="G8" s="32">
        <v>16657086.253459301</v>
      </c>
      <c r="H8" s="32">
        <v>17048733.495270301</v>
      </c>
      <c r="I8" s="32">
        <v>17227062.483270299</v>
      </c>
      <c r="J8" s="32">
        <v>17405391.4712703</v>
      </c>
      <c r="K8" s="32">
        <v>17583720.459270298</v>
      </c>
      <c r="L8" s="32">
        <v>17762049.4472703</v>
      </c>
      <c r="M8" s="32">
        <v>17940378.435270298</v>
      </c>
      <c r="N8" s="32">
        <v>18118707.4232703</v>
      </c>
    </row>
    <row r="9" spans="1:14" outlineLevel="1" x14ac:dyDescent="0.25">
      <c r="A9" s="7" t="str">
        <f>Model!N6</f>
        <v>Omkostninger total</v>
      </c>
      <c r="B9" s="38"/>
      <c r="C9" s="38" t="s">
        <v>160</v>
      </c>
      <c r="D9" s="32">
        <v>8974185.9215454608</v>
      </c>
      <c r="E9" s="32">
        <v>7934106.8600176601</v>
      </c>
      <c r="F9" s="32">
        <v>8049671.2001874102</v>
      </c>
      <c r="G9" s="32">
        <v>8165235.5403571697</v>
      </c>
      <c r="H9" s="32">
        <v>8280799.8805269198</v>
      </c>
      <c r="I9" s="32">
        <v>8396364.2206966802</v>
      </c>
      <c r="J9" s="32">
        <v>8511928.5608664397</v>
      </c>
      <c r="K9" s="32">
        <v>8627492.9010361899</v>
      </c>
      <c r="L9" s="32">
        <v>8743057.2412059493</v>
      </c>
      <c r="M9" s="32">
        <v>8858621.5813757107</v>
      </c>
      <c r="N9" s="32">
        <v>8974185.9215454608</v>
      </c>
    </row>
    <row r="10" spans="1:14" outlineLevel="1" x14ac:dyDescent="0.25">
      <c r="A10" s="7" t="str">
        <f>Model!N7</f>
        <v>Dækningsbidrag</v>
      </c>
      <c r="B10" s="38"/>
      <c r="C10" s="38" t="s">
        <v>161</v>
      </c>
      <c r="D10" s="32">
        <v>9144521.5017248206</v>
      </c>
      <c r="E10" s="32">
        <v>8375903.3934416501</v>
      </c>
      <c r="F10" s="32">
        <v>8433877.0532719009</v>
      </c>
      <c r="G10" s="32">
        <v>8491850.7131021395</v>
      </c>
      <c r="H10" s="32">
        <v>8767933.6147433594</v>
      </c>
      <c r="I10" s="32">
        <v>8830698.2625735998</v>
      </c>
      <c r="J10" s="32">
        <v>8893462.9104038496</v>
      </c>
      <c r="K10" s="32">
        <v>8956227.55823409</v>
      </c>
      <c r="L10" s="32">
        <v>9018992.2060643304</v>
      </c>
      <c r="M10" s="32">
        <v>9081756.8538945802</v>
      </c>
      <c r="N10" s="32">
        <v>9144521.5017248206</v>
      </c>
    </row>
    <row r="11" spans="1:14" outlineLevel="1" x14ac:dyDescent="0.25">
      <c r="A11" s="7">
        <f>Model!N8</f>
        <v>0</v>
      </c>
      <c r="B11" s="38"/>
      <c r="C11" s="38" t="s">
        <v>162</v>
      </c>
      <c r="D11" s="33"/>
      <c r="E11" s="33"/>
      <c r="F11" s="33"/>
      <c r="G11" s="33"/>
      <c r="H11" s="33"/>
      <c r="I11" s="33"/>
      <c r="J11" s="33"/>
      <c r="K11" s="33"/>
      <c r="L11" s="33"/>
      <c r="M11" s="33"/>
      <c r="N11" s="33"/>
    </row>
    <row r="12" spans="1:14" outlineLevel="1" x14ac:dyDescent="0.25">
      <c r="A12" s="7" t="str">
        <f>Model!N9</f>
        <v>Varmesalg</v>
      </c>
      <c r="B12" s="38"/>
      <c r="C12" s="38" t="s">
        <v>163</v>
      </c>
      <c r="D12" s="32">
        <v>9139668</v>
      </c>
      <c r="E12" s="32">
        <v>7577826</v>
      </c>
      <c r="F12" s="32">
        <v>7751364</v>
      </c>
      <c r="G12" s="32">
        <v>7924902</v>
      </c>
      <c r="H12" s="32">
        <v>8098440</v>
      </c>
      <c r="I12" s="32">
        <v>8271978</v>
      </c>
      <c r="J12" s="32">
        <v>8445516</v>
      </c>
      <c r="K12" s="32">
        <v>8619054</v>
      </c>
      <c r="L12" s="32">
        <v>8792592</v>
      </c>
      <c r="M12" s="32">
        <v>8966130</v>
      </c>
      <c r="N12" s="32">
        <v>9139668</v>
      </c>
    </row>
    <row r="13" spans="1:14" outlineLevel="1" x14ac:dyDescent="0.25">
      <c r="A13" s="7" t="str">
        <f>Model!N10</f>
        <v>Elsalg</v>
      </c>
      <c r="B13" s="38"/>
      <c r="C13" s="38" t="s">
        <v>164</v>
      </c>
      <c r="D13" s="32">
        <v>3947332.4512195098</v>
      </c>
      <c r="E13" s="32">
        <v>3947332.4512195098</v>
      </c>
      <c r="F13" s="32">
        <v>3947332.4512195098</v>
      </c>
      <c r="G13" s="32">
        <v>3947332.4512195098</v>
      </c>
      <c r="H13" s="32">
        <v>3947332.4512195098</v>
      </c>
      <c r="I13" s="32">
        <v>3947332.4512195098</v>
      </c>
      <c r="J13" s="32">
        <v>3947332.4512195098</v>
      </c>
      <c r="K13" s="32">
        <v>3947332.4512195098</v>
      </c>
      <c r="L13" s="32">
        <v>3947332.4512195098</v>
      </c>
      <c r="M13" s="32">
        <v>3947332.4512195098</v>
      </c>
      <c r="N13" s="32">
        <v>3947332.4512195098</v>
      </c>
    </row>
    <row r="14" spans="1:14" outlineLevel="1" x14ac:dyDescent="0.25">
      <c r="A14" s="7" t="str">
        <f>Model!N11</f>
        <v>RGK-rabat</v>
      </c>
      <c r="B14" s="38"/>
      <c r="C14" s="38" t="s">
        <v>165</v>
      </c>
      <c r="D14" s="32">
        <v>246855.16981097599</v>
      </c>
      <c r="E14" s="32">
        <v>0</v>
      </c>
      <c r="F14" s="32">
        <v>0</v>
      </c>
      <c r="G14" s="32">
        <v>0</v>
      </c>
      <c r="H14" s="32">
        <v>218109.241810976</v>
      </c>
      <c r="I14" s="32">
        <v>222900.22981097599</v>
      </c>
      <c r="J14" s="32">
        <v>227691.217810976</v>
      </c>
      <c r="K14" s="32">
        <v>232482.20581097601</v>
      </c>
      <c r="L14" s="32">
        <v>237273.19381097599</v>
      </c>
      <c r="M14" s="32">
        <v>242064.18181097601</v>
      </c>
      <c r="N14" s="32">
        <v>246855.16981097599</v>
      </c>
    </row>
    <row r="15" spans="1:14" outlineLevel="1" x14ac:dyDescent="0.25">
      <c r="A15" s="7" t="str">
        <f>Model!N12</f>
        <v>Modtagebetaling affald</v>
      </c>
      <c r="B15" s="38"/>
      <c r="C15" s="38" t="s">
        <v>166</v>
      </c>
      <c r="D15" s="32">
        <v>4784851.8022397999</v>
      </c>
      <c r="E15" s="32">
        <v>4784851.8022397999</v>
      </c>
      <c r="F15" s="32">
        <v>4784851.8022397999</v>
      </c>
      <c r="G15" s="32">
        <v>4784851.8022397999</v>
      </c>
      <c r="H15" s="32">
        <v>4784851.8022397999</v>
      </c>
      <c r="I15" s="32">
        <v>4784851.8022397999</v>
      </c>
      <c r="J15" s="32">
        <v>4784851.8022397999</v>
      </c>
      <c r="K15" s="32">
        <v>4784851.8022397999</v>
      </c>
      <c r="L15" s="32">
        <v>4784851.8022397999</v>
      </c>
      <c r="M15" s="32">
        <v>4784851.8022397999</v>
      </c>
      <c r="N15" s="32">
        <v>4784851.8022397999</v>
      </c>
    </row>
    <row r="16" spans="1:14" outlineLevel="1" x14ac:dyDescent="0.25">
      <c r="A16" s="7">
        <f>Model!N13</f>
        <v>0</v>
      </c>
      <c r="B16" s="38"/>
      <c r="C16" s="38" t="s">
        <v>167</v>
      </c>
      <c r="D16" s="32"/>
      <c r="E16" s="32"/>
      <c r="F16" s="32"/>
      <c r="G16" s="32"/>
      <c r="H16" s="32"/>
      <c r="I16" s="32"/>
      <c r="J16" s="32"/>
      <c r="K16" s="32"/>
      <c r="L16" s="32"/>
      <c r="M16" s="32"/>
      <c r="N16" s="32"/>
    </row>
    <row r="17" spans="1:14" outlineLevel="1" x14ac:dyDescent="0.25">
      <c r="A17" s="7" t="str">
        <f>Model!N14</f>
        <v>Betaling bioaffald</v>
      </c>
      <c r="B17" s="38"/>
      <c r="C17" s="38" t="s">
        <v>168</v>
      </c>
      <c r="D17" s="32">
        <v>0</v>
      </c>
      <c r="E17" s="32">
        <v>0</v>
      </c>
      <c r="F17" s="32">
        <v>0</v>
      </c>
      <c r="G17" s="32">
        <v>0</v>
      </c>
      <c r="H17" s="32">
        <v>0</v>
      </c>
      <c r="I17" s="32">
        <v>0</v>
      </c>
      <c r="J17" s="32">
        <v>0</v>
      </c>
      <c r="K17" s="32">
        <v>0</v>
      </c>
      <c r="L17" s="32">
        <v>0</v>
      </c>
      <c r="M17" s="32">
        <v>0</v>
      </c>
      <c r="N17" s="32">
        <v>0</v>
      </c>
    </row>
    <row r="18" spans="1:14" outlineLevel="1" x14ac:dyDescent="0.25">
      <c r="A18" s="7" t="str">
        <f>Model!N15</f>
        <v>DV-omkostninger</v>
      </c>
      <c r="B18" s="38"/>
      <c r="C18" s="38" t="s">
        <v>169</v>
      </c>
      <c r="D18" s="32">
        <v>1107810.8046975599</v>
      </c>
      <c r="E18" s="32">
        <v>1054917.0804697601</v>
      </c>
      <c r="F18" s="32">
        <v>1060794.16093951</v>
      </c>
      <c r="G18" s="32">
        <v>1066671.2414092701</v>
      </c>
      <c r="H18" s="32">
        <v>1072548.32187902</v>
      </c>
      <c r="I18" s="32">
        <v>1078425.4023487801</v>
      </c>
      <c r="J18" s="32">
        <v>1084302.48281854</v>
      </c>
      <c r="K18" s="32">
        <v>1090179.5632882901</v>
      </c>
      <c r="L18" s="32">
        <v>1096056.6437580499</v>
      </c>
      <c r="M18" s="32">
        <v>1101933.7242278</v>
      </c>
      <c r="N18" s="32">
        <v>1107810.8046975599</v>
      </c>
    </row>
    <row r="19" spans="1:14" outlineLevel="1" x14ac:dyDescent="0.25">
      <c r="A19" s="7" t="str">
        <f>Model!N16</f>
        <v>Affaldvarme-afgift</v>
      </c>
      <c r="B19" s="38"/>
      <c r="C19" s="38" t="s">
        <v>170</v>
      </c>
      <c r="D19" s="32">
        <v>2729557.44</v>
      </c>
      <c r="E19" s="32">
        <v>2263114.08</v>
      </c>
      <c r="F19" s="32">
        <v>2314941.12</v>
      </c>
      <c r="G19" s="32">
        <v>2366768.16</v>
      </c>
      <c r="H19" s="32">
        <v>2418595.2000000002</v>
      </c>
      <c r="I19" s="32">
        <v>2470422.2400000002</v>
      </c>
      <c r="J19" s="32">
        <v>2522249.2799999998</v>
      </c>
      <c r="K19" s="32">
        <v>2574076.3199999998</v>
      </c>
      <c r="L19" s="32">
        <v>2625903.36</v>
      </c>
      <c r="M19" s="32">
        <v>2677730.4</v>
      </c>
      <c r="N19" s="32">
        <v>2729557.44</v>
      </c>
    </row>
    <row r="20" spans="1:14" outlineLevel="1" x14ac:dyDescent="0.25">
      <c r="A20" s="7" t="str">
        <f>Model!N17</f>
        <v>Tillægsafgift</v>
      </c>
      <c r="B20" s="38"/>
      <c r="C20" s="38" t="s">
        <v>171</v>
      </c>
      <c r="D20" s="32">
        <v>2468551.6981097599</v>
      </c>
      <c r="E20" s="32">
        <v>2037362.77810976</v>
      </c>
      <c r="F20" s="32">
        <v>2085272.6581097599</v>
      </c>
      <c r="G20" s="32">
        <v>2133182.5381097598</v>
      </c>
      <c r="H20" s="32">
        <v>2181092.4181097602</v>
      </c>
      <c r="I20" s="32">
        <v>2229002.29810976</v>
      </c>
      <c r="J20" s="32">
        <v>2276912.1781097599</v>
      </c>
      <c r="K20" s="32">
        <v>2324822.0581097598</v>
      </c>
      <c r="L20" s="32">
        <v>2372731.9381097602</v>
      </c>
      <c r="M20" s="32">
        <v>2420641.8181097601</v>
      </c>
      <c r="N20" s="32">
        <v>2468551.6981097599</v>
      </c>
    </row>
    <row r="21" spans="1:14" outlineLevel="1" x14ac:dyDescent="0.25">
      <c r="A21" s="7" t="str">
        <f>Model!N18</f>
        <v>CO2-afgift</v>
      </c>
      <c r="B21" s="38"/>
      <c r="C21" s="38" t="s">
        <v>172</v>
      </c>
      <c r="D21" s="32">
        <v>512690.24182911601</v>
      </c>
      <c r="E21" s="32">
        <v>423137.18452911603</v>
      </c>
      <c r="F21" s="32">
        <v>433087.52422911598</v>
      </c>
      <c r="G21" s="32">
        <v>443037.86392911599</v>
      </c>
      <c r="H21" s="32">
        <v>452988.203629116</v>
      </c>
      <c r="I21" s="32">
        <v>462938.54332911602</v>
      </c>
      <c r="J21" s="32">
        <v>472888.88302911603</v>
      </c>
      <c r="K21" s="32">
        <v>482839.22272911598</v>
      </c>
      <c r="L21" s="32">
        <v>492789.56242911599</v>
      </c>
      <c r="M21" s="32">
        <v>502739.902129116</v>
      </c>
      <c r="N21" s="32">
        <v>512690.24182911601</v>
      </c>
    </row>
    <row r="22" spans="1:14" outlineLevel="1" x14ac:dyDescent="0.25">
      <c r="A22" s="7" t="str">
        <f>Model!N19</f>
        <v>Kvote-omkostning</v>
      </c>
      <c r="B22" s="38"/>
      <c r="C22" s="38" t="s">
        <v>173</v>
      </c>
      <c r="D22" s="32">
        <v>2155575.73690903</v>
      </c>
      <c r="E22" s="32">
        <v>2155575.73690903</v>
      </c>
      <c r="F22" s="32">
        <v>2155575.73690903</v>
      </c>
      <c r="G22" s="32">
        <v>2155575.73690903</v>
      </c>
      <c r="H22" s="32">
        <v>2155575.73690903</v>
      </c>
      <c r="I22" s="32">
        <v>2155575.73690903</v>
      </c>
      <c r="J22" s="32">
        <v>2155575.73690903</v>
      </c>
      <c r="K22" s="32">
        <v>2155575.73690903</v>
      </c>
      <c r="L22" s="32">
        <v>2155575.73690903</v>
      </c>
      <c r="M22" s="32">
        <v>2155575.73690903</v>
      </c>
      <c r="N22" s="32">
        <v>2155575.73690903</v>
      </c>
    </row>
    <row r="23" spans="1:14" outlineLevel="1" x14ac:dyDescent="0.25">
      <c r="A23" s="7">
        <f>Model!N20</f>
        <v>0</v>
      </c>
      <c r="B23" s="38"/>
      <c r="C23" s="38" t="s">
        <v>174</v>
      </c>
      <c r="D23" s="32"/>
      <c r="E23" s="32"/>
      <c r="F23" s="32"/>
      <c r="G23" s="32"/>
      <c r="H23" s="32"/>
      <c r="I23" s="32"/>
      <c r="J23" s="32"/>
      <c r="K23" s="32"/>
      <c r="L23" s="32"/>
      <c r="M23" s="32"/>
      <c r="N23" s="32"/>
    </row>
    <row r="24" spans="1:14" outlineLevel="1" x14ac:dyDescent="0.25">
      <c r="A24" s="7" t="str">
        <f>Model!N21</f>
        <v>Varmemængder:</v>
      </c>
      <c r="B24" s="38"/>
      <c r="C24" s="38" t="s">
        <v>175</v>
      </c>
      <c r="D24" s="33"/>
      <c r="E24" s="33"/>
      <c r="F24" s="33"/>
      <c r="G24" s="33"/>
      <c r="H24" s="33"/>
      <c r="I24" s="33"/>
      <c r="J24" s="33"/>
      <c r="K24" s="33"/>
      <c r="L24" s="33"/>
      <c r="M24" s="33"/>
      <c r="N24" s="33"/>
    </row>
    <row r="25" spans="1:14" outlineLevel="1" x14ac:dyDescent="0.25">
      <c r="A25" s="7" t="str">
        <f>Model!N22</f>
        <v>Varmeproduktion Ovn2</v>
      </c>
      <c r="B25" s="38"/>
      <c r="C25" s="38" t="s">
        <v>176</v>
      </c>
      <c r="D25" s="33">
        <v>8556</v>
      </c>
      <c r="E25" s="33">
        <v>7216.8</v>
      </c>
      <c r="F25" s="33">
        <v>7365.6</v>
      </c>
      <c r="G25" s="33">
        <v>7514.4</v>
      </c>
      <c r="H25" s="33">
        <v>7663.2</v>
      </c>
      <c r="I25" s="33">
        <v>7812</v>
      </c>
      <c r="J25" s="33">
        <v>7960.8</v>
      </c>
      <c r="K25" s="33">
        <v>8109.6</v>
      </c>
      <c r="L25" s="33">
        <v>8258.4</v>
      </c>
      <c r="M25" s="33">
        <v>8407.2000000000007</v>
      </c>
      <c r="N25" s="33">
        <v>8556</v>
      </c>
    </row>
    <row r="26" spans="1:14" outlineLevel="1" x14ac:dyDescent="0.25">
      <c r="A26" s="7" t="str">
        <f>Model!N23</f>
        <v>Varmeproduktion Ovn3</v>
      </c>
      <c r="B26" s="38"/>
      <c r="C26" s="38" t="s">
        <v>177</v>
      </c>
      <c r="D26" s="33">
        <v>20832</v>
      </c>
      <c r="E26" s="33">
        <v>17149.2</v>
      </c>
      <c r="F26" s="33">
        <v>17558.400000000001</v>
      </c>
      <c r="G26" s="33">
        <v>17967.599999999999</v>
      </c>
      <c r="H26" s="33">
        <v>18376.8</v>
      </c>
      <c r="I26" s="33">
        <v>18786</v>
      </c>
      <c r="J26" s="33">
        <v>19195.2</v>
      </c>
      <c r="K26" s="33">
        <v>19604.400000000001</v>
      </c>
      <c r="L26" s="33">
        <v>20013.599999999999</v>
      </c>
      <c r="M26" s="33">
        <v>20422.8</v>
      </c>
      <c r="N26" s="33">
        <v>20832</v>
      </c>
    </row>
    <row r="27" spans="1:14" outlineLevel="1" x14ac:dyDescent="0.25">
      <c r="A27" s="7" t="str">
        <f>Model!N24</f>
        <v>Heraf RGK-varme</v>
      </c>
      <c r="B27" s="38"/>
      <c r="C27" s="38" t="s">
        <v>178</v>
      </c>
      <c r="D27" s="33">
        <v>5877.0804697560598</v>
      </c>
      <c r="E27" s="33">
        <v>587.70804697560595</v>
      </c>
      <c r="F27" s="33">
        <v>1175.4160939512101</v>
      </c>
      <c r="G27" s="33">
        <v>1763.12414092682</v>
      </c>
      <c r="H27" s="33">
        <v>2350.8321879024202</v>
      </c>
      <c r="I27" s="33">
        <v>2938.5402348780299</v>
      </c>
      <c r="J27" s="33">
        <v>3526.24828185363</v>
      </c>
      <c r="K27" s="33">
        <v>4113.9563288292402</v>
      </c>
      <c r="L27" s="33">
        <v>4701.6643758048504</v>
      </c>
      <c r="M27" s="33">
        <v>5289.3724227804496</v>
      </c>
      <c r="N27" s="33">
        <v>5877.0804697560598</v>
      </c>
    </row>
    <row r="28" spans="1:14" outlineLevel="1" x14ac:dyDescent="0.25">
      <c r="A28" s="7" t="str">
        <f>Model!N25</f>
        <v>Bortkølet varme</v>
      </c>
      <c r="B28" s="38"/>
      <c r="C28" s="38" t="s">
        <v>179</v>
      </c>
      <c r="D28" s="33">
        <v>0</v>
      </c>
      <c r="E28" s="33">
        <v>0</v>
      </c>
      <c r="F28" s="33">
        <v>0</v>
      </c>
      <c r="G28" s="33">
        <v>0</v>
      </c>
      <c r="H28" s="33">
        <v>0</v>
      </c>
      <c r="I28" s="33">
        <v>0</v>
      </c>
      <c r="J28" s="33">
        <v>0</v>
      </c>
      <c r="K28" s="33">
        <v>0</v>
      </c>
      <c r="L28" s="33">
        <v>0</v>
      </c>
      <c r="M28" s="33">
        <v>0</v>
      </c>
      <c r="N28" s="33">
        <v>0</v>
      </c>
    </row>
    <row r="29" spans="1:14" outlineLevel="1" x14ac:dyDescent="0.25">
      <c r="A29" s="7" t="str">
        <f>Model!N26</f>
        <v>Leveret varme</v>
      </c>
      <c r="B29" s="38"/>
      <c r="C29" s="38" t="s">
        <v>180</v>
      </c>
      <c r="D29" s="33">
        <v>29388</v>
      </c>
      <c r="E29" s="33">
        <v>24366</v>
      </c>
      <c r="F29" s="33">
        <v>24924</v>
      </c>
      <c r="G29" s="33">
        <v>25482</v>
      </c>
      <c r="H29" s="33">
        <v>26040</v>
      </c>
      <c r="I29" s="33">
        <v>26598</v>
      </c>
      <c r="J29" s="33">
        <v>27156</v>
      </c>
      <c r="K29" s="33">
        <v>27714</v>
      </c>
      <c r="L29" s="33">
        <v>28272</v>
      </c>
      <c r="M29" s="33">
        <v>28830</v>
      </c>
      <c r="N29" s="33">
        <v>29388</v>
      </c>
    </row>
    <row r="30" spans="1:14" outlineLevel="1" x14ac:dyDescent="0.25">
      <c r="A30" s="7" t="str">
        <f>Model!N27</f>
        <v>Spidslastvarme</v>
      </c>
      <c r="B30" s="38"/>
      <c r="C30" s="38" t="s">
        <v>181</v>
      </c>
      <c r="D30" s="33">
        <v>5612</v>
      </c>
      <c r="E30" s="33">
        <v>10634</v>
      </c>
      <c r="F30" s="33">
        <v>10076</v>
      </c>
      <c r="G30" s="33">
        <v>9518</v>
      </c>
      <c r="H30" s="33">
        <v>8960</v>
      </c>
      <c r="I30" s="33">
        <v>8402</v>
      </c>
      <c r="J30" s="33">
        <v>7844</v>
      </c>
      <c r="K30" s="33">
        <v>7286</v>
      </c>
      <c r="L30" s="33">
        <v>6728</v>
      </c>
      <c r="M30" s="33">
        <v>6170</v>
      </c>
      <c r="N30" s="33">
        <v>5612</v>
      </c>
    </row>
    <row r="31" spans="1:14" outlineLevel="1" x14ac:dyDescent="0.25">
      <c r="A31" s="7">
        <f>Model!N28</f>
        <v>0</v>
      </c>
      <c r="B31" s="38"/>
      <c r="C31" s="38" t="s">
        <v>182</v>
      </c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</row>
    <row r="32" spans="1:14" outlineLevel="1" x14ac:dyDescent="0.25">
      <c r="A32" s="7" t="str">
        <f>Model!N29</f>
        <v>Brændselsmængder:</v>
      </c>
      <c r="B32" s="38"/>
      <c r="C32" s="38" t="s">
        <v>183</v>
      </c>
      <c r="D32" s="33"/>
      <c r="E32" s="33"/>
      <c r="F32" s="33"/>
      <c r="G32" s="33"/>
      <c r="H32" s="33"/>
      <c r="I32" s="33"/>
      <c r="J32" s="33"/>
      <c r="K32" s="33"/>
      <c r="L32" s="33"/>
      <c r="M32" s="33"/>
      <c r="N32" s="33"/>
    </row>
    <row r="33" spans="1:14" outlineLevel="1" x14ac:dyDescent="0.25">
      <c r="A33" s="7" t="str">
        <f>Model!N30</f>
        <v>Affaldsforbrug Ovn3</v>
      </c>
      <c r="B33" s="38"/>
      <c r="C33" s="38" t="s">
        <v>184</v>
      </c>
      <c r="D33" s="33">
        <v>9006.456241033</v>
      </c>
      <c r="E33" s="33">
        <v>9006.456241033</v>
      </c>
      <c r="F33" s="33">
        <v>9006.456241033</v>
      </c>
      <c r="G33" s="33">
        <v>9006.456241033</v>
      </c>
      <c r="H33" s="33">
        <v>9006.456241033</v>
      </c>
      <c r="I33" s="33">
        <v>9006.456241033</v>
      </c>
      <c r="J33" s="33">
        <v>9006.456241033</v>
      </c>
      <c r="K33" s="33">
        <v>9006.456241033</v>
      </c>
      <c r="L33" s="33">
        <v>9006.456241033</v>
      </c>
      <c r="M33" s="33">
        <v>9006.456241033</v>
      </c>
      <c r="N33" s="33">
        <v>9006.456241033</v>
      </c>
    </row>
    <row r="34" spans="1:14" outlineLevel="1" x14ac:dyDescent="0.25">
      <c r="A34" s="7" t="str">
        <f>Model!N31</f>
        <v>Nordic Sugar varme</v>
      </c>
      <c r="B34" s="38"/>
      <c r="C34" s="38" t="s">
        <v>185</v>
      </c>
      <c r="D34" s="33">
        <v>4000</v>
      </c>
      <c r="E34" s="33">
        <v>4000</v>
      </c>
      <c r="F34" s="33">
        <v>4000</v>
      </c>
      <c r="G34" s="33">
        <v>4000</v>
      </c>
      <c r="H34" s="33">
        <v>4000</v>
      </c>
      <c r="I34" s="33">
        <v>4000</v>
      </c>
      <c r="J34" s="33">
        <v>4000</v>
      </c>
      <c r="K34" s="33">
        <v>4000</v>
      </c>
      <c r="L34" s="33">
        <v>4000</v>
      </c>
      <c r="M34" s="33">
        <v>4000</v>
      </c>
      <c r="N34" s="33">
        <v>4000</v>
      </c>
    </row>
    <row r="35" spans="1:14" outlineLevel="1" x14ac:dyDescent="0.25">
      <c r="A35" s="7" t="str">
        <f>Model!N32</f>
        <v>Affaldsforbrug Ovn2</v>
      </c>
      <c r="B35" s="38"/>
      <c r="C35" s="38" t="s">
        <v>186</v>
      </c>
      <c r="D35" s="33">
        <v>2955.6732645664902</v>
      </c>
      <c r="E35" s="33">
        <v>2955.6732645664902</v>
      </c>
      <c r="F35" s="33">
        <v>2955.6732645664902</v>
      </c>
      <c r="G35" s="33">
        <v>2955.6732645664902</v>
      </c>
      <c r="H35" s="33">
        <v>2955.6732645664902</v>
      </c>
      <c r="I35" s="33">
        <v>2955.6732645664902</v>
      </c>
      <c r="J35" s="33">
        <v>2955.6732645664902</v>
      </c>
      <c r="K35" s="33">
        <v>2955.6732645664902</v>
      </c>
      <c r="L35" s="33">
        <v>2955.6732645664902</v>
      </c>
      <c r="M35" s="33">
        <v>2955.6732645664902</v>
      </c>
      <c r="N35" s="33">
        <v>2955.6732645664902</v>
      </c>
    </row>
    <row r="36" spans="1:14" outlineLevel="1" x14ac:dyDescent="0.25">
      <c r="A36" s="7" t="str">
        <f>Model!N33</f>
        <v>Affaldsforbrug kølevarme Ovn3</v>
      </c>
      <c r="B36" s="38"/>
      <c r="C36" s="38" t="s">
        <v>187</v>
      </c>
      <c r="D36" s="33">
        <v>0</v>
      </c>
      <c r="E36" s="33">
        <v>0</v>
      </c>
      <c r="F36" s="33">
        <v>0</v>
      </c>
      <c r="G36" s="33">
        <v>0</v>
      </c>
      <c r="H36" s="33">
        <v>0</v>
      </c>
      <c r="I36" s="33">
        <v>0</v>
      </c>
      <c r="J36" s="33">
        <v>0</v>
      </c>
      <c r="K36" s="33">
        <v>0</v>
      </c>
      <c r="L36" s="33">
        <v>0</v>
      </c>
      <c r="M36" s="33">
        <v>0</v>
      </c>
      <c r="N36" s="33">
        <v>0</v>
      </c>
    </row>
    <row r="37" spans="1:14" outlineLevel="1" x14ac:dyDescent="0.25">
      <c r="A37" s="7" t="str">
        <f>Model!N34</f>
        <v>Affaldsforbrug kølevarme Ovn2</v>
      </c>
      <c r="B37" s="38"/>
      <c r="C37" s="38" t="s">
        <v>188</v>
      </c>
      <c r="D37" s="33">
        <v>0</v>
      </c>
      <c r="E37" s="33">
        <v>0</v>
      </c>
      <c r="F37" s="33">
        <v>0</v>
      </c>
      <c r="G37" s="33">
        <v>0</v>
      </c>
      <c r="H37" s="33">
        <v>0</v>
      </c>
      <c r="I37" s="33">
        <v>0</v>
      </c>
      <c r="J37" s="33">
        <v>0</v>
      </c>
      <c r="K37" s="33">
        <v>0</v>
      </c>
      <c r="L37" s="33">
        <v>0</v>
      </c>
      <c r="M37" s="33">
        <v>0</v>
      </c>
      <c r="N37" s="33">
        <v>0</v>
      </c>
    </row>
    <row r="38" spans="1:14" outlineLevel="1" x14ac:dyDescent="0.25">
      <c r="A38" s="7" t="str">
        <f>Model!N35</f>
        <v>Udnyttet affald</v>
      </c>
      <c r="B38" s="38"/>
      <c r="C38" s="38" t="s">
        <v>189</v>
      </c>
      <c r="D38" s="33">
        <v>11962.1295055995</v>
      </c>
      <c r="E38" s="33">
        <v>11962.1295055995</v>
      </c>
      <c r="F38" s="33">
        <v>11962.1295055995</v>
      </c>
      <c r="G38" s="33">
        <v>11962.1295055995</v>
      </c>
      <c r="H38" s="33">
        <v>11962.1295055995</v>
      </c>
      <c r="I38" s="33">
        <v>11962.1295055995</v>
      </c>
      <c r="J38" s="33">
        <v>11962.1295055995</v>
      </c>
      <c r="K38" s="33">
        <v>11962.1295055995</v>
      </c>
      <c r="L38" s="33">
        <v>11962.1295055995</v>
      </c>
      <c r="M38" s="33">
        <v>11962.1295055995</v>
      </c>
      <c r="N38" s="33">
        <v>11962.1295055995</v>
      </c>
    </row>
    <row r="39" spans="1:14" ht="15.75" outlineLevel="1" thickBot="1" x14ac:dyDescent="0.3">
      <c r="A39" s="7" t="str">
        <f>Model!N36</f>
        <v>Ikke-udnyttet affald</v>
      </c>
      <c r="B39" s="40"/>
      <c r="C39" s="40" t="s">
        <v>190</v>
      </c>
      <c r="D39" s="34">
        <v>37.870494400509401</v>
      </c>
      <c r="E39" s="34">
        <v>37.870494400509401</v>
      </c>
      <c r="F39" s="34">
        <v>37.870494400509401</v>
      </c>
      <c r="G39" s="34">
        <v>37.870494400509401</v>
      </c>
      <c r="H39" s="34">
        <v>37.870494400509401</v>
      </c>
      <c r="I39" s="34">
        <v>37.870494400509401</v>
      </c>
      <c r="J39" s="34">
        <v>37.870494400509401</v>
      </c>
      <c r="K39" s="34">
        <v>37.870494400509401</v>
      </c>
      <c r="L39" s="34">
        <v>37.870494400509898</v>
      </c>
      <c r="M39" s="34">
        <v>37.870494400509003</v>
      </c>
      <c r="N39" s="34">
        <v>37.870494400509401</v>
      </c>
    </row>
    <row r="40" spans="1:14" x14ac:dyDescent="0.25">
      <c r="B40" t="s">
        <v>206</v>
      </c>
    </row>
    <row r="41" spans="1:14" x14ac:dyDescent="0.25">
      <c r="B41" t="s">
        <v>207</v>
      </c>
    </row>
    <row r="42" spans="1:14" x14ac:dyDescent="0.25">
      <c r="B42" t="s">
        <v>208</v>
      </c>
    </row>
  </sheetData>
  <pageMargins left="0.7" right="0.7" top="0.75" bottom="0.75" header="0.3" footer="0.3"/>
  <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xr2:uid="{ED510920-6599-412A-9380-0323910B00CF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'Scenario 35 GWh'!E8:N8</xm:f>
              <xm:sqref>O8</xm:sqref>
            </x14:sparkline>
            <x14:sparkline>
              <xm:f>'Scenario 35 GWh'!E9:N9</xm:f>
              <xm:sqref>O9</xm:sqref>
            </x14:sparkline>
            <x14:sparkline>
              <xm:f>'Scenario 35 GWh'!E10:N10</xm:f>
              <xm:sqref>O10</xm:sqref>
            </x14:sparkline>
            <x14:sparkline>
              <xm:f>'Scenario 35 GWh'!E11:N11</xm:f>
              <xm:sqref>O11</xm:sqref>
            </x14:sparkline>
            <x14:sparkline>
              <xm:f>'Scenario 35 GWh'!E12:N12</xm:f>
              <xm:sqref>O12</xm:sqref>
            </x14:sparkline>
            <x14:sparkline>
              <xm:f>'Scenario 35 GWh'!E13:N13</xm:f>
              <xm:sqref>O13</xm:sqref>
            </x14:sparkline>
            <x14:sparkline>
              <xm:f>'Scenario 35 GWh'!E14:N14</xm:f>
              <xm:sqref>O14</xm:sqref>
            </x14:sparkline>
            <x14:sparkline>
              <xm:f>'Scenario 35 GWh'!E15:N15</xm:f>
              <xm:sqref>O15</xm:sqref>
            </x14:sparkline>
            <x14:sparkline>
              <xm:f>'Scenario 35 GWh'!E16:N16</xm:f>
              <xm:sqref>O16</xm:sqref>
            </x14:sparkline>
            <x14:sparkline>
              <xm:f>'Scenario 35 GWh'!E17:N17</xm:f>
              <xm:sqref>O17</xm:sqref>
            </x14:sparkline>
            <x14:sparkline>
              <xm:f>'Scenario 35 GWh'!E18:N18</xm:f>
              <xm:sqref>O18</xm:sqref>
            </x14:sparkline>
            <x14:sparkline>
              <xm:f>'Scenario 35 GWh'!E19:N19</xm:f>
              <xm:sqref>O19</xm:sqref>
            </x14:sparkline>
            <x14:sparkline>
              <xm:f>'Scenario 35 GWh'!E20:N20</xm:f>
              <xm:sqref>O20</xm:sqref>
            </x14:sparkline>
            <x14:sparkline>
              <xm:f>'Scenario 35 GWh'!E21:N21</xm:f>
              <xm:sqref>O21</xm:sqref>
            </x14:sparkline>
            <x14:sparkline>
              <xm:f>'Scenario 35 GWh'!E22:N22</xm:f>
              <xm:sqref>O22</xm:sqref>
            </x14:sparkline>
            <x14:sparkline>
              <xm:f>'Scenario 35 GWh'!E23:N23</xm:f>
              <xm:sqref>O23</xm:sqref>
            </x14:sparkline>
            <x14:sparkline>
              <xm:f>'Scenario 35 GWh'!E24:N24</xm:f>
              <xm:sqref>O24</xm:sqref>
            </x14:sparkline>
            <x14:sparkline>
              <xm:f>'Scenario 35 GWh'!E25:N25</xm:f>
              <xm:sqref>O25</xm:sqref>
            </x14:sparkline>
            <x14:sparkline>
              <xm:f>'Scenario 35 GWh'!E26:N26</xm:f>
              <xm:sqref>O26</xm:sqref>
            </x14:sparkline>
            <x14:sparkline>
              <xm:f>'Scenario 35 GWh'!E27:N27</xm:f>
              <xm:sqref>O27</xm:sqref>
            </x14:sparkline>
            <x14:sparkline>
              <xm:f>'Scenario 35 GWh'!E28:N28</xm:f>
              <xm:sqref>O28</xm:sqref>
            </x14:sparkline>
            <x14:sparkline>
              <xm:f>'Scenario 35 GWh'!E29:N29</xm:f>
              <xm:sqref>O29</xm:sqref>
            </x14:sparkline>
            <x14:sparkline>
              <xm:f>'Scenario 35 GWh'!E30:N30</xm:f>
              <xm:sqref>O30</xm:sqref>
            </x14:sparkline>
            <x14:sparkline>
              <xm:f>'Scenario 35 GWh'!E31:N31</xm:f>
              <xm:sqref>O31</xm:sqref>
            </x14:sparkline>
            <x14:sparkline>
              <xm:f>'Scenario 35 GWh'!E32:N32</xm:f>
              <xm:sqref>O32</xm:sqref>
            </x14:sparkline>
            <x14:sparkline>
              <xm:f>'Scenario 35 GWh'!E33:N33</xm:f>
              <xm:sqref>O33</xm:sqref>
            </x14:sparkline>
            <x14:sparkline>
              <xm:f>'Scenario 35 GWh'!E34:N34</xm:f>
              <xm:sqref>O34</xm:sqref>
            </x14:sparkline>
            <x14:sparkline>
              <xm:f>'Scenario 35 GWh'!E35:N35</xm:f>
              <xm:sqref>O35</xm:sqref>
            </x14:sparkline>
            <x14:sparkline>
              <xm:f>'Scenario 35 GWh'!E36:N36</xm:f>
              <xm:sqref>O36</xm:sqref>
            </x14:sparkline>
            <x14:sparkline>
              <xm:f>'Scenario 35 GWh'!E37:N37</xm:f>
              <xm:sqref>O37</xm:sqref>
            </x14:sparkline>
            <x14:sparkline>
              <xm:f>'Scenario 35 GWh'!E38:N38</xm:f>
              <xm:sqref>O38</xm:sqref>
            </x14:sparkline>
            <x14:sparkline>
              <xm:f>'Scenario 35 GWh'!E39:N39</xm:f>
              <xm:sqref>O39</xm:sqref>
            </x14:sparkline>
          </x14:sparklines>
        </x14:sparklineGroup>
      </x14:sparklineGroup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EAE2D-0C92-4631-B92C-FB0A81AF4228}">
  <sheetPr codeName="Sheet6"/>
  <dimension ref="C2:P30"/>
  <sheetViews>
    <sheetView workbookViewId="0">
      <selection activeCell="I33" sqref="I33"/>
    </sheetView>
  </sheetViews>
  <sheetFormatPr defaultRowHeight="15" x14ac:dyDescent="0.25"/>
  <cols>
    <col min="3" max="3" width="14.140625" bestFit="1" customWidth="1"/>
    <col min="6" max="6" width="14.140625" bestFit="1" customWidth="1"/>
    <col min="10" max="10" width="14.140625" bestFit="1" customWidth="1"/>
  </cols>
  <sheetData>
    <row r="2" spans="3:14" x14ac:dyDescent="0.25">
      <c r="C2" t="s">
        <v>93</v>
      </c>
      <c r="F2" t="s">
        <v>137</v>
      </c>
      <c r="M2" t="s">
        <v>55</v>
      </c>
      <c r="N2" t="s">
        <v>55</v>
      </c>
    </row>
    <row r="3" spans="3:14" x14ac:dyDescent="0.25">
      <c r="D3" t="s">
        <v>71</v>
      </c>
      <c r="G3" t="s">
        <v>1</v>
      </c>
      <c r="H3" t="s">
        <v>2</v>
      </c>
      <c r="K3" t="s">
        <v>94</v>
      </c>
      <c r="M3" t="s">
        <v>1</v>
      </c>
      <c r="N3" t="s">
        <v>2</v>
      </c>
    </row>
    <row r="4" spans="3:14" x14ac:dyDescent="0.25">
      <c r="C4" t="s">
        <v>72</v>
      </c>
      <c r="D4" s="16">
        <v>11400.2114002</v>
      </c>
      <c r="F4" t="s">
        <v>72</v>
      </c>
      <c r="G4" s="16">
        <v>1382.27949725194</v>
      </c>
      <c r="H4" s="16">
        <v>2526.36441138806</v>
      </c>
      <c r="J4" t="s">
        <v>72</v>
      </c>
      <c r="K4" s="17">
        <v>10.5</v>
      </c>
      <c r="M4" s="16">
        <f>G4*$K4/3.6</f>
        <v>4031.6485336514916</v>
      </c>
      <c r="N4" s="16">
        <f>H4*$K4/3.6</f>
        <v>7368.5628665485083</v>
      </c>
    </row>
    <row r="5" spans="3:14" x14ac:dyDescent="0.25">
      <c r="C5" t="s">
        <v>73</v>
      </c>
      <c r="D5" s="16">
        <v>0</v>
      </c>
      <c r="F5" t="s">
        <v>73</v>
      </c>
      <c r="G5" s="16">
        <v>0</v>
      </c>
      <c r="H5" s="16">
        <v>0</v>
      </c>
      <c r="J5" t="s">
        <v>73</v>
      </c>
      <c r="K5" s="17">
        <v>10.5</v>
      </c>
      <c r="M5" s="16">
        <f t="shared" ref="M5:M24" si="0">G5*$K5/3.6</f>
        <v>0</v>
      </c>
      <c r="N5" s="16">
        <f t="shared" ref="N5:N24" si="1">H5*$K5/3.6</f>
        <v>0</v>
      </c>
    </row>
    <row r="6" spans="3:14" x14ac:dyDescent="0.25">
      <c r="C6" t="s">
        <v>74</v>
      </c>
      <c r="D6" s="16">
        <v>0</v>
      </c>
      <c r="F6" t="s">
        <v>74</v>
      </c>
      <c r="G6" s="16">
        <v>0</v>
      </c>
      <c r="H6" s="16">
        <v>0</v>
      </c>
      <c r="J6" t="s">
        <v>74</v>
      </c>
      <c r="K6" s="17">
        <v>10.5</v>
      </c>
      <c r="M6" s="16">
        <f t="shared" si="0"/>
        <v>0</v>
      </c>
      <c r="N6" s="16">
        <f t="shared" si="1"/>
        <v>0</v>
      </c>
    </row>
    <row r="7" spans="3:14" x14ac:dyDescent="0.25">
      <c r="C7" t="s">
        <v>75</v>
      </c>
      <c r="D7" s="16">
        <v>6154.3428210033298</v>
      </c>
      <c r="F7" t="s">
        <v>75</v>
      </c>
      <c r="G7" s="16">
        <v>0</v>
      </c>
      <c r="H7" s="16">
        <v>2356.9823569800001</v>
      </c>
      <c r="J7" t="s">
        <v>75</v>
      </c>
      <c r="K7" s="17">
        <v>9.4</v>
      </c>
      <c r="M7" s="16">
        <f t="shared" si="0"/>
        <v>0</v>
      </c>
      <c r="N7" s="16">
        <f t="shared" si="1"/>
        <v>6154.3428210033335</v>
      </c>
    </row>
    <row r="8" spans="3:14" x14ac:dyDescent="0.25">
      <c r="C8" t="s">
        <v>76</v>
      </c>
      <c r="D8" s="16">
        <v>1276.2179428833299</v>
      </c>
      <c r="F8" t="s">
        <v>76</v>
      </c>
      <c r="G8" s="16">
        <v>437.56043756000003</v>
      </c>
      <c r="H8" s="16">
        <v>0</v>
      </c>
      <c r="J8" t="s">
        <v>76</v>
      </c>
      <c r="K8" s="17">
        <v>10.5</v>
      </c>
      <c r="M8" s="16">
        <f t="shared" si="0"/>
        <v>1276.2179428833335</v>
      </c>
      <c r="N8" s="16">
        <f t="shared" si="1"/>
        <v>0</v>
      </c>
    </row>
    <row r="9" spans="3:14" x14ac:dyDescent="0.25">
      <c r="C9" t="s">
        <v>77</v>
      </c>
      <c r="D9" s="16">
        <v>0</v>
      </c>
      <c r="F9" t="s">
        <v>77</v>
      </c>
      <c r="G9" s="16">
        <v>0</v>
      </c>
      <c r="H9" s="16">
        <v>0</v>
      </c>
      <c r="J9" t="s">
        <v>77</v>
      </c>
      <c r="K9" s="17">
        <v>14.5</v>
      </c>
      <c r="M9" s="16">
        <f t="shared" si="0"/>
        <v>0</v>
      </c>
      <c r="N9" s="16">
        <f t="shared" si="1"/>
        <v>0</v>
      </c>
    </row>
    <row r="10" spans="3:14" x14ac:dyDescent="0.25">
      <c r="C10" t="s">
        <v>78</v>
      </c>
      <c r="D10" s="16">
        <v>972.20097220000002</v>
      </c>
      <c r="F10" t="s">
        <v>78</v>
      </c>
      <c r="G10" s="16">
        <v>291.66029165999998</v>
      </c>
      <c r="H10" s="16">
        <v>0</v>
      </c>
      <c r="J10" t="s">
        <v>78</v>
      </c>
      <c r="K10" s="17">
        <v>12</v>
      </c>
      <c r="M10" s="16">
        <f t="shared" si="0"/>
        <v>972.20097219999991</v>
      </c>
      <c r="N10" s="16">
        <f t="shared" si="1"/>
        <v>0</v>
      </c>
    </row>
    <row r="11" spans="3:14" x14ac:dyDescent="0.25">
      <c r="C11" t="s">
        <v>79</v>
      </c>
      <c r="D11" s="16">
        <v>15.375015375</v>
      </c>
      <c r="F11" t="s">
        <v>79</v>
      </c>
      <c r="G11" s="16">
        <v>6.1500061500000003</v>
      </c>
      <c r="H11" s="16">
        <v>0</v>
      </c>
      <c r="J11" t="s">
        <v>79</v>
      </c>
      <c r="K11" s="17">
        <v>9</v>
      </c>
      <c r="M11" s="16">
        <f t="shared" si="0"/>
        <v>15.375015375</v>
      </c>
      <c r="N11" s="16">
        <f t="shared" si="1"/>
        <v>0</v>
      </c>
    </row>
    <row r="12" spans="3:14" x14ac:dyDescent="0.25">
      <c r="C12" t="s">
        <v>80</v>
      </c>
      <c r="D12" s="16">
        <v>785.27856305555599</v>
      </c>
      <c r="F12" t="s">
        <v>80</v>
      </c>
      <c r="G12" s="16">
        <v>257.00025699999998</v>
      </c>
      <c r="H12" s="16">
        <v>0</v>
      </c>
      <c r="J12" t="s">
        <v>80</v>
      </c>
      <c r="K12" s="17">
        <v>11</v>
      </c>
      <c r="M12" s="16">
        <f t="shared" si="0"/>
        <v>785.27856305555542</v>
      </c>
      <c r="N12" s="16">
        <f t="shared" si="1"/>
        <v>0</v>
      </c>
    </row>
    <row r="13" spans="3:14" x14ac:dyDescent="0.25">
      <c r="C13" t="s">
        <v>81</v>
      </c>
      <c r="D13" s="16">
        <v>60.1667268333333</v>
      </c>
      <c r="F13" t="s">
        <v>81</v>
      </c>
      <c r="G13" s="16">
        <v>22.800022800000001</v>
      </c>
      <c r="H13" s="16">
        <v>0</v>
      </c>
      <c r="J13" t="s">
        <v>81</v>
      </c>
      <c r="K13" s="17">
        <v>9.5</v>
      </c>
      <c r="M13" s="16">
        <f t="shared" si="0"/>
        <v>60.166726833333335</v>
      </c>
      <c r="N13" s="16">
        <f t="shared" si="1"/>
        <v>0</v>
      </c>
    </row>
    <row r="14" spans="3:14" x14ac:dyDescent="0.25">
      <c r="C14" t="s">
        <v>82</v>
      </c>
      <c r="D14" s="16">
        <v>2540.00254</v>
      </c>
      <c r="F14" t="s">
        <v>82</v>
      </c>
      <c r="G14" s="16">
        <v>0</v>
      </c>
      <c r="H14" s="16">
        <v>1016.001016</v>
      </c>
      <c r="J14" t="s">
        <v>82</v>
      </c>
      <c r="K14" s="17">
        <v>9</v>
      </c>
      <c r="M14" s="16">
        <f t="shared" si="0"/>
        <v>0</v>
      </c>
      <c r="N14" s="16">
        <f t="shared" si="1"/>
        <v>2540.00254</v>
      </c>
    </row>
    <row r="15" spans="3:14" x14ac:dyDescent="0.25">
      <c r="C15" t="s">
        <v>83</v>
      </c>
      <c r="D15" s="16">
        <v>45.100045100000003</v>
      </c>
      <c r="F15" t="s">
        <v>83</v>
      </c>
      <c r="G15" s="16">
        <v>0</v>
      </c>
      <c r="H15" s="16">
        <v>13.53001353</v>
      </c>
      <c r="J15" t="s">
        <v>83</v>
      </c>
      <c r="K15" s="17">
        <v>12</v>
      </c>
      <c r="M15" s="16">
        <f t="shared" si="0"/>
        <v>0</v>
      </c>
      <c r="N15" s="16">
        <f t="shared" si="1"/>
        <v>45.100045100000003</v>
      </c>
    </row>
    <row r="16" spans="3:14" x14ac:dyDescent="0.25">
      <c r="C16" t="s">
        <v>84</v>
      </c>
      <c r="D16" s="16">
        <v>18.861129972222201</v>
      </c>
      <c r="F16" t="s">
        <v>84</v>
      </c>
      <c r="G16" s="16">
        <v>6.7900067899999996</v>
      </c>
      <c r="H16" s="16">
        <v>0</v>
      </c>
      <c r="J16" t="s">
        <v>84</v>
      </c>
      <c r="K16" s="17">
        <v>10</v>
      </c>
      <c r="M16" s="16">
        <f t="shared" si="0"/>
        <v>18.861129972222219</v>
      </c>
      <c r="N16" s="16">
        <f t="shared" si="1"/>
        <v>0</v>
      </c>
    </row>
    <row r="17" spans="3:16" x14ac:dyDescent="0.25">
      <c r="C17" t="s">
        <v>85</v>
      </c>
      <c r="D17" s="16">
        <v>0</v>
      </c>
      <c r="F17" t="s">
        <v>85</v>
      </c>
      <c r="G17" s="16">
        <v>0</v>
      </c>
      <c r="H17" s="16">
        <v>0</v>
      </c>
      <c r="J17" t="s">
        <v>85</v>
      </c>
      <c r="K17" s="17">
        <v>11</v>
      </c>
      <c r="M17" s="16">
        <f t="shared" si="0"/>
        <v>0</v>
      </c>
      <c r="N17" s="16">
        <f t="shared" si="1"/>
        <v>0</v>
      </c>
    </row>
    <row r="18" spans="3:16" x14ac:dyDescent="0.25">
      <c r="C18" t="s">
        <v>86</v>
      </c>
      <c r="D18" s="16">
        <v>9410.2844102750005</v>
      </c>
      <c r="F18" t="s">
        <v>86</v>
      </c>
      <c r="G18" s="16">
        <v>0</v>
      </c>
      <c r="H18" s="16">
        <v>3226.38322638</v>
      </c>
      <c r="J18" t="s">
        <v>86</v>
      </c>
      <c r="K18" s="17">
        <v>10.5</v>
      </c>
      <c r="M18" s="16">
        <f t="shared" si="0"/>
        <v>0</v>
      </c>
      <c r="N18" s="16">
        <f t="shared" si="1"/>
        <v>9410.2844102750005</v>
      </c>
    </row>
    <row r="19" spans="3:16" x14ac:dyDescent="0.25">
      <c r="C19" t="s">
        <v>87</v>
      </c>
      <c r="D19" s="16">
        <v>0</v>
      </c>
      <c r="F19" t="s">
        <v>87</v>
      </c>
      <c r="G19" s="16">
        <v>0</v>
      </c>
      <c r="H19" s="16">
        <v>0</v>
      </c>
      <c r="J19" t="s">
        <v>87</v>
      </c>
      <c r="K19" s="17">
        <v>10.5</v>
      </c>
      <c r="M19" s="16">
        <f t="shared" si="0"/>
        <v>0</v>
      </c>
      <c r="N19" s="16">
        <f t="shared" si="1"/>
        <v>0</v>
      </c>
    </row>
    <row r="20" spans="3:16" x14ac:dyDescent="0.25">
      <c r="C20" t="s">
        <v>88</v>
      </c>
      <c r="D20" s="16">
        <v>0</v>
      </c>
      <c r="F20" t="s">
        <v>88</v>
      </c>
      <c r="G20" s="16">
        <v>0</v>
      </c>
      <c r="H20" s="16">
        <v>0</v>
      </c>
      <c r="J20" t="s">
        <v>88</v>
      </c>
      <c r="K20" s="17">
        <v>13</v>
      </c>
      <c r="M20" s="16">
        <f t="shared" si="0"/>
        <v>0</v>
      </c>
      <c r="N20" s="16">
        <f t="shared" si="1"/>
        <v>0</v>
      </c>
    </row>
    <row r="21" spans="3:16" x14ac:dyDescent="0.25">
      <c r="C21" t="s">
        <v>89</v>
      </c>
      <c r="D21" s="16">
        <v>231.59745381944401</v>
      </c>
      <c r="F21" t="s">
        <v>89</v>
      </c>
      <c r="G21" s="16">
        <v>57.500057499999997</v>
      </c>
      <c r="H21" s="16">
        <v>0</v>
      </c>
      <c r="J21" t="s">
        <v>89</v>
      </c>
      <c r="K21" s="17">
        <v>14.5</v>
      </c>
      <c r="M21" s="16">
        <f t="shared" si="0"/>
        <v>231.59745381944444</v>
      </c>
      <c r="N21" s="16">
        <f t="shared" si="1"/>
        <v>0</v>
      </c>
    </row>
    <row r="22" spans="3:16" x14ac:dyDescent="0.25">
      <c r="C22" t="s">
        <v>90</v>
      </c>
      <c r="D22" s="16">
        <v>0</v>
      </c>
      <c r="F22" t="s">
        <v>90</v>
      </c>
      <c r="G22" s="16">
        <v>0</v>
      </c>
      <c r="H22" s="16">
        <v>0</v>
      </c>
      <c r="J22" t="s">
        <v>90</v>
      </c>
      <c r="K22" s="17">
        <v>14.7</v>
      </c>
      <c r="M22" s="16">
        <f t="shared" si="0"/>
        <v>0</v>
      </c>
      <c r="N22" s="16">
        <f t="shared" si="1"/>
        <v>0</v>
      </c>
    </row>
    <row r="23" spans="3:16" x14ac:dyDescent="0.25">
      <c r="C23" t="s">
        <v>91</v>
      </c>
      <c r="D23" s="16">
        <v>41.300041299999997</v>
      </c>
      <c r="F23" t="s">
        <v>91</v>
      </c>
      <c r="G23" s="16">
        <v>10.62001062</v>
      </c>
      <c r="H23" s="16">
        <v>0</v>
      </c>
      <c r="J23" t="s">
        <v>91</v>
      </c>
      <c r="K23" s="17">
        <v>14</v>
      </c>
      <c r="M23" s="16">
        <f t="shared" si="0"/>
        <v>41.300041299999997</v>
      </c>
      <c r="N23" s="16">
        <f t="shared" si="1"/>
        <v>0</v>
      </c>
    </row>
    <row r="24" spans="3:16" x14ac:dyDescent="0.25">
      <c r="C24" t="s">
        <v>92</v>
      </c>
      <c r="D24" s="16">
        <v>37.975037974999999</v>
      </c>
      <c r="F24" t="s">
        <v>92</v>
      </c>
      <c r="G24" s="16">
        <v>15.19001519</v>
      </c>
      <c r="H24" s="16">
        <v>0</v>
      </c>
      <c r="J24" t="s">
        <v>92</v>
      </c>
      <c r="K24" s="17">
        <v>9</v>
      </c>
      <c r="M24" s="16">
        <f t="shared" si="0"/>
        <v>37.975037974999999</v>
      </c>
      <c r="N24" s="16">
        <f t="shared" si="1"/>
        <v>0</v>
      </c>
    </row>
    <row r="25" spans="3:16" x14ac:dyDescent="0.25">
      <c r="D25" s="16">
        <f>SUM(D4:D24)</f>
        <v>32988.914099992209</v>
      </c>
      <c r="K25" s="16"/>
      <c r="L25" t="s">
        <v>97</v>
      </c>
      <c r="M25" s="16">
        <f>SUM(M4:M24)</f>
        <v>7470.6214170653802</v>
      </c>
      <c r="N25" s="16">
        <f>SUM(N4:N24)</f>
        <v>25518.29268292684</v>
      </c>
    </row>
    <row r="26" spans="3:16" x14ac:dyDescent="0.25">
      <c r="C26" s="1"/>
      <c r="D26">
        <f>C26*D25</f>
        <v>0</v>
      </c>
    </row>
    <row r="27" spans="3:16" x14ac:dyDescent="0.25">
      <c r="L27" t="s">
        <v>96</v>
      </c>
      <c r="M27" s="16">
        <f>M25*0.844</f>
        <v>6305.2044760031804</v>
      </c>
      <c r="N27" s="16">
        <f>N25*0.656</f>
        <v>16740.000000000007</v>
      </c>
    </row>
    <row r="28" spans="3:16" x14ac:dyDescent="0.25">
      <c r="D28" s="16">
        <f>SUMPRODUCT(G4:G24,K4:K24)+SUMPRODUCT(H4:H24,K4:K24)</f>
        <v>118760.09075997199</v>
      </c>
      <c r="E28" t="s">
        <v>98</v>
      </c>
    </row>
    <row r="29" spans="3:16" x14ac:dyDescent="0.25">
      <c r="D29" s="13">
        <f>D28/SUM(G4:H24)</f>
        <v>10.214329996215641</v>
      </c>
      <c r="E29" t="s">
        <v>33</v>
      </c>
      <c r="M29" t="s">
        <v>1</v>
      </c>
      <c r="N29" t="s">
        <v>2</v>
      </c>
      <c r="O29" t="s">
        <v>23</v>
      </c>
      <c r="P29" t="s">
        <v>95</v>
      </c>
    </row>
    <row r="30" spans="3:16" x14ac:dyDescent="0.25">
      <c r="L30" t="s">
        <v>71</v>
      </c>
      <c r="M30" s="16">
        <v>6305.2044760031904</v>
      </c>
      <c r="N30" s="16">
        <v>16740</v>
      </c>
      <c r="O30" s="16">
        <v>4000</v>
      </c>
      <c r="P30" s="16">
        <v>1069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39</vt:i4>
      </vt:variant>
    </vt:vector>
  </HeadingPairs>
  <TitlesOfParts>
    <vt:vector size="45" baseType="lpstr">
      <vt:lpstr>Scenarier</vt:lpstr>
      <vt:lpstr>Model</vt:lpstr>
      <vt:lpstr>Scenario 7 GWh</vt:lpstr>
      <vt:lpstr>Scenario 28 GWh</vt:lpstr>
      <vt:lpstr>Scenario 35 GWh</vt:lpstr>
      <vt:lpstr>Affald2021</vt:lpstr>
      <vt:lpstr>AFV</vt:lpstr>
      <vt:lpstr>AndelAffald</vt:lpstr>
      <vt:lpstr>AndelBioaffald</vt:lpstr>
      <vt:lpstr>ATL</vt:lpstr>
      <vt:lpstr>BioAffaldTonnage</vt:lpstr>
      <vt:lpstr>BioTonnage</vt:lpstr>
      <vt:lpstr>CO2afgift</vt:lpstr>
      <vt:lpstr>CO2indholdAfgift</vt:lpstr>
      <vt:lpstr>CO2indholdKvote</vt:lpstr>
      <vt:lpstr>DBmedRGK</vt:lpstr>
      <vt:lpstr>DBudenRGK</vt:lpstr>
      <vt:lpstr>Elpris</vt:lpstr>
      <vt:lpstr>ElprodTarif</vt:lpstr>
      <vt:lpstr>ENSkvoteLHV</vt:lpstr>
      <vt:lpstr>EtaE</vt:lpstr>
      <vt:lpstr>EtaQmaxOvn2</vt:lpstr>
      <vt:lpstr>EtaQmaxOvn3</vt:lpstr>
      <vt:lpstr>EtaQNomOvn2</vt:lpstr>
      <vt:lpstr>EtaQNomOvn3</vt:lpstr>
      <vt:lpstr>EtaRgkOvn2</vt:lpstr>
      <vt:lpstr>EtaRgkOvn3</vt:lpstr>
      <vt:lpstr>Ftotal</vt:lpstr>
      <vt:lpstr>Htotal</vt:lpstr>
      <vt:lpstr>KapQcool</vt:lpstr>
      <vt:lpstr>KapQnomOvn2</vt:lpstr>
      <vt:lpstr>KapQnomOvn3</vt:lpstr>
      <vt:lpstr>Kvotepris</vt:lpstr>
      <vt:lpstr>LHVaffald</vt:lpstr>
      <vt:lpstr>LHVbioaffald</vt:lpstr>
      <vt:lpstr>NSvarme</vt:lpstr>
      <vt:lpstr>Qdemand</vt:lpstr>
      <vt:lpstr>ranCtrlParms</vt:lpstr>
      <vt:lpstr>ranInputNames</vt:lpstr>
      <vt:lpstr>ranModelResult</vt:lpstr>
      <vt:lpstr>ranResultNames</vt:lpstr>
      <vt:lpstr>ranScenOutput</vt:lpstr>
      <vt:lpstr>ranScenOutputRowHeader</vt:lpstr>
      <vt:lpstr>RGKudnyttelse</vt:lpstr>
      <vt:lpstr>Varmesalgspris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Mogens Bech Laursen</dc:creator>
  <cp:lastModifiedBy>Mogens Bech Laursen</cp:lastModifiedBy>
  <dcterms:created xsi:type="dcterms:W3CDTF">2022-03-13T11:17:09Z</dcterms:created>
  <dcterms:modified xsi:type="dcterms:W3CDTF">2022-03-17T16:23:05Z</dcterms:modified>
</cp:coreProperties>
</file>