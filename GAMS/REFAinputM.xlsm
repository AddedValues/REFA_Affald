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93E6CA2-7B9A-4D9F-8773-EBCBE930EDDE}" xr6:coauthVersionLast="47" xr6:coauthVersionMax="47" xr10:uidLastSave="{00000000-0000-0000-0000-000000000000}"/>
  <bookViews>
    <workbookView xWindow="1020" yWindow="-120" windowWidth="27900" windowHeight="18240" tabRatio="841" firstSheet="1" activeTab="5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E-V" sheetId="11" r:id="rId7"/>
    <sheet name="Lister" sheetId="12" r:id="rId8"/>
    <sheet name="Resultater" sheetId="8" state="hidden" r:id="rId9"/>
    <sheet name="OptimDump" sheetId="9" state="hidden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H14" i="15"/>
  <c r="BB14" i="15" s="1"/>
  <c r="H15" i="15"/>
  <c r="BB15" i="15" s="1"/>
  <c r="H16" i="15"/>
  <c r="H17" i="15"/>
  <c r="H18" i="15"/>
  <c r="BB18" i="15" s="1"/>
  <c r="H19" i="15"/>
  <c r="BB19" i="15" s="1"/>
  <c r="H20" i="15"/>
  <c r="BB20" i="15" s="1"/>
  <c r="H21" i="15"/>
  <c r="BB21" i="15" s="1"/>
  <c r="BB16" i="15"/>
  <c r="BB17" i="15"/>
  <c r="BK5" i="15" l="1"/>
  <c r="BS5" i="15"/>
  <c r="CA5" i="15"/>
  <c r="CI5" i="15"/>
  <c r="BH13" i="15"/>
  <c r="BF12" i="15"/>
  <c r="BH12" i="15"/>
  <c r="H12" i="15"/>
  <c r="BB12" i="15" s="1"/>
  <c r="H8" i="15"/>
  <c r="BB8" i="15" s="1"/>
  <c r="H9" i="15"/>
  <c r="BB9" i="15" s="1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H22" i="15"/>
  <c r="BB22" i="15" s="1"/>
  <c r="H23" i="15"/>
  <c r="BB23" i="15" s="1"/>
  <c r="H24" i="15"/>
  <c r="BB24" i="15" s="1"/>
  <c r="H25" i="15"/>
  <c r="BB25" i="15" s="1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H13" i="15"/>
  <c r="BB13" i="15" s="1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O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AZ13" i="15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<sst xmlns="http://schemas.openxmlformats.org/spreadsheetml/2006/main" count="1069" uniqueCount="452">
  <si>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</si>
  <si>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</si>
  <si>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</si>
  <si>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</si>
  <si>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</si>
  <si>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</si>
  <si>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</si>
  <si>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</si>
  <si>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</si>
  <si>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</si>
  <si>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</si>
  <si>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</si>
  <si>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</si>
  <si>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</si>
  <si>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</si>
  <si>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</si>
  <si>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</si>
  <si>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</si>
  <si>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</si>
  <si>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</si>
  <si>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</si>
  <si>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</si>
  <si>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</si>
  <si>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</si>
  <si>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</si>
  <si>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</si>
  <si>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</si>
  <si>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</si>
  <si>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</si>
  <si>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</si>
  <si>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</si>
  <si>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</si>
  <si>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</si>
  <si>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</si>
  <si>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</si>
  <si>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</si>
  <si>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</si>
  <si>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</si>
  <si>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</si>
  <si>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</si>
  <si>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</si>
  <si>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</si>
  <si>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</si>
  <si>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</si>
  <si>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</si>
  <si>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</si>
  <si>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</si>
  <si>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</si>
  <si>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</si>
  <si>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</si>
  <si>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</si>
  <si>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</si>
  <si>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</si>
  <si>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</si>
  <si>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</si>
  <si>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</si>
  <si>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</si>
  <si>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</si>
  <si>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</si>
  <si>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</si>
  <si>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</si>
  <si>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</si>
  <si>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</si>
  <si>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</si>
  <si>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</si>
  <si>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</si>
  <si>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</si>
  <si>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</si>
  <si>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</si>
  <si>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</si>
  <si>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</si>
  <si>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</si>
  <si>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</si>
  <si>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</si>
  <si>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</si>
  <si>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</si>
  <si>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</si>
  <si>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</si>
  <si>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</si>
  <si>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</si>
  <si>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</si>
  <si>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</si>
  <si>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</si>
  <si>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</si>
  <si>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</si>
  <si>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</si>
  <si>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</si>
  <si>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</si>
  <si>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</si>
  <si>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</si>
  <si>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</si>
  <si>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</si>
  <si>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</si>
  <si>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</si>
  <si>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</si>
  <si>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</si>
  <si>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</si>
  <si>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</si>
  <si>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</si>
  <si>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</si>
  <si>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</si>
  <si>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</si>
  <si>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</si>
  <si>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</si>
  <si>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</si>
  <si>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</si>
  <si>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</si>
  <si>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</si>
  <si>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</si>
  <si>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</si>
  <si>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</si>
  <si>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</si>
  <si>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</si>
  <si>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</si>
  <si>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</si>
  <si>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</si>
  <si>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</si>
  <si>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</si>
  <si>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</si>
  <si>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</si>
  <si>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</si>
  <si>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</si>
  <si>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</si>
  <si>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</si>
  <si>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</si>
  <si>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</si>
  <si>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</si>
  <si>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</si>
  <si>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</si>
  <si>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</si>
  <si>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</si>
  <si>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</si>
  <si>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</si>
  <si>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</si>
  <si>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</si>
  <si>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</si>
  <si>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</si>
  <si>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</si>
  <si>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</si>
  <si>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</si>
  <si>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</si>
  <si>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</si>
  <si>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</si>
  <si>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</si>
  <si>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</si>
  <si>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</si>
  <si>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</si>
  <si>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</si>
  <si>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</si>
  <si>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</si>
  <si>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</si>
  <si>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</si>
  <si>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</si>
  <si>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</si>
  <si>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</si>
  <si>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</si>
  <si>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</si>
  <si>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</si>
  <si>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</si>
  <si>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</si>
  <si>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</si>
  <si>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</si>
  <si>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</si>
  <si>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</si>
  <si>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</si>
  <si>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</si>
  <si>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</si>
  <si>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</si>
  <si>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</si>
  <si>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</si>
  <si>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</si>
  <si>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</si>
  <si>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</si>
  <si>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</si>
  <si>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</si>
  <si>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</si>
  <si>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</si>
  <si>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</si>
  <si>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</si>
  <si>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</si>
  <si>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</si>
  <si>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</si>
  <si>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</si>
  <si>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</si>
  <si>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</si>
  <si>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</si>
  <si>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</si>
  <si>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</si>
  <si>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</si>
  <si>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</si>
  <si>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</si>
  <si>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</si>
  <si>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</si>
  <si>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</si>
  <si>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</si>
  <si>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</si>
  <si>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</si>
  <si>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</si>
  <si>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</si>
  <si>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</si>
  <si>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</si>
  <si>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</si>
  <si>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</si>
  <si>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</si>
  <si>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</si>
  <si>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</si>
  <si>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</si>
  <si>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</si>
  <si>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</si>
  <si>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</si>
  <si>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</si>
  <si>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</si>
  <si>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</si>
  <si>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</si>
  <si>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</si>
  <si>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</si>
  <si>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</si>
  <si>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</si>
  <si>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</si>
  <si>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</si>
  <si>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</si>
  <si>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</si>
  <si>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</si>
  <si>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</si>
  <si>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</si>
  <si>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</si>
  <si>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</si>
  <si>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</si>
  <si>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</si>
  <si>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</si>
  <si>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</si>
  <si>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</si>
  <si>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</si>
  <si>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</si>
  <si>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</si>
  <si>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</si>
  <si>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</si>
  <si>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</si>
  <si>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</si>
  <si>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</si>
  <si>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</si>
  <si>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</si>
  <si>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</si>
  <si>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</si>
  <si>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</si>
  <si>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</si>
  <si>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</si>
  <si>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</si>
  <si>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</si>
  <si>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</si>
  <si>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</si>
  <si>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</si>
  <si>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</si>
  <si>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</si>
  <si>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</si>
  <si>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</si>
  <si>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</si>
  <si>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</si>
  <si>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</si>
  <si>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</si>
  <si>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</si>
  <si>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</si>
  <si>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</si>
  <si>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</si>
  <si>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</si>
  <si>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</si>
  <si>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</si>
  <si>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</si>
  <si>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</si>
  <si>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</si>
  <si>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</si>
  <si>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</si>
  <si>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</si>
  <si>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</si>
  <si>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</si>
  <si>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</si>
  <si>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</si>
  <si>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</si>
  <si>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</si>
  <si>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</si>
  <si>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</si>
  <si>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</si>
  <si>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</si>
  <si>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</si>
  <si>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</si>
  <si>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</si>
  <si>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</si>
  <si>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</si>
  <si>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</si>
  <si>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</si>
  <si>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</si>
  <si>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</si>
  <si>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</si>
  <si>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</si>
  <si>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</si>
  <si>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</si>
  <si>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</si>
  <si>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</si>
  <si>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</si>
  <si>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</si>
  <si>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</si>
  <si>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</si>
  <si>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</si>
  <si>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</si>
  <si>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</si>
  <si>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</si>
  <si>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</si>
  <si>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</si>
  <si>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</si>
  <si>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</si>
  <si>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</si>
  <si>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</si>
  <si>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</si>
  <si>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</si>
  <si>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</si>
  <si>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</si>
  <si>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</si>
  <si>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</si>
  <si>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</si>
  <si>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</si>
  <si>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</si>
  <si>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</si>
  <si>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</si>
  <si>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</si>
  <si>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</si>
  <si>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</si>
  <si>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</si>
  <si>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</si>
  <si>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</si>
  <si>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</si>
  <si>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</si>
  <si>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</si>
  <si>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</si>
  <si>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</si>
  <si>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</si>
  <si>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</si>
  <si>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</si>
  <si>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</si>
  <si>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</si>
  <si>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</si>
  <si>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</si>
  <si>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</si>
  <si>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</si>
  <si>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</si>
  <si>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</si>
  <si>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</si>
  <si>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</si>
  <si>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</si>
  <si>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</si>
  <si>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</si>
  <si>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</si>
  <si>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</si>
  <si>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</si>
  <si>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</si>
  <si>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</si>
  <si>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</si>
  <si>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</si>
  <si>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</si>
  <si>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</si>
  <si>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</si>
  <si>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</si>
  <si>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</si>
  <si>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</si>
  <si>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</si>
  <si>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</si>
  <si>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</si>
  <si>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</si>
  <si>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</si>
  <si>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</si>
  <si>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</si>
  <si>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</si>
  <si>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</si>
  <si>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</si>
  <si>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</si>
  <si>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</si>
  <si>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</si>
  <si>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</si>
  <si>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</si>
  <si>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</si>
  <si>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</si>
  <si>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</si>
  <si>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</si>
  <si>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</si>
  <si>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</si>
  <si>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</si>
  <si>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</si>
  <si>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</si>
  <si>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</si>
  <si>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</si>
  <si>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</si>
  <si>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</si>
  <si>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</si>
  <si>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</si>
  <si>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</si>
  <si>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</si>
  <si>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</si>
  <si>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</si>
  <si>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</si>
  <si>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</si>
  <si>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</si>
  <si>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</si>
  <si>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</si>
  <si>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</si>
  <si>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Kodet udgave af scenarietabellen (MÅ IKKE ÆNDRES)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</si>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</sst>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8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11</xdr:col>
      <xdr:colOff>791135</xdr:colOff>
      <xdr:row>17</xdr:row>
      <xdr:rowOff>129987</xdr:rowOff>
    </xdr:from>
    <xdr:to>
      <xdr:col>13</xdr:col>
      <xdr:colOff>73959</xdr:colOff>
      <xdr:row>19</xdr:row>
      <xdr:rowOff>73958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9789459" y="3413311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C8" sqref="C8"/>
    </sheetView>
  </sheetViews>
  <sheetFormatPr defaultRowHeight="15" x14ac:dyDescent="0.25"/>
  <sheetData>
    <row r="3" spans="1:3" x14ac:dyDescent="0.25">
      <c r="A3" s="1" t="s">
        <v>443</v>
      </c>
      <c r="B3" s="1" t="s">
        <v>439</v>
      </c>
    </row>
    <row r="4" spans="1:3" x14ac:dyDescent="0.25">
      <c r="A4" t="s">
        <v>444</v>
      </c>
      <c r="B4" s="6" t="s">
        <v>441</v>
      </c>
      <c r="C4" t="s">
        <v>440</v>
      </c>
    </row>
    <row r="5" spans="1:3" x14ac:dyDescent="0.25">
      <c r="B5" s="6"/>
      <c r="C5" t="s">
        <v>442</v>
      </c>
    </row>
    <row r="6" spans="1:3" x14ac:dyDescent="0.25">
      <c r="B6" s="6" t="s">
        <v>445</v>
      </c>
      <c r="C6" t="s">
        <v>446</v>
      </c>
    </row>
    <row r="7" spans="1:3" x14ac:dyDescent="0.25">
      <c r="B7" s="6" t="s">
        <v>447</v>
      </c>
      <c r="C7" t="s">
        <v>448</v>
      </c>
    </row>
    <row r="8" spans="1:3" x14ac:dyDescent="0.25">
      <c r="B8" s="6"/>
      <c r="C8" t="s">
        <v>450</v>
      </c>
    </row>
    <row r="9" spans="1:3" x14ac:dyDescent="0.25">
      <c r="B9" s="6"/>
      <c r="C9" t="s">
        <v>449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2:CL45"/>
  <sheetViews>
    <sheetView zoomScale="85" zoomScaleNormal="85" workbookViewId="0">
      <selection activeCell="E13" sqref="E13"/>
    </sheetView>
  </sheetViews>
  <sheetFormatPr defaultRowHeight="15" outlineLevelCol="1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53" customWidth="1"/>
    <col min="46" max="46" width="28" style="73" bestFit="1" customWidth="1"/>
    <col min="47" max="48" width="11.28515625" style="280" customWidth="1" outlineLevel="1"/>
    <col min="49" max="50" width="9.140625" style="6" customWidth="1" outlineLevel="1"/>
    <col min="51" max="53" width="8.85546875" style="6" customWidth="1" outlineLevel="1"/>
    <col min="54" max="54" width="10.7109375" style="6" customWidth="1" outlineLevel="1"/>
    <col min="55" max="55" width="6.7109375" customWidth="1"/>
    <col min="56" max="66" width="6.7109375" customWidth="1" outlineLevel="1"/>
    <col min="67" max="67" width="6.7109375" customWidth="1"/>
    <col min="68" max="78" width="6.7109375" customWidth="1" outlineLevel="1"/>
    <col min="79" max="79" width="6.7109375" customWidth="1"/>
    <col min="80" max="89" width="6.7109375" customWidth="1" outlineLevel="1"/>
    <col min="90" max="90" width="6.7109375" customWidth="1"/>
  </cols>
  <sheetData>
    <row r="2" spans="1:90" x14ac:dyDescent="0.25">
      <c r="B2" s="1" t="s">
        <v>381</v>
      </c>
      <c r="AU2" s="309" t="s">
        <v>403</v>
      </c>
      <c r="AV2" s="309"/>
    </row>
    <row r="3" spans="1:90" x14ac:dyDescent="0.25">
      <c r="H3" s="1"/>
    </row>
    <row r="4" spans="1:90" x14ac:dyDescent="0.25">
      <c r="A4" s="35"/>
      <c r="C4" s="341" t="s">
        <v>217</v>
      </c>
      <c r="H4" s="6"/>
      <c r="I4" s="35" cm="1">
        <f t="array" ref="I4:AR4">TRANSPOSE(PeriodRange)</f>
        <v>44197</v>
      </c>
      <c r="J4" s="359">
        <v>44228</v>
      </c>
      <c r="K4" s="359">
        <v>44256</v>
      </c>
      <c r="L4" s="359">
        <v>44287</v>
      </c>
      <c r="M4" s="359">
        <v>44317</v>
      </c>
      <c r="N4" s="359">
        <v>44348</v>
      </c>
      <c r="O4" s="359">
        <v>44378</v>
      </c>
      <c r="P4" s="359">
        <v>44409</v>
      </c>
      <c r="Q4" s="359">
        <v>44440</v>
      </c>
      <c r="R4" s="359">
        <v>44470</v>
      </c>
      <c r="S4" s="359">
        <v>44501</v>
      </c>
      <c r="T4" s="360">
        <v>44531</v>
      </c>
      <c r="U4" s="35">
        <v>44562</v>
      </c>
      <c r="V4" s="359">
        <v>44593</v>
      </c>
      <c r="W4" s="359">
        <v>44621</v>
      </c>
      <c r="X4" s="359">
        <v>44652</v>
      </c>
      <c r="Y4" s="359">
        <v>44682</v>
      </c>
      <c r="Z4" s="359">
        <v>44713</v>
      </c>
      <c r="AA4" s="359">
        <v>44743</v>
      </c>
      <c r="AB4" s="359">
        <v>44774</v>
      </c>
      <c r="AC4" s="359">
        <v>44805</v>
      </c>
      <c r="AD4" s="359">
        <v>44835</v>
      </c>
      <c r="AE4" s="359">
        <v>44866</v>
      </c>
      <c r="AF4" s="360">
        <v>44896</v>
      </c>
      <c r="AG4" s="35">
        <v>44927</v>
      </c>
      <c r="AH4" s="359">
        <v>44958</v>
      </c>
      <c r="AI4" s="359">
        <v>44986</v>
      </c>
      <c r="AJ4" s="359">
        <v>45017</v>
      </c>
      <c r="AK4" s="359">
        <v>45047</v>
      </c>
      <c r="AL4" s="359">
        <v>45078</v>
      </c>
      <c r="AM4" s="359">
        <v>45108</v>
      </c>
      <c r="AN4" s="359">
        <v>45139</v>
      </c>
      <c r="AO4" s="359">
        <v>45170</v>
      </c>
      <c r="AP4" s="359">
        <v>45200</v>
      </c>
      <c r="AQ4" s="359">
        <v>45231</v>
      </c>
      <c r="AR4" s="360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59">
        <f t="shared" ref="BD4:CC13" si="0">J4</f>
        <v>44228</v>
      </c>
      <c r="BE4" s="359">
        <f t="shared" si="0"/>
        <v>44256</v>
      </c>
      <c r="BF4" s="359">
        <f t="shared" si="0"/>
        <v>44287</v>
      </c>
      <c r="BG4" s="359">
        <f t="shared" si="0"/>
        <v>44317</v>
      </c>
      <c r="BH4" s="359">
        <f t="shared" si="0"/>
        <v>44348</v>
      </c>
      <c r="BI4" s="359">
        <f t="shared" si="0"/>
        <v>44378</v>
      </c>
      <c r="BJ4" s="359">
        <f t="shared" si="0"/>
        <v>44409</v>
      </c>
      <c r="BK4" s="359">
        <f t="shared" si="0"/>
        <v>44440</v>
      </c>
      <c r="BL4" s="359">
        <f t="shared" si="0"/>
        <v>44470</v>
      </c>
      <c r="BM4" s="359">
        <f t="shared" si="0"/>
        <v>44501</v>
      </c>
      <c r="BN4" s="360">
        <f t="shared" si="0"/>
        <v>44531</v>
      </c>
      <c r="BO4" s="35">
        <f t="shared" si="0"/>
        <v>44562</v>
      </c>
      <c r="BP4" s="359">
        <f t="shared" si="0"/>
        <v>44593</v>
      </c>
      <c r="BQ4" s="359">
        <f t="shared" si="0"/>
        <v>44621</v>
      </c>
      <c r="BR4" s="359">
        <f t="shared" si="0"/>
        <v>44652</v>
      </c>
      <c r="BS4" s="359">
        <f t="shared" si="0"/>
        <v>44682</v>
      </c>
      <c r="BT4" s="359">
        <f t="shared" si="0"/>
        <v>44713</v>
      </c>
      <c r="BU4" s="359">
        <f t="shared" si="0"/>
        <v>44743</v>
      </c>
      <c r="BV4" s="359">
        <f t="shared" si="0"/>
        <v>44774</v>
      </c>
      <c r="BW4" s="359">
        <f t="shared" si="0"/>
        <v>44805</v>
      </c>
      <c r="BX4" s="359">
        <f t="shared" si="0"/>
        <v>44835</v>
      </c>
      <c r="BY4" s="359">
        <f t="shared" si="0"/>
        <v>44866</v>
      </c>
      <c r="BZ4" s="360">
        <f t="shared" si="0"/>
        <v>44896</v>
      </c>
      <c r="CA4" s="35">
        <f t="shared" si="0"/>
        <v>44927</v>
      </c>
      <c r="CB4" s="359">
        <f t="shared" si="0"/>
        <v>44958</v>
      </c>
      <c r="CC4" s="359">
        <f t="shared" si="0"/>
        <v>44986</v>
      </c>
      <c r="CD4" s="359">
        <f t="shared" ref="CD4:CD45" si="1">AJ4</f>
        <v>45017</v>
      </c>
      <c r="CE4" s="359">
        <f t="shared" ref="CE4:CE45" si="2">AK4</f>
        <v>45047</v>
      </c>
      <c r="CF4" s="359">
        <f t="shared" ref="CF4:CF45" si="3">AL4</f>
        <v>45078</v>
      </c>
      <c r="CG4" s="359">
        <f t="shared" ref="CG4:CG45" si="4">AM4</f>
        <v>45108</v>
      </c>
      <c r="CH4" s="359">
        <f t="shared" ref="CH4:CH45" si="5">AN4</f>
        <v>45139</v>
      </c>
      <c r="CI4" s="359">
        <f t="shared" ref="CI4:CI45" si="6">AO4</f>
        <v>45170</v>
      </c>
      <c r="CJ4" s="359">
        <f t="shared" ref="CJ4:CJ45" si="7">AP4</f>
        <v>45200</v>
      </c>
      <c r="CK4" s="359">
        <f t="shared" ref="CK4:CK45" si="8">AQ4</f>
        <v>45231</v>
      </c>
      <c r="CL4" s="360">
        <f t="shared" ref="CL4:CL45" si="9">AR4</f>
        <v>45261</v>
      </c>
    </row>
    <row r="5" spans="1:90" x14ac:dyDescent="0.25">
      <c r="A5" s="363" t="s">
        <v>433</v>
      </c>
      <c r="B5" s="308" t="s">
        <v>372</v>
      </c>
      <c r="C5" s="308" t="s">
        <v>184</v>
      </c>
      <c r="D5" s="310" t="s">
        <v>328</v>
      </c>
      <c r="E5" s="308" t="s">
        <v>373</v>
      </c>
      <c r="F5" s="308" t="s">
        <v>374</v>
      </c>
      <c r="G5" s="308" t="s">
        <v>375</v>
      </c>
      <c r="H5" s="308" t="s">
        <v>405</v>
      </c>
      <c r="I5" s="361" t="s">
        <v>141</v>
      </c>
      <c r="J5" s="355" t="s">
        <v>142</v>
      </c>
      <c r="K5" s="355" t="s">
        <v>143</v>
      </c>
      <c r="L5" s="355" t="s">
        <v>144</v>
      </c>
      <c r="M5" s="355" t="s">
        <v>145</v>
      </c>
      <c r="N5" s="355" t="s">
        <v>146</v>
      </c>
      <c r="O5" s="355" t="s">
        <v>147</v>
      </c>
      <c r="P5" s="355" t="s">
        <v>148</v>
      </c>
      <c r="Q5" s="355" t="s">
        <v>149</v>
      </c>
      <c r="R5" s="355" t="s">
        <v>150</v>
      </c>
      <c r="S5" s="355" t="s">
        <v>151</v>
      </c>
      <c r="T5" s="355" t="s">
        <v>152</v>
      </c>
      <c r="U5" s="361" t="s">
        <v>153</v>
      </c>
      <c r="V5" s="355" t="s">
        <v>154</v>
      </c>
      <c r="W5" s="355" t="s">
        <v>155</v>
      </c>
      <c r="X5" s="355" t="s">
        <v>156</v>
      </c>
      <c r="Y5" s="355" t="s">
        <v>157</v>
      </c>
      <c r="Z5" s="355" t="s">
        <v>158</v>
      </c>
      <c r="AA5" s="355" t="s">
        <v>159</v>
      </c>
      <c r="AB5" s="355" t="s">
        <v>160</v>
      </c>
      <c r="AC5" s="355" t="s">
        <v>161</v>
      </c>
      <c r="AD5" s="355" t="s">
        <v>162</v>
      </c>
      <c r="AE5" s="355" t="s">
        <v>163</v>
      </c>
      <c r="AF5" s="361" t="s">
        <v>164</v>
      </c>
      <c r="AG5" s="357" t="s">
        <v>165</v>
      </c>
      <c r="AH5" s="355" t="s">
        <v>166</v>
      </c>
      <c r="AI5" s="355" t="s">
        <v>167</v>
      </c>
      <c r="AJ5" s="355" t="s">
        <v>168</v>
      </c>
      <c r="AK5" s="355" t="s">
        <v>169</v>
      </c>
      <c r="AL5" s="355" t="s">
        <v>170</v>
      </c>
      <c r="AM5" s="355" t="s">
        <v>171</v>
      </c>
      <c r="AN5" s="355" t="s">
        <v>172</v>
      </c>
      <c r="AO5" s="355" t="s">
        <v>173</v>
      </c>
      <c r="AP5" s="355" t="s">
        <v>174</v>
      </c>
      <c r="AQ5" s="355" t="s">
        <v>175</v>
      </c>
      <c r="AR5" s="355" t="s">
        <v>176</v>
      </c>
      <c r="AT5" s="358" t="s">
        <v>0</v>
      </c>
      <c r="AU5" s="310" t="s">
        <v>372</v>
      </c>
      <c r="AV5" s="308" t="s">
        <v>434</v>
      </c>
      <c r="AW5" s="308" t="s">
        <v>184</v>
      </c>
      <c r="AX5" s="308" t="s">
        <v>328</v>
      </c>
      <c r="AY5" s="308" t="s">
        <v>373</v>
      </c>
      <c r="AZ5" s="308" t="s">
        <v>374</v>
      </c>
      <c r="BA5" s="308" t="s">
        <v>375</v>
      </c>
      <c r="BB5" s="308" t="str">
        <f>H5</f>
        <v>FastVaerdi</v>
      </c>
      <c r="BC5" s="361" t="str">
        <f>I5</f>
        <v>mo1</v>
      </c>
      <c r="BD5" s="355" t="str">
        <f t="shared" si="0"/>
        <v>mo2</v>
      </c>
      <c r="BE5" s="355" t="str">
        <f t="shared" si="0"/>
        <v>mo3</v>
      </c>
      <c r="BF5" s="355" t="str">
        <f t="shared" si="0"/>
        <v>mo4</v>
      </c>
      <c r="BG5" s="355" t="str">
        <f t="shared" si="0"/>
        <v>mo5</v>
      </c>
      <c r="BH5" s="355" t="str">
        <f t="shared" si="0"/>
        <v>mo6</v>
      </c>
      <c r="BI5" s="355" t="str">
        <f t="shared" si="0"/>
        <v>mo7</v>
      </c>
      <c r="BJ5" s="355" t="str">
        <f t="shared" si="0"/>
        <v>mo8</v>
      </c>
      <c r="BK5" s="355" t="str">
        <f t="shared" si="0"/>
        <v>mo9</v>
      </c>
      <c r="BL5" s="355" t="str">
        <f t="shared" si="0"/>
        <v>mo10</v>
      </c>
      <c r="BM5" s="355" t="str">
        <f t="shared" si="0"/>
        <v>mo11</v>
      </c>
      <c r="BN5" s="355" t="str">
        <f t="shared" si="0"/>
        <v>mo12</v>
      </c>
      <c r="BO5" s="361" t="str">
        <f t="shared" si="0"/>
        <v>mo13</v>
      </c>
      <c r="BP5" s="355" t="str">
        <f t="shared" si="0"/>
        <v>mo14</v>
      </c>
      <c r="BQ5" s="355" t="str">
        <f t="shared" si="0"/>
        <v>mo15</v>
      </c>
      <c r="BR5" s="355" t="str">
        <f t="shared" si="0"/>
        <v>mo16</v>
      </c>
      <c r="BS5" s="355" t="str">
        <f t="shared" si="0"/>
        <v>mo17</v>
      </c>
      <c r="BT5" s="355" t="str">
        <f t="shared" si="0"/>
        <v>mo18</v>
      </c>
      <c r="BU5" s="355" t="str">
        <f t="shared" si="0"/>
        <v>mo19</v>
      </c>
      <c r="BV5" s="355" t="str">
        <f t="shared" si="0"/>
        <v>mo20</v>
      </c>
      <c r="BW5" s="355" t="str">
        <f t="shared" si="0"/>
        <v>mo21</v>
      </c>
      <c r="BX5" s="355" t="str">
        <f t="shared" si="0"/>
        <v>mo22</v>
      </c>
      <c r="BY5" s="355" t="str">
        <f t="shared" si="0"/>
        <v>mo23</v>
      </c>
      <c r="BZ5" s="361" t="str">
        <f t="shared" si="0"/>
        <v>mo24</v>
      </c>
      <c r="CA5" s="357" t="str">
        <f t="shared" si="0"/>
        <v>mo25</v>
      </c>
      <c r="CB5" s="355" t="str">
        <f t="shared" si="0"/>
        <v>mo26</v>
      </c>
      <c r="CC5" s="355" t="str">
        <f t="shared" si="0"/>
        <v>mo27</v>
      </c>
      <c r="CD5" s="355" t="str">
        <f t="shared" si="1"/>
        <v>mo28</v>
      </c>
      <c r="CE5" s="355" t="str">
        <f t="shared" si="2"/>
        <v>mo29</v>
      </c>
      <c r="CF5" s="355" t="str">
        <f t="shared" si="3"/>
        <v>mo30</v>
      </c>
      <c r="CG5" s="355" t="str">
        <f t="shared" si="4"/>
        <v>mo31</v>
      </c>
      <c r="CH5" s="355" t="str">
        <f t="shared" si="5"/>
        <v>mo32</v>
      </c>
      <c r="CI5" s="355" t="str">
        <f t="shared" si="6"/>
        <v>mo33</v>
      </c>
      <c r="CJ5" s="355" t="str">
        <f t="shared" si="7"/>
        <v>mo34</v>
      </c>
      <c r="CK5" s="355" t="str">
        <f t="shared" si="8"/>
        <v>mo35</v>
      </c>
      <c r="CL5" s="355" t="str">
        <f t="shared" si="9"/>
        <v>mo36</v>
      </c>
    </row>
    <row r="6" spans="1:90" x14ac:dyDescent="0.25">
      <c r="A6" s="356"/>
      <c r="B6" s="318" t="s">
        <v>330</v>
      </c>
      <c r="C6" s="318">
        <v>1</v>
      </c>
      <c r="D6" s="21">
        <v>1</v>
      </c>
      <c r="E6" s="280" t="s">
        <v>367</v>
      </c>
      <c r="F6" s="280" t="s">
        <v>318</v>
      </c>
      <c r="G6" s="280" t="s">
        <v>371</v>
      </c>
      <c r="H6" s="6">
        <v>0</v>
      </c>
      <c r="I6" s="356"/>
      <c r="U6" s="356"/>
      <c r="AF6" s="356"/>
      <c r="AG6" s="73"/>
      <c r="AT6" s="73" t="str">
        <f t="shared" ref="AT6:AT12" si="10">IF(C6=0,"",E6&amp;"."&amp;F6&amp;"."&amp;G6)</f>
        <v>Control.FixAffald.VOID</v>
      </c>
      <c r="AU6" s="280" t="s">
        <v>382</v>
      </c>
      <c r="AV6" s="6">
        <f t="shared" ref="AV6:AV45" si="11">NaN</f>
        <v>-9.99</v>
      </c>
      <c r="AW6" s="318">
        <f t="shared" ref="AW6:AW21" si="12">C6</f>
        <v>1</v>
      </c>
      <c r="AX6" s="21">
        <f t="shared" ref="AX6:AX21" si="13">D6</f>
        <v>1</v>
      </c>
      <c r="AY6" s="21">
        <f t="shared" ref="AY6:AY21" si="14">IFERROR(MATCH(E6,listRoot,0),IF(C6=0,"",-1))</f>
        <v>1</v>
      </c>
      <c r="AZ6" s="21">
        <f t="shared" ref="AZ6:AZ21" ca="1" si="15">_xlfn.LET(_xlpm.ran,OFFSET(OfzNiveau2,AY6,1,1,COLUMNS(arrNiv2)),IFERROR(MATCH(F6,_xlpm.ran,0),IF(C6=0,"",-1)))</f>
        <v>6</v>
      </c>
      <c r="BA6" s="21">
        <f t="shared" ref="BA6:BA21" ca="1" si="16">_xlfn.LET(_xlpm.ran,OFFSET(OfzNiveau3,AY6,1,1,COLUMNS(arrNiv3)),IFERROR(MATCH(G6,_xlpm.ran,0),IF(C6=0,"",-1)))</f>
        <v>1</v>
      </c>
      <c r="BB6" s="6">
        <f>H6</f>
        <v>0</v>
      </c>
      <c r="BC6" s="356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56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56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56"/>
      <c r="B7" s="318" t="s">
        <v>331</v>
      </c>
      <c r="C7" s="318">
        <v>1</v>
      </c>
      <c r="D7" s="21">
        <v>1</v>
      </c>
      <c r="E7" s="280" t="s">
        <v>367</v>
      </c>
      <c r="F7" s="280" t="s">
        <v>311</v>
      </c>
      <c r="G7" s="280" t="s">
        <v>371</v>
      </c>
      <c r="H7" s="6">
        <v>25.05</v>
      </c>
      <c r="I7" s="356"/>
      <c r="U7" s="356"/>
      <c r="AF7" s="356"/>
      <c r="AG7" s="73"/>
      <c r="AT7" s="73" t="str">
        <f t="shared" si="10"/>
        <v>Control.EgetforbrugKVV.VOID</v>
      </c>
      <c r="AU7" s="280" t="s">
        <v>383</v>
      </c>
      <c r="AV7" s="6">
        <f t="shared" si="11"/>
        <v>-9.99</v>
      </c>
      <c r="AW7" s="318">
        <f t="shared" si="12"/>
        <v>1</v>
      </c>
      <c r="AX7" s="21">
        <f t="shared" si="13"/>
        <v>1</v>
      </c>
      <c r="AY7" s="21">
        <f t="shared" si="14"/>
        <v>1</v>
      </c>
      <c r="AZ7" s="21">
        <f t="shared" ca="1" si="15"/>
        <v>10</v>
      </c>
      <c r="BA7" s="21">
        <f t="shared" ca="1" si="16"/>
        <v>1</v>
      </c>
      <c r="BB7" s="6">
        <f>H7</f>
        <v>25.05</v>
      </c>
      <c r="BC7" s="356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56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56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56"/>
      <c r="B8" s="318" t="s">
        <v>332</v>
      </c>
      <c r="C8" s="318">
        <v>1</v>
      </c>
      <c r="D8" s="21">
        <v>1</v>
      </c>
      <c r="E8" s="280" t="s">
        <v>369</v>
      </c>
      <c r="F8" s="280" t="s">
        <v>198</v>
      </c>
      <c r="G8" s="280" t="s">
        <v>184</v>
      </c>
      <c r="H8" s="6">
        <f>NaN</f>
        <v>-9.99</v>
      </c>
      <c r="I8" s="356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 s="356"/>
      <c r="AF8" s="356"/>
      <c r="AG8" s="73"/>
      <c r="AT8" s="73" t="str">
        <f t="shared" si="10"/>
        <v>Plant.FlisK.Aktiv</v>
      </c>
      <c r="AU8" s="280" t="s">
        <v>384</v>
      </c>
      <c r="AV8" s="6">
        <f t="shared" si="11"/>
        <v>-9.99</v>
      </c>
      <c r="AW8" s="318">
        <f t="shared" si="12"/>
        <v>1</v>
      </c>
      <c r="AX8" s="21">
        <f t="shared" si="13"/>
        <v>1</v>
      </c>
      <c r="AY8" s="21">
        <f t="shared" si="14"/>
        <v>2</v>
      </c>
      <c r="AZ8" s="21">
        <f t="shared" ca="1" si="15"/>
        <v>3</v>
      </c>
      <c r="BA8" s="21">
        <f t="shared" ca="1" si="16"/>
        <v>1</v>
      </c>
      <c r="BB8" s="6">
        <f t="shared" ref="BB8:BB45" si="18">H8</f>
        <v>-9.99</v>
      </c>
      <c r="BC8" s="356">
        <f t="shared" si="17"/>
        <v>1</v>
      </c>
      <c r="BD8">
        <f t="shared" si="0"/>
        <v>1</v>
      </c>
      <c r="BE8">
        <f t="shared" si="0"/>
        <v>1</v>
      </c>
      <c r="BF8">
        <f t="shared" si="0"/>
        <v>1</v>
      </c>
      <c r="BG8">
        <f t="shared" si="0"/>
        <v>1</v>
      </c>
      <c r="BH8">
        <f t="shared" si="0"/>
        <v>1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0"/>
        <v>1</v>
      </c>
      <c r="BM8">
        <f t="shared" si="0"/>
        <v>1</v>
      </c>
      <c r="BN8">
        <f t="shared" si="0"/>
        <v>1</v>
      </c>
      <c r="BO8" s="356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56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56"/>
      <c r="B9" s="318" t="s">
        <v>333</v>
      </c>
      <c r="C9" s="318">
        <v>1</v>
      </c>
      <c r="D9" s="21">
        <v>1</v>
      </c>
      <c r="E9" s="280" t="s">
        <v>329</v>
      </c>
      <c r="F9" s="280" t="s">
        <v>98</v>
      </c>
      <c r="G9" s="280" t="s">
        <v>371</v>
      </c>
      <c r="H9" s="6">
        <f>NaN</f>
        <v>-9.99</v>
      </c>
      <c r="I9" s="356">
        <v>378.33708333333323</v>
      </c>
      <c r="J9" s="73">
        <v>356.0961527777776</v>
      </c>
      <c r="K9" s="73">
        <v>347.18100806451616</v>
      </c>
      <c r="L9" s="73">
        <v>356.0961527777776</v>
      </c>
      <c r="M9" s="73">
        <v>410.46177419354831</v>
      </c>
      <c r="N9" s="73">
        <v>547.42162499999972</v>
      </c>
      <c r="O9" s="73">
        <v>605.37407258064457</v>
      </c>
      <c r="P9" s="73">
        <v>627.85237903225811</v>
      </c>
      <c r="Q9" s="73">
        <v>920.7574305555554</v>
      </c>
      <c r="R9" s="73">
        <v>794.33760752688215</v>
      </c>
      <c r="S9" s="73">
        <v>1014.278430555556</v>
      </c>
      <c r="T9" s="362">
        <v>1420.7891397849471</v>
      </c>
      <c r="U9" s="356"/>
      <c r="AF9" s="356"/>
      <c r="AG9" s="73"/>
      <c r="AT9" s="73" t="str">
        <f t="shared" si="10"/>
        <v>Prognoses.Elpris.VOID</v>
      </c>
      <c r="AU9" s="280" t="s">
        <v>385</v>
      </c>
      <c r="AV9" s="6">
        <f t="shared" si="11"/>
        <v>-9.99</v>
      </c>
      <c r="AW9" s="318">
        <f t="shared" si="12"/>
        <v>1</v>
      </c>
      <c r="AX9" s="21">
        <f t="shared" si="13"/>
        <v>1</v>
      </c>
      <c r="AY9" s="21">
        <f t="shared" si="14"/>
        <v>4</v>
      </c>
      <c r="AZ9" s="21">
        <f t="shared" ca="1" si="15"/>
        <v>14</v>
      </c>
      <c r="BA9" s="21">
        <f t="shared" ca="1" si="16"/>
        <v>1</v>
      </c>
      <c r="BB9" s="6">
        <f t="shared" si="18"/>
        <v>-9.99</v>
      </c>
      <c r="BC9" s="356">
        <f t="shared" si="17"/>
        <v>378.33708333333323</v>
      </c>
      <c r="BD9" s="73">
        <f t="shared" si="0"/>
        <v>356.0961527777776</v>
      </c>
      <c r="BE9" s="73">
        <f t="shared" si="0"/>
        <v>347.18100806451616</v>
      </c>
      <c r="BF9" s="73">
        <f t="shared" si="0"/>
        <v>356.0961527777776</v>
      </c>
      <c r="BG9" s="73">
        <f t="shared" si="0"/>
        <v>410.46177419354831</v>
      </c>
      <c r="BH9" s="73">
        <f t="shared" si="0"/>
        <v>547.42162499999972</v>
      </c>
      <c r="BI9" s="73">
        <f t="shared" si="0"/>
        <v>605.37407258064457</v>
      </c>
      <c r="BJ9" s="73">
        <f t="shared" si="0"/>
        <v>627.85237903225811</v>
      </c>
      <c r="BK9" s="73">
        <f t="shared" si="0"/>
        <v>920.7574305555554</v>
      </c>
      <c r="BL9" s="73">
        <f t="shared" si="0"/>
        <v>794.33760752688215</v>
      </c>
      <c r="BM9" s="73">
        <f t="shared" si="0"/>
        <v>1014.278430555556</v>
      </c>
      <c r="BN9" s="362">
        <f t="shared" si="0"/>
        <v>1420.7891397849471</v>
      </c>
      <c r="BO9" s="356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56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56"/>
      <c r="B10" s="318" t="s">
        <v>334</v>
      </c>
      <c r="C10" s="318">
        <v>1</v>
      </c>
      <c r="D10" s="21">
        <v>1</v>
      </c>
      <c r="E10" s="280" t="s">
        <v>329</v>
      </c>
      <c r="F10" s="280" t="s">
        <v>178</v>
      </c>
      <c r="G10" s="280" t="s">
        <v>371</v>
      </c>
      <c r="H10" s="6">
        <v>410.2</v>
      </c>
      <c r="I10" s="356"/>
      <c r="U10" s="356"/>
      <c r="AF10" s="356"/>
      <c r="AG10" s="73"/>
      <c r="AT10" s="73" t="str">
        <f t="shared" si="10"/>
        <v>Prognoses.ETS.VOID</v>
      </c>
      <c r="AU10" s="280" t="s">
        <v>386</v>
      </c>
      <c r="AV10" s="6">
        <f t="shared" si="11"/>
        <v>-9.99</v>
      </c>
      <c r="AW10" s="318">
        <f t="shared" si="12"/>
        <v>1</v>
      </c>
      <c r="AX10" s="21">
        <f t="shared" si="13"/>
        <v>1</v>
      </c>
      <c r="AY10" s="21">
        <f t="shared" si="14"/>
        <v>4</v>
      </c>
      <c r="AZ10" s="21">
        <f t="shared" ca="1" si="15"/>
        <v>15</v>
      </c>
      <c r="BA10" s="21">
        <f t="shared" ca="1" si="16"/>
        <v>1</v>
      </c>
      <c r="BB10" s="6">
        <f t="shared" si="18"/>
        <v>410.2</v>
      </c>
      <c r="BC10" s="356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56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56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56"/>
      <c r="B11" s="318" t="s">
        <v>335</v>
      </c>
      <c r="C11" s="318">
        <v>1</v>
      </c>
      <c r="D11" s="21">
        <v>1</v>
      </c>
      <c r="E11" s="280" t="s">
        <v>368</v>
      </c>
      <c r="F11" s="280" t="s">
        <v>42</v>
      </c>
      <c r="G11" s="280" t="s">
        <v>254</v>
      </c>
      <c r="H11" s="6">
        <v>0</v>
      </c>
      <c r="I11" s="356"/>
      <c r="U11" s="356"/>
      <c r="AF11" s="356"/>
      <c r="AG11" s="73"/>
      <c r="AT11" s="73" t="str">
        <f t="shared" si="10"/>
        <v>Fuel.TyskRest.MinTonnage</v>
      </c>
      <c r="AU11" s="280" t="s">
        <v>387</v>
      </c>
      <c r="AV11" s="6">
        <f t="shared" si="11"/>
        <v>-9.99</v>
      </c>
      <c r="AW11" s="318">
        <f t="shared" si="12"/>
        <v>1</v>
      </c>
      <c r="AX11" s="21">
        <f t="shared" si="13"/>
        <v>1</v>
      </c>
      <c r="AY11" s="21">
        <f t="shared" si="14"/>
        <v>5</v>
      </c>
      <c r="AZ11" s="21">
        <f t="shared" ca="1" si="15"/>
        <v>15</v>
      </c>
      <c r="BA11" s="21">
        <f t="shared" ca="1" si="16"/>
        <v>9</v>
      </c>
      <c r="BB11" s="6">
        <f t="shared" si="18"/>
        <v>0</v>
      </c>
      <c r="BC11" s="356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56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56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56"/>
      <c r="B12" s="318" t="s">
        <v>336</v>
      </c>
      <c r="C12" s="318">
        <v>1</v>
      </c>
      <c r="D12" s="21">
        <v>1</v>
      </c>
      <c r="E12" s="280" t="s">
        <v>289</v>
      </c>
      <c r="F12" s="280" t="s">
        <v>42</v>
      </c>
      <c r="G12" s="280" t="s">
        <v>394</v>
      </c>
      <c r="H12" s="6">
        <f t="shared" ref="H12:H45" si="19">NaN</f>
        <v>-9.99</v>
      </c>
      <c r="I12" s="356">
        <v>10.500999999999999</v>
      </c>
      <c r="J12">
        <v>10.500999999999999</v>
      </c>
      <c r="K12">
        <v>10.500999999999999</v>
      </c>
      <c r="L12">
        <v>10.500999999999999</v>
      </c>
      <c r="M12">
        <v>10.500999999999999</v>
      </c>
      <c r="N12">
        <v>10.500999999999999</v>
      </c>
      <c r="O12">
        <v>10.500999999999999</v>
      </c>
      <c r="P12">
        <v>10.500999999999999</v>
      </c>
      <c r="Q12">
        <v>10.500999999999999</v>
      </c>
      <c r="R12">
        <v>10.500999999999999</v>
      </c>
      <c r="S12">
        <v>10.500999999999999</v>
      </c>
      <c r="T12">
        <v>10.500999999999999</v>
      </c>
      <c r="U12" s="356"/>
      <c r="AF12" s="356"/>
      <c r="AG12" s="73"/>
      <c r="AT12" s="73" t="str">
        <f t="shared" si="10"/>
        <v>FuelBounds.TyskRest.LHV</v>
      </c>
      <c r="AU12" s="280" t="s">
        <v>388</v>
      </c>
      <c r="AV12" s="6">
        <f t="shared" si="11"/>
        <v>-9.99</v>
      </c>
      <c r="AW12" s="318">
        <f t="shared" si="12"/>
        <v>1</v>
      </c>
      <c r="AX12" s="21">
        <f t="shared" si="13"/>
        <v>1</v>
      </c>
      <c r="AY12" s="21">
        <f t="shared" si="14"/>
        <v>6</v>
      </c>
      <c r="AZ12" s="21">
        <f t="shared" ca="1" si="15"/>
        <v>15</v>
      </c>
      <c r="BA12" s="21">
        <f t="shared" ca="1" si="16"/>
        <v>6</v>
      </c>
      <c r="BB12" s="6">
        <f t="shared" si="18"/>
        <v>-9.99</v>
      </c>
      <c r="BC12" s="356">
        <f t="shared" si="17"/>
        <v>10.500999999999999</v>
      </c>
      <c r="BD12">
        <f t="shared" si="0"/>
        <v>10.500999999999999</v>
      </c>
      <c r="BE12">
        <f t="shared" si="0"/>
        <v>10.500999999999999</v>
      </c>
      <c r="BF12">
        <f t="shared" si="0"/>
        <v>10.500999999999999</v>
      </c>
      <c r="BG12">
        <f t="shared" si="0"/>
        <v>10.500999999999999</v>
      </c>
      <c r="BH12">
        <f t="shared" si="0"/>
        <v>10.500999999999999</v>
      </c>
      <c r="BI12">
        <f t="shared" si="0"/>
        <v>10.500999999999999</v>
      </c>
      <c r="BJ12">
        <f t="shared" si="0"/>
        <v>10.500999999999999</v>
      </c>
      <c r="BK12">
        <f t="shared" si="0"/>
        <v>10.500999999999999</v>
      </c>
      <c r="BL12">
        <f t="shared" si="0"/>
        <v>10.500999999999999</v>
      </c>
      <c r="BM12">
        <f t="shared" si="0"/>
        <v>10.500999999999999</v>
      </c>
      <c r="BN12">
        <f t="shared" si="0"/>
        <v>10.500999999999999</v>
      </c>
      <c r="BO12" s="356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56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56"/>
      <c r="B13" s="318" t="s">
        <v>337</v>
      </c>
      <c r="C13" s="318">
        <v>1</v>
      </c>
      <c r="D13" s="21">
        <v>1</v>
      </c>
      <c r="E13" s="280" t="s">
        <v>289</v>
      </c>
      <c r="F13" s="280" t="s">
        <v>42</v>
      </c>
      <c r="G13" s="280" t="s">
        <v>256</v>
      </c>
      <c r="H13" s="6">
        <f t="shared" si="19"/>
        <v>-9.99</v>
      </c>
      <c r="I13" s="356">
        <v>401</v>
      </c>
      <c r="J13">
        <v>401</v>
      </c>
      <c r="K13">
        <v>401</v>
      </c>
      <c r="L13">
        <v>401</v>
      </c>
      <c r="M13">
        <v>401</v>
      </c>
      <c r="N13">
        <v>401</v>
      </c>
      <c r="O13">
        <v>401</v>
      </c>
      <c r="P13">
        <v>401</v>
      </c>
      <c r="Q13">
        <v>401</v>
      </c>
      <c r="R13">
        <v>401</v>
      </c>
      <c r="S13">
        <v>401</v>
      </c>
      <c r="T13">
        <v>401</v>
      </c>
      <c r="U13" s="356"/>
      <c r="AF13" s="356"/>
      <c r="AG13" s="73"/>
      <c r="AT13" s="73" t="str">
        <f t="shared" ref="AT13:AT45" si="20">IF(C13=0,"",E13&amp;"."&amp;F13&amp;"."&amp;G13)</f>
        <v>FuelBounds.TyskRest.Pris</v>
      </c>
      <c r="AU13" s="280" t="s">
        <v>389</v>
      </c>
      <c r="AV13" s="6">
        <f t="shared" si="11"/>
        <v>-9.99</v>
      </c>
      <c r="AW13" s="318">
        <f t="shared" si="12"/>
        <v>1</v>
      </c>
      <c r="AX13" s="21">
        <f t="shared" si="13"/>
        <v>1</v>
      </c>
      <c r="AY13" s="21">
        <f t="shared" si="14"/>
        <v>6</v>
      </c>
      <c r="AZ13" s="21">
        <f t="shared" ca="1" si="15"/>
        <v>15</v>
      </c>
      <c r="BA13" s="21">
        <f t="shared" ca="1" si="16"/>
        <v>5</v>
      </c>
      <c r="BB13" s="6">
        <f t="shared" si="18"/>
        <v>-9.99</v>
      </c>
      <c r="BC13" s="356">
        <f t="shared" si="17"/>
        <v>401</v>
      </c>
      <c r="BD13">
        <f t="shared" si="0"/>
        <v>401</v>
      </c>
      <c r="BE13">
        <f t="shared" si="0"/>
        <v>401</v>
      </c>
      <c r="BF13">
        <f t="shared" si="0"/>
        <v>401</v>
      </c>
      <c r="BG13">
        <f t="shared" si="0"/>
        <v>401</v>
      </c>
      <c r="BH13">
        <f t="shared" si="0"/>
        <v>401</v>
      </c>
      <c r="BI13">
        <f t="shared" si="0"/>
        <v>401</v>
      </c>
      <c r="BJ13">
        <f t="shared" si="0"/>
        <v>401</v>
      </c>
      <c r="BK13">
        <f t="shared" si="0"/>
        <v>401</v>
      </c>
      <c r="BL13">
        <f t="shared" si="0"/>
        <v>401</v>
      </c>
      <c r="BM13">
        <f t="shared" si="0"/>
        <v>401</v>
      </c>
      <c r="BN13">
        <f t="shared" si="0"/>
        <v>401</v>
      </c>
      <c r="BO13" s="356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1">AE13</f>
        <v>0</v>
      </c>
      <c r="BZ13" s="356">
        <f t="shared" ref="BZ13:BZ45" si="22">AF13</f>
        <v>0</v>
      </c>
      <c r="CA13" s="73">
        <f t="shared" ref="CA13:CA45" si="23">AG13</f>
        <v>0</v>
      </c>
      <c r="CB13">
        <f t="shared" ref="CB13:CB45" si="24">AH13</f>
        <v>0</v>
      </c>
      <c r="CC13">
        <f t="shared" ref="CC13:CC45" si="25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56"/>
      <c r="B14" s="318" t="s">
        <v>338</v>
      </c>
      <c r="C14" s="318">
        <v>0</v>
      </c>
      <c r="D14" s="21">
        <v>1</v>
      </c>
      <c r="E14" s="280" t="s">
        <v>369</v>
      </c>
      <c r="F14" s="280"/>
      <c r="G14" s="280"/>
      <c r="H14" s="6">
        <f t="shared" si="19"/>
        <v>-9.99</v>
      </c>
      <c r="I14" s="356"/>
      <c r="U14" s="356"/>
      <c r="AF14" s="356"/>
      <c r="AG14" s="73"/>
      <c r="AT14" s="73" t="str">
        <f t="shared" si="20"/>
        <v/>
      </c>
      <c r="AU14" s="280" t="s">
        <v>390</v>
      </c>
      <c r="AV14" s="6">
        <f t="shared" si="11"/>
        <v>-9.99</v>
      </c>
      <c r="AW14" s="318">
        <f t="shared" si="12"/>
        <v>0</v>
      </c>
      <c r="AX14" s="21">
        <f t="shared" si="13"/>
        <v>1</v>
      </c>
      <c r="AY14" s="21">
        <f t="shared" si="14"/>
        <v>2</v>
      </c>
      <c r="AZ14" s="21" t="str">
        <f t="shared" ca="1" si="15"/>
        <v/>
      </c>
      <c r="BA14" s="21" t="str">
        <f t="shared" ca="1" si="16"/>
        <v/>
      </c>
      <c r="BB14" s="6">
        <f t="shared" si="18"/>
        <v>-9.99</v>
      </c>
      <c r="BC14" s="356">
        <f t="shared" si="17"/>
        <v>0</v>
      </c>
      <c r="BD14">
        <f t="shared" ref="BD14:BD45" si="26">J14</f>
        <v>0</v>
      </c>
      <c r="BE14">
        <f t="shared" ref="BE14:BE45" si="27">K14</f>
        <v>0</v>
      </c>
      <c r="BF14">
        <f t="shared" ref="BF14:BF45" si="28">L14</f>
        <v>0</v>
      </c>
      <c r="BG14">
        <f t="shared" ref="BG14:BG45" si="29">M14</f>
        <v>0</v>
      </c>
      <c r="BH14">
        <f t="shared" ref="BH14:BH45" si="30">N14</f>
        <v>0</v>
      </c>
      <c r="BI14">
        <f t="shared" ref="BI14:BI45" si="31">O14</f>
        <v>0</v>
      </c>
      <c r="BJ14">
        <f t="shared" ref="BJ14:BJ45" si="32">P14</f>
        <v>0</v>
      </c>
      <c r="BK14">
        <f t="shared" ref="BK14:BK45" si="33">Q14</f>
        <v>0</v>
      </c>
      <c r="BL14">
        <f t="shared" ref="BL14:BL45" si="34">R14</f>
        <v>0</v>
      </c>
      <c r="BM14">
        <f t="shared" ref="BM14:BM45" si="35">S14</f>
        <v>0</v>
      </c>
      <c r="BN14">
        <f t="shared" ref="BN14:BN45" si="36">T14</f>
        <v>0</v>
      </c>
      <c r="BO14" s="356">
        <f t="shared" ref="BO14:BO45" si="37">U14</f>
        <v>0</v>
      </c>
      <c r="BP14">
        <f t="shared" ref="BP14:BP45" si="38">V14</f>
        <v>0</v>
      </c>
      <c r="BQ14">
        <f t="shared" ref="BQ14:BQ45" si="39">W14</f>
        <v>0</v>
      </c>
      <c r="BR14">
        <f t="shared" ref="BR14:BR45" si="40">X14</f>
        <v>0</v>
      </c>
      <c r="BS14">
        <f t="shared" ref="BS14:BS45" si="41">Y14</f>
        <v>0</v>
      </c>
      <c r="BT14">
        <f t="shared" ref="BT14:BT45" si="42">Z14</f>
        <v>0</v>
      </c>
      <c r="BU14">
        <f t="shared" ref="BU14:BU45" si="43">AA14</f>
        <v>0</v>
      </c>
      <c r="BV14">
        <f t="shared" ref="BV14:BV45" si="44">AB14</f>
        <v>0</v>
      </c>
      <c r="BW14">
        <f t="shared" ref="BW14:BW45" si="45">AC14</f>
        <v>0</v>
      </c>
      <c r="BX14">
        <f t="shared" ref="BX14:BX45" si="46">AD14</f>
        <v>0</v>
      </c>
      <c r="BY14">
        <f t="shared" si="21"/>
        <v>0</v>
      </c>
      <c r="BZ14" s="356">
        <f t="shared" si="22"/>
        <v>0</v>
      </c>
      <c r="CA14" s="73">
        <f t="shared" si="23"/>
        <v>0</v>
      </c>
      <c r="CB14">
        <f t="shared" si="24"/>
        <v>0</v>
      </c>
      <c r="CC14">
        <f t="shared" si="25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56"/>
      <c r="B15" s="318" t="s">
        <v>339</v>
      </c>
      <c r="C15" s="318">
        <v>0</v>
      </c>
      <c r="D15" s="21">
        <v>1</v>
      </c>
      <c r="E15" s="280" t="s">
        <v>369</v>
      </c>
      <c r="F15" s="280"/>
      <c r="G15" s="280"/>
      <c r="H15" s="6">
        <f t="shared" si="19"/>
        <v>-9.99</v>
      </c>
      <c r="I15" s="356"/>
      <c r="U15" s="356"/>
      <c r="AF15" s="356"/>
      <c r="AG15" s="73"/>
      <c r="AT15" s="73" t="str">
        <f t="shared" si="20"/>
        <v/>
      </c>
      <c r="AU15" s="280" t="s">
        <v>391</v>
      </c>
      <c r="AV15" s="6">
        <f t="shared" si="11"/>
        <v>-9.99</v>
      </c>
      <c r="AW15" s="318">
        <f t="shared" si="12"/>
        <v>0</v>
      </c>
      <c r="AX15" s="21">
        <f t="shared" si="13"/>
        <v>1</v>
      </c>
      <c r="AY15" s="21">
        <f t="shared" si="14"/>
        <v>2</v>
      </c>
      <c r="AZ15" s="21" t="str">
        <f t="shared" ca="1" si="15"/>
        <v/>
      </c>
      <c r="BA15" s="21" t="str">
        <f t="shared" ca="1" si="16"/>
        <v/>
      </c>
      <c r="BB15" s="6">
        <f t="shared" si="18"/>
        <v>-9.99</v>
      </c>
      <c r="BC15" s="356">
        <f t="shared" si="17"/>
        <v>0</v>
      </c>
      <c r="BD15">
        <f t="shared" si="26"/>
        <v>0</v>
      </c>
      <c r="BE15">
        <f t="shared" si="27"/>
        <v>0</v>
      </c>
      <c r="BF15">
        <f t="shared" si="28"/>
        <v>0</v>
      </c>
      <c r="BG15">
        <f t="shared" si="29"/>
        <v>0</v>
      </c>
      <c r="BH15">
        <f t="shared" si="30"/>
        <v>0</v>
      </c>
      <c r="BI15">
        <f t="shared" si="31"/>
        <v>0</v>
      </c>
      <c r="BJ15">
        <f t="shared" si="32"/>
        <v>0</v>
      </c>
      <c r="BK15">
        <f t="shared" si="33"/>
        <v>0</v>
      </c>
      <c r="BL15">
        <f t="shared" si="34"/>
        <v>0</v>
      </c>
      <c r="BM15">
        <f t="shared" si="35"/>
        <v>0</v>
      </c>
      <c r="BN15">
        <f t="shared" si="36"/>
        <v>0</v>
      </c>
      <c r="BO15" s="356">
        <f t="shared" si="37"/>
        <v>0</v>
      </c>
      <c r="BP15">
        <f t="shared" si="38"/>
        <v>0</v>
      </c>
      <c r="BQ15">
        <f t="shared" si="39"/>
        <v>0</v>
      </c>
      <c r="BR15">
        <f t="shared" si="40"/>
        <v>0</v>
      </c>
      <c r="BS15">
        <f t="shared" si="41"/>
        <v>0</v>
      </c>
      <c r="BT15">
        <f t="shared" si="42"/>
        <v>0</v>
      </c>
      <c r="BU15">
        <f t="shared" si="43"/>
        <v>0</v>
      </c>
      <c r="BV15">
        <f t="shared" si="44"/>
        <v>0</v>
      </c>
      <c r="BW15">
        <f t="shared" si="45"/>
        <v>0</v>
      </c>
      <c r="BX15">
        <f t="shared" si="46"/>
        <v>0</v>
      </c>
      <c r="BY15">
        <f t="shared" si="21"/>
        <v>0</v>
      </c>
      <c r="BZ15" s="356">
        <f t="shared" si="22"/>
        <v>0</v>
      </c>
      <c r="CA15" s="73">
        <f t="shared" si="23"/>
        <v>0</v>
      </c>
      <c r="CB15">
        <f t="shared" si="24"/>
        <v>0</v>
      </c>
      <c r="CC15">
        <f t="shared" si="25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56"/>
      <c r="B16" s="318" t="s">
        <v>340</v>
      </c>
      <c r="C16" s="318">
        <v>0</v>
      </c>
      <c r="D16" s="6">
        <v>1</v>
      </c>
      <c r="E16" s="280" t="s">
        <v>370</v>
      </c>
      <c r="F16" s="280"/>
      <c r="G16" s="280"/>
      <c r="H16" s="6">
        <f t="shared" si="19"/>
        <v>-9.99</v>
      </c>
      <c r="I16" s="356"/>
      <c r="U16" s="356"/>
      <c r="AF16" s="356"/>
      <c r="AG16" s="73"/>
      <c r="AT16" s="73" t="str">
        <f t="shared" si="20"/>
        <v/>
      </c>
      <c r="AU16" s="280" t="s">
        <v>392</v>
      </c>
      <c r="AV16" s="6">
        <f t="shared" si="11"/>
        <v>-9.99</v>
      </c>
      <c r="AW16" s="318">
        <f t="shared" si="12"/>
        <v>0</v>
      </c>
      <c r="AX16" s="6">
        <f t="shared" si="13"/>
        <v>1</v>
      </c>
      <c r="AY16" s="6">
        <f t="shared" si="14"/>
        <v>3</v>
      </c>
      <c r="AZ16" s="6" t="str">
        <f t="shared" ca="1" si="15"/>
        <v/>
      </c>
      <c r="BA16" s="6" t="str">
        <f t="shared" ca="1" si="16"/>
        <v/>
      </c>
      <c r="BB16" s="6">
        <f t="shared" si="18"/>
        <v>-9.99</v>
      </c>
      <c r="BC16" s="356">
        <f t="shared" si="17"/>
        <v>0</v>
      </c>
      <c r="BD16">
        <f t="shared" si="26"/>
        <v>0</v>
      </c>
      <c r="BE16">
        <f t="shared" si="27"/>
        <v>0</v>
      </c>
      <c r="BF16">
        <f t="shared" si="28"/>
        <v>0</v>
      </c>
      <c r="BG16">
        <f t="shared" si="29"/>
        <v>0</v>
      </c>
      <c r="BH16">
        <f t="shared" si="30"/>
        <v>0</v>
      </c>
      <c r="BI16">
        <f t="shared" si="31"/>
        <v>0</v>
      </c>
      <c r="BJ16">
        <f t="shared" si="32"/>
        <v>0</v>
      </c>
      <c r="BK16">
        <f t="shared" si="33"/>
        <v>0</v>
      </c>
      <c r="BL16">
        <f t="shared" si="34"/>
        <v>0</v>
      </c>
      <c r="BM16">
        <f t="shared" si="35"/>
        <v>0</v>
      </c>
      <c r="BN16">
        <f t="shared" si="36"/>
        <v>0</v>
      </c>
      <c r="BO16" s="356">
        <f t="shared" si="37"/>
        <v>0</v>
      </c>
      <c r="BP16">
        <f t="shared" si="38"/>
        <v>0</v>
      </c>
      <c r="BQ16">
        <f t="shared" si="39"/>
        <v>0</v>
      </c>
      <c r="BR16">
        <f t="shared" si="40"/>
        <v>0</v>
      </c>
      <c r="BS16">
        <f t="shared" si="41"/>
        <v>0</v>
      </c>
      <c r="BT16">
        <f t="shared" si="42"/>
        <v>0</v>
      </c>
      <c r="BU16">
        <f t="shared" si="43"/>
        <v>0</v>
      </c>
      <c r="BV16">
        <f t="shared" si="44"/>
        <v>0</v>
      </c>
      <c r="BW16">
        <f t="shared" si="45"/>
        <v>0</v>
      </c>
      <c r="BX16">
        <f t="shared" si="46"/>
        <v>0</v>
      </c>
      <c r="BY16">
        <f t="shared" si="21"/>
        <v>0</v>
      </c>
      <c r="BZ16" s="356">
        <f t="shared" si="22"/>
        <v>0</v>
      </c>
      <c r="CA16" s="73">
        <f t="shared" si="23"/>
        <v>0</v>
      </c>
      <c r="CB16">
        <f t="shared" si="24"/>
        <v>0</v>
      </c>
      <c r="CC16">
        <f t="shared" si="25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56"/>
      <c r="B17" s="318" t="s">
        <v>341</v>
      </c>
      <c r="C17" s="318">
        <v>0</v>
      </c>
      <c r="D17" s="6">
        <v>1</v>
      </c>
      <c r="E17" s="280" t="s">
        <v>329</v>
      </c>
      <c r="F17" s="280"/>
      <c r="G17" s="280"/>
      <c r="H17" s="6">
        <f t="shared" si="19"/>
        <v>-9.99</v>
      </c>
      <c r="I17" s="356"/>
      <c r="U17" s="356"/>
      <c r="AF17" s="356"/>
      <c r="AG17" s="73"/>
      <c r="AT17" s="73" t="str">
        <f t="shared" si="20"/>
        <v/>
      </c>
      <c r="AU17" s="280" t="s">
        <v>393</v>
      </c>
      <c r="AV17" s="6">
        <f t="shared" si="11"/>
        <v>-9.99</v>
      </c>
      <c r="AW17" s="318">
        <f t="shared" si="12"/>
        <v>0</v>
      </c>
      <c r="AX17" s="6">
        <f t="shared" si="13"/>
        <v>1</v>
      </c>
      <c r="AY17" s="6">
        <f t="shared" si="14"/>
        <v>4</v>
      </c>
      <c r="AZ17" s="6" t="str">
        <f t="shared" ca="1" si="15"/>
        <v/>
      </c>
      <c r="BA17" s="6" t="str">
        <f t="shared" ca="1" si="16"/>
        <v/>
      </c>
      <c r="BB17" s="6">
        <f t="shared" si="18"/>
        <v>-9.99</v>
      </c>
      <c r="BC17" s="356">
        <f t="shared" si="17"/>
        <v>0</v>
      </c>
      <c r="BD17">
        <f t="shared" si="26"/>
        <v>0</v>
      </c>
      <c r="BE17">
        <f t="shared" si="27"/>
        <v>0</v>
      </c>
      <c r="BF17">
        <f t="shared" si="28"/>
        <v>0</v>
      </c>
      <c r="BG17">
        <f t="shared" si="29"/>
        <v>0</v>
      </c>
      <c r="BH17">
        <f t="shared" si="30"/>
        <v>0</v>
      </c>
      <c r="BI17">
        <f t="shared" si="31"/>
        <v>0</v>
      </c>
      <c r="BJ17">
        <f t="shared" si="32"/>
        <v>0</v>
      </c>
      <c r="BK17">
        <f t="shared" si="33"/>
        <v>0</v>
      </c>
      <c r="BL17">
        <f t="shared" si="34"/>
        <v>0</v>
      </c>
      <c r="BM17">
        <f t="shared" si="35"/>
        <v>0</v>
      </c>
      <c r="BN17">
        <f t="shared" si="36"/>
        <v>0</v>
      </c>
      <c r="BO17" s="356">
        <f t="shared" si="37"/>
        <v>0</v>
      </c>
      <c r="BP17">
        <f t="shared" si="38"/>
        <v>0</v>
      </c>
      <c r="BQ17">
        <f t="shared" si="39"/>
        <v>0</v>
      </c>
      <c r="BR17">
        <f t="shared" si="40"/>
        <v>0</v>
      </c>
      <c r="BS17">
        <f t="shared" si="41"/>
        <v>0</v>
      </c>
      <c r="BT17">
        <f t="shared" si="42"/>
        <v>0</v>
      </c>
      <c r="BU17">
        <f t="shared" si="43"/>
        <v>0</v>
      </c>
      <c r="BV17">
        <f t="shared" si="44"/>
        <v>0</v>
      </c>
      <c r="BW17">
        <f t="shared" si="45"/>
        <v>0</v>
      </c>
      <c r="BX17">
        <f t="shared" si="46"/>
        <v>0</v>
      </c>
      <c r="BY17">
        <f t="shared" si="21"/>
        <v>0</v>
      </c>
      <c r="BZ17" s="356">
        <f t="shared" si="22"/>
        <v>0</v>
      </c>
      <c r="CA17" s="73">
        <f t="shared" si="23"/>
        <v>0</v>
      </c>
      <c r="CB17">
        <f t="shared" si="24"/>
        <v>0</v>
      </c>
      <c r="CC17">
        <f t="shared" si="25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56"/>
      <c r="B18" s="318" t="s">
        <v>342</v>
      </c>
      <c r="D18" s="6">
        <v>1</v>
      </c>
      <c r="E18" s="280" t="s">
        <v>368</v>
      </c>
      <c r="F18" s="280"/>
      <c r="G18" s="280"/>
      <c r="H18" s="6">
        <f t="shared" si="19"/>
        <v>-9.99</v>
      </c>
      <c r="I18" s="356"/>
      <c r="U18" s="356"/>
      <c r="AF18" s="356"/>
      <c r="AG18" s="73"/>
      <c r="AT18" s="73" t="str">
        <f t="shared" si="20"/>
        <v/>
      </c>
      <c r="AU18" s="280" t="s">
        <v>395</v>
      </c>
      <c r="AV18" s="6">
        <f t="shared" si="11"/>
        <v>-9.99</v>
      </c>
      <c r="AW18" s="6">
        <f t="shared" si="12"/>
        <v>0</v>
      </c>
      <c r="AX18" s="6">
        <f t="shared" si="13"/>
        <v>1</v>
      </c>
      <c r="AY18" s="6">
        <f t="shared" si="14"/>
        <v>5</v>
      </c>
      <c r="AZ18" s="6" t="str">
        <f t="shared" ca="1" si="15"/>
        <v/>
      </c>
      <c r="BA18" s="6" t="str">
        <f t="shared" ca="1" si="16"/>
        <v/>
      </c>
      <c r="BB18" s="6">
        <f t="shared" si="18"/>
        <v>-9.99</v>
      </c>
      <c r="BC18" s="356">
        <f t="shared" si="17"/>
        <v>0</v>
      </c>
      <c r="BD18">
        <f t="shared" si="26"/>
        <v>0</v>
      </c>
      <c r="BE18">
        <f t="shared" si="27"/>
        <v>0</v>
      </c>
      <c r="BF18">
        <f t="shared" si="28"/>
        <v>0</v>
      </c>
      <c r="BG18">
        <f t="shared" si="29"/>
        <v>0</v>
      </c>
      <c r="BH18">
        <f t="shared" si="30"/>
        <v>0</v>
      </c>
      <c r="BI18">
        <f t="shared" si="31"/>
        <v>0</v>
      </c>
      <c r="BJ18">
        <f t="shared" si="32"/>
        <v>0</v>
      </c>
      <c r="BK18">
        <f t="shared" si="33"/>
        <v>0</v>
      </c>
      <c r="BL18">
        <f t="shared" si="34"/>
        <v>0</v>
      </c>
      <c r="BM18">
        <f t="shared" si="35"/>
        <v>0</v>
      </c>
      <c r="BN18">
        <f t="shared" si="36"/>
        <v>0</v>
      </c>
      <c r="BO18" s="356">
        <f t="shared" si="37"/>
        <v>0</v>
      </c>
      <c r="BP18">
        <f t="shared" si="38"/>
        <v>0</v>
      </c>
      <c r="BQ18">
        <f t="shared" si="39"/>
        <v>0</v>
      </c>
      <c r="BR18">
        <f t="shared" si="40"/>
        <v>0</v>
      </c>
      <c r="BS18">
        <f t="shared" si="41"/>
        <v>0</v>
      </c>
      <c r="BT18">
        <f t="shared" si="42"/>
        <v>0</v>
      </c>
      <c r="BU18">
        <f t="shared" si="43"/>
        <v>0</v>
      </c>
      <c r="BV18">
        <f t="shared" si="44"/>
        <v>0</v>
      </c>
      <c r="BW18">
        <f t="shared" si="45"/>
        <v>0</v>
      </c>
      <c r="BX18">
        <f t="shared" si="46"/>
        <v>0</v>
      </c>
      <c r="BY18">
        <f t="shared" si="21"/>
        <v>0</v>
      </c>
      <c r="BZ18" s="356">
        <f t="shared" si="22"/>
        <v>0</v>
      </c>
      <c r="CA18" s="73">
        <f t="shared" si="23"/>
        <v>0</v>
      </c>
      <c r="CB18">
        <f t="shared" si="24"/>
        <v>0</v>
      </c>
      <c r="CC18">
        <f t="shared" si="25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56"/>
      <c r="B19" s="318" t="s">
        <v>343</v>
      </c>
      <c r="D19" s="6">
        <v>1</v>
      </c>
      <c r="E19" s="280" t="s">
        <v>368</v>
      </c>
      <c r="H19" s="6">
        <f t="shared" si="19"/>
        <v>-9.99</v>
      </c>
      <c r="I19" s="356"/>
      <c r="U19" s="356"/>
      <c r="AF19" s="356"/>
      <c r="AG19" s="73"/>
      <c r="AT19" s="73" t="str">
        <f t="shared" si="20"/>
        <v/>
      </c>
      <c r="AU19" s="280" t="s">
        <v>396</v>
      </c>
      <c r="AV19" s="6">
        <f t="shared" si="11"/>
        <v>-9.99</v>
      </c>
      <c r="AW19" s="6">
        <f t="shared" si="12"/>
        <v>0</v>
      </c>
      <c r="AX19" s="6">
        <f t="shared" si="13"/>
        <v>1</v>
      </c>
      <c r="AY19" s="6">
        <f t="shared" si="14"/>
        <v>5</v>
      </c>
      <c r="AZ19" s="6" t="str">
        <f t="shared" ca="1" si="15"/>
        <v/>
      </c>
      <c r="BA19" s="6" t="str">
        <f t="shared" ca="1" si="16"/>
        <v/>
      </c>
      <c r="BB19" s="6">
        <f t="shared" si="18"/>
        <v>-9.99</v>
      </c>
      <c r="BC19" s="356">
        <f t="shared" si="17"/>
        <v>0</v>
      </c>
      <c r="BD19">
        <f t="shared" si="26"/>
        <v>0</v>
      </c>
      <c r="BE19">
        <f t="shared" si="27"/>
        <v>0</v>
      </c>
      <c r="BF19">
        <f t="shared" si="28"/>
        <v>0</v>
      </c>
      <c r="BG19">
        <f t="shared" si="29"/>
        <v>0</v>
      </c>
      <c r="BH19">
        <f t="shared" si="30"/>
        <v>0</v>
      </c>
      <c r="BI19">
        <f t="shared" si="31"/>
        <v>0</v>
      </c>
      <c r="BJ19">
        <f t="shared" si="32"/>
        <v>0</v>
      </c>
      <c r="BK19">
        <f t="shared" si="33"/>
        <v>0</v>
      </c>
      <c r="BL19">
        <f t="shared" si="34"/>
        <v>0</v>
      </c>
      <c r="BM19">
        <f t="shared" si="35"/>
        <v>0</v>
      </c>
      <c r="BN19">
        <f t="shared" si="36"/>
        <v>0</v>
      </c>
      <c r="BO19" s="356">
        <f t="shared" si="37"/>
        <v>0</v>
      </c>
      <c r="BP19">
        <f t="shared" si="38"/>
        <v>0</v>
      </c>
      <c r="BQ19">
        <f t="shared" si="39"/>
        <v>0</v>
      </c>
      <c r="BR19">
        <f t="shared" si="40"/>
        <v>0</v>
      </c>
      <c r="BS19">
        <f t="shared" si="41"/>
        <v>0</v>
      </c>
      <c r="BT19">
        <f t="shared" si="42"/>
        <v>0</v>
      </c>
      <c r="BU19">
        <f t="shared" si="43"/>
        <v>0</v>
      </c>
      <c r="BV19">
        <f t="shared" si="44"/>
        <v>0</v>
      </c>
      <c r="BW19">
        <f t="shared" si="45"/>
        <v>0</v>
      </c>
      <c r="BX19">
        <f t="shared" si="46"/>
        <v>0</v>
      </c>
      <c r="BY19">
        <f t="shared" si="21"/>
        <v>0</v>
      </c>
      <c r="BZ19" s="356">
        <f t="shared" si="22"/>
        <v>0</v>
      </c>
      <c r="CA19" s="73">
        <f t="shared" si="23"/>
        <v>0</v>
      </c>
      <c r="CB19">
        <f t="shared" si="24"/>
        <v>0</v>
      </c>
      <c r="CC19">
        <f t="shared" si="25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56"/>
      <c r="B20" s="318" t="s">
        <v>344</v>
      </c>
      <c r="D20" s="6">
        <v>2</v>
      </c>
      <c r="E20" s="280" t="s">
        <v>367</v>
      </c>
      <c r="H20" s="6">
        <f t="shared" si="19"/>
        <v>-9.99</v>
      </c>
      <c r="I20" s="356"/>
      <c r="U20" s="356"/>
      <c r="AF20" s="356"/>
      <c r="AG20" s="73"/>
      <c r="AT20" s="73" t="str">
        <f t="shared" si="20"/>
        <v/>
      </c>
      <c r="AU20" s="280" t="s">
        <v>397</v>
      </c>
      <c r="AV20" s="6">
        <f t="shared" si="11"/>
        <v>-9.99</v>
      </c>
      <c r="AW20" s="6">
        <f t="shared" si="12"/>
        <v>0</v>
      </c>
      <c r="AX20" s="6">
        <f t="shared" si="13"/>
        <v>2</v>
      </c>
      <c r="AY20" s="6">
        <f t="shared" si="14"/>
        <v>1</v>
      </c>
      <c r="AZ20" s="6" t="str">
        <f t="shared" ca="1" si="15"/>
        <v/>
      </c>
      <c r="BA20" s="6" t="str">
        <f t="shared" ca="1" si="16"/>
        <v/>
      </c>
      <c r="BB20" s="6">
        <f t="shared" si="18"/>
        <v>-9.99</v>
      </c>
      <c r="BC20" s="356">
        <f t="shared" si="17"/>
        <v>0</v>
      </c>
      <c r="BD20">
        <f t="shared" si="26"/>
        <v>0</v>
      </c>
      <c r="BE20">
        <f t="shared" si="27"/>
        <v>0</v>
      </c>
      <c r="BF20">
        <f t="shared" si="28"/>
        <v>0</v>
      </c>
      <c r="BG20">
        <f t="shared" si="29"/>
        <v>0</v>
      </c>
      <c r="BH20">
        <f t="shared" si="30"/>
        <v>0</v>
      </c>
      <c r="BI20">
        <f t="shared" si="31"/>
        <v>0</v>
      </c>
      <c r="BJ20">
        <f t="shared" si="32"/>
        <v>0</v>
      </c>
      <c r="BK20">
        <f t="shared" si="33"/>
        <v>0</v>
      </c>
      <c r="BL20">
        <f t="shared" si="34"/>
        <v>0</v>
      </c>
      <c r="BM20">
        <f t="shared" si="35"/>
        <v>0</v>
      </c>
      <c r="BN20">
        <f t="shared" si="36"/>
        <v>0</v>
      </c>
      <c r="BO20" s="356">
        <f t="shared" si="37"/>
        <v>0</v>
      </c>
      <c r="BP20">
        <f t="shared" si="38"/>
        <v>0</v>
      </c>
      <c r="BQ20">
        <f t="shared" si="39"/>
        <v>0</v>
      </c>
      <c r="BR20">
        <f t="shared" si="40"/>
        <v>0</v>
      </c>
      <c r="BS20">
        <f t="shared" si="41"/>
        <v>0</v>
      </c>
      <c r="BT20">
        <f t="shared" si="42"/>
        <v>0</v>
      </c>
      <c r="BU20">
        <f t="shared" si="43"/>
        <v>0</v>
      </c>
      <c r="BV20">
        <f t="shared" si="44"/>
        <v>0</v>
      </c>
      <c r="BW20">
        <f t="shared" si="45"/>
        <v>0</v>
      </c>
      <c r="BX20">
        <f t="shared" si="46"/>
        <v>0</v>
      </c>
      <c r="BY20">
        <f t="shared" si="21"/>
        <v>0</v>
      </c>
      <c r="BZ20" s="356">
        <f t="shared" si="22"/>
        <v>0</v>
      </c>
      <c r="CA20" s="73">
        <f t="shared" si="23"/>
        <v>0</v>
      </c>
      <c r="CB20">
        <f t="shared" si="24"/>
        <v>0</v>
      </c>
      <c r="CC20">
        <f t="shared" si="25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56"/>
      <c r="B21" s="318" t="s">
        <v>345</v>
      </c>
      <c r="D21" s="6">
        <v>2</v>
      </c>
      <c r="E21" s="280" t="s">
        <v>370</v>
      </c>
      <c r="H21" s="6">
        <f t="shared" si="19"/>
        <v>-9.99</v>
      </c>
      <c r="I21" s="356"/>
      <c r="U21" s="356"/>
      <c r="AF21" s="356"/>
      <c r="AG21" s="73"/>
      <c r="AT21" s="73" t="str">
        <f t="shared" si="20"/>
        <v/>
      </c>
      <c r="AU21" s="280" t="s">
        <v>398</v>
      </c>
      <c r="AV21" s="6">
        <f t="shared" si="11"/>
        <v>-9.99</v>
      </c>
      <c r="AW21" s="6">
        <f t="shared" si="12"/>
        <v>0</v>
      </c>
      <c r="AX21" s="6">
        <f t="shared" si="13"/>
        <v>2</v>
      </c>
      <c r="AY21" s="6">
        <f t="shared" si="14"/>
        <v>3</v>
      </c>
      <c r="AZ21" s="6" t="str">
        <f t="shared" ca="1" si="15"/>
        <v/>
      </c>
      <c r="BA21" s="6" t="str">
        <f t="shared" ca="1" si="16"/>
        <v/>
      </c>
      <c r="BB21" s="6">
        <f t="shared" si="18"/>
        <v>-9.99</v>
      </c>
      <c r="BC21" s="356">
        <f t="shared" si="17"/>
        <v>0</v>
      </c>
      <c r="BD21">
        <f t="shared" si="26"/>
        <v>0</v>
      </c>
      <c r="BE21">
        <f t="shared" si="27"/>
        <v>0</v>
      </c>
      <c r="BF21">
        <f t="shared" si="28"/>
        <v>0</v>
      </c>
      <c r="BG21">
        <f t="shared" si="29"/>
        <v>0</v>
      </c>
      <c r="BH21">
        <f t="shared" si="30"/>
        <v>0</v>
      </c>
      <c r="BI21">
        <f t="shared" si="31"/>
        <v>0</v>
      </c>
      <c r="BJ21">
        <f t="shared" si="32"/>
        <v>0</v>
      </c>
      <c r="BK21">
        <f t="shared" si="33"/>
        <v>0</v>
      </c>
      <c r="BL21">
        <f t="shared" si="34"/>
        <v>0</v>
      </c>
      <c r="BM21">
        <f t="shared" si="35"/>
        <v>0</v>
      </c>
      <c r="BN21">
        <f t="shared" si="36"/>
        <v>0</v>
      </c>
      <c r="BO21" s="356">
        <f t="shared" si="37"/>
        <v>0</v>
      </c>
      <c r="BP21">
        <f t="shared" si="38"/>
        <v>0</v>
      </c>
      <c r="BQ21">
        <f t="shared" si="39"/>
        <v>0</v>
      </c>
      <c r="BR21">
        <f t="shared" si="40"/>
        <v>0</v>
      </c>
      <c r="BS21">
        <f t="shared" si="41"/>
        <v>0</v>
      </c>
      <c r="BT21">
        <f t="shared" si="42"/>
        <v>0</v>
      </c>
      <c r="BU21">
        <f t="shared" si="43"/>
        <v>0</v>
      </c>
      <c r="BV21">
        <f t="shared" si="44"/>
        <v>0</v>
      </c>
      <c r="BW21">
        <f t="shared" si="45"/>
        <v>0</v>
      </c>
      <c r="BX21">
        <f t="shared" si="46"/>
        <v>0</v>
      </c>
      <c r="BY21">
        <f t="shared" si="21"/>
        <v>0</v>
      </c>
      <c r="BZ21" s="356">
        <f t="shared" si="22"/>
        <v>0</v>
      </c>
      <c r="CA21" s="73">
        <f t="shared" si="23"/>
        <v>0</v>
      </c>
      <c r="CB21">
        <f t="shared" si="24"/>
        <v>0</v>
      </c>
      <c r="CC21">
        <f t="shared" si="25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56"/>
      <c r="B22" s="318" t="s">
        <v>346</v>
      </c>
      <c r="D22" s="6"/>
      <c r="H22" s="6">
        <f t="shared" si="19"/>
        <v>-9.99</v>
      </c>
      <c r="I22" s="356"/>
      <c r="U22" s="356"/>
      <c r="AF22" s="356"/>
      <c r="AG22" s="73"/>
      <c r="AT22" s="73" t="str">
        <f t="shared" si="20"/>
        <v/>
      </c>
      <c r="AU22" s="280" t="s">
        <v>409</v>
      </c>
      <c r="AV22" s="6">
        <f t="shared" si="11"/>
        <v>-9.99</v>
      </c>
      <c r="BB22" s="6">
        <f t="shared" si="18"/>
        <v>-9.99</v>
      </c>
      <c r="BC22" s="356">
        <f t="shared" si="17"/>
        <v>0</v>
      </c>
      <c r="BD22">
        <f t="shared" si="26"/>
        <v>0</v>
      </c>
      <c r="BE22">
        <f t="shared" si="27"/>
        <v>0</v>
      </c>
      <c r="BF22">
        <f t="shared" si="28"/>
        <v>0</v>
      </c>
      <c r="BG22">
        <f t="shared" si="29"/>
        <v>0</v>
      </c>
      <c r="BH22">
        <f t="shared" si="30"/>
        <v>0</v>
      </c>
      <c r="BI22">
        <f t="shared" si="31"/>
        <v>0</v>
      </c>
      <c r="BJ22">
        <f t="shared" si="32"/>
        <v>0</v>
      </c>
      <c r="BK22">
        <f t="shared" si="33"/>
        <v>0</v>
      </c>
      <c r="BL22">
        <f t="shared" si="34"/>
        <v>0</v>
      </c>
      <c r="BM22">
        <f t="shared" si="35"/>
        <v>0</v>
      </c>
      <c r="BN22">
        <f t="shared" si="36"/>
        <v>0</v>
      </c>
      <c r="BO22" s="356">
        <f t="shared" si="37"/>
        <v>0</v>
      </c>
      <c r="BP22">
        <f t="shared" si="38"/>
        <v>0</v>
      </c>
      <c r="BQ22">
        <f t="shared" si="39"/>
        <v>0</v>
      </c>
      <c r="BR22">
        <f t="shared" si="40"/>
        <v>0</v>
      </c>
      <c r="BS22">
        <f t="shared" si="41"/>
        <v>0</v>
      </c>
      <c r="BT22">
        <f t="shared" si="42"/>
        <v>0</v>
      </c>
      <c r="BU22">
        <f t="shared" si="43"/>
        <v>0</v>
      </c>
      <c r="BV22">
        <f t="shared" si="44"/>
        <v>0</v>
      </c>
      <c r="BW22">
        <f t="shared" si="45"/>
        <v>0</v>
      </c>
      <c r="BX22">
        <f t="shared" si="46"/>
        <v>0</v>
      </c>
      <c r="BY22">
        <f t="shared" si="21"/>
        <v>0</v>
      </c>
      <c r="BZ22" s="356">
        <f t="shared" si="22"/>
        <v>0</v>
      </c>
      <c r="CA22" s="73">
        <f t="shared" si="23"/>
        <v>0</v>
      </c>
      <c r="CB22">
        <f t="shared" si="24"/>
        <v>0</v>
      </c>
      <c r="CC22">
        <f t="shared" si="25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56"/>
      <c r="B23" s="318" t="s">
        <v>347</v>
      </c>
      <c r="D23" s="6"/>
      <c r="H23" s="6">
        <f t="shared" si="19"/>
        <v>-9.99</v>
      </c>
      <c r="I23" s="356"/>
      <c r="U23" s="356"/>
      <c r="AF23" s="356"/>
      <c r="AG23" s="73"/>
      <c r="AT23" s="73" t="str">
        <f t="shared" si="20"/>
        <v/>
      </c>
      <c r="AU23" s="280" t="s">
        <v>410</v>
      </c>
      <c r="AV23" s="6">
        <f t="shared" si="11"/>
        <v>-9.99</v>
      </c>
      <c r="BB23" s="6">
        <f t="shared" si="18"/>
        <v>-9.99</v>
      </c>
      <c r="BC23" s="356">
        <f t="shared" si="17"/>
        <v>0</v>
      </c>
      <c r="BD23">
        <f t="shared" si="26"/>
        <v>0</v>
      </c>
      <c r="BE23">
        <f t="shared" si="27"/>
        <v>0</v>
      </c>
      <c r="BF23">
        <f t="shared" si="28"/>
        <v>0</v>
      </c>
      <c r="BG23">
        <f t="shared" si="29"/>
        <v>0</v>
      </c>
      <c r="BH23">
        <f t="shared" si="30"/>
        <v>0</v>
      </c>
      <c r="BI23">
        <f t="shared" si="31"/>
        <v>0</v>
      </c>
      <c r="BJ23">
        <f t="shared" si="32"/>
        <v>0</v>
      </c>
      <c r="BK23">
        <f t="shared" si="33"/>
        <v>0</v>
      </c>
      <c r="BL23">
        <f t="shared" si="34"/>
        <v>0</v>
      </c>
      <c r="BM23">
        <f t="shared" si="35"/>
        <v>0</v>
      </c>
      <c r="BN23">
        <f t="shared" si="36"/>
        <v>0</v>
      </c>
      <c r="BO23" s="356">
        <f t="shared" si="37"/>
        <v>0</v>
      </c>
      <c r="BP23">
        <f t="shared" si="38"/>
        <v>0</v>
      </c>
      <c r="BQ23">
        <f t="shared" si="39"/>
        <v>0</v>
      </c>
      <c r="BR23">
        <f t="shared" si="40"/>
        <v>0</v>
      </c>
      <c r="BS23">
        <f t="shared" si="41"/>
        <v>0</v>
      </c>
      <c r="BT23">
        <f t="shared" si="42"/>
        <v>0</v>
      </c>
      <c r="BU23">
        <f t="shared" si="43"/>
        <v>0</v>
      </c>
      <c r="BV23">
        <f t="shared" si="44"/>
        <v>0</v>
      </c>
      <c r="BW23">
        <f t="shared" si="45"/>
        <v>0</v>
      </c>
      <c r="BX23">
        <f t="shared" si="46"/>
        <v>0</v>
      </c>
      <c r="BY23">
        <f t="shared" si="21"/>
        <v>0</v>
      </c>
      <c r="BZ23" s="356">
        <f t="shared" si="22"/>
        <v>0</v>
      </c>
      <c r="CA23" s="73">
        <f t="shared" si="23"/>
        <v>0</v>
      </c>
      <c r="CB23">
        <f t="shared" si="24"/>
        <v>0</v>
      </c>
      <c r="CC23">
        <f t="shared" si="25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56"/>
      <c r="B24" s="318" t="s">
        <v>348</v>
      </c>
      <c r="D24" s="6"/>
      <c r="H24" s="6">
        <f t="shared" si="19"/>
        <v>-9.99</v>
      </c>
      <c r="I24" s="356"/>
      <c r="U24" s="356"/>
      <c r="AF24" s="356"/>
      <c r="AG24" s="73"/>
      <c r="AT24" s="73" t="str">
        <f t="shared" si="20"/>
        <v/>
      </c>
      <c r="AU24" s="280" t="s">
        <v>411</v>
      </c>
      <c r="AV24" s="6">
        <f t="shared" si="11"/>
        <v>-9.99</v>
      </c>
      <c r="BB24" s="6">
        <f t="shared" si="18"/>
        <v>-9.99</v>
      </c>
      <c r="BC24" s="356">
        <f t="shared" si="17"/>
        <v>0</v>
      </c>
      <c r="BD24">
        <f t="shared" si="26"/>
        <v>0</v>
      </c>
      <c r="BE24">
        <f t="shared" si="27"/>
        <v>0</v>
      </c>
      <c r="BF24">
        <f t="shared" si="28"/>
        <v>0</v>
      </c>
      <c r="BG24">
        <f t="shared" si="29"/>
        <v>0</v>
      </c>
      <c r="BH24">
        <f t="shared" si="30"/>
        <v>0</v>
      </c>
      <c r="BI24">
        <f t="shared" si="31"/>
        <v>0</v>
      </c>
      <c r="BJ24">
        <f t="shared" si="32"/>
        <v>0</v>
      </c>
      <c r="BK24">
        <f t="shared" si="33"/>
        <v>0</v>
      </c>
      <c r="BL24">
        <f t="shared" si="34"/>
        <v>0</v>
      </c>
      <c r="BM24">
        <f t="shared" si="35"/>
        <v>0</v>
      </c>
      <c r="BN24">
        <f t="shared" si="36"/>
        <v>0</v>
      </c>
      <c r="BO24" s="356">
        <f t="shared" si="37"/>
        <v>0</v>
      </c>
      <c r="BP24">
        <f t="shared" si="38"/>
        <v>0</v>
      </c>
      <c r="BQ24">
        <f t="shared" si="39"/>
        <v>0</v>
      </c>
      <c r="BR24">
        <f t="shared" si="40"/>
        <v>0</v>
      </c>
      <c r="BS24">
        <f t="shared" si="41"/>
        <v>0</v>
      </c>
      <c r="BT24">
        <f t="shared" si="42"/>
        <v>0</v>
      </c>
      <c r="BU24">
        <f t="shared" si="43"/>
        <v>0</v>
      </c>
      <c r="BV24">
        <f t="shared" si="44"/>
        <v>0</v>
      </c>
      <c r="BW24">
        <f t="shared" si="45"/>
        <v>0</v>
      </c>
      <c r="BX24">
        <f t="shared" si="46"/>
        <v>0</v>
      </c>
      <c r="BY24">
        <f t="shared" si="21"/>
        <v>0</v>
      </c>
      <c r="BZ24" s="356">
        <f t="shared" si="22"/>
        <v>0</v>
      </c>
      <c r="CA24" s="73">
        <f t="shared" si="23"/>
        <v>0</v>
      </c>
      <c r="CB24">
        <f t="shared" si="24"/>
        <v>0</v>
      </c>
      <c r="CC24">
        <f t="shared" si="25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56"/>
      <c r="B25" s="318" t="s">
        <v>349</v>
      </c>
      <c r="D25" s="6"/>
      <c r="H25" s="6">
        <f t="shared" si="19"/>
        <v>-9.99</v>
      </c>
      <c r="I25" s="356"/>
      <c r="U25" s="356"/>
      <c r="AF25" s="356"/>
      <c r="AG25" s="73"/>
      <c r="AT25" s="73" t="str">
        <f t="shared" si="20"/>
        <v/>
      </c>
      <c r="AU25" s="280" t="s">
        <v>412</v>
      </c>
      <c r="AV25" s="6">
        <f t="shared" si="11"/>
        <v>-9.99</v>
      </c>
      <c r="BB25" s="6">
        <f t="shared" si="18"/>
        <v>-9.99</v>
      </c>
      <c r="BC25" s="356">
        <f t="shared" si="17"/>
        <v>0</v>
      </c>
      <c r="BD25">
        <f t="shared" si="26"/>
        <v>0</v>
      </c>
      <c r="BE25">
        <f t="shared" si="27"/>
        <v>0</v>
      </c>
      <c r="BF25">
        <f t="shared" si="28"/>
        <v>0</v>
      </c>
      <c r="BG25">
        <f t="shared" si="29"/>
        <v>0</v>
      </c>
      <c r="BH25">
        <f t="shared" si="30"/>
        <v>0</v>
      </c>
      <c r="BI25">
        <f t="shared" si="31"/>
        <v>0</v>
      </c>
      <c r="BJ25">
        <f t="shared" si="32"/>
        <v>0</v>
      </c>
      <c r="BK25">
        <f t="shared" si="33"/>
        <v>0</v>
      </c>
      <c r="BL25">
        <f t="shared" si="34"/>
        <v>0</v>
      </c>
      <c r="BM25">
        <f t="shared" si="35"/>
        <v>0</v>
      </c>
      <c r="BN25">
        <f t="shared" si="36"/>
        <v>0</v>
      </c>
      <c r="BO25" s="356">
        <f t="shared" si="37"/>
        <v>0</v>
      </c>
      <c r="BP25">
        <f t="shared" si="38"/>
        <v>0</v>
      </c>
      <c r="BQ25">
        <f t="shared" si="39"/>
        <v>0</v>
      </c>
      <c r="BR25">
        <f t="shared" si="40"/>
        <v>0</v>
      </c>
      <c r="BS25">
        <f t="shared" si="41"/>
        <v>0</v>
      </c>
      <c r="BT25">
        <f t="shared" si="42"/>
        <v>0</v>
      </c>
      <c r="BU25">
        <f t="shared" si="43"/>
        <v>0</v>
      </c>
      <c r="BV25">
        <f t="shared" si="44"/>
        <v>0</v>
      </c>
      <c r="BW25">
        <f t="shared" si="45"/>
        <v>0</v>
      </c>
      <c r="BX25">
        <f t="shared" si="46"/>
        <v>0</v>
      </c>
      <c r="BY25">
        <f t="shared" si="21"/>
        <v>0</v>
      </c>
      <c r="BZ25" s="356">
        <f t="shared" si="22"/>
        <v>0</v>
      </c>
      <c r="CA25" s="73">
        <f t="shared" si="23"/>
        <v>0</v>
      </c>
      <c r="CB25">
        <f t="shared" si="24"/>
        <v>0</v>
      </c>
      <c r="CC25">
        <f t="shared" si="25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56"/>
      <c r="B26" s="318" t="s">
        <v>350</v>
      </c>
      <c r="D26" s="6"/>
      <c r="H26" s="6">
        <f t="shared" si="19"/>
        <v>-9.99</v>
      </c>
      <c r="I26" s="356"/>
      <c r="U26" s="356"/>
      <c r="AF26" s="356"/>
      <c r="AG26" s="73"/>
      <c r="AT26" s="73" t="str">
        <f t="shared" si="20"/>
        <v/>
      </c>
      <c r="AU26" s="280" t="s">
        <v>413</v>
      </c>
      <c r="AV26" s="6">
        <f t="shared" si="11"/>
        <v>-9.99</v>
      </c>
      <c r="BB26" s="6">
        <f t="shared" si="18"/>
        <v>-9.99</v>
      </c>
      <c r="BC26" s="356">
        <f t="shared" si="17"/>
        <v>0</v>
      </c>
      <c r="BD26">
        <f t="shared" si="26"/>
        <v>0</v>
      </c>
      <c r="BE26">
        <f t="shared" si="27"/>
        <v>0</v>
      </c>
      <c r="BF26">
        <f t="shared" si="28"/>
        <v>0</v>
      </c>
      <c r="BG26">
        <f t="shared" si="29"/>
        <v>0</v>
      </c>
      <c r="BH26">
        <f t="shared" si="30"/>
        <v>0</v>
      </c>
      <c r="BI26">
        <f t="shared" si="31"/>
        <v>0</v>
      </c>
      <c r="BJ26">
        <f t="shared" si="32"/>
        <v>0</v>
      </c>
      <c r="BK26">
        <f t="shared" si="33"/>
        <v>0</v>
      </c>
      <c r="BL26">
        <f t="shared" si="34"/>
        <v>0</v>
      </c>
      <c r="BM26">
        <f t="shared" si="35"/>
        <v>0</v>
      </c>
      <c r="BN26">
        <f t="shared" si="36"/>
        <v>0</v>
      </c>
      <c r="BO26" s="356">
        <f t="shared" si="37"/>
        <v>0</v>
      </c>
      <c r="BP26">
        <f t="shared" si="38"/>
        <v>0</v>
      </c>
      <c r="BQ26">
        <f t="shared" si="39"/>
        <v>0</v>
      </c>
      <c r="BR26">
        <f t="shared" si="40"/>
        <v>0</v>
      </c>
      <c r="BS26">
        <f t="shared" si="41"/>
        <v>0</v>
      </c>
      <c r="BT26">
        <f t="shared" si="42"/>
        <v>0</v>
      </c>
      <c r="BU26">
        <f t="shared" si="43"/>
        <v>0</v>
      </c>
      <c r="BV26">
        <f t="shared" si="44"/>
        <v>0</v>
      </c>
      <c r="BW26">
        <f t="shared" si="45"/>
        <v>0</v>
      </c>
      <c r="BX26">
        <f t="shared" si="46"/>
        <v>0</v>
      </c>
      <c r="BY26">
        <f t="shared" si="21"/>
        <v>0</v>
      </c>
      <c r="BZ26" s="356">
        <f t="shared" si="22"/>
        <v>0</v>
      </c>
      <c r="CA26" s="73">
        <f t="shared" si="23"/>
        <v>0</v>
      </c>
      <c r="CB26">
        <f t="shared" si="24"/>
        <v>0</v>
      </c>
      <c r="CC26">
        <f t="shared" si="25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56"/>
      <c r="B27" s="318" t="s">
        <v>351</v>
      </c>
      <c r="D27" s="6"/>
      <c r="H27" s="6">
        <f t="shared" si="19"/>
        <v>-9.99</v>
      </c>
      <c r="I27" s="356"/>
      <c r="U27" s="356"/>
      <c r="AF27" s="356"/>
      <c r="AG27" s="73"/>
      <c r="AT27" s="73" t="str">
        <f t="shared" si="20"/>
        <v/>
      </c>
      <c r="AU27" s="280" t="s">
        <v>414</v>
      </c>
      <c r="AV27" s="6">
        <f t="shared" si="11"/>
        <v>-9.99</v>
      </c>
      <c r="BB27" s="6">
        <f t="shared" si="18"/>
        <v>-9.99</v>
      </c>
      <c r="BC27" s="356">
        <f t="shared" si="17"/>
        <v>0</v>
      </c>
      <c r="BD27">
        <f t="shared" si="26"/>
        <v>0</v>
      </c>
      <c r="BE27">
        <f t="shared" si="27"/>
        <v>0</v>
      </c>
      <c r="BF27">
        <f t="shared" si="28"/>
        <v>0</v>
      </c>
      <c r="BG27">
        <f t="shared" si="29"/>
        <v>0</v>
      </c>
      <c r="BH27">
        <f t="shared" si="30"/>
        <v>0</v>
      </c>
      <c r="BI27">
        <f t="shared" si="31"/>
        <v>0</v>
      </c>
      <c r="BJ27">
        <f t="shared" si="32"/>
        <v>0</v>
      </c>
      <c r="BK27">
        <f t="shared" si="33"/>
        <v>0</v>
      </c>
      <c r="BL27">
        <f t="shared" si="34"/>
        <v>0</v>
      </c>
      <c r="BM27">
        <f t="shared" si="35"/>
        <v>0</v>
      </c>
      <c r="BN27">
        <f t="shared" si="36"/>
        <v>0</v>
      </c>
      <c r="BO27" s="356">
        <f t="shared" si="37"/>
        <v>0</v>
      </c>
      <c r="BP27">
        <f t="shared" si="38"/>
        <v>0</v>
      </c>
      <c r="BQ27">
        <f t="shared" si="39"/>
        <v>0</v>
      </c>
      <c r="BR27">
        <f t="shared" si="40"/>
        <v>0</v>
      </c>
      <c r="BS27">
        <f t="shared" si="41"/>
        <v>0</v>
      </c>
      <c r="BT27">
        <f t="shared" si="42"/>
        <v>0</v>
      </c>
      <c r="BU27">
        <f t="shared" si="43"/>
        <v>0</v>
      </c>
      <c r="BV27">
        <f t="shared" si="44"/>
        <v>0</v>
      </c>
      <c r="BW27">
        <f t="shared" si="45"/>
        <v>0</v>
      </c>
      <c r="BX27">
        <f t="shared" si="46"/>
        <v>0</v>
      </c>
      <c r="BY27">
        <f t="shared" si="21"/>
        <v>0</v>
      </c>
      <c r="BZ27" s="356">
        <f t="shared" si="22"/>
        <v>0</v>
      </c>
      <c r="CA27" s="73">
        <f t="shared" si="23"/>
        <v>0</v>
      </c>
      <c r="CB27">
        <f t="shared" si="24"/>
        <v>0</v>
      </c>
      <c r="CC27">
        <f t="shared" si="25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56"/>
      <c r="B28" s="318" t="s">
        <v>352</v>
      </c>
      <c r="D28" s="6"/>
      <c r="H28" s="6">
        <f t="shared" si="19"/>
        <v>-9.99</v>
      </c>
      <c r="I28" s="356"/>
      <c r="U28" s="356"/>
      <c r="AF28" s="356"/>
      <c r="AG28" s="73"/>
      <c r="AT28" s="73" t="str">
        <f t="shared" si="20"/>
        <v/>
      </c>
      <c r="AU28" s="280" t="s">
        <v>415</v>
      </c>
      <c r="AV28" s="6">
        <f t="shared" si="11"/>
        <v>-9.99</v>
      </c>
      <c r="BB28" s="6">
        <f t="shared" si="18"/>
        <v>-9.99</v>
      </c>
      <c r="BC28" s="356">
        <f t="shared" si="17"/>
        <v>0</v>
      </c>
      <c r="BD28">
        <f t="shared" si="26"/>
        <v>0</v>
      </c>
      <c r="BE28">
        <f t="shared" si="27"/>
        <v>0</v>
      </c>
      <c r="BF28">
        <f t="shared" si="28"/>
        <v>0</v>
      </c>
      <c r="BG28">
        <f t="shared" si="29"/>
        <v>0</v>
      </c>
      <c r="BH28">
        <f t="shared" si="30"/>
        <v>0</v>
      </c>
      <c r="BI28">
        <f t="shared" si="31"/>
        <v>0</v>
      </c>
      <c r="BJ28">
        <f t="shared" si="32"/>
        <v>0</v>
      </c>
      <c r="BK28">
        <f t="shared" si="33"/>
        <v>0</v>
      </c>
      <c r="BL28">
        <f t="shared" si="34"/>
        <v>0</v>
      </c>
      <c r="BM28">
        <f t="shared" si="35"/>
        <v>0</v>
      </c>
      <c r="BN28">
        <f t="shared" si="36"/>
        <v>0</v>
      </c>
      <c r="BO28" s="356">
        <f t="shared" si="37"/>
        <v>0</v>
      </c>
      <c r="BP28">
        <f t="shared" si="38"/>
        <v>0</v>
      </c>
      <c r="BQ28">
        <f t="shared" si="39"/>
        <v>0</v>
      </c>
      <c r="BR28">
        <f t="shared" si="40"/>
        <v>0</v>
      </c>
      <c r="BS28">
        <f t="shared" si="41"/>
        <v>0</v>
      </c>
      <c r="BT28">
        <f t="shared" si="42"/>
        <v>0</v>
      </c>
      <c r="BU28">
        <f t="shared" si="43"/>
        <v>0</v>
      </c>
      <c r="BV28">
        <f t="shared" si="44"/>
        <v>0</v>
      </c>
      <c r="BW28">
        <f t="shared" si="45"/>
        <v>0</v>
      </c>
      <c r="BX28">
        <f t="shared" si="46"/>
        <v>0</v>
      </c>
      <c r="BY28">
        <f t="shared" si="21"/>
        <v>0</v>
      </c>
      <c r="BZ28" s="356">
        <f t="shared" si="22"/>
        <v>0</v>
      </c>
      <c r="CA28" s="73">
        <f t="shared" si="23"/>
        <v>0</v>
      </c>
      <c r="CB28">
        <f t="shared" si="24"/>
        <v>0</v>
      </c>
      <c r="CC28">
        <f t="shared" si="25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56"/>
      <c r="B29" s="318" t="s">
        <v>353</v>
      </c>
      <c r="D29" s="6"/>
      <c r="H29" s="6">
        <f t="shared" si="19"/>
        <v>-9.99</v>
      </c>
      <c r="I29" s="356"/>
      <c r="U29" s="356"/>
      <c r="AF29" s="356"/>
      <c r="AG29" s="73"/>
      <c r="AT29" s="73" t="str">
        <f t="shared" si="20"/>
        <v/>
      </c>
      <c r="AU29" s="280" t="s">
        <v>416</v>
      </c>
      <c r="AV29" s="6">
        <f t="shared" si="11"/>
        <v>-9.99</v>
      </c>
      <c r="BB29" s="6">
        <f t="shared" si="18"/>
        <v>-9.99</v>
      </c>
      <c r="BC29" s="356">
        <f t="shared" si="17"/>
        <v>0</v>
      </c>
      <c r="BD29">
        <f t="shared" si="26"/>
        <v>0</v>
      </c>
      <c r="BE29">
        <f t="shared" si="27"/>
        <v>0</v>
      </c>
      <c r="BF29">
        <f t="shared" si="28"/>
        <v>0</v>
      </c>
      <c r="BG29">
        <f t="shared" si="29"/>
        <v>0</v>
      </c>
      <c r="BH29">
        <f t="shared" si="30"/>
        <v>0</v>
      </c>
      <c r="BI29">
        <f t="shared" si="31"/>
        <v>0</v>
      </c>
      <c r="BJ29">
        <f t="shared" si="32"/>
        <v>0</v>
      </c>
      <c r="BK29">
        <f t="shared" si="33"/>
        <v>0</v>
      </c>
      <c r="BL29">
        <f t="shared" si="34"/>
        <v>0</v>
      </c>
      <c r="BM29">
        <f t="shared" si="35"/>
        <v>0</v>
      </c>
      <c r="BN29">
        <f t="shared" si="36"/>
        <v>0</v>
      </c>
      <c r="BO29" s="356">
        <f t="shared" si="37"/>
        <v>0</v>
      </c>
      <c r="BP29">
        <f t="shared" si="38"/>
        <v>0</v>
      </c>
      <c r="BQ29">
        <f t="shared" si="39"/>
        <v>0</v>
      </c>
      <c r="BR29">
        <f t="shared" si="40"/>
        <v>0</v>
      </c>
      <c r="BS29">
        <f t="shared" si="41"/>
        <v>0</v>
      </c>
      <c r="BT29">
        <f t="shared" si="42"/>
        <v>0</v>
      </c>
      <c r="BU29">
        <f t="shared" si="43"/>
        <v>0</v>
      </c>
      <c r="BV29">
        <f t="shared" si="44"/>
        <v>0</v>
      </c>
      <c r="BW29">
        <f t="shared" si="45"/>
        <v>0</v>
      </c>
      <c r="BX29">
        <f t="shared" si="46"/>
        <v>0</v>
      </c>
      <c r="BY29">
        <f t="shared" si="21"/>
        <v>0</v>
      </c>
      <c r="BZ29" s="356">
        <f t="shared" si="22"/>
        <v>0</v>
      </c>
      <c r="CA29" s="73">
        <f t="shared" si="23"/>
        <v>0</v>
      </c>
      <c r="CB29">
        <f t="shared" si="24"/>
        <v>0</v>
      </c>
      <c r="CC29">
        <f t="shared" si="25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56"/>
      <c r="B30" s="318" t="s">
        <v>354</v>
      </c>
      <c r="D30" s="6"/>
      <c r="H30" s="6">
        <f t="shared" si="19"/>
        <v>-9.99</v>
      </c>
      <c r="I30" s="356"/>
      <c r="U30" s="356"/>
      <c r="AF30" s="356"/>
      <c r="AG30" s="73"/>
      <c r="AT30" s="73" t="str">
        <f t="shared" si="20"/>
        <v/>
      </c>
      <c r="AU30" s="280" t="s">
        <v>417</v>
      </c>
      <c r="AV30" s="6">
        <f t="shared" si="11"/>
        <v>-9.99</v>
      </c>
      <c r="BB30" s="6">
        <f t="shared" si="18"/>
        <v>-9.99</v>
      </c>
      <c r="BC30" s="356">
        <f t="shared" si="17"/>
        <v>0</v>
      </c>
      <c r="BD30">
        <f t="shared" si="26"/>
        <v>0</v>
      </c>
      <c r="BE30">
        <f t="shared" si="27"/>
        <v>0</v>
      </c>
      <c r="BF30">
        <f t="shared" si="28"/>
        <v>0</v>
      </c>
      <c r="BG30">
        <f t="shared" si="29"/>
        <v>0</v>
      </c>
      <c r="BH30">
        <f t="shared" si="30"/>
        <v>0</v>
      </c>
      <c r="BI30">
        <f t="shared" si="31"/>
        <v>0</v>
      </c>
      <c r="BJ30">
        <f t="shared" si="32"/>
        <v>0</v>
      </c>
      <c r="BK30">
        <f t="shared" si="33"/>
        <v>0</v>
      </c>
      <c r="BL30">
        <f t="shared" si="34"/>
        <v>0</v>
      </c>
      <c r="BM30">
        <f t="shared" si="35"/>
        <v>0</v>
      </c>
      <c r="BN30">
        <f t="shared" si="36"/>
        <v>0</v>
      </c>
      <c r="BO30" s="356">
        <f t="shared" si="37"/>
        <v>0</v>
      </c>
      <c r="BP30">
        <f t="shared" si="38"/>
        <v>0</v>
      </c>
      <c r="BQ30">
        <f t="shared" si="39"/>
        <v>0</v>
      </c>
      <c r="BR30">
        <f t="shared" si="40"/>
        <v>0</v>
      </c>
      <c r="BS30">
        <f t="shared" si="41"/>
        <v>0</v>
      </c>
      <c r="BT30">
        <f t="shared" si="42"/>
        <v>0</v>
      </c>
      <c r="BU30">
        <f t="shared" si="43"/>
        <v>0</v>
      </c>
      <c r="BV30">
        <f t="shared" si="44"/>
        <v>0</v>
      </c>
      <c r="BW30">
        <f t="shared" si="45"/>
        <v>0</v>
      </c>
      <c r="BX30">
        <f t="shared" si="46"/>
        <v>0</v>
      </c>
      <c r="BY30">
        <f t="shared" si="21"/>
        <v>0</v>
      </c>
      <c r="BZ30" s="356">
        <f t="shared" si="22"/>
        <v>0</v>
      </c>
      <c r="CA30" s="73">
        <f t="shared" si="23"/>
        <v>0</v>
      </c>
      <c r="CB30">
        <f t="shared" si="24"/>
        <v>0</v>
      </c>
      <c r="CC30">
        <f t="shared" si="25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56"/>
      <c r="B31" s="318" t="s">
        <v>355</v>
      </c>
      <c r="D31" s="6"/>
      <c r="H31" s="6">
        <f t="shared" si="19"/>
        <v>-9.99</v>
      </c>
      <c r="I31" s="356"/>
      <c r="U31" s="356"/>
      <c r="AF31" s="356"/>
      <c r="AG31" s="73"/>
      <c r="AT31" s="73" t="str">
        <f t="shared" si="20"/>
        <v/>
      </c>
      <c r="AU31" s="280" t="s">
        <v>418</v>
      </c>
      <c r="AV31" s="6">
        <f t="shared" si="11"/>
        <v>-9.99</v>
      </c>
      <c r="BB31" s="6">
        <f t="shared" si="18"/>
        <v>-9.99</v>
      </c>
      <c r="BC31" s="356">
        <f t="shared" si="17"/>
        <v>0</v>
      </c>
      <c r="BD31">
        <f t="shared" si="26"/>
        <v>0</v>
      </c>
      <c r="BE31">
        <f t="shared" si="27"/>
        <v>0</v>
      </c>
      <c r="BF31">
        <f t="shared" si="28"/>
        <v>0</v>
      </c>
      <c r="BG31">
        <f t="shared" si="29"/>
        <v>0</v>
      </c>
      <c r="BH31">
        <f t="shared" si="30"/>
        <v>0</v>
      </c>
      <c r="BI31">
        <f t="shared" si="31"/>
        <v>0</v>
      </c>
      <c r="BJ31">
        <f t="shared" si="32"/>
        <v>0</v>
      </c>
      <c r="BK31">
        <f t="shared" si="33"/>
        <v>0</v>
      </c>
      <c r="BL31">
        <f t="shared" si="34"/>
        <v>0</v>
      </c>
      <c r="BM31">
        <f t="shared" si="35"/>
        <v>0</v>
      </c>
      <c r="BN31">
        <f t="shared" si="36"/>
        <v>0</v>
      </c>
      <c r="BO31" s="356">
        <f t="shared" si="37"/>
        <v>0</v>
      </c>
      <c r="BP31">
        <f t="shared" si="38"/>
        <v>0</v>
      </c>
      <c r="BQ31">
        <f t="shared" si="39"/>
        <v>0</v>
      </c>
      <c r="BR31">
        <f t="shared" si="40"/>
        <v>0</v>
      </c>
      <c r="BS31">
        <f t="shared" si="41"/>
        <v>0</v>
      </c>
      <c r="BT31">
        <f t="shared" si="42"/>
        <v>0</v>
      </c>
      <c r="BU31">
        <f t="shared" si="43"/>
        <v>0</v>
      </c>
      <c r="BV31">
        <f t="shared" si="44"/>
        <v>0</v>
      </c>
      <c r="BW31">
        <f t="shared" si="45"/>
        <v>0</v>
      </c>
      <c r="BX31">
        <f t="shared" si="46"/>
        <v>0</v>
      </c>
      <c r="BY31">
        <f t="shared" si="21"/>
        <v>0</v>
      </c>
      <c r="BZ31" s="356">
        <f t="shared" si="22"/>
        <v>0</v>
      </c>
      <c r="CA31" s="73">
        <f t="shared" si="23"/>
        <v>0</v>
      </c>
      <c r="CB31">
        <f t="shared" si="24"/>
        <v>0</v>
      </c>
      <c r="CC31">
        <f t="shared" si="25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56"/>
      <c r="B32" s="318" t="s">
        <v>356</v>
      </c>
      <c r="D32" s="6"/>
      <c r="H32" s="6">
        <f t="shared" si="19"/>
        <v>-9.99</v>
      </c>
      <c r="I32" s="356"/>
      <c r="U32" s="356"/>
      <c r="AF32" s="356"/>
      <c r="AG32" s="73"/>
      <c r="AT32" s="73" t="str">
        <f t="shared" si="20"/>
        <v/>
      </c>
      <c r="AU32" s="280" t="s">
        <v>419</v>
      </c>
      <c r="AV32" s="6">
        <f t="shared" si="11"/>
        <v>-9.99</v>
      </c>
      <c r="BB32" s="6">
        <f t="shared" si="18"/>
        <v>-9.99</v>
      </c>
      <c r="BC32" s="356">
        <f t="shared" si="17"/>
        <v>0</v>
      </c>
      <c r="BD32">
        <f t="shared" si="26"/>
        <v>0</v>
      </c>
      <c r="BE32">
        <f t="shared" si="27"/>
        <v>0</v>
      </c>
      <c r="BF32">
        <f t="shared" si="28"/>
        <v>0</v>
      </c>
      <c r="BG32">
        <f t="shared" si="29"/>
        <v>0</v>
      </c>
      <c r="BH32">
        <f t="shared" si="30"/>
        <v>0</v>
      </c>
      <c r="BI32">
        <f t="shared" si="31"/>
        <v>0</v>
      </c>
      <c r="BJ32">
        <f t="shared" si="32"/>
        <v>0</v>
      </c>
      <c r="BK32">
        <f t="shared" si="33"/>
        <v>0</v>
      </c>
      <c r="BL32">
        <f t="shared" si="34"/>
        <v>0</v>
      </c>
      <c r="BM32">
        <f t="shared" si="35"/>
        <v>0</v>
      </c>
      <c r="BN32">
        <f t="shared" si="36"/>
        <v>0</v>
      </c>
      <c r="BO32" s="356">
        <f t="shared" si="37"/>
        <v>0</v>
      </c>
      <c r="BP32">
        <f t="shared" si="38"/>
        <v>0</v>
      </c>
      <c r="BQ32">
        <f t="shared" si="39"/>
        <v>0</v>
      </c>
      <c r="BR32">
        <f t="shared" si="40"/>
        <v>0</v>
      </c>
      <c r="BS32">
        <f t="shared" si="41"/>
        <v>0</v>
      </c>
      <c r="BT32">
        <f t="shared" si="42"/>
        <v>0</v>
      </c>
      <c r="BU32">
        <f t="shared" si="43"/>
        <v>0</v>
      </c>
      <c r="BV32">
        <f t="shared" si="44"/>
        <v>0</v>
      </c>
      <c r="BW32">
        <f t="shared" si="45"/>
        <v>0</v>
      </c>
      <c r="BX32">
        <f t="shared" si="46"/>
        <v>0</v>
      </c>
      <c r="BY32">
        <f t="shared" si="21"/>
        <v>0</v>
      </c>
      <c r="BZ32" s="356">
        <f t="shared" si="22"/>
        <v>0</v>
      </c>
      <c r="CA32" s="73">
        <f t="shared" si="23"/>
        <v>0</v>
      </c>
      <c r="CB32">
        <f t="shared" si="24"/>
        <v>0</v>
      </c>
      <c r="CC32">
        <f t="shared" si="25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56"/>
      <c r="B33" s="318" t="s">
        <v>357</v>
      </c>
      <c r="D33" s="6"/>
      <c r="H33" s="6">
        <f t="shared" si="19"/>
        <v>-9.99</v>
      </c>
      <c r="I33" s="356"/>
      <c r="U33" s="356"/>
      <c r="AF33" s="356"/>
      <c r="AG33" s="73"/>
      <c r="AT33" s="73" t="str">
        <f t="shared" si="20"/>
        <v/>
      </c>
      <c r="AU33" s="280" t="s">
        <v>420</v>
      </c>
      <c r="AV33" s="6">
        <f t="shared" si="11"/>
        <v>-9.99</v>
      </c>
      <c r="BB33" s="6">
        <f t="shared" si="18"/>
        <v>-9.99</v>
      </c>
      <c r="BC33" s="356">
        <f t="shared" si="17"/>
        <v>0</v>
      </c>
      <c r="BD33">
        <f t="shared" si="26"/>
        <v>0</v>
      </c>
      <c r="BE33">
        <f t="shared" si="27"/>
        <v>0</v>
      </c>
      <c r="BF33">
        <f t="shared" si="28"/>
        <v>0</v>
      </c>
      <c r="BG33">
        <f t="shared" si="29"/>
        <v>0</v>
      </c>
      <c r="BH33">
        <f t="shared" si="30"/>
        <v>0</v>
      </c>
      <c r="BI33">
        <f t="shared" si="31"/>
        <v>0</v>
      </c>
      <c r="BJ33">
        <f t="shared" si="32"/>
        <v>0</v>
      </c>
      <c r="BK33">
        <f t="shared" si="33"/>
        <v>0</v>
      </c>
      <c r="BL33">
        <f t="shared" si="34"/>
        <v>0</v>
      </c>
      <c r="BM33">
        <f t="shared" si="35"/>
        <v>0</v>
      </c>
      <c r="BN33">
        <f t="shared" si="36"/>
        <v>0</v>
      </c>
      <c r="BO33" s="356">
        <f t="shared" si="37"/>
        <v>0</v>
      </c>
      <c r="BP33">
        <f t="shared" si="38"/>
        <v>0</v>
      </c>
      <c r="BQ33">
        <f t="shared" si="39"/>
        <v>0</v>
      </c>
      <c r="BR33">
        <f t="shared" si="40"/>
        <v>0</v>
      </c>
      <c r="BS33">
        <f t="shared" si="41"/>
        <v>0</v>
      </c>
      <c r="BT33">
        <f t="shared" si="42"/>
        <v>0</v>
      </c>
      <c r="BU33">
        <f t="shared" si="43"/>
        <v>0</v>
      </c>
      <c r="BV33">
        <f t="shared" si="44"/>
        <v>0</v>
      </c>
      <c r="BW33">
        <f t="shared" si="45"/>
        <v>0</v>
      </c>
      <c r="BX33">
        <f t="shared" si="46"/>
        <v>0</v>
      </c>
      <c r="BY33">
        <f t="shared" si="21"/>
        <v>0</v>
      </c>
      <c r="BZ33" s="356">
        <f t="shared" si="22"/>
        <v>0</v>
      </c>
      <c r="CA33" s="73">
        <f t="shared" si="23"/>
        <v>0</v>
      </c>
      <c r="CB33">
        <f t="shared" si="24"/>
        <v>0</v>
      </c>
      <c r="CC33">
        <f t="shared" si="25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56"/>
      <c r="B34" s="318" t="s">
        <v>358</v>
      </c>
      <c r="D34" s="6"/>
      <c r="H34" s="6">
        <f t="shared" si="19"/>
        <v>-9.99</v>
      </c>
      <c r="I34" s="356"/>
      <c r="U34" s="356"/>
      <c r="AF34" s="356"/>
      <c r="AG34" s="73"/>
      <c r="AT34" s="73" t="str">
        <f t="shared" si="20"/>
        <v/>
      </c>
      <c r="AU34" s="280" t="s">
        <v>421</v>
      </c>
      <c r="AV34" s="6">
        <f t="shared" si="11"/>
        <v>-9.99</v>
      </c>
      <c r="BB34" s="6">
        <f t="shared" si="18"/>
        <v>-9.99</v>
      </c>
      <c r="BC34" s="356">
        <f t="shared" si="17"/>
        <v>0</v>
      </c>
      <c r="BD34">
        <f t="shared" si="26"/>
        <v>0</v>
      </c>
      <c r="BE34">
        <f t="shared" si="27"/>
        <v>0</v>
      </c>
      <c r="BF34">
        <f t="shared" si="28"/>
        <v>0</v>
      </c>
      <c r="BG34">
        <f t="shared" si="29"/>
        <v>0</v>
      </c>
      <c r="BH34">
        <f t="shared" si="30"/>
        <v>0</v>
      </c>
      <c r="BI34">
        <f t="shared" si="31"/>
        <v>0</v>
      </c>
      <c r="BJ34">
        <f t="shared" si="32"/>
        <v>0</v>
      </c>
      <c r="BK34">
        <f t="shared" si="33"/>
        <v>0</v>
      </c>
      <c r="BL34">
        <f t="shared" si="34"/>
        <v>0</v>
      </c>
      <c r="BM34">
        <f t="shared" si="35"/>
        <v>0</v>
      </c>
      <c r="BN34">
        <f t="shared" si="36"/>
        <v>0</v>
      </c>
      <c r="BO34" s="356">
        <f t="shared" si="37"/>
        <v>0</v>
      </c>
      <c r="BP34">
        <f t="shared" si="38"/>
        <v>0</v>
      </c>
      <c r="BQ34">
        <f t="shared" si="39"/>
        <v>0</v>
      </c>
      <c r="BR34">
        <f t="shared" si="40"/>
        <v>0</v>
      </c>
      <c r="BS34">
        <f t="shared" si="41"/>
        <v>0</v>
      </c>
      <c r="BT34">
        <f t="shared" si="42"/>
        <v>0</v>
      </c>
      <c r="BU34">
        <f t="shared" si="43"/>
        <v>0</v>
      </c>
      <c r="BV34">
        <f t="shared" si="44"/>
        <v>0</v>
      </c>
      <c r="BW34">
        <f t="shared" si="45"/>
        <v>0</v>
      </c>
      <c r="BX34">
        <f t="shared" si="46"/>
        <v>0</v>
      </c>
      <c r="BY34">
        <f t="shared" si="21"/>
        <v>0</v>
      </c>
      <c r="BZ34" s="356">
        <f t="shared" si="22"/>
        <v>0</v>
      </c>
      <c r="CA34" s="73">
        <f t="shared" si="23"/>
        <v>0</v>
      </c>
      <c r="CB34">
        <f t="shared" si="24"/>
        <v>0</v>
      </c>
      <c r="CC34">
        <f t="shared" si="25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56"/>
      <c r="B35" s="318" t="s">
        <v>359</v>
      </c>
      <c r="D35" s="6"/>
      <c r="H35" s="6">
        <f t="shared" si="19"/>
        <v>-9.99</v>
      </c>
      <c r="I35" s="356"/>
      <c r="U35" s="356"/>
      <c r="AF35" s="356"/>
      <c r="AG35" s="73"/>
      <c r="AT35" s="73" t="str">
        <f t="shared" si="20"/>
        <v/>
      </c>
      <c r="AU35" s="280" t="s">
        <v>422</v>
      </c>
      <c r="AV35" s="6">
        <f t="shared" si="11"/>
        <v>-9.99</v>
      </c>
      <c r="BB35" s="6">
        <f t="shared" si="18"/>
        <v>-9.99</v>
      </c>
      <c r="BC35" s="356">
        <f t="shared" si="17"/>
        <v>0</v>
      </c>
      <c r="BD35">
        <f t="shared" si="26"/>
        <v>0</v>
      </c>
      <c r="BE35">
        <f t="shared" si="27"/>
        <v>0</v>
      </c>
      <c r="BF35">
        <f t="shared" si="28"/>
        <v>0</v>
      </c>
      <c r="BG35">
        <f t="shared" si="29"/>
        <v>0</v>
      </c>
      <c r="BH35">
        <f t="shared" si="30"/>
        <v>0</v>
      </c>
      <c r="BI35">
        <f t="shared" si="31"/>
        <v>0</v>
      </c>
      <c r="BJ35">
        <f t="shared" si="32"/>
        <v>0</v>
      </c>
      <c r="BK35">
        <f t="shared" si="33"/>
        <v>0</v>
      </c>
      <c r="BL35">
        <f t="shared" si="34"/>
        <v>0</v>
      </c>
      <c r="BM35">
        <f t="shared" si="35"/>
        <v>0</v>
      </c>
      <c r="BN35">
        <f t="shared" si="36"/>
        <v>0</v>
      </c>
      <c r="BO35" s="356">
        <f t="shared" si="37"/>
        <v>0</v>
      </c>
      <c r="BP35">
        <f t="shared" si="38"/>
        <v>0</v>
      </c>
      <c r="BQ35">
        <f t="shared" si="39"/>
        <v>0</v>
      </c>
      <c r="BR35">
        <f t="shared" si="40"/>
        <v>0</v>
      </c>
      <c r="BS35">
        <f t="shared" si="41"/>
        <v>0</v>
      </c>
      <c r="BT35">
        <f t="shared" si="42"/>
        <v>0</v>
      </c>
      <c r="BU35">
        <f t="shared" si="43"/>
        <v>0</v>
      </c>
      <c r="BV35">
        <f t="shared" si="44"/>
        <v>0</v>
      </c>
      <c r="BW35">
        <f t="shared" si="45"/>
        <v>0</v>
      </c>
      <c r="BX35">
        <f t="shared" si="46"/>
        <v>0</v>
      </c>
      <c r="BY35">
        <f t="shared" si="21"/>
        <v>0</v>
      </c>
      <c r="BZ35" s="356">
        <f t="shared" si="22"/>
        <v>0</v>
      </c>
      <c r="CA35" s="73">
        <f t="shared" si="23"/>
        <v>0</v>
      </c>
      <c r="CB35">
        <f t="shared" si="24"/>
        <v>0</v>
      </c>
      <c r="CC35">
        <f t="shared" si="25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56"/>
      <c r="B36" s="318" t="s">
        <v>360</v>
      </c>
      <c r="D36" s="6"/>
      <c r="H36" s="6">
        <f t="shared" si="19"/>
        <v>-9.99</v>
      </c>
      <c r="I36" s="356"/>
      <c r="U36" s="356"/>
      <c r="AF36" s="356"/>
      <c r="AG36" s="73"/>
      <c r="AT36" s="73" t="str">
        <f t="shared" si="20"/>
        <v/>
      </c>
      <c r="AU36" s="280" t="s">
        <v>423</v>
      </c>
      <c r="AV36" s="6">
        <f t="shared" si="11"/>
        <v>-9.99</v>
      </c>
      <c r="BB36" s="6">
        <f t="shared" si="18"/>
        <v>-9.99</v>
      </c>
      <c r="BC36" s="356">
        <f t="shared" si="17"/>
        <v>0</v>
      </c>
      <c r="BD36">
        <f t="shared" si="26"/>
        <v>0</v>
      </c>
      <c r="BE36">
        <f t="shared" si="27"/>
        <v>0</v>
      </c>
      <c r="BF36">
        <f t="shared" si="28"/>
        <v>0</v>
      </c>
      <c r="BG36">
        <f t="shared" si="29"/>
        <v>0</v>
      </c>
      <c r="BH36">
        <f t="shared" si="30"/>
        <v>0</v>
      </c>
      <c r="BI36">
        <f t="shared" si="31"/>
        <v>0</v>
      </c>
      <c r="BJ36">
        <f t="shared" si="32"/>
        <v>0</v>
      </c>
      <c r="BK36">
        <f t="shared" si="33"/>
        <v>0</v>
      </c>
      <c r="BL36">
        <f t="shared" si="34"/>
        <v>0</v>
      </c>
      <c r="BM36">
        <f t="shared" si="35"/>
        <v>0</v>
      </c>
      <c r="BN36">
        <f t="shared" si="36"/>
        <v>0</v>
      </c>
      <c r="BO36" s="356">
        <f t="shared" si="37"/>
        <v>0</v>
      </c>
      <c r="BP36">
        <f t="shared" si="38"/>
        <v>0</v>
      </c>
      <c r="BQ36">
        <f t="shared" si="39"/>
        <v>0</v>
      </c>
      <c r="BR36">
        <f t="shared" si="40"/>
        <v>0</v>
      </c>
      <c r="BS36">
        <f t="shared" si="41"/>
        <v>0</v>
      </c>
      <c r="BT36">
        <f t="shared" si="42"/>
        <v>0</v>
      </c>
      <c r="BU36">
        <f t="shared" si="43"/>
        <v>0</v>
      </c>
      <c r="BV36">
        <f t="shared" si="44"/>
        <v>0</v>
      </c>
      <c r="BW36">
        <f t="shared" si="45"/>
        <v>0</v>
      </c>
      <c r="BX36">
        <f t="shared" si="46"/>
        <v>0</v>
      </c>
      <c r="BY36">
        <f t="shared" si="21"/>
        <v>0</v>
      </c>
      <c r="BZ36" s="356">
        <f t="shared" si="22"/>
        <v>0</v>
      </c>
      <c r="CA36" s="73">
        <f t="shared" si="23"/>
        <v>0</v>
      </c>
      <c r="CB36">
        <f t="shared" si="24"/>
        <v>0</v>
      </c>
      <c r="CC36">
        <f t="shared" si="25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56"/>
      <c r="B37" s="318" t="s">
        <v>361</v>
      </c>
      <c r="D37" s="6"/>
      <c r="H37" s="6">
        <f t="shared" si="19"/>
        <v>-9.99</v>
      </c>
      <c r="I37" s="356"/>
      <c r="U37" s="356"/>
      <c r="AF37" s="356"/>
      <c r="AG37" s="73"/>
      <c r="AT37" s="73" t="str">
        <f t="shared" si="20"/>
        <v/>
      </c>
      <c r="AU37" s="280" t="s">
        <v>424</v>
      </c>
      <c r="AV37" s="6">
        <f t="shared" si="11"/>
        <v>-9.99</v>
      </c>
      <c r="BB37" s="6">
        <f t="shared" si="18"/>
        <v>-9.99</v>
      </c>
      <c r="BC37" s="356">
        <f t="shared" si="17"/>
        <v>0</v>
      </c>
      <c r="BD37">
        <f t="shared" si="26"/>
        <v>0</v>
      </c>
      <c r="BE37">
        <f t="shared" si="27"/>
        <v>0</v>
      </c>
      <c r="BF37">
        <f t="shared" si="28"/>
        <v>0</v>
      </c>
      <c r="BG37">
        <f t="shared" si="29"/>
        <v>0</v>
      </c>
      <c r="BH37">
        <f t="shared" si="30"/>
        <v>0</v>
      </c>
      <c r="BI37">
        <f t="shared" si="31"/>
        <v>0</v>
      </c>
      <c r="BJ37">
        <f t="shared" si="32"/>
        <v>0</v>
      </c>
      <c r="BK37">
        <f t="shared" si="33"/>
        <v>0</v>
      </c>
      <c r="BL37">
        <f t="shared" si="34"/>
        <v>0</v>
      </c>
      <c r="BM37">
        <f t="shared" si="35"/>
        <v>0</v>
      </c>
      <c r="BN37">
        <f t="shared" si="36"/>
        <v>0</v>
      </c>
      <c r="BO37" s="356">
        <f t="shared" si="37"/>
        <v>0</v>
      </c>
      <c r="BP37">
        <f t="shared" si="38"/>
        <v>0</v>
      </c>
      <c r="BQ37">
        <f t="shared" si="39"/>
        <v>0</v>
      </c>
      <c r="BR37">
        <f t="shared" si="40"/>
        <v>0</v>
      </c>
      <c r="BS37">
        <f t="shared" si="41"/>
        <v>0</v>
      </c>
      <c r="BT37">
        <f t="shared" si="42"/>
        <v>0</v>
      </c>
      <c r="BU37">
        <f t="shared" si="43"/>
        <v>0</v>
      </c>
      <c r="BV37">
        <f t="shared" si="44"/>
        <v>0</v>
      </c>
      <c r="BW37">
        <f t="shared" si="45"/>
        <v>0</v>
      </c>
      <c r="BX37">
        <f t="shared" si="46"/>
        <v>0</v>
      </c>
      <c r="BY37">
        <f t="shared" si="21"/>
        <v>0</v>
      </c>
      <c r="BZ37" s="356">
        <f t="shared" si="22"/>
        <v>0</v>
      </c>
      <c r="CA37" s="73">
        <f t="shared" si="23"/>
        <v>0</v>
      </c>
      <c r="CB37">
        <f t="shared" si="24"/>
        <v>0</v>
      </c>
      <c r="CC37">
        <f t="shared" si="25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56"/>
      <c r="B38" s="318" t="s">
        <v>362</v>
      </c>
      <c r="D38" s="6"/>
      <c r="H38" s="6">
        <f t="shared" si="19"/>
        <v>-9.99</v>
      </c>
      <c r="I38" s="356"/>
      <c r="U38" s="356"/>
      <c r="AF38" s="356"/>
      <c r="AG38" s="73"/>
      <c r="AT38" s="73" t="str">
        <f t="shared" si="20"/>
        <v/>
      </c>
      <c r="AU38" s="280" t="s">
        <v>425</v>
      </c>
      <c r="AV38" s="6">
        <f t="shared" si="11"/>
        <v>-9.99</v>
      </c>
      <c r="BB38" s="6">
        <f t="shared" si="18"/>
        <v>-9.99</v>
      </c>
      <c r="BC38" s="356">
        <f t="shared" si="17"/>
        <v>0</v>
      </c>
      <c r="BD38">
        <f t="shared" si="26"/>
        <v>0</v>
      </c>
      <c r="BE38">
        <f t="shared" si="27"/>
        <v>0</v>
      </c>
      <c r="BF38">
        <f t="shared" si="28"/>
        <v>0</v>
      </c>
      <c r="BG38">
        <f t="shared" si="29"/>
        <v>0</v>
      </c>
      <c r="BH38">
        <f t="shared" si="30"/>
        <v>0</v>
      </c>
      <c r="BI38">
        <f t="shared" si="31"/>
        <v>0</v>
      </c>
      <c r="BJ38">
        <f t="shared" si="32"/>
        <v>0</v>
      </c>
      <c r="BK38">
        <f t="shared" si="33"/>
        <v>0</v>
      </c>
      <c r="BL38">
        <f t="shared" si="34"/>
        <v>0</v>
      </c>
      <c r="BM38">
        <f t="shared" si="35"/>
        <v>0</v>
      </c>
      <c r="BN38">
        <f t="shared" si="36"/>
        <v>0</v>
      </c>
      <c r="BO38" s="356">
        <f t="shared" si="37"/>
        <v>0</v>
      </c>
      <c r="BP38">
        <f t="shared" si="38"/>
        <v>0</v>
      </c>
      <c r="BQ38">
        <f t="shared" si="39"/>
        <v>0</v>
      </c>
      <c r="BR38">
        <f t="shared" si="40"/>
        <v>0</v>
      </c>
      <c r="BS38">
        <f t="shared" si="41"/>
        <v>0</v>
      </c>
      <c r="BT38">
        <f t="shared" si="42"/>
        <v>0</v>
      </c>
      <c r="BU38">
        <f t="shared" si="43"/>
        <v>0</v>
      </c>
      <c r="BV38">
        <f t="shared" si="44"/>
        <v>0</v>
      </c>
      <c r="BW38">
        <f t="shared" si="45"/>
        <v>0</v>
      </c>
      <c r="BX38">
        <f t="shared" si="46"/>
        <v>0</v>
      </c>
      <c r="BY38">
        <f t="shared" si="21"/>
        <v>0</v>
      </c>
      <c r="BZ38" s="356">
        <f t="shared" si="22"/>
        <v>0</v>
      </c>
      <c r="CA38" s="73">
        <f t="shared" si="23"/>
        <v>0</v>
      </c>
      <c r="CB38">
        <f t="shared" si="24"/>
        <v>0</v>
      </c>
      <c r="CC38">
        <f t="shared" si="25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56"/>
      <c r="B39" s="318" t="s">
        <v>363</v>
      </c>
      <c r="D39" s="6"/>
      <c r="H39" s="6">
        <f t="shared" si="19"/>
        <v>-9.99</v>
      </c>
      <c r="I39" s="356"/>
      <c r="U39" s="356"/>
      <c r="AF39" s="356"/>
      <c r="AG39" s="73"/>
      <c r="AT39" s="73" t="str">
        <f t="shared" si="20"/>
        <v/>
      </c>
      <c r="AU39" s="280" t="s">
        <v>426</v>
      </c>
      <c r="AV39" s="6">
        <f t="shared" si="11"/>
        <v>-9.99</v>
      </c>
      <c r="BB39" s="6">
        <f t="shared" si="18"/>
        <v>-9.99</v>
      </c>
      <c r="BC39" s="356">
        <f t="shared" si="17"/>
        <v>0</v>
      </c>
      <c r="BD39">
        <f t="shared" si="26"/>
        <v>0</v>
      </c>
      <c r="BE39">
        <f t="shared" si="27"/>
        <v>0</v>
      </c>
      <c r="BF39">
        <f t="shared" si="28"/>
        <v>0</v>
      </c>
      <c r="BG39">
        <f t="shared" si="29"/>
        <v>0</v>
      </c>
      <c r="BH39">
        <f t="shared" si="30"/>
        <v>0</v>
      </c>
      <c r="BI39">
        <f t="shared" si="31"/>
        <v>0</v>
      </c>
      <c r="BJ39">
        <f t="shared" si="32"/>
        <v>0</v>
      </c>
      <c r="BK39">
        <f t="shared" si="33"/>
        <v>0</v>
      </c>
      <c r="BL39">
        <f t="shared" si="34"/>
        <v>0</v>
      </c>
      <c r="BM39">
        <f t="shared" si="35"/>
        <v>0</v>
      </c>
      <c r="BN39">
        <f t="shared" si="36"/>
        <v>0</v>
      </c>
      <c r="BO39" s="356">
        <f t="shared" si="37"/>
        <v>0</v>
      </c>
      <c r="BP39">
        <f t="shared" si="38"/>
        <v>0</v>
      </c>
      <c r="BQ39">
        <f t="shared" si="39"/>
        <v>0</v>
      </c>
      <c r="BR39">
        <f t="shared" si="40"/>
        <v>0</v>
      </c>
      <c r="BS39">
        <f t="shared" si="41"/>
        <v>0</v>
      </c>
      <c r="BT39">
        <f t="shared" si="42"/>
        <v>0</v>
      </c>
      <c r="BU39">
        <f t="shared" si="43"/>
        <v>0</v>
      </c>
      <c r="BV39">
        <f t="shared" si="44"/>
        <v>0</v>
      </c>
      <c r="BW39">
        <f t="shared" si="45"/>
        <v>0</v>
      </c>
      <c r="BX39">
        <f t="shared" si="46"/>
        <v>0</v>
      </c>
      <c r="BY39">
        <f t="shared" si="21"/>
        <v>0</v>
      </c>
      <c r="BZ39" s="356">
        <f t="shared" si="22"/>
        <v>0</v>
      </c>
      <c r="CA39" s="73">
        <f t="shared" si="23"/>
        <v>0</v>
      </c>
      <c r="CB39">
        <f t="shared" si="24"/>
        <v>0</v>
      </c>
      <c r="CC39">
        <f t="shared" si="25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56"/>
      <c r="B40" s="318" t="s">
        <v>364</v>
      </c>
      <c r="D40" s="6"/>
      <c r="H40" s="6">
        <f t="shared" si="19"/>
        <v>-9.99</v>
      </c>
      <c r="I40" s="356"/>
      <c r="U40" s="356"/>
      <c r="AF40" s="356"/>
      <c r="AG40" s="73"/>
      <c r="AT40" s="73" t="str">
        <f t="shared" si="20"/>
        <v/>
      </c>
      <c r="AU40" s="280" t="s">
        <v>427</v>
      </c>
      <c r="AV40" s="6">
        <f t="shared" si="11"/>
        <v>-9.99</v>
      </c>
      <c r="BB40" s="6">
        <f t="shared" si="18"/>
        <v>-9.99</v>
      </c>
      <c r="BC40" s="356">
        <f t="shared" si="17"/>
        <v>0</v>
      </c>
      <c r="BD40">
        <f t="shared" si="26"/>
        <v>0</v>
      </c>
      <c r="BE40">
        <f t="shared" si="27"/>
        <v>0</v>
      </c>
      <c r="BF40">
        <f t="shared" si="28"/>
        <v>0</v>
      </c>
      <c r="BG40">
        <f t="shared" si="29"/>
        <v>0</v>
      </c>
      <c r="BH40">
        <f t="shared" si="30"/>
        <v>0</v>
      </c>
      <c r="BI40">
        <f t="shared" si="31"/>
        <v>0</v>
      </c>
      <c r="BJ40">
        <f t="shared" si="32"/>
        <v>0</v>
      </c>
      <c r="BK40">
        <f t="shared" si="33"/>
        <v>0</v>
      </c>
      <c r="BL40">
        <f t="shared" si="34"/>
        <v>0</v>
      </c>
      <c r="BM40">
        <f t="shared" si="35"/>
        <v>0</v>
      </c>
      <c r="BN40">
        <f t="shared" si="36"/>
        <v>0</v>
      </c>
      <c r="BO40" s="356">
        <f t="shared" si="37"/>
        <v>0</v>
      </c>
      <c r="BP40">
        <f t="shared" si="38"/>
        <v>0</v>
      </c>
      <c r="BQ40">
        <f t="shared" si="39"/>
        <v>0</v>
      </c>
      <c r="BR40">
        <f t="shared" si="40"/>
        <v>0</v>
      </c>
      <c r="BS40">
        <f t="shared" si="41"/>
        <v>0</v>
      </c>
      <c r="BT40">
        <f t="shared" si="42"/>
        <v>0</v>
      </c>
      <c r="BU40">
        <f t="shared" si="43"/>
        <v>0</v>
      </c>
      <c r="BV40">
        <f t="shared" si="44"/>
        <v>0</v>
      </c>
      <c r="BW40">
        <f t="shared" si="45"/>
        <v>0</v>
      </c>
      <c r="BX40">
        <f t="shared" si="46"/>
        <v>0</v>
      </c>
      <c r="BY40">
        <f t="shared" si="21"/>
        <v>0</v>
      </c>
      <c r="BZ40" s="356">
        <f t="shared" si="22"/>
        <v>0</v>
      </c>
      <c r="CA40" s="73">
        <f t="shared" si="23"/>
        <v>0</v>
      </c>
      <c r="CB40">
        <f t="shared" si="24"/>
        <v>0</v>
      </c>
      <c r="CC40">
        <f t="shared" si="25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56"/>
      <c r="B41" s="318" t="s">
        <v>365</v>
      </c>
      <c r="D41" s="6"/>
      <c r="H41" s="6">
        <f t="shared" si="19"/>
        <v>-9.99</v>
      </c>
      <c r="I41" s="356"/>
      <c r="U41" s="356"/>
      <c r="AF41" s="356"/>
      <c r="AG41" s="73"/>
      <c r="AT41" s="73" t="str">
        <f t="shared" si="20"/>
        <v/>
      </c>
      <c r="AU41" s="280" t="s">
        <v>428</v>
      </c>
      <c r="AV41" s="6">
        <f t="shared" si="11"/>
        <v>-9.99</v>
      </c>
      <c r="BB41" s="6">
        <f t="shared" si="18"/>
        <v>-9.99</v>
      </c>
      <c r="BC41" s="356">
        <f t="shared" si="17"/>
        <v>0</v>
      </c>
      <c r="BD41">
        <f t="shared" si="26"/>
        <v>0</v>
      </c>
      <c r="BE41">
        <f t="shared" si="27"/>
        <v>0</v>
      </c>
      <c r="BF41">
        <f t="shared" si="28"/>
        <v>0</v>
      </c>
      <c r="BG41">
        <f t="shared" si="29"/>
        <v>0</v>
      </c>
      <c r="BH41">
        <f t="shared" si="30"/>
        <v>0</v>
      </c>
      <c r="BI41">
        <f t="shared" si="31"/>
        <v>0</v>
      </c>
      <c r="BJ41">
        <f t="shared" si="32"/>
        <v>0</v>
      </c>
      <c r="BK41">
        <f t="shared" si="33"/>
        <v>0</v>
      </c>
      <c r="BL41">
        <f t="shared" si="34"/>
        <v>0</v>
      </c>
      <c r="BM41">
        <f t="shared" si="35"/>
        <v>0</v>
      </c>
      <c r="BN41">
        <f t="shared" si="36"/>
        <v>0</v>
      </c>
      <c r="BO41" s="356">
        <f t="shared" si="37"/>
        <v>0</v>
      </c>
      <c r="BP41">
        <f t="shared" si="38"/>
        <v>0</v>
      </c>
      <c r="BQ41">
        <f t="shared" si="39"/>
        <v>0</v>
      </c>
      <c r="BR41">
        <f t="shared" si="40"/>
        <v>0</v>
      </c>
      <c r="BS41">
        <f t="shared" si="41"/>
        <v>0</v>
      </c>
      <c r="BT41">
        <f t="shared" si="42"/>
        <v>0</v>
      </c>
      <c r="BU41">
        <f t="shared" si="43"/>
        <v>0</v>
      </c>
      <c r="BV41">
        <f t="shared" si="44"/>
        <v>0</v>
      </c>
      <c r="BW41">
        <f t="shared" si="45"/>
        <v>0</v>
      </c>
      <c r="BX41">
        <f t="shared" si="46"/>
        <v>0</v>
      </c>
      <c r="BY41">
        <f t="shared" si="21"/>
        <v>0</v>
      </c>
      <c r="BZ41" s="356">
        <f t="shared" si="22"/>
        <v>0</v>
      </c>
      <c r="CA41" s="73">
        <f t="shared" si="23"/>
        <v>0</v>
      </c>
      <c r="CB41">
        <f t="shared" si="24"/>
        <v>0</v>
      </c>
      <c r="CC41">
        <f t="shared" si="25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56"/>
      <c r="B42" s="318" t="s">
        <v>366</v>
      </c>
      <c r="D42" s="6"/>
      <c r="H42" s="6">
        <f t="shared" si="19"/>
        <v>-9.99</v>
      </c>
      <c r="I42" s="356"/>
      <c r="U42" s="356"/>
      <c r="AF42" s="356"/>
      <c r="AG42" s="73"/>
      <c r="AT42" s="73" t="str">
        <f t="shared" si="20"/>
        <v/>
      </c>
      <c r="AU42" s="280" t="s">
        <v>429</v>
      </c>
      <c r="AV42" s="6">
        <f t="shared" si="11"/>
        <v>-9.99</v>
      </c>
      <c r="BB42" s="6">
        <f t="shared" si="18"/>
        <v>-9.99</v>
      </c>
      <c r="BC42" s="356">
        <f t="shared" si="17"/>
        <v>0</v>
      </c>
      <c r="BD42">
        <f t="shared" si="26"/>
        <v>0</v>
      </c>
      <c r="BE42">
        <f t="shared" si="27"/>
        <v>0</v>
      </c>
      <c r="BF42">
        <f t="shared" si="28"/>
        <v>0</v>
      </c>
      <c r="BG42">
        <f t="shared" si="29"/>
        <v>0</v>
      </c>
      <c r="BH42">
        <f t="shared" si="30"/>
        <v>0</v>
      </c>
      <c r="BI42">
        <f t="shared" si="31"/>
        <v>0</v>
      </c>
      <c r="BJ42">
        <f t="shared" si="32"/>
        <v>0</v>
      </c>
      <c r="BK42">
        <f t="shared" si="33"/>
        <v>0</v>
      </c>
      <c r="BL42">
        <f t="shared" si="34"/>
        <v>0</v>
      </c>
      <c r="BM42">
        <f t="shared" si="35"/>
        <v>0</v>
      </c>
      <c r="BN42">
        <f t="shared" si="36"/>
        <v>0</v>
      </c>
      <c r="BO42" s="356">
        <f t="shared" si="37"/>
        <v>0</v>
      </c>
      <c r="BP42">
        <f t="shared" si="38"/>
        <v>0</v>
      </c>
      <c r="BQ42">
        <f t="shared" si="39"/>
        <v>0</v>
      </c>
      <c r="BR42">
        <f t="shared" si="40"/>
        <v>0</v>
      </c>
      <c r="BS42">
        <f t="shared" si="41"/>
        <v>0</v>
      </c>
      <c r="BT42">
        <f t="shared" si="42"/>
        <v>0</v>
      </c>
      <c r="BU42">
        <f t="shared" si="43"/>
        <v>0</v>
      </c>
      <c r="BV42">
        <f t="shared" si="44"/>
        <v>0</v>
      </c>
      <c r="BW42">
        <f t="shared" si="45"/>
        <v>0</v>
      </c>
      <c r="BX42">
        <f t="shared" si="46"/>
        <v>0</v>
      </c>
      <c r="BY42">
        <f t="shared" si="21"/>
        <v>0</v>
      </c>
      <c r="BZ42" s="356">
        <f t="shared" si="22"/>
        <v>0</v>
      </c>
      <c r="CA42" s="73">
        <f t="shared" si="23"/>
        <v>0</v>
      </c>
      <c r="CB42">
        <f t="shared" si="24"/>
        <v>0</v>
      </c>
      <c r="CC42">
        <f t="shared" si="25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56"/>
      <c r="B43" s="318" t="s">
        <v>406</v>
      </c>
      <c r="D43" s="6"/>
      <c r="H43" s="6">
        <f t="shared" si="19"/>
        <v>-9.99</v>
      </c>
      <c r="I43" s="356"/>
      <c r="U43" s="356"/>
      <c r="AF43" s="356"/>
      <c r="AG43" s="73"/>
      <c r="AT43" s="73" t="str">
        <f t="shared" si="20"/>
        <v/>
      </c>
      <c r="AU43" s="280" t="s">
        <v>430</v>
      </c>
      <c r="AV43" s="6">
        <f t="shared" si="11"/>
        <v>-9.99</v>
      </c>
      <c r="BB43" s="6">
        <f t="shared" si="18"/>
        <v>-9.99</v>
      </c>
      <c r="BC43" s="356">
        <f t="shared" si="17"/>
        <v>0</v>
      </c>
      <c r="BD43">
        <f t="shared" si="26"/>
        <v>0</v>
      </c>
      <c r="BE43">
        <f t="shared" si="27"/>
        <v>0</v>
      </c>
      <c r="BF43">
        <f t="shared" si="28"/>
        <v>0</v>
      </c>
      <c r="BG43">
        <f t="shared" si="29"/>
        <v>0</v>
      </c>
      <c r="BH43">
        <f t="shared" si="30"/>
        <v>0</v>
      </c>
      <c r="BI43">
        <f t="shared" si="31"/>
        <v>0</v>
      </c>
      <c r="BJ43">
        <f t="shared" si="32"/>
        <v>0</v>
      </c>
      <c r="BK43">
        <f t="shared" si="33"/>
        <v>0</v>
      </c>
      <c r="BL43">
        <f t="shared" si="34"/>
        <v>0</v>
      </c>
      <c r="BM43">
        <f t="shared" si="35"/>
        <v>0</v>
      </c>
      <c r="BN43">
        <f t="shared" si="36"/>
        <v>0</v>
      </c>
      <c r="BO43" s="356">
        <f t="shared" si="37"/>
        <v>0</v>
      </c>
      <c r="BP43">
        <f t="shared" si="38"/>
        <v>0</v>
      </c>
      <c r="BQ43">
        <f t="shared" si="39"/>
        <v>0</v>
      </c>
      <c r="BR43">
        <f t="shared" si="40"/>
        <v>0</v>
      </c>
      <c r="BS43">
        <f t="shared" si="41"/>
        <v>0</v>
      </c>
      <c r="BT43">
        <f t="shared" si="42"/>
        <v>0</v>
      </c>
      <c r="BU43">
        <f t="shared" si="43"/>
        <v>0</v>
      </c>
      <c r="BV43">
        <f t="shared" si="44"/>
        <v>0</v>
      </c>
      <c r="BW43">
        <f t="shared" si="45"/>
        <v>0</v>
      </c>
      <c r="BX43">
        <f t="shared" si="46"/>
        <v>0</v>
      </c>
      <c r="BY43">
        <f t="shared" si="21"/>
        <v>0</v>
      </c>
      <c r="BZ43" s="356">
        <f t="shared" si="22"/>
        <v>0</v>
      </c>
      <c r="CA43" s="73">
        <f t="shared" si="23"/>
        <v>0</v>
      </c>
      <c r="CB43">
        <f t="shared" si="24"/>
        <v>0</v>
      </c>
      <c r="CC43">
        <f t="shared" si="25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56"/>
      <c r="B44" s="318" t="s">
        <v>407</v>
      </c>
      <c r="D44" s="6"/>
      <c r="H44" s="6">
        <f t="shared" si="19"/>
        <v>-9.99</v>
      </c>
      <c r="I44" s="356"/>
      <c r="U44" s="356"/>
      <c r="AF44" s="356"/>
      <c r="AG44" s="73"/>
      <c r="AT44" s="73" t="str">
        <f t="shared" si="20"/>
        <v/>
      </c>
      <c r="AU44" s="280" t="s">
        <v>431</v>
      </c>
      <c r="AV44" s="6">
        <f t="shared" si="11"/>
        <v>-9.99</v>
      </c>
      <c r="BB44" s="6">
        <f t="shared" si="18"/>
        <v>-9.99</v>
      </c>
      <c r="BC44" s="356">
        <f t="shared" si="17"/>
        <v>0</v>
      </c>
      <c r="BD44">
        <f t="shared" si="26"/>
        <v>0</v>
      </c>
      <c r="BE44">
        <f t="shared" si="27"/>
        <v>0</v>
      </c>
      <c r="BF44">
        <f t="shared" si="28"/>
        <v>0</v>
      </c>
      <c r="BG44">
        <f t="shared" si="29"/>
        <v>0</v>
      </c>
      <c r="BH44">
        <f t="shared" si="30"/>
        <v>0</v>
      </c>
      <c r="BI44">
        <f t="shared" si="31"/>
        <v>0</v>
      </c>
      <c r="BJ44">
        <f t="shared" si="32"/>
        <v>0</v>
      </c>
      <c r="BK44">
        <f t="shared" si="33"/>
        <v>0</v>
      </c>
      <c r="BL44">
        <f t="shared" si="34"/>
        <v>0</v>
      </c>
      <c r="BM44">
        <f t="shared" si="35"/>
        <v>0</v>
      </c>
      <c r="BN44">
        <f t="shared" si="36"/>
        <v>0</v>
      </c>
      <c r="BO44" s="356">
        <f t="shared" si="37"/>
        <v>0</v>
      </c>
      <c r="BP44">
        <f t="shared" si="38"/>
        <v>0</v>
      </c>
      <c r="BQ44">
        <f t="shared" si="39"/>
        <v>0</v>
      </c>
      <c r="BR44">
        <f t="shared" si="40"/>
        <v>0</v>
      </c>
      <c r="BS44">
        <f t="shared" si="41"/>
        <v>0</v>
      </c>
      <c r="BT44">
        <f t="shared" si="42"/>
        <v>0</v>
      </c>
      <c r="BU44">
        <f t="shared" si="43"/>
        <v>0</v>
      </c>
      <c r="BV44">
        <f t="shared" si="44"/>
        <v>0</v>
      </c>
      <c r="BW44">
        <f t="shared" si="45"/>
        <v>0</v>
      </c>
      <c r="BX44">
        <f t="shared" si="46"/>
        <v>0</v>
      </c>
      <c r="BY44">
        <f t="shared" si="21"/>
        <v>0</v>
      </c>
      <c r="BZ44" s="356">
        <f t="shared" si="22"/>
        <v>0</v>
      </c>
      <c r="CA44" s="73">
        <f t="shared" si="23"/>
        <v>0</v>
      </c>
      <c r="CB44">
        <f t="shared" si="24"/>
        <v>0</v>
      </c>
      <c r="CC44">
        <f t="shared" si="25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56"/>
      <c r="B45" s="318" t="s">
        <v>408</v>
      </c>
      <c r="D45" s="6"/>
      <c r="H45" s="6">
        <f t="shared" si="19"/>
        <v>-9.99</v>
      </c>
      <c r="I45" s="356"/>
      <c r="U45" s="356"/>
      <c r="AF45" s="356"/>
      <c r="AG45" s="73"/>
      <c r="AT45" s="73" t="str">
        <f t="shared" si="20"/>
        <v/>
      </c>
      <c r="AU45" s="280" t="s">
        <v>432</v>
      </c>
      <c r="AV45" s="6">
        <f t="shared" si="11"/>
        <v>-9.99</v>
      </c>
      <c r="BB45" s="6">
        <f t="shared" si="18"/>
        <v>-9.99</v>
      </c>
      <c r="BC45" s="356">
        <f t="shared" si="17"/>
        <v>0</v>
      </c>
      <c r="BD45">
        <f t="shared" si="26"/>
        <v>0</v>
      </c>
      <c r="BE45">
        <f t="shared" si="27"/>
        <v>0</v>
      </c>
      <c r="BF45">
        <f t="shared" si="28"/>
        <v>0</v>
      </c>
      <c r="BG45">
        <f t="shared" si="29"/>
        <v>0</v>
      </c>
      <c r="BH45">
        <f t="shared" si="30"/>
        <v>0</v>
      </c>
      <c r="BI45">
        <f t="shared" si="31"/>
        <v>0</v>
      </c>
      <c r="BJ45">
        <f t="shared" si="32"/>
        <v>0</v>
      </c>
      <c r="BK45">
        <f t="shared" si="33"/>
        <v>0</v>
      </c>
      <c r="BL45">
        <f t="shared" si="34"/>
        <v>0</v>
      </c>
      <c r="BM45">
        <f t="shared" si="35"/>
        <v>0</v>
      </c>
      <c r="BN45">
        <f t="shared" si="36"/>
        <v>0</v>
      </c>
      <c r="BO45" s="356">
        <f t="shared" si="37"/>
        <v>0</v>
      </c>
      <c r="BP45">
        <f t="shared" si="38"/>
        <v>0</v>
      </c>
      <c r="BQ45">
        <f t="shared" si="39"/>
        <v>0</v>
      </c>
      <c r="BR45">
        <f t="shared" si="40"/>
        <v>0</v>
      </c>
      <c r="BS45">
        <f t="shared" si="41"/>
        <v>0</v>
      </c>
      <c r="BT45">
        <f t="shared" si="42"/>
        <v>0</v>
      </c>
      <c r="BU45">
        <f t="shared" si="43"/>
        <v>0</v>
      </c>
      <c r="BV45">
        <f t="shared" si="44"/>
        <v>0</v>
      </c>
      <c r="BW45">
        <f t="shared" si="45"/>
        <v>0</v>
      </c>
      <c r="BX45">
        <f t="shared" si="46"/>
        <v>0</v>
      </c>
      <c r="BY45">
        <f t="shared" si="21"/>
        <v>0</v>
      </c>
      <c r="BZ45" s="356">
        <f t="shared" si="22"/>
        <v>0</v>
      </c>
      <c r="CA45" s="73">
        <f t="shared" si="23"/>
        <v>0</v>
      </c>
      <c r="CB45">
        <f t="shared" si="24"/>
        <v>0</v>
      </c>
      <c r="CC45">
        <f t="shared" si="25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6:AR45">
    <cfRule type="cellIs" dxfId="47" priority="34" operator="equal">
      <formula>NaN</formula>
    </cfRule>
  </conditionalFormatting>
  <conditionalFormatting sqref="B6:C39 C40:C42 B40:B45">
    <cfRule type="cellIs" dxfId="46" priority="33" operator="equal">
      <formula>0</formula>
    </cfRule>
  </conditionalFormatting>
  <conditionalFormatting sqref="D6:D42">
    <cfRule type="colorScale" priority="3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45" priority="30" operator="equal">
      <formula>NaN</formula>
    </cfRule>
  </conditionalFormatting>
  <conditionalFormatting sqref="E20:E21">
    <cfRule type="cellIs" dxfId="44" priority="29" operator="equal">
      <formula>NaN</formula>
    </cfRule>
  </conditionalFormatting>
  <conditionalFormatting sqref="C6:C42">
    <cfRule type="cellIs" dxfId="43" priority="26" operator="greaterThan">
      <formula>0.5</formula>
    </cfRule>
  </conditionalFormatting>
  <conditionalFormatting sqref="AW6:AW17">
    <cfRule type="cellIs" dxfId="42" priority="25" operator="equal">
      <formula>NaN</formula>
    </cfRule>
  </conditionalFormatting>
  <conditionalFormatting sqref="AW6:AW42">
    <cfRule type="cellIs" dxfId="41" priority="24" operator="equal">
      <formula>0</formula>
    </cfRule>
  </conditionalFormatting>
  <conditionalFormatting sqref="AW6:AW42">
    <cfRule type="cellIs" dxfId="40" priority="23" operator="greaterThan">
      <formula>0.5</formula>
    </cfRule>
  </conditionalFormatting>
  <conditionalFormatting sqref="AY6:AY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9" priority="14" operator="equal">
      <formula>0</formula>
    </cfRule>
  </conditionalFormatting>
  <conditionalFormatting sqref="D43:D45">
    <cfRule type="colorScale" priority="1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8" priority="12" operator="greaterThan">
      <formula>0.5</formula>
    </cfRule>
  </conditionalFormatting>
  <conditionalFormatting sqref="AW43:AW45">
    <cfRule type="cellIs" dxfId="37" priority="11" operator="equal">
      <formula>0</formula>
    </cfRule>
  </conditionalFormatting>
  <conditionalFormatting sqref="AW43:AW45">
    <cfRule type="cellIs" dxfId="36" priority="10" operator="greaterThan">
      <formula>0.5</formula>
    </cfRule>
  </conditionalFormatting>
  <conditionalFormatting sqref="AY43:AY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5" priority="3" operator="equal">
      <formula>NaN</formula>
    </cfRule>
  </conditionalFormatting>
  <conditionalFormatting sqref="BB43:BB45">
    <cfRule type="cellIs" dxfId="34" priority="2" operator="equal">
      <formula>NaN</formula>
    </cfRule>
  </conditionalFormatting>
  <conditionalFormatting sqref="H6:H45">
    <cfRule type="expression" dxfId="33" priority="1">
      <formula>AND(C6&lt;&gt;0,H6=NaN,COUNT(I6:AR6)=0)</formula>
    </cfRule>
  </conditionalFormatting>
  <dataValidations count="3">
    <dataValidation type="list" allowBlank="1" showInputMessage="1" showErrorMessage="1" sqref="E6:E21" xr:uid="{A9FCC619-382C-4830-92AC-C0A64B1D9CD8}">
      <formula1>listRoot</formula1>
    </dataValidation>
    <dataValidation type="list" allowBlank="1" showInputMessage="1" showErrorMessage="1" sqref="G6:G17" xr:uid="{76D54708-D431-4854-827D-05ADC2256475}">
      <formula1>DropDownScen3</formula1>
    </dataValidation>
    <dataValidation type="list" allowBlank="1" showInputMessage="1" showErrorMessage="1" sqref="F6:F17" xr:uid="{47A71BFF-44AF-435F-B95B-3A1A2E14A9EB}">
      <formula1>DropDownScen2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4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zoomScale="85" zoomScaleNormal="85" workbookViewId="0">
      <selection activeCell="G28" sqref="G28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438</v>
      </c>
    </row>
    <row r="3" spans="2:11" x14ac:dyDescent="0.25">
      <c r="B3" s="336" t="s">
        <v>326</v>
      </c>
      <c r="C3" s="337" t="s">
        <v>89</v>
      </c>
      <c r="D3" s="338" t="s">
        <v>223</v>
      </c>
      <c r="I3" s="336" t="s">
        <v>435</v>
      </c>
      <c r="J3" s="337" t="s">
        <v>89</v>
      </c>
      <c r="K3" s="338" t="s">
        <v>223</v>
      </c>
    </row>
    <row r="4" spans="2:11" x14ac:dyDescent="0.25">
      <c r="B4" s="324" t="s">
        <v>316</v>
      </c>
      <c r="C4" s="105">
        <v>0</v>
      </c>
      <c r="D4" s="326" t="s">
        <v>317</v>
      </c>
      <c r="I4" s="324" t="s">
        <v>436</v>
      </c>
      <c r="J4" s="105">
        <v>-9.99</v>
      </c>
      <c r="K4" s="326" t="s">
        <v>437</v>
      </c>
    </row>
    <row r="5" spans="2:11" x14ac:dyDescent="0.25">
      <c r="B5" s="324" t="s">
        <v>218</v>
      </c>
      <c r="C5" s="311">
        <v>0</v>
      </c>
      <c r="D5" s="326" t="s">
        <v>219</v>
      </c>
      <c r="I5" s="324"/>
      <c r="J5" s="311"/>
      <c r="K5" s="326"/>
    </row>
    <row r="6" spans="2:11" x14ac:dyDescent="0.25">
      <c r="B6" s="324" t="s">
        <v>222</v>
      </c>
      <c r="C6" s="311">
        <v>0</v>
      </c>
      <c r="D6" s="326" t="s">
        <v>323</v>
      </c>
      <c r="I6" s="324"/>
      <c r="J6" s="311"/>
      <c r="K6" s="326"/>
    </row>
    <row r="7" spans="2:11" x14ac:dyDescent="0.25">
      <c r="B7" s="324" t="s">
        <v>321</v>
      </c>
      <c r="C7" s="311">
        <v>1</v>
      </c>
      <c r="D7" s="327" t="s">
        <v>322</v>
      </c>
      <c r="I7" s="324"/>
      <c r="J7" s="311"/>
      <c r="K7" s="327"/>
    </row>
    <row r="8" spans="2:11" x14ac:dyDescent="0.25">
      <c r="B8" s="328" t="s">
        <v>263</v>
      </c>
      <c r="C8" s="329">
        <v>0</v>
      </c>
      <c r="D8" s="330" t="s">
        <v>264</v>
      </c>
      <c r="I8" s="328"/>
      <c r="J8" s="329"/>
      <c r="K8" s="330"/>
    </row>
    <row r="9" spans="2:11" x14ac:dyDescent="0.25">
      <c r="B9" s="324" t="s">
        <v>318</v>
      </c>
      <c r="C9" s="105">
        <v>1</v>
      </c>
      <c r="D9" s="327" t="s">
        <v>319</v>
      </c>
      <c r="I9" s="324"/>
      <c r="J9" s="105"/>
      <c r="K9" s="327"/>
    </row>
    <row r="10" spans="2:11" x14ac:dyDescent="0.25">
      <c r="B10" s="324" t="s">
        <v>82</v>
      </c>
      <c r="C10" s="313">
        <v>0.1</v>
      </c>
      <c r="D10" s="326"/>
      <c r="I10" s="324"/>
      <c r="J10" s="313"/>
      <c r="K10" s="326"/>
    </row>
    <row r="11" spans="2:11" x14ac:dyDescent="0.25">
      <c r="B11" s="324" t="s">
        <v>220</v>
      </c>
      <c r="C11" s="313">
        <v>7.0000000000000007E-2</v>
      </c>
      <c r="D11" s="326" t="s">
        <v>221</v>
      </c>
      <c r="I11" s="324"/>
      <c r="J11" s="313"/>
      <c r="K11" s="326"/>
    </row>
    <row r="12" spans="2:11" x14ac:dyDescent="0.25">
      <c r="B12" s="324" t="s">
        <v>91</v>
      </c>
      <c r="C12" s="314">
        <v>0</v>
      </c>
      <c r="D12" s="326" t="s">
        <v>241</v>
      </c>
      <c r="I12" s="324"/>
      <c r="J12" s="314"/>
      <c r="K12" s="326"/>
    </row>
    <row r="13" spans="2:11" x14ac:dyDescent="0.25">
      <c r="B13" s="324" t="s">
        <v>311</v>
      </c>
      <c r="C13" s="315">
        <v>25</v>
      </c>
      <c r="D13" s="326" t="s">
        <v>313</v>
      </c>
      <c r="I13" s="324"/>
      <c r="J13" s="315"/>
      <c r="K13" s="326"/>
    </row>
    <row r="14" spans="2:11" x14ac:dyDescent="0.25">
      <c r="B14" s="324"/>
      <c r="C14" s="73"/>
      <c r="D14" s="312"/>
      <c r="I14" s="324"/>
      <c r="J14" s="73"/>
      <c r="K14" s="312"/>
    </row>
    <row r="15" spans="2:11" x14ac:dyDescent="0.25">
      <c r="B15" s="324"/>
      <c r="C15" s="73"/>
      <c r="D15" s="312"/>
      <c r="I15" s="324"/>
      <c r="J15" s="73"/>
      <c r="K15" s="312"/>
    </row>
    <row r="16" spans="2:11" x14ac:dyDescent="0.25">
      <c r="B16" s="324"/>
      <c r="C16" s="73"/>
      <c r="D16" s="312"/>
      <c r="I16" s="324"/>
      <c r="J16" s="73"/>
      <c r="K16" s="312"/>
    </row>
    <row r="17" spans="2:11" x14ac:dyDescent="0.25">
      <c r="B17" s="324"/>
      <c r="C17" s="73"/>
      <c r="D17" s="312"/>
      <c r="I17" s="324"/>
      <c r="J17" s="73"/>
      <c r="K17" s="312"/>
    </row>
    <row r="18" spans="2:11" x14ac:dyDescent="0.25">
      <c r="B18" s="324"/>
      <c r="C18" s="73"/>
      <c r="D18" s="312"/>
      <c r="I18" s="324"/>
      <c r="J18" s="73"/>
      <c r="K18" s="312"/>
    </row>
    <row r="19" spans="2:11" x14ac:dyDescent="0.25">
      <c r="B19" s="324"/>
      <c r="C19" s="73"/>
      <c r="D19" s="312"/>
      <c r="I19" s="324"/>
      <c r="J19" s="73"/>
      <c r="K19" s="312"/>
    </row>
    <row r="20" spans="2:11" x14ac:dyDescent="0.25">
      <c r="B20" s="325"/>
      <c r="C20" s="316"/>
      <c r="D20" s="317"/>
      <c r="I20" s="325"/>
      <c r="J20" s="316"/>
      <c r="K20" s="317"/>
    </row>
  </sheetData>
  <conditionalFormatting sqref="C4:C9">
    <cfRule type="cellIs" dxfId="30" priority="2" operator="greaterThan">
      <formula>0</formula>
    </cfRule>
  </conditionalFormatting>
  <conditionalFormatting sqref="J4:J9">
    <cfRule type="cellIs" dxfId="29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I12" sqref="I12:J1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L3" s="16"/>
      <c r="Q3"/>
    </row>
    <row r="4" spans="1:29" x14ac:dyDescent="0.25">
      <c r="A4" s="74" t="s">
        <v>177</v>
      </c>
      <c r="B4" s="226">
        <v>2021</v>
      </c>
      <c r="C4" s="226">
        <v>2023</v>
      </c>
      <c r="D4" s="227">
        <v>2021</v>
      </c>
      <c r="E4" s="227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75"/>
      <c r="N4" s="276"/>
      <c r="P4" s="277"/>
      <c r="Q4"/>
    </row>
    <row r="5" spans="1:29" ht="18" x14ac:dyDescent="0.25">
      <c r="A5" s="74" t="s">
        <v>193</v>
      </c>
      <c r="B5" s="73"/>
      <c r="C5" s="73"/>
      <c r="D5" s="228">
        <v>1</v>
      </c>
      <c r="E5" s="229">
        <v>12</v>
      </c>
      <c r="F5" s="65"/>
      <c r="G5" s="64"/>
      <c r="L5" s="275"/>
      <c r="N5" s="276"/>
      <c r="P5" s="275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4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300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71" t="s">
        <v>235</v>
      </c>
      <c r="R11" s="115" t="s">
        <v>184</v>
      </c>
      <c r="S11" s="115" t="s">
        <v>251</v>
      </c>
      <c r="T11" s="340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5">
        <v>1</v>
      </c>
      <c r="C12" s="6">
        <v>1</v>
      </c>
      <c r="D12" s="207">
        <v>0</v>
      </c>
      <c r="E12" s="210">
        <v>8.5</v>
      </c>
      <c r="F12" s="210">
        <v>14.5</v>
      </c>
      <c r="G12" s="210">
        <v>2.2000000000000002</v>
      </c>
      <c r="H12" s="264">
        <f>I12/E12*3.6/M12</f>
        <v>4.7672149428491775</v>
      </c>
      <c r="I12" s="212">
        <v>9.5</v>
      </c>
      <c r="J12" s="290">
        <v>2</v>
      </c>
      <c r="L12" s="214">
        <v>0</v>
      </c>
      <c r="M12" s="302">
        <v>0.84399999999999997</v>
      </c>
      <c r="N12" s="210">
        <v>30</v>
      </c>
      <c r="O12" s="210">
        <v>0.01</v>
      </c>
      <c r="P12" s="4"/>
      <c r="Q12" s="272" t="s">
        <v>224</v>
      </c>
      <c r="R12" s="240">
        <v>0</v>
      </c>
      <c r="S12" s="215">
        <v>1</v>
      </c>
      <c r="T12" s="346">
        <v>0</v>
      </c>
      <c r="U12" s="215">
        <v>0</v>
      </c>
      <c r="V12" s="216">
        <v>2000</v>
      </c>
      <c r="W12" s="216">
        <v>2000</v>
      </c>
      <c r="X12" s="215">
        <v>0</v>
      </c>
      <c r="Y12" s="215">
        <v>1</v>
      </c>
      <c r="Z12" s="215">
        <v>1</v>
      </c>
      <c r="AA12" s="215">
        <v>6</v>
      </c>
      <c r="AB12" s="215">
        <v>12</v>
      </c>
      <c r="AC12" s="217">
        <v>1</v>
      </c>
    </row>
    <row r="13" spans="1:29" x14ac:dyDescent="0.25">
      <c r="A13" s="7" t="s">
        <v>78</v>
      </c>
      <c r="B13" s="206">
        <v>1</v>
      </c>
      <c r="C13" s="6">
        <v>1</v>
      </c>
      <c r="D13" s="208">
        <v>10</v>
      </c>
      <c r="E13" s="211">
        <v>8.5</v>
      </c>
      <c r="F13" s="211">
        <v>14.5</v>
      </c>
      <c r="G13" s="211">
        <v>6.3</v>
      </c>
      <c r="H13" s="264">
        <v>12.4</v>
      </c>
      <c r="I13" s="213">
        <v>22.5</v>
      </c>
      <c r="J13" s="288">
        <v>5.5</v>
      </c>
      <c r="K13" s="288">
        <v>8</v>
      </c>
      <c r="L13" s="303">
        <v>0.22470000000000001</v>
      </c>
      <c r="M13" s="303">
        <v>0.65600000000000003</v>
      </c>
      <c r="N13" s="211">
        <v>50</v>
      </c>
      <c r="O13" s="211">
        <v>0.01</v>
      </c>
      <c r="P13" s="4"/>
      <c r="Q13" s="273" t="s">
        <v>225</v>
      </c>
      <c r="R13" s="241">
        <v>0</v>
      </c>
      <c r="S13" s="219">
        <v>1</v>
      </c>
      <c r="T13" s="347">
        <v>0</v>
      </c>
      <c r="U13" s="219">
        <v>0</v>
      </c>
      <c r="V13" s="220">
        <v>10000</v>
      </c>
      <c r="W13" s="220">
        <v>2000</v>
      </c>
      <c r="X13" s="219">
        <v>0</v>
      </c>
      <c r="Y13" s="219">
        <v>10</v>
      </c>
      <c r="Z13" s="219">
        <v>30</v>
      </c>
      <c r="AA13" s="219">
        <v>0</v>
      </c>
      <c r="AB13" s="219">
        <v>12</v>
      </c>
      <c r="AC13" s="221">
        <v>1</v>
      </c>
    </row>
    <row r="14" spans="1:29" x14ac:dyDescent="0.25">
      <c r="A14" s="7" t="s">
        <v>198</v>
      </c>
      <c r="B14" s="206">
        <v>1</v>
      </c>
      <c r="C14" s="6">
        <v>2</v>
      </c>
      <c r="D14" s="208">
        <v>0</v>
      </c>
      <c r="E14" s="81"/>
      <c r="F14" s="301"/>
      <c r="G14" s="301"/>
      <c r="H14" s="82"/>
      <c r="I14" s="213">
        <v>10.5</v>
      </c>
      <c r="J14" s="289">
        <v>0</v>
      </c>
      <c r="K14" s="81"/>
      <c r="L14" s="301"/>
      <c r="M14" s="307">
        <v>0.85</v>
      </c>
      <c r="N14" s="211">
        <v>25</v>
      </c>
      <c r="O14" s="211">
        <v>0.01</v>
      </c>
      <c r="P14" s="4"/>
      <c r="Q14" s="273"/>
      <c r="R14" s="218">
        <v>0</v>
      </c>
      <c r="S14" s="219"/>
      <c r="T14" s="347"/>
      <c r="U14" s="219"/>
      <c r="V14" s="220"/>
      <c r="W14" s="220"/>
      <c r="X14" s="219"/>
      <c r="Y14" s="219"/>
      <c r="Z14" s="219"/>
      <c r="AA14" s="219"/>
      <c r="AB14" s="219"/>
      <c r="AC14" s="221"/>
    </row>
    <row r="15" spans="1:29" x14ac:dyDescent="0.25">
      <c r="A15" s="7" t="s">
        <v>199</v>
      </c>
      <c r="B15" s="206">
        <v>1</v>
      </c>
      <c r="C15" s="6">
        <v>3</v>
      </c>
      <c r="D15" s="208">
        <v>9</v>
      </c>
      <c r="E15" s="83"/>
      <c r="F15" s="73"/>
      <c r="G15" s="73"/>
      <c r="H15" s="84"/>
      <c r="I15" s="213">
        <v>8</v>
      </c>
      <c r="J15" s="289">
        <v>0</v>
      </c>
      <c r="K15" s="83"/>
      <c r="L15" s="73"/>
      <c r="M15" s="307">
        <v>1</v>
      </c>
      <c r="N15" s="211">
        <v>5</v>
      </c>
      <c r="O15" s="211">
        <v>0.01</v>
      </c>
      <c r="P15" s="4"/>
      <c r="Q15" s="273"/>
      <c r="R15" s="218"/>
      <c r="S15" s="219"/>
      <c r="T15" s="347"/>
      <c r="U15" s="219"/>
      <c r="V15" s="220"/>
      <c r="W15" s="220"/>
      <c r="X15" s="219"/>
      <c r="Y15" s="219"/>
      <c r="Z15" s="219"/>
      <c r="AA15" s="219"/>
      <c r="AB15" s="219"/>
      <c r="AC15" s="221"/>
    </row>
    <row r="16" spans="1:29" x14ac:dyDescent="0.25">
      <c r="A16" s="7" t="s">
        <v>80</v>
      </c>
      <c r="B16" s="206">
        <v>1</v>
      </c>
      <c r="C16" s="6">
        <v>4</v>
      </c>
      <c r="D16" s="209"/>
      <c r="E16" s="73"/>
      <c r="F16" s="73"/>
      <c r="G16" s="73"/>
      <c r="H16" s="73"/>
      <c r="I16" s="213">
        <v>15</v>
      </c>
      <c r="J16" s="289">
        <v>0</v>
      </c>
      <c r="K16" s="83"/>
      <c r="L16" s="73"/>
      <c r="M16" s="307">
        <v>1</v>
      </c>
      <c r="N16" s="211">
        <v>10</v>
      </c>
      <c r="O16" s="211">
        <v>0.01</v>
      </c>
      <c r="P16" s="4"/>
      <c r="Q16" s="273"/>
      <c r="R16" s="218"/>
      <c r="S16" s="219"/>
      <c r="T16" s="347"/>
      <c r="U16" s="219"/>
      <c r="V16" s="220"/>
      <c r="W16" s="220"/>
      <c r="X16" s="219"/>
      <c r="Y16" s="219"/>
      <c r="Z16" s="219"/>
      <c r="AA16" s="219"/>
      <c r="AB16" s="219"/>
      <c r="AC16" s="221"/>
    </row>
    <row r="17" spans="1:35" x14ac:dyDescent="0.25">
      <c r="A17" s="7" t="s">
        <v>246</v>
      </c>
      <c r="B17" s="206">
        <v>1</v>
      </c>
      <c r="C17" s="6">
        <v>5</v>
      </c>
      <c r="D17" s="208">
        <v>0</v>
      </c>
      <c r="E17" s="83"/>
      <c r="F17" s="73"/>
      <c r="G17" s="73"/>
      <c r="H17" s="84"/>
      <c r="I17" s="213">
        <v>100</v>
      </c>
      <c r="J17" s="289">
        <v>0</v>
      </c>
      <c r="K17" s="83"/>
      <c r="L17" s="73"/>
      <c r="M17" s="307">
        <v>1</v>
      </c>
      <c r="N17" s="211">
        <v>10</v>
      </c>
      <c r="O17" s="211">
        <v>0.01</v>
      </c>
      <c r="P17" s="4"/>
      <c r="Q17" s="274"/>
      <c r="R17" s="222"/>
      <c r="S17" s="223"/>
      <c r="T17" s="348"/>
      <c r="U17" s="223"/>
      <c r="V17" s="224"/>
      <c r="W17" s="224"/>
      <c r="X17" s="223"/>
      <c r="Y17" s="223"/>
      <c r="Z17" s="223"/>
      <c r="AA17" s="223"/>
      <c r="AB17" s="223"/>
      <c r="AC17" s="225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71" t="s">
        <v>108</v>
      </c>
      <c r="B21" s="372"/>
      <c r="C21" s="372"/>
      <c r="D21" s="372"/>
      <c r="E21" s="372"/>
      <c r="F21" s="373"/>
      <c r="G21" s="371" t="s">
        <v>99</v>
      </c>
      <c r="H21" s="372"/>
      <c r="I21" s="372"/>
      <c r="J21" s="372"/>
      <c r="K21" s="372"/>
      <c r="L21" s="372"/>
      <c r="M21" s="373"/>
      <c r="N21" s="368" t="s">
        <v>190</v>
      </c>
      <c r="O21" s="370"/>
      <c r="P21" s="331" t="s">
        <v>189</v>
      </c>
      <c r="Q21" s="332"/>
      <c r="R21" s="333"/>
      <c r="S21" s="368" t="s">
        <v>210</v>
      </c>
      <c r="T21" s="369"/>
      <c r="U21" s="369"/>
      <c r="V21" s="369"/>
      <c r="W21" s="369"/>
      <c r="X21" s="369"/>
      <c r="Y21" s="369"/>
      <c r="Z21" s="370"/>
      <c r="AA21" s="368" t="s">
        <v>211</v>
      </c>
      <c r="AB21" s="369"/>
      <c r="AC21" s="370"/>
      <c r="AD21" s="17"/>
      <c r="AE21" s="17"/>
      <c r="AF21" s="17"/>
      <c r="AG21" s="17"/>
      <c r="AH21" s="17"/>
    </row>
    <row r="22" spans="1:35" x14ac:dyDescent="0.25">
      <c r="A22" s="339" t="s">
        <v>96</v>
      </c>
      <c r="B22" s="339" t="s">
        <v>95</v>
      </c>
      <c r="C22" s="339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40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30">
        <f t="shared" ref="G23:G28" si="4">$F23</f>
        <v>31</v>
      </c>
      <c r="H23" s="230">
        <f t="shared" ref="H23:I38" si="5">$F23</f>
        <v>31</v>
      </c>
      <c r="I23" s="230">
        <f t="shared" si="5"/>
        <v>31</v>
      </c>
      <c r="J23" s="163">
        <f t="shared" ref="J23:J58" si="6">O23/$I$15/24</f>
        <v>20.833333333333332</v>
      </c>
      <c r="K23" s="230">
        <f>$F23</f>
        <v>31</v>
      </c>
      <c r="L23" s="230">
        <f>$F23</f>
        <v>31</v>
      </c>
      <c r="M23" s="163">
        <f>IF(H23&lt;F23,H23,F23)</f>
        <v>31</v>
      </c>
      <c r="N23" s="291">
        <v>35300</v>
      </c>
      <c r="O23" s="291">
        <v>4000</v>
      </c>
      <c r="P23" s="334">
        <v>4076.9</v>
      </c>
      <c r="Q23" s="156">
        <v>1</v>
      </c>
      <c r="R23" s="292">
        <v>378.33708333333323</v>
      </c>
      <c r="S23" s="232">
        <f>55*7.45</f>
        <v>409.75</v>
      </c>
      <c r="T23" s="295">
        <v>25.8</v>
      </c>
      <c r="U23" s="295">
        <v>31.8</v>
      </c>
      <c r="V23" s="295">
        <v>37</v>
      </c>
      <c r="W23" s="295">
        <v>37</v>
      </c>
      <c r="X23" s="295">
        <v>178.5</v>
      </c>
      <c r="Y23" s="295">
        <v>5.3</v>
      </c>
      <c r="Z23" s="234">
        <f>0.5</f>
        <v>0.5</v>
      </c>
      <c r="AA23" s="235">
        <v>62.37</v>
      </c>
      <c r="AB23" s="234">
        <f>0.565/0.83*1000</f>
        <v>680.72289156626493</v>
      </c>
      <c r="AC23" s="234">
        <f>0.009/0.83*1000</f>
        <v>10.843373493975903</v>
      </c>
      <c r="AD23" s="9">
        <v>378.33708333333323</v>
      </c>
      <c r="AE23" s="232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30">
        <f t="shared" si="4"/>
        <v>28</v>
      </c>
      <c r="H24" s="230">
        <f t="shared" si="5"/>
        <v>28</v>
      </c>
      <c r="I24" s="230">
        <f t="shared" si="5"/>
        <v>28</v>
      </c>
      <c r="J24" s="161">
        <f t="shared" si="6"/>
        <v>0</v>
      </c>
      <c r="K24" s="230">
        <f t="shared" ref="K24:L39" si="8">$F24</f>
        <v>28</v>
      </c>
      <c r="L24" s="230">
        <f t="shared" si="8"/>
        <v>28</v>
      </c>
      <c r="M24" s="161">
        <f>IF(H24&lt;F24,H24,F24)</f>
        <v>28</v>
      </c>
      <c r="N24" s="291">
        <v>32000</v>
      </c>
      <c r="O24" s="291">
        <v>0</v>
      </c>
      <c r="P24" s="334">
        <v>4120.58</v>
      </c>
      <c r="Q24" s="155">
        <v>0</v>
      </c>
      <c r="R24" s="292">
        <v>356.0961527777776</v>
      </c>
      <c r="S24" s="232">
        <f t="shared" ref="S24:S34" si="9">55*7.45</f>
        <v>409.75</v>
      </c>
      <c r="T24" s="295">
        <v>25.8</v>
      </c>
      <c r="U24" s="295">
        <v>31.8</v>
      </c>
      <c r="V24" s="295">
        <v>37</v>
      </c>
      <c r="W24" s="295">
        <v>37</v>
      </c>
      <c r="X24" s="295">
        <v>178.5</v>
      </c>
      <c r="Y24" s="295">
        <v>5.3</v>
      </c>
      <c r="Z24" s="234">
        <f t="shared" ref="Z24:Z58" si="10">0.5</f>
        <v>0.5</v>
      </c>
      <c r="AA24" s="235">
        <v>62.37</v>
      </c>
      <c r="AB24" s="234">
        <f t="shared" ref="AB24:AB58" si="11">0.565/0.83*1000</f>
        <v>680.72289156626493</v>
      </c>
      <c r="AC24" s="234">
        <f t="shared" ref="AC24:AC58" si="12">0.009/0.83*1000</f>
        <v>10.843373493975903</v>
      </c>
      <c r="AD24" s="9">
        <v>356.0961527777776</v>
      </c>
      <c r="AE24" s="232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30">
        <f t="shared" si="4"/>
        <v>31</v>
      </c>
      <c r="H25" s="230">
        <f t="shared" si="5"/>
        <v>31</v>
      </c>
      <c r="I25" s="230">
        <f t="shared" si="5"/>
        <v>31</v>
      </c>
      <c r="J25" s="161">
        <f t="shared" si="6"/>
        <v>0</v>
      </c>
      <c r="K25" s="230">
        <f t="shared" si="8"/>
        <v>31</v>
      </c>
      <c r="L25" s="230">
        <f t="shared" si="8"/>
        <v>31</v>
      </c>
      <c r="M25" s="161">
        <f>IF(H25&lt;F25,H25,F25)</f>
        <v>31</v>
      </c>
      <c r="N25" s="291">
        <v>29500</v>
      </c>
      <c r="O25" s="291">
        <v>0</v>
      </c>
      <c r="P25" s="334">
        <v>4939.28</v>
      </c>
      <c r="Q25" s="155">
        <v>1</v>
      </c>
      <c r="R25" s="292">
        <v>347.18100806451616</v>
      </c>
      <c r="S25" s="232">
        <f t="shared" si="9"/>
        <v>409.75</v>
      </c>
      <c r="T25" s="295">
        <v>25.8</v>
      </c>
      <c r="U25" s="295">
        <v>31.8</v>
      </c>
      <c r="V25" s="295">
        <v>37</v>
      </c>
      <c r="W25" s="295">
        <v>37</v>
      </c>
      <c r="X25" s="295">
        <v>178.5</v>
      </c>
      <c r="Y25" s="295">
        <v>5.3</v>
      </c>
      <c r="Z25" s="234">
        <f t="shared" si="10"/>
        <v>0.5</v>
      </c>
      <c r="AA25" s="235">
        <v>62.37</v>
      </c>
      <c r="AB25" s="234">
        <f t="shared" si="11"/>
        <v>680.72289156626493</v>
      </c>
      <c r="AC25" s="234">
        <f t="shared" si="12"/>
        <v>10.843373493975903</v>
      </c>
      <c r="AD25" s="9">
        <v>347.18100806451616</v>
      </c>
      <c r="AE25" s="232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30">
        <f t="shared" si="4"/>
        <v>30</v>
      </c>
      <c r="H26" s="230">
        <f t="shared" si="5"/>
        <v>30</v>
      </c>
      <c r="I26" s="230">
        <f t="shared" si="5"/>
        <v>30</v>
      </c>
      <c r="J26" s="161">
        <f t="shared" si="6"/>
        <v>0</v>
      </c>
      <c r="K26" s="230">
        <f t="shared" si="8"/>
        <v>30</v>
      </c>
      <c r="L26" s="230">
        <f t="shared" si="8"/>
        <v>30</v>
      </c>
      <c r="M26" s="161">
        <f>IF(H26&lt;F26,H26,F26)</f>
        <v>30</v>
      </c>
      <c r="N26" s="291">
        <v>20000</v>
      </c>
      <c r="O26" s="291">
        <v>0</v>
      </c>
      <c r="P26" s="334">
        <v>4131.42</v>
      </c>
      <c r="Q26" s="155">
        <v>1</v>
      </c>
      <c r="R26" s="292">
        <v>356.0961527777776</v>
      </c>
      <c r="S26" s="232">
        <f t="shared" si="9"/>
        <v>409.75</v>
      </c>
      <c r="T26" s="295">
        <v>25.8</v>
      </c>
      <c r="U26" s="295">
        <v>31.8</v>
      </c>
      <c r="V26" s="295">
        <v>37</v>
      </c>
      <c r="W26" s="295">
        <v>37</v>
      </c>
      <c r="X26" s="295">
        <v>178.5</v>
      </c>
      <c r="Y26" s="295">
        <v>5.3</v>
      </c>
      <c r="Z26" s="234">
        <f t="shared" si="10"/>
        <v>0.5</v>
      </c>
      <c r="AA26" s="235">
        <v>62.37</v>
      </c>
      <c r="AB26" s="234">
        <f t="shared" si="11"/>
        <v>680.72289156626493</v>
      </c>
      <c r="AC26" s="234">
        <f t="shared" si="12"/>
        <v>10.843373493975903</v>
      </c>
      <c r="AD26" s="9">
        <v>356.0961527777776</v>
      </c>
      <c r="AE26" s="232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30">
        <f t="shared" si="4"/>
        <v>31</v>
      </c>
      <c r="H27" s="230">
        <f t="shared" si="5"/>
        <v>31</v>
      </c>
      <c r="I27" s="230">
        <f t="shared" si="5"/>
        <v>31</v>
      </c>
      <c r="J27" s="161">
        <f t="shared" si="6"/>
        <v>0</v>
      </c>
      <c r="K27" s="230">
        <f t="shared" si="8"/>
        <v>31</v>
      </c>
      <c r="L27" s="230">
        <f t="shared" si="8"/>
        <v>31</v>
      </c>
      <c r="M27" s="161">
        <f>IF(H27&lt;F27,H27,F27)</f>
        <v>31</v>
      </c>
      <c r="N27" s="291">
        <v>13000</v>
      </c>
      <c r="O27" s="291">
        <v>0</v>
      </c>
      <c r="P27" s="334">
        <v>2587.7199999999998</v>
      </c>
      <c r="Q27" s="155">
        <v>1</v>
      </c>
      <c r="R27" s="292">
        <v>410.46177419354831</v>
      </c>
      <c r="S27" s="232">
        <f t="shared" si="9"/>
        <v>409.75</v>
      </c>
      <c r="T27" s="295">
        <v>25.8</v>
      </c>
      <c r="U27" s="295">
        <v>31.8</v>
      </c>
      <c r="V27" s="295">
        <v>37</v>
      </c>
      <c r="W27" s="295">
        <v>37</v>
      </c>
      <c r="X27" s="295">
        <v>178.5</v>
      </c>
      <c r="Y27" s="295">
        <v>5.3</v>
      </c>
      <c r="Z27" s="234">
        <f t="shared" si="10"/>
        <v>0.5</v>
      </c>
      <c r="AA27" s="235">
        <v>62.37</v>
      </c>
      <c r="AB27" s="234">
        <f t="shared" si="11"/>
        <v>680.72289156626493</v>
      </c>
      <c r="AC27" s="234">
        <f t="shared" si="12"/>
        <v>10.843373493975903</v>
      </c>
      <c r="AD27" s="9">
        <v>410.46177419354831</v>
      </c>
      <c r="AE27" s="232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30">
        <f t="shared" si="4"/>
        <v>30</v>
      </c>
      <c r="H28" s="230">
        <v>5</v>
      </c>
      <c r="I28" s="230">
        <f t="shared" si="5"/>
        <v>30</v>
      </c>
      <c r="J28" s="161">
        <f t="shared" si="6"/>
        <v>0</v>
      </c>
      <c r="K28" s="230">
        <f t="shared" si="8"/>
        <v>30</v>
      </c>
      <c r="L28" s="230">
        <f t="shared" si="8"/>
        <v>30</v>
      </c>
      <c r="M28" s="161">
        <f>P28/7.5/24</f>
        <v>3.5676666666666663</v>
      </c>
      <c r="N28" s="291">
        <v>7500</v>
      </c>
      <c r="O28" s="291">
        <v>0</v>
      </c>
      <c r="P28" s="334">
        <v>642.17999999999995</v>
      </c>
      <c r="Q28" s="155">
        <v>1</v>
      </c>
      <c r="R28" s="292">
        <v>547.42162499999972</v>
      </c>
      <c r="S28" s="232">
        <f t="shared" si="9"/>
        <v>409.75</v>
      </c>
      <c r="T28" s="295">
        <v>25.8</v>
      </c>
      <c r="U28" s="295">
        <v>31.8</v>
      </c>
      <c r="V28" s="295">
        <v>37</v>
      </c>
      <c r="W28" s="295">
        <v>37</v>
      </c>
      <c r="X28" s="295">
        <v>178.5</v>
      </c>
      <c r="Y28" s="295">
        <v>5.3</v>
      </c>
      <c r="Z28" s="234">
        <f t="shared" si="10"/>
        <v>0.5</v>
      </c>
      <c r="AA28" s="235">
        <v>62.37</v>
      </c>
      <c r="AB28" s="234">
        <f t="shared" si="11"/>
        <v>680.72289156626493</v>
      </c>
      <c r="AC28" s="234">
        <f t="shared" si="12"/>
        <v>10.843373493975903</v>
      </c>
      <c r="AD28" s="9">
        <v>547.42162499999972</v>
      </c>
      <c r="AE28" s="232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30">
        <f>F29-3*7</f>
        <v>10</v>
      </c>
      <c r="H29" s="230">
        <f t="shared" si="5"/>
        <v>31</v>
      </c>
      <c r="I29" s="230">
        <f t="shared" si="5"/>
        <v>31</v>
      </c>
      <c r="J29" s="161">
        <f t="shared" si="6"/>
        <v>0</v>
      </c>
      <c r="K29" s="230">
        <f t="shared" si="8"/>
        <v>31</v>
      </c>
      <c r="L29" s="230">
        <f t="shared" si="8"/>
        <v>31</v>
      </c>
      <c r="M29" s="161">
        <f>P29/7.5/24</f>
        <v>0.43333333333333335</v>
      </c>
      <c r="N29" s="291">
        <v>7500</v>
      </c>
      <c r="O29" s="291">
        <v>0</v>
      </c>
      <c r="P29" s="334">
        <v>78</v>
      </c>
      <c r="Q29" s="155">
        <v>1</v>
      </c>
      <c r="R29" s="292">
        <v>605.37407258064457</v>
      </c>
      <c r="S29" s="232">
        <f t="shared" si="9"/>
        <v>409.75</v>
      </c>
      <c r="T29" s="295">
        <v>25.8</v>
      </c>
      <c r="U29" s="295">
        <v>31.8</v>
      </c>
      <c r="V29" s="295">
        <v>37</v>
      </c>
      <c r="W29" s="295">
        <v>37</v>
      </c>
      <c r="X29" s="295">
        <v>178.5</v>
      </c>
      <c r="Y29" s="295">
        <v>5.3</v>
      </c>
      <c r="Z29" s="234">
        <f t="shared" si="10"/>
        <v>0.5</v>
      </c>
      <c r="AA29" s="235">
        <v>62.37</v>
      </c>
      <c r="AB29" s="234">
        <f t="shared" si="11"/>
        <v>680.72289156626493</v>
      </c>
      <c r="AC29" s="234">
        <f t="shared" si="12"/>
        <v>10.843373493975903</v>
      </c>
      <c r="AD29" s="9">
        <v>605.37407258064457</v>
      </c>
      <c r="AE29" s="232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30">
        <f>F30-3*7</f>
        <v>10</v>
      </c>
      <c r="H30" s="230">
        <f t="shared" si="5"/>
        <v>31</v>
      </c>
      <c r="I30" s="230">
        <f t="shared" si="5"/>
        <v>31</v>
      </c>
      <c r="J30" s="161">
        <f t="shared" si="6"/>
        <v>0</v>
      </c>
      <c r="K30" s="230">
        <f t="shared" si="8"/>
        <v>31</v>
      </c>
      <c r="L30" s="230">
        <f t="shared" si="8"/>
        <v>31</v>
      </c>
      <c r="M30" s="161">
        <f>P30/7.5/24</f>
        <v>1.4472222222222222</v>
      </c>
      <c r="N30" s="291">
        <v>7000</v>
      </c>
      <c r="O30" s="291">
        <v>0</v>
      </c>
      <c r="P30" s="334">
        <v>260.5</v>
      </c>
      <c r="Q30" s="155">
        <v>1</v>
      </c>
      <c r="R30" s="292">
        <v>627.85237903225811</v>
      </c>
      <c r="S30" s="232">
        <f t="shared" si="9"/>
        <v>409.75</v>
      </c>
      <c r="T30" s="295">
        <v>25.8</v>
      </c>
      <c r="U30" s="295">
        <v>31.8</v>
      </c>
      <c r="V30" s="295">
        <v>37</v>
      </c>
      <c r="W30" s="295">
        <v>37</v>
      </c>
      <c r="X30" s="295">
        <v>178.5</v>
      </c>
      <c r="Y30" s="295">
        <v>5.3</v>
      </c>
      <c r="Z30" s="234">
        <f t="shared" si="10"/>
        <v>0.5</v>
      </c>
      <c r="AA30" s="235">
        <v>62.37</v>
      </c>
      <c r="AB30" s="234">
        <f t="shared" si="11"/>
        <v>680.72289156626493</v>
      </c>
      <c r="AC30" s="234">
        <f t="shared" si="12"/>
        <v>10.843373493975903</v>
      </c>
      <c r="AD30" s="9">
        <v>627.85237903225811</v>
      </c>
      <c r="AE30" s="232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30">
        <f>$F31</f>
        <v>30</v>
      </c>
      <c r="H31" s="230">
        <f t="shared" si="5"/>
        <v>30</v>
      </c>
      <c r="I31" s="230">
        <f t="shared" si="5"/>
        <v>30</v>
      </c>
      <c r="J31" s="161">
        <f t="shared" si="6"/>
        <v>0</v>
      </c>
      <c r="K31" s="230">
        <f t="shared" si="8"/>
        <v>30</v>
      </c>
      <c r="L31" s="230">
        <f t="shared" si="8"/>
        <v>30</v>
      </c>
      <c r="M31" s="161">
        <f>IF(H31&lt;F31,H31,F31)</f>
        <v>30</v>
      </c>
      <c r="N31" s="291">
        <v>8000</v>
      </c>
      <c r="O31" s="291">
        <v>0</v>
      </c>
      <c r="P31" s="334">
        <v>4821.5600000000004</v>
      </c>
      <c r="Q31" s="155">
        <v>1</v>
      </c>
      <c r="R31" s="292">
        <v>920.7574305555554</v>
      </c>
      <c r="S31" s="232">
        <f t="shared" si="9"/>
        <v>409.75</v>
      </c>
      <c r="T31" s="295">
        <v>25.8</v>
      </c>
      <c r="U31" s="295">
        <v>31.8</v>
      </c>
      <c r="V31" s="295">
        <v>37</v>
      </c>
      <c r="W31" s="295">
        <v>37</v>
      </c>
      <c r="X31" s="295">
        <v>178.5</v>
      </c>
      <c r="Y31" s="295">
        <v>5.3</v>
      </c>
      <c r="Z31" s="234">
        <f t="shared" si="10"/>
        <v>0.5</v>
      </c>
      <c r="AA31" s="235">
        <v>62.37</v>
      </c>
      <c r="AB31" s="234">
        <f t="shared" si="11"/>
        <v>680.72289156626493</v>
      </c>
      <c r="AC31" s="234">
        <f t="shared" si="12"/>
        <v>10.843373493975903</v>
      </c>
      <c r="AD31" s="9">
        <v>920.7574305555554</v>
      </c>
      <c r="AE31" s="232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30">
        <f>$F32</f>
        <v>31</v>
      </c>
      <c r="H32" s="230">
        <f t="shared" si="5"/>
        <v>31</v>
      </c>
      <c r="I32" s="230">
        <f t="shared" si="5"/>
        <v>31</v>
      </c>
      <c r="J32" s="161">
        <f t="shared" si="6"/>
        <v>0</v>
      </c>
      <c r="K32" s="230">
        <f t="shared" si="8"/>
        <v>31</v>
      </c>
      <c r="L32" s="230">
        <f t="shared" si="8"/>
        <v>31</v>
      </c>
      <c r="M32" s="161">
        <f t="shared" ref="M32:M58" si="13">IF(H32&lt;F32,H32,F32)</f>
        <v>31</v>
      </c>
      <c r="N32" s="291">
        <v>19700</v>
      </c>
      <c r="O32" s="291">
        <v>0</v>
      </c>
      <c r="P32" s="334">
        <v>4868.74</v>
      </c>
      <c r="Q32" s="155">
        <v>1</v>
      </c>
      <c r="R32" s="292">
        <v>794.33760752688215</v>
      </c>
      <c r="S32" s="232">
        <f t="shared" si="9"/>
        <v>409.75</v>
      </c>
      <c r="T32" s="295">
        <v>25.8</v>
      </c>
      <c r="U32" s="295">
        <v>31.8</v>
      </c>
      <c r="V32" s="295">
        <v>37</v>
      </c>
      <c r="W32" s="295">
        <v>37</v>
      </c>
      <c r="X32" s="295">
        <v>178.5</v>
      </c>
      <c r="Y32" s="295">
        <v>5.3</v>
      </c>
      <c r="Z32" s="234">
        <f t="shared" si="10"/>
        <v>0.5</v>
      </c>
      <c r="AA32" s="235">
        <v>62.37</v>
      </c>
      <c r="AB32" s="234">
        <f t="shared" si="11"/>
        <v>680.72289156626493</v>
      </c>
      <c r="AC32" s="234">
        <f t="shared" si="12"/>
        <v>10.843373493975903</v>
      </c>
      <c r="AD32" s="9">
        <v>794.33760752688215</v>
      </c>
      <c r="AE32" s="232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30">
        <f>$F33</f>
        <v>30</v>
      </c>
      <c r="H33" s="230">
        <f t="shared" si="5"/>
        <v>30</v>
      </c>
      <c r="I33" s="230">
        <f t="shared" si="5"/>
        <v>30</v>
      </c>
      <c r="J33" s="161">
        <f t="shared" si="6"/>
        <v>0</v>
      </c>
      <c r="K33" s="230">
        <f t="shared" si="8"/>
        <v>30</v>
      </c>
      <c r="L33" s="230">
        <f t="shared" si="8"/>
        <v>30</v>
      </c>
      <c r="M33" s="161">
        <f t="shared" si="13"/>
        <v>30</v>
      </c>
      <c r="N33" s="291">
        <v>27500</v>
      </c>
      <c r="O33" s="291">
        <v>0</v>
      </c>
      <c r="P33" s="334">
        <v>5228.4799999999996</v>
      </c>
      <c r="Q33" s="155">
        <v>1</v>
      </c>
      <c r="R33" s="292">
        <v>1014.278430555556</v>
      </c>
      <c r="S33" s="232">
        <f t="shared" si="9"/>
        <v>409.75</v>
      </c>
      <c r="T33" s="295">
        <v>25.8</v>
      </c>
      <c r="U33" s="295">
        <v>31.8</v>
      </c>
      <c r="V33" s="295">
        <v>37</v>
      </c>
      <c r="W33" s="295">
        <v>37</v>
      </c>
      <c r="X33" s="295">
        <v>178.5</v>
      </c>
      <c r="Y33" s="295">
        <v>5.3</v>
      </c>
      <c r="Z33" s="234">
        <f t="shared" si="10"/>
        <v>0.5</v>
      </c>
      <c r="AA33" s="235">
        <v>62.37</v>
      </c>
      <c r="AB33" s="234">
        <f t="shared" si="11"/>
        <v>680.72289156626493</v>
      </c>
      <c r="AC33" s="234">
        <f t="shared" si="12"/>
        <v>10.843373493975903</v>
      </c>
      <c r="AD33" s="9">
        <v>1014.278430555556</v>
      </c>
      <c r="AE33" s="232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31">
        <f>$F34</f>
        <v>31</v>
      </c>
      <c r="H34" s="231">
        <f t="shared" si="5"/>
        <v>31</v>
      </c>
      <c r="I34" s="231">
        <f t="shared" si="5"/>
        <v>31</v>
      </c>
      <c r="J34" s="162">
        <f t="shared" si="6"/>
        <v>29.166666666666668</v>
      </c>
      <c r="K34" s="231">
        <f t="shared" si="8"/>
        <v>31</v>
      </c>
      <c r="L34" s="231">
        <f t="shared" si="8"/>
        <v>31</v>
      </c>
      <c r="M34" s="162">
        <f t="shared" si="13"/>
        <v>31</v>
      </c>
      <c r="N34" s="293">
        <v>33000</v>
      </c>
      <c r="O34" s="293">
        <v>5600</v>
      </c>
      <c r="P34" s="335">
        <f>31/30*P33</f>
        <v>5402.7626666666665</v>
      </c>
      <c r="Q34" s="157">
        <v>1</v>
      </c>
      <c r="R34" s="294">
        <v>1420.7891397849471</v>
      </c>
      <c r="S34" s="236">
        <f t="shared" si="9"/>
        <v>409.75</v>
      </c>
      <c r="T34" s="296">
        <v>25.8</v>
      </c>
      <c r="U34" s="296">
        <v>31.8</v>
      </c>
      <c r="V34" s="296">
        <v>37</v>
      </c>
      <c r="W34" s="296">
        <v>37</v>
      </c>
      <c r="X34" s="296">
        <v>178.5</v>
      </c>
      <c r="Y34" s="296">
        <v>5.3</v>
      </c>
      <c r="Z34" s="238">
        <f t="shared" si="10"/>
        <v>0.5</v>
      </c>
      <c r="AA34" s="239">
        <v>62.37</v>
      </c>
      <c r="AB34" s="238">
        <f t="shared" si="11"/>
        <v>680.72289156626493</v>
      </c>
      <c r="AC34" s="238">
        <f t="shared" si="12"/>
        <v>10.843373493975903</v>
      </c>
      <c r="AD34" s="9">
        <v>1420.7891397849471</v>
      </c>
      <c r="AE34" s="236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30">
        <f t="shared" ref="G35:I58" si="14">$F35</f>
        <v>31</v>
      </c>
      <c r="H35" s="230">
        <f t="shared" si="5"/>
        <v>31</v>
      </c>
      <c r="I35" s="230">
        <f t="shared" si="5"/>
        <v>31</v>
      </c>
      <c r="J35" s="163">
        <f t="shared" si="6"/>
        <v>20.833333333333332</v>
      </c>
      <c r="K35" s="230">
        <f t="shared" si="8"/>
        <v>31</v>
      </c>
      <c r="L35" s="230">
        <f t="shared" si="8"/>
        <v>31</v>
      </c>
      <c r="M35" s="163">
        <f t="shared" si="13"/>
        <v>31</v>
      </c>
      <c r="N35" s="232">
        <v>35300</v>
      </c>
      <c r="O35" s="232">
        <v>4000</v>
      </c>
      <c r="P35" s="306">
        <f t="shared" ref="P35:P47" si="15">8*H35*24</f>
        <v>5952</v>
      </c>
      <c r="Q35" s="158">
        <v>1</v>
      </c>
      <c r="R35" s="232">
        <v>400</v>
      </c>
      <c r="S35" s="232">
        <f>85*7.45</f>
        <v>633.25</v>
      </c>
      <c r="T35" s="233">
        <v>26</v>
      </c>
      <c r="U35" s="233">
        <v>31.8</v>
      </c>
      <c r="V35" s="233">
        <v>37</v>
      </c>
      <c r="W35" s="233">
        <v>42.5</v>
      </c>
      <c r="X35" s="234">
        <v>179.2</v>
      </c>
      <c r="Y35" s="234">
        <v>5.3</v>
      </c>
      <c r="Z35" s="234">
        <f t="shared" si="10"/>
        <v>0.5</v>
      </c>
      <c r="AA35" s="235">
        <v>62.37</v>
      </c>
      <c r="AB35" s="234">
        <f t="shared" si="11"/>
        <v>680.72289156626493</v>
      </c>
      <c r="AC35" s="234">
        <f t="shared" si="12"/>
        <v>10.843373493975903</v>
      </c>
      <c r="AE35" s="232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30">
        <f t="shared" si="14"/>
        <v>28</v>
      </c>
      <c r="H36" s="230">
        <f t="shared" si="5"/>
        <v>28</v>
      </c>
      <c r="I36" s="230">
        <f t="shared" si="5"/>
        <v>28</v>
      </c>
      <c r="J36" s="161">
        <f t="shared" si="6"/>
        <v>0</v>
      </c>
      <c r="K36" s="230">
        <f t="shared" si="8"/>
        <v>28</v>
      </c>
      <c r="L36" s="230">
        <f t="shared" si="8"/>
        <v>28</v>
      </c>
      <c r="M36" s="161">
        <f t="shared" si="13"/>
        <v>28</v>
      </c>
      <c r="N36" s="232">
        <v>32000</v>
      </c>
      <c r="O36" s="232">
        <v>0</v>
      </c>
      <c r="P36" s="306">
        <f t="shared" si="15"/>
        <v>5376</v>
      </c>
      <c r="Q36" s="159">
        <v>1</v>
      </c>
      <c r="R36" s="232">
        <v>400</v>
      </c>
      <c r="S36" s="232">
        <f t="shared" ref="S36:S46" si="17">85*7.45</f>
        <v>633.25</v>
      </c>
      <c r="T36" s="233">
        <v>26</v>
      </c>
      <c r="U36" s="233">
        <v>31.8</v>
      </c>
      <c r="V36" s="233">
        <v>37</v>
      </c>
      <c r="W36" s="233">
        <v>42.5</v>
      </c>
      <c r="X36" s="234">
        <v>179.2</v>
      </c>
      <c r="Y36" s="234">
        <v>5.3</v>
      </c>
      <c r="Z36" s="234">
        <f t="shared" si="10"/>
        <v>0.5</v>
      </c>
      <c r="AA36" s="235">
        <v>62.37</v>
      </c>
      <c r="AB36" s="234">
        <f t="shared" si="11"/>
        <v>680.72289156626493</v>
      </c>
      <c r="AC36" s="234">
        <f t="shared" si="12"/>
        <v>10.843373493975903</v>
      </c>
      <c r="AE36" s="232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30">
        <f t="shared" si="14"/>
        <v>31</v>
      </c>
      <c r="H37" s="230">
        <f t="shared" si="5"/>
        <v>31</v>
      </c>
      <c r="I37" s="230">
        <f t="shared" si="5"/>
        <v>31</v>
      </c>
      <c r="J37" s="161">
        <f t="shared" si="6"/>
        <v>0</v>
      </c>
      <c r="K37" s="230">
        <f t="shared" si="8"/>
        <v>31</v>
      </c>
      <c r="L37" s="230">
        <f t="shared" si="8"/>
        <v>31</v>
      </c>
      <c r="M37" s="161">
        <f t="shared" si="13"/>
        <v>31</v>
      </c>
      <c r="N37" s="232">
        <v>29500</v>
      </c>
      <c r="O37" s="232">
        <v>0</v>
      </c>
      <c r="P37" s="306">
        <f t="shared" si="15"/>
        <v>5952</v>
      </c>
      <c r="Q37" s="159">
        <v>1</v>
      </c>
      <c r="R37" s="232">
        <v>400</v>
      </c>
      <c r="S37" s="232">
        <f t="shared" si="17"/>
        <v>633.25</v>
      </c>
      <c r="T37" s="233">
        <v>26</v>
      </c>
      <c r="U37" s="233">
        <v>31.8</v>
      </c>
      <c r="V37" s="233">
        <v>37</v>
      </c>
      <c r="W37" s="233">
        <v>42.5</v>
      </c>
      <c r="X37" s="234">
        <v>179.2</v>
      </c>
      <c r="Y37" s="234">
        <v>5.3</v>
      </c>
      <c r="Z37" s="234">
        <f t="shared" si="10"/>
        <v>0.5</v>
      </c>
      <c r="AA37" s="235">
        <v>62.37</v>
      </c>
      <c r="AB37" s="234">
        <f t="shared" si="11"/>
        <v>680.72289156626493</v>
      </c>
      <c r="AC37" s="234">
        <f t="shared" si="12"/>
        <v>10.843373493975903</v>
      </c>
      <c r="AE37" s="232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30">
        <f t="shared" si="14"/>
        <v>30</v>
      </c>
      <c r="H38" s="230">
        <f t="shared" si="5"/>
        <v>30</v>
      </c>
      <c r="I38" s="230">
        <f t="shared" si="5"/>
        <v>30</v>
      </c>
      <c r="J38" s="161">
        <f t="shared" si="6"/>
        <v>0</v>
      </c>
      <c r="K38" s="230">
        <f t="shared" si="8"/>
        <v>30</v>
      </c>
      <c r="L38" s="230">
        <f t="shared" si="8"/>
        <v>30</v>
      </c>
      <c r="M38" s="161">
        <f t="shared" si="13"/>
        <v>30</v>
      </c>
      <c r="N38" s="232">
        <v>20000</v>
      </c>
      <c r="O38" s="232">
        <v>0</v>
      </c>
      <c r="P38" s="306">
        <f t="shared" si="15"/>
        <v>5760</v>
      </c>
      <c r="Q38" s="159">
        <v>1</v>
      </c>
      <c r="R38" s="232">
        <v>400</v>
      </c>
      <c r="S38" s="232">
        <f t="shared" si="17"/>
        <v>633.25</v>
      </c>
      <c r="T38" s="233">
        <v>26</v>
      </c>
      <c r="U38" s="233">
        <v>31.8</v>
      </c>
      <c r="V38" s="233">
        <v>37</v>
      </c>
      <c r="W38" s="233">
        <v>42.5</v>
      </c>
      <c r="X38" s="234">
        <v>179.2</v>
      </c>
      <c r="Y38" s="234">
        <v>5.3</v>
      </c>
      <c r="Z38" s="234">
        <f t="shared" si="10"/>
        <v>0.5</v>
      </c>
      <c r="AA38" s="235">
        <v>62.37</v>
      </c>
      <c r="AB38" s="234">
        <f t="shared" si="11"/>
        <v>680.72289156626493</v>
      </c>
      <c r="AC38" s="234">
        <f t="shared" si="12"/>
        <v>10.843373493975903</v>
      </c>
      <c r="AE38" s="232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30">
        <f t="shared" si="14"/>
        <v>31</v>
      </c>
      <c r="H39" s="230">
        <f t="shared" si="14"/>
        <v>31</v>
      </c>
      <c r="I39" s="230">
        <f t="shared" si="14"/>
        <v>31</v>
      </c>
      <c r="J39" s="161">
        <f t="shared" si="6"/>
        <v>0</v>
      </c>
      <c r="K39" s="230">
        <f t="shared" si="8"/>
        <v>31</v>
      </c>
      <c r="L39" s="230">
        <f t="shared" si="8"/>
        <v>31</v>
      </c>
      <c r="M39" s="161">
        <f t="shared" si="13"/>
        <v>31</v>
      </c>
      <c r="N39" s="232">
        <v>13000</v>
      </c>
      <c r="O39" s="232">
        <v>0</v>
      </c>
      <c r="P39" s="306">
        <f t="shared" si="15"/>
        <v>5952</v>
      </c>
      <c r="Q39" s="159">
        <v>1</v>
      </c>
      <c r="R39" s="232">
        <v>400</v>
      </c>
      <c r="S39" s="232">
        <f t="shared" si="17"/>
        <v>633.25</v>
      </c>
      <c r="T39" s="233">
        <v>26</v>
      </c>
      <c r="U39" s="233">
        <v>31.8</v>
      </c>
      <c r="V39" s="233">
        <v>37</v>
      </c>
      <c r="W39" s="233">
        <v>42.5</v>
      </c>
      <c r="X39" s="234">
        <v>179.2</v>
      </c>
      <c r="Y39" s="234">
        <v>5.3</v>
      </c>
      <c r="Z39" s="234">
        <f t="shared" si="10"/>
        <v>0.5</v>
      </c>
      <c r="AA39" s="235">
        <v>62.37</v>
      </c>
      <c r="AB39" s="234">
        <f t="shared" si="11"/>
        <v>680.72289156626493</v>
      </c>
      <c r="AC39" s="234">
        <f t="shared" si="12"/>
        <v>10.843373493975903</v>
      </c>
      <c r="AE39" s="232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30">
        <f t="shared" si="14"/>
        <v>30</v>
      </c>
      <c r="H40" s="230">
        <f>F40-4*7</f>
        <v>2</v>
      </c>
      <c r="I40" s="230">
        <f t="shared" si="14"/>
        <v>30</v>
      </c>
      <c r="J40" s="161">
        <f t="shared" si="6"/>
        <v>0</v>
      </c>
      <c r="K40" s="230">
        <f t="shared" ref="K40:L58" si="19">$F40</f>
        <v>30</v>
      </c>
      <c r="L40" s="230">
        <f t="shared" si="19"/>
        <v>30</v>
      </c>
      <c r="M40" s="161">
        <f t="shared" si="13"/>
        <v>2</v>
      </c>
      <c r="N40" s="232">
        <v>7500</v>
      </c>
      <c r="O40" s="232">
        <v>0</v>
      </c>
      <c r="P40" s="306">
        <f t="shared" si="15"/>
        <v>384</v>
      </c>
      <c r="Q40" s="159">
        <v>1</v>
      </c>
      <c r="R40" s="232">
        <v>400</v>
      </c>
      <c r="S40" s="232">
        <f t="shared" si="17"/>
        <v>633.25</v>
      </c>
      <c r="T40" s="233">
        <v>26</v>
      </c>
      <c r="U40" s="233">
        <v>31.8</v>
      </c>
      <c r="V40" s="233">
        <v>37</v>
      </c>
      <c r="W40" s="233">
        <v>42.5</v>
      </c>
      <c r="X40" s="234">
        <v>179.2</v>
      </c>
      <c r="Y40" s="234">
        <v>5.3</v>
      </c>
      <c r="Z40" s="234">
        <f t="shared" si="10"/>
        <v>0.5</v>
      </c>
      <c r="AA40" s="235">
        <v>62.37</v>
      </c>
      <c r="AB40" s="234">
        <f t="shared" si="11"/>
        <v>680.72289156626493</v>
      </c>
      <c r="AC40" s="234">
        <f t="shared" si="12"/>
        <v>10.843373493975903</v>
      </c>
      <c r="AE40" s="232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30">
        <f>F41-4*7</f>
        <v>3</v>
      </c>
      <c r="H41" s="230">
        <f t="shared" si="14"/>
        <v>31</v>
      </c>
      <c r="I41" s="230">
        <f t="shared" si="14"/>
        <v>31</v>
      </c>
      <c r="J41" s="161">
        <f t="shared" si="6"/>
        <v>0</v>
      </c>
      <c r="K41" s="230">
        <f t="shared" si="19"/>
        <v>31</v>
      </c>
      <c r="L41" s="230">
        <f t="shared" si="19"/>
        <v>31</v>
      </c>
      <c r="M41" s="161">
        <f t="shared" si="13"/>
        <v>31</v>
      </c>
      <c r="N41" s="232">
        <v>7500</v>
      </c>
      <c r="O41" s="232">
        <v>0</v>
      </c>
      <c r="P41" s="306">
        <f t="shared" si="15"/>
        <v>5952</v>
      </c>
      <c r="Q41" s="159">
        <v>1</v>
      </c>
      <c r="R41" s="232">
        <v>400</v>
      </c>
      <c r="S41" s="232">
        <f t="shared" si="17"/>
        <v>633.25</v>
      </c>
      <c r="T41" s="233">
        <v>26</v>
      </c>
      <c r="U41" s="233">
        <v>31.8</v>
      </c>
      <c r="V41" s="233">
        <v>37</v>
      </c>
      <c r="W41" s="233">
        <v>42.5</v>
      </c>
      <c r="X41" s="234">
        <v>179.2</v>
      </c>
      <c r="Y41" s="234">
        <v>5.3</v>
      </c>
      <c r="Z41" s="234">
        <f t="shared" si="10"/>
        <v>0.5</v>
      </c>
      <c r="AA41" s="235">
        <v>62.37</v>
      </c>
      <c r="AB41" s="234">
        <f t="shared" si="11"/>
        <v>680.72289156626493</v>
      </c>
      <c r="AC41" s="234">
        <f t="shared" si="12"/>
        <v>10.843373493975903</v>
      </c>
      <c r="AE41" s="232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30">
        <f t="shared" ref="G42:G54" si="20">$F42</f>
        <v>31</v>
      </c>
      <c r="H42" s="230">
        <f t="shared" si="14"/>
        <v>31</v>
      </c>
      <c r="I42" s="230">
        <f t="shared" si="14"/>
        <v>31</v>
      </c>
      <c r="J42" s="161">
        <f t="shared" si="6"/>
        <v>0</v>
      </c>
      <c r="K42" s="230">
        <f t="shared" si="19"/>
        <v>31</v>
      </c>
      <c r="L42" s="230">
        <f t="shared" si="19"/>
        <v>31</v>
      </c>
      <c r="M42" s="161">
        <f t="shared" si="13"/>
        <v>31</v>
      </c>
      <c r="N42" s="232">
        <v>7000</v>
      </c>
      <c r="O42" s="232">
        <v>0</v>
      </c>
      <c r="P42" s="306">
        <f t="shared" si="15"/>
        <v>5952</v>
      </c>
      <c r="Q42" s="159">
        <v>1</v>
      </c>
      <c r="R42" s="232">
        <v>400</v>
      </c>
      <c r="S42" s="232">
        <f t="shared" si="17"/>
        <v>633.25</v>
      </c>
      <c r="T42" s="233">
        <v>26</v>
      </c>
      <c r="U42" s="233">
        <v>31.8</v>
      </c>
      <c r="V42" s="233">
        <v>37</v>
      </c>
      <c r="W42" s="233">
        <v>42.5</v>
      </c>
      <c r="X42" s="234">
        <v>179.2</v>
      </c>
      <c r="Y42" s="234">
        <v>5.3</v>
      </c>
      <c r="Z42" s="234">
        <f t="shared" si="10"/>
        <v>0.5</v>
      </c>
      <c r="AA42" s="235">
        <v>62.37</v>
      </c>
      <c r="AB42" s="234">
        <f t="shared" si="11"/>
        <v>680.72289156626493</v>
      </c>
      <c r="AC42" s="234">
        <f t="shared" si="12"/>
        <v>10.843373493975903</v>
      </c>
      <c r="AE42" s="232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30">
        <f t="shared" si="20"/>
        <v>30</v>
      </c>
      <c r="H43" s="230">
        <f t="shared" si="14"/>
        <v>30</v>
      </c>
      <c r="I43" s="230">
        <f t="shared" si="14"/>
        <v>30</v>
      </c>
      <c r="J43" s="161">
        <f t="shared" si="6"/>
        <v>0</v>
      </c>
      <c r="K43" s="230">
        <f t="shared" si="19"/>
        <v>30</v>
      </c>
      <c r="L43" s="230">
        <f t="shared" si="19"/>
        <v>30</v>
      </c>
      <c r="M43" s="161">
        <f t="shared" si="13"/>
        <v>30</v>
      </c>
      <c r="N43" s="232">
        <v>8000</v>
      </c>
      <c r="O43" s="232">
        <v>0</v>
      </c>
      <c r="P43" s="306">
        <f t="shared" si="15"/>
        <v>5760</v>
      </c>
      <c r="Q43" s="159">
        <v>1</v>
      </c>
      <c r="R43" s="232">
        <v>400</v>
      </c>
      <c r="S43" s="232">
        <f t="shared" si="17"/>
        <v>633.25</v>
      </c>
      <c r="T43" s="233">
        <v>26</v>
      </c>
      <c r="U43" s="233">
        <v>31.8</v>
      </c>
      <c r="V43" s="233">
        <v>37</v>
      </c>
      <c r="W43" s="233">
        <v>42.5</v>
      </c>
      <c r="X43" s="234">
        <v>179.2</v>
      </c>
      <c r="Y43" s="234">
        <v>5.3</v>
      </c>
      <c r="Z43" s="234">
        <f t="shared" si="10"/>
        <v>0.5</v>
      </c>
      <c r="AA43" s="235">
        <v>62.37</v>
      </c>
      <c r="AB43" s="234">
        <f t="shared" si="11"/>
        <v>680.72289156626493</v>
      </c>
      <c r="AC43" s="234">
        <f t="shared" si="12"/>
        <v>10.843373493975903</v>
      </c>
      <c r="AE43" s="232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30">
        <f t="shared" si="20"/>
        <v>31</v>
      </c>
      <c r="H44" s="230">
        <f t="shared" si="14"/>
        <v>31</v>
      </c>
      <c r="I44" s="230">
        <f t="shared" si="14"/>
        <v>31</v>
      </c>
      <c r="J44" s="161">
        <f t="shared" si="6"/>
        <v>0</v>
      </c>
      <c r="K44" s="230">
        <f t="shared" si="19"/>
        <v>31</v>
      </c>
      <c r="L44" s="230">
        <f t="shared" si="19"/>
        <v>31</v>
      </c>
      <c r="M44" s="161">
        <f t="shared" si="13"/>
        <v>31</v>
      </c>
      <c r="N44" s="232">
        <v>19700</v>
      </c>
      <c r="O44" s="232">
        <v>0</v>
      </c>
      <c r="P44" s="306">
        <f t="shared" si="15"/>
        <v>5952</v>
      </c>
      <c r="Q44" s="159">
        <v>1</v>
      </c>
      <c r="R44" s="232">
        <v>400</v>
      </c>
      <c r="S44" s="232">
        <f t="shared" si="17"/>
        <v>633.25</v>
      </c>
      <c r="T44" s="233">
        <v>26</v>
      </c>
      <c r="U44" s="233">
        <v>31.8</v>
      </c>
      <c r="V44" s="233">
        <v>37</v>
      </c>
      <c r="W44" s="233">
        <v>42.5</v>
      </c>
      <c r="X44" s="234">
        <v>179.2</v>
      </c>
      <c r="Y44" s="234">
        <v>5.3</v>
      </c>
      <c r="Z44" s="234">
        <f t="shared" si="10"/>
        <v>0.5</v>
      </c>
      <c r="AA44" s="235">
        <v>62.37</v>
      </c>
      <c r="AB44" s="234">
        <f t="shared" si="11"/>
        <v>680.72289156626493</v>
      </c>
      <c r="AC44" s="234">
        <f t="shared" si="12"/>
        <v>10.843373493975903</v>
      </c>
      <c r="AE44" s="232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30">
        <f t="shared" si="20"/>
        <v>30</v>
      </c>
      <c r="H45" s="230">
        <f t="shared" si="14"/>
        <v>30</v>
      </c>
      <c r="I45" s="230">
        <f t="shared" si="14"/>
        <v>30</v>
      </c>
      <c r="J45" s="161">
        <f t="shared" si="6"/>
        <v>7.8125</v>
      </c>
      <c r="K45" s="230">
        <f t="shared" si="19"/>
        <v>30</v>
      </c>
      <c r="L45" s="230">
        <f t="shared" si="19"/>
        <v>30</v>
      </c>
      <c r="M45" s="161">
        <f t="shared" si="13"/>
        <v>30</v>
      </c>
      <c r="N45" s="232">
        <v>27500</v>
      </c>
      <c r="O45" s="232">
        <v>1500</v>
      </c>
      <c r="P45" s="306">
        <f t="shared" si="15"/>
        <v>5760</v>
      </c>
      <c r="Q45" s="159">
        <v>1</v>
      </c>
      <c r="R45" s="232">
        <v>400</v>
      </c>
      <c r="S45" s="232">
        <f t="shared" si="17"/>
        <v>633.25</v>
      </c>
      <c r="T45" s="233">
        <v>26</v>
      </c>
      <c r="U45" s="233">
        <v>31.8</v>
      </c>
      <c r="V45" s="233">
        <v>37</v>
      </c>
      <c r="W45" s="233">
        <v>42.5</v>
      </c>
      <c r="X45" s="234">
        <v>179.2</v>
      </c>
      <c r="Y45" s="234">
        <v>5.3</v>
      </c>
      <c r="Z45" s="234">
        <f t="shared" si="10"/>
        <v>0.5</v>
      </c>
      <c r="AA45" s="235">
        <v>62.37</v>
      </c>
      <c r="AB45" s="234">
        <f t="shared" si="11"/>
        <v>680.72289156626493</v>
      </c>
      <c r="AC45" s="234">
        <f t="shared" si="12"/>
        <v>10.843373493975903</v>
      </c>
      <c r="AE45" s="232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1">
        <f t="shared" si="20"/>
        <v>31</v>
      </c>
      <c r="H46" s="231">
        <f t="shared" si="14"/>
        <v>31</v>
      </c>
      <c r="I46" s="231">
        <f t="shared" si="14"/>
        <v>31</v>
      </c>
      <c r="J46" s="162">
        <f t="shared" si="6"/>
        <v>29.166666666666668</v>
      </c>
      <c r="K46" s="231">
        <f t="shared" si="19"/>
        <v>31</v>
      </c>
      <c r="L46" s="231">
        <f t="shared" si="19"/>
        <v>31</v>
      </c>
      <c r="M46" s="162">
        <f t="shared" si="13"/>
        <v>31</v>
      </c>
      <c r="N46" s="236">
        <v>33000</v>
      </c>
      <c r="O46" s="236">
        <v>5600</v>
      </c>
      <c r="P46" s="305">
        <f t="shared" si="15"/>
        <v>5952</v>
      </c>
      <c r="Q46" s="160">
        <v>1</v>
      </c>
      <c r="R46" s="236">
        <v>400</v>
      </c>
      <c r="S46" s="236">
        <f t="shared" si="17"/>
        <v>633.25</v>
      </c>
      <c r="T46" s="237">
        <v>26</v>
      </c>
      <c r="U46" s="237">
        <v>31.8</v>
      </c>
      <c r="V46" s="237">
        <v>37</v>
      </c>
      <c r="W46" s="237">
        <v>42.5</v>
      </c>
      <c r="X46" s="238">
        <v>179.2</v>
      </c>
      <c r="Y46" s="238">
        <v>5.3</v>
      </c>
      <c r="Z46" s="238">
        <f t="shared" si="10"/>
        <v>0.5</v>
      </c>
      <c r="AA46" s="239">
        <v>62.37</v>
      </c>
      <c r="AB46" s="238">
        <f t="shared" si="11"/>
        <v>680.72289156626493</v>
      </c>
      <c r="AC46" s="238">
        <f t="shared" si="12"/>
        <v>10.843373493975903</v>
      </c>
      <c r="AE46" s="236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30">
        <f t="shared" si="20"/>
        <v>31</v>
      </c>
      <c r="H47" s="230">
        <f t="shared" si="14"/>
        <v>31</v>
      </c>
      <c r="I47" s="230">
        <f t="shared" si="14"/>
        <v>31</v>
      </c>
      <c r="J47" s="163">
        <f t="shared" si="6"/>
        <v>20.833333333333332</v>
      </c>
      <c r="K47" s="230">
        <f t="shared" si="19"/>
        <v>31</v>
      </c>
      <c r="L47" s="230">
        <f t="shared" si="19"/>
        <v>31</v>
      </c>
      <c r="M47" s="163">
        <f t="shared" si="13"/>
        <v>31</v>
      </c>
      <c r="N47" s="232">
        <v>35300</v>
      </c>
      <c r="O47" s="232">
        <v>4000</v>
      </c>
      <c r="P47" s="306">
        <f t="shared" si="15"/>
        <v>5952</v>
      </c>
      <c r="Q47" s="158">
        <v>1</v>
      </c>
      <c r="R47" s="232">
        <v>400</v>
      </c>
      <c r="S47" s="232">
        <f t="shared" ref="S47:S58" si="21">S46+0.1561*7.5*$F47</f>
        <v>669.54324999999994</v>
      </c>
      <c r="T47" s="233">
        <v>26</v>
      </c>
      <c r="U47" s="233">
        <v>31.8</v>
      </c>
      <c r="V47" s="233">
        <v>37</v>
      </c>
      <c r="W47" s="233">
        <v>42.5</v>
      </c>
      <c r="X47" s="234">
        <v>179.2</v>
      </c>
      <c r="Y47" s="234">
        <f t="shared" ref="Y47:Y58" si="22">5.3*1.1</f>
        <v>5.83</v>
      </c>
      <c r="Z47" s="234">
        <f t="shared" si="10"/>
        <v>0.5</v>
      </c>
      <c r="AA47" s="235">
        <v>62.37</v>
      </c>
      <c r="AB47" s="234">
        <f t="shared" si="11"/>
        <v>680.72289156626493</v>
      </c>
      <c r="AC47" s="234">
        <f t="shared" si="12"/>
        <v>10.843373493975903</v>
      </c>
      <c r="AE47" s="232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30">
        <f t="shared" si="20"/>
        <v>28</v>
      </c>
      <c r="H48" s="230">
        <f t="shared" si="14"/>
        <v>28</v>
      </c>
      <c r="I48" s="230">
        <f t="shared" si="14"/>
        <v>28</v>
      </c>
      <c r="J48" s="161">
        <f t="shared" si="6"/>
        <v>0</v>
      </c>
      <c r="K48" s="230">
        <f t="shared" si="19"/>
        <v>28</v>
      </c>
      <c r="L48" s="230">
        <f t="shared" si="19"/>
        <v>28</v>
      </c>
      <c r="M48" s="161">
        <f t="shared" si="13"/>
        <v>28</v>
      </c>
      <c r="N48" s="232">
        <v>32000</v>
      </c>
      <c r="O48" s="232">
        <v>0</v>
      </c>
      <c r="P48" s="306">
        <f t="shared" ref="P48:P58" si="23">8*H48*24</f>
        <v>5376</v>
      </c>
      <c r="Q48" s="159">
        <v>1</v>
      </c>
      <c r="R48" s="232">
        <v>400</v>
      </c>
      <c r="S48" s="232">
        <f t="shared" si="21"/>
        <v>702.32424999999989</v>
      </c>
      <c r="T48" s="233">
        <v>26</v>
      </c>
      <c r="U48" s="233">
        <v>31.8</v>
      </c>
      <c r="V48" s="233">
        <v>37</v>
      </c>
      <c r="W48" s="233">
        <v>42.5</v>
      </c>
      <c r="X48" s="234">
        <v>179.2</v>
      </c>
      <c r="Y48" s="234">
        <f t="shared" si="22"/>
        <v>5.83</v>
      </c>
      <c r="Z48" s="234">
        <f t="shared" si="10"/>
        <v>0.5</v>
      </c>
      <c r="AA48" s="235">
        <v>62.37</v>
      </c>
      <c r="AB48" s="234">
        <f t="shared" si="11"/>
        <v>680.72289156626493</v>
      </c>
      <c r="AC48" s="234">
        <f t="shared" si="12"/>
        <v>10.843373493975903</v>
      </c>
      <c r="AE48" s="232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30">
        <f t="shared" si="20"/>
        <v>31</v>
      </c>
      <c r="H49" s="230">
        <f t="shared" si="14"/>
        <v>31</v>
      </c>
      <c r="I49" s="230">
        <f t="shared" si="14"/>
        <v>31</v>
      </c>
      <c r="J49" s="161">
        <f t="shared" si="6"/>
        <v>0</v>
      </c>
      <c r="K49" s="230">
        <f t="shared" si="19"/>
        <v>31</v>
      </c>
      <c r="L49" s="230">
        <f t="shared" si="19"/>
        <v>31</v>
      </c>
      <c r="M49" s="161">
        <f t="shared" si="13"/>
        <v>31</v>
      </c>
      <c r="N49" s="232">
        <v>29500</v>
      </c>
      <c r="O49" s="232">
        <v>0</v>
      </c>
      <c r="P49" s="306">
        <f t="shared" si="23"/>
        <v>5952</v>
      </c>
      <c r="Q49" s="159">
        <v>1</v>
      </c>
      <c r="R49" s="232">
        <v>400</v>
      </c>
      <c r="S49" s="232">
        <f t="shared" si="21"/>
        <v>738.61749999999984</v>
      </c>
      <c r="T49" s="233">
        <v>26</v>
      </c>
      <c r="U49" s="233">
        <v>31.8</v>
      </c>
      <c r="V49" s="233">
        <v>37</v>
      </c>
      <c r="W49" s="233">
        <v>42.5</v>
      </c>
      <c r="X49" s="234">
        <v>179.2</v>
      </c>
      <c r="Y49" s="234">
        <f t="shared" si="22"/>
        <v>5.83</v>
      </c>
      <c r="Z49" s="234">
        <f t="shared" si="10"/>
        <v>0.5</v>
      </c>
      <c r="AA49" s="235">
        <v>62.37</v>
      </c>
      <c r="AB49" s="234">
        <f t="shared" si="11"/>
        <v>680.72289156626493</v>
      </c>
      <c r="AC49" s="234">
        <f t="shared" si="12"/>
        <v>10.843373493975903</v>
      </c>
      <c r="AE49" s="232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30">
        <f t="shared" si="20"/>
        <v>30</v>
      </c>
      <c r="H50" s="230">
        <f t="shared" si="14"/>
        <v>30</v>
      </c>
      <c r="I50" s="230">
        <f t="shared" si="14"/>
        <v>30</v>
      </c>
      <c r="J50" s="161">
        <f t="shared" si="6"/>
        <v>0</v>
      </c>
      <c r="K50" s="230">
        <f t="shared" si="19"/>
        <v>30</v>
      </c>
      <c r="L50" s="230">
        <f t="shared" si="19"/>
        <v>30</v>
      </c>
      <c r="M50" s="161">
        <f t="shared" si="13"/>
        <v>30</v>
      </c>
      <c r="N50" s="232">
        <v>20000</v>
      </c>
      <c r="O50" s="232">
        <v>0</v>
      </c>
      <c r="P50" s="306">
        <f t="shared" si="23"/>
        <v>5760</v>
      </c>
      <c r="Q50" s="159">
        <v>1</v>
      </c>
      <c r="R50" s="232">
        <v>400</v>
      </c>
      <c r="S50" s="232">
        <f t="shared" si="21"/>
        <v>773.73999999999978</v>
      </c>
      <c r="T50" s="233">
        <v>26</v>
      </c>
      <c r="U50" s="233">
        <v>31.8</v>
      </c>
      <c r="V50" s="233">
        <v>37</v>
      </c>
      <c r="W50" s="233">
        <v>42.5</v>
      </c>
      <c r="X50" s="234">
        <v>179.2</v>
      </c>
      <c r="Y50" s="234">
        <f t="shared" si="22"/>
        <v>5.83</v>
      </c>
      <c r="Z50" s="234">
        <f t="shared" si="10"/>
        <v>0.5</v>
      </c>
      <c r="AA50" s="235">
        <v>62.37</v>
      </c>
      <c r="AB50" s="234">
        <f t="shared" si="11"/>
        <v>680.72289156626493</v>
      </c>
      <c r="AC50" s="234">
        <f t="shared" si="12"/>
        <v>10.843373493975903</v>
      </c>
      <c r="AE50" s="232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30">
        <f t="shared" si="20"/>
        <v>31</v>
      </c>
      <c r="H51" s="230">
        <f t="shared" si="14"/>
        <v>31</v>
      </c>
      <c r="I51" s="230">
        <f t="shared" si="14"/>
        <v>31</v>
      </c>
      <c r="J51" s="161">
        <f t="shared" si="6"/>
        <v>0</v>
      </c>
      <c r="K51" s="230">
        <f t="shared" si="19"/>
        <v>31</v>
      </c>
      <c r="L51" s="230">
        <f t="shared" si="19"/>
        <v>31</v>
      </c>
      <c r="M51" s="161">
        <f t="shared" si="13"/>
        <v>31</v>
      </c>
      <c r="N51" s="232">
        <v>13000</v>
      </c>
      <c r="O51" s="232">
        <v>0</v>
      </c>
      <c r="P51" s="306">
        <f t="shared" si="23"/>
        <v>5952</v>
      </c>
      <c r="Q51" s="159">
        <v>1</v>
      </c>
      <c r="R51" s="232">
        <v>400</v>
      </c>
      <c r="S51" s="232">
        <f t="shared" si="21"/>
        <v>810.03324999999973</v>
      </c>
      <c r="T51" s="233">
        <v>26</v>
      </c>
      <c r="U51" s="233">
        <v>31.8</v>
      </c>
      <c r="V51" s="233">
        <v>37</v>
      </c>
      <c r="W51" s="233">
        <v>42.5</v>
      </c>
      <c r="X51" s="234">
        <v>179.2</v>
      </c>
      <c r="Y51" s="234">
        <f t="shared" si="22"/>
        <v>5.83</v>
      </c>
      <c r="Z51" s="234">
        <f t="shared" si="10"/>
        <v>0.5</v>
      </c>
      <c r="AA51" s="235">
        <v>62.37</v>
      </c>
      <c r="AB51" s="234">
        <f t="shared" si="11"/>
        <v>680.72289156626493</v>
      </c>
      <c r="AC51" s="234">
        <f t="shared" si="12"/>
        <v>10.843373493975903</v>
      </c>
      <c r="AE51" s="232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30">
        <f t="shared" si="20"/>
        <v>30</v>
      </c>
      <c r="H52" s="230">
        <f>F52-4*7</f>
        <v>2</v>
      </c>
      <c r="I52" s="230">
        <f t="shared" si="14"/>
        <v>30</v>
      </c>
      <c r="J52" s="161">
        <f t="shared" si="6"/>
        <v>0</v>
      </c>
      <c r="K52" s="230">
        <f t="shared" si="19"/>
        <v>30</v>
      </c>
      <c r="L52" s="230">
        <f t="shared" si="19"/>
        <v>30</v>
      </c>
      <c r="M52" s="161">
        <f t="shared" si="13"/>
        <v>2</v>
      </c>
      <c r="N52" s="232">
        <v>7500</v>
      </c>
      <c r="O52" s="232">
        <v>0</v>
      </c>
      <c r="P52" s="306">
        <f t="shared" si="23"/>
        <v>384</v>
      </c>
      <c r="Q52" s="159">
        <v>1</v>
      </c>
      <c r="R52" s="232">
        <v>400</v>
      </c>
      <c r="S52" s="232">
        <f t="shared" si="21"/>
        <v>845.15574999999967</v>
      </c>
      <c r="T52" s="233">
        <v>26</v>
      </c>
      <c r="U52" s="233">
        <v>31.8</v>
      </c>
      <c r="V52" s="233">
        <v>37</v>
      </c>
      <c r="W52" s="233">
        <v>42.5</v>
      </c>
      <c r="X52" s="234">
        <v>179.2</v>
      </c>
      <c r="Y52" s="234">
        <f t="shared" si="22"/>
        <v>5.83</v>
      </c>
      <c r="Z52" s="234">
        <f t="shared" si="10"/>
        <v>0.5</v>
      </c>
      <c r="AA52" s="235">
        <v>62.37</v>
      </c>
      <c r="AB52" s="234">
        <f t="shared" si="11"/>
        <v>680.72289156626493</v>
      </c>
      <c r="AC52" s="234">
        <f t="shared" si="12"/>
        <v>10.843373493975903</v>
      </c>
      <c r="AE52" s="232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30">
        <f>F53-4*7</f>
        <v>3</v>
      </c>
      <c r="H53" s="230">
        <f t="shared" si="14"/>
        <v>31</v>
      </c>
      <c r="I53" s="230">
        <f t="shared" si="14"/>
        <v>31</v>
      </c>
      <c r="J53" s="161">
        <f t="shared" si="6"/>
        <v>0</v>
      </c>
      <c r="K53" s="230">
        <f t="shared" si="19"/>
        <v>31</v>
      </c>
      <c r="L53" s="230">
        <f t="shared" si="19"/>
        <v>31</v>
      </c>
      <c r="M53" s="161">
        <f t="shared" si="13"/>
        <v>31</v>
      </c>
      <c r="N53" s="232">
        <v>7500</v>
      </c>
      <c r="O53" s="232">
        <v>0</v>
      </c>
      <c r="P53" s="306">
        <f t="shared" si="23"/>
        <v>5952</v>
      </c>
      <c r="Q53" s="159">
        <v>1</v>
      </c>
      <c r="R53" s="232">
        <v>400</v>
      </c>
      <c r="S53" s="232">
        <f t="shared" si="21"/>
        <v>881.44899999999961</v>
      </c>
      <c r="T53" s="233">
        <v>26</v>
      </c>
      <c r="U53" s="233">
        <v>31.8</v>
      </c>
      <c r="V53" s="233">
        <v>37</v>
      </c>
      <c r="W53" s="233">
        <v>42.5</v>
      </c>
      <c r="X53" s="234">
        <v>179.2</v>
      </c>
      <c r="Y53" s="234">
        <f t="shared" si="22"/>
        <v>5.83</v>
      </c>
      <c r="Z53" s="234">
        <f t="shared" si="10"/>
        <v>0.5</v>
      </c>
      <c r="AA53" s="235">
        <v>62.37</v>
      </c>
      <c r="AB53" s="234">
        <f t="shared" si="11"/>
        <v>680.72289156626493</v>
      </c>
      <c r="AC53" s="234">
        <f t="shared" si="12"/>
        <v>10.843373493975903</v>
      </c>
      <c r="AE53" s="232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30">
        <f t="shared" si="20"/>
        <v>31</v>
      </c>
      <c r="H54" s="230">
        <f t="shared" si="14"/>
        <v>31</v>
      </c>
      <c r="I54" s="230">
        <f t="shared" si="14"/>
        <v>31</v>
      </c>
      <c r="J54" s="161">
        <f t="shared" si="6"/>
        <v>0</v>
      </c>
      <c r="K54" s="230">
        <f t="shared" si="19"/>
        <v>31</v>
      </c>
      <c r="L54" s="230">
        <f t="shared" si="19"/>
        <v>31</v>
      </c>
      <c r="M54" s="161">
        <f t="shared" si="13"/>
        <v>31</v>
      </c>
      <c r="N54" s="232">
        <v>7000</v>
      </c>
      <c r="O54" s="232">
        <v>0</v>
      </c>
      <c r="P54" s="306">
        <f t="shared" si="23"/>
        <v>5952</v>
      </c>
      <c r="Q54" s="159">
        <v>1</v>
      </c>
      <c r="R54" s="232">
        <v>400</v>
      </c>
      <c r="S54" s="232">
        <f t="shared" si="21"/>
        <v>917.74224999999956</v>
      </c>
      <c r="T54" s="233">
        <v>26</v>
      </c>
      <c r="U54" s="233">
        <v>31.8</v>
      </c>
      <c r="V54" s="233">
        <v>37</v>
      </c>
      <c r="W54" s="233">
        <v>42.5</v>
      </c>
      <c r="X54" s="234">
        <v>179.2</v>
      </c>
      <c r="Y54" s="234">
        <f t="shared" si="22"/>
        <v>5.83</v>
      </c>
      <c r="Z54" s="234">
        <f t="shared" si="10"/>
        <v>0.5</v>
      </c>
      <c r="AA54" s="235">
        <v>62.37</v>
      </c>
      <c r="AB54" s="234">
        <f t="shared" si="11"/>
        <v>680.72289156626493</v>
      </c>
      <c r="AC54" s="234">
        <f t="shared" si="12"/>
        <v>10.843373493975903</v>
      </c>
      <c r="AE54" s="232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30">
        <f>$F55</f>
        <v>30</v>
      </c>
      <c r="H55" s="230">
        <f t="shared" si="14"/>
        <v>30</v>
      </c>
      <c r="I55" s="230">
        <f t="shared" si="14"/>
        <v>30</v>
      </c>
      <c r="J55" s="161">
        <f t="shared" si="6"/>
        <v>0</v>
      </c>
      <c r="K55" s="230">
        <f t="shared" si="19"/>
        <v>30</v>
      </c>
      <c r="L55" s="230">
        <f t="shared" si="19"/>
        <v>30</v>
      </c>
      <c r="M55" s="161">
        <f t="shared" si="13"/>
        <v>30</v>
      </c>
      <c r="N55" s="232">
        <v>8000</v>
      </c>
      <c r="O55" s="232">
        <v>0</v>
      </c>
      <c r="P55" s="306">
        <f t="shared" si="23"/>
        <v>5760</v>
      </c>
      <c r="Q55" s="159">
        <v>1</v>
      </c>
      <c r="R55" s="232">
        <v>400</v>
      </c>
      <c r="S55" s="232">
        <f t="shared" si="21"/>
        <v>952.8647499999995</v>
      </c>
      <c r="T55" s="233">
        <v>26</v>
      </c>
      <c r="U55" s="233">
        <v>31.8</v>
      </c>
      <c r="V55" s="233">
        <v>37</v>
      </c>
      <c r="W55" s="233">
        <v>42.5</v>
      </c>
      <c r="X55" s="234">
        <v>179.2</v>
      </c>
      <c r="Y55" s="234">
        <f t="shared" si="22"/>
        <v>5.83</v>
      </c>
      <c r="Z55" s="234">
        <f t="shared" si="10"/>
        <v>0.5</v>
      </c>
      <c r="AA55" s="235">
        <v>62.37</v>
      </c>
      <c r="AB55" s="234">
        <f t="shared" si="11"/>
        <v>680.72289156626493</v>
      </c>
      <c r="AC55" s="234">
        <f t="shared" si="12"/>
        <v>10.843373493975903</v>
      </c>
      <c r="AE55" s="232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30">
        <f>$F56</f>
        <v>31</v>
      </c>
      <c r="H56" s="230">
        <f t="shared" si="14"/>
        <v>31</v>
      </c>
      <c r="I56" s="230">
        <f t="shared" si="14"/>
        <v>31</v>
      </c>
      <c r="J56" s="161">
        <f t="shared" si="6"/>
        <v>0</v>
      </c>
      <c r="K56" s="230">
        <f t="shared" si="19"/>
        <v>31</v>
      </c>
      <c r="L56" s="230">
        <f t="shared" si="19"/>
        <v>31</v>
      </c>
      <c r="M56" s="161">
        <f t="shared" si="13"/>
        <v>31</v>
      </c>
      <c r="N56" s="232">
        <v>19700</v>
      </c>
      <c r="O56" s="232">
        <v>0</v>
      </c>
      <c r="P56" s="306">
        <f t="shared" si="23"/>
        <v>5952</v>
      </c>
      <c r="Q56" s="159">
        <v>1</v>
      </c>
      <c r="R56" s="232">
        <v>400</v>
      </c>
      <c r="S56" s="232">
        <f t="shared" si="21"/>
        <v>989.15799999999945</v>
      </c>
      <c r="T56" s="233">
        <v>26</v>
      </c>
      <c r="U56" s="233">
        <v>31.8</v>
      </c>
      <c r="V56" s="233">
        <v>37</v>
      </c>
      <c r="W56" s="233">
        <v>42.5</v>
      </c>
      <c r="X56" s="234">
        <v>179.2</v>
      </c>
      <c r="Y56" s="234">
        <f t="shared" si="22"/>
        <v>5.83</v>
      </c>
      <c r="Z56" s="234">
        <f t="shared" si="10"/>
        <v>0.5</v>
      </c>
      <c r="AA56" s="235">
        <v>62.37</v>
      </c>
      <c r="AB56" s="234">
        <f t="shared" si="11"/>
        <v>680.72289156626493</v>
      </c>
      <c r="AC56" s="234">
        <f t="shared" si="12"/>
        <v>10.843373493975903</v>
      </c>
      <c r="AE56" s="232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30">
        <f>$F57</f>
        <v>30</v>
      </c>
      <c r="H57" s="230">
        <f t="shared" si="14"/>
        <v>30</v>
      </c>
      <c r="I57" s="230">
        <f t="shared" si="14"/>
        <v>30</v>
      </c>
      <c r="J57" s="161">
        <f t="shared" si="6"/>
        <v>7.8125</v>
      </c>
      <c r="K57" s="230">
        <f t="shared" si="19"/>
        <v>30</v>
      </c>
      <c r="L57" s="230">
        <f t="shared" si="19"/>
        <v>30</v>
      </c>
      <c r="M57" s="161">
        <f t="shared" si="13"/>
        <v>30</v>
      </c>
      <c r="N57" s="232">
        <v>27500</v>
      </c>
      <c r="O57" s="232">
        <v>1500</v>
      </c>
      <c r="P57" s="306">
        <f t="shared" si="23"/>
        <v>5760</v>
      </c>
      <c r="Q57" s="159">
        <v>1</v>
      </c>
      <c r="R57" s="232">
        <v>400</v>
      </c>
      <c r="S57" s="232">
        <f t="shared" si="21"/>
        <v>1024.2804999999994</v>
      </c>
      <c r="T57" s="233">
        <v>26</v>
      </c>
      <c r="U57" s="233">
        <v>31.8</v>
      </c>
      <c r="V57" s="233">
        <v>37</v>
      </c>
      <c r="W57" s="233">
        <v>42.5</v>
      </c>
      <c r="X57" s="234">
        <v>179.2</v>
      </c>
      <c r="Y57" s="234">
        <f t="shared" si="22"/>
        <v>5.83</v>
      </c>
      <c r="Z57" s="234">
        <f t="shared" si="10"/>
        <v>0.5</v>
      </c>
      <c r="AA57" s="235">
        <v>62.37</v>
      </c>
      <c r="AB57" s="234">
        <f t="shared" si="11"/>
        <v>680.72289156626493</v>
      </c>
      <c r="AC57" s="234">
        <f t="shared" si="12"/>
        <v>10.843373493975903</v>
      </c>
      <c r="AE57" s="232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1">
        <f>$F58</f>
        <v>31</v>
      </c>
      <c r="H58" s="231">
        <f t="shared" si="14"/>
        <v>31</v>
      </c>
      <c r="I58" s="231">
        <f t="shared" si="14"/>
        <v>31</v>
      </c>
      <c r="J58" s="162">
        <f t="shared" si="6"/>
        <v>29.166666666666668</v>
      </c>
      <c r="K58" s="231">
        <f t="shared" si="19"/>
        <v>31</v>
      </c>
      <c r="L58" s="231">
        <f t="shared" si="19"/>
        <v>31</v>
      </c>
      <c r="M58" s="162">
        <f t="shared" si="13"/>
        <v>31</v>
      </c>
      <c r="N58" s="236">
        <v>33000</v>
      </c>
      <c r="O58" s="236">
        <v>5600</v>
      </c>
      <c r="P58" s="305">
        <f t="shared" si="23"/>
        <v>5952</v>
      </c>
      <c r="Q58" s="160">
        <v>1</v>
      </c>
      <c r="R58" s="236">
        <v>400</v>
      </c>
      <c r="S58" s="236">
        <f t="shared" si="21"/>
        <v>1060.5737499999993</v>
      </c>
      <c r="T58" s="237">
        <v>26</v>
      </c>
      <c r="U58" s="237">
        <v>31.8</v>
      </c>
      <c r="V58" s="237">
        <v>37</v>
      </c>
      <c r="W58" s="237">
        <v>42.5</v>
      </c>
      <c r="X58" s="238">
        <v>179.2</v>
      </c>
      <c r="Y58" s="238">
        <f t="shared" si="22"/>
        <v>5.83</v>
      </c>
      <c r="Z58" s="238">
        <f t="shared" si="10"/>
        <v>0.5</v>
      </c>
      <c r="AA58" s="239">
        <v>62.37</v>
      </c>
      <c r="AB58" s="238">
        <f t="shared" si="11"/>
        <v>680.72289156626493</v>
      </c>
      <c r="AC58" s="238">
        <f t="shared" si="12"/>
        <v>10.843373493975903</v>
      </c>
      <c r="AE58" s="236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D7" sqref="D7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77" t="s">
        <v>240</v>
      </c>
      <c r="M2" s="378"/>
      <c r="N2" s="377" t="s">
        <v>239</v>
      </c>
      <c r="O2" s="378"/>
      <c r="P2" s="116"/>
      <c r="Q2" s="116"/>
      <c r="R2" s="116"/>
      <c r="T2" s="374" t="s">
        <v>213</v>
      </c>
      <c r="U2" s="375"/>
      <c r="V2" s="376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364" t="s">
        <v>242</v>
      </c>
      <c r="K4" s="364" t="s">
        <v>243</v>
      </c>
      <c r="L4" s="364" t="s">
        <v>254</v>
      </c>
      <c r="M4" s="364" t="s">
        <v>255</v>
      </c>
      <c r="N4" s="203" t="s">
        <v>244</v>
      </c>
      <c r="O4" s="203" t="s">
        <v>245</v>
      </c>
      <c r="P4" s="364" t="s">
        <v>256</v>
      </c>
      <c r="Q4" s="364" t="s">
        <v>394</v>
      </c>
      <c r="R4" s="97" t="s">
        <v>304</v>
      </c>
      <c r="S4" s="365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451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1</v>
      </c>
      <c r="I5" s="120">
        <v>1</v>
      </c>
      <c r="J5" s="176">
        <v>1</v>
      </c>
      <c r="K5" s="176">
        <v>1</v>
      </c>
      <c r="L5" s="182">
        <f>IF(G5=0,M5,0)</f>
        <v>12915.299999999997</v>
      </c>
      <c r="M5" s="182">
        <v>12915.299999999997</v>
      </c>
      <c r="N5" s="265">
        <f>IF($F5=0,-1,0)</f>
        <v>-1</v>
      </c>
      <c r="O5" s="265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37669.624999999993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79">
        <v>9093</v>
      </c>
      <c r="AD5" s="379">
        <v>12915.299999999997</v>
      </c>
      <c r="AE5" s="380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f t="shared" ref="L6:L30" si="6">IF(G6=0,M6,0)</f>
        <v>0</v>
      </c>
      <c r="M6" s="185">
        <v>0</v>
      </c>
      <c r="N6" s="266">
        <f t="shared" ref="N6:O30" si="7">IF($F6=0,-1,0)</f>
        <v>-1</v>
      </c>
      <c r="O6" s="266">
        <f t="shared" si="7"/>
        <v>-1</v>
      </c>
      <c r="P6" s="185">
        <v>0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79">
        <v>0</v>
      </c>
      <c r="AD6" s="379">
        <v>0</v>
      </c>
      <c r="AE6" s="380" t="str">
        <f t="shared" ref="AE6:AE30" si="8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f t="shared" si="6"/>
        <v>0</v>
      </c>
      <c r="M7" s="185">
        <v>0</v>
      </c>
      <c r="N7" s="266">
        <f t="shared" si="7"/>
        <v>-1</v>
      </c>
      <c r="O7" s="266">
        <f t="shared" si="7"/>
        <v>-1</v>
      </c>
      <c r="P7" s="185">
        <v>0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79">
        <v>0</v>
      </c>
      <c r="AD7" s="379">
        <v>0</v>
      </c>
      <c r="AE7" s="380" t="str">
        <f t="shared" si="8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f t="shared" si="6"/>
        <v>28766.78</v>
      </c>
      <c r="M8" s="185">
        <v>28766.78</v>
      </c>
      <c r="N8" s="266">
        <f t="shared" si="7"/>
        <v>-1</v>
      </c>
      <c r="O8" s="266">
        <f t="shared" si="7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79">
        <v>28869</v>
      </c>
      <c r="AD8" s="379">
        <v>28766.78</v>
      </c>
      <c r="AE8" s="380" t="str">
        <f t="shared" si="8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f t="shared" si="6"/>
        <v>4232.4090000000006</v>
      </c>
      <c r="M9" s="185">
        <v>4232.4090000000006</v>
      </c>
      <c r="N9" s="266">
        <f t="shared" si="7"/>
        <v>-1</v>
      </c>
      <c r="O9" s="266">
        <f t="shared" si="7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79">
        <v>3500</v>
      </c>
      <c r="AD9" s="379">
        <v>4232.4090000000006</v>
      </c>
      <c r="AE9" s="380" t="str">
        <f t="shared" si="8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f t="shared" si="6"/>
        <v>33.35</v>
      </c>
      <c r="M10" s="185">
        <v>33.35</v>
      </c>
      <c r="N10" s="266">
        <f t="shared" si="7"/>
        <v>-1</v>
      </c>
      <c r="O10" s="266">
        <f t="shared" si="7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79">
        <v>0</v>
      </c>
      <c r="AD10" s="379">
        <v>33.35</v>
      </c>
      <c r="AE10" s="380" t="str">
        <f t="shared" si="8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f t="shared" si="6"/>
        <v>4289.78</v>
      </c>
      <c r="M11" s="185">
        <v>4289.78</v>
      </c>
      <c r="N11" s="266">
        <f t="shared" si="7"/>
        <v>-1</v>
      </c>
      <c r="O11" s="266">
        <f t="shared" si="7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79">
        <v>0</v>
      </c>
      <c r="AD11" s="379">
        <v>4289.78</v>
      </c>
      <c r="AE11" s="380" t="str">
        <f t="shared" si="8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f t="shared" si="6"/>
        <v>106.89999999999998</v>
      </c>
      <c r="M12" s="185">
        <v>106.89999999999998</v>
      </c>
      <c r="N12" s="266">
        <f t="shared" si="7"/>
        <v>-1</v>
      </c>
      <c r="O12" s="266">
        <f t="shared" si="7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79">
        <v>7800</v>
      </c>
      <c r="AD12" s="379">
        <v>106.89999999999998</v>
      </c>
      <c r="AE12" s="380" t="str">
        <f t="shared" si="8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f t="shared" si="6"/>
        <v>4266.01</v>
      </c>
      <c r="M13" s="185">
        <v>4266.01</v>
      </c>
      <c r="N13" s="266">
        <f t="shared" si="7"/>
        <v>-1</v>
      </c>
      <c r="O13" s="266">
        <f t="shared" si="7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79">
        <v>0</v>
      </c>
      <c r="AD13" s="379">
        <v>4266.01</v>
      </c>
      <c r="AE13" s="380" t="str">
        <f t="shared" si="8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f t="shared" si="6"/>
        <v>398.46</v>
      </c>
      <c r="M14" s="185">
        <v>398.46</v>
      </c>
      <c r="N14" s="266">
        <f t="shared" si="7"/>
        <v>-1</v>
      </c>
      <c r="O14" s="266">
        <f t="shared" si="7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79">
        <v>0</v>
      </c>
      <c r="AD14" s="379">
        <v>398.46</v>
      </c>
      <c r="AE14" s="380" t="str">
        <f t="shared" si="8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f t="shared" si="6"/>
        <v>6141.6699999999992</v>
      </c>
      <c r="M15" s="185">
        <v>6141.6699999999992</v>
      </c>
      <c r="N15" s="266">
        <v>0</v>
      </c>
      <c r="O15" s="266">
        <f t="shared" si="7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79">
        <v>5200</v>
      </c>
      <c r="AD15" s="379">
        <v>6141.6699999999992</v>
      </c>
      <c r="AE15" s="380" t="str">
        <f t="shared" si="8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f t="shared" si="6"/>
        <v>134.19</v>
      </c>
      <c r="M16" s="185">
        <v>134.19</v>
      </c>
      <c r="N16" s="266">
        <f t="shared" si="7"/>
        <v>-1</v>
      </c>
      <c r="O16" s="266">
        <f t="shared" si="7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79">
        <v>500</v>
      </c>
      <c r="AD16" s="379">
        <v>134.19</v>
      </c>
      <c r="AE16" s="380" t="str">
        <f t="shared" si="8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f t="shared" si="6"/>
        <v>57.78</v>
      </c>
      <c r="M17" s="185">
        <v>57.78</v>
      </c>
      <c r="N17" s="266">
        <f t="shared" si="7"/>
        <v>-1</v>
      </c>
      <c r="O17" s="266">
        <f t="shared" si="7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79">
        <v>0</v>
      </c>
      <c r="AD17" s="379">
        <v>57.78</v>
      </c>
      <c r="AE17" s="380" t="str">
        <f t="shared" si="8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f t="shared" si="6"/>
        <v>12.89</v>
      </c>
      <c r="M18" s="185">
        <v>12.89</v>
      </c>
      <c r="N18" s="266">
        <f t="shared" si="7"/>
        <v>-1</v>
      </c>
      <c r="O18" s="266">
        <f t="shared" si="7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79">
        <v>0</v>
      </c>
      <c r="AD18" s="379">
        <v>12.89</v>
      </c>
      <c r="AE18" s="380" t="str">
        <f t="shared" si="8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f>M19</f>
        <v>34232.69</v>
      </c>
      <c r="M19" s="185">
        <v>34232.69</v>
      </c>
      <c r="N19" s="266">
        <f t="shared" si="7"/>
        <v>-1</v>
      </c>
      <c r="O19" s="266">
        <f t="shared" si="7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99845.345833333326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79">
        <v>40000</v>
      </c>
      <c r="AD19" s="379">
        <v>34232.69</v>
      </c>
      <c r="AE19" s="380" t="str">
        <f t="shared" si="8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1</v>
      </c>
      <c r="I20" s="126">
        <v>1</v>
      </c>
      <c r="J20" s="177">
        <v>1</v>
      </c>
      <c r="K20" s="177">
        <v>1</v>
      </c>
      <c r="L20" s="185">
        <f t="shared" si="6"/>
        <v>154.09</v>
      </c>
      <c r="M20" s="185">
        <v>154.09</v>
      </c>
      <c r="N20" s="266">
        <f t="shared" si="7"/>
        <v>-1</v>
      </c>
      <c r="O20" s="266">
        <f t="shared" si="7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449.42916666666662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79">
        <v>2000</v>
      </c>
      <c r="AD20" s="379">
        <v>154.09</v>
      </c>
      <c r="AE20" s="380" t="str">
        <f t="shared" si="8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f t="shared" si="6"/>
        <v>0</v>
      </c>
      <c r="M21" s="185">
        <v>0</v>
      </c>
      <c r="N21" s="266">
        <f t="shared" si="7"/>
        <v>0</v>
      </c>
      <c r="O21" s="266">
        <f t="shared" si="7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79">
        <v>0</v>
      </c>
      <c r="AD21" s="379">
        <v>0</v>
      </c>
      <c r="AE21" s="380" t="str">
        <f t="shared" si="8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f t="shared" si="6"/>
        <v>1044.53</v>
      </c>
      <c r="M22" s="185">
        <v>1044.53</v>
      </c>
      <c r="N22" s="266">
        <f t="shared" si="7"/>
        <v>0</v>
      </c>
      <c r="O22" s="266">
        <f t="shared" si="7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79">
        <v>1500</v>
      </c>
      <c r="AD22" s="379">
        <v>1044.53</v>
      </c>
      <c r="AE22" s="380" t="str">
        <f t="shared" si="8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f t="shared" si="6"/>
        <v>0</v>
      </c>
      <c r="M23" s="185">
        <v>0</v>
      </c>
      <c r="N23" s="266">
        <f t="shared" si="7"/>
        <v>-1</v>
      </c>
      <c r="O23" s="266">
        <f t="shared" si="7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79">
        <v>0</v>
      </c>
      <c r="AD23" s="379">
        <v>0</v>
      </c>
      <c r="AE23" s="380" t="str">
        <f t="shared" si="8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f t="shared" si="6"/>
        <v>113.93999999999998</v>
      </c>
      <c r="M24" s="185">
        <v>113.93999999999998</v>
      </c>
      <c r="N24" s="266">
        <f t="shared" si="7"/>
        <v>-1</v>
      </c>
      <c r="O24" s="266">
        <f t="shared" si="7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79">
        <v>120</v>
      </c>
      <c r="AD24" s="379">
        <v>113.93999999999998</v>
      </c>
      <c r="AE24" s="380" t="str">
        <f t="shared" si="8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f t="shared" si="6"/>
        <v>212.2</v>
      </c>
      <c r="M25" s="189">
        <v>212.2</v>
      </c>
      <c r="N25" s="267">
        <f t="shared" si="7"/>
        <v>0</v>
      </c>
      <c r="O25" s="267">
        <f t="shared" si="7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79">
        <v>150</v>
      </c>
      <c r="AD25" s="379">
        <v>212.2</v>
      </c>
      <c r="AE25" s="380" t="str">
        <f t="shared" si="8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si="6"/>
        <v>0</v>
      </c>
      <c r="M26" s="192">
        <v>10000</v>
      </c>
      <c r="N26" s="268">
        <v>1</v>
      </c>
      <c r="O26" s="268">
        <f t="shared" si="7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79">
        <v>50000</v>
      </c>
      <c r="AD26" s="379"/>
      <c r="AE26" s="380" t="str">
        <f t="shared" si="8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6"/>
        <v>0</v>
      </c>
      <c r="M27" s="194">
        <v>10000</v>
      </c>
      <c r="N27" s="269">
        <f t="shared" si="7"/>
        <v>-1</v>
      </c>
      <c r="O27" s="269">
        <f t="shared" si="7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79">
        <v>40000</v>
      </c>
      <c r="AD27" s="379"/>
      <c r="AE27" s="380" t="str">
        <f t="shared" si="8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6"/>
        <v>0</v>
      </c>
      <c r="M28" s="194">
        <v>10000</v>
      </c>
      <c r="N28" s="269">
        <f t="shared" si="7"/>
        <v>-1</v>
      </c>
      <c r="O28" s="269">
        <f t="shared" si="7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79">
        <v>30000</v>
      </c>
      <c r="AD28" s="379"/>
      <c r="AE28" s="380" t="str">
        <f t="shared" si="8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6"/>
        <v>0</v>
      </c>
      <c r="M29" s="194">
        <v>10000</v>
      </c>
      <c r="N29" s="269">
        <f t="shared" si="7"/>
        <v>-1</v>
      </c>
      <c r="O29" s="269">
        <f t="shared" si="7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79">
        <v>20000</v>
      </c>
      <c r="AD29" s="379"/>
      <c r="AE29" s="380" t="str">
        <f t="shared" si="8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6"/>
        <v>0</v>
      </c>
      <c r="M30" s="196">
        <v>10000</v>
      </c>
      <c r="N30" s="270">
        <f t="shared" si="7"/>
        <v>-1</v>
      </c>
      <c r="O30" s="270">
        <f t="shared" si="7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79">
        <v>10000</v>
      </c>
      <c r="AD30" s="5"/>
      <c r="AE30" s="380" t="str">
        <f t="shared" si="8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9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7">
        <f>COUNTIF(D5:D30,"&gt;0")</f>
        <v>17</v>
      </c>
      <c r="E34" s="102"/>
      <c r="F34" s="102">
        <f>COUNTIF(F5:F33,"&gt;0")</f>
        <v>5</v>
      </c>
      <c r="G34" s="102">
        <f>COUNTIF(G5:G33,"&gt;0")</f>
        <v>8</v>
      </c>
      <c r="H34" s="102">
        <f>COUNTIF(H5:H33,"&gt;0")</f>
        <v>9</v>
      </c>
      <c r="I34" s="102">
        <f>COUNTIF(I5:I33,"&gt;0")</f>
        <v>25</v>
      </c>
      <c r="J34" s="94"/>
      <c r="K34" s="94"/>
      <c r="L34" s="297">
        <f>SUMPRODUCT(D5:D30,L5:L30)</f>
        <v>97112.968999999997</v>
      </c>
      <c r="M34" s="297">
        <f>SUMPRODUCT(D5:D30,M5:M30)</f>
        <v>97112.968999999997</v>
      </c>
      <c r="N34" s="94"/>
      <c r="O34" s="94"/>
      <c r="P34" s="94"/>
      <c r="Q34" s="94"/>
      <c r="R34" s="94"/>
      <c r="S34" s="103"/>
      <c r="T34" s="106"/>
      <c r="U34" s="94"/>
      <c r="V34" s="297">
        <f>SUMPRODUCT(D5:D25,V5:V25)</f>
        <v>275391.64624999993</v>
      </c>
      <c r="W34" s="16">
        <f>V34/L34</f>
        <v>2.8357864977848628</v>
      </c>
      <c r="X34" s="9">
        <f>W34*3.6</f>
        <v>10.208831392025507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1" customFormat="1" hidden="1" outlineLevel="1" x14ac:dyDescent="0.25">
      <c r="B41" s="251" t="str" cm="1">
        <f t="array" ref="B41:B66">Affaldsfraktioner</f>
        <v>DepoSort</v>
      </c>
      <c r="C41" s="22" t="s">
        <v>255</v>
      </c>
      <c r="D41" s="252">
        <f t="shared" ref="D41:D66" si="10">IF(AND($I5&lt;&gt;0,$H5=0),$M5/12,$M5)</f>
        <v>12915.299999999997</v>
      </c>
      <c r="E41" s="253">
        <f t="shared" ref="E41:AM48" si="11">IF(AND($I5&lt;&gt;0,$H5=0),$M5/12,$M5)</f>
        <v>12915.299999999997</v>
      </c>
      <c r="F41" s="253">
        <f t="shared" si="11"/>
        <v>12915.299999999997</v>
      </c>
      <c r="G41" s="253">
        <f t="shared" si="11"/>
        <v>12915.299999999997</v>
      </c>
      <c r="H41" s="253">
        <f t="shared" si="11"/>
        <v>12915.299999999997</v>
      </c>
      <c r="I41" s="253">
        <f t="shared" si="11"/>
        <v>12915.299999999997</v>
      </c>
      <c r="J41" s="253">
        <f t="shared" si="11"/>
        <v>12915.299999999997</v>
      </c>
      <c r="K41" s="253">
        <f t="shared" si="11"/>
        <v>12915.299999999997</v>
      </c>
      <c r="L41" s="253">
        <f t="shared" si="11"/>
        <v>12915.299999999997</v>
      </c>
      <c r="M41" s="253">
        <f t="shared" si="11"/>
        <v>12915.299999999997</v>
      </c>
      <c r="N41" s="253">
        <f t="shared" si="11"/>
        <v>12915.299999999997</v>
      </c>
      <c r="O41" s="253">
        <f t="shared" si="11"/>
        <v>12915.299999999997</v>
      </c>
      <c r="P41" s="252">
        <f t="shared" si="11"/>
        <v>12915.299999999997</v>
      </c>
      <c r="Q41" s="253">
        <f t="shared" si="11"/>
        <v>12915.299999999997</v>
      </c>
      <c r="R41" s="253">
        <f t="shared" si="11"/>
        <v>12915.299999999997</v>
      </c>
      <c r="S41" s="253">
        <f t="shared" si="11"/>
        <v>12915.299999999997</v>
      </c>
      <c r="T41" s="253">
        <f t="shared" si="11"/>
        <v>12915.299999999997</v>
      </c>
      <c r="U41" s="253">
        <f t="shared" si="11"/>
        <v>12915.299999999997</v>
      </c>
      <c r="V41" s="253">
        <f t="shared" si="11"/>
        <v>12915.299999999997</v>
      </c>
      <c r="W41" s="253">
        <f t="shared" si="11"/>
        <v>12915.299999999997</v>
      </c>
      <c r="X41" s="253">
        <f t="shared" si="11"/>
        <v>12915.299999999997</v>
      </c>
      <c r="Y41" s="253">
        <f t="shared" si="11"/>
        <v>12915.299999999997</v>
      </c>
      <c r="Z41" s="253">
        <f t="shared" si="11"/>
        <v>12915.299999999997</v>
      </c>
      <c r="AA41" s="253">
        <f t="shared" si="11"/>
        <v>12915.299999999997</v>
      </c>
      <c r="AB41" s="252">
        <f t="shared" si="11"/>
        <v>12915.299999999997</v>
      </c>
      <c r="AC41" s="253">
        <f t="shared" si="11"/>
        <v>12915.299999999997</v>
      </c>
      <c r="AD41" s="253">
        <f t="shared" si="11"/>
        <v>12915.299999999997</v>
      </c>
      <c r="AE41" s="253">
        <f t="shared" si="11"/>
        <v>12915.299999999997</v>
      </c>
      <c r="AF41" s="253">
        <f t="shared" si="11"/>
        <v>12915.299999999997</v>
      </c>
      <c r="AG41" s="253">
        <f t="shared" si="11"/>
        <v>12915.299999999997</v>
      </c>
      <c r="AH41" s="253">
        <f t="shared" si="11"/>
        <v>12915.299999999997</v>
      </c>
      <c r="AI41" s="253">
        <f t="shared" si="11"/>
        <v>12915.299999999997</v>
      </c>
      <c r="AJ41" s="253">
        <f t="shared" si="11"/>
        <v>12915.299999999997</v>
      </c>
      <c r="AK41" s="253">
        <f t="shared" si="11"/>
        <v>12915.299999999997</v>
      </c>
      <c r="AL41" s="253">
        <f t="shared" si="11"/>
        <v>12915.299999999997</v>
      </c>
      <c r="AM41" s="253">
        <f t="shared" si="11"/>
        <v>12915.299999999997</v>
      </c>
    </row>
    <row r="42" spans="1:42" s="251" customFormat="1" hidden="1" outlineLevel="1" x14ac:dyDescent="0.25">
      <c r="B42" s="251" t="str">
        <v>DepoSmaat</v>
      </c>
      <c r="C42" s="22" t="s">
        <v>255</v>
      </c>
      <c r="D42" s="252">
        <f t="shared" si="10"/>
        <v>0</v>
      </c>
      <c r="E42" s="253">
        <f t="shared" ref="E42:S42" si="12">IF(AND($I6&lt;&gt;0,$H6=0),$M6/12,$M6)</f>
        <v>0</v>
      </c>
      <c r="F42" s="253">
        <f t="shared" si="12"/>
        <v>0</v>
      </c>
      <c r="G42" s="253">
        <f t="shared" si="12"/>
        <v>0</v>
      </c>
      <c r="H42" s="253">
        <f t="shared" si="12"/>
        <v>0</v>
      </c>
      <c r="I42" s="253">
        <f t="shared" si="12"/>
        <v>0</v>
      </c>
      <c r="J42" s="253">
        <f t="shared" si="12"/>
        <v>0</v>
      </c>
      <c r="K42" s="253">
        <f t="shared" si="12"/>
        <v>0</v>
      </c>
      <c r="L42" s="253">
        <f t="shared" si="12"/>
        <v>0</v>
      </c>
      <c r="M42" s="253">
        <f t="shared" si="12"/>
        <v>0</v>
      </c>
      <c r="N42" s="253">
        <f t="shared" si="12"/>
        <v>0</v>
      </c>
      <c r="O42" s="253">
        <f t="shared" si="12"/>
        <v>0</v>
      </c>
      <c r="P42" s="252">
        <f t="shared" si="12"/>
        <v>0</v>
      </c>
      <c r="Q42" s="253">
        <f t="shared" si="12"/>
        <v>0</v>
      </c>
      <c r="R42" s="253">
        <f t="shared" si="12"/>
        <v>0</v>
      </c>
      <c r="S42" s="253">
        <f t="shared" si="12"/>
        <v>0</v>
      </c>
      <c r="T42" s="253">
        <f t="shared" si="11"/>
        <v>0</v>
      </c>
      <c r="U42" s="253">
        <f t="shared" si="11"/>
        <v>0</v>
      </c>
      <c r="V42" s="253">
        <f t="shared" si="11"/>
        <v>0</v>
      </c>
      <c r="W42" s="253">
        <f t="shared" si="11"/>
        <v>0</v>
      </c>
      <c r="X42" s="253">
        <f t="shared" si="11"/>
        <v>0</v>
      </c>
      <c r="Y42" s="253">
        <f t="shared" si="11"/>
        <v>0</v>
      </c>
      <c r="Z42" s="253">
        <f t="shared" si="11"/>
        <v>0</v>
      </c>
      <c r="AA42" s="253">
        <f t="shared" si="11"/>
        <v>0</v>
      </c>
      <c r="AB42" s="252">
        <f t="shared" si="11"/>
        <v>0</v>
      </c>
      <c r="AC42" s="253">
        <f t="shared" si="11"/>
        <v>0</v>
      </c>
      <c r="AD42" s="253">
        <f t="shared" si="11"/>
        <v>0</v>
      </c>
      <c r="AE42" s="253">
        <f t="shared" si="11"/>
        <v>0</v>
      </c>
      <c r="AF42" s="253">
        <f t="shared" si="11"/>
        <v>0</v>
      </c>
      <c r="AG42" s="253">
        <f t="shared" si="11"/>
        <v>0</v>
      </c>
      <c r="AH42" s="253">
        <f t="shared" si="11"/>
        <v>0</v>
      </c>
      <c r="AI42" s="253">
        <f t="shared" si="11"/>
        <v>0</v>
      </c>
      <c r="AJ42" s="253">
        <f t="shared" si="11"/>
        <v>0</v>
      </c>
      <c r="AK42" s="253">
        <f t="shared" si="11"/>
        <v>0</v>
      </c>
      <c r="AL42" s="253">
        <f t="shared" si="11"/>
        <v>0</v>
      </c>
      <c r="AM42" s="253">
        <f t="shared" si="11"/>
        <v>0</v>
      </c>
    </row>
    <row r="43" spans="1:42" s="251" customFormat="1" hidden="1" outlineLevel="1" x14ac:dyDescent="0.25">
      <c r="B43" s="251" t="str">
        <v>DepoNedd</v>
      </c>
      <c r="C43" s="22" t="s">
        <v>255</v>
      </c>
      <c r="D43" s="252">
        <f t="shared" si="10"/>
        <v>0</v>
      </c>
      <c r="E43" s="253">
        <f t="shared" si="11"/>
        <v>0</v>
      </c>
      <c r="F43" s="253">
        <f t="shared" si="11"/>
        <v>0</v>
      </c>
      <c r="G43" s="253">
        <f t="shared" si="11"/>
        <v>0</v>
      </c>
      <c r="H43" s="253">
        <f t="shared" si="11"/>
        <v>0</v>
      </c>
      <c r="I43" s="253">
        <f t="shared" si="11"/>
        <v>0</v>
      </c>
      <c r="J43" s="253">
        <f t="shared" si="11"/>
        <v>0</v>
      </c>
      <c r="K43" s="253">
        <f t="shared" si="11"/>
        <v>0</v>
      </c>
      <c r="L43" s="253">
        <f t="shared" si="11"/>
        <v>0</v>
      </c>
      <c r="M43" s="253">
        <f t="shared" si="11"/>
        <v>0</v>
      </c>
      <c r="N43" s="253">
        <f t="shared" si="11"/>
        <v>0</v>
      </c>
      <c r="O43" s="253">
        <f t="shared" si="11"/>
        <v>0</v>
      </c>
      <c r="P43" s="252">
        <f t="shared" si="11"/>
        <v>0</v>
      </c>
      <c r="Q43" s="253">
        <f t="shared" si="11"/>
        <v>0</v>
      </c>
      <c r="R43" s="253">
        <f t="shared" si="11"/>
        <v>0</v>
      </c>
      <c r="S43" s="253">
        <f t="shared" si="11"/>
        <v>0</v>
      </c>
      <c r="T43" s="253">
        <f t="shared" si="11"/>
        <v>0</v>
      </c>
      <c r="U43" s="253">
        <f t="shared" si="11"/>
        <v>0</v>
      </c>
      <c r="V43" s="253">
        <f t="shared" si="11"/>
        <v>0</v>
      </c>
      <c r="W43" s="253">
        <f t="shared" si="11"/>
        <v>0</v>
      </c>
      <c r="X43" s="253">
        <f t="shared" si="11"/>
        <v>0</v>
      </c>
      <c r="Y43" s="253">
        <f t="shared" si="11"/>
        <v>0</v>
      </c>
      <c r="Z43" s="253">
        <f t="shared" si="11"/>
        <v>0</v>
      </c>
      <c r="AA43" s="253">
        <f t="shared" si="11"/>
        <v>0</v>
      </c>
      <c r="AB43" s="252">
        <f t="shared" si="11"/>
        <v>0</v>
      </c>
      <c r="AC43" s="253">
        <f t="shared" si="11"/>
        <v>0</v>
      </c>
      <c r="AD43" s="253">
        <f t="shared" si="11"/>
        <v>0</v>
      </c>
      <c r="AE43" s="253">
        <f t="shared" si="11"/>
        <v>0</v>
      </c>
      <c r="AF43" s="253">
        <f t="shared" si="11"/>
        <v>0</v>
      </c>
      <c r="AG43" s="253">
        <f t="shared" si="11"/>
        <v>0</v>
      </c>
      <c r="AH43" s="253">
        <f t="shared" si="11"/>
        <v>0</v>
      </c>
      <c r="AI43" s="253">
        <f t="shared" si="11"/>
        <v>0</v>
      </c>
      <c r="AJ43" s="253">
        <f t="shared" si="11"/>
        <v>0</v>
      </c>
      <c r="AK43" s="253">
        <f t="shared" si="11"/>
        <v>0</v>
      </c>
      <c r="AL43" s="253">
        <f t="shared" si="11"/>
        <v>0</v>
      </c>
      <c r="AM43" s="253">
        <f t="shared" si="11"/>
        <v>0</v>
      </c>
    </row>
    <row r="44" spans="1:42" s="251" customFormat="1" hidden="1" outlineLevel="1" x14ac:dyDescent="0.25">
      <c r="B44" s="251" t="str">
        <v>Dagren</v>
      </c>
      <c r="C44" s="22" t="s">
        <v>255</v>
      </c>
      <c r="D44" s="252">
        <f t="shared" si="10"/>
        <v>2397.2316666666666</v>
      </c>
      <c r="E44" s="253">
        <f t="shared" si="11"/>
        <v>2397.2316666666666</v>
      </c>
      <c r="F44" s="253">
        <f t="shared" si="11"/>
        <v>2397.2316666666666</v>
      </c>
      <c r="G44" s="253">
        <f t="shared" si="11"/>
        <v>2397.2316666666666</v>
      </c>
      <c r="H44" s="253">
        <f t="shared" si="11"/>
        <v>2397.2316666666666</v>
      </c>
      <c r="I44" s="253">
        <f t="shared" si="11"/>
        <v>2397.2316666666666</v>
      </c>
      <c r="J44" s="253">
        <f t="shared" si="11"/>
        <v>2397.2316666666666</v>
      </c>
      <c r="K44" s="253">
        <f t="shared" si="11"/>
        <v>2397.2316666666666</v>
      </c>
      <c r="L44" s="253">
        <f t="shared" si="11"/>
        <v>2397.2316666666666</v>
      </c>
      <c r="M44" s="253">
        <f t="shared" si="11"/>
        <v>2397.2316666666666</v>
      </c>
      <c r="N44" s="253">
        <f t="shared" si="11"/>
        <v>2397.2316666666666</v>
      </c>
      <c r="O44" s="253">
        <f t="shared" si="11"/>
        <v>2397.2316666666666</v>
      </c>
      <c r="P44" s="252">
        <f t="shared" si="11"/>
        <v>2397.2316666666666</v>
      </c>
      <c r="Q44" s="253">
        <f t="shared" si="11"/>
        <v>2397.2316666666666</v>
      </c>
      <c r="R44" s="253">
        <f t="shared" si="11"/>
        <v>2397.2316666666666</v>
      </c>
      <c r="S44" s="253">
        <f t="shared" si="11"/>
        <v>2397.2316666666666</v>
      </c>
      <c r="T44" s="253">
        <f t="shared" si="11"/>
        <v>2397.2316666666666</v>
      </c>
      <c r="U44" s="253">
        <f t="shared" si="11"/>
        <v>2397.2316666666666</v>
      </c>
      <c r="V44" s="253">
        <f t="shared" si="11"/>
        <v>2397.2316666666666</v>
      </c>
      <c r="W44" s="253">
        <f t="shared" si="11"/>
        <v>2397.2316666666666</v>
      </c>
      <c r="X44" s="253">
        <f t="shared" si="11"/>
        <v>2397.2316666666666</v>
      </c>
      <c r="Y44" s="253">
        <f t="shared" si="11"/>
        <v>2397.2316666666666</v>
      </c>
      <c r="Z44" s="253">
        <f t="shared" si="11"/>
        <v>2397.2316666666666</v>
      </c>
      <c r="AA44" s="253">
        <f t="shared" si="11"/>
        <v>2397.2316666666666</v>
      </c>
      <c r="AB44" s="252">
        <f t="shared" si="11"/>
        <v>2397.2316666666666</v>
      </c>
      <c r="AC44" s="253">
        <f t="shared" si="11"/>
        <v>2397.2316666666666</v>
      </c>
      <c r="AD44" s="253">
        <f t="shared" si="11"/>
        <v>2397.2316666666666</v>
      </c>
      <c r="AE44" s="253">
        <f t="shared" si="11"/>
        <v>2397.2316666666666</v>
      </c>
      <c r="AF44" s="253">
        <f t="shared" si="11"/>
        <v>2397.2316666666666</v>
      </c>
      <c r="AG44" s="253">
        <f t="shared" si="11"/>
        <v>2397.2316666666666</v>
      </c>
      <c r="AH44" s="253">
        <f t="shared" si="11"/>
        <v>2397.2316666666666</v>
      </c>
      <c r="AI44" s="253">
        <f t="shared" si="11"/>
        <v>2397.2316666666666</v>
      </c>
      <c r="AJ44" s="253">
        <f t="shared" si="11"/>
        <v>2397.2316666666666</v>
      </c>
      <c r="AK44" s="253">
        <f t="shared" si="11"/>
        <v>2397.2316666666666</v>
      </c>
      <c r="AL44" s="253">
        <f t="shared" si="11"/>
        <v>2397.2316666666666</v>
      </c>
      <c r="AM44" s="253">
        <f t="shared" si="11"/>
        <v>2397.2316666666666</v>
      </c>
    </row>
    <row r="45" spans="1:42" s="251" customFormat="1" hidden="1" outlineLevel="1" x14ac:dyDescent="0.25">
      <c r="B45" s="251" t="str">
        <v>AndetBrand</v>
      </c>
      <c r="C45" s="22" t="s">
        <v>255</v>
      </c>
      <c r="D45" s="252">
        <f t="shared" si="10"/>
        <v>352.70075000000003</v>
      </c>
      <c r="E45" s="253">
        <f t="shared" si="11"/>
        <v>352.70075000000003</v>
      </c>
      <c r="F45" s="253">
        <f t="shared" si="11"/>
        <v>352.70075000000003</v>
      </c>
      <c r="G45" s="253">
        <f t="shared" si="11"/>
        <v>352.70075000000003</v>
      </c>
      <c r="H45" s="253">
        <f t="shared" si="11"/>
        <v>352.70075000000003</v>
      </c>
      <c r="I45" s="253">
        <f t="shared" si="11"/>
        <v>352.70075000000003</v>
      </c>
      <c r="J45" s="253">
        <f t="shared" si="11"/>
        <v>352.70075000000003</v>
      </c>
      <c r="K45" s="253">
        <f t="shared" si="11"/>
        <v>352.70075000000003</v>
      </c>
      <c r="L45" s="253">
        <f t="shared" si="11"/>
        <v>352.70075000000003</v>
      </c>
      <c r="M45" s="253">
        <f t="shared" si="11"/>
        <v>352.70075000000003</v>
      </c>
      <c r="N45" s="253">
        <f t="shared" si="11"/>
        <v>352.70075000000003</v>
      </c>
      <c r="O45" s="253">
        <f t="shared" si="11"/>
        <v>352.70075000000003</v>
      </c>
      <c r="P45" s="252">
        <f t="shared" si="11"/>
        <v>352.70075000000003</v>
      </c>
      <c r="Q45" s="253">
        <f t="shared" si="11"/>
        <v>352.70075000000003</v>
      </c>
      <c r="R45" s="253">
        <f t="shared" si="11"/>
        <v>352.70075000000003</v>
      </c>
      <c r="S45" s="253">
        <f t="shared" si="11"/>
        <v>352.70075000000003</v>
      </c>
      <c r="T45" s="253">
        <f t="shared" si="11"/>
        <v>352.70075000000003</v>
      </c>
      <c r="U45" s="253">
        <f t="shared" si="11"/>
        <v>352.70075000000003</v>
      </c>
      <c r="V45" s="253">
        <f t="shared" si="11"/>
        <v>352.70075000000003</v>
      </c>
      <c r="W45" s="253">
        <f t="shared" si="11"/>
        <v>352.70075000000003</v>
      </c>
      <c r="X45" s="253">
        <f t="shared" si="11"/>
        <v>352.70075000000003</v>
      </c>
      <c r="Y45" s="253">
        <f t="shared" si="11"/>
        <v>352.70075000000003</v>
      </c>
      <c r="Z45" s="253">
        <f t="shared" si="11"/>
        <v>352.70075000000003</v>
      </c>
      <c r="AA45" s="253">
        <f t="shared" si="11"/>
        <v>352.70075000000003</v>
      </c>
      <c r="AB45" s="252">
        <f t="shared" si="11"/>
        <v>352.70075000000003</v>
      </c>
      <c r="AC45" s="253">
        <f t="shared" si="11"/>
        <v>352.70075000000003</v>
      </c>
      <c r="AD45" s="253">
        <f t="shared" si="11"/>
        <v>352.70075000000003</v>
      </c>
      <c r="AE45" s="253">
        <f t="shared" si="11"/>
        <v>352.70075000000003</v>
      </c>
      <c r="AF45" s="253">
        <f t="shared" si="11"/>
        <v>352.70075000000003</v>
      </c>
      <c r="AG45" s="253">
        <f t="shared" si="11"/>
        <v>352.70075000000003</v>
      </c>
      <c r="AH45" s="253">
        <f t="shared" si="11"/>
        <v>352.70075000000003</v>
      </c>
      <c r="AI45" s="253">
        <f t="shared" si="11"/>
        <v>352.70075000000003</v>
      </c>
      <c r="AJ45" s="253">
        <f t="shared" si="11"/>
        <v>352.70075000000003</v>
      </c>
      <c r="AK45" s="253">
        <f t="shared" si="11"/>
        <v>352.70075000000003</v>
      </c>
      <c r="AL45" s="253">
        <f t="shared" si="11"/>
        <v>352.70075000000003</v>
      </c>
      <c r="AM45" s="253">
        <f t="shared" si="11"/>
        <v>352.70075000000003</v>
      </c>
    </row>
    <row r="46" spans="1:42" s="251" customFormat="1" hidden="1" outlineLevel="1" x14ac:dyDescent="0.25">
      <c r="B46" s="251" t="str">
        <v>Trae</v>
      </c>
      <c r="C46" s="22" t="s">
        <v>255</v>
      </c>
      <c r="D46" s="252">
        <f t="shared" si="10"/>
        <v>2.7791666666666668</v>
      </c>
      <c r="E46" s="253">
        <f t="shared" si="11"/>
        <v>2.7791666666666668</v>
      </c>
      <c r="F46" s="253">
        <f t="shared" si="11"/>
        <v>2.7791666666666668</v>
      </c>
      <c r="G46" s="253">
        <f t="shared" si="11"/>
        <v>2.7791666666666668</v>
      </c>
      <c r="H46" s="253">
        <f t="shared" si="11"/>
        <v>2.7791666666666668</v>
      </c>
      <c r="I46" s="253">
        <f t="shared" si="11"/>
        <v>2.7791666666666668</v>
      </c>
      <c r="J46" s="253">
        <f t="shared" si="11"/>
        <v>2.7791666666666668</v>
      </c>
      <c r="K46" s="253">
        <f t="shared" si="11"/>
        <v>2.7791666666666668</v>
      </c>
      <c r="L46" s="253">
        <f t="shared" si="11"/>
        <v>2.7791666666666668</v>
      </c>
      <c r="M46" s="253">
        <f t="shared" si="11"/>
        <v>2.7791666666666668</v>
      </c>
      <c r="N46" s="253">
        <f t="shared" si="11"/>
        <v>2.7791666666666668</v>
      </c>
      <c r="O46" s="253">
        <f t="shared" si="11"/>
        <v>2.7791666666666668</v>
      </c>
      <c r="P46" s="252">
        <f t="shared" si="11"/>
        <v>2.7791666666666668</v>
      </c>
      <c r="Q46" s="253">
        <f t="shared" si="11"/>
        <v>2.7791666666666668</v>
      </c>
      <c r="R46" s="253">
        <f t="shared" si="11"/>
        <v>2.7791666666666668</v>
      </c>
      <c r="S46" s="253">
        <f t="shared" si="11"/>
        <v>2.7791666666666668</v>
      </c>
      <c r="T46" s="253">
        <f t="shared" si="11"/>
        <v>2.7791666666666668</v>
      </c>
      <c r="U46" s="253">
        <f t="shared" si="11"/>
        <v>2.7791666666666668</v>
      </c>
      <c r="V46" s="253">
        <f t="shared" si="11"/>
        <v>2.7791666666666668</v>
      </c>
      <c r="W46" s="253">
        <f t="shared" si="11"/>
        <v>2.7791666666666668</v>
      </c>
      <c r="X46" s="253">
        <f t="shared" si="11"/>
        <v>2.7791666666666668</v>
      </c>
      <c r="Y46" s="253">
        <f t="shared" si="11"/>
        <v>2.7791666666666668</v>
      </c>
      <c r="Z46" s="253">
        <f t="shared" si="11"/>
        <v>2.7791666666666668</v>
      </c>
      <c r="AA46" s="253">
        <f t="shared" si="11"/>
        <v>2.7791666666666668</v>
      </c>
      <c r="AB46" s="252">
        <f t="shared" si="11"/>
        <v>2.7791666666666668</v>
      </c>
      <c r="AC46" s="253">
        <f t="shared" si="11"/>
        <v>2.7791666666666668</v>
      </c>
      <c r="AD46" s="253">
        <f t="shared" si="11"/>
        <v>2.7791666666666668</v>
      </c>
      <c r="AE46" s="253">
        <f t="shared" si="11"/>
        <v>2.7791666666666668</v>
      </c>
      <c r="AF46" s="253">
        <f t="shared" si="11"/>
        <v>2.7791666666666668</v>
      </c>
      <c r="AG46" s="253">
        <f t="shared" si="11"/>
        <v>2.7791666666666668</v>
      </c>
      <c r="AH46" s="253">
        <f t="shared" si="11"/>
        <v>2.7791666666666668</v>
      </c>
      <c r="AI46" s="253">
        <f t="shared" si="11"/>
        <v>2.7791666666666668</v>
      </c>
      <c r="AJ46" s="253">
        <f t="shared" si="11"/>
        <v>2.7791666666666668</v>
      </c>
      <c r="AK46" s="253">
        <f t="shared" si="11"/>
        <v>2.7791666666666668</v>
      </c>
      <c r="AL46" s="253">
        <f t="shared" si="11"/>
        <v>2.7791666666666668</v>
      </c>
      <c r="AM46" s="253">
        <f t="shared" si="11"/>
        <v>2.7791666666666668</v>
      </c>
    </row>
    <row r="47" spans="1:42" s="251" customFormat="1" hidden="1" outlineLevel="1" x14ac:dyDescent="0.25">
      <c r="B47" s="251" t="str">
        <v>DagrenRast</v>
      </c>
      <c r="C47" s="22" t="s">
        <v>255</v>
      </c>
      <c r="D47" s="252">
        <f t="shared" si="10"/>
        <v>357.48166666666663</v>
      </c>
      <c r="E47" s="253">
        <f t="shared" si="11"/>
        <v>357.48166666666663</v>
      </c>
      <c r="F47" s="253">
        <f t="shared" si="11"/>
        <v>357.48166666666663</v>
      </c>
      <c r="G47" s="253">
        <f t="shared" si="11"/>
        <v>357.48166666666663</v>
      </c>
      <c r="H47" s="253">
        <f t="shared" si="11"/>
        <v>357.48166666666663</v>
      </c>
      <c r="I47" s="253">
        <f t="shared" si="11"/>
        <v>357.48166666666663</v>
      </c>
      <c r="J47" s="253">
        <f t="shared" si="11"/>
        <v>357.48166666666663</v>
      </c>
      <c r="K47" s="253">
        <f t="shared" si="11"/>
        <v>357.48166666666663</v>
      </c>
      <c r="L47" s="253">
        <f t="shared" si="11"/>
        <v>357.48166666666663</v>
      </c>
      <c r="M47" s="253">
        <f t="shared" si="11"/>
        <v>357.48166666666663</v>
      </c>
      <c r="N47" s="253">
        <f t="shared" si="11"/>
        <v>357.48166666666663</v>
      </c>
      <c r="O47" s="253">
        <f t="shared" si="11"/>
        <v>357.48166666666663</v>
      </c>
      <c r="P47" s="252">
        <f t="shared" si="11"/>
        <v>357.48166666666663</v>
      </c>
      <c r="Q47" s="253">
        <f t="shared" si="11"/>
        <v>357.48166666666663</v>
      </c>
      <c r="R47" s="253">
        <f t="shared" si="11"/>
        <v>357.48166666666663</v>
      </c>
      <c r="S47" s="253">
        <f t="shared" si="11"/>
        <v>357.48166666666663</v>
      </c>
      <c r="T47" s="253">
        <f t="shared" si="11"/>
        <v>357.48166666666663</v>
      </c>
      <c r="U47" s="253">
        <f t="shared" si="11"/>
        <v>357.48166666666663</v>
      </c>
      <c r="V47" s="253">
        <f t="shared" si="11"/>
        <v>357.48166666666663</v>
      </c>
      <c r="W47" s="253">
        <f t="shared" si="11"/>
        <v>357.48166666666663</v>
      </c>
      <c r="X47" s="253">
        <f t="shared" si="11"/>
        <v>357.48166666666663</v>
      </c>
      <c r="Y47" s="253">
        <f t="shared" si="11"/>
        <v>357.48166666666663</v>
      </c>
      <c r="Z47" s="253">
        <f t="shared" si="11"/>
        <v>357.48166666666663</v>
      </c>
      <c r="AA47" s="253">
        <f t="shared" si="11"/>
        <v>357.48166666666663</v>
      </c>
      <c r="AB47" s="252">
        <f t="shared" si="11"/>
        <v>357.48166666666663</v>
      </c>
      <c r="AC47" s="253">
        <f t="shared" si="11"/>
        <v>357.48166666666663</v>
      </c>
      <c r="AD47" s="253">
        <f t="shared" si="11"/>
        <v>357.48166666666663</v>
      </c>
      <c r="AE47" s="253">
        <f t="shared" si="11"/>
        <v>357.48166666666663</v>
      </c>
      <c r="AF47" s="253">
        <f t="shared" si="11"/>
        <v>357.48166666666663</v>
      </c>
      <c r="AG47" s="253">
        <f t="shared" si="11"/>
        <v>357.48166666666663</v>
      </c>
      <c r="AH47" s="253">
        <f t="shared" si="11"/>
        <v>357.48166666666663</v>
      </c>
      <c r="AI47" s="253">
        <f t="shared" si="11"/>
        <v>357.48166666666663</v>
      </c>
      <c r="AJ47" s="253">
        <f t="shared" si="11"/>
        <v>357.48166666666663</v>
      </c>
      <c r="AK47" s="253">
        <f t="shared" si="11"/>
        <v>357.48166666666663</v>
      </c>
      <c r="AL47" s="253">
        <f t="shared" si="11"/>
        <v>357.48166666666663</v>
      </c>
      <c r="AM47" s="253">
        <f t="shared" si="11"/>
        <v>357.48166666666663</v>
      </c>
    </row>
    <row r="48" spans="1:42" s="251" customFormat="1" hidden="1" outlineLevel="1" x14ac:dyDescent="0.25">
      <c r="B48" s="251" t="str">
        <v>DagrenInst</v>
      </c>
      <c r="C48" s="22" t="s">
        <v>255</v>
      </c>
      <c r="D48" s="252">
        <f t="shared" si="10"/>
        <v>8.9083333333333314</v>
      </c>
      <c r="E48" s="253">
        <f t="shared" si="11"/>
        <v>8.9083333333333314</v>
      </c>
      <c r="F48" s="253">
        <f t="shared" si="11"/>
        <v>8.9083333333333314</v>
      </c>
      <c r="G48" s="253">
        <f t="shared" si="11"/>
        <v>8.9083333333333314</v>
      </c>
      <c r="H48" s="253">
        <f t="shared" si="11"/>
        <v>8.9083333333333314</v>
      </c>
      <c r="I48" s="253">
        <f t="shared" si="11"/>
        <v>8.9083333333333314</v>
      </c>
      <c r="J48" s="253">
        <f t="shared" si="11"/>
        <v>8.9083333333333314</v>
      </c>
      <c r="K48" s="253">
        <f t="shared" si="11"/>
        <v>8.9083333333333314</v>
      </c>
      <c r="L48" s="253">
        <f t="shared" si="11"/>
        <v>8.9083333333333314</v>
      </c>
      <c r="M48" s="253">
        <f t="shared" si="11"/>
        <v>8.9083333333333314</v>
      </c>
      <c r="N48" s="253">
        <f t="shared" si="11"/>
        <v>8.9083333333333314</v>
      </c>
      <c r="O48" s="253">
        <f t="shared" si="11"/>
        <v>8.9083333333333314</v>
      </c>
      <c r="P48" s="252">
        <f t="shared" si="11"/>
        <v>8.9083333333333314</v>
      </c>
      <c r="Q48" s="253">
        <f t="shared" si="11"/>
        <v>8.9083333333333314</v>
      </c>
      <c r="R48" s="253">
        <f t="shared" si="11"/>
        <v>8.9083333333333314</v>
      </c>
      <c r="S48" s="253">
        <f t="shared" si="11"/>
        <v>8.9083333333333314</v>
      </c>
      <c r="T48" s="253">
        <f t="shared" si="11"/>
        <v>8.9083333333333314</v>
      </c>
      <c r="U48" s="253">
        <f t="shared" si="11"/>
        <v>8.9083333333333314</v>
      </c>
      <c r="V48" s="253">
        <f t="shared" si="11"/>
        <v>8.9083333333333314</v>
      </c>
      <c r="W48" s="253">
        <f t="shared" si="11"/>
        <v>8.9083333333333314</v>
      </c>
      <c r="X48" s="253">
        <f t="shared" si="11"/>
        <v>8.9083333333333314</v>
      </c>
      <c r="Y48" s="253">
        <f t="shared" si="11"/>
        <v>8.9083333333333314</v>
      </c>
      <c r="Z48" s="253">
        <f t="shared" si="11"/>
        <v>8.9083333333333314</v>
      </c>
      <c r="AA48" s="253">
        <f t="shared" si="11"/>
        <v>8.9083333333333314</v>
      </c>
      <c r="AB48" s="252">
        <f t="shared" si="11"/>
        <v>8.9083333333333314</v>
      </c>
      <c r="AC48" s="253">
        <f t="shared" si="11"/>
        <v>8.9083333333333314</v>
      </c>
      <c r="AD48" s="253">
        <f t="shared" ref="E48:AM55" si="13">IF(AND($I12&lt;&gt;0,$H12=0),$M12/12,$M12)</f>
        <v>8.9083333333333314</v>
      </c>
      <c r="AE48" s="253">
        <f t="shared" si="13"/>
        <v>8.9083333333333314</v>
      </c>
      <c r="AF48" s="253">
        <f t="shared" si="13"/>
        <v>8.9083333333333314</v>
      </c>
      <c r="AG48" s="253">
        <f t="shared" si="13"/>
        <v>8.9083333333333314</v>
      </c>
      <c r="AH48" s="253">
        <f t="shared" si="13"/>
        <v>8.9083333333333314</v>
      </c>
      <c r="AI48" s="253">
        <f t="shared" si="13"/>
        <v>8.9083333333333314</v>
      </c>
      <c r="AJ48" s="253">
        <f t="shared" si="13"/>
        <v>8.9083333333333314</v>
      </c>
      <c r="AK48" s="253">
        <f t="shared" si="13"/>
        <v>8.9083333333333314</v>
      </c>
      <c r="AL48" s="253">
        <f t="shared" si="13"/>
        <v>8.9083333333333314</v>
      </c>
      <c r="AM48" s="253">
        <f t="shared" si="13"/>
        <v>8.9083333333333314</v>
      </c>
    </row>
    <row r="49" spans="2:39" s="251" customFormat="1" hidden="1" outlineLevel="1" x14ac:dyDescent="0.25">
      <c r="B49" s="251" t="str">
        <v>DagrenHandel</v>
      </c>
      <c r="C49" s="22" t="s">
        <v>255</v>
      </c>
      <c r="D49" s="252">
        <f t="shared" si="10"/>
        <v>355.50083333333333</v>
      </c>
      <c r="E49" s="253">
        <f t="shared" si="13"/>
        <v>355.50083333333333</v>
      </c>
      <c r="F49" s="253">
        <f t="shared" si="13"/>
        <v>355.50083333333333</v>
      </c>
      <c r="G49" s="253">
        <f t="shared" si="13"/>
        <v>355.50083333333333</v>
      </c>
      <c r="H49" s="253">
        <f t="shared" si="13"/>
        <v>355.50083333333333</v>
      </c>
      <c r="I49" s="253">
        <f t="shared" si="13"/>
        <v>355.50083333333333</v>
      </c>
      <c r="J49" s="253">
        <f t="shared" si="13"/>
        <v>355.50083333333333</v>
      </c>
      <c r="K49" s="253">
        <f t="shared" si="13"/>
        <v>355.50083333333333</v>
      </c>
      <c r="L49" s="253">
        <f t="shared" si="13"/>
        <v>355.50083333333333</v>
      </c>
      <c r="M49" s="253">
        <f t="shared" si="13"/>
        <v>355.50083333333333</v>
      </c>
      <c r="N49" s="253">
        <f t="shared" si="13"/>
        <v>355.50083333333333</v>
      </c>
      <c r="O49" s="253">
        <f t="shared" si="13"/>
        <v>355.50083333333333</v>
      </c>
      <c r="P49" s="252">
        <f t="shared" si="13"/>
        <v>355.50083333333333</v>
      </c>
      <c r="Q49" s="253">
        <f t="shared" si="13"/>
        <v>355.50083333333333</v>
      </c>
      <c r="R49" s="253">
        <f t="shared" si="13"/>
        <v>355.50083333333333</v>
      </c>
      <c r="S49" s="253">
        <f t="shared" si="13"/>
        <v>355.50083333333333</v>
      </c>
      <c r="T49" s="253">
        <f t="shared" si="13"/>
        <v>355.50083333333333</v>
      </c>
      <c r="U49" s="253">
        <f t="shared" si="13"/>
        <v>355.50083333333333</v>
      </c>
      <c r="V49" s="253">
        <f t="shared" si="13"/>
        <v>355.50083333333333</v>
      </c>
      <c r="W49" s="253">
        <f t="shared" si="13"/>
        <v>355.50083333333333</v>
      </c>
      <c r="X49" s="253">
        <f t="shared" si="13"/>
        <v>355.50083333333333</v>
      </c>
      <c r="Y49" s="253">
        <f t="shared" si="13"/>
        <v>355.50083333333333</v>
      </c>
      <c r="Z49" s="253">
        <f t="shared" si="13"/>
        <v>355.50083333333333</v>
      </c>
      <c r="AA49" s="253">
        <f t="shared" si="13"/>
        <v>355.50083333333333</v>
      </c>
      <c r="AB49" s="252">
        <f t="shared" si="13"/>
        <v>355.50083333333333</v>
      </c>
      <c r="AC49" s="253">
        <f t="shared" si="13"/>
        <v>355.50083333333333</v>
      </c>
      <c r="AD49" s="253">
        <f t="shared" si="13"/>
        <v>355.50083333333333</v>
      </c>
      <c r="AE49" s="253">
        <f t="shared" si="13"/>
        <v>355.50083333333333</v>
      </c>
      <c r="AF49" s="253">
        <f t="shared" si="13"/>
        <v>355.50083333333333</v>
      </c>
      <c r="AG49" s="253">
        <f t="shared" si="13"/>
        <v>355.50083333333333</v>
      </c>
      <c r="AH49" s="253">
        <f t="shared" si="13"/>
        <v>355.50083333333333</v>
      </c>
      <c r="AI49" s="253">
        <f t="shared" si="13"/>
        <v>355.50083333333333</v>
      </c>
      <c r="AJ49" s="253">
        <f t="shared" si="13"/>
        <v>355.50083333333333</v>
      </c>
      <c r="AK49" s="253">
        <f t="shared" si="13"/>
        <v>355.50083333333333</v>
      </c>
      <c r="AL49" s="253">
        <f t="shared" si="13"/>
        <v>355.50083333333333</v>
      </c>
      <c r="AM49" s="253">
        <f t="shared" si="13"/>
        <v>355.50083333333333</v>
      </c>
    </row>
    <row r="50" spans="2:39" s="251" customFormat="1" hidden="1" outlineLevel="1" x14ac:dyDescent="0.25">
      <c r="B50" s="251" t="str">
        <v>DagrenRestau</v>
      </c>
      <c r="C50" s="22" t="s">
        <v>255</v>
      </c>
      <c r="D50" s="252">
        <f t="shared" si="10"/>
        <v>33.204999999999998</v>
      </c>
      <c r="E50" s="253">
        <f t="shared" si="13"/>
        <v>33.204999999999998</v>
      </c>
      <c r="F50" s="253">
        <f t="shared" si="13"/>
        <v>33.204999999999998</v>
      </c>
      <c r="G50" s="253">
        <f t="shared" si="13"/>
        <v>33.204999999999998</v>
      </c>
      <c r="H50" s="253">
        <f t="shared" si="13"/>
        <v>33.204999999999998</v>
      </c>
      <c r="I50" s="253">
        <f t="shared" si="13"/>
        <v>33.204999999999998</v>
      </c>
      <c r="J50" s="253">
        <f t="shared" si="13"/>
        <v>33.204999999999998</v>
      </c>
      <c r="K50" s="253">
        <f t="shared" si="13"/>
        <v>33.204999999999998</v>
      </c>
      <c r="L50" s="253">
        <f t="shared" si="13"/>
        <v>33.204999999999998</v>
      </c>
      <c r="M50" s="253">
        <f t="shared" si="13"/>
        <v>33.204999999999998</v>
      </c>
      <c r="N50" s="253">
        <f t="shared" si="13"/>
        <v>33.204999999999998</v>
      </c>
      <c r="O50" s="253">
        <f t="shared" si="13"/>
        <v>33.204999999999998</v>
      </c>
      <c r="P50" s="252">
        <f t="shared" si="13"/>
        <v>33.204999999999998</v>
      </c>
      <c r="Q50" s="253">
        <f t="shared" si="13"/>
        <v>33.204999999999998</v>
      </c>
      <c r="R50" s="253">
        <f t="shared" si="13"/>
        <v>33.204999999999998</v>
      </c>
      <c r="S50" s="253">
        <f t="shared" si="13"/>
        <v>33.204999999999998</v>
      </c>
      <c r="T50" s="253">
        <f t="shared" si="13"/>
        <v>33.204999999999998</v>
      </c>
      <c r="U50" s="253">
        <f t="shared" si="13"/>
        <v>33.204999999999998</v>
      </c>
      <c r="V50" s="253">
        <f t="shared" si="13"/>
        <v>33.204999999999998</v>
      </c>
      <c r="W50" s="253">
        <f t="shared" si="13"/>
        <v>33.204999999999998</v>
      </c>
      <c r="X50" s="253">
        <f t="shared" si="13"/>
        <v>33.204999999999998</v>
      </c>
      <c r="Y50" s="253">
        <f t="shared" si="13"/>
        <v>33.204999999999998</v>
      </c>
      <c r="Z50" s="253">
        <f t="shared" si="13"/>
        <v>33.204999999999998</v>
      </c>
      <c r="AA50" s="253">
        <f t="shared" si="13"/>
        <v>33.204999999999998</v>
      </c>
      <c r="AB50" s="252">
        <f t="shared" si="13"/>
        <v>33.204999999999998</v>
      </c>
      <c r="AC50" s="253">
        <f t="shared" si="13"/>
        <v>33.204999999999998</v>
      </c>
      <c r="AD50" s="253">
        <f t="shared" si="13"/>
        <v>33.204999999999998</v>
      </c>
      <c r="AE50" s="253">
        <f t="shared" si="13"/>
        <v>33.204999999999998</v>
      </c>
      <c r="AF50" s="253">
        <f t="shared" si="13"/>
        <v>33.204999999999998</v>
      </c>
      <c r="AG50" s="253">
        <f t="shared" si="13"/>
        <v>33.204999999999998</v>
      </c>
      <c r="AH50" s="253">
        <f t="shared" si="13"/>
        <v>33.204999999999998</v>
      </c>
      <c r="AI50" s="253">
        <f t="shared" si="13"/>
        <v>33.204999999999998</v>
      </c>
      <c r="AJ50" s="253">
        <f t="shared" si="13"/>
        <v>33.204999999999998</v>
      </c>
      <c r="AK50" s="253">
        <f t="shared" si="13"/>
        <v>33.204999999999998</v>
      </c>
      <c r="AL50" s="253">
        <f t="shared" si="13"/>
        <v>33.204999999999998</v>
      </c>
      <c r="AM50" s="253">
        <f t="shared" si="13"/>
        <v>33.204999999999998</v>
      </c>
    </row>
    <row r="51" spans="2:39" s="251" customFormat="1" hidden="1" outlineLevel="1" x14ac:dyDescent="0.25">
      <c r="B51" s="251" t="str">
        <v>Erhverv</v>
      </c>
      <c r="C51" s="22" t="s">
        <v>255</v>
      </c>
      <c r="D51" s="252">
        <f t="shared" si="10"/>
        <v>511.80583333333328</v>
      </c>
      <c r="E51" s="253">
        <f t="shared" si="13"/>
        <v>511.80583333333328</v>
      </c>
      <c r="F51" s="253">
        <f t="shared" si="13"/>
        <v>511.80583333333328</v>
      </c>
      <c r="G51" s="253">
        <f t="shared" si="13"/>
        <v>511.80583333333328</v>
      </c>
      <c r="H51" s="253">
        <f t="shared" si="13"/>
        <v>511.80583333333328</v>
      </c>
      <c r="I51" s="253">
        <f t="shared" si="13"/>
        <v>511.80583333333328</v>
      </c>
      <c r="J51" s="253">
        <f t="shared" si="13"/>
        <v>511.80583333333328</v>
      </c>
      <c r="K51" s="253">
        <f t="shared" si="13"/>
        <v>511.80583333333328</v>
      </c>
      <c r="L51" s="253">
        <f t="shared" si="13"/>
        <v>511.80583333333328</v>
      </c>
      <c r="M51" s="253">
        <f t="shared" si="13"/>
        <v>511.80583333333328</v>
      </c>
      <c r="N51" s="253">
        <f t="shared" si="13"/>
        <v>511.80583333333328</v>
      </c>
      <c r="O51" s="253">
        <f t="shared" si="13"/>
        <v>511.80583333333328</v>
      </c>
      <c r="P51" s="252">
        <f t="shared" si="13"/>
        <v>511.80583333333328</v>
      </c>
      <c r="Q51" s="253">
        <f t="shared" si="13"/>
        <v>511.80583333333328</v>
      </c>
      <c r="R51" s="253">
        <f t="shared" si="13"/>
        <v>511.80583333333328</v>
      </c>
      <c r="S51" s="253">
        <f t="shared" si="13"/>
        <v>511.80583333333328</v>
      </c>
      <c r="T51" s="253">
        <f t="shared" si="13"/>
        <v>511.80583333333328</v>
      </c>
      <c r="U51" s="253">
        <f t="shared" si="13"/>
        <v>511.80583333333328</v>
      </c>
      <c r="V51" s="253">
        <f t="shared" si="13"/>
        <v>511.80583333333328</v>
      </c>
      <c r="W51" s="253">
        <f t="shared" si="13"/>
        <v>511.80583333333328</v>
      </c>
      <c r="X51" s="253">
        <f t="shared" si="13"/>
        <v>511.80583333333328</v>
      </c>
      <c r="Y51" s="253">
        <f t="shared" si="13"/>
        <v>511.80583333333328</v>
      </c>
      <c r="Z51" s="253">
        <f t="shared" si="13"/>
        <v>511.80583333333328</v>
      </c>
      <c r="AA51" s="253">
        <f t="shared" si="13"/>
        <v>511.80583333333328</v>
      </c>
      <c r="AB51" s="252">
        <f t="shared" si="13"/>
        <v>511.80583333333328</v>
      </c>
      <c r="AC51" s="253">
        <f t="shared" si="13"/>
        <v>511.80583333333328</v>
      </c>
      <c r="AD51" s="253">
        <f t="shared" si="13"/>
        <v>511.80583333333328</v>
      </c>
      <c r="AE51" s="253">
        <f t="shared" si="13"/>
        <v>511.80583333333328</v>
      </c>
      <c r="AF51" s="253">
        <f t="shared" si="13"/>
        <v>511.80583333333328</v>
      </c>
      <c r="AG51" s="253">
        <f t="shared" si="13"/>
        <v>511.80583333333328</v>
      </c>
      <c r="AH51" s="253">
        <f t="shared" si="13"/>
        <v>511.80583333333328</v>
      </c>
      <c r="AI51" s="253">
        <f t="shared" si="13"/>
        <v>511.80583333333328</v>
      </c>
      <c r="AJ51" s="253">
        <f t="shared" si="13"/>
        <v>511.80583333333328</v>
      </c>
      <c r="AK51" s="253">
        <f t="shared" si="13"/>
        <v>511.80583333333328</v>
      </c>
      <c r="AL51" s="253">
        <f t="shared" si="13"/>
        <v>511.80583333333328</v>
      </c>
      <c r="AM51" s="253">
        <f t="shared" si="13"/>
        <v>511.80583333333328</v>
      </c>
    </row>
    <row r="52" spans="2:39" s="251" customFormat="1" hidden="1" outlineLevel="1" x14ac:dyDescent="0.25">
      <c r="B52" s="251" t="str">
        <v>DagrenErhverv</v>
      </c>
      <c r="C52" s="22" t="s">
        <v>255</v>
      </c>
      <c r="D52" s="252">
        <f t="shared" si="10"/>
        <v>11.182499999999999</v>
      </c>
      <c r="E52" s="253">
        <f t="shared" si="13"/>
        <v>11.182499999999999</v>
      </c>
      <c r="F52" s="253">
        <f t="shared" si="13"/>
        <v>11.182499999999999</v>
      </c>
      <c r="G52" s="253">
        <f t="shared" si="13"/>
        <v>11.182499999999999</v>
      </c>
      <c r="H52" s="253">
        <f t="shared" si="13"/>
        <v>11.182499999999999</v>
      </c>
      <c r="I52" s="253">
        <f t="shared" si="13"/>
        <v>11.182499999999999</v>
      </c>
      <c r="J52" s="253">
        <f t="shared" si="13"/>
        <v>11.182499999999999</v>
      </c>
      <c r="K52" s="253">
        <f t="shared" si="13"/>
        <v>11.182499999999999</v>
      </c>
      <c r="L52" s="253">
        <f t="shared" si="13"/>
        <v>11.182499999999999</v>
      </c>
      <c r="M52" s="253">
        <f t="shared" si="13"/>
        <v>11.182499999999999</v>
      </c>
      <c r="N52" s="253">
        <f t="shared" si="13"/>
        <v>11.182499999999999</v>
      </c>
      <c r="O52" s="253">
        <f t="shared" si="13"/>
        <v>11.182499999999999</v>
      </c>
      <c r="P52" s="252">
        <f t="shared" si="13"/>
        <v>11.182499999999999</v>
      </c>
      <c r="Q52" s="253">
        <f t="shared" si="13"/>
        <v>11.182499999999999</v>
      </c>
      <c r="R52" s="253">
        <f t="shared" si="13"/>
        <v>11.182499999999999</v>
      </c>
      <c r="S52" s="253">
        <f t="shared" si="13"/>
        <v>11.182499999999999</v>
      </c>
      <c r="T52" s="253">
        <f t="shared" si="13"/>
        <v>11.182499999999999</v>
      </c>
      <c r="U52" s="253">
        <f t="shared" si="13"/>
        <v>11.182499999999999</v>
      </c>
      <c r="V52" s="253">
        <f t="shared" si="13"/>
        <v>11.182499999999999</v>
      </c>
      <c r="W52" s="253">
        <f t="shared" si="13"/>
        <v>11.182499999999999</v>
      </c>
      <c r="X52" s="253">
        <f t="shared" si="13"/>
        <v>11.182499999999999</v>
      </c>
      <c r="Y52" s="253">
        <f t="shared" si="13"/>
        <v>11.182499999999999</v>
      </c>
      <c r="Z52" s="253">
        <f t="shared" si="13"/>
        <v>11.182499999999999</v>
      </c>
      <c r="AA52" s="253">
        <f t="shared" si="13"/>
        <v>11.182499999999999</v>
      </c>
      <c r="AB52" s="252">
        <f t="shared" si="13"/>
        <v>11.182499999999999</v>
      </c>
      <c r="AC52" s="253">
        <f t="shared" si="13"/>
        <v>11.182499999999999</v>
      </c>
      <c r="AD52" s="253">
        <f t="shared" si="13"/>
        <v>11.182499999999999</v>
      </c>
      <c r="AE52" s="253">
        <f t="shared" si="13"/>
        <v>11.182499999999999</v>
      </c>
      <c r="AF52" s="253">
        <f t="shared" si="13"/>
        <v>11.182499999999999</v>
      </c>
      <c r="AG52" s="253">
        <f t="shared" si="13"/>
        <v>11.182499999999999</v>
      </c>
      <c r="AH52" s="253">
        <f t="shared" si="13"/>
        <v>11.182499999999999</v>
      </c>
      <c r="AI52" s="253">
        <f t="shared" si="13"/>
        <v>11.182499999999999</v>
      </c>
      <c r="AJ52" s="253">
        <f t="shared" si="13"/>
        <v>11.182499999999999</v>
      </c>
      <c r="AK52" s="253">
        <f t="shared" si="13"/>
        <v>11.182499999999999</v>
      </c>
      <c r="AL52" s="253">
        <f t="shared" si="13"/>
        <v>11.182499999999999</v>
      </c>
      <c r="AM52" s="253">
        <f t="shared" si="13"/>
        <v>11.182499999999999</v>
      </c>
    </row>
    <row r="53" spans="2:39" s="251" customFormat="1" hidden="1" outlineLevel="1" x14ac:dyDescent="0.25">
      <c r="B53" s="251" t="str">
        <v>HandelKontor</v>
      </c>
      <c r="C53" s="22" t="s">
        <v>255</v>
      </c>
      <c r="D53" s="252">
        <f t="shared" si="10"/>
        <v>4.8150000000000004</v>
      </c>
      <c r="E53" s="253">
        <f t="shared" si="13"/>
        <v>4.8150000000000004</v>
      </c>
      <c r="F53" s="253">
        <f t="shared" si="13"/>
        <v>4.8150000000000004</v>
      </c>
      <c r="G53" s="253">
        <f t="shared" si="13"/>
        <v>4.8150000000000004</v>
      </c>
      <c r="H53" s="253">
        <f t="shared" si="13"/>
        <v>4.8150000000000004</v>
      </c>
      <c r="I53" s="253">
        <f t="shared" si="13"/>
        <v>4.8150000000000004</v>
      </c>
      <c r="J53" s="253">
        <f t="shared" si="13"/>
        <v>4.8150000000000004</v>
      </c>
      <c r="K53" s="253">
        <f t="shared" si="13"/>
        <v>4.8150000000000004</v>
      </c>
      <c r="L53" s="253">
        <f t="shared" si="13"/>
        <v>4.8150000000000004</v>
      </c>
      <c r="M53" s="253">
        <f t="shared" si="13"/>
        <v>4.8150000000000004</v>
      </c>
      <c r="N53" s="253">
        <f t="shared" si="13"/>
        <v>4.8150000000000004</v>
      </c>
      <c r="O53" s="253">
        <f t="shared" si="13"/>
        <v>4.8150000000000004</v>
      </c>
      <c r="P53" s="252">
        <f t="shared" si="13"/>
        <v>4.8150000000000004</v>
      </c>
      <c r="Q53" s="253">
        <f t="shared" si="13"/>
        <v>4.8150000000000004</v>
      </c>
      <c r="R53" s="253">
        <f t="shared" si="13"/>
        <v>4.8150000000000004</v>
      </c>
      <c r="S53" s="253">
        <f t="shared" si="13"/>
        <v>4.8150000000000004</v>
      </c>
      <c r="T53" s="253">
        <f t="shared" si="13"/>
        <v>4.8150000000000004</v>
      </c>
      <c r="U53" s="253">
        <f t="shared" si="13"/>
        <v>4.8150000000000004</v>
      </c>
      <c r="V53" s="253">
        <f t="shared" si="13"/>
        <v>4.8150000000000004</v>
      </c>
      <c r="W53" s="253">
        <f t="shared" si="13"/>
        <v>4.8150000000000004</v>
      </c>
      <c r="X53" s="253">
        <f t="shared" si="13"/>
        <v>4.8150000000000004</v>
      </c>
      <c r="Y53" s="253">
        <f t="shared" si="13"/>
        <v>4.8150000000000004</v>
      </c>
      <c r="Z53" s="253">
        <f t="shared" si="13"/>
        <v>4.8150000000000004</v>
      </c>
      <c r="AA53" s="253">
        <f t="shared" si="13"/>
        <v>4.8150000000000004</v>
      </c>
      <c r="AB53" s="252">
        <f t="shared" si="13"/>
        <v>4.8150000000000004</v>
      </c>
      <c r="AC53" s="253">
        <f t="shared" si="13"/>
        <v>4.8150000000000004</v>
      </c>
      <c r="AD53" s="253">
        <f t="shared" si="13"/>
        <v>4.8150000000000004</v>
      </c>
      <c r="AE53" s="253">
        <f t="shared" si="13"/>
        <v>4.8150000000000004</v>
      </c>
      <c r="AF53" s="253">
        <f t="shared" si="13"/>
        <v>4.8150000000000004</v>
      </c>
      <c r="AG53" s="253">
        <f t="shared" si="13"/>
        <v>4.8150000000000004</v>
      </c>
      <c r="AH53" s="253">
        <f t="shared" si="13"/>
        <v>4.8150000000000004</v>
      </c>
      <c r="AI53" s="253">
        <f t="shared" si="13"/>
        <v>4.8150000000000004</v>
      </c>
      <c r="AJ53" s="253">
        <f t="shared" si="13"/>
        <v>4.8150000000000004</v>
      </c>
      <c r="AK53" s="253">
        <f t="shared" si="13"/>
        <v>4.8150000000000004</v>
      </c>
      <c r="AL53" s="253">
        <f t="shared" si="13"/>
        <v>4.8150000000000004</v>
      </c>
      <c r="AM53" s="253">
        <f t="shared" si="13"/>
        <v>4.8150000000000004</v>
      </c>
    </row>
    <row r="54" spans="2:39" s="251" customFormat="1" hidden="1" outlineLevel="1" x14ac:dyDescent="0.25">
      <c r="B54" s="251" t="str">
        <v>Privat</v>
      </c>
      <c r="C54" s="22" t="s">
        <v>255</v>
      </c>
      <c r="D54" s="252">
        <f t="shared" si="10"/>
        <v>1.0741666666666667</v>
      </c>
      <c r="E54" s="253">
        <f t="shared" si="13"/>
        <v>1.0741666666666667</v>
      </c>
      <c r="F54" s="253">
        <f t="shared" si="13"/>
        <v>1.0741666666666667</v>
      </c>
      <c r="G54" s="253">
        <f t="shared" si="13"/>
        <v>1.0741666666666667</v>
      </c>
      <c r="H54" s="253">
        <f t="shared" si="13"/>
        <v>1.0741666666666667</v>
      </c>
      <c r="I54" s="253">
        <f t="shared" si="13"/>
        <v>1.0741666666666667</v>
      </c>
      <c r="J54" s="253">
        <f t="shared" si="13"/>
        <v>1.0741666666666667</v>
      </c>
      <c r="K54" s="253">
        <f t="shared" si="13"/>
        <v>1.0741666666666667</v>
      </c>
      <c r="L54" s="253">
        <f t="shared" si="13"/>
        <v>1.0741666666666667</v>
      </c>
      <c r="M54" s="253">
        <f t="shared" si="13"/>
        <v>1.0741666666666667</v>
      </c>
      <c r="N54" s="253">
        <f t="shared" si="13"/>
        <v>1.0741666666666667</v>
      </c>
      <c r="O54" s="253">
        <f t="shared" si="13"/>
        <v>1.0741666666666667</v>
      </c>
      <c r="P54" s="252">
        <f t="shared" si="13"/>
        <v>1.0741666666666667</v>
      </c>
      <c r="Q54" s="253">
        <f t="shared" si="13"/>
        <v>1.0741666666666667</v>
      </c>
      <c r="R54" s="253">
        <f t="shared" si="13"/>
        <v>1.0741666666666667</v>
      </c>
      <c r="S54" s="253">
        <f t="shared" si="13"/>
        <v>1.0741666666666667</v>
      </c>
      <c r="T54" s="253">
        <f t="shared" si="13"/>
        <v>1.0741666666666667</v>
      </c>
      <c r="U54" s="253">
        <f t="shared" si="13"/>
        <v>1.0741666666666667</v>
      </c>
      <c r="V54" s="253">
        <f t="shared" si="13"/>
        <v>1.0741666666666667</v>
      </c>
      <c r="W54" s="253">
        <f t="shared" si="13"/>
        <v>1.0741666666666667</v>
      </c>
      <c r="X54" s="253">
        <f t="shared" si="13"/>
        <v>1.0741666666666667</v>
      </c>
      <c r="Y54" s="253">
        <f t="shared" si="13"/>
        <v>1.0741666666666667</v>
      </c>
      <c r="Z54" s="253">
        <f t="shared" si="13"/>
        <v>1.0741666666666667</v>
      </c>
      <c r="AA54" s="253">
        <f t="shared" si="13"/>
        <v>1.0741666666666667</v>
      </c>
      <c r="AB54" s="252">
        <f t="shared" si="13"/>
        <v>1.0741666666666667</v>
      </c>
      <c r="AC54" s="253">
        <f t="shared" si="13"/>
        <v>1.0741666666666667</v>
      </c>
      <c r="AD54" s="253">
        <f t="shared" si="13"/>
        <v>1.0741666666666667</v>
      </c>
      <c r="AE54" s="253">
        <f t="shared" si="13"/>
        <v>1.0741666666666667</v>
      </c>
      <c r="AF54" s="253">
        <f t="shared" si="13"/>
        <v>1.0741666666666667</v>
      </c>
      <c r="AG54" s="253">
        <f t="shared" si="13"/>
        <v>1.0741666666666667</v>
      </c>
      <c r="AH54" s="253">
        <f t="shared" si="13"/>
        <v>1.0741666666666667</v>
      </c>
      <c r="AI54" s="253">
        <f t="shared" si="13"/>
        <v>1.0741666666666667</v>
      </c>
      <c r="AJ54" s="253">
        <f t="shared" si="13"/>
        <v>1.0741666666666667</v>
      </c>
      <c r="AK54" s="253">
        <f t="shared" si="13"/>
        <v>1.0741666666666667</v>
      </c>
      <c r="AL54" s="253">
        <f t="shared" si="13"/>
        <v>1.0741666666666667</v>
      </c>
      <c r="AM54" s="253">
        <f t="shared" si="13"/>
        <v>1.0741666666666667</v>
      </c>
    </row>
    <row r="55" spans="2:39" s="251" customFormat="1" hidden="1" outlineLevel="1" x14ac:dyDescent="0.25">
      <c r="B55" s="251" t="str">
        <v>TyskRest</v>
      </c>
      <c r="C55" s="22" t="s">
        <v>255</v>
      </c>
      <c r="D55" s="252">
        <f t="shared" si="10"/>
        <v>34232.69</v>
      </c>
      <c r="E55" s="253">
        <f t="shared" si="13"/>
        <v>34232.69</v>
      </c>
      <c r="F55" s="253">
        <f t="shared" si="13"/>
        <v>34232.69</v>
      </c>
      <c r="G55" s="253">
        <f t="shared" si="13"/>
        <v>34232.69</v>
      </c>
      <c r="H55" s="253">
        <f t="shared" si="13"/>
        <v>34232.69</v>
      </c>
      <c r="I55" s="253">
        <f t="shared" si="13"/>
        <v>34232.69</v>
      </c>
      <c r="J55" s="253">
        <f t="shared" si="13"/>
        <v>34232.69</v>
      </c>
      <c r="K55" s="253">
        <f t="shared" si="13"/>
        <v>34232.69</v>
      </c>
      <c r="L55" s="253">
        <f t="shared" si="13"/>
        <v>34232.69</v>
      </c>
      <c r="M55" s="253">
        <f t="shared" si="13"/>
        <v>34232.69</v>
      </c>
      <c r="N55" s="253">
        <f t="shared" si="13"/>
        <v>34232.69</v>
      </c>
      <c r="O55" s="253">
        <f t="shared" si="13"/>
        <v>34232.69</v>
      </c>
      <c r="P55" s="252">
        <f t="shared" si="13"/>
        <v>34232.69</v>
      </c>
      <c r="Q55" s="253">
        <f t="shared" si="13"/>
        <v>34232.69</v>
      </c>
      <c r="R55" s="253">
        <f t="shared" si="13"/>
        <v>34232.69</v>
      </c>
      <c r="S55" s="253">
        <f t="shared" si="13"/>
        <v>34232.69</v>
      </c>
      <c r="T55" s="253">
        <f t="shared" si="13"/>
        <v>34232.69</v>
      </c>
      <c r="U55" s="253">
        <f t="shared" si="13"/>
        <v>34232.69</v>
      </c>
      <c r="V55" s="253">
        <f t="shared" si="13"/>
        <v>34232.69</v>
      </c>
      <c r="W55" s="253">
        <f t="shared" si="13"/>
        <v>34232.69</v>
      </c>
      <c r="X55" s="253">
        <f t="shared" si="13"/>
        <v>34232.69</v>
      </c>
      <c r="Y55" s="253">
        <f t="shared" si="13"/>
        <v>34232.69</v>
      </c>
      <c r="Z55" s="253">
        <f t="shared" si="13"/>
        <v>34232.69</v>
      </c>
      <c r="AA55" s="253">
        <f t="shared" si="13"/>
        <v>34232.69</v>
      </c>
      <c r="AB55" s="252">
        <f t="shared" si="13"/>
        <v>34232.69</v>
      </c>
      <c r="AC55" s="253">
        <f t="shared" si="13"/>
        <v>34232.69</v>
      </c>
      <c r="AD55" s="253">
        <f t="shared" si="13"/>
        <v>34232.69</v>
      </c>
      <c r="AE55" s="253">
        <f t="shared" si="13"/>
        <v>34232.69</v>
      </c>
      <c r="AF55" s="253">
        <f t="shared" si="13"/>
        <v>34232.69</v>
      </c>
      <c r="AG55" s="253">
        <f t="shared" si="13"/>
        <v>34232.69</v>
      </c>
      <c r="AH55" s="253">
        <f t="shared" si="13"/>
        <v>34232.69</v>
      </c>
      <c r="AI55" s="253">
        <f t="shared" si="13"/>
        <v>34232.69</v>
      </c>
      <c r="AJ55" s="253">
        <f t="shared" si="13"/>
        <v>34232.69</v>
      </c>
      <c r="AK55" s="253">
        <f t="shared" si="13"/>
        <v>34232.69</v>
      </c>
      <c r="AL55" s="253">
        <f t="shared" si="13"/>
        <v>34232.69</v>
      </c>
      <c r="AM55" s="253">
        <f t="shared" si="13"/>
        <v>34232.69</v>
      </c>
    </row>
    <row r="56" spans="2:39" s="251" customFormat="1" hidden="1" outlineLevel="1" x14ac:dyDescent="0.25">
      <c r="B56" s="251" t="str">
        <v>PolskRest</v>
      </c>
      <c r="C56" s="22" t="s">
        <v>255</v>
      </c>
      <c r="D56" s="252">
        <f t="shared" si="10"/>
        <v>154.09</v>
      </c>
      <c r="E56" s="253">
        <f t="shared" ref="E56:AM63" si="14">IF(AND($I20&lt;&gt;0,$H20=0),$M20/12,$M20)</f>
        <v>154.09</v>
      </c>
      <c r="F56" s="253">
        <f t="shared" si="14"/>
        <v>154.09</v>
      </c>
      <c r="G56" s="253">
        <f t="shared" si="14"/>
        <v>154.09</v>
      </c>
      <c r="H56" s="253">
        <f t="shared" si="14"/>
        <v>154.09</v>
      </c>
      <c r="I56" s="253">
        <f t="shared" si="14"/>
        <v>154.09</v>
      </c>
      <c r="J56" s="253">
        <f t="shared" si="14"/>
        <v>154.09</v>
      </c>
      <c r="K56" s="253">
        <f t="shared" si="14"/>
        <v>154.09</v>
      </c>
      <c r="L56" s="253">
        <f t="shared" si="14"/>
        <v>154.09</v>
      </c>
      <c r="M56" s="253">
        <f t="shared" si="14"/>
        <v>154.09</v>
      </c>
      <c r="N56" s="253">
        <f t="shared" si="14"/>
        <v>154.09</v>
      </c>
      <c r="O56" s="253">
        <f t="shared" si="14"/>
        <v>154.09</v>
      </c>
      <c r="P56" s="252">
        <f t="shared" si="14"/>
        <v>154.09</v>
      </c>
      <c r="Q56" s="253">
        <f t="shared" si="14"/>
        <v>154.09</v>
      </c>
      <c r="R56" s="253">
        <f t="shared" si="14"/>
        <v>154.09</v>
      </c>
      <c r="S56" s="253">
        <f t="shared" si="14"/>
        <v>154.09</v>
      </c>
      <c r="T56" s="253">
        <f t="shared" si="14"/>
        <v>154.09</v>
      </c>
      <c r="U56" s="253">
        <f t="shared" si="14"/>
        <v>154.09</v>
      </c>
      <c r="V56" s="253">
        <f t="shared" si="14"/>
        <v>154.09</v>
      </c>
      <c r="W56" s="253">
        <f t="shared" si="14"/>
        <v>154.09</v>
      </c>
      <c r="X56" s="253">
        <f t="shared" si="14"/>
        <v>154.09</v>
      </c>
      <c r="Y56" s="253">
        <f t="shared" si="14"/>
        <v>154.09</v>
      </c>
      <c r="Z56" s="253">
        <f t="shared" si="14"/>
        <v>154.09</v>
      </c>
      <c r="AA56" s="253">
        <f t="shared" si="14"/>
        <v>154.09</v>
      </c>
      <c r="AB56" s="252">
        <f t="shared" si="14"/>
        <v>154.09</v>
      </c>
      <c r="AC56" s="253">
        <f t="shared" si="14"/>
        <v>154.09</v>
      </c>
      <c r="AD56" s="253">
        <f t="shared" si="14"/>
        <v>154.09</v>
      </c>
      <c r="AE56" s="253">
        <f t="shared" si="14"/>
        <v>154.09</v>
      </c>
      <c r="AF56" s="253">
        <f t="shared" si="14"/>
        <v>154.09</v>
      </c>
      <c r="AG56" s="253">
        <f t="shared" si="14"/>
        <v>154.09</v>
      </c>
      <c r="AH56" s="253">
        <f t="shared" si="14"/>
        <v>154.09</v>
      </c>
      <c r="AI56" s="253">
        <f t="shared" si="14"/>
        <v>154.09</v>
      </c>
      <c r="AJ56" s="253">
        <f t="shared" si="14"/>
        <v>154.09</v>
      </c>
      <c r="AK56" s="253">
        <f t="shared" si="14"/>
        <v>154.09</v>
      </c>
      <c r="AL56" s="253">
        <f t="shared" si="14"/>
        <v>154.09</v>
      </c>
      <c r="AM56" s="253">
        <f t="shared" si="14"/>
        <v>154.09</v>
      </c>
    </row>
    <row r="57" spans="2:39" s="251" customFormat="1" hidden="1" outlineLevel="1" x14ac:dyDescent="0.25">
      <c r="B57" s="251" t="str">
        <v>PcbTrae</v>
      </c>
      <c r="C57" s="22" t="s">
        <v>255</v>
      </c>
      <c r="D57" s="252">
        <f t="shared" si="10"/>
        <v>0</v>
      </c>
      <c r="E57" s="253">
        <f t="shared" si="14"/>
        <v>0</v>
      </c>
      <c r="F57" s="253">
        <f t="shared" si="14"/>
        <v>0</v>
      </c>
      <c r="G57" s="253">
        <f t="shared" si="14"/>
        <v>0</v>
      </c>
      <c r="H57" s="253">
        <f t="shared" si="14"/>
        <v>0</v>
      </c>
      <c r="I57" s="253">
        <f t="shared" si="14"/>
        <v>0</v>
      </c>
      <c r="J57" s="253">
        <f t="shared" si="14"/>
        <v>0</v>
      </c>
      <c r="K57" s="253">
        <f t="shared" si="14"/>
        <v>0</v>
      </c>
      <c r="L57" s="253">
        <f t="shared" si="14"/>
        <v>0</v>
      </c>
      <c r="M57" s="253">
        <f t="shared" si="14"/>
        <v>0</v>
      </c>
      <c r="N57" s="253">
        <f t="shared" si="14"/>
        <v>0</v>
      </c>
      <c r="O57" s="253">
        <f t="shared" si="14"/>
        <v>0</v>
      </c>
      <c r="P57" s="252">
        <f t="shared" si="14"/>
        <v>0</v>
      </c>
      <c r="Q57" s="253">
        <f t="shared" si="14"/>
        <v>0</v>
      </c>
      <c r="R57" s="253">
        <f t="shared" si="14"/>
        <v>0</v>
      </c>
      <c r="S57" s="253">
        <f t="shared" si="14"/>
        <v>0</v>
      </c>
      <c r="T57" s="253">
        <f t="shared" si="14"/>
        <v>0</v>
      </c>
      <c r="U57" s="253">
        <f t="shared" si="14"/>
        <v>0</v>
      </c>
      <c r="V57" s="253">
        <f t="shared" si="14"/>
        <v>0</v>
      </c>
      <c r="W57" s="253">
        <f t="shared" si="14"/>
        <v>0</v>
      </c>
      <c r="X57" s="253">
        <f t="shared" si="14"/>
        <v>0</v>
      </c>
      <c r="Y57" s="253">
        <f t="shared" si="14"/>
        <v>0</v>
      </c>
      <c r="Z57" s="253">
        <f t="shared" si="14"/>
        <v>0</v>
      </c>
      <c r="AA57" s="253">
        <f t="shared" si="14"/>
        <v>0</v>
      </c>
      <c r="AB57" s="252">
        <f t="shared" si="14"/>
        <v>0</v>
      </c>
      <c r="AC57" s="253">
        <f t="shared" si="14"/>
        <v>0</v>
      </c>
      <c r="AD57" s="253">
        <f t="shared" si="14"/>
        <v>0</v>
      </c>
      <c r="AE57" s="253">
        <f t="shared" si="14"/>
        <v>0</v>
      </c>
      <c r="AF57" s="253">
        <f t="shared" si="14"/>
        <v>0</v>
      </c>
      <c r="AG57" s="253">
        <f t="shared" si="14"/>
        <v>0</v>
      </c>
      <c r="AH57" s="253">
        <f t="shared" si="14"/>
        <v>0</v>
      </c>
      <c r="AI57" s="253">
        <f t="shared" si="14"/>
        <v>0</v>
      </c>
      <c r="AJ57" s="253">
        <f t="shared" si="14"/>
        <v>0</v>
      </c>
      <c r="AK57" s="253">
        <f t="shared" si="14"/>
        <v>0</v>
      </c>
      <c r="AL57" s="253">
        <f t="shared" si="14"/>
        <v>0</v>
      </c>
      <c r="AM57" s="253">
        <f t="shared" si="14"/>
        <v>0</v>
      </c>
    </row>
    <row r="58" spans="2:39" s="251" customFormat="1" hidden="1" outlineLevel="1" x14ac:dyDescent="0.25">
      <c r="B58" s="251" t="str">
        <v>TraeRekv</v>
      </c>
      <c r="C58" s="22" t="s">
        <v>255</v>
      </c>
      <c r="D58" s="252">
        <f t="shared" si="10"/>
        <v>87.044166666666669</v>
      </c>
      <c r="E58" s="253">
        <f t="shared" si="14"/>
        <v>87.044166666666669</v>
      </c>
      <c r="F58" s="253">
        <f t="shared" si="14"/>
        <v>87.044166666666669</v>
      </c>
      <c r="G58" s="253">
        <f t="shared" si="14"/>
        <v>87.044166666666669</v>
      </c>
      <c r="H58" s="253">
        <f t="shared" si="14"/>
        <v>87.044166666666669</v>
      </c>
      <c r="I58" s="253">
        <f t="shared" si="14"/>
        <v>87.044166666666669</v>
      </c>
      <c r="J58" s="253">
        <f t="shared" si="14"/>
        <v>87.044166666666669</v>
      </c>
      <c r="K58" s="253">
        <f t="shared" si="14"/>
        <v>87.044166666666669</v>
      </c>
      <c r="L58" s="253">
        <f t="shared" si="14"/>
        <v>87.044166666666669</v>
      </c>
      <c r="M58" s="253">
        <f t="shared" si="14"/>
        <v>87.044166666666669</v>
      </c>
      <c r="N58" s="253">
        <f t="shared" si="14"/>
        <v>87.044166666666669</v>
      </c>
      <c r="O58" s="253">
        <f t="shared" si="14"/>
        <v>87.044166666666669</v>
      </c>
      <c r="P58" s="252">
        <f t="shared" si="14"/>
        <v>87.044166666666669</v>
      </c>
      <c r="Q58" s="253">
        <f t="shared" si="14"/>
        <v>87.044166666666669</v>
      </c>
      <c r="R58" s="253">
        <f t="shared" si="14"/>
        <v>87.044166666666669</v>
      </c>
      <c r="S58" s="253">
        <f t="shared" si="14"/>
        <v>87.044166666666669</v>
      </c>
      <c r="T58" s="253">
        <f t="shared" si="14"/>
        <v>87.044166666666669</v>
      </c>
      <c r="U58" s="253">
        <f t="shared" si="14"/>
        <v>87.044166666666669</v>
      </c>
      <c r="V58" s="253">
        <f t="shared" si="14"/>
        <v>87.044166666666669</v>
      </c>
      <c r="W58" s="253">
        <f t="shared" si="14"/>
        <v>87.044166666666669</v>
      </c>
      <c r="X58" s="253">
        <f t="shared" si="14"/>
        <v>87.044166666666669</v>
      </c>
      <c r="Y58" s="253">
        <f t="shared" si="14"/>
        <v>87.044166666666669</v>
      </c>
      <c r="Z58" s="253">
        <f t="shared" si="14"/>
        <v>87.044166666666669</v>
      </c>
      <c r="AA58" s="253">
        <f t="shared" si="14"/>
        <v>87.044166666666669</v>
      </c>
      <c r="AB58" s="252">
        <f t="shared" si="14"/>
        <v>87.044166666666669</v>
      </c>
      <c r="AC58" s="253">
        <f t="shared" si="14"/>
        <v>87.044166666666669</v>
      </c>
      <c r="AD58" s="253">
        <f t="shared" si="14"/>
        <v>87.044166666666669</v>
      </c>
      <c r="AE58" s="253">
        <f t="shared" si="14"/>
        <v>87.044166666666669</v>
      </c>
      <c r="AF58" s="253">
        <f t="shared" si="14"/>
        <v>87.044166666666669</v>
      </c>
      <c r="AG58" s="253">
        <f t="shared" si="14"/>
        <v>87.044166666666669</v>
      </c>
      <c r="AH58" s="253">
        <f t="shared" si="14"/>
        <v>87.044166666666669</v>
      </c>
      <c r="AI58" s="253">
        <f t="shared" si="14"/>
        <v>87.044166666666669</v>
      </c>
      <c r="AJ58" s="253">
        <f t="shared" si="14"/>
        <v>87.044166666666669</v>
      </c>
      <c r="AK58" s="253">
        <f t="shared" si="14"/>
        <v>87.044166666666669</v>
      </c>
      <c r="AL58" s="253">
        <f t="shared" si="14"/>
        <v>87.044166666666669</v>
      </c>
      <c r="AM58" s="253">
        <f t="shared" si="14"/>
        <v>87.044166666666669</v>
      </c>
    </row>
    <row r="59" spans="2:39" s="251" customFormat="1" hidden="1" outlineLevel="1" x14ac:dyDescent="0.25">
      <c r="B59" s="251" t="str">
        <v>Halm</v>
      </c>
      <c r="C59" s="22" t="s">
        <v>255</v>
      </c>
      <c r="D59" s="252">
        <f t="shared" si="10"/>
        <v>0</v>
      </c>
      <c r="E59" s="253">
        <f t="shared" si="14"/>
        <v>0</v>
      </c>
      <c r="F59" s="253">
        <f t="shared" si="14"/>
        <v>0</v>
      </c>
      <c r="G59" s="253">
        <f t="shared" si="14"/>
        <v>0</v>
      </c>
      <c r="H59" s="253">
        <f t="shared" si="14"/>
        <v>0</v>
      </c>
      <c r="I59" s="253">
        <f t="shared" si="14"/>
        <v>0</v>
      </c>
      <c r="J59" s="253">
        <f t="shared" si="14"/>
        <v>0</v>
      </c>
      <c r="K59" s="253">
        <f t="shared" si="14"/>
        <v>0</v>
      </c>
      <c r="L59" s="253">
        <f t="shared" si="14"/>
        <v>0</v>
      </c>
      <c r="M59" s="253">
        <f t="shared" si="14"/>
        <v>0</v>
      </c>
      <c r="N59" s="253">
        <f t="shared" si="14"/>
        <v>0</v>
      </c>
      <c r="O59" s="253">
        <f t="shared" si="14"/>
        <v>0</v>
      </c>
      <c r="P59" s="252">
        <f t="shared" si="14"/>
        <v>0</v>
      </c>
      <c r="Q59" s="253">
        <f t="shared" si="14"/>
        <v>0</v>
      </c>
      <c r="R59" s="253">
        <f t="shared" si="14"/>
        <v>0</v>
      </c>
      <c r="S59" s="253">
        <f t="shared" si="14"/>
        <v>0</v>
      </c>
      <c r="T59" s="253">
        <f t="shared" si="14"/>
        <v>0</v>
      </c>
      <c r="U59" s="253">
        <f t="shared" si="14"/>
        <v>0</v>
      </c>
      <c r="V59" s="253">
        <f t="shared" si="14"/>
        <v>0</v>
      </c>
      <c r="W59" s="253">
        <f t="shared" si="14"/>
        <v>0</v>
      </c>
      <c r="X59" s="253">
        <f t="shared" si="14"/>
        <v>0</v>
      </c>
      <c r="Y59" s="253">
        <f t="shared" si="14"/>
        <v>0</v>
      </c>
      <c r="Z59" s="253">
        <f t="shared" si="14"/>
        <v>0</v>
      </c>
      <c r="AA59" s="253">
        <f t="shared" si="14"/>
        <v>0</v>
      </c>
      <c r="AB59" s="252">
        <f t="shared" si="14"/>
        <v>0</v>
      </c>
      <c r="AC59" s="253">
        <f t="shared" si="14"/>
        <v>0</v>
      </c>
      <c r="AD59" s="253">
        <f t="shared" si="14"/>
        <v>0</v>
      </c>
      <c r="AE59" s="253">
        <f t="shared" si="14"/>
        <v>0</v>
      </c>
      <c r="AF59" s="253">
        <f t="shared" si="14"/>
        <v>0</v>
      </c>
      <c r="AG59" s="253">
        <f t="shared" si="14"/>
        <v>0</v>
      </c>
      <c r="AH59" s="253">
        <f t="shared" si="14"/>
        <v>0</v>
      </c>
      <c r="AI59" s="253">
        <f t="shared" si="14"/>
        <v>0</v>
      </c>
      <c r="AJ59" s="253">
        <f t="shared" si="14"/>
        <v>0</v>
      </c>
      <c r="AK59" s="253">
        <f t="shared" si="14"/>
        <v>0</v>
      </c>
      <c r="AL59" s="253">
        <f t="shared" si="14"/>
        <v>0</v>
      </c>
      <c r="AM59" s="253">
        <f t="shared" si="14"/>
        <v>0</v>
      </c>
    </row>
    <row r="60" spans="2:39" s="251" customFormat="1" hidden="1" outlineLevel="1" x14ac:dyDescent="0.25">
      <c r="B60" s="251" t="str">
        <v>Pulver</v>
      </c>
      <c r="C60" s="22" t="s">
        <v>255</v>
      </c>
      <c r="D60" s="252">
        <f t="shared" si="10"/>
        <v>9.4949999999999992</v>
      </c>
      <c r="E60" s="253">
        <f t="shared" si="14"/>
        <v>9.4949999999999992</v>
      </c>
      <c r="F60" s="253">
        <f t="shared" si="14"/>
        <v>9.4949999999999992</v>
      </c>
      <c r="G60" s="253">
        <f t="shared" si="14"/>
        <v>9.4949999999999992</v>
      </c>
      <c r="H60" s="253">
        <f t="shared" si="14"/>
        <v>9.4949999999999992</v>
      </c>
      <c r="I60" s="253">
        <f t="shared" si="14"/>
        <v>9.4949999999999992</v>
      </c>
      <c r="J60" s="253">
        <f t="shared" si="14"/>
        <v>9.4949999999999992</v>
      </c>
      <c r="K60" s="253">
        <f t="shared" si="14"/>
        <v>9.4949999999999992</v>
      </c>
      <c r="L60" s="253">
        <f t="shared" si="14"/>
        <v>9.4949999999999992</v>
      </c>
      <c r="M60" s="253">
        <f t="shared" si="14"/>
        <v>9.4949999999999992</v>
      </c>
      <c r="N60" s="253">
        <f t="shared" si="14"/>
        <v>9.4949999999999992</v>
      </c>
      <c r="O60" s="253">
        <f t="shared" si="14"/>
        <v>9.4949999999999992</v>
      </c>
      <c r="P60" s="252">
        <f t="shared" si="14"/>
        <v>9.4949999999999992</v>
      </c>
      <c r="Q60" s="253">
        <f t="shared" si="14"/>
        <v>9.4949999999999992</v>
      </c>
      <c r="R60" s="253">
        <f t="shared" si="14"/>
        <v>9.4949999999999992</v>
      </c>
      <c r="S60" s="253">
        <f t="shared" si="14"/>
        <v>9.4949999999999992</v>
      </c>
      <c r="T60" s="253">
        <f t="shared" si="14"/>
        <v>9.4949999999999992</v>
      </c>
      <c r="U60" s="253">
        <f t="shared" si="14"/>
        <v>9.4949999999999992</v>
      </c>
      <c r="V60" s="253">
        <f t="shared" si="14"/>
        <v>9.4949999999999992</v>
      </c>
      <c r="W60" s="253">
        <f t="shared" si="14"/>
        <v>9.4949999999999992</v>
      </c>
      <c r="X60" s="253">
        <f t="shared" si="14"/>
        <v>9.4949999999999992</v>
      </c>
      <c r="Y60" s="253">
        <f t="shared" si="14"/>
        <v>9.4949999999999992</v>
      </c>
      <c r="Z60" s="253">
        <f t="shared" si="14"/>
        <v>9.4949999999999992</v>
      </c>
      <c r="AA60" s="253">
        <f t="shared" si="14"/>
        <v>9.4949999999999992</v>
      </c>
      <c r="AB60" s="252">
        <f t="shared" si="14"/>
        <v>9.4949999999999992</v>
      </c>
      <c r="AC60" s="253">
        <f t="shared" si="14"/>
        <v>9.4949999999999992</v>
      </c>
      <c r="AD60" s="253">
        <f t="shared" si="14"/>
        <v>9.4949999999999992</v>
      </c>
      <c r="AE60" s="253">
        <f t="shared" si="14"/>
        <v>9.4949999999999992</v>
      </c>
      <c r="AF60" s="253">
        <f t="shared" si="14"/>
        <v>9.4949999999999992</v>
      </c>
      <c r="AG60" s="253">
        <f t="shared" si="14"/>
        <v>9.4949999999999992</v>
      </c>
      <c r="AH60" s="253">
        <f t="shared" si="14"/>
        <v>9.4949999999999992</v>
      </c>
      <c r="AI60" s="253">
        <f t="shared" si="14"/>
        <v>9.4949999999999992</v>
      </c>
      <c r="AJ60" s="253">
        <f t="shared" si="14"/>
        <v>9.4949999999999992</v>
      </c>
      <c r="AK60" s="253">
        <f t="shared" si="14"/>
        <v>9.4949999999999992</v>
      </c>
      <c r="AL60" s="253">
        <f t="shared" si="14"/>
        <v>9.4949999999999992</v>
      </c>
      <c r="AM60" s="253">
        <f t="shared" si="14"/>
        <v>9.4949999999999992</v>
      </c>
    </row>
    <row r="61" spans="2:39" s="251" customFormat="1" hidden="1" outlineLevel="1" x14ac:dyDescent="0.25">
      <c r="B61" s="251" t="str">
        <v>FlisAffald</v>
      </c>
      <c r="C61" s="22" t="s">
        <v>255</v>
      </c>
      <c r="D61" s="252">
        <f t="shared" si="10"/>
        <v>17.683333333333334</v>
      </c>
      <c r="E61" s="253">
        <f t="shared" si="14"/>
        <v>17.683333333333334</v>
      </c>
      <c r="F61" s="253">
        <f t="shared" si="14"/>
        <v>17.683333333333334</v>
      </c>
      <c r="G61" s="253">
        <f t="shared" si="14"/>
        <v>17.683333333333334</v>
      </c>
      <c r="H61" s="253">
        <f t="shared" si="14"/>
        <v>17.683333333333334</v>
      </c>
      <c r="I61" s="253">
        <f t="shared" si="14"/>
        <v>17.683333333333334</v>
      </c>
      <c r="J61" s="253">
        <f t="shared" si="14"/>
        <v>17.683333333333334</v>
      </c>
      <c r="K61" s="253">
        <f t="shared" si="14"/>
        <v>17.683333333333334</v>
      </c>
      <c r="L61" s="253">
        <f t="shared" si="14"/>
        <v>17.683333333333334</v>
      </c>
      <c r="M61" s="253">
        <f t="shared" si="14"/>
        <v>17.683333333333334</v>
      </c>
      <c r="N61" s="253">
        <f t="shared" si="14"/>
        <v>17.683333333333334</v>
      </c>
      <c r="O61" s="253">
        <f t="shared" si="14"/>
        <v>17.683333333333334</v>
      </c>
      <c r="P61" s="252">
        <f t="shared" si="14"/>
        <v>17.683333333333334</v>
      </c>
      <c r="Q61" s="253">
        <f t="shared" si="14"/>
        <v>17.683333333333334</v>
      </c>
      <c r="R61" s="253">
        <f t="shared" si="14"/>
        <v>17.683333333333334</v>
      </c>
      <c r="S61" s="253">
        <f t="shared" si="14"/>
        <v>17.683333333333334</v>
      </c>
      <c r="T61" s="253">
        <f t="shared" si="14"/>
        <v>17.683333333333334</v>
      </c>
      <c r="U61" s="253">
        <f t="shared" si="14"/>
        <v>17.683333333333334</v>
      </c>
      <c r="V61" s="253">
        <f t="shared" si="14"/>
        <v>17.683333333333334</v>
      </c>
      <c r="W61" s="253">
        <f t="shared" si="14"/>
        <v>17.683333333333334</v>
      </c>
      <c r="X61" s="253">
        <f t="shared" si="14"/>
        <v>17.683333333333334</v>
      </c>
      <c r="Y61" s="253">
        <f t="shared" si="14"/>
        <v>17.683333333333334</v>
      </c>
      <c r="Z61" s="253">
        <f t="shared" si="14"/>
        <v>17.683333333333334</v>
      </c>
      <c r="AA61" s="253">
        <f t="shared" si="14"/>
        <v>17.683333333333334</v>
      </c>
      <c r="AB61" s="252">
        <f t="shared" si="14"/>
        <v>17.683333333333334</v>
      </c>
      <c r="AC61" s="253">
        <f t="shared" si="14"/>
        <v>17.683333333333334</v>
      </c>
      <c r="AD61" s="253">
        <f t="shared" si="14"/>
        <v>17.683333333333334</v>
      </c>
      <c r="AE61" s="253">
        <f t="shared" si="14"/>
        <v>17.683333333333334</v>
      </c>
      <c r="AF61" s="253">
        <f t="shared" si="14"/>
        <v>17.683333333333334</v>
      </c>
      <c r="AG61" s="253">
        <f t="shared" si="14"/>
        <v>17.683333333333334</v>
      </c>
      <c r="AH61" s="253">
        <f t="shared" si="14"/>
        <v>17.683333333333334</v>
      </c>
      <c r="AI61" s="253">
        <f t="shared" si="14"/>
        <v>17.683333333333334</v>
      </c>
      <c r="AJ61" s="253">
        <f t="shared" si="14"/>
        <v>17.683333333333334</v>
      </c>
      <c r="AK61" s="253">
        <f t="shared" si="14"/>
        <v>17.683333333333334</v>
      </c>
      <c r="AL61" s="253">
        <f t="shared" si="14"/>
        <v>17.683333333333334</v>
      </c>
      <c r="AM61" s="253">
        <f t="shared" si="14"/>
        <v>17.683333333333334</v>
      </c>
    </row>
    <row r="62" spans="2:39" s="251" customFormat="1" hidden="1" outlineLevel="1" x14ac:dyDescent="0.25">
      <c r="B62" s="251" t="str">
        <v>NyAff1</v>
      </c>
      <c r="C62" s="22" t="s">
        <v>255</v>
      </c>
      <c r="D62" s="252">
        <f t="shared" si="10"/>
        <v>10000</v>
      </c>
      <c r="E62" s="253">
        <f t="shared" si="14"/>
        <v>10000</v>
      </c>
      <c r="F62" s="253">
        <f t="shared" si="14"/>
        <v>10000</v>
      </c>
      <c r="G62" s="253">
        <f t="shared" si="14"/>
        <v>10000</v>
      </c>
      <c r="H62" s="253">
        <f t="shared" si="14"/>
        <v>10000</v>
      </c>
      <c r="I62" s="253">
        <f t="shared" si="14"/>
        <v>10000</v>
      </c>
      <c r="J62" s="253">
        <f t="shared" si="14"/>
        <v>10000</v>
      </c>
      <c r="K62" s="253">
        <f t="shared" si="14"/>
        <v>10000</v>
      </c>
      <c r="L62" s="253">
        <f t="shared" si="14"/>
        <v>10000</v>
      </c>
      <c r="M62" s="253">
        <f t="shared" si="14"/>
        <v>10000</v>
      </c>
      <c r="N62" s="253">
        <f t="shared" si="14"/>
        <v>10000</v>
      </c>
      <c r="O62" s="253">
        <f t="shared" si="14"/>
        <v>10000</v>
      </c>
      <c r="P62" s="252">
        <f t="shared" si="14"/>
        <v>10000</v>
      </c>
      <c r="Q62" s="253">
        <f t="shared" si="14"/>
        <v>10000</v>
      </c>
      <c r="R62" s="253">
        <f t="shared" si="14"/>
        <v>10000</v>
      </c>
      <c r="S62" s="253">
        <f t="shared" si="14"/>
        <v>10000</v>
      </c>
      <c r="T62" s="253">
        <f t="shared" si="14"/>
        <v>10000</v>
      </c>
      <c r="U62" s="253">
        <f t="shared" si="14"/>
        <v>10000</v>
      </c>
      <c r="V62" s="253">
        <f t="shared" si="14"/>
        <v>10000</v>
      </c>
      <c r="W62" s="253">
        <f t="shared" si="14"/>
        <v>10000</v>
      </c>
      <c r="X62" s="253">
        <f t="shared" si="14"/>
        <v>10000</v>
      </c>
      <c r="Y62" s="253">
        <f t="shared" si="14"/>
        <v>10000</v>
      </c>
      <c r="Z62" s="253">
        <f t="shared" si="14"/>
        <v>10000</v>
      </c>
      <c r="AA62" s="253">
        <f t="shared" si="14"/>
        <v>10000</v>
      </c>
      <c r="AB62" s="252">
        <f t="shared" si="14"/>
        <v>10000</v>
      </c>
      <c r="AC62" s="253">
        <f t="shared" si="14"/>
        <v>10000</v>
      </c>
      <c r="AD62" s="253">
        <f t="shared" si="14"/>
        <v>10000</v>
      </c>
      <c r="AE62" s="253">
        <f t="shared" si="14"/>
        <v>10000</v>
      </c>
      <c r="AF62" s="253">
        <f t="shared" si="14"/>
        <v>10000</v>
      </c>
      <c r="AG62" s="253">
        <f t="shared" si="14"/>
        <v>10000</v>
      </c>
      <c r="AH62" s="253">
        <f t="shared" si="14"/>
        <v>10000</v>
      </c>
      <c r="AI62" s="253">
        <f t="shared" si="14"/>
        <v>10000</v>
      </c>
      <c r="AJ62" s="253">
        <f t="shared" si="14"/>
        <v>10000</v>
      </c>
      <c r="AK62" s="253">
        <f t="shared" si="14"/>
        <v>10000</v>
      </c>
      <c r="AL62" s="253">
        <f t="shared" si="14"/>
        <v>10000</v>
      </c>
      <c r="AM62" s="253">
        <f t="shared" si="14"/>
        <v>10000</v>
      </c>
    </row>
    <row r="63" spans="2:39" s="251" customFormat="1" hidden="1" outlineLevel="1" x14ac:dyDescent="0.25">
      <c r="B63" s="251" t="str">
        <v>NyAff2</v>
      </c>
      <c r="C63" s="22" t="s">
        <v>255</v>
      </c>
      <c r="D63" s="252">
        <f t="shared" si="10"/>
        <v>833.33333333333337</v>
      </c>
      <c r="E63" s="253">
        <f t="shared" si="14"/>
        <v>833.33333333333337</v>
      </c>
      <c r="F63" s="253">
        <f t="shared" si="14"/>
        <v>833.33333333333337</v>
      </c>
      <c r="G63" s="253">
        <f t="shared" si="14"/>
        <v>833.33333333333337</v>
      </c>
      <c r="H63" s="253">
        <f t="shared" si="14"/>
        <v>833.33333333333337</v>
      </c>
      <c r="I63" s="253">
        <f t="shared" si="14"/>
        <v>833.33333333333337</v>
      </c>
      <c r="J63" s="253">
        <f t="shared" si="14"/>
        <v>833.33333333333337</v>
      </c>
      <c r="K63" s="253">
        <f t="shared" si="14"/>
        <v>833.33333333333337</v>
      </c>
      <c r="L63" s="253">
        <f t="shared" si="14"/>
        <v>833.33333333333337</v>
      </c>
      <c r="M63" s="253">
        <f t="shared" si="14"/>
        <v>833.33333333333337</v>
      </c>
      <c r="N63" s="253">
        <f t="shared" si="14"/>
        <v>833.33333333333337</v>
      </c>
      <c r="O63" s="253">
        <f t="shared" ref="E63:AM66" si="15">IF(AND($I27&lt;&gt;0,$H27=0),$M27/12,$M27)</f>
        <v>833.33333333333337</v>
      </c>
      <c r="P63" s="252">
        <f t="shared" si="15"/>
        <v>833.33333333333337</v>
      </c>
      <c r="Q63" s="253">
        <f t="shared" si="15"/>
        <v>833.33333333333337</v>
      </c>
      <c r="R63" s="253">
        <f t="shared" si="15"/>
        <v>833.33333333333337</v>
      </c>
      <c r="S63" s="253">
        <f t="shared" si="15"/>
        <v>833.33333333333337</v>
      </c>
      <c r="T63" s="253">
        <f t="shared" si="15"/>
        <v>833.33333333333337</v>
      </c>
      <c r="U63" s="253">
        <f t="shared" si="15"/>
        <v>833.33333333333337</v>
      </c>
      <c r="V63" s="253">
        <f t="shared" si="15"/>
        <v>833.33333333333337</v>
      </c>
      <c r="W63" s="253">
        <f t="shared" si="15"/>
        <v>833.33333333333337</v>
      </c>
      <c r="X63" s="253">
        <f t="shared" si="15"/>
        <v>833.33333333333337</v>
      </c>
      <c r="Y63" s="253">
        <f t="shared" si="15"/>
        <v>833.33333333333337</v>
      </c>
      <c r="Z63" s="253">
        <f t="shared" si="15"/>
        <v>833.33333333333337</v>
      </c>
      <c r="AA63" s="253">
        <f t="shared" si="15"/>
        <v>833.33333333333337</v>
      </c>
      <c r="AB63" s="252">
        <f t="shared" si="15"/>
        <v>833.33333333333337</v>
      </c>
      <c r="AC63" s="253">
        <f t="shared" si="15"/>
        <v>833.33333333333337</v>
      </c>
      <c r="AD63" s="253">
        <f t="shared" si="15"/>
        <v>833.33333333333337</v>
      </c>
      <c r="AE63" s="253">
        <f t="shared" si="15"/>
        <v>833.33333333333337</v>
      </c>
      <c r="AF63" s="253">
        <f t="shared" si="15"/>
        <v>833.33333333333337</v>
      </c>
      <c r="AG63" s="253">
        <f t="shared" si="15"/>
        <v>833.33333333333337</v>
      </c>
      <c r="AH63" s="253">
        <f t="shared" si="15"/>
        <v>833.33333333333337</v>
      </c>
      <c r="AI63" s="253">
        <f t="shared" si="15"/>
        <v>833.33333333333337</v>
      </c>
      <c r="AJ63" s="253">
        <f t="shared" si="15"/>
        <v>833.33333333333337</v>
      </c>
      <c r="AK63" s="253">
        <f t="shared" si="15"/>
        <v>833.33333333333337</v>
      </c>
      <c r="AL63" s="253">
        <f t="shared" si="15"/>
        <v>833.33333333333337</v>
      </c>
      <c r="AM63" s="253">
        <f t="shared" si="15"/>
        <v>833.33333333333337</v>
      </c>
    </row>
    <row r="64" spans="2:39" s="251" customFormat="1" hidden="1" outlineLevel="1" x14ac:dyDescent="0.25">
      <c r="B64" s="251" t="str">
        <v>NyAff3</v>
      </c>
      <c r="C64" s="22" t="s">
        <v>255</v>
      </c>
      <c r="D64" s="252">
        <f t="shared" si="10"/>
        <v>833.33333333333337</v>
      </c>
      <c r="E64" s="253">
        <f t="shared" si="15"/>
        <v>833.33333333333337</v>
      </c>
      <c r="F64" s="253">
        <f t="shared" si="15"/>
        <v>833.33333333333337</v>
      </c>
      <c r="G64" s="253">
        <f t="shared" si="15"/>
        <v>833.33333333333337</v>
      </c>
      <c r="H64" s="253">
        <f t="shared" si="15"/>
        <v>833.33333333333337</v>
      </c>
      <c r="I64" s="253">
        <f t="shared" si="15"/>
        <v>833.33333333333337</v>
      </c>
      <c r="J64" s="253">
        <f t="shared" si="15"/>
        <v>833.33333333333337</v>
      </c>
      <c r="K64" s="253">
        <f t="shared" si="15"/>
        <v>833.33333333333337</v>
      </c>
      <c r="L64" s="253">
        <f t="shared" si="15"/>
        <v>833.33333333333337</v>
      </c>
      <c r="M64" s="253">
        <f t="shared" si="15"/>
        <v>833.33333333333337</v>
      </c>
      <c r="N64" s="253">
        <f t="shared" si="15"/>
        <v>833.33333333333337</v>
      </c>
      <c r="O64" s="253">
        <f t="shared" si="15"/>
        <v>833.33333333333337</v>
      </c>
      <c r="P64" s="252">
        <f t="shared" si="15"/>
        <v>833.33333333333337</v>
      </c>
      <c r="Q64" s="253">
        <f t="shared" si="15"/>
        <v>833.33333333333337</v>
      </c>
      <c r="R64" s="253">
        <f t="shared" si="15"/>
        <v>833.33333333333337</v>
      </c>
      <c r="S64" s="253">
        <f t="shared" si="15"/>
        <v>833.33333333333337</v>
      </c>
      <c r="T64" s="253">
        <f t="shared" si="15"/>
        <v>833.33333333333337</v>
      </c>
      <c r="U64" s="253">
        <f t="shared" si="15"/>
        <v>833.33333333333337</v>
      </c>
      <c r="V64" s="253">
        <f t="shared" si="15"/>
        <v>833.33333333333337</v>
      </c>
      <c r="W64" s="253">
        <f t="shared" si="15"/>
        <v>833.33333333333337</v>
      </c>
      <c r="X64" s="253">
        <f t="shared" si="15"/>
        <v>833.33333333333337</v>
      </c>
      <c r="Y64" s="253">
        <f t="shared" si="15"/>
        <v>833.33333333333337</v>
      </c>
      <c r="Z64" s="253">
        <f t="shared" si="15"/>
        <v>833.33333333333337</v>
      </c>
      <c r="AA64" s="253">
        <f t="shared" si="15"/>
        <v>833.33333333333337</v>
      </c>
      <c r="AB64" s="252">
        <f t="shared" si="15"/>
        <v>833.33333333333337</v>
      </c>
      <c r="AC64" s="253">
        <f t="shared" si="15"/>
        <v>833.33333333333337</v>
      </c>
      <c r="AD64" s="253">
        <f t="shared" si="15"/>
        <v>833.33333333333337</v>
      </c>
      <c r="AE64" s="253">
        <f t="shared" si="15"/>
        <v>833.33333333333337</v>
      </c>
      <c r="AF64" s="253">
        <f t="shared" si="15"/>
        <v>833.33333333333337</v>
      </c>
      <c r="AG64" s="253">
        <f t="shared" si="15"/>
        <v>833.33333333333337</v>
      </c>
      <c r="AH64" s="253">
        <f t="shared" si="15"/>
        <v>833.33333333333337</v>
      </c>
      <c r="AI64" s="253">
        <f t="shared" si="15"/>
        <v>833.33333333333337</v>
      </c>
      <c r="AJ64" s="253">
        <f t="shared" si="15"/>
        <v>833.33333333333337</v>
      </c>
      <c r="AK64" s="253">
        <f t="shared" si="15"/>
        <v>833.33333333333337</v>
      </c>
      <c r="AL64" s="253">
        <f t="shared" si="15"/>
        <v>833.33333333333337</v>
      </c>
      <c r="AM64" s="253">
        <f t="shared" si="15"/>
        <v>833.33333333333337</v>
      </c>
    </row>
    <row r="65" spans="1:39" s="251" customFormat="1" hidden="1" outlineLevel="1" x14ac:dyDescent="0.25">
      <c r="B65" s="251" t="str">
        <v>NyAff4</v>
      </c>
      <c r="C65" s="22" t="s">
        <v>255</v>
      </c>
      <c r="D65" s="252">
        <f t="shared" si="10"/>
        <v>833.33333333333337</v>
      </c>
      <c r="E65" s="253">
        <f t="shared" si="15"/>
        <v>833.33333333333337</v>
      </c>
      <c r="F65" s="253">
        <f t="shared" si="15"/>
        <v>833.33333333333337</v>
      </c>
      <c r="G65" s="253">
        <f t="shared" si="15"/>
        <v>833.33333333333337</v>
      </c>
      <c r="H65" s="253">
        <f t="shared" si="15"/>
        <v>833.33333333333337</v>
      </c>
      <c r="I65" s="253">
        <f t="shared" si="15"/>
        <v>833.33333333333337</v>
      </c>
      <c r="J65" s="253">
        <f t="shared" si="15"/>
        <v>833.33333333333337</v>
      </c>
      <c r="K65" s="253">
        <f t="shared" si="15"/>
        <v>833.33333333333337</v>
      </c>
      <c r="L65" s="253">
        <f t="shared" si="15"/>
        <v>833.33333333333337</v>
      </c>
      <c r="M65" s="253">
        <f t="shared" si="15"/>
        <v>833.33333333333337</v>
      </c>
      <c r="N65" s="253">
        <f t="shared" si="15"/>
        <v>833.33333333333337</v>
      </c>
      <c r="O65" s="253">
        <f t="shared" si="15"/>
        <v>833.33333333333337</v>
      </c>
      <c r="P65" s="252">
        <f t="shared" si="15"/>
        <v>833.33333333333337</v>
      </c>
      <c r="Q65" s="253">
        <f t="shared" si="15"/>
        <v>833.33333333333337</v>
      </c>
      <c r="R65" s="253">
        <f t="shared" si="15"/>
        <v>833.33333333333337</v>
      </c>
      <c r="S65" s="253">
        <f t="shared" si="15"/>
        <v>833.33333333333337</v>
      </c>
      <c r="T65" s="253">
        <f t="shared" si="15"/>
        <v>833.33333333333337</v>
      </c>
      <c r="U65" s="253">
        <f t="shared" si="15"/>
        <v>833.33333333333337</v>
      </c>
      <c r="V65" s="253">
        <f t="shared" si="15"/>
        <v>833.33333333333337</v>
      </c>
      <c r="W65" s="253">
        <f t="shared" si="15"/>
        <v>833.33333333333337</v>
      </c>
      <c r="X65" s="253">
        <f t="shared" si="15"/>
        <v>833.33333333333337</v>
      </c>
      <c r="Y65" s="253">
        <f t="shared" si="15"/>
        <v>833.33333333333337</v>
      </c>
      <c r="Z65" s="253">
        <f t="shared" si="15"/>
        <v>833.33333333333337</v>
      </c>
      <c r="AA65" s="253">
        <f t="shared" si="15"/>
        <v>833.33333333333337</v>
      </c>
      <c r="AB65" s="252">
        <f t="shared" si="15"/>
        <v>833.33333333333337</v>
      </c>
      <c r="AC65" s="253">
        <f t="shared" si="15"/>
        <v>833.33333333333337</v>
      </c>
      <c r="AD65" s="253">
        <f t="shared" si="15"/>
        <v>833.33333333333337</v>
      </c>
      <c r="AE65" s="253">
        <f t="shared" si="15"/>
        <v>833.33333333333337</v>
      </c>
      <c r="AF65" s="253">
        <f t="shared" si="15"/>
        <v>833.33333333333337</v>
      </c>
      <c r="AG65" s="253">
        <f t="shared" si="15"/>
        <v>833.33333333333337</v>
      </c>
      <c r="AH65" s="253">
        <f t="shared" si="15"/>
        <v>833.33333333333337</v>
      </c>
      <c r="AI65" s="253">
        <f t="shared" si="15"/>
        <v>833.33333333333337</v>
      </c>
      <c r="AJ65" s="253">
        <f t="shared" si="15"/>
        <v>833.33333333333337</v>
      </c>
      <c r="AK65" s="253">
        <f t="shared" si="15"/>
        <v>833.33333333333337</v>
      </c>
      <c r="AL65" s="253">
        <f t="shared" si="15"/>
        <v>833.33333333333337</v>
      </c>
      <c r="AM65" s="253">
        <f t="shared" si="15"/>
        <v>833.33333333333337</v>
      </c>
    </row>
    <row r="66" spans="1:39" s="251" customFormat="1" hidden="1" outlineLevel="1" x14ac:dyDescent="0.25">
      <c r="B66" s="251" t="str">
        <v>NyAff5</v>
      </c>
      <c r="C66" s="22" t="s">
        <v>255</v>
      </c>
      <c r="D66" s="252">
        <f t="shared" si="10"/>
        <v>833.33333333333337</v>
      </c>
      <c r="E66" s="253">
        <f t="shared" si="15"/>
        <v>833.33333333333337</v>
      </c>
      <c r="F66" s="253">
        <f t="shared" si="15"/>
        <v>833.33333333333337</v>
      </c>
      <c r="G66" s="253">
        <f t="shared" si="15"/>
        <v>833.33333333333337</v>
      </c>
      <c r="H66" s="253">
        <f t="shared" si="15"/>
        <v>833.33333333333337</v>
      </c>
      <c r="I66" s="253">
        <f t="shared" si="15"/>
        <v>833.33333333333337</v>
      </c>
      <c r="J66" s="253">
        <f t="shared" si="15"/>
        <v>833.33333333333337</v>
      </c>
      <c r="K66" s="253">
        <f t="shared" si="15"/>
        <v>833.33333333333337</v>
      </c>
      <c r="L66" s="253">
        <f t="shared" si="15"/>
        <v>833.33333333333337</v>
      </c>
      <c r="M66" s="253">
        <f t="shared" si="15"/>
        <v>833.33333333333337</v>
      </c>
      <c r="N66" s="253">
        <f t="shared" si="15"/>
        <v>833.33333333333337</v>
      </c>
      <c r="O66" s="253">
        <f t="shared" si="15"/>
        <v>833.33333333333337</v>
      </c>
      <c r="P66" s="252">
        <f t="shared" si="15"/>
        <v>833.33333333333337</v>
      </c>
      <c r="Q66" s="253">
        <f t="shared" si="15"/>
        <v>833.33333333333337</v>
      </c>
      <c r="R66" s="253">
        <f t="shared" si="15"/>
        <v>833.33333333333337</v>
      </c>
      <c r="S66" s="253">
        <f t="shared" si="15"/>
        <v>833.33333333333337</v>
      </c>
      <c r="T66" s="253">
        <f t="shared" si="15"/>
        <v>833.33333333333337</v>
      </c>
      <c r="U66" s="253">
        <f t="shared" si="15"/>
        <v>833.33333333333337</v>
      </c>
      <c r="V66" s="253">
        <f t="shared" si="15"/>
        <v>833.33333333333337</v>
      </c>
      <c r="W66" s="253">
        <f t="shared" si="15"/>
        <v>833.33333333333337</v>
      </c>
      <c r="X66" s="253">
        <f t="shared" si="15"/>
        <v>833.33333333333337</v>
      </c>
      <c r="Y66" s="253">
        <f t="shared" si="15"/>
        <v>833.33333333333337</v>
      </c>
      <c r="Z66" s="253">
        <f t="shared" si="15"/>
        <v>833.33333333333337</v>
      </c>
      <c r="AA66" s="253">
        <f t="shared" si="15"/>
        <v>833.33333333333337</v>
      </c>
      <c r="AB66" s="252">
        <f t="shared" si="15"/>
        <v>833.33333333333337</v>
      </c>
      <c r="AC66" s="253">
        <f t="shared" si="15"/>
        <v>833.33333333333337</v>
      </c>
      <c r="AD66" s="253">
        <f t="shared" si="15"/>
        <v>833.33333333333337</v>
      </c>
      <c r="AE66" s="253">
        <f t="shared" si="15"/>
        <v>833.33333333333337</v>
      </c>
      <c r="AF66" s="253">
        <f t="shared" si="15"/>
        <v>833.33333333333337</v>
      </c>
      <c r="AG66" s="253">
        <f t="shared" si="15"/>
        <v>833.33333333333337</v>
      </c>
      <c r="AH66" s="253">
        <f t="shared" si="15"/>
        <v>833.33333333333337</v>
      </c>
      <c r="AI66" s="253">
        <f t="shared" si="15"/>
        <v>833.33333333333337</v>
      </c>
      <c r="AJ66" s="253">
        <f t="shared" si="15"/>
        <v>833.33333333333337</v>
      </c>
      <c r="AK66" s="253">
        <f t="shared" si="15"/>
        <v>833.33333333333337</v>
      </c>
      <c r="AL66" s="253">
        <f t="shared" si="15"/>
        <v>833.33333333333337</v>
      </c>
      <c r="AM66" s="253">
        <f t="shared" si="15"/>
        <v>833.33333333333337</v>
      </c>
    </row>
    <row r="67" spans="1:39" hidden="1" outlineLevel="1" x14ac:dyDescent="0.25">
      <c r="A67" s="298"/>
      <c r="B67" t="str" cm="1">
        <f t="array" ref="B67:B69">ØvrigeBrændsler</f>
        <v>Flis</v>
      </c>
      <c r="C67" s="22" t="s">
        <v>255</v>
      </c>
      <c r="D67" s="252">
        <f t="shared" ref="D67:AM67" si="16">IF(AND($I31&lt;&gt;0,$H31=0),$M31/12,$M31)</f>
        <v>0</v>
      </c>
      <c r="E67" s="253">
        <f t="shared" si="16"/>
        <v>0</v>
      </c>
      <c r="F67" s="253">
        <f t="shared" si="16"/>
        <v>0</v>
      </c>
      <c r="G67" s="253">
        <f t="shared" si="16"/>
        <v>0</v>
      </c>
      <c r="H67" s="253">
        <f t="shared" si="16"/>
        <v>0</v>
      </c>
      <c r="I67" s="253">
        <f t="shared" si="16"/>
        <v>0</v>
      </c>
      <c r="J67" s="253">
        <f t="shared" si="16"/>
        <v>0</v>
      </c>
      <c r="K67" s="253">
        <f t="shared" si="16"/>
        <v>0</v>
      </c>
      <c r="L67" s="253">
        <f t="shared" si="16"/>
        <v>0</v>
      </c>
      <c r="M67" s="253">
        <f t="shared" si="16"/>
        <v>0</v>
      </c>
      <c r="N67" s="253">
        <f t="shared" si="16"/>
        <v>0</v>
      </c>
      <c r="O67" s="253">
        <f t="shared" si="16"/>
        <v>0</v>
      </c>
      <c r="P67" s="252">
        <f t="shared" si="16"/>
        <v>0</v>
      </c>
      <c r="Q67" s="253">
        <f t="shared" si="16"/>
        <v>0</v>
      </c>
      <c r="R67" s="253">
        <f t="shared" si="16"/>
        <v>0</v>
      </c>
      <c r="S67" s="253">
        <f t="shared" si="16"/>
        <v>0</v>
      </c>
      <c r="T67" s="253">
        <f t="shared" si="16"/>
        <v>0</v>
      </c>
      <c r="U67" s="253">
        <f t="shared" si="16"/>
        <v>0</v>
      </c>
      <c r="V67" s="253">
        <f t="shared" si="16"/>
        <v>0</v>
      </c>
      <c r="W67" s="253">
        <f t="shared" si="16"/>
        <v>0</v>
      </c>
      <c r="X67" s="253">
        <f t="shared" si="16"/>
        <v>0</v>
      </c>
      <c r="Y67" s="253">
        <f t="shared" si="16"/>
        <v>0</v>
      </c>
      <c r="Z67" s="253">
        <f t="shared" si="16"/>
        <v>0</v>
      </c>
      <c r="AA67" s="253">
        <f t="shared" si="16"/>
        <v>0</v>
      </c>
      <c r="AB67" s="252">
        <f t="shared" si="16"/>
        <v>0</v>
      </c>
      <c r="AC67" s="253">
        <f t="shared" si="16"/>
        <v>0</v>
      </c>
      <c r="AD67" s="253">
        <f t="shared" si="16"/>
        <v>0</v>
      </c>
      <c r="AE67" s="253">
        <f t="shared" si="16"/>
        <v>0</v>
      </c>
      <c r="AF67" s="253">
        <f t="shared" si="16"/>
        <v>0</v>
      </c>
      <c r="AG67" s="253">
        <f t="shared" si="16"/>
        <v>0</v>
      </c>
      <c r="AH67" s="253">
        <f t="shared" si="16"/>
        <v>0</v>
      </c>
      <c r="AI67" s="253">
        <f t="shared" si="16"/>
        <v>0</v>
      </c>
      <c r="AJ67" s="253">
        <f t="shared" si="16"/>
        <v>0</v>
      </c>
      <c r="AK67" s="253">
        <f t="shared" si="16"/>
        <v>0</v>
      </c>
      <c r="AL67" s="253">
        <f t="shared" si="16"/>
        <v>0</v>
      </c>
      <c r="AM67" s="253">
        <f t="shared" si="16"/>
        <v>0</v>
      </c>
    </row>
    <row r="68" spans="1:39" hidden="1" outlineLevel="1" x14ac:dyDescent="0.25">
      <c r="A68" s="299"/>
      <c r="B68" t="str">
        <v>NSvarme</v>
      </c>
      <c r="C68" s="22" t="s">
        <v>255</v>
      </c>
      <c r="D68" s="252">
        <f t="shared" ref="D68:AM68" si="17">IF(AND($I32&lt;&gt;0,$H32=0),$M32/12,$M32)</f>
        <v>11000</v>
      </c>
      <c r="E68" s="253">
        <f t="shared" si="17"/>
        <v>11000</v>
      </c>
      <c r="F68" s="253">
        <f t="shared" si="17"/>
        <v>11000</v>
      </c>
      <c r="G68" s="253">
        <f t="shared" si="17"/>
        <v>11000</v>
      </c>
      <c r="H68" s="253">
        <f t="shared" si="17"/>
        <v>11000</v>
      </c>
      <c r="I68" s="253">
        <f t="shared" si="17"/>
        <v>11000</v>
      </c>
      <c r="J68" s="253">
        <f t="shared" si="17"/>
        <v>11000</v>
      </c>
      <c r="K68" s="253">
        <f t="shared" si="17"/>
        <v>11000</v>
      </c>
      <c r="L68" s="253">
        <f t="shared" si="17"/>
        <v>11000</v>
      </c>
      <c r="M68" s="253">
        <f t="shared" si="17"/>
        <v>11000</v>
      </c>
      <c r="N68" s="253">
        <f t="shared" si="17"/>
        <v>11000</v>
      </c>
      <c r="O68" s="253">
        <f t="shared" si="17"/>
        <v>11000</v>
      </c>
      <c r="P68" s="252">
        <f t="shared" si="17"/>
        <v>11000</v>
      </c>
      <c r="Q68" s="253">
        <f t="shared" si="17"/>
        <v>11000</v>
      </c>
      <c r="R68" s="253">
        <f t="shared" si="17"/>
        <v>11000</v>
      </c>
      <c r="S68" s="253">
        <f t="shared" si="17"/>
        <v>11000</v>
      </c>
      <c r="T68" s="253">
        <f t="shared" si="17"/>
        <v>11000</v>
      </c>
      <c r="U68" s="253">
        <f t="shared" si="17"/>
        <v>11000</v>
      </c>
      <c r="V68" s="253">
        <f t="shared" si="17"/>
        <v>11000</v>
      </c>
      <c r="W68" s="253">
        <f t="shared" si="17"/>
        <v>11000</v>
      </c>
      <c r="X68" s="253">
        <f t="shared" si="17"/>
        <v>11000</v>
      </c>
      <c r="Y68" s="253">
        <f t="shared" si="17"/>
        <v>11000</v>
      </c>
      <c r="Z68" s="253">
        <f t="shared" si="17"/>
        <v>11000</v>
      </c>
      <c r="AA68" s="253">
        <f t="shared" si="17"/>
        <v>11000</v>
      </c>
      <c r="AB68" s="252">
        <f t="shared" si="17"/>
        <v>11000</v>
      </c>
      <c r="AC68" s="253">
        <f t="shared" si="17"/>
        <v>11000</v>
      </c>
      <c r="AD68" s="253">
        <f t="shared" si="17"/>
        <v>11000</v>
      </c>
      <c r="AE68" s="253">
        <f t="shared" si="17"/>
        <v>11000</v>
      </c>
      <c r="AF68" s="253">
        <f t="shared" si="17"/>
        <v>11000</v>
      </c>
      <c r="AG68" s="253">
        <f t="shared" si="17"/>
        <v>11000</v>
      </c>
      <c r="AH68" s="253">
        <f t="shared" si="17"/>
        <v>11000</v>
      </c>
      <c r="AI68" s="253">
        <f t="shared" si="17"/>
        <v>11000</v>
      </c>
      <c r="AJ68" s="253">
        <f t="shared" si="17"/>
        <v>11000</v>
      </c>
      <c r="AK68" s="253">
        <f t="shared" si="17"/>
        <v>11000</v>
      </c>
      <c r="AL68" s="253">
        <f t="shared" si="17"/>
        <v>11000</v>
      </c>
      <c r="AM68" s="253">
        <f t="shared" si="17"/>
        <v>11000</v>
      </c>
    </row>
    <row r="69" spans="1:39" hidden="1" outlineLevel="1" x14ac:dyDescent="0.25">
      <c r="A69" s="299"/>
      <c r="B69" t="str">
        <v>PeakFuel</v>
      </c>
      <c r="C69" s="22" t="s">
        <v>255</v>
      </c>
      <c r="D69" s="252">
        <f t="shared" ref="D69:AM69" si="18">IF(AND($I33&lt;&gt;0,$H33=0),$M33/12,$M33)</f>
        <v>20000</v>
      </c>
      <c r="E69" s="253">
        <f t="shared" si="18"/>
        <v>20000</v>
      </c>
      <c r="F69" s="253">
        <f t="shared" si="18"/>
        <v>20000</v>
      </c>
      <c r="G69" s="253">
        <f t="shared" si="18"/>
        <v>20000</v>
      </c>
      <c r="H69" s="253">
        <f t="shared" si="18"/>
        <v>20000</v>
      </c>
      <c r="I69" s="253">
        <f t="shared" si="18"/>
        <v>20000</v>
      </c>
      <c r="J69" s="253">
        <f t="shared" si="18"/>
        <v>20000</v>
      </c>
      <c r="K69" s="253">
        <f t="shared" si="18"/>
        <v>20000</v>
      </c>
      <c r="L69" s="253">
        <f t="shared" si="18"/>
        <v>20000</v>
      </c>
      <c r="M69" s="253">
        <f t="shared" si="18"/>
        <v>20000</v>
      </c>
      <c r="N69" s="253">
        <f t="shared" si="18"/>
        <v>20000</v>
      </c>
      <c r="O69" s="253">
        <f t="shared" si="18"/>
        <v>20000</v>
      </c>
      <c r="P69" s="252">
        <f t="shared" si="18"/>
        <v>20000</v>
      </c>
      <c r="Q69" s="253">
        <f t="shared" si="18"/>
        <v>20000</v>
      </c>
      <c r="R69" s="253">
        <f t="shared" si="18"/>
        <v>20000</v>
      </c>
      <c r="S69" s="253">
        <f t="shared" si="18"/>
        <v>20000</v>
      </c>
      <c r="T69" s="253">
        <f t="shared" si="18"/>
        <v>20000</v>
      </c>
      <c r="U69" s="253">
        <f t="shared" si="18"/>
        <v>20000</v>
      </c>
      <c r="V69" s="253">
        <f t="shared" si="18"/>
        <v>20000</v>
      </c>
      <c r="W69" s="253">
        <f t="shared" si="18"/>
        <v>20000</v>
      </c>
      <c r="X69" s="253">
        <f t="shared" si="18"/>
        <v>20000</v>
      </c>
      <c r="Y69" s="253">
        <f t="shared" si="18"/>
        <v>20000</v>
      </c>
      <c r="Z69" s="253">
        <f t="shared" si="18"/>
        <v>20000</v>
      </c>
      <c r="AA69" s="253">
        <f t="shared" si="18"/>
        <v>20000</v>
      </c>
      <c r="AB69" s="252">
        <f t="shared" si="18"/>
        <v>20000</v>
      </c>
      <c r="AC69" s="253">
        <f t="shared" si="18"/>
        <v>20000</v>
      </c>
      <c r="AD69" s="253">
        <f t="shared" si="18"/>
        <v>20000</v>
      </c>
      <c r="AE69" s="253">
        <f t="shared" si="18"/>
        <v>20000</v>
      </c>
      <c r="AF69" s="253">
        <f t="shared" si="18"/>
        <v>20000</v>
      </c>
      <c r="AG69" s="253">
        <f t="shared" si="18"/>
        <v>20000</v>
      </c>
      <c r="AH69" s="253">
        <f t="shared" si="18"/>
        <v>20000</v>
      </c>
      <c r="AI69" s="253">
        <f t="shared" si="18"/>
        <v>20000</v>
      </c>
      <c r="AJ69" s="253">
        <f t="shared" si="18"/>
        <v>20000</v>
      </c>
      <c r="AK69" s="253">
        <f t="shared" si="18"/>
        <v>20000</v>
      </c>
      <c r="AL69" s="253">
        <f t="shared" si="18"/>
        <v>20000</v>
      </c>
      <c r="AM69" s="253">
        <f t="shared" si="18"/>
        <v>20000</v>
      </c>
    </row>
    <row r="70" spans="1:39" s="26" customFormat="1" ht="15.75" collapsed="1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2" customFormat="1" hidden="1" outlineLevel="1" x14ac:dyDescent="0.25">
      <c r="B71" s="242" t="str" cm="1">
        <f t="array" ref="B71:B96">Affaldsfraktioner</f>
        <v>DepoSort</v>
      </c>
      <c r="C71" s="243" t="s">
        <v>254</v>
      </c>
      <c r="D71" s="244">
        <f t="shared" ref="D71:AM71" si="19">IF(OR($H5=0,AND($AA5,NOT($Z5))),$L5/12,0)</f>
        <v>0</v>
      </c>
      <c r="E71" s="245">
        <f t="shared" si="19"/>
        <v>0</v>
      </c>
      <c r="F71" s="245">
        <f t="shared" si="19"/>
        <v>0</v>
      </c>
      <c r="G71" s="245">
        <f t="shared" si="19"/>
        <v>0</v>
      </c>
      <c r="H71" s="245">
        <f t="shared" si="19"/>
        <v>0</v>
      </c>
      <c r="I71" s="245">
        <f t="shared" si="19"/>
        <v>0</v>
      </c>
      <c r="J71" s="245">
        <f t="shared" si="19"/>
        <v>0</v>
      </c>
      <c r="K71" s="245">
        <f t="shared" si="19"/>
        <v>0</v>
      </c>
      <c r="L71" s="245">
        <f t="shared" si="19"/>
        <v>0</v>
      </c>
      <c r="M71" s="245">
        <f t="shared" si="19"/>
        <v>0</v>
      </c>
      <c r="N71" s="245">
        <f t="shared" si="19"/>
        <v>0</v>
      </c>
      <c r="O71" s="245">
        <f t="shared" si="19"/>
        <v>0</v>
      </c>
      <c r="P71" s="244">
        <f t="shared" si="19"/>
        <v>0</v>
      </c>
      <c r="Q71" s="245">
        <f t="shared" si="19"/>
        <v>0</v>
      </c>
      <c r="R71" s="245">
        <f t="shared" si="19"/>
        <v>0</v>
      </c>
      <c r="S71" s="245">
        <f t="shared" si="19"/>
        <v>0</v>
      </c>
      <c r="T71" s="245">
        <f t="shared" si="19"/>
        <v>0</v>
      </c>
      <c r="U71" s="245">
        <f t="shared" si="19"/>
        <v>0</v>
      </c>
      <c r="V71" s="245">
        <f t="shared" si="19"/>
        <v>0</v>
      </c>
      <c r="W71" s="245">
        <f t="shared" si="19"/>
        <v>0</v>
      </c>
      <c r="X71" s="245">
        <f t="shared" si="19"/>
        <v>0</v>
      </c>
      <c r="Y71" s="245">
        <f t="shared" si="19"/>
        <v>0</v>
      </c>
      <c r="Z71" s="245">
        <f t="shared" si="19"/>
        <v>0</v>
      </c>
      <c r="AA71" s="245">
        <f t="shared" si="19"/>
        <v>0</v>
      </c>
      <c r="AB71" s="244">
        <f t="shared" si="19"/>
        <v>0</v>
      </c>
      <c r="AC71" s="245">
        <f t="shared" si="19"/>
        <v>0</v>
      </c>
      <c r="AD71" s="245">
        <f t="shared" si="19"/>
        <v>0</v>
      </c>
      <c r="AE71" s="245">
        <f t="shared" si="19"/>
        <v>0</v>
      </c>
      <c r="AF71" s="245">
        <f t="shared" si="19"/>
        <v>0</v>
      </c>
      <c r="AG71" s="245">
        <f t="shared" si="19"/>
        <v>0</v>
      </c>
      <c r="AH71" s="245">
        <f t="shared" si="19"/>
        <v>0</v>
      </c>
      <c r="AI71" s="245">
        <f t="shared" si="19"/>
        <v>0</v>
      </c>
      <c r="AJ71" s="245">
        <f t="shared" si="19"/>
        <v>0</v>
      </c>
      <c r="AK71" s="245">
        <f t="shared" si="19"/>
        <v>0</v>
      </c>
      <c r="AL71" s="245">
        <f t="shared" si="19"/>
        <v>0</v>
      </c>
      <c r="AM71" s="245">
        <f t="shared" si="19"/>
        <v>0</v>
      </c>
    </row>
    <row r="72" spans="1:39" s="242" customFormat="1" hidden="1" outlineLevel="1" x14ac:dyDescent="0.25">
      <c r="B72" s="242" t="str">
        <v>DepoSmaat</v>
      </c>
      <c r="C72" s="243" t="s">
        <v>254</v>
      </c>
      <c r="D72" s="244">
        <f t="shared" ref="D72:AM72" si="20">IF(OR($H6=0,AND($AA6,NOT($Z6))),$L6/12,0)</f>
        <v>0</v>
      </c>
      <c r="E72" s="245">
        <f t="shared" si="20"/>
        <v>0</v>
      </c>
      <c r="F72" s="245">
        <f t="shared" si="20"/>
        <v>0</v>
      </c>
      <c r="G72" s="245">
        <f t="shared" si="20"/>
        <v>0</v>
      </c>
      <c r="H72" s="245">
        <f t="shared" si="20"/>
        <v>0</v>
      </c>
      <c r="I72" s="245">
        <f t="shared" si="20"/>
        <v>0</v>
      </c>
      <c r="J72" s="245">
        <f t="shared" si="20"/>
        <v>0</v>
      </c>
      <c r="K72" s="245">
        <f t="shared" si="20"/>
        <v>0</v>
      </c>
      <c r="L72" s="245">
        <f t="shared" si="20"/>
        <v>0</v>
      </c>
      <c r="M72" s="245">
        <f t="shared" si="20"/>
        <v>0</v>
      </c>
      <c r="N72" s="245">
        <f t="shared" si="20"/>
        <v>0</v>
      </c>
      <c r="O72" s="245">
        <f t="shared" si="20"/>
        <v>0</v>
      </c>
      <c r="P72" s="244">
        <f t="shared" si="20"/>
        <v>0</v>
      </c>
      <c r="Q72" s="245">
        <f t="shared" si="20"/>
        <v>0</v>
      </c>
      <c r="R72" s="245">
        <f t="shared" si="20"/>
        <v>0</v>
      </c>
      <c r="S72" s="245">
        <f t="shared" si="20"/>
        <v>0</v>
      </c>
      <c r="T72" s="245">
        <f t="shared" si="20"/>
        <v>0</v>
      </c>
      <c r="U72" s="245">
        <f t="shared" si="20"/>
        <v>0</v>
      </c>
      <c r="V72" s="245">
        <f t="shared" si="20"/>
        <v>0</v>
      </c>
      <c r="W72" s="245">
        <f t="shared" si="20"/>
        <v>0</v>
      </c>
      <c r="X72" s="245">
        <f t="shared" si="20"/>
        <v>0</v>
      </c>
      <c r="Y72" s="245">
        <f t="shared" si="20"/>
        <v>0</v>
      </c>
      <c r="Z72" s="245">
        <f t="shared" si="20"/>
        <v>0</v>
      </c>
      <c r="AA72" s="245">
        <f t="shared" si="20"/>
        <v>0</v>
      </c>
      <c r="AB72" s="244">
        <f t="shared" si="20"/>
        <v>0</v>
      </c>
      <c r="AC72" s="245">
        <f t="shared" si="20"/>
        <v>0</v>
      </c>
      <c r="AD72" s="245">
        <f t="shared" si="20"/>
        <v>0</v>
      </c>
      <c r="AE72" s="245">
        <f t="shared" si="20"/>
        <v>0</v>
      </c>
      <c r="AF72" s="245">
        <f t="shared" si="20"/>
        <v>0</v>
      </c>
      <c r="AG72" s="245">
        <f t="shared" si="20"/>
        <v>0</v>
      </c>
      <c r="AH72" s="245">
        <f t="shared" si="20"/>
        <v>0</v>
      </c>
      <c r="AI72" s="245">
        <f t="shared" si="20"/>
        <v>0</v>
      </c>
      <c r="AJ72" s="245">
        <f t="shared" si="20"/>
        <v>0</v>
      </c>
      <c r="AK72" s="245">
        <f t="shared" si="20"/>
        <v>0</v>
      </c>
      <c r="AL72" s="245">
        <f t="shared" si="20"/>
        <v>0</v>
      </c>
      <c r="AM72" s="245">
        <f t="shared" si="20"/>
        <v>0</v>
      </c>
    </row>
    <row r="73" spans="1:39" s="242" customFormat="1" hidden="1" outlineLevel="1" x14ac:dyDescent="0.25">
      <c r="B73" s="242" t="str">
        <v>DepoNedd</v>
      </c>
      <c r="C73" s="243" t="s">
        <v>254</v>
      </c>
      <c r="D73" s="244">
        <f t="shared" ref="D73:AM73" si="21">IF(OR($H7=0,AND($AA7,NOT($Z7))),$L7/12,0)</f>
        <v>0</v>
      </c>
      <c r="E73" s="245">
        <f t="shared" si="21"/>
        <v>0</v>
      </c>
      <c r="F73" s="245">
        <f t="shared" si="21"/>
        <v>0</v>
      </c>
      <c r="G73" s="245">
        <f t="shared" si="21"/>
        <v>0</v>
      </c>
      <c r="H73" s="245">
        <f t="shared" si="21"/>
        <v>0</v>
      </c>
      <c r="I73" s="245">
        <f t="shared" si="21"/>
        <v>0</v>
      </c>
      <c r="J73" s="245">
        <f t="shared" si="21"/>
        <v>0</v>
      </c>
      <c r="K73" s="245">
        <f t="shared" si="21"/>
        <v>0</v>
      </c>
      <c r="L73" s="245">
        <f t="shared" si="21"/>
        <v>0</v>
      </c>
      <c r="M73" s="245">
        <f t="shared" si="21"/>
        <v>0</v>
      </c>
      <c r="N73" s="245">
        <f t="shared" si="21"/>
        <v>0</v>
      </c>
      <c r="O73" s="245">
        <f t="shared" si="21"/>
        <v>0</v>
      </c>
      <c r="P73" s="244">
        <f t="shared" si="21"/>
        <v>0</v>
      </c>
      <c r="Q73" s="245">
        <f t="shared" si="21"/>
        <v>0</v>
      </c>
      <c r="R73" s="245">
        <f t="shared" si="21"/>
        <v>0</v>
      </c>
      <c r="S73" s="245">
        <f t="shared" si="21"/>
        <v>0</v>
      </c>
      <c r="T73" s="245">
        <f t="shared" si="21"/>
        <v>0</v>
      </c>
      <c r="U73" s="245">
        <f t="shared" si="21"/>
        <v>0</v>
      </c>
      <c r="V73" s="245">
        <f t="shared" si="21"/>
        <v>0</v>
      </c>
      <c r="W73" s="245">
        <f t="shared" si="21"/>
        <v>0</v>
      </c>
      <c r="X73" s="245">
        <f t="shared" si="21"/>
        <v>0</v>
      </c>
      <c r="Y73" s="245">
        <f t="shared" si="21"/>
        <v>0</v>
      </c>
      <c r="Z73" s="245">
        <f t="shared" si="21"/>
        <v>0</v>
      </c>
      <c r="AA73" s="245">
        <f t="shared" si="21"/>
        <v>0</v>
      </c>
      <c r="AB73" s="244">
        <f t="shared" si="21"/>
        <v>0</v>
      </c>
      <c r="AC73" s="245">
        <f t="shared" si="21"/>
        <v>0</v>
      </c>
      <c r="AD73" s="245">
        <f t="shared" si="21"/>
        <v>0</v>
      </c>
      <c r="AE73" s="245">
        <f t="shared" si="21"/>
        <v>0</v>
      </c>
      <c r="AF73" s="245">
        <f t="shared" si="21"/>
        <v>0</v>
      </c>
      <c r="AG73" s="245">
        <f t="shared" si="21"/>
        <v>0</v>
      </c>
      <c r="AH73" s="245">
        <f t="shared" si="21"/>
        <v>0</v>
      </c>
      <c r="AI73" s="245">
        <f t="shared" si="21"/>
        <v>0</v>
      </c>
      <c r="AJ73" s="245">
        <f t="shared" si="21"/>
        <v>0</v>
      </c>
      <c r="AK73" s="245">
        <f t="shared" si="21"/>
        <v>0</v>
      </c>
      <c r="AL73" s="245">
        <f t="shared" si="21"/>
        <v>0</v>
      </c>
      <c r="AM73" s="245">
        <f t="shared" si="21"/>
        <v>0</v>
      </c>
    </row>
    <row r="74" spans="1:39" s="242" customFormat="1" hidden="1" outlineLevel="1" x14ac:dyDescent="0.25">
      <c r="B74" s="242" t="str">
        <v>Dagren</v>
      </c>
      <c r="C74" s="243" t="s">
        <v>254</v>
      </c>
      <c r="D74" s="244">
        <f t="shared" ref="D74:AM74" si="22">IF(OR($H8=0,AND($AA8,NOT($Z8))),$L8/12,0)</f>
        <v>2397.2316666666666</v>
      </c>
      <c r="E74" s="245">
        <f t="shared" si="22"/>
        <v>2397.2316666666666</v>
      </c>
      <c r="F74" s="245">
        <f t="shared" si="22"/>
        <v>2397.2316666666666</v>
      </c>
      <c r="G74" s="245">
        <f t="shared" si="22"/>
        <v>2397.2316666666666</v>
      </c>
      <c r="H74" s="245">
        <f t="shared" si="22"/>
        <v>2397.2316666666666</v>
      </c>
      <c r="I74" s="245">
        <f t="shared" si="22"/>
        <v>2397.2316666666666</v>
      </c>
      <c r="J74" s="245">
        <f t="shared" si="22"/>
        <v>2397.2316666666666</v>
      </c>
      <c r="K74" s="245">
        <f t="shared" si="22"/>
        <v>2397.2316666666666</v>
      </c>
      <c r="L74" s="245">
        <f t="shared" si="22"/>
        <v>2397.2316666666666</v>
      </c>
      <c r="M74" s="245">
        <f t="shared" si="22"/>
        <v>2397.2316666666666</v>
      </c>
      <c r="N74" s="245">
        <f t="shared" si="22"/>
        <v>2397.2316666666666</v>
      </c>
      <c r="O74" s="245">
        <f t="shared" si="22"/>
        <v>2397.2316666666666</v>
      </c>
      <c r="P74" s="244">
        <f t="shared" si="22"/>
        <v>2397.2316666666666</v>
      </c>
      <c r="Q74" s="245">
        <f t="shared" si="22"/>
        <v>2397.2316666666666</v>
      </c>
      <c r="R74" s="245">
        <f t="shared" si="22"/>
        <v>2397.2316666666666</v>
      </c>
      <c r="S74" s="245">
        <f t="shared" si="22"/>
        <v>2397.2316666666666</v>
      </c>
      <c r="T74" s="245">
        <f t="shared" si="22"/>
        <v>2397.2316666666666</v>
      </c>
      <c r="U74" s="245">
        <f t="shared" si="22"/>
        <v>2397.2316666666666</v>
      </c>
      <c r="V74" s="245">
        <f t="shared" si="22"/>
        <v>2397.2316666666666</v>
      </c>
      <c r="W74" s="245">
        <f t="shared" si="22"/>
        <v>2397.2316666666666</v>
      </c>
      <c r="X74" s="245">
        <f t="shared" si="22"/>
        <v>2397.2316666666666</v>
      </c>
      <c r="Y74" s="245">
        <f t="shared" si="22"/>
        <v>2397.2316666666666</v>
      </c>
      <c r="Z74" s="245">
        <f t="shared" si="22"/>
        <v>2397.2316666666666</v>
      </c>
      <c r="AA74" s="245">
        <f t="shared" si="22"/>
        <v>2397.2316666666666</v>
      </c>
      <c r="AB74" s="244">
        <f t="shared" si="22"/>
        <v>2397.2316666666666</v>
      </c>
      <c r="AC74" s="245">
        <f t="shared" si="22"/>
        <v>2397.2316666666666</v>
      </c>
      <c r="AD74" s="245">
        <f t="shared" si="22"/>
        <v>2397.2316666666666</v>
      </c>
      <c r="AE74" s="245">
        <f t="shared" si="22"/>
        <v>2397.2316666666666</v>
      </c>
      <c r="AF74" s="245">
        <f t="shared" si="22"/>
        <v>2397.2316666666666</v>
      </c>
      <c r="AG74" s="245">
        <f t="shared" si="22"/>
        <v>2397.2316666666666</v>
      </c>
      <c r="AH74" s="245">
        <f t="shared" si="22"/>
        <v>2397.2316666666666</v>
      </c>
      <c r="AI74" s="245">
        <f t="shared" si="22"/>
        <v>2397.2316666666666</v>
      </c>
      <c r="AJ74" s="245">
        <f t="shared" si="22"/>
        <v>2397.2316666666666</v>
      </c>
      <c r="AK74" s="245">
        <f t="shared" si="22"/>
        <v>2397.2316666666666</v>
      </c>
      <c r="AL74" s="245">
        <f t="shared" si="22"/>
        <v>2397.2316666666666</v>
      </c>
      <c r="AM74" s="245">
        <f t="shared" si="22"/>
        <v>2397.2316666666666</v>
      </c>
    </row>
    <row r="75" spans="1:39" s="242" customFormat="1" hidden="1" outlineLevel="1" x14ac:dyDescent="0.25">
      <c r="B75" s="242" t="str">
        <v>AndetBrand</v>
      </c>
      <c r="C75" s="243" t="s">
        <v>254</v>
      </c>
      <c r="D75" s="244">
        <f t="shared" ref="D75:AM75" si="23">IF(OR($H9=0,AND($AA9,NOT($Z9))),$L9/12,0)</f>
        <v>352.70075000000003</v>
      </c>
      <c r="E75" s="245">
        <f t="shared" si="23"/>
        <v>352.70075000000003</v>
      </c>
      <c r="F75" s="245">
        <f t="shared" si="23"/>
        <v>352.70075000000003</v>
      </c>
      <c r="G75" s="245">
        <f t="shared" si="23"/>
        <v>352.70075000000003</v>
      </c>
      <c r="H75" s="245">
        <f t="shared" si="23"/>
        <v>352.70075000000003</v>
      </c>
      <c r="I75" s="245">
        <f t="shared" si="23"/>
        <v>352.70075000000003</v>
      </c>
      <c r="J75" s="245">
        <f t="shared" si="23"/>
        <v>352.70075000000003</v>
      </c>
      <c r="K75" s="245">
        <f t="shared" si="23"/>
        <v>352.70075000000003</v>
      </c>
      <c r="L75" s="245">
        <f t="shared" si="23"/>
        <v>352.70075000000003</v>
      </c>
      <c r="M75" s="245">
        <f t="shared" si="23"/>
        <v>352.70075000000003</v>
      </c>
      <c r="N75" s="245">
        <f t="shared" si="23"/>
        <v>352.70075000000003</v>
      </c>
      <c r="O75" s="245">
        <f t="shared" si="23"/>
        <v>352.70075000000003</v>
      </c>
      <c r="P75" s="244">
        <f t="shared" si="23"/>
        <v>352.70075000000003</v>
      </c>
      <c r="Q75" s="245">
        <f t="shared" si="23"/>
        <v>352.70075000000003</v>
      </c>
      <c r="R75" s="245">
        <f t="shared" si="23"/>
        <v>352.70075000000003</v>
      </c>
      <c r="S75" s="245">
        <f t="shared" si="23"/>
        <v>352.70075000000003</v>
      </c>
      <c r="T75" s="245">
        <f t="shared" si="23"/>
        <v>352.70075000000003</v>
      </c>
      <c r="U75" s="245">
        <f t="shared" si="23"/>
        <v>352.70075000000003</v>
      </c>
      <c r="V75" s="245">
        <f t="shared" si="23"/>
        <v>352.70075000000003</v>
      </c>
      <c r="W75" s="245">
        <f t="shared" si="23"/>
        <v>352.70075000000003</v>
      </c>
      <c r="X75" s="245">
        <f t="shared" si="23"/>
        <v>352.70075000000003</v>
      </c>
      <c r="Y75" s="245">
        <f t="shared" si="23"/>
        <v>352.70075000000003</v>
      </c>
      <c r="Z75" s="245">
        <f t="shared" si="23"/>
        <v>352.70075000000003</v>
      </c>
      <c r="AA75" s="245">
        <f t="shared" si="23"/>
        <v>352.70075000000003</v>
      </c>
      <c r="AB75" s="244">
        <f t="shared" si="23"/>
        <v>352.70075000000003</v>
      </c>
      <c r="AC75" s="245">
        <f t="shared" si="23"/>
        <v>352.70075000000003</v>
      </c>
      <c r="AD75" s="245">
        <f t="shared" si="23"/>
        <v>352.70075000000003</v>
      </c>
      <c r="AE75" s="245">
        <f t="shared" si="23"/>
        <v>352.70075000000003</v>
      </c>
      <c r="AF75" s="245">
        <f t="shared" si="23"/>
        <v>352.70075000000003</v>
      </c>
      <c r="AG75" s="245">
        <f t="shared" si="23"/>
        <v>352.70075000000003</v>
      </c>
      <c r="AH75" s="245">
        <f t="shared" si="23"/>
        <v>352.70075000000003</v>
      </c>
      <c r="AI75" s="245">
        <f t="shared" si="23"/>
        <v>352.70075000000003</v>
      </c>
      <c r="AJ75" s="245">
        <f t="shared" si="23"/>
        <v>352.70075000000003</v>
      </c>
      <c r="AK75" s="245">
        <f t="shared" si="23"/>
        <v>352.70075000000003</v>
      </c>
      <c r="AL75" s="245">
        <f t="shared" si="23"/>
        <v>352.70075000000003</v>
      </c>
      <c r="AM75" s="245">
        <f t="shared" si="23"/>
        <v>352.70075000000003</v>
      </c>
    </row>
    <row r="76" spans="1:39" s="242" customFormat="1" hidden="1" outlineLevel="1" x14ac:dyDescent="0.25">
      <c r="B76" s="242" t="str">
        <v>Trae</v>
      </c>
      <c r="C76" s="243" t="s">
        <v>254</v>
      </c>
      <c r="D76" s="244">
        <f t="shared" ref="D76:AM76" si="24">IF(OR($H10=0,AND($AA10,NOT($Z10))),$L10/12,0)</f>
        <v>2.7791666666666668</v>
      </c>
      <c r="E76" s="245">
        <f t="shared" si="24"/>
        <v>2.7791666666666668</v>
      </c>
      <c r="F76" s="245">
        <f t="shared" si="24"/>
        <v>2.7791666666666668</v>
      </c>
      <c r="G76" s="245">
        <f t="shared" si="24"/>
        <v>2.7791666666666668</v>
      </c>
      <c r="H76" s="245">
        <f t="shared" si="24"/>
        <v>2.7791666666666668</v>
      </c>
      <c r="I76" s="245">
        <f t="shared" si="24"/>
        <v>2.7791666666666668</v>
      </c>
      <c r="J76" s="245">
        <f t="shared" si="24"/>
        <v>2.7791666666666668</v>
      </c>
      <c r="K76" s="245">
        <f t="shared" si="24"/>
        <v>2.7791666666666668</v>
      </c>
      <c r="L76" s="245">
        <f t="shared" si="24"/>
        <v>2.7791666666666668</v>
      </c>
      <c r="M76" s="245">
        <f t="shared" si="24"/>
        <v>2.7791666666666668</v>
      </c>
      <c r="N76" s="245">
        <f t="shared" si="24"/>
        <v>2.7791666666666668</v>
      </c>
      <c r="O76" s="245">
        <f t="shared" si="24"/>
        <v>2.7791666666666668</v>
      </c>
      <c r="P76" s="244">
        <f t="shared" si="24"/>
        <v>2.7791666666666668</v>
      </c>
      <c r="Q76" s="245">
        <f t="shared" si="24"/>
        <v>2.7791666666666668</v>
      </c>
      <c r="R76" s="245">
        <f t="shared" si="24"/>
        <v>2.7791666666666668</v>
      </c>
      <c r="S76" s="245">
        <f t="shared" si="24"/>
        <v>2.7791666666666668</v>
      </c>
      <c r="T76" s="245">
        <f t="shared" si="24"/>
        <v>2.7791666666666668</v>
      </c>
      <c r="U76" s="245">
        <f t="shared" si="24"/>
        <v>2.7791666666666668</v>
      </c>
      <c r="V76" s="245">
        <f t="shared" si="24"/>
        <v>2.7791666666666668</v>
      </c>
      <c r="W76" s="245">
        <f t="shared" si="24"/>
        <v>2.7791666666666668</v>
      </c>
      <c r="X76" s="245">
        <f t="shared" si="24"/>
        <v>2.7791666666666668</v>
      </c>
      <c r="Y76" s="245">
        <f t="shared" si="24"/>
        <v>2.7791666666666668</v>
      </c>
      <c r="Z76" s="245">
        <f t="shared" si="24"/>
        <v>2.7791666666666668</v>
      </c>
      <c r="AA76" s="245">
        <f t="shared" si="24"/>
        <v>2.7791666666666668</v>
      </c>
      <c r="AB76" s="244">
        <f t="shared" si="24"/>
        <v>2.7791666666666668</v>
      </c>
      <c r="AC76" s="245">
        <f t="shared" si="24"/>
        <v>2.7791666666666668</v>
      </c>
      <c r="AD76" s="245">
        <f t="shared" si="24"/>
        <v>2.7791666666666668</v>
      </c>
      <c r="AE76" s="245">
        <f t="shared" si="24"/>
        <v>2.7791666666666668</v>
      </c>
      <c r="AF76" s="245">
        <f t="shared" si="24"/>
        <v>2.7791666666666668</v>
      </c>
      <c r="AG76" s="245">
        <f t="shared" si="24"/>
        <v>2.7791666666666668</v>
      </c>
      <c r="AH76" s="245">
        <f t="shared" si="24"/>
        <v>2.7791666666666668</v>
      </c>
      <c r="AI76" s="245">
        <f t="shared" si="24"/>
        <v>2.7791666666666668</v>
      </c>
      <c r="AJ76" s="245">
        <f t="shared" si="24"/>
        <v>2.7791666666666668</v>
      </c>
      <c r="AK76" s="245">
        <f t="shared" si="24"/>
        <v>2.7791666666666668</v>
      </c>
      <c r="AL76" s="245">
        <f t="shared" si="24"/>
        <v>2.7791666666666668</v>
      </c>
      <c r="AM76" s="245">
        <f t="shared" si="24"/>
        <v>2.7791666666666668</v>
      </c>
    </row>
    <row r="77" spans="1:39" s="242" customFormat="1" hidden="1" outlineLevel="1" x14ac:dyDescent="0.25">
      <c r="B77" s="242" t="str">
        <v>DagrenRast</v>
      </c>
      <c r="C77" s="243" t="s">
        <v>254</v>
      </c>
      <c r="D77" s="244">
        <f t="shared" ref="D77:AM77" si="25">IF(OR($H11=0,AND($AA11,NOT($Z11))),$L11/12,0)</f>
        <v>357.48166666666663</v>
      </c>
      <c r="E77" s="245">
        <f t="shared" si="25"/>
        <v>357.48166666666663</v>
      </c>
      <c r="F77" s="245">
        <f t="shared" si="25"/>
        <v>357.48166666666663</v>
      </c>
      <c r="G77" s="245">
        <f t="shared" si="25"/>
        <v>357.48166666666663</v>
      </c>
      <c r="H77" s="245">
        <f t="shared" si="25"/>
        <v>357.48166666666663</v>
      </c>
      <c r="I77" s="245">
        <f t="shared" si="25"/>
        <v>357.48166666666663</v>
      </c>
      <c r="J77" s="245">
        <f t="shared" si="25"/>
        <v>357.48166666666663</v>
      </c>
      <c r="K77" s="245">
        <f t="shared" si="25"/>
        <v>357.48166666666663</v>
      </c>
      <c r="L77" s="245">
        <f t="shared" si="25"/>
        <v>357.48166666666663</v>
      </c>
      <c r="M77" s="245">
        <f t="shared" si="25"/>
        <v>357.48166666666663</v>
      </c>
      <c r="N77" s="245">
        <f t="shared" si="25"/>
        <v>357.48166666666663</v>
      </c>
      <c r="O77" s="245">
        <f t="shared" si="25"/>
        <v>357.48166666666663</v>
      </c>
      <c r="P77" s="244">
        <f t="shared" si="25"/>
        <v>357.48166666666663</v>
      </c>
      <c r="Q77" s="245">
        <f t="shared" si="25"/>
        <v>357.48166666666663</v>
      </c>
      <c r="R77" s="245">
        <f t="shared" si="25"/>
        <v>357.48166666666663</v>
      </c>
      <c r="S77" s="245">
        <f t="shared" si="25"/>
        <v>357.48166666666663</v>
      </c>
      <c r="T77" s="245">
        <f t="shared" si="25"/>
        <v>357.48166666666663</v>
      </c>
      <c r="U77" s="245">
        <f t="shared" si="25"/>
        <v>357.48166666666663</v>
      </c>
      <c r="V77" s="245">
        <f t="shared" si="25"/>
        <v>357.48166666666663</v>
      </c>
      <c r="W77" s="245">
        <f t="shared" si="25"/>
        <v>357.48166666666663</v>
      </c>
      <c r="X77" s="245">
        <f t="shared" si="25"/>
        <v>357.48166666666663</v>
      </c>
      <c r="Y77" s="245">
        <f t="shared" si="25"/>
        <v>357.48166666666663</v>
      </c>
      <c r="Z77" s="245">
        <f t="shared" si="25"/>
        <v>357.48166666666663</v>
      </c>
      <c r="AA77" s="245">
        <f t="shared" si="25"/>
        <v>357.48166666666663</v>
      </c>
      <c r="AB77" s="244">
        <f t="shared" si="25"/>
        <v>357.48166666666663</v>
      </c>
      <c r="AC77" s="245">
        <f t="shared" si="25"/>
        <v>357.48166666666663</v>
      </c>
      <c r="AD77" s="245">
        <f t="shared" si="25"/>
        <v>357.48166666666663</v>
      </c>
      <c r="AE77" s="245">
        <f t="shared" si="25"/>
        <v>357.48166666666663</v>
      </c>
      <c r="AF77" s="245">
        <f t="shared" si="25"/>
        <v>357.48166666666663</v>
      </c>
      <c r="AG77" s="245">
        <f t="shared" si="25"/>
        <v>357.48166666666663</v>
      </c>
      <c r="AH77" s="245">
        <f t="shared" si="25"/>
        <v>357.48166666666663</v>
      </c>
      <c r="AI77" s="245">
        <f t="shared" si="25"/>
        <v>357.48166666666663</v>
      </c>
      <c r="AJ77" s="245">
        <f t="shared" si="25"/>
        <v>357.48166666666663</v>
      </c>
      <c r="AK77" s="245">
        <f t="shared" si="25"/>
        <v>357.48166666666663</v>
      </c>
      <c r="AL77" s="245">
        <f t="shared" si="25"/>
        <v>357.48166666666663</v>
      </c>
      <c r="AM77" s="245">
        <f t="shared" si="25"/>
        <v>357.48166666666663</v>
      </c>
    </row>
    <row r="78" spans="1:39" s="242" customFormat="1" hidden="1" outlineLevel="1" x14ac:dyDescent="0.25">
      <c r="B78" s="242" t="str">
        <v>DagrenInst</v>
      </c>
      <c r="C78" s="243" t="s">
        <v>254</v>
      </c>
      <c r="D78" s="244">
        <f t="shared" ref="D78:AM78" si="26">IF(OR($H12=0,AND($AA12,NOT($Z12))),$L12/12,0)</f>
        <v>8.9083333333333314</v>
      </c>
      <c r="E78" s="245">
        <f t="shared" si="26"/>
        <v>8.9083333333333314</v>
      </c>
      <c r="F78" s="245">
        <f t="shared" si="26"/>
        <v>8.9083333333333314</v>
      </c>
      <c r="G78" s="245">
        <f t="shared" si="26"/>
        <v>8.9083333333333314</v>
      </c>
      <c r="H78" s="245">
        <f t="shared" si="26"/>
        <v>8.9083333333333314</v>
      </c>
      <c r="I78" s="245">
        <f t="shared" si="26"/>
        <v>8.9083333333333314</v>
      </c>
      <c r="J78" s="245">
        <f t="shared" si="26"/>
        <v>8.9083333333333314</v>
      </c>
      <c r="K78" s="245">
        <f t="shared" si="26"/>
        <v>8.9083333333333314</v>
      </c>
      <c r="L78" s="245">
        <f t="shared" si="26"/>
        <v>8.9083333333333314</v>
      </c>
      <c r="M78" s="245">
        <f t="shared" si="26"/>
        <v>8.9083333333333314</v>
      </c>
      <c r="N78" s="245">
        <f t="shared" si="26"/>
        <v>8.9083333333333314</v>
      </c>
      <c r="O78" s="245">
        <f t="shared" si="26"/>
        <v>8.9083333333333314</v>
      </c>
      <c r="P78" s="244">
        <f t="shared" si="26"/>
        <v>8.9083333333333314</v>
      </c>
      <c r="Q78" s="245">
        <f t="shared" si="26"/>
        <v>8.9083333333333314</v>
      </c>
      <c r="R78" s="245">
        <f t="shared" si="26"/>
        <v>8.9083333333333314</v>
      </c>
      <c r="S78" s="245">
        <f t="shared" si="26"/>
        <v>8.9083333333333314</v>
      </c>
      <c r="T78" s="245">
        <f t="shared" si="26"/>
        <v>8.9083333333333314</v>
      </c>
      <c r="U78" s="245">
        <f t="shared" si="26"/>
        <v>8.9083333333333314</v>
      </c>
      <c r="V78" s="245">
        <f t="shared" si="26"/>
        <v>8.9083333333333314</v>
      </c>
      <c r="W78" s="245">
        <f t="shared" si="26"/>
        <v>8.9083333333333314</v>
      </c>
      <c r="X78" s="245">
        <f t="shared" si="26"/>
        <v>8.9083333333333314</v>
      </c>
      <c r="Y78" s="245">
        <f t="shared" si="26"/>
        <v>8.9083333333333314</v>
      </c>
      <c r="Z78" s="245">
        <f t="shared" si="26"/>
        <v>8.9083333333333314</v>
      </c>
      <c r="AA78" s="245">
        <f t="shared" si="26"/>
        <v>8.9083333333333314</v>
      </c>
      <c r="AB78" s="244">
        <f t="shared" si="26"/>
        <v>8.9083333333333314</v>
      </c>
      <c r="AC78" s="245">
        <f t="shared" si="26"/>
        <v>8.9083333333333314</v>
      </c>
      <c r="AD78" s="245">
        <f t="shared" si="26"/>
        <v>8.9083333333333314</v>
      </c>
      <c r="AE78" s="245">
        <f t="shared" si="26"/>
        <v>8.9083333333333314</v>
      </c>
      <c r="AF78" s="245">
        <f t="shared" si="26"/>
        <v>8.9083333333333314</v>
      </c>
      <c r="AG78" s="245">
        <f t="shared" si="26"/>
        <v>8.9083333333333314</v>
      </c>
      <c r="AH78" s="245">
        <f t="shared" si="26"/>
        <v>8.9083333333333314</v>
      </c>
      <c r="AI78" s="245">
        <f t="shared" si="26"/>
        <v>8.9083333333333314</v>
      </c>
      <c r="AJ78" s="245">
        <f t="shared" si="26"/>
        <v>8.9083333333333314</v>
      </c>
      <c r="AK78" s="245">
        <f t="shared" si="26"/>
        <v>8.9083333333333314</v>
      </c>
      <c r="AL78" s="245">
        <f t="shared" si="26"/>
        <v>8.9083333333333314</v>
      </c>
      <c r="AM78" s="245">
        <f t="shared" si="26"/>
        <v>8.9083333333333314</v>
      </c>
    </row>
    <row r="79" spans="1:39" s="242" customFormat="1" hidden="1" outlineLevel="1" x14ac:dyDescent="0.25">
      <c r="B79" s="242" t="str">
        <v>DagrenHandel</v>
      </c>
      <c r="C79" s="243" t="s">
        <v>254</v>
      </c>
      <c r="D79" s="244">
        <f t="shared" ref="D79:AM79" si="27">IF(OR($H13=0,AND($AA13,NOT($Z13))),$L13/12,0)</f>
        <v>355.50083333333333</v>
      </c>
      <c r="E79" s="245">
        <f t="shared" si="27"/>
        <v>355.50083333333333</v>
      </c>
      <c r="F79" s="245">
        <f t="shared" si="27"/>
        <v>355.50083333333333</v>
      </c>
      <c r="G79" s="245">
        <f t="shared" si="27"/>
        <v>355.50083333333333</v>
      </c>
      <c r="H79" s="245">
        <f t="shared" si="27"/>
        <v>355.50083333333333</v>
      </c>
      <c r="I79" s="245">
        <f t="shared" si="27"/>
        <v>355.50083333333333</v>
      </c>
      <c r="J79" s="245">
        <f t="shared" si="27"/>
        <v>355.50083333333333</v>
      </c>
      <c r="K79" s="245">
        <f t="shared" si="27"/>
        <v>355.50083333333333</v>
      </c>
      <c r="L79" s="245">
        <f t="shared" si="27"/>
        <v>355.50083333333333</v>
      </c>
      <c r="M79" s="245">
        <f t="shared" si="27"/>
        <v>355.50083333333333</v>
      </c>
      <c r="N79" s="245">
        <f t="shared" si="27"/>
        <v>355.50083333333333</v>
      </c>
      <c r="O79" s="245">
        <f t="shared" si="27"/>
        <v>355.50083333333333</v>
      </c>
      <c r="P79" s="244">
        <f t="shared" si="27"/>
        <v>355.50083333333333</v>
      </c>
      <c r="Q79" s="245">
        <f t="shared" si="27"/>
        <v>355.50083333333333</v>
      </c>
      <c r="R79" s="245">
        <f t="shared" si="27"/>
        <v>355.50083333333333</v>
      </c>
      <c r="S79" s="245">
        <f t="shared" si="27"/>
        <v>355.50083333333333</v>
      </c>
      <c r="T79" s="245">
        <f t="shared" si="27"/>
        <v>355.50083333333333</v>
      </c>
      <c r="U79" s="245">
        <f t="shared" si="27"/>
        <v>355.50083333333333</v>
      </c>
      <c r="V79" s="245">
        <f t="shared" si="27"/>
        <v>355.50083333333333</v>
      </c>
      <c r="W79" s="245">
        <f t="shared" si="27"/>
        <v>355.50083333333333</v>
      </c>
      <c r="X79" s="245">
        <f t="shared" si="27"/>
        <v>355.50083333333333</v>
      </c>
      <c r="Y79" s="245">
        <f t="shared" si="27"/>
        <v>355.50083333333333</v>
      </c>
      <c r="Z79" s="245">
        <f t="shared" si="27"/>
        <v>355.50083333333333</v>
      </c>
      <c r="AA79" s="245">
        <f t="shared" si="27"/>
        <v>355.50083333333333</v>
      </c>
      <c r="AB79" s="244">
        <f t="shared" si="27"/>
        <v>355.50083333333333</v>
      </c>
      <c r="AC79" s="245">
        <f t="shared" si="27"/>
        <v>355.50083333333333</v>
      </c>
      <c r="AD79" s="245">
        <f t="shared" si="27"/>
        <v>355.50083333333333</v>
      </c>
      <c r="AE79" s="245">
        <f t="shared" si="27"/>
        <v>355.50083333333333</v>
      </c>
      <c r="AF79" s="245">
        <f t="shared" si="27"/>
        <v>355.50083333333333</v>
      </c>
      <c r="AG79" s="245">
        <f t="shared" si="27"/>
        <v>355.50083333333333</v>
      </c>
      <c r="AH79" s="245">
        <f t="shared" si="27"/>
        <v>355.50083333333333</v>
      </c>
      <c r="AI79" s="245">
        <f t="shared" si="27"/>
        <v>355.50083333333333</v>
      </c>
      <c r="AJ79" s="245">
        <f t="shared" si="27"/>
        <v>355.50083333333333</v>
      </c>
      <c r="AK79" s="245">
        <f t="shared" si="27"/>
        <v>355.50083333333333</v>
      </c>
      <c r="AL79" s="245">
        <f t="shared" si="27"/>
        <v>355.50083333333333</v>
      </c>
      <c r="AM79" s="245">
        <f t="shared" si="27"/>
        <v>355.50083333333333</v>
      </c>
    </row>
    <row r="80" spans="1:39" s="242" customFormat="1" hidden="1" outlineLevel="1" x14ac:dyDescent="0.25">
      <c r="B80" s="242" t="str">
        <v>DagrenRestau</v>
      </c>
      <c r="C80" s="243" t="s">
        <v>254</v>
      </c>
      <c r="D80" s="244">
        <f t="shared" ref="D80:AM80" si="28">IF(OR($H14=0,AND($AA14,NOT($Z14))),$L14/12,0)</f>
        <v>33.204999999999998</v>
      </c>
      <c r="E80" s="245">
        <f t="shared" si="28"/>
        <v>33.204999999999998</v>
      </c>
      <c r="F80" s="245">
        <f t="shared" si="28"/>
        <v>33.204999999999998</v>
      </c>
      <c r="G80" s="245">
        <f t="shared" si="28"/>
        <v>33.204999999999998</v>
      </c>
      <c r="H80" s="245">
        <f t="shared" si="28"/>
        <v>33.204999999999998</v>
      </c>
      <c r="I80" s="245">
        <f t="shared" si="28"/>
        <v>33.204999999999998</v>
      </c>
      <c r="J80" s="245">
        <f t="shared" si="28"/>
        <v>33.204999999999998</v>
      </c>
      <c r="K80" s="245">
        <f t="shared" si="28"/>
        <v>33.204999999999998</v>
      </c>
      <c r="L80" s="245">
        <f t="shared" si="28"/>
        <v>33.204999999999998</v>
      </c>
      <c r="M80" s="245">
        <f t="shared" si="28"/>
        <v>33.204999999999998</v>
      </c>
      <c r="N80" s="245">
        <f t="shared" si="28"/>
        <v>33.204999999999998</v>
      </c>
      <c r="O80" s="245">
        <f t="shared" si="28"/>
        <v>33.204999999999998</v>
      </c>
      <c r="P80" s="244">
        <f t="shared" si="28"/>
        <v>33.204999999999998</v>
      </c>
      <c r="Q80" s="245">
        <f t="shared" si="28"/>
        <v>33.204999999999998</v>
      </c>
      <c r="R80" s="245">
        <f t="shared" si="28"/>
        <v>33.204999999999998</v>
      </c>
      <c r="S80" s="245">
        <f t="shared" si="28"/>
        <v>33.204999999999998</v>
      </c>
      <c r="T80" s="245">
        <f t="shared" si="28"/>
        <v>33.204999999999998</v>
      </c>
      <c r="U80" s="245">
        <f t="shared" si="28"/>
        <v>33.204999999999998</v>
      </c>
      <c r="V80" s="245">
        <f t="shared" si="28"/>
        <v>33.204999999999998</v>
      </c>
      <c r="W80" s="245">
        <f t="shared" si="28"/>
        <v>33.204999999999998</v>
      </c>
      <c r="X80" s="245">
        <f t="shared" si="28"/>
        <v>33.204999999999998</v>
      </c>
      <c r="Y80" s="245">
        <f t="shared" si="28"/>
        <v>33.204999999999998</v>
      </c>
      <c r="Z80" s="245">
        <f t="shared" si="28"/>
        <v>33.204999999999998</v>
      </c>
      <c r="AA80" s="245">
        <f t="shared" si="28"/>
        <v>33.204999999999998</v>
      </c>
      <c r="AB80" s="244">
        <f t="shared" si="28"/>
        <v>33.204999999999998</v>
      </c>
      <c r="AC80" s="245">
        <f t="shared" si="28"/>
        <v>33.204999999999998</v>
      </c>
      <c r="AD80" s="245">
        <f t="shared" si="28"/>
        <v>33.204999999999998</v>
      </c>
      <c r="AE80" s="245">
        <f t="shared" si="28"/>
        <v>33.204999999999998</v>
      </c>
      <c r="AF80" s="245">
        <f t="shared" si="28"/>
        <v>33.204999999999998</v>
      </c>
      <c r="AG80" s="245">
        <f t="shared" si="28"/>
        <v>33.204999999999998</v>
      </c>
      <c r="AH80" s="245">
        <f t="shared" si="28"/>
        <v>33.204999999999998</v>
      </c>
      <c r="AI80" s="245">
        <f t="shared" si="28"/>
        <v>33.204999999999998</v>
      </c>
      <c r="AJ80" s="245">
        <f t="shared" si="28"/>
        <v>33.204999999999998</v>
      </c>
      <c r="AK80" s="245">
        <f t="shared" si="28"/>
        <v>33.204999999999998</v>
      </c>
      <c r="AL80" s="245">
        <f t="shared" si="28"/>
        <v>33.204999999999998</v>
      </c>
      <c r="AM80" s="245">
        <f t="shared" si="28"/>
        <v>33.204999999999998</v>
      </c>
    </row>
    <row r="81" spans="2:39" s="242" customFormat="1" hidden="1" outlineLevel="1" x14ac:dyDescent="0.25">
      <c r="B81" s="242" t="str">
        <v>Erhverv</v>
      </c>
      <c r="C81" s="243" t="s">
        <v>254</v>
      </c>
      <c r="D81" s="244">
        <f t="shared" ref="D81:AM81" si="29">IF(OR($H15=0,AND($AA15,NOT($Z15))),$L15/12,0)</f>
        <v>511.80583333333328</v>
      </c>
      <c r="E81" s="245">
        <f t="shared" si="29"/>
        <v>511.80583333333328</v>
      </c>
      <c r="F81" s="245">
        <f t="shared" si="29"/>
        <v>511.80583333333328</v>
      </c>
      <c r="G81" s="245">
        <f t="shared" si="29"/>
        <v>511.80583333333328</v>
      </c>
      <c r="H81" s="245">
        <f t="shared" si="29"/>
        <v>511.80583333333328</v>
      </c>
      <c r="I81" s="245">
        <f t="shared" si="29"/>
        <v>511.80583333333328</v>
      </c>
      <c r="J81" s="245">
        <f t="shared" si="29"/>
        <v>511.80583333333328</v>
      </c>
      <c r="K81" s="245">
        <f t="shared" si="29"/>
        <v>511.80583333333328</v>
      </c>
      <c r="L81" s="245">
        <f t="shared" si="29"/>
        <v>511.80583333333328</v>
      </c>
      <c r="M81" s="245">
        <f t="shared" si="29"/>
        <v>511.80583333333328</v>
      </c>
      <c r="N81" s="245">
        <f t="shared" si="29"/>
        <v>511.80583333333328</v>
      </c>
      <c r="O81" s="245">
        <f t="shared" si="29"/>
        <v>511.80583333333328</v>
      </c>
      <c r="P81" s="244">
        <f t="shared" si="29"/>
        <v>511.80583333333328</v>
      </c>
      <c r="Q81" s="245">
        <f t="shared" si="29"/>
        <v>511.80583333333328</v>
      </c>
      <c r="R81" s="245">
        <f t="shared" si="29"/>
        <v>511.80583333333328</v>
      </c>
      <c r="S81" s="245">
        <f t="shared" si="29"/>
        <v>511.80583333333328</v>
      </c>
      <c r="T81" s="245">
        <f t="shared" si="29"/>
        <v>511.80583333333328</v>
      </c>
      <c r="U81" s="245">
        <f t="shared" si="29"/>
        <v>511.80583333333328</v>
      </c>
      <c r="V81" s="245">
        <f t="shared" si="29"/>
        <v>511.80583333333328</v>
      </c>
      <c r="W81" s="245">
        <f t="shared" si="29"/>
        <v>511.80583333333328</v>
      </c>
      <c r="X81" s="245">
        <f t="shared" si="29"/>
        <v>511.80583333333328</v>
      </c>
      <c r="Y81" s="245">
        <f t="shared" si="29"/>
        <v>511.80583333333328</v>
      </c>
      <c r="Z81" s="245">
        <f t="shared" si="29"/>
        <v>511.80583333333328</v>
      </c>
      <c r="AA81" s="245">
        <f t="shared" si="29"/>
        <v>511.80583333333328</v>
      </c>
      <c r="AB81" s="244">
        <f t="shared" si="29"/>
        <v>511.80583333333328</v>
      </c>
      <c r="AC81" s="245">
        <f t="shared" si="29"/>
        <v>511.80583333333328</v>
      </c>
      <c r="AD81" s="245">
        <f t="shared" si="29"/>
        <v>511.80583333333328</v>
      </c>
      <c r="AE81" s="245">
        <f t="shared" si="29"/>
        <v>511.80583333333328</v>
      </c>
      <c r="AF81" s="245">
        <f t="shared" si="29"/>
        <v>511.80583333333328</v>
      </c>
      <c r="AG81" s="245">
        <f t="shared" si="29"/>
        <v>511.80583333333328</v>
      </c>
      <c r="AH81" s="245">
        <f t="shared" si="29"/>
        <v>511.80583333333328</v>
      </c>
      <c r="AI81" s="245">
        <f t="shared" si="29"/>
        <v>511.80583333333328</v>
      </c>
      <c r="AJ81" s="245">
        <f t="shared" si="29"/>
        <v>511.80583333333328</v>
      </c>
      <c r="AK81" s="245">
        <f t="shared" si="29"/>
        <v>511.80583333333328</v>
      </c>
      <c r="AL81" s="245">
        <f t="shared" si="29"/>
        <v>511.80583333333328</v>
      </c>
      <c r="AM81" s="245">
        <f t="shared" si="29"/>
        <v>511.80583333333328</v>
      </c>
    </row>
    <row r="82" spans="2:39" s="242" customFormat="1" hidden="1" outlineLevel="1" x14ac:dyDescent="0.25">
      <c r="B82" s="242" t="str">
        <v>DagrenErhverv</v>
      </c>
      <c r="C82" s="243" t="s">
        <v>254</v>
      </c>
      <c r="D82" s="244">
        <f t="shared" ref="D82:AM82" si="30">IF(OR($H16=0,AND($AA16,NOT($Z16))),$L16/12,0)</f>
        <v>11.182499999999999</v>
      </c>
      <c r="E82" s="245">
        <f t="shared" si="30"/>
        <v>11.182499999999999</v>
      </c>
      <c r="F82" s="245">
        <f t="shared" si="30"/>
        <v>11.182499999999999</v>
      </c>
      <c r="G82" s="245">
        <f t="shared" si="30"/>
        <v>11.182499999999999</v>
      </c>
      <c r="H82" s="245">
        <f t="shared" si="30"/>
        <v>11.182499999999999</v>
      </c>
      <c r="I82" s="245">
        <f t="shared" si="30"/>
        <v>11.182499999999999</v>
      </c>
      <c r="J82" s="245">
        <f t="shared" si="30"/>
        <v>11.182499999999999</v>
      </c>
      <c r="K82" s="245">
        <f t="shared" si="30"/>
        <v>11.182499999999999</v>
      </c>
      <c r="L82" s="245">
        <f t="shared" si="30"/>
        <v>11.182499999999999</v>
      </c>
      <c r="M82" s="245">
        <f t="shared" si="30"/>
        <v>11.182499999999999</v>
      </c>
      <c r="N82" s="245">
        <f t="shared" si="30"/>
        <v>11.182499999999999</v>
      </c>
      <c r="O82" s="245">
        <f t="shared" si="30"/>
        <v>11.182499999999999</v>
      </c>
      <c r="P82" s="244">
        <f t="shared" si="30"/>
        <v>11.182499999999999</v>
      </c>
      <c r="Q82" s="245">
        <f t="shared" si="30"/>
        <v>11.182499999999999</v>
      </c>
      <c r="R82" s="245">
        <f t="shared" si="30"/>
        <v>11.182499999999999</v>
      </c>
      <c r="S82" s="245">
        <f t="shared" si="30"/>
        <v>11.182499999999999</v>
      </c>
      <c r="T82" s="245">
        <f t="shared" si="30"/>
        <v>11.182499999999999</v>
      </c>
      <c r="U82" s="245">
        <f t="shared" si="30"/>
        <v>11.182499999999999</v>
      </c>
      <c r="V82" s="245">
        <f t="shared" si="30"/>
        <v>11.182499999999999</v>
      </c>
      <c r="W82" s="245">
        <f t="shared" si="30"/>
        <v>11.182499999999999</v>
      </c>
      <c r="X82" s="245">
        <f t="shared" si="30"/>
        <v>11.182499999999999</v>
      </c>
      <c r="Y82" s="245">
        <f t="shared" si="30"/>
        <v>11.182499999999999</v>
      </c>
      <c r="Z82" s="245">
        <f t="shared" si="30"/>
        <v>11.182499999999999</v>
      </c>
      <c r="AA82" s="245">
        <f t="shared" si="30"/>
        <v>11.182499999999999</v>
      </c>
      <c r="AB82" s="244">
        <f t="shared" si="30"/>
        <v>11.182499999999999</v>
      </c>
      <c r="AC82" s="245">
        <f t="shared" si="30"/>
        <v>11.182499999999999</v>
      </c>
      <c r="AD82" s="245">
        <f t="shared" si="30"/>
        <v>11.182499999999999</v>
      </c>
      <c r="AE82" s="245">
        <f t="shared" si="30"/>
        <v>11.182499999999999</v>
      </c>
      <c r="AF82" s="245">
        <f t="shared" si="30"/>
        <v>11.182499999999999</v>
      </c>
      <c r="AG82" s="245">
        <f t="shared" si="30"/>
        <v>11.182499999999999</v>
      </c>
      <c r="AH82" s="245">
        <f t="shared" si="30"/>
        <v>11.182499999999999</v>
      </c>
      <c r="AI82" s="245">
        <f t="shared" si="30"/>
        <v>11.182499999999999</v>
      </c>
      <c r="AJ82" s="245">
        <f t="shared" si="30"/>
        <v>11.182499999999999</v>
      </c>
      <c r="AK82" s="245">
        <f t="shared" si="30"/>
        <v>11.182499999999999</v>
      </c>
      <c r="AL82" s="245">
        <f t="shared" si="30"/>
        <v>11.182499999999999</v>
      </c>
      <c r="AM82" s="245">
        <f t="shared" si="30"/>
        <v>11.182499999999999</v>
      </c>
    </row>
    <row r="83" spans="2:39" s="242" customFormat="1" hidden="1" outlineLevel="1" x14ac:dyDescent="0.25">
      <c r="B83" s="242" t="str">
        <v>HandelKontor</v>
      </c>
      <c r="C83" s="243" t="s">
        <v>254</v>
      </c>
      <c r="D83" s="244">
        <f t="shared" ref="D83:AM83" si="31">IF(OR($H17=0,AND($AA17,NOT($Z17))),$L17/12,0)</f>
        <v>4.8150000000000004</v>
      </c>
      <c r="E83" s="245">
        <f t="shared" si="31"/>
        <v>4.8150000000000004</v>
      </c>
      <c r="F83" s="245">
        <f t="shared" si="31"/>
        <v>4.8150000000000004</v>
      </c>
      <c r="G83" s="245">
        <f t="shared" si="31"/>
        <v>4.8150000000000004</v>
      </c>
      <c r="H83" s="245">
        <f t="shared" si="31"/>
        <v>4.8150000000000004</v>
      </c>
      <c r="I83" s="245">
        <f t="shared" si="31"/>
        <v>4.8150000000000004</v>
      </c>
      <c r="J83" s="245">
        <f t="shared" si="31"/>
        <v>4.8150000000000004</v>
      </c>
      <c r="K83" s="245">
        <f t="shared" si="31"/>
        <v>4.8150000000000004</v>
      </c>
      <c r="L83" s="245">
        <f t="shared" si="31"/>
        <v>4.8150000000000004</v>
      </c>
      <c r="M83" s="245">
        <f t="shared" si="31"/>
        <v>4.8150000000000004</v>
      </c>
      <c r="N83" s="245">
        <f t="shared" si="31"/>
        <v>4.8150000000000004</v>
      </c>
      <c r="O83" s="245">
        <f t="shared" si="31"/>
        <v>4.8150000000000004</v>
      </c>
      <c r="P83" s="244">
        <f t="shared" si="31"/>
        <v>4.8150000000000004</v>
      </c>
      <c r="Q83" s="245">
        <f t="shared" si="31"/>
        <v>4.8150000000000004</v>
      </c>
      <c r="R83" s="245">
        <f t="shared" si="31"/>
        <v>4.8150000000000004</v>
      </c>
      <c r="S83" s="245">
        <f t="shared" si="31"/>
        <v>4.8150000000000004</v>
      </c>
      <c r="T83" s="245">
        <f t="shared" si="31"/>
        <v>4.8150000000000004</v>
      </c>
      <c r="U83" s="245">
        <f t="shared" si="31"/>
        <v>4.8150000000000004</v>
      </c>
      <c r="V83" s="245">
        <f t="shared" si="31"/>
        <v>4.8150000000000004</v>
      </c>
      <c r="W83" s="245">
        <f t="shared" si="31"/>
        <v>4.8150000000000004</v>
      </c>
      <c r="X83" s="245">
        <f t="shared" si="31"/>
        <v>4.8150000000000004</v>
      </c>
      <c r="Y83" s="245">
        <f t="shared" si="31"/>
        <v>4.8150000000000004</v>
      </c>
      <c r="Z83" s="245">
        <f t="shared" si="31"/>
        <v>4.8150000000000004</v>
      </c>
      <c r="AA83" s="245">
        <f t="shared" si="31"/>
        <v>4.8150000000000004</v>
      </c>
      <c r="AB83" s="244">
        <f t="shared" si="31"/>
        <v>4.8150000000000004</v>
      </c>
      <c r="AC83" s="245">
        <f t="shared" si="31"/>
        <v>4.8150000000000004</v>
      </c>
      <c r="AD83" s="245">
        <f t="shared" si="31"/>
        <v>4.8150000000000004</v>
      </c>
      <c r="AE83" s="245">
        <f t="shared" si="31"/>
        <v>4.8150000000000004</v>
      </c>
      <c r="AF83" s="245">
        <f t="shared" si="31"/>
        <v>4.8150000000000004</v>
      </c>
      <c r="AG83" s="245">
        <f t="shared" si="31"/>
        <v>4.8150000000000004</v>
      </c>
      <c r="AH83" s="245">
        <f t="shared" si="31"/>
        <v>4.8150000000000004</v>
      </c>
      <c r="AI83" s="245">
        <f t="shared" si="31"/>
        <v>4.8150000000000004</v>
      </c>
      <c r="AJ83" s="245">
        <f t="shared" si="31"/>
        <v>4.8150000000000004</v>
      </c>
      <c r="AK83" s="245">
        <f t="shared" si="31"/>
        <v>4.8150000000000004</v>
      </c>
      <c r="AL83" s="245">
        <f t="shared" si="31"/>
        <v>4.8150000000000004</v>
      </c>
      <c r="AM83" s="245">
        <f t="shared" si="31"/>
        <v>4.8150000000000004</v>
      </c>
    </row>
    <row r="84" spans="2:39" s="242" customFormat="1" hidden="1" outlineLevel="1" x14ac:dyDescent="0.25">
      <c r="B84" s="242" t="str">
        <v>Privat</v>
      </c>
      <c r="C84" s="243" t="s">
        <v>254</v>
      </c>
      <c r="D84" s="244">
        <f t="shared" ref="D84:AM84" si="32">IF(OR($H18=0,AND($AA18,NOT($Z18))),$L18/12,0)</f>
        <v>1.0741666666666667</v>
      </c>
      <c r="E84" s="245">
        <f t="shared" si="32"/>
        <v>1.0741666666666667</v>
      </c>
      <c r="F84" s="245">
        <f t="shared" si="32"/>
        <v>1.0741666666666667</v>
      </c>
      <c r="G84" s="245">
        <f t="shared" si="32"/>
        <v>1.0741666666666667</v>
      </c>
      <c r="H84" s="245">
        <f t="shared" si="32"/>
        <v>1.0741666666666667</v>
      </c>
      <c r="I84" s="245">
        <f t="shared" si="32"/>
        <v>1.0741666666666667</v>
      </c>
      <c r="J84" s="245">
        <f t="shared" si="32"/>
        <v>1.0741666666666667</v>
      </c>
      <c r="K84" s="245">
        <f t="shared" si="32"/>
        <v>1.0741666666666667</v>
      </c>
      <c r="L84" s="245">
        <f t="shared" si="32"/>
        <v>1.0741666666666667</v>
      </c>
      <c r="M84" s="245">
        <f t="shared" si="32"/>
        <v>1.0741666666666667</v>
      </c>
      <c r="N84" s="245">
        <f t="shared" si="32"/>
        <v>1.0741666666666667</v>
      </c>
      <c r="O84" s="245">
        <f t="shared" si="32"/>
        <v>1.0741666666666667</v>
      </c>
      <c r="P84" s="244">
        <f t="shared" si="32"/>
        <v>1.0741666666666667</v>
      </c>
      <c r="Q84" s="245">
        <f t="shared" si="32"/>
        <v>1.0741666666666667</v>
      </c>
      <c r="R84" s="245">
        <f t="shared" si="32"/>
        <v>1.0741666666666667</v>
      </c>
      <c r="S84" s="245">
        <f t="shared" si="32"/>
        <v>1.0741666666666667</v>
      </c>
      <c r="T84" s="245">
        <f t="shared" si="32"/>
        <v>1.0741666666666667</v>
      </c>
      <c r="U84" s="245">
        <f t="shared" si="32"/>
        <v>1.0741666666666667</v>
      </c>
      <c r="V84" s="245">
        <f t="shared" si="32"/>
        <v>1.0741666666666667</v>
      </c>
      <c r="W84" s="245">
        <f t="shared" si="32"/>
        <v>1.0741666666666667</v>
      </c>
      <c r="X84" s="245">
        <f t="shared" si="32"/>
        <v>1.0741666666666667</v>
      </c>
      <c r="Y84" s="245">
        <f t="shared" si="32"/>
        <v>1.0741666666666667</v>
      </c>
      <c r="Z84" s="245">
        <f t="shared" si="32"/>
        <v>1.0741666666666667</v>
      </c>
      <c r="AA84" s="245">
        <f t="shared" si="32"/>
        <v>1.0741666666666667</v>
      </c>
      <c r="AB84" s="244">
        <f t="shared" si="32"/>
        <v>1.0741666666666667</v>
      </c>
      <c r="AC84" s="245">
        <f t="shared" si="32"/>
        <v>1.0741666666666667</v>
      </c>
      <c r="AD84" s="245">
        <f t="shared" si="32"/>
        <v>1.0741666666666667</v>
      </c>
      <c r="AE84" s="245">
        <f t="shared" si="32"/>
        <v>1.0741666666666667</v>
      </c>
      <c r="AF84" s="245">
        <f t="shared" si="32"/>
        <v>1.0741666666666667</v>
      </c>
      <c r="AG84" s="245">
        <f t="shared" si="32"/>
        <v>1.0741666666666667</v>
      </c>
      <c r="AH84" s="245">
        <f t="shared" si="32"/>
        <v>1.0741666666666667</v>
      </c>
      <c r="AI84" s="245">
        <f t="shared" si="32"/>
        <v>1.0741666666666667</v>
      </c>
      <c r="AJ84" s="245">
        <f t="shared" si="32"/>
        <v>1.0741666666666667</v>
      </c>
      <c r="AK84" s="245">
        <f t="shared" si="32"/>
        <v>1.0741666666666667</v>
      </c>
      <c r="AL84" s="245">
        <f t="shared" si="32"/>
        <v>1.0741666666666667</v>
      </c>
      <c r="AM84" s="245">
        <f t="shared" si="32"/>
        <v>1.0741666666666667</v>
      </c>
    </row>
    <row r="85" spans="2:39" s="242" customFormat="1" hidden="1" outlineLevel="1" x14ac:dyDescent="0.25">
      <c r="B85" s="242" t="str">
        <v>TyskRest</v>
      </c>
      <c r="C85" s="243" t="s">
        <v>254</v>
      </c>
      <c r="D85" s="244">
        <f t="shared" ref="D85:AM85" si="33">IF(OR($H19=0,AND($AA19,NOT($Z19))),$L19/12,0)</f>
        <v>0</v>
      </c>
      <c r="E85" s="245">
        <f t="shared" si="33"/>
        <v>0</v>
      </c>
      <c r="F85" s="245">
        <f t="shared" si="33"/>
        <v>0</v>
      </c>
      <c r="G85" s="245">
        <f t="shared" si="33"/>
        <v>0</v>
      </c>
      <c r="H85" s="245">
        <f t="shared" si="33"/>
        <v>0</v>
      </c>
      <c r="I85" s="245">
        <f t="shared" si="33"/>
        <v>0</v>
      </c>
      <c r="J85" s="245">
        <f t="shared" si="33"/>
        <v>0</v>
      </c>
      <c r="K85" s="245">
        <f t="shared" si="33"/>
        <v>0</v>
      </c>
      <c r="L85" s="245">
        <f t="shared" si="33"/>
        <v>0</v>
      </c>
      <c r="M85" s="245">
        <f t="shared" si="33"/>
        <v>0</v>
      </c>
      <c r="N85" s="245">
        <f t="shared" si="33"/>
        <v>0</v>
      </c>
      <c r="O85" s="245">
        <f t="shared" si="33"/>
        <v>0</v>
      </c>
      <c r="P85" s="244">
        <f t="shared" si="33"/>
        <v>0</v>
      </c>
      <c r="Q85" s="245">
        <f t="shared" si="33"/>
        <v>0</v>
      </c>
      <c r="R85" s="245">
        <f t="shared" si="33"/>
        <v>0</v>
      </c>
      <c r="S85" s="245">
        <f t="shared" si="33"/>
        <v>0</v>
      </c>
      <c r="T85" s="245">
        <f t="shared" si="33"/>
        <v>0</v>
      </c>
      <c r="U85" s="245">
        <f t="shared" si="33"/>
        <v>0</v>
      </c>
      <c r="V85" s="245">
        <f t="shared" si="33"/>
        <v>0</v>
      </c>
      <c r="W85" s="245">
        <f t="shared" si="33"/>
        <v>0</v>
      </c>
      <c r="X85" s="245">
        <f t="shared" si="33"/>
        <v>0</v>
      </c>
      <c r="Y85" s="245">
        <f t="shared" si="33"/>
        <v>0</v>
      </c>
      <c r="Z85" s="245">
        <f t="shared" si="33"/>
        <v>0</v>
      </c>
      <c r="AA85" s="245">
        <f t="shared" si="33"/>
        <v>0</v>
      </c>
      <c r="AB85" s="244">
        <f t="shared" si="33"/>
        <v>0</v>
      </c>
      <c r="AC85" s="245">
        <f t="shared" si="33"/>
        <v>0</v>
      </c>
      <c r="AD85" s="245">
        <f t="shared" si="33"/>
        <v>0</v>
      </c>
      <c r="AE85" s="245">
        <f t="shared" si="33"/>
        <v>0</v>
      </c>
      <c r="AF85" s="245">
        <f t="shared" si="33"/>
        <v>0</v>
      </c>
      <c r="AG85" s="245">
        <f t="shared" si="33"/>
        <v>0</v>
      </c>
      <c r="AH85" s="245">
        <f t="shared" si="33"/>
        <v>0</v>
      </c>
      <c r="AI85" s="245">
        <f t="shared" si="33"/>
        <v>0</v>
      </c>
      <c r="AJ85" s="245">
        <f t="shared" si="33"/>
        <v>0</v>
      </c>
      <c r="AK85" s="245">
        <f t="shared" si="33"/>
        <v>0</v>
      </c>
      <c r="AL85" s="245">
        <f t="shared" si="33"/>
        <v>0</v>
      </c>
      <c r="AM85" s="245">
        <f t="shared" si="33"/>
        <v>0</v>
      </c>
    </row>
    <row r="86" spans="2:39" s="242" customFormat="1" hidden="1" outlineLevel="1" x14ac:dyDescent="0.25">
      <c r="B86" s="242" t="str">
        <v>PolskRest</v>
      </c>
      <c r="C86" s="243" t="s">
        <v>254</v>
      </c>
      <c r="D86" s="244">
        <f t="shared" ref="D86:AM86" si="34">IF(OR($H20=0,AND($AA20,NOT($Z20))),$L20/12,0)</f>
        <v>0</v>
      </c>
      <c r="E86" s="245">
        <f t="shared" si="34"/>
        <v>0</v>
      </c>
      <c r="F86" s="245">
        <f t="shared" si="34"/>
        <v>0</v>
      </c>
      <c r="G86" s="245">
        <f t="shared" si="34"/>
        <v>0</v>
      </c>
      <c r="H86" s="245">
        <f t="shared" si="34"/>
        <v>0</v>
      </c>
      <c r="I86" s="245">
        <f t="shared" si="34"/>
        <v>0</v>
      </c>
      <c r="J86" s="245">
        <f t="shared" si="34"/>
        <v>0</v>
      </c>
      <c r="K86" s="245">
        <f t="shared" si="34"/>
        <v>0</v>
      </c>
      <c r="L86" s="245">
        <f t="shared" si="34"/>
        <v>0</v>
      </c>
      <c r="M86" s="245">
        <f t="shared" si="34"/>
        <v>0</v>
      </c>
      <c r="N86" s="245">
        <f t="shared" si="34"/>
        <v>0</v>
      </c>
      <c r="O86" s="245">
        <f t="shared" si="34"/>
        <v>0</v>
      </c>
      <c r="P86" s="244">
        <f t="shared" si="34"/>
        <v>0</v>
      </c>
      <c r="Q86" s="245">
        <f t="shared" si="34"/>
        <v>0</v>
      </c>
      <c r="R86" s="245">
        <f t="shared" si="34"/>
        <v>0</v>
      </c>
      <c r="S86" s="245">
        <f t="shared" si="34"/>
        <v>0</v>
      </c>
      <c r="T86" s="245">
        <f t="shared" si="34"/>
        <v>0</v>
      </c>
      <c r="U86" s="245">
        <f t="shared" si="34"/>
        <v>0</v>
      </c>
      <c r="V86" s="245">
        <f t="shared" si="34"/>
        <v>0</v>
      </c>
      <c r="W86" s="245">
        <f t="shared" si="34"/>
        <v>0</v>
      </c>
      <c r="X86" s="245">
        <f t="shared" si="34"/>
        <v>0</v>
      </c>
      <c r="Y86" s="245">
        <f t="shared" si="34"/>
        <v>0</v>
      </c>
      <c r="Z86" s="245">
        <f t="shared" si="34"/>
        <v>0</v>
      </c>
      <c r="AA86" s="245">
        <f t="shared" si="34"/>
        <v>0</v>
      </c>
      <c r="AB86" s="244">
        <f t="shared" si="34"/>
        <v>0</v>
      </c>
      <c r="AC86" s="245">
        <f t="shared" si="34"/>
        <v>0</v>
      </c>
      <c r="AD86" s="245">
        <f t="shared" si="34"/>
        <v>0</v>
      </c>
      <c r="AE86" s="245">
        <f t="shared" si="34"/>
        <v>0</v>
      </c>
      <c r="AF86" s="245">
        <f t="shared" si="34"/>
        <v>0</v>
      </c>
      <c r="AG86" s="245">
        <f t="shared" si="34"/>
        <v>0</v>
      </c>
      <c r="AH86" s="245">
        <f t="shared" si="34"/>
        <v>0</v>
      </c>
      <c r="AI86" s="245">
        <f t="shared" si="34"/>
        <v>0</v>
      </c>
      <c r="AJ86" s="245">
        <f t="shared" si="34"/>
        <v>0</v>
      </c>
      <c r="AK86" s="245">
        <f t="shared" si="34"/>
        <v>0</v>
      </c>
      <c r="AL86" s="245">
        <f t="shared" si="34"/>
        <v>0</v>
      </c>
      <c r="AM86" s="245">
        <f t="shared" si="34"/>
        <v>0</v>
      </c>
    </row>
    <row r="87" spans="2:39" s="242" customFormat="1" hidden="1" outlineLevel="1" x14ac:dyDescent="0.25">
      <c r="B87" s="242" t="str">
        <v>PcbTrae</v>
      </c>
      <c r="C87" s="243" t="s">
        <v>254</v>
      </c>
      <c r="D87" s="244">
        <f t="shared" ref="D87:AM87" si="35">IF(OR($H21=0,AND($AA21,NOT($Z21))),$L21/12,0)</f>
        <v>0</v>
      </c>
      <c r="E87" s="245">
        <f t="shared" si="35"/>
        <v>0</v>
      </c>
      <c r="F87" s="245">
        <f t="shared" si="35"/>
        <v>0</v>
      </c>
      <c r="G87" s="245">
        <f t="shared" si="35"/>
        <v>0</v>
      </c>
      <c r="H87" s="245">
        <f t="shared" si="35"/>
        <v>0</v>
      </c>
      <c r="I87" s="245">
        <f t="shared" si="35"/>
        <v>0</v>
      </c>
      <c r="J87" s="245">
        <f t="shared" si="35"/>
        <v>0</v>
      </c>
      <c r="K87" s="245">
        <f t="shared" si="35"/>
        <v>0</v>
      </c>
      <c r="L87" s="245">
        <f t="shared" si="35"/>
        <v>0</v>
      </c>
      <c r="M87" s="245">
        <f t="shared" si="35"/>
        <v>0</v>
      </c>
      <c r="N87" s="245">
        <f t="shared" si="35"/>
        <v>0</v>
      </c>
      <c r="O87" s="245">
        <f t="shared" si="35"/>
        <v>0</v>
      </c>
      <c r="P87" s="244">
        <f t="shared" si="35"/>
        <v>0</v>
      </c>
      <c r="Q87" s="245">
        <f t="shared" si="35"/>
        <v>0</v>
      </c>
      <c r="R87" s="245">
        <f t="shared" si="35"/>
        <v>0</v>
      </c>
      <c r="S87" s="245">
        <f t="shared" si="35"/>
        <v>0</v>
      </c>
      <c r="T87" s="245">
        <f t="shared" si="35"/>
        <v>0</v>
      </c>
      <c r="U87" s="245">
        <f t="shared" si="35"/>
        <v>0</v>
      </c>
      <c r="V87" s="245">
        <f t="shared" si="35"/>
        <v>0</v>
      </c>
      <c r="W87" s="245">
        <f t="shared" si="35"/>
        <v>0</v>
      </c>
      <c r="X87" s="245">
        <f t="shared" si="35"/>
        <v>0</v>
      </c>
      <c r="Y87" s="245">
        <f t="shared" si="35"/>
        <v>0</v>
      </c>
      <c r="Z87" s="245">
        <f t="shared" si="35"/>
        <v>0</v>
      </c>
      <c r="AA87" s="245">
        <f t="shared" si="35"/>
        <v>0</v>
      </c>
      <c r="AB87" s="244">
        <f t="shared" si="35"/>
        <v>0</v>
      </c>
      <c r="AC87" s="245">
        <f t="shared" si="35"/>
        <v>0</v>
      </c>
      <c r="AD87" s="245">
        <f t="shared" si="35"/>
        <v>0</v>
      </c>
      <c r="AE87" s="245">
        <f t="shared" si="35"/>
        <v>0</v>
      </c>
      <c r="AF87" s="245">
        <f t="shared" si="35"/>
        <v>0</v>
      </c>
      <c r="AG87" s="245">
        <f t="shared" si="35"/>
        <v>0</v>
      </c>
      <c r="AH87" s="245">
        <f t="shared" si="35"/>
        <v>0</v>
      </c>
      <c r="AI87" s="245">
        <f t="shared" si="35"/>
        <v>0</v>
      </c>
      <c r="AJ87" s="245">
        <f t="shared" si="35"/>
        <v>0</v>
      </c>
      <c r="AK87" s="245">
        <f t="shared" si="35"/>
        <v>0</v>
      </c>
      <c r="AL87" s="245">
        <f t="shared" si="35"/>
        <v>0</v>
      </c>
      <c r="AM87" s="245">
        <f t="shared" si="35"/>
        <v>0</v>
      </c>
    </row>
    <row r="88" spans="2:39" s="242" customFormat="1" hidden="1" outlineLevel="1" x14ac:dyDescent="0.25">
      <c r="B88" s="242" t="str">
        <v>TraeRekv</v>
      </c>
      <c r="C88" s="243" t="s">
        <v>254</v>
      </c>
      <c r="D88" s="244">
        <f t="shared" ref="D88:AM88" si="36">IF(OR($H22=0,AND($AA22,NOT($Z22))),$L22/12,0)</f>
        <v>87.044166666666669</v>
      </c>
      <c r="E88" s="245">
        <f t="shared" si="36"/>
        <v>87.044166666666669</v>
      </c>
      <c r="F88" s="245">
        <f t="shared" si="36"/>
        <v>87.044166666666669</v>
      </c>
      <c r="G88" s="245">
        <f t="shared" si="36"/>
        <v>87.044166666666669</v>
      </c>
      <c r="H88" s="245">
        <f t="shared" si="36"/>
        <v>87.044166666666669</v>
      </c>
      <c r="I88" s="245">
        <f t="shared" si="36"/>
        <v>87.044166666666669</v>
      </c>
      <c r="J88" s="245">
        <f t="shared" si="36"/>
        <v>87.044166666666669</v>
      </c>
      <c r="K88" s="245">
        <f t="shared" si="36"/>
        <v>87.044166666666669</v>
      </c>
      <c r="L88" s="245">
        <f t="shared" si="36"/>
        <v>87.044166666666669</v>
      </c>
      <c r="M88" s="245">
        <f t="shared" si="36"/>
        <v>87.044166666666669</v>
      </c>
      <c r="N88" s="245">
        <f t="shared" si="36"/>
        <v>87.044166666666669</v>
      </c>
      <c r="O88" s="245">
        <f t="shared" si="36"/>
        <v>87.044166666666669</v>
      </c>
      <c r="P88" s="244">
        <f t="shared" si="36"/>
        <v>87.044166666666669</v>
      </c>
      <c r="Q88" s="245">
        <f t="shared" si="36"/>
        <v>87.044166666666669</v>
      </c>
      <c r="R88" s="245">
        <f t="shared" si="36"/>
        <v>87.044166666666669</v>
      </c>
      <c r="S88" s="245">
        <f t="shared" si="36"/>
        <v>87.044166666666669</v>
      </c>
      <c r="T88" s="245">
        <f t="shared" si="36"/>
        <v>87.044166666666669</v>
      </c>
      <c r="U88" s="245">
        <f t="shared" si="36"/>
        <v>87.044166666666669</v>
      </c>
      <c r="V88" s="245">
        <f t="shared" si="36"/>
        <v>87.044166666666669</v>
      </c>
      <c r="W88" s="245">
        <f t="shared" si="36"/>
        <v>87.044166666666669</v>
      </c>
      <c r="X88" s="245">
        <f t="shared" si="36"/>
        <v>87.044166666666669</v>
      </c>
      <c r="Y88" s="245">
        <f t="shared" si="36"/>
        <v>87.044166666666669</v>
      </c>
      <c r="Z88" s="245">
        <f t="shared" si="36"/>
        <v>87.044166666666669</v>
      </c>
      <c r="AA88" s="245">
        <f t="shared" si="36"/>
        <v>87.044166666666669</v>
      </c>
      <c r="AB88" s="244">
        <f t="shared" si="36"/>
        <v>87.044166666666669</v>
      </c>
      <c r="AC88" s="245">
        <f t="shared" si="36"/>
        <v>87.044166666666669</v>
      </c>
      <c r="AD88" s="245">
        <f t="shared" si="36"/>
        <v>87.044166666666669</v>
      </c>
      <c r="AE88" s="245">
        <f t="shared" si="36"/>
        <v>87.044166666666669</v>
      </c>
      <c r="AF88" s="245">
        <f t="shared" si="36"/>
        <v>87.044166666666669</v>
      </c>
      <c r="AG88" s="245">
        <f t="shared" si="36"/>
        <v>87.044166666666669</v>
      </c>
      <c r="AH88" s="245">
        <f t="shared" si="36"/>
        <v>87.044166666666669</v>
      </c>
      <c r="AI88" s="245">
        <f t="shared" si="36"/>
        <v>87.044166666666669</v>
      </c>
      <c r="AJ88" s="245">
        <f t="shared" si="36"/>
        <v>87.044166666666669</v>
      </c>
      <c r="AK88" s="245">
        <f t="shared" si="36"/>
        <v>87.044166666666669</v>
      </c>
      <c r="AL88" s="245">
        <f t="shared" si="36"/>
        <v>87.044166666666669</v>
      </c>
      <c r="AM88" s="245">
        <f t="shared" si="36"/>
        <v>87.044166666666669</v>
      </c>
    </row>
    <row r="89" spans="2:39" s="242" customFormat="1" hidden="1" outlineLevel="1" x14ac:dyDescent="0.25">
      <c r="B89" s="242" t="str">
        <v>Halm</v>
      </c>
      <c r="C89" s="243" t="s">
        <v>254</v>
      </c>
      <c r="D89" s="244">
        <f t="shared" ref="D89:AM89" si="37">IF(OR($H23=0,AND($AA23,NOT($Z23))),$L23/12,0)</f>
        <v>0</v>
      </c>
      <c r="E89" s="245">
        <f t="shared" si="37"/>
        <v>0</v>
      </c>
      <c r="F89" s="245">
        <f t="shared" si="37"/>
        <v>0</v>
      </c>
      <c r="G89" s="245">
        <f t="shared" si="37"/>
        <v>0</v>
      </c>
      <c r="H89" s="245">
        <f t="shared" si="37"/>
        <v>0</v>
      </c>
      <c r="I89" s="245">
        <f t="shared" si="37"/>
        <v>0</v>
      </c>
      <c r="J89" s="245">
        <f t="shared" si="37"/>
        <v>0</v>
      </c>
      <c r="K89" s="245">
        <f t="shared" si="37"/>
        <v>0</v>
      </c>
      <c r="L89" s="245">
        <f t="shared" si="37"/>
        <v>0</v>
      </c>
      <c r="M89" s="245">
        <f t="shared" si="37"/>
        <v>0</v>
      </c>
      <c r="N89" s="245">
        <f t="shared" si="37"/>
        <v>0</v>
      </c>
      <c r="O89" s="245">
        <f t="shared" si="37"/>
        <v>0</v>
      </c>
      <c r="P89" s="244">
        <f t="shared" si="37"/>
        <v>0</v>
      </c>
      <c r="Q89" s="245">
        <f t="shared" si="37"/>
        <v>0</v>
      </c>
      <c r="R89" s="245">
        <f t="shared" si="37"/>
        <v>0</v>
      </c>
      <c r="S89" s="245">
        <f t="shared" si="37"/>
        <v>0</v>
      </c>
      <c r="T89" s="245">
        <f t="shared" si="37"/>
        <v>0</v>
      </c>
      <c r="U89" s="245">
        <f t="shared" si="37"/>
        <v>0</v>
      </c>
      <c r="V89" s="245">
        <f t="shared" si="37"/>
        <v>0</v>
      </c>
      <c r="W89" s="245">
        <f t="shared" si="37"/>
        <v>0</v>
      </c>
      <c r="X89" s="245">
        <f t="shared" si="37"/>
        <v>0</v>
      </c>
      <c r="Y89" s="245">
        <f t="shared" si="37"/>
        <v>0</v>
      </c>
      <c r="Z89" s="245">
        <f t="shared" si="37"/>
        <v>0</v>
      </c>
      <c r="AA89" s="245">
        <f t="shared" si="37"/>
        <v>0</v>
      </c>
      <c r="AB89" s="244">
        <f t="shared" si="37"/>
        <v>0</v>
      </c>
      <c r="AC89" s="245">
        <f t="shared" si="37"/>
        <v>0</v>
      </c>
      <c r="AD89" s="245">
        <f t="shared" si="37"/>
        <v>0</v>
      </c>
      <c r="AE89" s="245">
        <f t="shared" si="37"/>
        <v>0</v>
      </c>
      <c r="AF89" s="245">
        <f t="shared" si="37"/>
        <v>0</v>
      </c>
      <c r="AG89" s="245">
        <f t="shared" si="37"/>
        <v>0</v>
      </c>
      <c r="AH89" s="245">
        <f t="shared" si="37"/>
        <v>0</v>
      </c>
      <c r="AI89" s="245">
        <f t="shared" si="37"/>
        <v>0</v>
      </c>
      <c r="AJ89" s="245">
        <f t="shared" si="37"/>
        <v>0</v>
      </c>
      <c r="AK89" s="245">
        <f t="shared" si="37"/>
        <v>0</v>
      </c>
      <c r="AL89" s="245">
        <f t="shared" si="37"/>
        <v>0</v>
      </c>
      <c r="AM89" s="245">
        <f t="shared" si="37"/>
        <v>0</v>
      </c>
    </row>
    <row r="90" spans="2:39" s="242" customFormat="1" hidden="1" outlineLevel="1" x14ac:dyDescent="0.25">
      <c r="B90" s="242" t="str">
        <v>Pulver</v>
      </c>
      <c r="C90" s="243" t="s">
        <v>254</v>
      </c>
      <c r="D90" s="244">
        <f t="shared" ref="D90:AM90" si="38">IF(OR($H24=0,AND($AA24,NOT($Z24))),$L24/12,0)</f>
        <v>9.4949999999999992</v>
      </c>
      <c r="E90" s="245">
        <f t="shared" si="38"/>
        <v>9.4949999999999992</v>
      </c>
      <c r="F90" s="245">
        <f t="shared" si="38"/>
        <v>9.4949999999999992</v>
      </c>
      <c r="G90" s="245">
        <f t="shared" si="38"/>
        <v>9.4949999999999992</v>
      </c>
      <c r="H90" s="245">
        <f t="shared" si="38"/>
        <v>9.4949999999999992</v>
      </c>
      <c r="I90" s="245">
        <f t="shared" si="38"/>
        <v>9.4949999999999992</v>
      </c>
      <c r="J90" s="245">
        <f t="shared" si="38"/>
        <v>9.4949999999999992</v>
      </c>
      <c r="K90" s="245">
        <f t="shared" si="38"/>
        <v>9.4949999999999992</v>
      </c>
      <c r="L90" s="245">
        <f t="shared" si="38"/>
        <v>9.4949999999999992</v>
      </c>
      <c r="M90" s="245">
        <f t="shared" si="38"/>
        <v>9.4949999999999992</v>
      </c>
      <c r="N90" s="245">
        <f t="shared" si="38"/>
        <v>9.4949999999999992</v>
      </c>
      <c r="O90" s="245">
        <f t="shared" si="38"/>
        <v>9.4949999999999992</v>
      </c>
      <c r="P90" s="244">
        <f t="shared" si="38"/>
        <v>9.4949999999999992</v>
      </c>
      <c r="Q90" s="245">
        <f t="shared" si="38"/>
        <v>9.4949999999999992</v>
      </c>
      <c r="R90" s="245">
        <f t="shared" si="38"/>
        <v>9.4949999999999992</v>
      </c>
      <c r="S90" s="245">
        <f t="shared" si="38"/>
        <v>9.4949999999999992</v>
      </c>
      <c r="T90" s="245">
        <f t="shared" si="38"/>
        <v>9.4949999999999992</v>
      </c>
      <c r="U90" s="245">
        <f t="shared" si="38"/>
        <v>9.4949999999999992</v>
      </c>
      <c r="V90" s="245">
        <f t="shared" si="38"/>
        <v>9.4949999999999992</v>
      </c>
      <c r="W90" s="245">
        <f t="shared" si="38"/>
        <v>9.4949999999999992</v>
      </c>
      <c r="X90" s="245">
        <f t="shared" si="38"/>
        <v>9.4949999999999992</v>
      </c>
      <c r="Y90" s="245">
        <f t="shared" si="38"/>
        <v>9.4949999999999992</v>
      </c>
      <c r="Z90" s="245">
        <f t="shared" si="38"/>
        <v>9.4949999999999992</v>
      </c>
      <c r="AA90" s="245">
        <f t="shared" si="38"/>
        <v>9.4949999999999992</v>
      </c>
      <c r="AB90" s="244">
        <f t="shared" si="38"/>
        <v>9.4949999999999992</v>
      </c>
      <c r="AC90" s="245">
        <f t="shared" si="38"/>
        <v>9.4949999999999992</v>
      </c>
      <c r="AD90" s="245">
        <f t="shared" si="38"/>
        <v>9.4949999999999992</v>
      </c>
      <c r="AE90" s="245">
        <f t="shared" si="38"/>
        <v>9.4949999999999992</v>
      </c>
      <c r="AF90" s="245">
        <f t="shared" si="38"/>
        <v>9.4949999999999992</v>
      </c>
      <c r="AG90" s="245">
        <f t="shared" si="38"/>
        <v>9.4949999999999992</v>
      </c>
      <c r="AH90" s="245">
        <f t="shared" si="38"/>
        <v>9.4949999999999992</v>
      </c>
      <c r="AI90" s="245">
        <f t="shared" si="38"/>
        <v>9.4949999999999992</v>
      </c>
      <c r="AJ90" s="245">
        <f t="shared" si="38"/>
        <v>9.4949999999999992</v>
      </c>
      <c r="AK90" s="245">
        <f t="shared" si="38"/>
        <v>9.4949999999999992</v>
      </c>
      <c r="AL90" s="245">
        <f t="shared" si="38"/>
        <v>9.4949999999999992</v>
      </c>
      <c r="AM90" s="245">
        <f t="shared" si="38"/>
        <v>9.4949999999999992</v>
      </c>
    </row>
    <row r="91" spans="2:39" s="242" customFormat="1" hidden="1" outlineLevel="1" x14ac:dyDescent="0.25">
      <c r="B91" s="242" t="str">
        <v>FlisAffald</v>
      </c>
      <c r="C91" s="243" t="s">
        <v>254</v>
      </c>
      <c r="D91" s="244">
        <f t="shared" ref="D91:AM91" si="39">IF(OR($H25=0,AND($AA25,NOT($Z25))),$L25/12,0)</f>
        <v>17.683333333333334</v>
      </c>
      <c r="E91" s="245">
        <f t="shared" si="39"/>
        <v>17.683333333333334</v>
      </c>
      <c r="F91" s="245">
        <f t="shared" si="39"/>
        <v>17.683333333333334</v>
      </c>
      <c r="G91" s="245">
        <f t="shared" si="39"/>
        <v>17.683333333333334</v>
      </c>
      <c r="H91" s="245">
        <f t="shared" si="39"/>
        <v>17.683333333333334</v>
      </c>
      <c r="I91" s="245">
        <f t="shared" si="39"/>
        <v>17.683333333333334</v>
      </c>
      <c r="J91" s="245">
        <f t="shared" si="39"/>
        <v>17.683333333333334</v>
      </c>
      <c r="K91" s="245">
        <f t="shared" si="39"/>
        <v>17.683333333333334</v>
      </c>
      <c r="L91" s="245">
        <f t="shared" si="39"/>
        <v>17.683333333333334</v>
      </c>
      <c r="M91" s="245">
        <f t="shared" si="39"/>
        <v>17.683333333333334</v>
      </c>
      <c r="N91" s="245">
        <f t="shared" si="39"/>
        <v>17.683333333333334</v>
      </c>
      <c r="O91" s="245">
        <f t="shared" si="39"/>
        <v>17.683333333333334</v>
      </c>
      <c r="P91" s="244">
        <f t="shared" si="39"/>
        <v>17.683333333333334</v>
      </c>
      <c r="Q91" s="245">
        <f t="shared" si="39"/>
        <v>17.683333333333334</v>
      </c>
      <c r="R91" s="245">
        <f t="shared" si="39"/>
        <v>17.683333333333334</v>
      </c>
      <c r="S91" s="245">
        <f t="shared" si="39"/>
        <v>17.683333333333334</v>
      </c>
      <c r="T91" s="245">
        <f t="shared" si="39"/>
        <v>17.683333333333334</v>
      </c>
      <c r="U91" s="245">
        <f t="shared" si="39"/>
        <v>17.683333333333334</v>
      </c>
      <c r="V91" s="245">
        <f t="shared" si="39"/>
        <v>17.683333333333334</v>
      </c>
      <c r="W91" s="245">
        <f t="shared" si="39"/>
        <v>17.683333333333334</v>
      </c>
      <c r="X91" s="245">
        <f t="shared" si="39"/>
        <v>17.683333333333334</v>
      </c>
      <c r="Y91" s="245">
        <f t="shared" si="39"/>
        <v>17.683333333333334</v>
      </c>
      <c r="Z91" s="245">
        <f t="shared" si="39"/>
        <v>17.683333333333334</v>
      </c>
      <c r="AA91" s="245">
        <f t="shared" si="39"/>
        <v>17.683333333333334</v>
      </c>
      <c r="AB91" s="244">
        <f t="shared" si="39"/>
        <v>17.683333333333334</v>
      </c>
      <c r="AC91" s="245">
        <f t="shared" si="39"/>
        <v>17.683333333333334</v>
      </c>
      <c r="AD91" s="245">
        <f t="shared" si="39"/>
        <v>17.683333333333334</v>
      </c>
      <c r="AE91" s="245">
        <f t="shared" si="39"/>
        <v>17.683333333333334</v>
      </c>
      <c r="AF91" s="245">
        <f t="shared" si="39"/>
        <v>17.683333333333334</v>
      </c>
      <c r="AG91" s="245">
        <f t="shared" si="39"/>
        <v>17.683333333333334</v>
      </c>
      <c r="AH91" s="245">
        <f t="shared" si="39"/>
        <v>17.683333333333334</v>
      </c>
      <c r="AI91" s="245">
        <f t="shared" si="39"/>
        <v>17.683333333333334</v>
      </c>
      <c r="AJ91" s="245">
        <f t="shared" si="39"/>
        <v>17.683333333333334</v>
      </c>
      <c r="AK91" s="245">
        <f t="shared" si="39"/>
        <v>17.683333333333334</v>
      </c>
      <c r="AL91" s="245">
        <f t="shared" si="39"/>
        <v>17.683333333333334</v>
      </c>
      <c r="AM91" s="245">
        <f t="shared" si="39"/>
        <v>17.683333333333334</v>
      </c>
    </row>
    <row r="92" spans="2:39" s="242" customFormat="1" hidden="1" outlineLevel="1" x14ac:dyDescent="0.25">
      <c r="B92" s="242" t="str">
        <v>NyAff1</v>
      </c>
      <c r="C92" s="243" t="s">
        <v>254</v>
      </c>
      <c r="D92" s="244">
        <f t="shared" ref="D92:AM92" si="40">IF(OR($H26=0,AND($AA26,NOT($Z26))),$L26/12,0)</f>
        <v>0</v>
      </c>
      <c r="E92" s="245">
        <f t="shared" si="40"/>
        <v>0</v>
      </c>
      <c r="F92" s="245">
        <f t="shared" si="40"/>
        <v>0</v>
      </c>
      <c r="G92" s="245">
        <f t="shared" si="40"/>
        <v>0</v>
      </c>
      <c r="H92" s="245">
        <f t="shared" si="40"/>
        <v>0</v>
      </c>
      <c r="I92" s="245">
        <f t="shared" si="40"/>
        <v>0</v>
      </c>
      <c r="J92" s="245">
        <f t="shared" si="40"/>
        <v>0</v>
      </c>
      <c r="K92" s="245">
        <f t="shared" si="40"/>
        <v>0</v>
      </c>
      <c r="L92" s="245">
        <f t="shared" si="40"/>
        <v>0</v>
      </c>
      <c r="M92" s="245">
        <f t="shared" si="40"/>
        <v>0</v>
      </c>
      <c r="N92" s="245">
        <f t="shared" si="40"/>
        <v>0</v>
      </c>
      <c r="O92" s="245">
        <f t="shared" si="40"/>
        <v>0</v>
      </c>
      <c r="P92" s="244">
        <f t="shared" si="40"/>
        <v>0</v>
      </c>
      <c r="Q92" s="245">
        <f t="shared" si="40"/>
        <v>0</v>
      </c>
      <c r="R92" s="245">
        <f t="shared" si="40"/>
        <v>0</v>
      </c>
      <c r="S92" s="245">
        <f t="shared" si="40"/>
        <v>0</v>
      </c>
      <c r="T92" s="245">
        <f t="shared" si="40"/>
        <v>0</v>
      </c>
      <c r="U92" s="245">
        <f t="shared" si="40"/>
        <v>0</v>
      </c>
      <c r="V92" s="245">
        <f t="shared" si="40"/>
        <v>0</v>
      </c>
      <c r="W92" s="245">
        <f t="shared" si="40"/>
        <v>0</v>
      </c>
      <c r="X92" s="245">
        <f t="shared" si="40"/>
        <v>0</v>
      </c>
      <c r="Y92" s="245">
        <f t="shared" si="40"/>
        <v>0</v>
      </c>
      <c r="Z92" s="245">
        <f t="shared" si="40"/>
        <v>0</v>
      </c>
      <c r="AA92" s="245">
        <f t="shared" si="40"/>
        <v>0</v>
      </c>
      <c r="AB92" s="244">
        <f t="shared" si="40"/>
        <v>0</v>
      </c>
      <c r="AC92" s="245">
        <f t="shared" si="40"/>
        <v>0</v>
      </c>
      <c r="AD92" s="245">
        <f t="shared" si="40"/>
        <v>0</v>
      </c>
      <c r="AE92" s="245">
        <f t="shared" si="40"/>
        <v>0</v>
      </c>
      <c r="AF92" s="245">
        <f t="shared" si="40"/>
        <v>0</v>
      </c>
      <c r="AG92" s="245">
        <f t="shared" si="40"/>
        <v>0</v>
      </c>
      <c r="AH92" s="245">
        <f t="shared" si="40"/>
        <v>0</v>
      </c>
      <c r="AI92" s="245">
        <f t="shared" si="40"/>
        <v>0</v>
      </c>
      <c r="AJ92" s="245">
        <f t="shared" si="40"/>
        <v>0</v>
      </c>
      <c r="AK92" s="245">
        <f t="shared" si="40"/>
        <v>0</v>
      </c>
      <c r="AL92" s="245">
        <f t="shared" si="40"/>
        <v>0</v>
      </c>
      <c r="AM92" s="245">
        <f t="shared" si="40"/>
        <v>0</v>
      </c>
    </row>
    <row r="93" spans="2:39" s="242" customFormat="1" hidden="1" outlineLevel="1" x14ac:dyDescent="0.25">
      <c r="B93" s="242" t="str">
        <v>NyAff2</v>
      </c>
      <c r="C93" s="243" t="s">
        <v>254</v>
      </c>
      <c r="D93" s="244">
        <f t="shared" ref="D93:AM93" si="41">IF(OR($H27=0,AND($AA27,NOT($Z27))),$L27/12,0)</f>
        <v>0</v>
      </c>
      <c r="E93" s="245">
        <f t="shared" si="41"/>
        <v>0</v>
      </c>
      <c r="F93" s="245">
        <f t="shared" si="41"/>
        <v>0</v>
      </c>
      <c r="G93" s="245">
        <f t="shared" si="41"/>
        <v>0</v>
      </c>
      <c r="H93" s="245">
        <f t="shared" si="41"/>
        <v>0</v>
      </c>
      <c r="I93" s="245">
        <f t="shared" si="41"/>
        <v>0</v>
      </c>
      <c r="J93" s="245">
        <f t="shared" si="41"/>
        <v>0</v>
      </c>
      <c r="K93" s="245">
        <f t="shared" si="41"/>
        <v>0</v>
      </c>
      <c r="L93" s="245">
        <f t="shared" si="41"/>
        <v>0</v>
      </c>
      <c r="M93" s="245">
        <f t="shared" si="41"/>
        <v>0</v>
      </c>
      <c r="N93" s="245">
        <f t="shared" si="41"/>
        <v>0</v>
      </c>
      <c r="O93" s="245">
        <f t="shared" si="41"/>
        <v>0</v>
      </c>
      <c r="P93" s="244">
        <f t="shared" si="41"/>
        <v>0</v>
      </c>
      <c r="Q93" s="245">
        <f t="shared" si="41"/>
        <v>0</v>
      </c>
      <c r="R93" s="245">
        <f t="shared" si="41"/>
        <v>0</v>
      </c>
      <c r="S93" s="245">
        <f t="shared" si="41"/>
        <v>0</v>
      </c>
      <c r="T93" s="245">
        <f t="shared" si="41"/>
        <v>0</v>
      </c>
      <c r="U93" s="245">
        <f t="shared" si="41"/>
        <v>0</v>
      </c>
      <c r="V93" s="245">
        <f t="shared" si="41"/>
        <v>0</v>
      </c>
      <c r="W93" s="245">
        <f t="shared" si="41"/>
        <v>0</v>
      </c>
      <c r="X93" s="245">
        <f t="shared" si="41"/>
        <v>0</v>
      </c>
      <c r="Y93" s="245">
        <f t="shared" si="41"/>
        <v>0</v>
      </c>
      <c r="Z93" s="245">
        <f t="shared" si="41"/>
        <v>0</v>
      </c>
      <c r="AA93" s="245">
        <f t="shared" si="41"/>
        <v>0</v>
      </c>
      <c r="AB93" s="244">
        <f t="shared" si="41"/>
        <v>0</v>
      </c>
      <c r="AC93" s="245">
        <f t="shared" si="41"/>
        <v>0</v>
      </c>
      <c r="AD93" s="245">
        <f t="shared" si="41"/>
        <v>0</v>
      </c>
      <c r="AE93" s="245">
        <f t="shared" si="41"/>
        <v>0</v>
      </c>
      <c r="AF93" s="245">
        <f t="shared" si="41"/>
        <v>0</v>
      </c>
      <c r="AG93" s="245">
        <f t="shared" si="41"/>
        <v>0</v>
      </c>
      <c r="AH93" s="245">
        <f t="shared" si="41"/>
        <v>0</v>
      </c>
      <c r="AI93" s="245">
        <f t="shared" si="41"/>
        <v>0</v>
      </c>
      <c r="AJ93" s="245">
        <f t="shared" si="41"/>
        <v>0</v>
      </c>
      <c r="AK93" s="245">
        <f t="shared" si="41"/>
        <v>0</v>
      </c>
      <c r="AL93" s="245">
        <f t="shared" si="41"/>
        <v>0</v>
      </c>
      <c r="AM93" s="245">
        <f t="shared" si="41"/>
        <v>0</v>
      </c>
    </row>
    <row r="94" spans="2:39" s="242" customFormat="1" hidden="1" outlineLevel="1" x14ac:dyDescent="0.25">
      <c r="B94" s="242" t="str">
        <v>NyAff3</v>
      </c>
      <c r="C94" s="243" t="s">
        <v>254</v>
      </c>
      <c r="D94" s="244">
        <f t="shared" ref="D94:AM94" si="42">IF(OR($H28=0,AND($AA28,NOT($Z28))),$L28/12,0)</f>
        <v>0</v>
      </c>
      <c r="E94" s="245">
        <f t="shared" si="42"/>
        <v>0</v>
      </c>
      <c r="F94" s="245">
        <f t="shared" si="42"/>
        <v>0</v>
      </c>
      <c r="G94" s="245">
        <f t="shared" si="42"/>
        <v>0</v>
      </c>
      <c r="H94" s="245">
        <f t="shared" si="42"/>
        <v>0</v>
      </c>
      <c r="I94" s="245">
        <f t="shared" si="42"/>
        <v>0</v>
      </c>
      <c r="J94" s="245">
        <f t="shared" si="42"/>
        <v>0</v>
      </c>
      <c r="K94" s="245">
        <f t="shared" si="42"/>
        <v>0</v>
      </c>
      <c r="L94" s="245">
        <f t="shared" si="42"/>
        <v>0</v>
      </c>
      <c r="M94" s="245">
        <f t="shared" si="42"/>
        <v>0</v>
      </c>
      <c r="N94" s="245">
        <f t="shared" si="42"/>
        <v>0</v>
      </c>
      <c r="O94" s="245">
        <f t="shared" si="42"/>
        <v>0</v>
      </c>
      <c r="P94" s="244">
        <f t="shared" si="42"/>
        <v>0</v>
      </c>
      <c r="Q94" s="245">
        <f t="shared" si="42"/>
        <v>0</v>
      </c>
      <c r="R94" s="245">
        <f t="shared" si="42"/>
        <v>0</v>
      </c>
      <c r="S94" s="245">
        <f t="shared" si="42"/>
        <v>0</v>
      </c>
      <c r="T94" s="245">
        <f t="shared" si="42"/>
        <v>0</v>
      </c>
      <c r="U94" s="245">
        <f t="shared" si="42"/>
        <v>0</v>
      </c>
      <c r="V94" s="245">
        <f t="shared" si="42"/>
        <v>0</v>
      </c>
      <c r="W94" s="245">
        <f t="shared" si="42"/>
        <v>0</v>
      </c>
      <c r="X94" s="245">
        <f t="shared" si="42"/>
        <v>0</v>
      </c>
      <c r="Y94" s="245">
        <f t="shared" si="42"/>
        <v>0</v>
      </c>
      <c r="Z94" s="245">
        <f t="shared" si="42"/>
        <v>0</v>
      </c>
      <c r="AA94" s="245">
        <f t="shared" si="42"/>
        <v>0</v>
      </c>
      <c r="AB94" s="244">
        <f t="shared" si="42"/>
        <v>0</v>
      </c>
      <c r="AC94" s="245">
        <f t="shared" si="42"/>
        <v>0</v>
      </c>
      <c r="AD94" s="245">
        <f t="shared" si="42"/>
        <v>0</v>
      </c>
      <c r="AE94" s="245">
        <f t="shared" si="42"/>
        <v>0</v>
      </c>
      <c r="AF94" s="245">
        <f t="shared" si="42"/>
        <v>0</v>
      </c>
      <c r="AG94" s="245">
        <f t="shared" si="42"/>
        <v>0</v>
      </c>
      <c r="AH94" s="245">
        <f t="shared" si="42"/>
        <v>0</v>
      </c>
      <c r="AI94" s="245">
        <f t="shared" si="42"/>
        <v>0</v>
      </c>
      <c r="AJ94" s="245">
        <f t="shared" si="42"/>
        <v>0</v>
      </c>
      <c r="AK94" s="245">
        <f t="shared" si="42"/>
        <v>0</v>
      </c>
      <c r="AL94" s="245">
        <f t="shared" si="42"/>
        <v>0</v>
      </c>
      <c r="AM94" s="245">
        <f t="shared" si="42"/>
        <v>0</v>
      </c>
    </row>
    <row r="95" spans="2:39" s="242" customFormat="1" hidden="1" outlineLevel="1" x14ac:dyDescent="0.25">
      <c r="B95" s="242" t="str">
        <v>NyAff4</v>
      </c>
      <c r="C95" s="243" t="s">
        <v>254</v>
      </c>
      <c r="D95" s="244">
        <f t="shared" ref="D95:AM95" si="43">IF(OR($H29=0,AND($AA29,NOT($Z29))),$L29/12,0)</f>
        <v>0</v>
      </c>
      <c r="E95" s="245">
        <f t="shared" si="43"/>
        <v>0</v>
      </c>
      <c r="F95" s="245">
        <f t="shared" si="43"/>
        <v>0</v>
      </c>
      <c r="G95" s="245">
        <f t="shared" si="43"/>
        <v>0</v>
      </c>
      <c r="H95" s="245">
        <f t="shared" si="43"/>
        <v>0</v>
      </c>
      <c r="I95" s="245">
        <f t="shared" si="43"/>
        <v>0</v>
      </c>
      <c r="J95" s="245">
        <f t="shared" si="43"/>
        <v>0</v>
      </c>
      <c r="K95" s="245">
        <f t="shared" si="43"/>
        <v>0</v>
      </c>
      <c r="L95" s="245">
        <f t="shared" si="43"/>
        <v>0</v>
      </c>
      <c r="M95" s="245">
        <f t="shared" si="43"/>
        <v>0</v>
      </c>
      <c r="N95" s="245">
        <f t="shared" si="43"/>
        <v>0</v>
      </c>
      <c r="O95" s="245">
        <f t="shared" si="43"/>
        <v>0</v>
      </c>
      <c r="P95" s="244">
        <f t="shared" si="43"/>
        <v>0</v>
      </c>
      <c r="Q95" s="245">
        <f t="shared" si="43"/>
        <v>0</v>
      </c>
      <c r="R95" s="245">
        <f t="shared" si="43"/>
        <v>0</v>
      </c>
      <c r="S95" s="245">
        <f t="shared" si="43"/>
        <v>0</v>
      </c>
      <c r="T95" s="245">
        <f t="shared" si="43"/>
        <v>0</v>
      </c>
      <c r="U95" s="245">
        <f t="shared" si="43"/>
        <v>0</v>
      </c>
      <c r="V95" s="245">
        <f t="shared" si="43"/>
        <v>0</v>
      </c>
      <c r="W95" s="245">
        <f t="shared" si="43"/>
        <v>0</v>
      </c>
      <c r="X95" s="245">
        <f t="shared" si="43"/>
        <v>0</v>
      </c>
      <c r="Y95" s="245">
        <f t="shared" si="43"/>
        <v>0</v>
      </c>
      <c r="Z95" s="245">
        <f t="shared" si="43"/>
        <v>0</v>
      </c>
      <c r="AA95" s="245">
        <f t="shared" si="43"/>
        <v>0</v>
      </c>
      <c r="AB95" s="244">
        <f t="shared" si="43"/>
        <v>0</v>
      </c>
      <c r="AC95" s="245">
        <f t="shared" si="43"/>
        <v>0</v>
      </c>
      <c r="AD95" s="245">
        <f t="shared" si="43"/>
        <v>0</v>
      </c>
      <c r="AE95" s="245">
        <f t="shared" si="43"/>
        <v>0</v>
      </c>
      <c r="AF95" s="245">
        <f t="shared" si="43"/>
        <v>0</v>
      </c>
      <c r="AG95" s="245">
        <f t="shared" si="43"/>
        <v>0</v>
      </c>
      <c r="AH95" s="245">
        <f t="shared" si="43"/>
        <v>0</v>
      </c>
      <c r="AI95" s="245">
        <f t="shared" si="43"/>
        <v>0</v>
      </c>
      <c r="AJ95" s="245">
        <f t="shared" si="43"/>
        <v>0</v>
      </c>
      <c r="AK95" s="245">
        <f t="shared" si="43"/>
        <v>0</v>
      </c>
      <c r="AL95" s="245">
        <f t="shared" si="43"/>
        <v>0</v>
      </c>
      <c r="AM95" s="245">
        <f t="shared" si="43"/>
        <v>0</v>
      </c>
    </row>
    <row r="96" spans="2:39" s="242" customFormat="1" hidden="1" outlineLevel="1" x14ac:dyDescent="0.25">
      <c r="B96" s="242" t="str">
        <v>NyAff5</v>
      </c>
      <c r="C96" s="243" t="s">
        <v>254</v>
      </c>
      <c r="D96" s="244">
        <f t="shared" ref="D96:AM96" si="44">IF(OR($H30=0,AND($AA30,NOT($Z30))),$L30/12,0)</f>
        <v>0</v>
      </c>
      <c r="E96" s="245">
        <f t="shared" si="44"/>
        <v>0</v>
      </c>
      <c r="F96" s="245">
        <f t="shared" si="44"/>
        <v>0</v>
      </c>
      <c r="G96" s="245">
        <f t="shared" si="44"/>
        <v>0</v>
      </c>
      <c r="H96" s="245">
        <f t="shared" si="44"/>
        <v>0</v>
      </c>
      <c r="I96" s="245">
        <f t="shared" si="44"/>
        <v>0</v>
      </c>
      <c r="J96" s="245">
        <f t="shared" si="44"/>
        <v>0</v>
      </c>
      <c r="K96" s="245">
        <f t="shared" si="44"/>
        <v>0</v>
      </c>
      <c r="L96" s="245">
        <f t="shared" si="44"/>
        <v>0</v>
      </c>
      <c r="M96" s="245">
        <f t="shared" si="44"/>
        <v>0</v>
      </c>
      <c r="N96" s="245">
        <f t="shared" si="44"/>
        <v>0</v>
      </c>
      <c r="O96" s="245">
        <f t="shared" si="44"/>
        <v>0</v>
      </c>
      <c r="P96" s="244">
        <f t="shared" si="44"/>
        <v>0</v>
      </c>
      <c r="Q96" s="245">
        <f t="shared" si="44"/>
        <v>0</v>
      </c>
      <c r="R96" s="245">
        <f t="shared" si="44"/>
        <v>0</v>
      </c>
      <c r="S96" s="245">
        <f t="shared" si="44"/>
        <v>0</v>
      </c>
      <c r="T96" s="245">
        <f t="shared" si="44"/>
        <v>0</v>
      </c>
      <c r="U96" s="245">
        <f t="shared" si="44"/>
        <v>0</v>
      </c>
      <c r="V96" s="245">
        <f t="shared" si="44"/>
        <v>0</v>
      </c>
      <c r="W96" s="245">
        <f t="shared" si="44"/>
        <v>0</v>
      </c>
      <c r="X96" s="245">
        <f t="shared" si="44"/>
        <v>0</v>
      </c>
      <c r="Y96" s="245">
        <f t="shared" si="44"/>
        <v>0</v>
      </c>
      <c r="Z96" s="245">
        <f t="shared" si="44"/>
        <v>0</v>
      </c>
      <c r="AA96" s="245">
        <f t="shared" si="44"/>
        <v>0</v>
      </c>
      <c r="AB96" s="244">
        <f t="shared" si="44"/>
        <v>0</v>
      </c>
      <c r="AC96" s="245">
        <f t="shared" si="44"/>
        <v>0</v>
      </c>
      <c r="AD96" s="245">
        <f t="shared" si="44"/>
        <v>0</v>
      </c>
      <c r="AE96" s="245">
        <f t="shared" si="44"/>
        <v>0</v>
      </c>
      <c r="AF96" s="245">
        <f t="shared" si="44"/>
        <v>0</v>
      </c>
      <c r="AG96" s="245">
        <f t="shared" si="44"/>
        <v>0</v>
      </c>
      <c r="AH96" s="245">
        <f t="shared" si="44"/>
        <v>0</v>
      </c>
      <c r="AI96" s="245">
        <f t="shared" si="44"/>
        <v>0</v>
      </c>
      <c r="AJ96" s="245">
        <f t="shared" si="44"/>
        <v>0</v>
      </c>
      <c r="AK96" s="245">
        <f t="shared" si="44"/>
        <v>0</v>
      </c>
      <c r="AL96" s="245">
        <f t="shared" si="44"/>
        <v>0</v>
      </c>
      <c r="AM96" s="245">
        <f t="shared" si="44"/>
        <v>0</v>
      </c>
    </row>
    <row r="97" spans="1:39" hidden="1" outlineLevel="1" x14ac:dyDescent="0.25">
      <c r="A97" s="298"/>
      <c r="B97" t="str" cm="1">
        <f t="array" ref="B97:B99">ØvrigeBrændsler</f>
        <v>Flis</v>
      </c>
      <c r="C97" s="243" t="s">
        <v>254</v>
      </c>
      <c r="D97" s="244">
        <f t="shared" ref="D97:AM97" si="45">IF(OR($H31=0,AND($AA31,NOT($Z31))),$L31/12,0)</f>
        <v>0</v>
      </c>
      <c r="E97" s="245">
        <f t="shared" si="45"/>
        <v>0</v>
      </c>
      <c r="F97" s="245">
        <f t="shared" si="45"/>
        <v>0</v>
      </c>
      <c r="G97" s="245">
        <f t="shared" si="45"/>
        <v>0</v>
      </c>
      <c r="H97" s="245">
        <f t="shared" si="45"/>
        <v>0</v>
      </c>
      <c r="I97" s="245">
        <f t="shared" si="45"/>
        <v>0</v>
      </c>
      <c r="J97" s="245">
        <f t="shared" si="45"/>
        <v>0</v>
      </c>
      <c r="K97" s="245">
        <f t="shared" si="45"/>
        <v>0</v>
      </c>
      <c r="L97" s="245">
        <f t="shared" si="45"/>
        <v>0</v>
      </c>
      <c r="M97" s="245">
        <f t="shared" si="45"/>
        <v>0</v>
      </c>
      <c r="N97" s="245">
        <f t="shared" si="45"/>
        <v>0</v>
      </c>
      <c r="O97" s="245">
        <f t="shared" si="45"/>
        <v>0</v>
      </c>
      <c r="P97" s="244">
        <f t="shared" si="45"/>
        <v>0</v>
      </c>
      <c r="Q97" s="245">
        <f t="shared" si="45"/>
        <v>0</v>
      </c>
      <c r="R97" s="245">
        <f t="shared" si="45"/>
        <v>0</v>
      </c>
      <c r="S97" s="245">
        <f t="shared" si="45"/>
        <v>0</v>
      </c>
      <c r="T97" s="245">
        <f t="shared" si="45"/>
        <v>0</v>
      </c>
      <c r="U97" s="245">
        <f t="shared" si="45"/>
        <v>0</v>
      </c>
      <c r="V97" s="245">
        <f t="shared" si="45"/>
        <v>0</v>
      </c>
      <c r="W97" s="245">
        <f t="shared" si="45"/>
        <v>0</v>
      </c>
      <c r="X97" s="245">
        <f t="shared" si="45"/>
        <v>0</v>
      </c>
      <c r="Y97" s="245">
        <f t="shared" si="45"/>
        <v>0</v>
      </c>
      <c r="Z97" s="245">
        <f t="shared" si="45"/>
        <v>0</v>
      </c>
      <c r="AA97" s="245">
        <f t="shared" si="45"/>
        <v>0</v>
      </c>
      <c r="AB97" s="244">
        <f t="shared" si="45"/>
        <v>0</v>
      </c>
      <c r="AC97" s="245">
        <f t="shared" si="45"/>
        <v>0</v>
      </c>
      <c r="AD97" s="245">
        <f t="shared" si="45"/>
        <v>0</v>
      </c>
      <c r="AE97" s="245">
        <f t="shared" si="45"/>
        <v>0</v>
      </c>
      <c r="AF97" s="245">
        <f t="shared" si="45"/>
        <v>0</v>
      </c>
      <c r="AG97" s="245">
        <f t="shared" si="45"/>
        <v>0</v>
      </c>
      <c r="AH97" s="245">
        <f t="shared" si="45"/>
        <v>0</v>
      </c>
      <c r="AI97" s="245">
        <f t="shared" si="45"/>
        <v>0</v>
      </c>
      <c r="AJ97" s="245">
        <f t="shared" si="45"/>
        <v>0</v>
      </c>
      <c r="AK97" s="245">
        <f t="shared" si="45"/>
        <v>0</v>
      </c>
      <c r="AL97" s="245">
        <f t="shared" si="45"/>
        <v>0</v>
      </c>
      <c r="AM97" s="245">
        <f t="shared" si="45"/>
        <v>0</v>
      </c>
    </row>
    <row r="98" spans="1:39" hidden="1" outlineLevel="1" x14ac:dyDescent="0.25">
      <c r="A98" s="299"/>
      <c r="B98" t="str">
        <v>NSvarme</v>
      </c>
      <c r="C98" s="243" t="s">
        <v>254</v>
      </c>
      <c r="D98" s="244">
        <f t="shared" ref="D98:AM98" si="46">IF(OR($H32=0,AND($AA32,NOT($Z32))),$L32/12,0)</f>
        <v>0</v>
      </c>
      <c r="E98" s="245">
        <f t="shared" si="46"/>
        <v>0</v>
      </c>
      <c r="F98" s="245">
        <f t="shared" si="46"/>
        <v>0</v>
      </c>
      <c r="G98" s="245">
        <f t="shared" si="46"/>
        <v>0</v>
      </c>
      <c r="H98" s="245">
        <f t="shared" si="46"/>
        <v>0</v>
      </c>
      <c r="I98" s="245">
        <f t="shared" si="46"/>
        <v>0</v>
      </c>
      <c r="J98" s="245">
        <f t="shared" si="46"/>
        <v>0</v>
      </c>
      <c r="K98" s="245">
        <f t="shared" si="46"/>
        <v>0</v>
      </c>
      <c r="L98" s="245">
        <f t="shared" si="46"/>
        <v>0</v>
      </c>
      <c r="M98" s="245">
        <f t="shared" si="46"/>
        <v>0</v>
      </c>
      <c r="N98" s="245">
        <f t="shared" si="46"/>
        <v>0</v>
      </c>
      <c r="O98" s="245">
        <f t="shared" si="46"/>
        <v>0</v>
      </c>
      <c r="P98" s="244">
        <f t="shared" si="46"/>
        <v>0</v>
      </c>
      <c r="Q98" s="245">
        <f t="shared" si="46"/>
        <v>0</v>
      </c>
      <c r="R98" s="245">
        <f t="shared" si="46"/>
        <v>0</v>
      </c>
      <c r="S98" s="245">
        <f t="shared" si="46"/>
        <v>0</v>
      </c>
      <c r="T98" s="245">
        <f t="shared" si="46"/>
        <v>0</v>
      </c>
      <c r="U98" s="245">
        <f t="shared" si="46"/>
        <v>0</v>
      </c>
      <c r="V98" s="245">
        <f t="shared" si="46"/>
        <v>0</v>
      </c>
      <c r="W98" s="245">
        <f t="shared" si="46"/>
        <v>0</v>
      </c>
      <c r="X98" s="245">
        <f t="shared" si="46"/>
        <v>0</v>
      </c>
      <c r="Y98" s="245">
        <f t="shared" si="46"/>
        <v>0</v>
      </c>
      <c r="Z98" s="245">
        <f t="shared" si="46"/>
        <v>0</v>
      </c>
      <c r="AA98" s="245">
        <f t="shared" si="46"/>
        <v>0</v>
      </c>
      <c r="AB98" s="244">
        <f t="shared" si="46"/>
        <v>0</v>
      </c>
      <c r="AC98" s="245">
        <f t="shared" si="46"/>
        <v>0</v>
      </c>
      <c r="AD98" s="245">
        <f t="shared" si="46"/>
        <v>0</v>
      </c>
      <c r="AE98" s="245">
        <f t="shared" si="46"/>
        <v>0</v>
      </c>
      <c r="AF98" s="245">
        <f t="shared" si="46"/>
        <v>0</v>
      </c>
      <c r="AG98" s="245">
        <f t="shared" si="46"/>
        <v>0</v>
      </c>
      <c r="AH98" s="245">
        <f t="shared" si="46"/>
        <v>0</v>
      </c>
      <c r="AI98" s="245">
        <f t="shared" si="46"/>
        <v>0</v>
      </c>
      <c r="AJ98" s="245">
        <f t="shared" si="46"/>
        <v>0</v>
      </c>
      <c r="AK98" s="245">
        <f t="shared" si="46"/>
        <v>0</v>
      </c>
      <c r="AL98" s="245">
        <f t="shared" si="46"/>
        <v>0</v>
      </c>
      <c r="AM98" s="245">
        <f t="shared" si="46"/>
        <v>0</v>
      </c>
    </row>
    <row r="99" spans="1:39" hidden="1" outlineLevel="1" x14ac:dyDescent="0.25">
      <c r="A99" s="299"/>
      <c r="B99" t="str">
        <v>PeakFuel</v>
      </c>
      <c r="C99" s="243" t="s">
        <v>254</v>
      </c>
      <c r="D99" s="244">
        <f t="shared" ref="D99:AM99" si="47">IF(OR($H33=0,AND($AA33,NOT($Z33))),$L33/12,0)</f>
        <v>0</v>
      </c>
      <c r="E99" s="245">
        <f t="shared" si="47"/>
        <v>0</v>
      </c>
      <c r="F99" s="245">
        <f t="shared" si="47"/>
        <v>0</v>
      </c>
      <c r="G99" s="245">
        <f t="shared" si="47"/>
        <v>0</v>
      </c>
      <c r="H99" s="245">
        <f t="shared" si="47"/>
        <v>0</v>
      </c>
      <c r="I99" s="245">
        <f t="shared" si="47"/>
        <v>0</v>
      </c>
      <c r="J99" s="245">
        <f t="shared" si="47"/>
        <v>0</v>
      </c>
      <c r="K99" s="245">
        <f t="shared" si="47"/>
        <v>0</v>
      </c>
      <c r="L99" s="245">
        <f t="shared" si="47"/>
        <v>0</v>
      </c>
      <c r="M99" s="245">
        <f t="shared" si="47"/>
        <v>0</v>
      </c>
      <c r="N99" s="245">
        <f t="shared" si="47"/>
        <v>0</v>
      </c>
      <c r="O99" s="245">
        <f t="shared" si="47"/>
        <v>0</v>
      </c>
      <c r="P99" s="244">
        <f t="shared" si="47"/>
        <v>0</v>
      </c>
      <c r="Q99" s="245">
        <f t="shared" si="47"/>
        <v>0</v>
      </c>
      <c r="R99" s="245">
        <f t="shared" si="47"/>
        <v>0</v>
      </c>
      <c r="S99" s="245">
        <f t="shared" si="47"/>
        <v>0</v>
      </c>
      <c r="T99" s="245">
        <f t="shared" si="47"/>
        <v>0</v>
      </c>
      <c r="U99" s="245">
        <f t="shared" si="47"/>
        <v>0</v>
      </c>
      <c r="V99" s="245">
        <f t="shared" si="47"/>
        <v>0</v>
      </c>
      <c r="W99" s="245">
        <f t="shared" si="47"/>
        <v>0</v>
      </c>
      <c r="X99" s="245">
        <f t="shared" si="47"/>
        <v>0</v>
      </c>
      <c r="Y99" s="245">
        <f t="shared" si="47"/>
        <v>0</v>
      </c>
      <c r="Z99" s="245">
        <f t="shared" si="47"/>
        <v>0</v>
      </c>
      <c r="AA99" s="245">
        <f t="shared" si="47"/>
        <v>0</v>
      </c>
      <c r="AB99" s="244">
        <f t="shared" si="47"/>
        <v>0</v>
      </c>
      <c r="AC99" s="245">
        <f t="shared" si="47"/>
        <v>0</v>
      </c>
      <c r="AD99" s="245">
        <f t="shared" si="47"/>
        <v>0</v>
      </c>
      <c r="AE99" s="245">
        <f t="shared" si="47"/>
        <v>0</v>
      </c>
      <c r="AF99" s="245">
        <f t="shared" si="47"/>
        <v>0</v>
      </c>
      <c r="AG99" s="245">
        <f t="shared" si="47"/>
        <v>0</v>
      </c>
      <c r="AH99" s="245">
        <f t="shared" si="47"/>
        <v>0</v>
      </c>
      <c r="AI99" s="245">
        <f t="shared" si="47"/>
        <v>0</v>
      </c>
      <c r="AJ99" s="245">
        <f t="shared" si="47"/>
        <v>0</v>
      </c>
      <c r="AK99" s="245">
        <f t="shared" si="47"/>
        <v>0</v>
      </c>
      <c r="AL99" s="245">
        <f t="shared" si="47"/>
        <v>0</v>
      </c>
      <c r="AM99" s="245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6" customFormat="1" hidden="1" outlineLevel="1" x14ac:dyDescent="0.25">
      <c r="B101" s="246" t="str" cm="1">
        <f t="array" ref="B101:B126">Affaldsfraktioner</f>
        <v>DepoSort</v>
      </c>
      <c r="C101" s="247" t="s">
        <v>394</v>
      </c>
      <c r="D101" s="248">
        <f t="shared" ref="D101:AM101" si="48">$Q5</f>
        <v>10.5</v>
      </c>
      <c r="E101" s="249">
        <f t="shared" si="48"/>
        <v>10.5</v>
      </c>
      <c r="F101" s="249">
        <f t="shared" si="48"/>
        <v>10.5</v>
      </c>
      <c r="G101" s="249">
        <f t="shared" si="48"/>
        <v>10.5</v>
      </c>
      <c r="H101" s="249">
        <f t="shared" si="48"/>
        <v>10.5</v>
      </c>
      <c r="I101" s="249">
        <f t="shared" si="48"/>
        <v>10.5</v>
      </c>
      <c r="J101" s="249">
        <f t="shared" si="48"/>
        <v>10.5</v>
      </c>
      <c r="K101" s="249">
        <f t="shared" si="48"/>
        <v>10.5</v>
      </c>
      <c r="L101" s="249">
        <f t="shared" si="48"/>
        <v>10.5</v>
      </c>
      <c r="M101" s="249">
        <f t="shared" si="48"/>
        <v>10.5</v>
      </c>
      <c r="N101" s="249">
        <f t="shared" si="48"/>
        <v>10.5</v>
      </c>
      <c r="O101" s="249">
        <f t="shared" si="48"/>
        <v>10.5</v>
      </c>
      <c r="P101" s="248">
        <f t="shared" si="48"/>
        <v>10.5</v>
      </c>
      <c r="Q101" s="249">
        <f t="shared" si="48"/>
        <v>10.5</v>
      </c>
      <c r="R101" s="249">
        <f t="shared" si="48"/>
        <v>10.5</v>
      </c>
      <c r="S101" s="249">
        <f t="shared" si="48"/>
        <v>10.5</v>
      </c>
      <c r="T101" s="249">
        <f t="shared" si="48"/>
        <v>10.5</v>
      </c>
      <c r="U101" s="249">
        <f t="shared" si="48"/>
        <v>10.5</v>
      </c>
      <c r="V101" s="249">
        <f t="shared" si="48"/>
        <v>10.5</v>
      </c>
      <c r="W101" s="249">
        <f t="shared" si="48"/>
        <v>10.5</v>
      </c>
      <c r="X101" s="249">
        <f t="shared" si="48"/>
        <v>10.5</v>
      </c>
      <c r="Y101" s="249">
        <f t="shared" si="48"/>
        <v>10.5</v>
      </c>
      <c r="Z101" s="249">
        <f t="shared" si="48"/>
        <v>10.5</v>
      </c>
      <c r="AA101" s="249">
        <f t="shared" si="48"/>
        <v>10.5</v>
      </c>
      <c r="AB101" s="248">
        <f t="shared" si="48"/>
        <v>10.5</v>
      </c>
      <c r="AC101" s="249">
        <f t="shared" si="48"/>
        <v>10.5</v>
      </c>
      <c r="AD101" s="249">
        <f t="shared" si="48"/>
        <v>10.5</v>
      </c>
      <c r="AE101" s="249">
        <f t="shared" si="48"/>
        <v>10.5</v>
      </c>
      <c r="AF101" s="249">
        <f t="shared" si="48"/>
        <v>10.5</v>
      </c>
      <c r="AG101" s="249">
        <f t="shared" si="48"/>
        <v>10.5</v>
      </c>
      <c r="AH101" s="249">
        <f t="shared" si="48"/>
        <v>10.5</v>
      </c>
      <c r="AI101" s="249">
        <f t="shared" si="48"/>
        <v>10.5</v>
      </c>
      <c r="AJ101" s="249">
        <f t="shared" si="48"/>
        <v>10.5</v>
      </c>
      <c r="AK101" s="249">
        <f t="shared" si="48"/>
        <v>10.5</v>
      </c>
      <c r="AL101" s="249">
        <f t="shared" si="48"/>
        <v>10.5</v>
      </c>
      <c r="AM101" s="249">
        <f t="shared" si="48"/>
        <v>10.5</v>
      </c>
    </row>
    <row r="102" spans="1:39" s="246" customFormat="1" hidden="1" outlineLevel="1" x14ac:dyDescent="0.25">
      <c r="B102" s="246" t="str">
        <v>DepoSmaat</v>
      </c>
      <c r="C102" s="247" t="s">
        <v>394</v>
      </c>
      <c r="D102" s="248">
        <f t="shared" ref="D102:AM102" si="49">$Q6</f>
        <v>10.5</v>
      </c>
      <c r="E102" s="249">
        <f t="shared" si="49"/>
        <v>10.5</v>
      </c>
      <c r="F102" s="249">
        <f t="shared" si="49"/>
        <v>10.5</v>
      </c>
      <c r="G102" s="249">
        <f t="shared" si="49"/>
        <v>10.5</v>
      </c>
      <c r="H102" s="249">
        <f t="shared" si="49"/>
        <v>10.5</v>
      </c>
      <c r="I102" s="249">
        <f t="shared" si="49"/>
        <v>10.5</v>
      </c>
      <c r="J102" s="249">
        <f t="shared" si="49"/>
        <v>10.5</v>
      </c>
      <c r="K102" s="249">
        <f t="shared" si="49"/>
        <v>10.5</v>
      </c>
      <c r="L102" s="249">
        <f t="shared" si="49"/>
        <v>10.5</v>
      </c>
      <c r="M102" s="249">
        <f t="shared" si="49"/>
        <v>10.5</v>
      </c>
      <c r="N102" s="249">
        <f t="shared" si="49"/>
        <v>10.5</v>
      </c>
      <c r="O102" s="249">
        <f t="shared" si="49"/>
        <v>10.5</v>
      </c>
      <c r="P102" s="248">
        <f t="shared" si="49"/>
        <v>10.5</v>
      </c>
      <c r="Q102" s="249">
        <f t="shared" si="49"/>
        <v>10.5</v>
      </c>
      <c r="R102" s="249">
        <f t="shared" si="49"/>
        <v>10.5</v>
      </c>
      <c r="S102" s="249">
        <f t="shared" si="49"/>
        <v>10.5</v>
      </c>
      <c r="T102" s="249">
        <f t="shared" si="49"/>
        <v>10.5</v>
      </c>
      <c r="U102" s="249">
        <f t="shared" si="49"/>
        <v>10.5</v>
      </c>
      <c r="V102" s="249">
        <f t="shared" si="49"/>
        <v>10.5</v>
      </c>
      <c r="W102" s="249">
        <f t="shared" si="49"/>
        <v>10.5</v>
      </c>
      <c r="X102" s="249">
        <f t="shared" si="49"/>
        <v>10.5</v>
      </c>
      <c r="Y102" s="249">
        <f t="shared" si="49"/>
        <v>10.5</v>
      </c>
      <c r="Z102" s="249">
        <f t="shared" si="49"/>
        <v>10.5</v>
      </c>
      <c r="AA102" s="249">
        <f t="shared" si="49"/>
        <v>10.5</v>
      </c>
      <c r="AB102" s="248">
        <f t="shared" si="49"/>
        <v>10.5</v>
      </c>
      <c r="AC102" s="249">
        <f t="shared" si="49"/>
        <v>10.5</v>
      </c>
      <c r="AD102" s="249">
        <f t="shared" si="49"/>
        <v>10.5</v>
      </c>
      <c r="AE102" s="249">
        <f t="shared" si="49"/>
        <v>10.5</v>
      </c>
      <c r="AF102" s="249">
        <f t="shared" si="49"/>
        <v>10.5</v>
      </c>
      <c r="AG102" s="249">
        <f t="shared" si="49"/>
        <v>10.5</v>
      </c>
      <c r="AH102" s="249">
        <f t="shared" si="49"/>
        <v>10.5</v>
      </c>
      <c r="AI102" s="249">
        <f t="shared" si="49"/>
        <v>10.5</v>
      </c>
      <c r="AJ102" s="249">
        <f t="shared" si="49"/>
        <v>10.5</v>
      </c>
      <c r="AK102" s="249">
        <f t="shared" si="49"/>
        <v>10.5</v>
      </c>
      <c r="AL102" s="249">
        <f t="shared" si="49"/>
        <v>10.5</v>
      </c>
      <c r="AM102" s="249">
        <f t="shared" si="49"/>
        <v>10.5</v>
      </c>
    </row>
    <row r="103" spans="1:39" s="246" customFormat="1" hidden="1" outlineLevel="1" x14ac:dyDescent="0.25">
      <c r="B103" s="246" t="str">
        <v>DepoNedd</v>
      </c>
      <c r="C103" s="247" t="s">
        <v>394</v>
      </c>
      <c r="D103" s="248">
        <f t="shared" ref="D103:AM103" si="50">$Q7</f>
        <v>10.5</v>
      </c>
      <c r="E103" s="249">
        <f t="shared" si="50"/>
        <v>10.5</v>
      </c>
      <c r="F103" s="249">
        <f t="shared" si="50"/>
        <v>10.5</v>
      </c>
      <c r="G103" s="249">
        <f t="shared" si="50"/>
        <v>10.5</v>
      </c>
      <c r="H103" s="249">
        <f t="shared" si="50"/>
        <v>10.5</v>
      </c>
      <c r="I103" s="249">
        <f t="shared" si="50"/>
        <v>10.5</v>
      </c>
      <c r="J103" s="249">
        <f t="shared" si="50"/>
        <v>10.5</v>
      </c>
      <c r="K103" s="249">
        <f t="shared" si="50"/>
        <v>10.5</v>
      </c>
      <c r="L103" s="249">
        <f t="shared" si="50"/>
        <v>10.5</v>
      </c>
      <c r="M103" s="249">
        <f t="shared" si="50"/>
        <v>10.5</v>
      </c>
      <c r="N103" s="249">
        <f t="shared" si="50"/>
        <v>10.5</v>
      </c>
      <c r="O103" s="249">
        <f t="shared" si="50"/>
        <v>10.5</v>
      </c>
      <c r="P103" s="248">
        <f t="shared" si="50"/>
        <v>10.5</v>
      </c>
      <c r="Q103" s="249">
        <f t="shared" si="50"/>
        <v>10.5</v>
      </c>
      <c r="R103" s="249">
        <f t="shared" si="50"/>
        <v>10.5</v>
      </c>
      <c r="S103" s="249">
        <f t="shared" si="50"/>
        <v>10.5</v>
      </c>
      <c r="T103" s="249">
        <f t="shared" si="50"/>
        <v>10.5</v>
      </c>
      <c r="U103" s="249">
        <f t="shared" si="50"/>
        <v>10.5</v>
      </c>
      <c r="V103" s="249">
        <f t="shared" si="50"/>
        <v>10.5</v>
      </c>
      <c r="W103" s="249">
        <f t="shared" si="50"/>
        <v>10.5</v>
      </c>
      <c r="X103" s="249">
        <f t="shared" si="50"/>
        <v>10.5</v>
      </c>
      <c r="Y103" s="249">
        <f t="shared" si="50"/>
        <v>10.5</v>
      </c>
      <c r="Z103" s="249">
        <f t="shared" si="50"/>
        <v>10.5</v>
      </c>
      <c r="AA103" s="249">
        <f t="shared" si="50"/>
        <v>10.5</v>
      </c>
      <c r="AB103" s="248">
        <f t="shared" si="50"/>
        <v>10.5</v>
      </c>
      <c r="AC103" s="249">
        <f t="shared" si="50"/>
        <v>10.5</v>
      </c>
      <c r="AD103" s="249">
        <f t="shared" si="50"/>
        <v>10.5</v>
      </c>
      <c r="AE103" s="249">
        <f t="shared" si="50"/>
        <v>10.5</v>
      </c>
      <c r="AF103" s="249">
        <f t="shared" si="50"/>
        <v>10.5</v>
      </c>
      <c r="AG103" s="249">
        <f t="shared" si="50"/>
        <v>10.5</v>
      </c>
      <c r="AH103" s="249">
        <f t="shared" si="50"/>
        <v>10.5</v>
      </c>
      <c r="AI103" s="249">
        <f t="shared" si="50"/>
        <v>10.5</v>
      </c>
      <c r="AJ103" s="249">
        <f t="shared" si="50"/>
        <v>10.5</v>
      </c>
      <c r="AK103" s="249">
        <f t="shared" si="50"/>
        <v>10.5</v>
      </c>
      <c r="AL103" s="249">
        <f t="shared" si="50"/>
        <v>10.5</v>
      </c>
      <c r="AM103" s="249">
        <f t="shared" si="50"/>
        <v>10.5</v>
      </c>
    </row>
    <row r="104" spans="1:39" s="246" customFormat="1" hidden="1" outlineLevel="1" x14ac:dyDescent="0.25">
      <c r="B104" s="246" t="str">
        <v>Dagren</v>
      </c>
      <c r="C104" s="247" t="s">
        <v>394</v>
      </c>
      <c r="D104" s="248">
        <f t="shared" ref="D104:AM104" si="51">$Q8</f>
        <v>9.4</v>
      </c>
      <c r="E104" s="249">
        <f t="shared" si="51"/>
        <v>9.4</v>
      </c>
      <c r="F104" s="249">
        <f t="shared" si="51"/>
        <v>9.4</v>
      </c>
      <c r="G104" s="249">
        <f t="shared" si="51"/>
        <v>9.4</v>
      </c>
      <c r="H104" s="249">
        <f t="shared" si="51"/>
        <v>9.4</v>
      </c>
      <c r="I104" s="249">
        <f t="shared" si="51"/>
        <v>9.4</v>
      </c>
      <c r="J104" s="249">
        <f t="shared" si="51"/>
        <v>9.4</v>
      </c>
      <c r="K104" s="249">
        <f t="shared" si="51"/>
        <v>9.4</v>
      </c>
      <c r="L104" s="249">
        <f t="shared" si="51"/>
        <v>9.4</v>
      </c>
      <c r="M104" s="249">
        <f t="shared" si="51"/>
        <v>9.4</v>
      </c>
      <c r="N104" s="249">
        <f t="shared" si="51"/>
        <v>9.4</v>
      </c>
      <c r="O104" s="249">
        <f t="shared" si="51"/>
        <v>9.4</v>
      </c>
      <c r="P104" s="248">
        <f t="shared" si="51"/>
        <v>9.4</v>
      </c>
      <c r="Q104" s="249">
        <f t="shared" si="51"/>
        <v>9.4</v>
      </c>
      <c r="R104" s="249">
        <f t="shared" si="51"/>
        <v>9.4</v>
      </c>
      <c r="S104" s="249">
        <f t="shared" si="51"/>
        <v>9.4</v>
      </c>
      <c r="T104" s="249">
        <f t="shared" si="51"/>
        <v>9.4</v>
      </c>
      <c r="U104" s="249">
        <f t="shared" si="51"/>
        <v>9.4</v>
      </c>
      <c r="V104" s="249">
        <f t="shared" si="51"/>
        <v>9.4</v>
      </c>
      <c r="W104" s="249">
        <f t="shared" si="51"/>
        <v>9.4</v>
      </c>
      <c r="X104" s="249">
        <f t="shared" si="51"/>
        <v>9.4</v>
      </c>
      <c r="Y104" s="249">
        <f t="shared" si="51"/>
        <v>9.4</v>
      </c>
      <c r="Z104" s="249">
        <f t="shared" si="51"/>
        <v>9.4</v>
      </c>
      <c r="AA104" s="249">
        <f t="shared" si="51"/>
        <v>9.4</v>
      </c>
      <c r="AB104" s="248">
        <f t="shared" si="51"/>
        <v>9.4</v>
      </c>
      <c r="AC104" s="249">
        <f t="shared" si="51"/>
        <v>9.4</v>
      </c>
      <c r="AD104" s="249">
        <f t="shared" si="51"/>
        <v>9.4</v>
      </c>
      <c r="AE104" s="249">
        <f t="shared" si="51"/>
        <v>9.4</v>
      </c>
      <c r="AF104" s="249">
        <f t="shared" si="51"/>
        <v>9.4</v>
      </c>
      <c r="AG104" s="249">
        <f t="shared" si="51"/>
        <v>9.4</v>
      </c>
      <c r="AH104" s="249">
        <f t="shared" si="51"/>
        <v>9.4</v>
      </c>
      <c r="AI104" s="249">
        <f t="shared" si="51"/>
        <v>9.4</v>
      </c>
      <c r="AJ104" s="249">
        <f t="shared" si="51"/>
        <v>9.4</v>
      </c>
      <c r="AK104" s="249">
        <f t="shared" si="51"/>
        <v>9.4</v>
      </c>
      <c r="AL104" s="249">
        <f t="shared" si="51"/>
        <v>9.4</v>
      </c>
      <c r="AM104" s="249">
        <f t="shared" si="51"/>
        <v>9.4</v>
      </c>
    </row>
    <row r="105" spans="1:39" s="246" customFormat="1" hidden="1" outlineLevel="1" x14ac:dyDescent="0.25">
      <c r="B105" s="246" t="str">
        <v>AndetBrand</v>
      </c>
      <c r="C105" s="247" t="s">
        <v>394</v>
      </c>
      <c r="D105" s="248">
        <f t="shared" ref="D105:AM105" si="52">$Q9</f>
        <v>10.5</v>
      </c>
      <c r="E105" s="249">
        <f t="shared" si="52"/>
        <v>10.5</v>
      </c>
      <c r="F105" s="249">
        <f t="shared" si="52"/>
        <v>10.5</v>
      </c>
      <c r="G105" s="249">
        <f t="shared" si="52"/>
        <v>10.5</v>
      </c>
      <c r="H105" s="249">
        <f t="shared" si="52"/>
        <v>10.5</v>
      </c>
      <c r="I105" s="249">
        <f t="shared" si="52"/>
        <v>10.5</v>
      </c>
      <c r="J105" s="249">
        <f t="shared" si="52"/>
        <v>10.5</v>
      </c>
      <c r="K105" s="249">
        <f t="shared" si="52"/>
        <v>10.5</v>
      </c>
      <c r="L105" s="249">
        <f t="shared" si="52"/>
        <v>10.5</v>
      </c>
      <c r="M105" s="249">
        <f t="shared" si="52"/>
        <v>10.5</v>
      </c>
      <c r="N105" s="249">
        <f t="shared" si="52"/>
        <v>10.5</v>
      </c>
      <c r="O105" s="249">
        <f t="shared" si="52"/>
        <v>10.5</v>
      </c>
      <c r="P105" s="248">
        <f t="shared" si="52"/>
        <v>10.5</v>
      </c>
      <c r="Q105" s="249">
        <f t="shared" si="52"/>
        <v>10.5</v>
      </c>
      <c r="R105" s="249">
        <f t="shared" si="52"/>
        <v>10.5</v>
      </c>
      <c r="S105" s="249">
        <f t="shared" si="52"/>
        <v>10.5</v>
      </c>
      <c r="T105" s="249">
        <f t="shared" si="52"/>
        <v>10.5</v>
      </c>
      <c r="U105" s="249">
        <f t="shared" si="52"/>
        <v>10.5</v>
      </c>
      <c r="V105" s="249">
        <f t="shared" si="52"/>
        <v>10.5</v>
      </c>
      <c r="W105" s="249">
        <f t="shared" si="52"/>
        <v>10.5</v>
      </c>
      <c r="X105" s="249">
        <f t="shared" si="52"/>
        <v>10.5</v>
      </c>
      <c r="Y105" s="249">
        <f t="shared" si="52"/>
        <v>10.5</v>
      </c>
      <c r="Z105" s="249">
        <f t="shared" si="52"/>
        <v>10.5</v>
      </c>
      <c r="AA105" s="249">
        <f t="shared" si="52"/>
        <v>10.5</v>
      </c>
      <c r="AB105" s="248">
        <f t="shared" si="52"/>
        <v>10.5</v>
      </c>
      <c r="AC105" s="249">
        <f t="shared" si="52"/>
        <v>10.5</v>
      </c>
      <c r="AD105" s="249">
        <f t="shared" si="52"/>
        <v>10.5</v>
      </c>
      <c r="AE105" s="249">
        <f t="shared" si="52"/>
        <v>10.5</v>
      </c>
      <c r="AF105" s="249">
        <f t="shared" si="52"/>
        <v>10.5</v>
      </c>
      <c r="AG105" s="249">
        <f t="shared" si="52"/>
        <v>10.5</v>
      </c>
      <c r="AH105" s="249">
        <f t="shared" si="52"/>
        <v>10.5</v>
      </c>
      <c r="AI105" s="249">
        <f t="shared" si="52"/>
        <v>10.5</v>
      </c>
      <c r="AJ105" s="249">
        <f t="shared" si="52"/>
        <v>10.5</v>
      </c>
      <c r="AK105" s="249">
        <f t="shared" si="52"/>
        <v>10.5</v>
      </c>
      <c r="AL105" s="249">
        <f t="shared" si="52"/>
        <v>10.5</v>
      </c>
      <c r="AM105" s="249">
        <f t="shared" si="52"/>
        <v>10.5</v>
      </c>
    </row>
    <row r="106" spans="1:39" s="246" customFormat="1" hidden="1" outlineLevel="1" x14ac:dyDescent="0.25">
      <c r="B106" s="246" t="str">
        <v>Trae</v>
      </c>
      <c r="C106" s="247" t="s">
        <v>394</v>
      </c>
      <c r="D106" s="248">
        <f t="shared" ref="D106:AM106" si="53">$Q10</f>
        <v>14.5</v>
      </c>
      <c r="E106" s="249">
        <f t="shared" si="53"/>
        <v>14.5</v>
      </c>
      <c r="F106" s="249">
        <f t="shared" si="53"/>
        <v>14.5</v>
      </c>
      <c r="G106" s="249">
        <f t="shared" si="53"/>
        <v>14.5</v>
      </c>
      <c r="H106" s="249">
        <f t="shared" si="53"/>
        <v>14.5</v>
      </c>
      <c r="I106" s="249">
        <f t="shared" si="53"/>
        <v>14.5</v>
      </c>
      <c r="J106" s="249">
        <f t="shared" si="53"/>
        <v>14.5</v>
      </c>
      <c r="K106" s="249">
        <f t="shared" si="53"/>
        <v>14.5</v>
      </c>
      <c r="L106" s="249">
        <f t="shared" si="53"/>
        <v>14.5</v>
      </c>
      <c r="M106" s="249">
        <f t="shared" si="53"/>
        <v>14.5</v>
      </c>
      <c r="N106" s="249">
        <f t="shared" si="53"/>
        <v>14.5</v>
      </c>
      <c r="O106" s="249">
        <f t="shared" si="53"/>
        <v>14.5</v>
      </c>
      <c r="P106" s="248">
        <f t="shared" si="53"/>
        <v>14.5</v>
      </c>
      <c r="Q106" s="249">
        <f t="shared" si="53"/>
        <v>14.5</v>
      </c>
      <c r="R106" s="249">
        <f t="shared" si="53"/>
        <v>14.5</v>
      </c>
      <c r="S106" s="249">
        <f t="shared" si="53"/>
        <v>14.5</v>
      </c>
      <c r="T106" s="249">
        <f t="shared" si="53"/>
        <v>14.5</v>
      </c>
      <c r="U106" s="249">
        <f t="shared" si="53"/>
        <v>14.5</v>
      </c>
      <c r="V106" s="249">
        <f t="shared" si="53"/>
        <v>14.5</v>
      </c>
      <c r="W106" s="249">
        <f t="shared" si="53"/>
        <v>14.5</v>
      </c>
      <c r="X106" s="249">
        <f t="shared" si="53"/>
        <v>14.5</v>
      </c>
      <c r="Y106" s="249">
        <f t="shared" si="53"/>
        <v>14.5</v>
      </c>
      <c r="Z106" s="249">
        <f t="shared" si="53"/>
        <v>14.5</v>
      </c>
      <c r="AA106" s="249">
        <f t="shared" si="53"/>
        <v>14.5</v>
      </c>
      <c r="AB106" s="248">
        <f t="shared" si="53"/>
        <v>14.5</v>
      </c>
      <c r="AC106" s="249">
        <f t="shared" si="53"/>
        <v>14.5</v>
      </c>
      <c r="AD106" s="249">
        <f t="shared" si="53"/>
        <v>14.5</v>
      </c>
      <c r="AE106" s="249">
        <f t="shared" si="53"/>
        <v>14.5</v>
      </c>
      <c r="AF106" s="249">
        <f t="shared" si="53"/>
        <v>14.5</v>
      </c>
      <c r="AG106" s="249">
        <f t="shared" si="53"/>
        <v>14.5</v>
      </c>
      <c r="AH106" s="249">
        <f t="shared" si="53"/>
        <v>14.5</v>
      </c>
      <c r="AI106" s="249">
        <f t="shared" si="53"/>
        <v>14.5</v>
      </c>
      <c r="AJ106" s="249">
        <f t="shared" si="53"/>
        <v>14.5</v>
      </c>
      <c r="AK106" s="249">
        <f t="shared" si="53"/>
        <v>14.5</v>
      </c>
      <c r="AL106" s="249">
        <f t="shared" si="53"/>
        <v>14.5</v>
      </c>
      <c r="AM106" s="249">
        <f t="shared" si="53"/>
        <v>14.5</v>
      </c>
    </row>
    <row r="107" spans="1:39" s="246" customFormat="1" hidden="1" outlineLevel="1" x14ac:dyDescent="0.25">
      <c r="B107" s="246" t="str">
        <v>DagrenRast</v>
      </c>
      <c r="C107" s="247" t="s">
        <v>394</v>
      </c>
      <c r="D107" s="248">
        <f t="shared" ref="D107:AM107" si="54">$Q11</f>
        <v>12</v>
      </c>
      <c r="E107" s="249">
        <f t="shared" si="54"/>
        <v>12</v>
      </c>
      <c r="F107" s="249">
        <f t="shared" si="54"/>
        <v>12</v>
      </c>
      <c r="G107" s="249">
        <f t="shared" si="54"/>
        <v>12</v>
      </c>
      <c r="H107" s="249">
        <f t="shared" si="54"/>
        <v>12</v>
      </c>
      <c r="I107" s="249">
        <f t="shared" si="54"/>
        <v>12</v>
      </c>
      <c r="J107" s="249">
        <f t="shared" si="54"/>
        <v>12</v>
      </c>
      <c r="K107" s="249">
        <f t="shared" si="54"/>
        <v>12</v>
      </c>
      <c r="L107" s="249">
        <f t="shared" si="54"/>
        <v>12</v>
      </c>
      <c r="M107" s="249">
        <f t="shared" si="54"/>
        <v>12</v>
      </c>
      <c r="N107" s="249">
        <f t="shared" si="54"/>
        <v>12</v>
      </c>
      <c r="O107" s="249">
        <f t="shared" si="54"/>
        <v>12</v>
      </c>
      <c r="P107" s="248">
        <f t="shared" si="54"/>
        <v>12</v>
      </c>
      <c r="Q107" s="249">
        <f t="shared" si="54"/>
        <v>12</v>
      </c>
      <c r="R107" s="249">
        <f t="shared" si="54"/>
        <v>12</v>
      </c>
      <c r="S107" s="249">
        <f t="shared" si="54"/>
        <v>12</v>
      </c>
      <c r="T107" s="249">
        <f t="shared" si="54"/>
        <v>12</v>
      </c>
      <c r="U107" s="249">
        <f t="shared" si="54"/>
        <v>12</v>
      </c>
      <c r="V107" s="249">
        <f t="shared" si="54"/>
        <v>12</v>
      </c>
      <c r="W107" s="249">
        <f t="shared" si="54"/>
        <v>12</v>
      </c>
      <c r="X107" s="249">
        <f t="shared" si="54"/>
        <v>12</v>
      </c>
      <c r="Y107" s="249">
        <f t="shared" si="54"/>
        <v>12</v>
      </c>
      <c r="Z107" s="249">
        <f t="shared" si="54"/>
        <v>12</v>
      </c>
      <c r="AA107" s="249">
        <f t="shared" si="54"/>
        <v>12</v>
      </c>
      <c r="AB107" s="248">
        <f t="shared" si="54"/>
        <v>12</v>
      </c>
      <c r="AC107" s="249">
        <f t="shared" si="54"/>
        <v>12</v>
      </c>
      <c r="AD107" s="249">
        <f t="shared" si="54"/>
        <v>12</v>
      </c>
      <c r="AE107" s="249">
        <f t="shared" si="54"/>
        <v>12</v>
      </c>
      <c r="AF107" s="249">
        <f t="shared" si="54"/>
        <v>12</v>
      </c>
      <c r="AG107" s="249">
        <f t="shared" si="54"/>
        <v>12</v>
      </c>
      <c r="AH107" s="249">
        <f t="shared" si="54"/>
        <v>12</v>
      </c>
      <c r="AI107" s="249">
        <f t="shared" si="54"/>
        <v>12</v>
      </c>
      <c r="AJ107" s="249">
        <f t="shared" si="54"/>
        <v>12</v>
      </c>
      <c r="AK107" s="249">
        <f t="shared" si="54"/>
        <v>12</v>
      </c>
      <c r="AL107" s="249">
        <f t="shared" si="54"/>
        <v>12</v>
      </c>
      <c r="AM107" s="249">
        <f t="shared" si="54"/>
        <v>12</v>
      </c>
    </row>
    <row r="108" spans="1:39" s="246" customFormat="1" hidden="1" outlineLevel="1" x14ac:dyDescent="0.25">
      <c r="B108" s="246" t="str">
        <v>DagrenInst</v>
      </c>
      <c r="C108" s="247" t="s">
        <v>394</v>
      </c>
      <c r="D108" s="248">
        <f t="shared" ref="D108:AM108" si="55">$Q12</f>
        <v>9</v>
      </c>
      <c r="E108" s="249">
        <f t="shared" si="55"/>
        <v>9</v>
      </c>
      <c r="F108" s="249">
        <f t="shared" si="55"/>
        <v>9</v>
      </c>
      <c r="G108" s="249">
        <f t="shared" si="55"/>
        <v>9</v>
      </c>
      <c r="H108" s="249">
        <f t="shared" si="55"/>
        <v>9</v>
      </c>
      <c r="I108" s="249">
        <f t="shared" si="55"/>
        <v>9</v>
      </c>
      <c r="J108" s="249">
        <f t="shared" si="55"/>
        <v>9</v>
      </c>
      <c r="K108" s="249">
        <f t="shared" si="55"/>
        <v>9</v>
      </c>
      <c r="L108" s="249">
        <f t="shared" si="55"/>
        <v>9</v>
      </c>
      <c r="M108" s="249">
        <f t="shared" si="55"/>
        <v>9</v>
      </c>
      <c r="N108" s="249">
        <f t="shared" si="55"/>
        <v>9</v>
      </c>
      <c r="O108" s="249">
        <f t="shared" si="55"/>
        <v>9</v>
      </c>
      <c r="P108" s="248">
        <f t="shared" si="55"/>
        <v>9</v>
      </c>
      <c r="Q108" s="249">
        <f t="shared" si="55"/>
        <v>9</v>
      </c>
      <c r="R108" s="249">
        <f t="shared" si="55"/>
        <v>9</v>
      </c>
      <c r="S108" s="249">
        <f t="shared" si="55"/>
        <v>9</v>
      </c>
      <c r="T108" s="249">
        <f t="shared" si="55"/>
        <v>9</v>
      </c>
      <c r="U108" s="249">
        <f t="shared" si="55"/>
        <v>9</v>
      </c>
      <c r="V108" s="249">
        <f t="shared" si="55"/>
        <v>9</v>
      </c>
      <c r="W108" s="249">
        <f t="shared" si="55"/>
        <v>9</v>
      </c>
      <c r="X108" s="249">
        <f t="shared" si="55"/>
        <v>9</v>
      </c>
      <c r="Y108" s="249">
        <f t="shared" si="55"/>
        <v>9</v>
      </c>
      <c r="Z108" s="249">
        <f t="shared" si="55"/>
        <v>9</v>
      </c>
      <c r="AA108" s="249">
        <f t="shared" si="55"/>
        <v>9</v>
      </c>
      <c r="AB108" s="248">
        <f t="shared" si="55"/>
        <v>9</v>
      </c>
      <c r="AC108" s="249">
        <f t="shared" si="55"/>
        <v>9</v>
      </c>
      <c r="AD108" s="249">
        <f t="shared" si="55"/>
        <v>9</v>
      </c>
      <c r="AE108" s="249">
        <f t="shared" si="55"/>
        <v>9</v>
      </c>
      <c r="AF108" s="249">
        <f t="shared" si="55"/>
        <v>9</v>
      </c>
      <c r="AG108" s="249">
        <f t="shared" si="55"/>
        <v>9</v>
      </c>
      <c r="AH108" s="249">
        <f t="shared" si="55"/>
        <v>9</v>
      </c>
      <c r="AI108" s="249">
        <f t="shared" si="55"/>
        <v>9</v>
      </c>
      <c r="AJ108" s="249">
        <f t="shared" si="55"/>
        <v>9</v>
      </c>
      <c r="AK108" s="249">
        <f t="shared" si="55"/>
        <v>9</v>
      </c>
      <c r="AL108" s="249">
        <f t="shared" si="55"/>
        <v>9</v>
      </c>
      <c r="AM108" s="249">
        <f t="shared" si="55"/>
        <v>9</v>
      </c>
    </row>
    <row r="109" spans="1:39" s="246" customFormat="1" hidden="1" outlineLevel="1" x14ac:dyDescent="0.25">
      <c r="B109" s="246" t="str">
        <v>DagrenHandel</v>
      </c>
      <c r="C109" s="247" t="s">
        <v>394</v>
      </c>
      <c r="D109" s="248">
        <f t="shared" ref="D109:AM109" si="56">$Q13</f>
        <v>11</v>
      </c>
      <c r="E109" s="249">
        <f t="shared" si="56"/>
        <v>11</v>
      </c>
      <c r="F109" s="249">
        <f t="shared" si="56"/>
        <v>11</v>
      </c>
      <c r="G109" s="249">
        <f t="shared" si="56"/>
        <v>11</v>
      </c>
      <c r="H109" s="249">
        <f t="shared" si="56"/>
        <v>11</v>
      </c>
      <c r="I109" s="249">
        <f t="shared" si="56"/>
        <v>11</v>
      </c>
      <c r="J109" s="249">
        <f t="shared" si="56"/>
        <v>11</v>
      </c>
      <c r="K109" s="249">
        <f t="shared" si="56"/>
        <v>11</v>
      </c>
      <c r="L109" s="249">
        <f t="shared" si="56"/>
        <v>11</v>
      </c>
      <c r="M109" s="249">
        <f t="shared" si="56"/>
        <v>11</v>
      </c>
      <c r="N109" s="249">
        <f t="shared" si="56"/>
        <v>11</v>
      </c>
      <c r="O109" s="249">
        <f t="shared" si="56"/>
        <v>11</v>
      </c>
      <c r="P109" s="248">
        <f t="shared" si="56"/>
        <v>11</v>
      </c>
      <c r="Q109" s="249">
        <f t="shared" si="56"/>
        <v>11</v>
      </c>
      <c r="R109" s="249">
        <f t="shared" si="56"/>
        <v>11</v>
      </c>
      <c r="S109" s="249">
        <f t="shared" si="56"/>
        <v>11</v>
      </c>
      <c r="T109" s="249">
        <f t="shared" si="56"/>
        <v>11</v>
      </c>
      <c r="U109" s="249">
        <f t="shared" si="56"/>
        <v>11</v>
      </c>
      <c r="V109" s="249">
        <f t="shared" si="56"/>
        <v>11</v>
      </c>
      <c r="W109" s="249">
        <f t="shared" si="56"/>
        <v>11</v>
      </c>
      <c r="X109" s="249">
        <f t="shared" si="56"/>
        <v>11</v>
      </c>
      <c r="Y109" s="249">
        <f t="shared" si="56"/>
        <v>11</v>
      </c>
      <c r="Z109" s="249">
        <f t="shared" si="56"/>
        <v>11</v>
      </c>
      <c r="AA109" s="249">
        <f t="shared" si="56"/>
        <v>11</v>
      </c>
      <c r="AB109" s="248">
        <f t="shared" si="56"/>
        <v>11</v>
      </c>
      <c r="AC109" s="249">
        <f t="shared" si="56"/>
        <v>11</v>
      </c>
      <c r="AD109" s="249">
        <f t="shared" si="56"/>
        <v>11</v>
      </c>
      <c r="AE109" s="249">
        <f t="shared" si="56"/>
        <v>11</v>
      </c>
      <c r="AF109" s="249">
        <f t="shared" si="56"/>
        <v>11</v>
      </c>
      <c r="AG109" s="249">
        <f t="shared" si="56"/>
        <v>11</v>
      </c>
      <c r="AH109" s="249">
        <f t="shared" si="56"/>
        <v>11</v>
      </c>
      <c r="AI109" s="249">
        <f t="shared" si="56"/>
        <v>11</v>
      </c>
      <c r="AJ109" s="249">
        <f t="shared" si="56"/>
        <v>11</v>
      </c>
      <c r="AK109" s="249">
        <f t="shared" si="56"/>
        <v>11</v>
      </c>
      <c r="AL109" s="249">
        <f t="shared" si="56"/>
        <v>11</v>
      </c>
      <c r="AM109" s="249">
        <f t="shared" si="56"/>
        <v>11</v>
      </c>
    </row>
    <row r="110" spans="1:39" s="246" customFormat="1" hidden="1" outlineLevel="1" x14ac:dyDescent="0.25">
      <c r="B110" s="246" t="str">
        <v>DagrenRestau</v>
      </c>
      <c r="C110" s="247" t="s">
        <v>394</v>
      </c>
      <c r="D110" s="248">
        <f t="shared" ref="D110:AM110" si="57">$Q14</f>
        <v>9.5</v>
      </c>
      <c r="E110" s="249">
        <f t="shared" si="57"/>
        <v>9.5</v>
      </c>
      <c r="F110" s="249">
        <f t="shared" si="57"/>
        <v>9.5</v>
      </c>
      <c r="G110" s="249">
        <f t="shared" si="57"/>
        <v>9.5</v>
      </c>
      <c r="H110" s="249">
        <f t="shared" si="57"/>
        <v>9.5</v>
      </c>
      <c r="I110" s="249">
        <f t="shared" si="57"/>
        <v>9.5</v>
      </c>
      <c r="J110" s="249">
        <f t="shared" si="57"/>
        <v>9.5</v>
      </c>
      <c r="K110" s="249">
        <f t="shared" si="57"/>
        <v>9.5</v>
      </c>
      <c r="L110" s="249">
        <f t="shared" si="57"/>
        <v>9.5</v>
      </c>
      <c r="M110" s="249">
        <f t="shared" si="57"/>
        <v>9.5</v>
      </c>
      <c r="N110" s="249">
        <f t="shared" si="57"/>
        <v>9.5</v>
      </c>
      <c r="O110" s="249">
        <f t="shared" si="57"/>
        <v>9.5</v>
      </c>
      <c r="P110" s="248">
        <f t="shared" si="57"/>
        <v>9.5</v>
      </c>
      <c r="Q110" s="249">
        <f t="shared" si="57"/>
        <v>9.5</v>
      </c>
      <c r="R110" s="249">
        <f t="shared" si="57"/>
        <v>9.5</v>
      </c>
      <c r="S110" s="249">
        <f t="shared" si="57"/>
        <v>9.5</v>
      </c>
      <c r="T110" s="249">
        <f t="shared" si="57"/>
        <v>9.5</v>
      </c>
      <c r="U110" s="249">
        <f t="shared" si="57"/>
        <v>9.5</v>
      </c>
      <c r="V110" s="249">
        <f t="shared" si="57"/>
        <v>9.5</v>
      </c>
      <c r="W110" s="249">
        <f t="shared" si="57"/>
        <v>9.5</v>
      </c>
      <c r="X110" s="249">
        <f t="shared" si="57"/>
        <v>9.5</v>
      </c>
      <c r="Y110" s="249">
        <f t="shared" si="57"/>
        <v>9.5</v>
      </c>
      <c r="Z110" s="249">
        <f t="shared" si="57"/>
        <v>9.5</v>
      </c>
      <c r="AA110" s="249">
        <f t="shared" si="57"/>
        <v>9.5</v>
      </c>
      <c r="AB110" s="248">
        <f t="shared" si="57"/>
        <v>9.5</v>
      </c>
      <c r="AC110" s="249">
        <f t="shared" si="57"/>
        <v>9.5</v>
      </c>
      <c r="AD110" s="249">
        <f t="shared" si="57"/>
        <v>9.5</v>
      </c>
      <c r="AE110" s="249">
        <f t="shared" si="57"/>
        <v>9.5</v>
      </c>
      <c r="AF110" s="249">
        <f t="shared" si="57"/>
        <v>9.5</v>
      </c>
      <c r="AG110" s="249">
        <f t="shared" si="57"/>
        <v>9.5</v>
      </c>
      <c r="AH110" s="249">
        <f t="shared" si="57"/>
        <v>9.5</v>
      </c>
      <c r="AI110" s="249">
        <f t="shared" si="57"/>
        <v>9.5</v>
      </c>
      <c r="AJ110" s="249">
        <f t="shared" si="57"/>
        <v>9.5</v>
      </c>
      <c r="AK110" s="249">
        <f t="shared" si="57"/>
        <v>9.5</v>
      </c>
      <c r="AL110" s="249">
        <f t="shared" si="57"/>
        <v>9.5</v>
      </c>
      <c r="AM110" s="249">
        <f t="shared" si="57"/>
        <v>9.5</v>
      </c>
    </row>
    <row r="111" spans="1:39" s="246" customFormat="1" hidden="1" outlineLevel="1" x14ac:dyDescent="0.25">
      <c r="B111" s="246" t="str">
        <v>Erhverv</v>
      </c>
      <c r="C111" s="247" t="s">
        <v>394</v>
      </c>
      <c r="D111" s="248">
        <f t="shared" ref="D111:AM111" si="58">$Q15</f>
        <v>9</v>
      </c>
      <c r="E111" s="249">
        <f t="shared" si="58"/>
        <v>9</v>
      </c>
      <c r="F111" s="249">
        <f t="shared" si="58"/>
        <v>9</v>
      </c>
      <c r="G111" s="249">
        <f t="shared" si="58"/>
        <v>9</v>
      </c>
      <c r="H111" s="249">
        <f t="shared" si="58"/>
        <v>9</v>
      </c>
      <c r="I111" s="249">
        <f t="shared" si="58"/>
        <v>9</v>
      </c>
      <c r="J111" s="249">
        <f t="shared" si="58"/>
        <v>9</v>
      </c>
      <c r="K111" s="249">
        <f t="shared" si="58"/>
        <v>9</v>
      </c>
      <c r="L111" s="249">
        <f t="shared" si="58"/>
        <v>9</v>
      </c>
      <c r="M111" s="249">
        <f t="shared" si="58"/>
        <v>9</v>
      </c>
      <c r="N111" s="249">
        <f t="shared" si="58"/>
        <v>9</v>
      </c>
      <c r="O111" s="249">
        <f t="shared" si="58"/>
        <v>9</v>
      </c>
      <c r="P111" s="248">
        <f t="shared" si="58"/>
        <v>9</v>
      </c>
      <c r="Q111" s="249">
        <f t="shared" si="58"/>
        <v>9</v>
      </c>
      <c r="R111" s="249">
        <f t="shared" si="58"/>
        <v>9</v>
      </c>
      <c r="S111" s="249">
        <f t="shared" si="58"/>
        <v>9</v>
      </c>
      <c r="T111" s="249">
        <f t="shared" si="58"/>
        <v>9</v>
      </c>
      <c r="U111" s="249">
        <f t="shared" si="58"/>
        <v>9</v>
      </c>
      <c r="V111" s="249">
        <f t="shared" si="58"/>
        <v>9</v>
      </c>
      <c r="W111" s="249">
        <f t="shared" si="58"/>
        <v>9</v>
      </c>
      <c r="X111" s="249">
        <f t="shared" si="58"/>
        <v>9</v>
      </c>
      <c r="Y111" s="249">
        <f t="shared" si="58"/>
        <v>9</v>
      </c>
      <c r="Z111" s="249">
        <f t="shared" si="58"/>
        <v>9</v>
      </c>
      <c r="AA111" s="249">
        <f t="shared" si="58"/>
        <v>9</v>
      </c>
      <c r="AB111" s="248">
        <f t="shared" si="58"/>
        <v>9</v>
      </c>
      <c r="AC111" s="249">
        <f t="shared" si="58"/>
        <v>9</v>
      </c>
      <c r="AD111" s="249">
        <f t="shared" si="58"/>
        <v>9</v>
      </c>
      <c r="AE111" s="249">
        <f t="shared" si="58"/>
        <v>9</v>
      </c>
      <c r="AF111" s="249">
        <f t="shared" si="58"/>
        <v>9</v>
      </c>
      <c r="AG111" s="249">
        <f t="shared" si="58"/>
        <v>9</v>
      </c>
      <c r="AH111" s="249">
        <f t="shared" si="58"/>
        <v>9</v>
      </c>
      <c r="AI111" s="249">
        <f t="shared" si="58"/>
        <v>9</v>
      </c>
      <c r="AJ111" s="249">
        <f t="shared" si="58"/>
        <v>9</v>
      </c>
      <c r="AK111" s="249">
        <f t="shared" si="58"/>
        <v>9</v>
      </c>
      <c r="AL111" s="249">
        <f t="shared" si="58"/>
        <v>9</v>
      </c>
      <c r="AM111" s="249">
        <f t="shared" si="58"/>
        <v>9</v>
      </c>
    </row>
    <row r="112" spans="1:39" s="246" customFormat="1" hidden="1" outlineLevel="1" x14ac:dyDescent="0.25">
      <c r="B112" s="246" t="str">
        <v>DagrenErhverv</v>
      </c>
      <c r="C112" s="247" t="s">
        <v>394</v>
      </c>
      <c r="D112" s="248">
        <f t="shared" ref="D112:AM112" si="59">$Q16</f>
        <v>12</v>
      </c>
      <c r="E112" s="249">
        <f t="shared" si="59"/>
        <v>12</v>
      </c>
      <c r="F112" s="249">
        <f t="shared" si="59"/>
        <v>12</v>
      </c>
      <c r="G112" s="249">
        <f t="shared" si="59"/>
        <v>12</v>
      </c>
      <c r="H112" s="249">
        <f t="shared" si="59"/>
        <v>12</v>
      </c>
      <c r="I112" s="249">
        <f t="shared" si="59"/>
        <v>12</v>
      </c>
      <c r="J112" s="249">
        <f t="shared" si="59"/>
        <v>12</v>
      </c>
      <c r="K112" s="249">
        <f t="shared" si="59"/>
        <v>12</v>
      </c>
      <c r="L112" s="249">
        <f t="shared" si="59"/>
        <v>12</v>
      </c>
      <c r="M112" s="249">
        <f t="shared" si="59"/>
        <v>12</v>
      </c>
      <c r="N112" s="249">
        <f t="shared" si="59"/>
        <v>12</v>
      </c>
      <c r="O112" s="249">
        <f t="shared" si="59"/>
        <v>12</v>
      </c>
      <c r="P112" s="248">
        <f t="shared" si="59"/>
        <v>12</v>
      </c>
      <c r="Q112" s="249">
        <f t="shared" si="59"/>
        <v>12</v>
      </c>
      <c r="R112" s="249">
        <f t="shared" si="59"/>
        <v>12</v>
      </c>
      <c r="S112" s="249">
        <f t="shared" si="59"/>
        <v>12</v>
      </c>
      <c r="T112" s="249">
        <f t="shared" si="59"/>
        <v>12</v>
      </c>
      <c r="U112" s="249">
        <f t="shared" si="59"/>
        <v>12</v>
      </c>
      <c r="V112" s="249">
        <f t="shared" si="59"/>
        <v>12</v>
      </c>
      <c r="W112" s="249">
        <f t="shared" si="59"/>
        <v>12</v>
      </c>
      <c r="X112" s="249">
        <f t="shared" si="59"/>
        <v>12</v>
      </c>
      <c r="Y112" s="249">
        <f t="shared" si="59"/>
        <v>12</v>
      </c>
      <c r="Z112" s="249">
        <f t="shared" si="59"/>
        <v>12</v>
      </c>
      <c r="AA112" s="249">
        <f t="shared" si="59"/>
        <v>12</v>
      </c>
      <c r="AB112" s="248">
        <f t="shared" si="59"/>
        <v>12</v>
      </c>
      <c r="AC112" s="249">
        <f t="shared" si="59"/>
        <v>12</v>
      </c>
      <c r="AD112" s="249">
        <f t="shared" si="59"/>
        <v>12</v>
      </c>
      <c r="AE112" s="249">
        <f t="shared" si="59"/>
        <v>12</v>
      </c>
      <c r="AF112" s="249">
        <f t="shared" si="59"/>
        <v>12</v>
      </c>
      <c r="AG112" s="249">
        <f t="shared" si="59"/>
        <v>12</v>
      </c>
      <c r="AH112" s="249">
        <f t="shared" si="59"/>
        <v>12</v>
      </c>
      <c r="AI112" s="249">
        <f t="shared" si="59"/>
        <v>12</v>
      </c>
      <c r="AJ112" s="249">
        <f t="shared" si="59"/>
        <v>12</v>
      </c>
      <c r="AK112" s="249">
        <f t="shared" si="59"/>
        <v>12</v>
      </c>
      <c r="AL112" s="249">
        <f t="shared" si="59"/>
        <v>12</v>
      </c>
      <c r="AM112" s="249">
        <f t="shared" si="59"/>
        <v>12</v>
      </c>
    </row>
    <row r="113" spans="1:39" s="246" customFormat="1" hidden="1" outlineLevel="1" x14ac:dyDescent="0.25">
      <c r="B113" s="246" t="str">
        <v>HandelKontor</v>
      </c>
      <c r="C113" s="247" t="s">
        <v>394</v>
      </c>
      <c r="D113" s="248">
        <f t="shared" ref="D113:AM113" si="60">$Q17</f>
        <v>10</v>
      </c>
      <c r="E113" s="249">
        <f t="shared" si="60"/>
        <v>10</v>
      </c>
      <c r="F113" s="249">
        <f t="shared" si="60"/>
        <v>10</v>
      </c>
      <c r="G113" s="249">
        <f t="shared" si="60"/>
        <v>10</v>
      </c>
      <c r="H113" s="249">
        <f t="shared" si="60"/>
        <v>10</v>
      </c>
      <c r="I113" s="249">
        <f t="shared" si="60"/>
        <v>10</v>
      </c>
      <c r="J113" s="249">
        <f t="shared" si="60"/>
        <v>10</v>
      </c>
      <c r="K113" s="249">
        <f t="shared" si="60"/>
        <v>10</v>
      </c>
      <c r="L113" s="249">
        <f t="shared" si="60"/>
        <v>10</v>
      </c>
      <c r="M113" s="249">
        <f t="shared" si="60"/>
        <v>10</v>
      </c>
      <c r="N113" s="249">
        <f t="shared" si="60"/>
        <v>10</v>
      </c>
      <c r="O113" s="249">
        <f t="shared" si="60"/>
        <v>10</v>
      </c>
      <c r="P113" s="248">
        <f t="shared" si="60"/>
        <v>10</v>
      </c>
      <c r="Q113" s="249">
        <f t="shared" si="60"/>
        <v>10</v>
      </c>
      <c r="R113" s="249">
        <f t="shared" si="60"/>
        <v>10</v>
      </c>
      <c r="S113" s="249">
        <f t="shared" si="60"/>
        <v>10</v>
      </c>
      <c r="T113" s="249">
        <f t="shared" si="60"/>
        <v>10</v>
      </c>
      <c r="U113" s="249">
        <f t="shared" si="60"/>
        <v>10</v>
      </c>
      <c r="V113" s="249">
        <f t="shared" si="60"/>
        <v>10</v>
      </c>
      <c r="W113" s="249">
        <f t="shared" si="60"/>
        <v>10</v>
      </c>
      <c r="X113" s="249">
        <f t="shared" si="60"/>
        <v>10</v>
      </c>
      <c r="Y113" s="249">
        <f t="shared" si="60"/>
        <v>10</v>
      </c>
      <c r="Z113" s="249">
        <f t="shared" si="60"/>
        <v>10</v>
      </c>
      <c r="AA113" s="249">
        <f t="shared" si="60"/>
        <v>10</v>
      </c>
      <c r="AB113" s="248">
        <f t="shared" si="60"/>
        <v>10</v>
      </c>
      <c r="AC113" s="249">
        <f t="shared" si="60"/>
        <v>10</v>
      </c>
      <c r="AD113" s="249">
        <f t="shared" si="60"/>
        <v>10</v>
      </c>
      <c r="AE113" s="249">
        <f t="shared" si="60"/>
        <v>10</v>
      </c>
      <c r="AF113" s="249">
        <f t="shared" si="60"/>
        <v>10</v>
      </c>
      <c r="AG113" s="249">
        <f t="shared" si="60"/>
        <v>10</v>
      </c>
      <c r="AH113" s="249">
        <f t="shared" si="60"/>
        <v>10</v>
      </c>
      <c r="AI113" s="249">
        <f t="shared" si="60"/>
        <v>10</v>
      </c>
      <c r="AJ113" s="249">
        <f t="shared" si="60"/>
        <v>10</v>
      </c>
      <c r="AK113" s="249">
        <f t="shared" si="60"/>
        <v>10</v>
      </c>
      <c r="AL113" s="249">
        <f t="shared" si="60"/>
        <v>10</v>
      </c>
      <c r="AM113" s="249">
        <f t="shared" si="60"/>
        <v>10</v>
      </c>
    </row>
    <row r="114" spans="1:39" s="246" customFormat="1" hidden="1" outlineLevel="1" x14ac:dyDescent="0.25">
      <c r="B114" s="246" t="str">
        <v>Privat</v>
      </c>
      <c r="C114" s="247" t="s">
        <v>394</v>
      </c>
      <c r="D114" s="248">
        <f t="shared" ref="D114:AM114" si="61">$Q18</f>
        <v>11</v>
      </c>
      <c r="E114" s="249">
        <f t="shared" si="61"/>
        <v>11</v>
      </c>
      <c r="F114" s="249">
        <f t="shared" si="61"/>
        <v>11</v>
      </c>
      <c r="G114" s="249">
        <f t="shared" si="61"/>
        <v>11</v>
      </c>
      <c r="H114" s="249">
        <f t="shared" si="61"/>
        <v>11</v>
      </c>
      <c r="I114" s="249">
        <f t="shared" si="61"/>
        <v>11</v>
      </c>
      <c r="J114" s="249">
        <f t="shared" si="61"/>
        <v>11</v>
      </c>
      <c r="K114" s="249">
        <f t="shared" si="61"/>
        <v>11</v>
      </c>
      <c r="L114" s="249">
        <f t="shared" si="61"/>
        <v>11</v>
      </c>
      <c r="M114" s="249">
        <f t="shared" si="61"/>
        <v>11</v>
      </c>
      <c r="N114" s="249">
        <f t="shared" si="61"/>
        <v>11</v>
      </c>
      <c r="O114" s="249">
        <f t="shared" si="61"/>
        <v>11</v>
      </c>
      <c r="P114" s="248">
        <f t="shared" si="61"/>
        <v>11</v>
      </c>
      <c r="Q114" s="249">
        <f t="shared" si="61"/>
        <v>11</v>
      </c>
      <c r="R114" s="249">
        <f t="shared" si="61"/>
        <v>11</v>
      </c>
      <c r="S114" s="249">
        <f t="shared" si="61"/>
        <v>11</v>
      </c>
      <c r="T114" s="249">
        <f t="shared" si="61"/>
        <v>11</v>
      </c>
      <c r="U114" s="249">
        <f t="shared" si="61"/>
        <v>11</v>
      </c>
      <c r="V114" s="249">
        <f t="shared" si="61"/>
        <v>11</v>
      </c>
      <c r="W114" s="249">
        <f t="shared" si="61"/>
        <v>11</v>
      </c>
      <c r="X114" s="249">
        <f t="shared" si="61"/>
        <v>11</v>
      </c>
      <c r="Y114" s="249">
        <f t="shared" si="61"/>
        <v>11</v>
      </c>
      <c r="Z114" s="249">
        <f t="shared" si="61"/>
        <v>11</v>
      </c>
      <c r="AA114" s="249">
        <f t="shared" si="61"/>
        <v>11</v>
      </c>
      <c r="AB114" s="248">
        <f t="shared" si="61"/>
        <v>11</v>
      </c>
      <c r="AC114" s="249">
        <f t="shared" si="61"/>
        <v>11</v>
      </c>
      <c r="AD114" s="249">
        <f t="shared" si="61"/>
        <v>11</v>
      </c>
      <c r="AE114" s="249">
        <f t="shared" si="61"/>
        <v>11</v>
      </c>
      <c r="AF114" s="249">
        <f t="shared" si="61"/>
        <v>11</v>
      </c>
      <c r="AG114" s="249">
        <f t="shared" si="61"/>
        <v>11</v>
      </c>
      <c r="AH114" s="249">
        <f t="shared" si="61"/>
        <v>11</v>
      </c>
      <c r="AI114" s="249">
        <f t="shared" si="61"/>
        <v>11</v>
      </c>
      <c r="AJ114" s="249">
        <f t="shared" si="61"/>
        <v>11</v>
      </c>
      <c r="AK114" s="249">
        <f t="shared" si="61"/>
        <v>11</v>
      </c>
      <c r="AL114" s="249">
        <f t="shared" si="61"/>
        <v>11</v>
      </c>
      <c r="AM114" s="249">
        <f t="shared" si="61"/>
        <v>11</v>
      </c>
    </row>
    <row r="115" spans="1:39" s="246" customFormat="1" hidden="1" outlineLevel="1" x14ac:dyDescent="0.25">
      <c r="B115" s="246" t="str">
        <v>TyskRest</v>
      </c>
      <c r="C115" s="247" t="s">
        <v>394</v>
      </c>
      <c r="D115" s="248">
        <f t="shared" ref="D115:AM115" si="62">$Q19</f>
        <v>10.5</v>
      </c>
      <c r="E115" s="249">
        <f t="shared" si="62"/>
        <v>10.5</v>
      </c>
      <c r="F115" s="249">
        <f t="shared" si="62"/>
        <v>10.5</v>
      </c>
      <c r="G115" s="249">
        <f t="shared" si="62"/>
        <v>10.5</v>
      </c>
      <c r="H115" s="249">
        <f t="shared" si="62"/>
        <v>10.5</v>
      </c>
      <c r="I115" s="249">
        <f t="shared" si="62"/>
        <v>10.5</v>
      </c>
      <c r="J115" s="249">
        <f t="shared" si="62"/>
        <v>10.5</v>
      </c>
      <c r="K115" s="249">
        <f t="shared" si="62"/>
        <v>10.5</v>
      </c>
      <c r="L115" s="249">
        <f t="shared" si="62"/>
        <v>10.5</v>
      </c>
      <c r="M115" s="249">
        <f t="shared" si="62"/>
        <v>10.5</v>
      </c>
      <c r="N115" s="249">
        <f t="shared" si="62"/>
        <v>10.5</v>
      </c>
      <c r="O115" s="249">
        <f t="shared" si="62"/>
        <v>10.5</v>
      </c>
      <c r="P115" s="248">
        <f t="shared" si="62"/>
        <v>10.5</v>
      </c>
      <c r="Q115" s="249">
        <f t="shared" si="62"/>
        <v>10.5</v>
      </c>
      <c r="R115" s="249">
        <f t="shared" si="62"/>
        <v>10.5</v>
      </c>
      <c r="S115" s="249">
        <f t="shared" si="62"/>
        <v>10.5</v>
      </c>
      <c r="T115" s="249">
        <f t="shared" si="62"/>
        <v>10.5</v>
      </c>
      <c r="U115" s="249">
        <f t="shared" si="62"/>
        <v>10.5</v>
      </c>
      <c r="V115" s="249">
        <f t="shared" si="62"/>
        <v>10.5</v>
      </c>
      <c r="W115" s="249">
        <f t="shared" si="62"/>
        <v>10.5</v>
      </c>
      <c r="X115" s="249">
        <f t="shared" si="62"/>
        <v>10.5</v>
      </c>
      <c r="Y115" s="249">
        <f t="shared" si="62"/>
        <v>10.5</v>
      </c>
      <c r="Z115" s="249">
        <f t="shared" si="62"/>
        <v>10.5</v>
      </c>
      <c r="AA115" s="249">
        <f t="shared" si="62"/>
        <v>10.5</v>
      </c>
      <c r="AB115" s="248">
        <f t="shared" si="62"/>
        <v>10.5</v>
      </c>
      <c r="AC115" s="249">
        <f t="shared" si="62"/>
        <v>10.5</v>
      </c>
      <c r="AD115" s="249">
        <f t="shared" si="62"/>
        <v>10.5</v>
      </c>
      <c r="AE115" s="249">
        <f t="shared" si="62"/>
        <v>10.5</v>
      </c>
      <c r="AF115" s="249">
        <f t="shared" si="62"/>
        <v>10.5</v>
      </c>
      <c r="AG115" s="249">
        <f t="shared" si="62"/>
        <v>10.5</v>
      </c>
      <c r="AH115" s="249">
        <f t="shared" si="62"/>
        <v>10.5</v>
      </c>
      <c r="AI115" s="249">
        <f t="shared" si="62"/>
        <v>10.5</v>
      </c>
      <c r="AJ115" s="249">
        <f t="shared" si="62"/>
        <v>10.5</v>
      </c>
      <c r="AK115" s="249">
        <f t="shared" si="62"/>
        <v>10.5</v>
      </c>
      <c r="AL115" s="249">
        <f t="shared" si="62"/>
        <v>10.5</v>
      </c>
      <c r="AM115" s="249">
        <f t="shared" si="62"/>
        <v>10.5</v>
      </c>
    </row>
    <row r="116" spans="1:39" s="246" customFormat="1" hidden="1" outlineLevel="1" x14ac:dyDescent="0.25">
      <c r="B116" s="246" t="str">
        <v>PolskRest</v>
      </c>
      <c r="C116" s="247" t="s">
        <v>394</v>
      </c>
      <c r="D116" s="248">
        <f t="shared" ref="D116:AM116" si="63">$Q20</f>
        <v>10.5</v>
      </c>
      <c r="E116" s="249">
        <f t="shared" si="63"/>
        <v>10.5</v>
      </c>
      <c r="F116" s="249">
        <f t="shared" si="63"/>
        <v>10.5</v>
      </c>
      <c r="G116" s="249">
        <f t="shared" si="63"/>
        <v>10.5</v>
      </c>
      <c r="H116" s="249">
        <f t="shared" si="63"/>
        <v>10.5</v>
      </c>
      <c r="I116" s="249">
        <f t="shared" si="63"/>
        <v>10.5</v>
      </c>
      <c r="J116" s="249">
        <f t="shared" si="63"/>
        <v>10.5</v>
      </c>
      <c r="K116" s="249">
        <f t="shared" si="63"/>
        <v>10.5</v>
      </c>
      <c r="L116" s="249">
        <f t="shared" si="63"/>
        <v>10.5</v>
      </c>
      <c r="M116" s="249">
        <f t="shared" si="63"/>
        <v>10.5</v>
      </c>
      <c r="N116" s="249">
        <f t="shared" si="63"/>
        <v>10.5</v>
      </c>
      <c r="O116" s="249">
        <f t="shared" si="63"/>
        <v>10.5</v>
      </c>
      <c r="P116" s="248">
        <f t="shared" si="63"/>
        <v>10.5</v>
      </c>
      <c r="Q116" s="249">
        <f t="shared" si="63"/>
        <v>10.5</v>
      </c>
      <c r="R116" s="249">
        <f t="shared" si="63"/>
        <v>10.5</v>
      </c>
      <c r="S116" s="249">
        <f t="shared" si="63"/>
        <v>10.5</v>
      </c>
      <c r="T116" s="249">
        <f t="shared" si="63"/>
        <v>10.5</v>
      </c>
      <c r="U116" s="249">
        <f t="shared" si="63"/>
        <v>10.5</v>
      </c>
      <c r="V116" s="249">
        <f t="shared" si="63"/>
        <v>10.5</v>
      </c>
      <c r="W116" s="249">
        <f t="shared" si="63"/>
        <v>10.5</v>
      </c>
      <c r="X116" s="249">
        <f t="shared" si="63"/>
        <v>10.5</v>
      </c>
      <c r="Y116" s="249">
        <f t="shared" si="63"/>
        <v>10.5</v>
      </c>
      <c r="Z116" s="249">
        <f t="shared" si="63"/>
        <v>10.5</v>
      </c>
      <c r="AA116" s="249">
        <f t="shared" si="63"/>
        <v>10.5</v>
      </c>
      <c r="AB116" s="248">
        <f t="shared" si="63"/>
        <v>10.5</v>
      </c>
      <c r="AC116" s="249">
        <f t="shared" si="63"/>
        <v>10.5</v>
      </c>
      <c r="AD116" s="249">
        <f t="shared" si="63"/>
        <v>10.5</v>
      </c>
      <c r="AE116" s="249">
        <f t="shared" si="63"/>
        <v>10.5</v>
      </c>
      <c r="AF116" s="249">
        <f t="shared" si="63"/>
        <v>10.5</v>
      </c>
      <c r="AG116" s="249">
        <f t="shared" si="63"/>
        <v>10.5</v>
      </c>
      <c r="AH116" s="249">
        <f t="shared" si="63"/>
        <v>10.5</v>
      </c>
      <c r="AI116" s="249">
        <f t="shared" si="63"/>
        <v>10.5</v>
      </c>
      <c r="AJ116" s="249">
        <f t="shared" si="63"/>
        <v>10.5</v>
      </c>
      <c r="AK116" s="249">
        <f t="shared" si="63"/>
        <v>10.5</v>
      </c>
      <c r="AL116" s="249">
        <f t="shared" si="63"/>
        <v>10.5</v>
      </c>
      <c r="AM116" s="249">
        <f t="shared" si="63"/>
        <v>10.5</v>
      </c>
    </row>
    <row r="117" spans="1:39" s="246" customFormat="1" hidden="1" outlineLevel="1" x14ac:dyDescent="0.25">
      <c r="B117" s="246" t="str">
        <v>PcbTrae</v>
      </c>
      <c r="C117" s="247" t="s">
        <v>394</v>
      </c>
      <c r="D117" s="248">
        <f t="shared" ref="D117:AM117" si="64">$Q21</f>
        <v>13</v>
      </c>
      <c r="E117" s="249">
        <f t="shared" si="64"/>
        <v>13</v>
      </c>
      <c r="F117" s="249">
        <f t="shared" si="64"/>
        <v>13</v>
      </c>
      <c r="G117" s="249">
        <f t="shared" si="64"/>
        <v>13</v>
      </c>
      <c r="H117" s="249">
        <f t="shared" si="64"/>
        <v>13</v>
      </c>
      <c r="I117" s="249">
        <f t="shared" si="64"/>
        <v>13</v>
      </c>
      <c r="J117" s="249">
        <f t="shared" si="64"/>
        <v>13</v>
      </c>
      <c r="K117" s="249">
        <f t="shared" si="64"/>
        <v>13</v>
      </c>
      <c r="L117" s="249">
        <f t="shared" si="64"/>
        <v>13</v>
      </c>
      <c r="M117" s="249">
        <f t="shared" si="64"/>
        <v>13</v>
      </c>
      <c r="N117" s="249">
        <f t="shared" si="64"/>
        <v>13</v>
      </c>
      <c r="O117" s="249">
        <f t="shared" si="64"/>
        <v>13</v>
      </c>
      <c r="P117" s="248">
        <f t="shared" si="64"/>
        <v>13</v>
      </c>
      <c r="Q117" s="249">
        <f t="shared" si="64"/>
        <v>13</v>
      </c>
      <c r="R117" s="249">
        <f t="shared" si="64"/>
        <v>13</v>
      </c>
      <c r="S117" s="249">
        <f t="shared" si="64"/>
        <v>13</v>
      </c>
      <c r="T117" s="249">
        <f t="shared" si="64"/>
        <v>13</v>
      </c>
      <c r="U117" s="249">
        <f t="shared" si="64"/>
        <v>13</v>
      </c>
      <c r="V117" s="249">
        <f t="shared" si="64"/>
        <v>13</v>
      </c>
      <c r="W117" s="249">
        <f t="shared" si="64"/>
        <v>13</v>
      </c>
      <c r="X117" s="249">
        <f t="shared" si="64"/>
        <v>13</v>
      </c>
      <c r="Y117" s="249">
        <f t="shared" si="64"/>
        <v>13</v>
      </c>
      <c r="Z117" s="249">
        <f t="shared" si="64"/>
        <v>13</v>
      </c>
      <c r="AA117" s="249">
        <f t="shared" si="64"/>
        <v>13</v>
      </c>
      <c r="AB117" s="248">
        <f t="shared" si="64"/>
        <v>13</v>
      </c>
      <c r="AC117" s="249">
        <f t="shared" si="64"/>
        <v>13</v>
      </c>
      <c r="AD117" s="249">
        <f t="shared" si="64"/>
        <v>13</v>
      </c>
      <c r="AE117" s="249">
        <f t="shared" si="64"/>
        <v>13</v>
      </c>
      <c r="AF117" s="249">
        <f t="shared" si="64"/>
        <v>13</v>
      </c>
      <c r="AG117" s="249">
        <f t="shared" si="64"/>
        <v>13</v>
      </c>
      <c r="AH117" s="249">
        <f t="shared" si="64"/>
        <v>13</v>
      </c>
      <c r="AI117" s="249">
        <f t="shared" si="64"/>
        <v>13</v>
      </c>
      <c r="AJ117" s="249">
        <f t="shared" si="64"/>
        <v>13</v>
      </c>
      <c r="AK117" s="249">
        <f t="shared" si="64"/>
        <v>13</v>
      </c>
      <c r="AL117" s="249">
        <f t="shared" si="64"/>
        <v>13</v>
      </c>
      <c r="AM117" s="249">
        <f t="shared" si="64"/>
        <v>13</v>
      </c>
    </row>
    <row r="118" spans="1:39" s="246" customFormat="1" hidden="1" outlineLevel="1" x14ac:dyDescent="0.25">
      <c r="B118" s="246" t="str">
        <v>TraeRekv</v>
      </c>
      <c r="C118" s="247" t="s">
        <v>394</v>
      </c>
      <c r="D118" s="248">
        <f t="shared" ref="D118:AM118" si="65">$Q22</f>
        <v>14.5</v>
      </c>
      <c r="E118" s="249">
        <f t="shared" si="65"/>
        <v>14.5</v>
      </c>
      <c r="F118" s="249">
        <f t="shared" si="65"/>
        <v>14.5</v>
      </c>
      <c r="G118" s="249">
        <f t="shared" si="65"/>
        <v>14.5</v>
      </c>
      <c r="H118" s="249">
        <f t="shared" si="65"/>
        <v>14.5</v>
      </c>
      <c r="I118" s="249">
        <f t="shared" si="65"/>
        <v>14.5</v>
      </c>
      <c r="J118" s="249">
        <f t="shared" si="65"/>
        <v>14.5</v>
      </c>
      <c r="K118" s="249">
        <f t="shared" si="65"/>
        <v>14.5</v>
      </c>
      <c r="L118" s="249">
        <f t="shared" si="65"/>
        <v>14.5</v>
      </c>
      <c r="M118" s="249">
        <f t="shared" si="65"/>
        <v>14.5</v>
      </c>
      <c r="N118" s="249">
        <f t="shared" si="65"/>
        <v>14.5</v>
      </c>
      <c r="O118" s="249">
        <f t="shared" si="65"/>
        <v>14.5</v>
      </c>
      <c r="P118" s="248">
        <f t="shared" si="65"/>
        <v>14.5</v>
      </c>
      <c r="Q118" s="249">
        <f t="shared" si="65"/>
        <v>14.5</v>
      </c>
      <c r="R118" s="249">
        <f t="shared" si="65"/>
        <v>14.5</v>
      </c>
      <c r="S118" s="249">
        <f t="shared" si="65"/>
        <v>14.5</v>
      </c>
      <c r="T118" s="249">
        <f t="shared" si="65"/>
        <v>14.5</v>
      </c>
      <c r="U118" s="249">
        <f t="shared" si="65"/>
        <v>14.5</v>
      </c>
      <c r="V118" s="249">
        <f t="shared" si="65"/>
        <v>14.5</v>
      </c>
      <c r="W118" s="249">
        <f t="shared" si="65"/>
        <v>14.5</v>
      </c>
      <c r="X118" s="249">
        <f t="shared" si="65"/>
        <v>14.5</v>
      </c>
      <c r="Y118" s="249">
        <f t="shared" si="65"/>
        <v>14.5</v>
      </c>
      <c r="Z118" s="249">
        <f t="shared" si="65"/>
        <v>14.5</v>
      </c>
      <c r="AA118" s="249">
        <f t="shared" si="65"/>
        <v>14.5</v>
      </c>
      <c r="AB118" s="248">
        <f t="shared" si="65"/>
        <v>14.5</v>
      </c>
      <c r="AC118" s="249">
        <f t="shared" si="65"/>
        <v>14.5</v>
      </c>
      <c r="AD118" s="249">
        <f t="shared" si="65"/>
        <v>14.5</v>
      </c>
      <c r="AE118" s="249">
        <f t="shared" si="65"/>
        <v>14.5</v>
      </c>
      <c r="AF118" s="249">
        <f t="shared" si="65"/>
        <v>14.5</v>
      </c>
      <c r="AG118" s="249">
        <f t="shared" si="65"/>
        <v>14.5</v>
      </c>
      <c r="AH118" s="249">
        <f t="shared" si="65"/>
        <v>14.5</v>
      </c>
      <c r="AI118" s="249">
        <f t="shared" si="65"/>
        <v>14.5</v>
      </c>
      <c r="AJ118" s="249">
        <f t="shared" si="65"/>
        <v>14.5</v>
      </c>
      <c r="AK118" s="249">
        <f t="shared" si="65"/>
        <v>14.5</v>
      </c>
      <c r="AL118" s="249">
        <f t="shared" si="65"/>
        <v>14.5</v>
      </c>
      <c r="AM118" s="249">
        <f t="shared" si="65"/>
        <v>14.5</v>
      </c>
    </row>
    <row r="119" spans="1:39" s="246" customFormat="1" hidden="1" outlineLevel="1" x14ac:dyDescent="0.25">
      <c r="B119" s="246" t="str">
        <v>Halm</v>
      </c>
      <c r="C119" s="247" t="s">
        <v>394</v>
      </c>
      <c r="D119" s="248">
        <f t="shared" ref="D119:AM119" si="66">$Q23</f>
        <v>14.7</v>
      </c>
      <c r="E119" s="249">
        <f t="shared" si="66"/>
        <v>14.7</v>
      </c>
      <c r="F119" s="249">
        <f t="shared" si="66"/>
        <v>14.7</v>
      </c>
      <c r="G119" s="249">
        <f t="shared" si="66"/>
        <v>14.7</v>
      </c>
      <c r="H119" s="249">
        <f t="shared" si="66"/>
        <v>14.7</v>
      </c>
      <c r="I119" s="249">
        <f t="shared" si="66"/>
        <v>14.7</v>
      </c>
      <c r="J119" s="249">
        <f t="shared" si="66"/>
        <v>14.7</v>
      </c>
      <c r="K119" s="249">
        <f t="shared" si="66"/>
        <v>14.7</v>
      </c>
      <c r="L119" s="249">
        <f t="shared" si="66"/>
        <v>14.7</v>
      </c>
      <c r="M119" s="249">
        <f t="shared" si="66"/>
        <v>14.7</v>
      </c>
      <c r="N119" s="249">
        <f t="shared" si="66"/>
        <v>14.7</v>
      </c>
      <c r="O119" s="249">
        <f t="shared" si="66"/>
        <v>14.7</v>
      </c>
      <c r="P119" s="248">
        <f t="shared" si="66"/>
        <v>14.7</v>
      </c>
      <c r="Q119" s="249">
        <f t="shared" si="66"/>
        <v>14.7</v>
      </c>
      <c r="R119" s="249">
        <f t="shared" si="66"/>
        <v>14.7</v>
      </c>
      <c r="S119" s="249">
        <f t="shared" si="66"/>
        <v>14.7</v>
      </c>
      <c r="T119" s="249">
        <f t="shared" si="66"/>
        <v>14.7</v>
      </c>
      <c r="U119" s="249">
        <f t="shared" si="66"/>
        <v>14.7</v>
      </c>
      <c r="V119" s="249">
        <f t="shared" si="66"/>
        <v>14.7</v>
      </c>
      <c r="W119" s="249">
        <f t="shared" si="66"/>
        <v>14.7</v>
      </c>
      <c r="X119" s="249">
        <f t="shared" si="66"/>
        <v>14.7</v>
      </c>
      <c r="Y119" s="249">
        <f t="shared" si="66"/>
        <v>14.7</v>
      </c>
      <c r="Z119" s="249">
        <f t="shared" si="66"/>
        <v>14.7</v>
      </c>
      <c r="AA119" s="249">
        <f t="shared" si="66"/>
        <v>14.7</v>
      </c>
      <c r="AB119" s="248">
        <f t="shared" si="66"/>
        <v>14.7</v>
      </c>
      <c r="AC119" s="249">
        <f t="shared" si="66"/>
        <v>14.7</v>
      </c>
      <c r="AD119" s="249">
        <f t="shared" si="66"/>
        <v>14.7</v>
      </c>
      <c r="AE119" s="249">
        <f t="shared" si="66"/>
        <v>14.7</v>
      </c>
      <c r="AF119" s="249">
        <f t="shared" si="66"/>
        <v>14.7</v>
      </c>
      <c r="AG119" s="249">
        <f t="shared" si="66"/>
        <v>14.7</v>
      </c>
      <c r="AH119" s="249">
        <f t="shared" si="66"/>
        <v>14.7</v>
      </c>
      <c r="AI119" s="249">
        <f t="shared" si="66"/>
        <v>14.7</v>
      </c>
      <c r="AJ119" s="249">
        <f t="shared" si="66"/>
        <v>14.7</v>
      </c>
      <c r="AK119" s="249">
        <f t="shared" si="66"/>
        <v>14.7</v>
      </c>
      <c r="AL119" s="249">
        <f t="shared" si="66"/>
        <v>14.7</v>
      </c>
      <c r="AM119" s="249">
        <f t="shared" si="66"/>
        <v>14.7</v>
      </c>
    </row>
    <row r="120" spans="1:39" s="246" customFormat="1" hidden="1" outlineLevel="1" x14ac:dyDescent="0.25">
      <c r="A120" s="250"/>
      <c r="B120" s="246" t="str">
        <v>Pulver</v>
      </c>
      <c r="C120" s="247" t="s">
        <v>394</v>
      </c>
      <c r="D120" s="248">
        <f t="shared" ref="D120:AM120" si="67">$Q24</f>
        <v>14</v>
      </c>
      <c r="E120" s="249">
        <f t="shared" si="67"/>
        <v>14</v>
      </c>
      <c r="F120" s="249">
        <f t="shared" si="67"/>
        <v>14</v>
      </c>
      <c r="G120" s="249">
        <f t="shared" si="67"/>
        <v>14</v>
      </c>
      <c r="H120" s="249">
        <f t="shared" si="67"/>
        <v>14</v>
      </c>
      <c r="I120" s="249">
        <f t="shared" si="67"/>
        <v>14</v>
      </c>
      <c r="J120" s="249">
        <f t="shared" si="67"/>
        <v>14</v>
      </c>
      <c r="K120" s="249">
        <f t="shared" si="67"/>
        <v>14</v>
      </c>
      <c r="L120" s="249">
        <f t="shared" si="67"/>
        <v>14</v>
      </c>
      <c r="M120" s="249">
        <f t="shared" si="67"/>
        <v>14</v>
      </c>
      <c r="N120" s="249">
        <f t="shared" si="67"/>
        <v>14</v>
      </c>
      <c r="O120" s="249">
        <f t="shared" si="67"/>
        <v>14</v>
      </c>
      <c r="P120" s="248">
        <f t="shared" si="67"/>
        <v>14</v>
      </c>
      <c r="Q120" s="249">
        <f t="shared" si="67"/>
        <v>14</v>
      </c>
      <c r="R120" s="249">
        <f t="shared" si="67"/>
        <v>14</v>
      </c>
      <c r="S120" s="249">
        <f t="shared" si="67"/>
        <v>14</v>
      </c>
      <c r="T120" s="249">
        <f t="shared" si="67"/>
        <v>14</v>
      </c>
      <c r="U120" s="249">
        <f t="shared" si="67"/>
        <v>14</v>
      </c>
      <c r="V120" s="249">
        <f t="shared" si="67"/>
        <v>14</v>
      </c>
      <c r="W120" s="249">
        <f t="shared" si="67"/>
        <v>14</v>
      </c>
      <c r="X120" s="249">
        <f t="shared" si="67"/>
        <v>14</v>
      </c>
      <c r="Y120" s="249">
        <f t="shared" si="67"/>
        <v>14</v>
      </c>
      <c r="Z120" s="249">
        <f t="shared" si="67"/>
        <v>14</v>
      </c>
      <c r="AA120" s="249">
        <f t="shared" si="67"/>
        <v>14</v>
      </c>
      <c r="AB120" s="248">
        <f t="shared" si="67"/>
        <v>14</v>
      </c>
      <c r="AC120" s="249">
        <f t="shared" si="67"/>
        <v>14</v>
      </c>
      <c r="AD120" s="249">
        <f t="shared" si="67"/>
        <v>14</v>
      </c>
      <c r="AE120" s="249">
        <f t="shared" si="67"/>
        <v>14</v>
      </c>
      <c r="AF120" s="249">
        <f t="shared" si="67"/>
        <v>14</v>
      </c>
      <c r="AG120" s="249">
        <f t="shared" si="67"/>
        <v>14</v>
      </c>
      <c r="AH120" s="249">
        <f t="shared" si="67"/>
        <v>14</v>
      </c>
      <c r="AI120" s="249">
        <f t="shared" si="67"/>
        <v>14</v>
      </c>
      <c r="AJ120" s="249">
        <f t="shared" si="67"/>
        <v>14</v>
      </c>
      <c r="AK120" s="249">
        <f t="shared" si="67"/>
        <v>14</v>
      </c>
      <c r="AL120" s="249">
        <f t="shared" si="67"/>
        <v>14</v>
      </c>
      <c r="AM120" s="249">
        <f t="shared" si="67"/>
        <v>14</v>
      </c>
    </row>
    <row r="121" spans="1:39" s="246" customFormat="1" hidden="1" outlineLevel="1" x14ac:dyDescent="0.25">
      <c r="A121" s="250"/>
      <c r="B121" s="246" t="str">
        <v>FlisAffald</v>
      </c>
      <c r="C121" s="247" t="s">
        <v>394</v>
      </c>
      <c r="D121" s="248">
        <f t="shared" ref="D121:AM121" si="68">$Q25</f>
        <v>9</v>
      </c>
      <c r="E121" s="249">
        <f t="shared" si="68"/>
        <v>9</v>
      </c>
      <c r="F121" s="249">
        <f t="shared" si="68"/>
        <v>9</v>
      </c>
      <c r="G121" s="249">
        <f t="shared" si="68"/>
        <v>9</v>
      </c>
      <c r="H121" s="249">
        <f t="shared" si="68"/>
        <v>9</v>
      </c>
      <c r="I121" s="249">
        <f t="shared" si="68"/>
        <v>9</v>
      </c>
      <c r="J121" s="249">
        <f t="shared" si="68"/>
        <v>9</v>
      </c>
      <c r="K121" s="249">
        <f t="shared" si="68"/>
        <v>9</v>
      </c>
      <c r="L121" s="249">
        <f t="shared" si="68"/>
        <v>9</v>
      </c>
      <c r="M121" s="249">
        <f t="shared" si="68"/>
        <v>9</v>
      </c>
      <c r="N121" s="249">
        <f t="shared" si="68"/>
        <v>9</v>
      </c>
      <c r="O121" s="249">
        <f t="shared" si="68"/>
        <v>9</v>
      </c>
      <c r="P121" s="248">
        <f t="shared" si="68"/>
        <v>9</v>
      </c>
      <c r="Q121" s="249">
        <f t="shared" si="68"/>
        <v>9</v>
      </c>
      <c r="R121" s="249">
        <f t="shared" si="68"/>
        <v>9</v>
      </c>
      <c r="S121" s="249">
        <f t="shared" si="68"/>
        <v>9</v>
      </c>
      <c r="T121" s="249">
        <f t="shared" si="68"/>
        <v>9</v>
      </c>
      <c r="U121" s="249">
        <f t="shared" si="68"/>
        <v>9</v>
      </c>
      <c r="V121" s="249">
        <f t="shared" si="68"/>
        <v>9</v>
      </c>
      <c r="W121" s="249">
        <f t="shared" si="68"/>
        <v>9</v>
      </c>
      <c r="X121" s="249">
        <f t="shared" si="68"/>
        <v>9</v>
      </c>
      <c r="Y121" s="249">
        <f t="shared" si="68"/>
        <v>9</v>
      </c>
      <c r="Z121" s="249">
        <f t="shared" si="68"/>
        <v>9</v>
      </c>
      <c r="AA121" s="249">
        <f t="shared" si="68"/>
        <v>9</v>
      </c>
      <c r="AB121" s="248">
        <f t="shared" si="68"/>
        <v>9</v>
      </c>
      <c r="AC121" s="249">
        <f t="shared" si="68"/>
        <v>9</v>
      </c>
      <c r="AD121" s="249">
        <f t="shared" si="68"/>
        <v>9</v>
      </c>
      <c r="AE121" s="249">
        <f t="shared" si="68"/>
        <v>9</v>
      </c>
      <c r="AF121" s="249">
        <f t="shared" si="68"/>
        <v>9</v>
      </c>
      <c r="AG121" s="249">
        <f t="shared" si="68"/>
        <v>9</v>
      </c>
      <c r="AH121" s="249">
        <f t="shared" si="68"/>
        <v>9</v>
      </c>
      <c r="AI121" s="249">
        <f t="shared" si="68"/>
        <v>9</v>
      </c>
      <c r="AJ121" s="249">
        <f t="shared" si="68"/>
        <v>9</v>
      </c>
      <c r="AK121" s="249">
        <f t="shared" si="68"/>
        <v>9</v>
      </c>
      <c r="AL121" s="249">
        <f t="shared" si="68"/>
        <v>9</v>
      </c>
      <c r="AM121" s="249">
        <f t="shared" si="68"/>
        <v>9</v>
      </c>
    </row>
    <row r="122" spans="1:39" s="246" customFormat="1" hidden="1" outlineLevel="1" x14ac:dyDescent="0.25">
      <c r="A122" s="250"/>
      <c r="B122" s="246" t="str">
        <v>NyAff1</v>
      </c>
      <c r="C122" s="247" t="s">
        <v>394</v>
      </c>
      <c r="D122" s="248">
        <f t="shared" ref="D122:AM122" si="69">$Q26</f>
        <v>11.5</v>
      </c>
      <c r="E122" s="249">
        <f t="shared" si="69"/>
        <v>11.5</v>
      </c>
      <c r="F122" s="249">
        <f t="shared" si="69"/>
        <v>11.5</v>
      </c>
      <c r="G122" s="249">
        <f t="shared" si="69"/>
        <v>11.5</v>
      </c>
      <c r="H122" s="249">
        <f t="shared" si="69"/>
        <v>11.5</v>
      </c>
      <c r="I122" s="249">
        <f t="shared" si="69"/>
        <v>11.5</v>
      </c>
      <c r="J122" s="249">
        <f t="shared" si="69"/>
        <v>11.5</v>
      </c>
      <c r="K122" s="249">
        <f t="shared" si="69"/>
        <v>11.5</v>
      </c>
      <c r="L122" s="249">
        <f t="shared" si="69"/>
        <v>11.5</v>
      </c>
      <c r="M122" s="249">
        <f t="shared" si="69"/>
        <v>11.5</v>
      </c>
      <c r="N122" s="249">
        <f t="shared" si="69"/>
        <v>11.5</v>
      </c>
      <c r="O122" s="249">
        <f t="shared" si="69"/>
        <v>11.5</v>
      </c>
      <c r="P122" s="248">
        <f t="shared" si="69"/>
        <v>11.5</v>
      </c>
      <c r="Q122" s="249">
        <f t="shared" si="69"/>
        <v>11.5</v>
      </c>
      <c r="R122" s="249">
        <f t="shared" si="69"/>
        <v>11.5</v>
      </c>
      <c r="S122" s="249">
        <f t="shared" si="69"/>
        <v>11.5</v>
      </c>
      <c r="T122" s="249">
        <f t="shared" si="69"/>
        <v>11.5</v>
      </c>
      <c r="U122" s="249">
        <f t="shared" si="69"/>
        <v>11.5</v>
      </c>
      <c r="V122" s="249">
        <f t="shared" si="69"/>
        <v>11.5</v>
      </c>
      <c r="W122" s="249">
        <f t="shared" si="69"/>
        <v>11.5</v>
      </c>
      <c r="X122" s="249">
        <f t="shared" si="69"/>
        <v>11.5</v>
      </c>
      <c r="Y122" s="249">
        <f t="shared" si="69"/>
        <v>11.5</v>
      </c>
      <c r="Z122" s="249">
        <f t="shared" si="69"/>
        <v>11.5</v>
      </c>
      <c r="AA122" s="249">
        <f t="shared" si="69"/>
        <v>11.5</v>
      </c>
      <c r="AB122" s="248">
        <f t="shared" si="69"/>
        <v>11.5</v>
      </c>
      <c r="AC122" s="249">
        <f t="shared" si="69"/>
        <v>11.5</v>
      </c>
      <c r="AD122" s="249">
        <f t="shared" si="69"/>
        <v>11.5</v>
      </c>
      <c r="AE122" s="249">
        <f t="shared" si="69"/>
        <v>11.5</v>
      </c>
      <c r="AF122" s="249">
        <f t="shared" si="69"/>
        <v>11.5</v>
      </c>
      <c r="AG122" s="249">
        <f t="shared" si="69"/>
        <v>11.5</v>
      </c>
      <c r="AH122" s="249">
        <f t="shared" si="69"/>
        <v>11.5</v>
      </c>
      <c r="AI122" s="249">
        <f t="shared" si="69"/>
        <v>11.5</v>
      </c>
      <c r="AJ122" s="249">
        <f t="shared" si="69"/>
        <v>11.5</v>
      </c>
      <c r="AK122" s="249">
        <f t="shared" si="69"/>
        <v>11.5</v>
      </c>
      <c r="AL122" s="249">
        <f t="shared" si="69"/>
        <v>11.5</v>
      </c>
      <c r="AM122" s="249">
        <f t="shared" si="69"/>
        <v>11.5</v>
      </c>
    </row>
    <row r="123" spans="1:39" s="246" customFormat="1" hidden="1" outlineLevel="1" x14ac:dyDescent="0.25">
      <c r="B123" s="246" t="str">
        <v>NyAff2</v>
      </c>
      <c r="C123" s="247" t="s">
        <v>394</v>
      </c>
      <c r="D123" s="248">
        <f t="shared" ref="D123:AM123" si="70">$Q27</f>
        <v>10.5</v>
      </c>
      <c r="E123" s="249">
        <f t="shared" si="70"/>
        <v>10.5</v>
      </c>
      <c r="F123" s="249">
        <f t="shared" si="70"/>
        <v>10.5</v>
      </c>
      <c r="G123" s="249">
        <f t="shared" si="70"/>
        <v>10.5</v>
      </c>
      <c r="H123" s="249">
        <f t="shared" si="70"/>
        <v>10.5</v>
      </c>
      <c r="I123" s="249">
        <f t="shared" si="70"/>
        <v>10.5</v>
      </c>
      <c r="J123" s="249">
        <f t="shared" si="70"/>
        <v>10.5</v>
      </c>
      <c r="K123" s="249">
        <f t="shared" si="70"/>
        <v>10.5</v>
      </c>
      <c r="L123" s="249">
        <f t="shared" si="70"/>
        <v>10.5</v>
      </c>
      <c r="M123" s="249">
        <f t="shared" si="70"/>
        <v>10.5</v>
      </c>
      <c r="N123" s="249">
        <f t="shared" si="70"/>
        <v>10.5</v>
      </c>
      <c r="O123" s="249">
        <f t="shared" si="70"/>
        <v>10.5</v>
      </c>
      <c r="P123" s="248">
        <f t="shared" si="70"/>
        <v>10.5</v>
      </c>
      <c r="Q123" s="249">
        <f t="shared" si="70"/>
        <v>10.5</v>
      </c>
      <c r="R123" s="249">
        <f t="shared" si="70"/>
        <v>10.5</v>
      </c>
      <c r="S123" s="249">
        <f t="shared" si="70"/>
        <v>10.5</v>
      </c>
      <c r="T123" s="249">
        <f t="shared" si="70"/>
        <v>10.5</v>
      </c>
      <c r="U123" s="249">
        <f t="shared" si="70"/>
        <v>10.5</v>
      </c>
      <c r="V123" s="249">
        <f t="shared" si="70"/>
        <v>10.5</v>
      </c>
      <c r="W123" s="249">
        <f t="shared" si="70"/>
        <v>10.5</v>
      </c>
      <c r="X123" s="249">
        <f t="shared" si="70"/>
        <v>10.5</v>
      </c>
      <c r="Y123" s="249">
        <f t="shared" si="70"/>
        <v>10.5</v>
      </c>
      <c r="Z123" s="249">
        <f t="shared" si="70"/>
        <v>10.5</v>
      </c>
      <c r="AA123" s="249">
        <f t="shared" si="70"/>
        <v>10.5</v>
      </c>
      <c r="AB123" s="248">
        <f t="shared" si="70"/>
        <v>10.5</v>
      </c>
      <c r="AC123" s="249">
        <f t="shared" si="70"/>
        <v>10.5</v>
      </c>
      <c r="AD123" s="249">
        <f t="shared" si="70"/>
        <v>10.5</v>
      </c>
      <c r="AE123" s="249">
        <f t="shared" si="70"/>
        <v>10.5</v>
      </c>
      <c r="AF123" s="249">
        <f t="shared" si="70"/>
        <v>10.5</v>
      </c>
      <c r="AG123" s="249">
        <f t="shared" si="70"/>
        <v>10.5</v>
      </c>
      <c r="AH123" s="249">
        <f t="shared" si="70"/>
        <v>10.5</v>
      </c>
      <c r="AI123" s="249">
        <f t="shared" si="70"/>
        <v>10.5</v>
      </c>
      <c r="AJ123" s="249">
        <f t="shared" si="70"/>
        <v>10.5</v>
      </c>
      <c r="AK123" s="249">
        <f t="shared" si="70"/>
        <v>10.5</v>
      </c>
      <c r="AL123" s="249">
        <f t="shared" si="70"/>
        <v>10.5</v>
      </c>
      <c r="AM123" s="249">
        <f t="shared" si="70"/>
        <v>10.5</v>
      </c>
    </row>
    <row r="124" spans="1:39" s="246" customFormat="1" hidden="1" outlineLevel="1" x14ac:dyDescent="0.25">
      <c r="B124" s="246" t="str">
        <v>NyAff3</v>
      </c>
      <c r="C124" s="247" t="s">
        <v>394</v>
      </c>
      <c r="D124" s="248">
        <f t="shared" ref="D124:AM124" si="71">$Q28</f>
        <v>9.5</v>
      </c>
      <c r="E124" s="249">
        <f t="shared" si="71"/>
        <v>9.5</v>
      </c>
      <c r="F124" s="249">
        <f t="shared" si="71"/>
        <v>9.5</v>
      </c>
      <c r="G124" s="249">
        <f t="shared" si="71"/>
        <v>9.5</v>
      </c>
      <c r="H124" s="249">
        <f t="shared" si="71"/>
        <v>9.5</v>
      </c>
      <c r="I124" s="249">
        <f t="shared" si="71"/>
        <v>9.5</v>
      </c>
      <c r="J124" s="249">
        <f t="shared" si="71"/>
        <v>9.5</v>
      </c>
      <c r="K124" s="249">
        <f t="shared" si="71"/>
        <v>9.5</v>
      </c>
      <c r="L124" s="249">
        <f t="shared" si="71"/>
        <v>9.5</v>
      </c>
      <c r="M124" s="249">
        <f t="shared" si="71"/>
        <v>9.5</v>
      </c>
      <c r="N124" s="249">
        <f t="shared" si="71"/>
        <v>9.5</v>
      </c>
      <c r="O124" s="249">
        <f t="shared" si="71"/>
        <v>9.5</v>
      </c>
      <c r="P124" s="248">
        <f t="shared" si="71"/>
        <v>9.5</v>
      </c>
      <c r="Q124" s="249">
        <f t="shared" si="71"/>
        <v>9.5</v>
      </c>
      <c r="R124" s="249">
        <f t="shared" si="71"/>
        <v>9.5</v>
      </c>
      <c r="S124" s="249">
        <f t="shared" si="71"/>
        <v>9.5</v>
      </c>
      <c r="T124" s="249">
        <f t="shared" si="71"/>
        <v>9.5</v>
      </c>
      <c r="U124" s="249">
        <f t="shared" si="71"/>
        <v>9.5</v>
      </c>
      <c r="V124" s="249">
        <f t="shared" si="71"/>
        <v>9.5</v>
      </c>
      <c r="W124" s="249">
        <f t="shared" si="71"/>
        <v>9.5</v>
      </c>
      <c r="X124" s="249">
        <f t="shared" si="71"/>
        <v>9.5</v>
      </c>
      <c r="Y124" s="249">
        <f t="shared" si="71"/>
        <v>9.5</v>
      </c>
      <c r="Z124" s="249">
        <f t="shared" si="71"/>
        <v>9.5</v>
      </c>
      <c r="AA124" s="249">
        <f t="shared" si="71"/>
        <v>9.5</v>
      </c>
      <c r="AB124" s="248">
        <f t="shared" si="71"/>
        <v>9.5</v>
      </c>
      <c r="AC124" s="249">
        <f t="shared" si="71"/>
        <v>9.5</v>
      </c>
      <c r="AD124" s="249">
        <f t="shared" si="71"/>
        <v>9.5</v>
      </c>
      <c r="AE124" s="249">
        <f t="shared" si="71"/>
        <v>9.5</v>
      </c>
      <c r="AF124" s="249">
        <f t="shared" si="71"/>
        <v>9.5</v>
      </c>
      <c r="AG124" s="249">
        <f t="shared" si="71"/>
        <v>9.5</v>
      </c>
      <c r="AH124" s="249">
        <f t="shared" si="71"/>
        <v>9.5</v>
      </c>
      <c r="AI124" s="249">
        <f t="shared" si="71"/>
        <v>9.5</v>
      </c>
      <c r="AJ124" s="249">
        <f t="shared" si="71"/>
        <v>9.5</v>
      </c>
      <c r="AK124" s="249">
        <f t="shared" si="71"/>
        <v>9.5</v>
      </c>
      <c r="AL124" s="249">
        <f t="shared" si="71"/>
        <v>9.5</v>
      </c>
      <c r="AM124" s="249">
        <f t="shared" si="71"/>
        <v>9.5</v>
      </c>
    </row>
    <row r="125" spans="1:39" s="246" customFormat="1" hidden="1" outlineLevel="1" x14ac:dyDescent="0.25">
      <c r="B125" s="246" t="str">
        <v>NyAff4</v>
      </c>
      <c r="C125" s="247" t="s">
        <v>394</v>
      </c>
      <c r="D125" s="248">
        <f t="shared" ref="D125:AM125" si="72">$Q29</f>
        <v>8.5</v>
      </c>
      <c r="E125" s="249">
        <f t="shared" si="72"/>
        <v>8.5</v>
      </c>
      <c r="F125" s="249">
        <f t="shared" si="72"/>
        <v>8.5</v>
      </c>
      <c r="G125" s="249">
        <f t="shared" si="72"/>
        <v>8.5</v>
      </c>
      <c r="H125" s="249">
        <f t="shared" si="72"/>
        <v>8.5</v>
      </c>
      <c r="I125" s="249">
        <f t="shared" si="72"/>
        <v>8.5</v>
      </c>
      <c r="J125" s="249">
        <f t="shared" si="72"/>
        <v>8.5</v>
      </c>
      <c r="K125" s="249">
        <f t="shared" si="72"/>
        <v>8.5</v>
      </c>
      <c r="L125" s="249">
        <f t="shared" si="72"/>
        <v>8.5</v>
      </c>
      <c r="M125" s="249">
        <f t="shared" si="72"/>
        <v>8.5</v>
      </c>
      <c r="N125" s="249">
        <f t="shared" si="72"/>
        <v>8.5</v>
      </c>
      <c r="O125" s="249">
        <f t="shared" si="72"/>
        <v>8.5</v>
      </c>
      <c r="P125" s="248">
        <f t="shared" si="72"/>
        <v>8.5</v>
      </c>
      <c r="Q125" s="249">
        <f t="shared" si="72"/>
        <v>8.5</v>
      </c>
      <c r="R125" s="249">
        <f t="shared" si="72"/>
        <v>8.5</v>
      </c>
      <c r="S125" s="249">
        <f t="shared" si="72"/>
        <v>8.5</v>
      </c>
      <c r="T125" s="249">
        <f t="shared" si="72"/>
        <v>8.5</v>
      </c>
      <c r="U125" s="249">
        <f t="shared" si="72"/>
        <v>8.5</v>
      </c>
      <c r="V125" s="249">
        <f t="shared" si="72"/>
        <v>8.5</v>
      </c>
      <c r="W125" s="249">
        <f t="shared" si="72"/>
        <v>8.5</v>
      </c>
      <c r="X125" s="249">
        <f t="shared" si="72"/>
        <v>8.5</v>
      </c>
      <c r="Y125" s="249">
        <f t="shared" si="72"/>
        <v>8.5</v>
      </c>
      <c r="Z125" s="249">
        <f t="shared" si="72"/>
        <v>8.5</v>
      </c>
      <c r="AA125" s="249">
        <f t="shared" si="72"/>
        <v>8.5</v>
      </c>
      <c r="AB125" s="248">
        <f t="shared" si="72"/>
        <v>8.5</v>
      </c>
      <c r="AC125" s="249">
        <f t="shared" si="72"/>
        <v>8.5</v>
      </c>
      <c r="AD125" s="249">
        <f t="shared" si="72"/>
        <v>8.5</v>
      </c>
      <c r="AE125" s="249">
        <f t="shared" si="72"/>
        <v>8.5</v>
      </c>
      <c r="AF125" s="249">
        <f t="shared" si="72"/>
        <v>8.5</v>
      </c>
      <c r="AG125" s="249">
        <f t="shared" si="72"/>
        <v>8.5</v>
      </c>
      <c r="AH125" s="249">
        <f t="shared" si="72"/>
        <v>8.5</v>
      </c>
      <c r="AI125" s="249">
        <f t="shared" si="72"/>
        <v>8.5</v>
      </c>
      <c r="AJ125" s="249">
        <f t="shared" si="72"/>
        <v>8.5</v>
      </c>
      <c r="AK125" s="249">
        <f t="shared" si="72"/>
        <v>8.5</v>
      </c>
      <c r="AL125" s="249">
        <f t="shared" si="72"/>
        <v>8.5</v>
      </c>
      <c r="AM125" s="249">
        <f t="shared" si="72"/>
        <v>8.5</v>
      </c>
    </row>
    <row r="126" spans="1:39" s="246" customFormat="1" hidden="1" outlineLevel="1" x14ac:dyDescent="0.25">
      <c r="B126" s="246" t="str">
        <v>NyAff5</v>
      </c>
      <c r="C126" s="247" t="s">
        <v>394</v>
      </c>
      <c r="D126" s="248">
        <f t="shared" ref="D126:AM126" si="73">$Q30</f>
        <v>7.5</v>
      </c>
      <c r="E126" s="249">
        <f t="shared" si="73"/>
        <v>7.5</v>
      </c>
      <c r="F126" s="249">
        <f t="shared" si="73"/>
        <v>7.5</v>
      </c>
      <c r="G126" s="249">
        <f t="shared" si="73"/>
        <v>7.5</v>
      </c>
      <c r="H126" s="249">
        <f t="shared" si="73"/>
        <v>7.5</v>
      </c>
      <c r="I126" s="249">
        <f t="shared" si="73"/>
        <v>7.5</v>
      </c>
      <c r="J126" s="249">
        <f t="shared" si="73"/>
        <v>7.5</v>
      </c>
      <c r="K126" s="249">
        <f t="shared" si="73"/>
        <v>7.5</v>
      </c>
      <c r="L126" s="249">
        <f t="shared" si="73"/>
        <v>7.5</v>
      </c>
      <c r="M126" s="249">
        <f t="shared" si="73"/>
        <v>7.5</v>
      </c>
      <c r="N126" s="249">
        <f t="shared" si="73"/>
        <v>7.5</v>
      </c>
      <c r="O126" s="249">
        <f t="shared" si="73"/>
        <v>7.5</v>
      </c>
      <c r="P126" s="248">
        <f t="shared" si="73"/>
        <v>7.5</v>
      </c>
      <c r="Q126" s="249">
        <f t="shared" si="73"/>
        <v>7.5</v>
      </c>
      <c r="R126" s="249">
        <f t="shared" si="73"/>
        <v>7.5</v>
      </c>
      <c r="S126" s="249">
        <f t="shared" si="73"/>
        <v>7.5</v>
      </c>
      <c r="T126" s="249">
        <f t="shared" si="73"/>
        <v>7.5</v>
      </c>
      <c r="U126" s="249">
        <f t="shared" si="73"/>
        <v>7.5</v>
      </c>
      <c r="V126" s="249">
        <f t="shared" si="73"/>
        <v>7.5</v>
      </c>
      <c r="W126" s="249">
        <f t="shared" si="73"/>
        <v>7.5</v>
      </c>
      <c r="X126" s="249">
        <f t="shared" si="73"/>
        <v>7.5</v>
      </c>
      <c r="Y126" s="249">
        <f t="shared" si="73"/>
        <v>7.5</v>
      </c>
      <c r="Z126" s="249">
        <f t="shared" si="73"/>
        <v>7.5</v>
      </c>
      <c r="AA126" s="249">
        <f t="shared" si="73"/>
        <v>7.5</v>
      </c>
      <c r="AB126" s="248">
        <f t="shared" si="73"/>
        <v>7.5</v>
      </c>
      <c r="AC126" s="249">
        <f t="shared" si="73"/>
        <v>7.5</v>
      </c>
      <c r="AD126" s="249">
        <f t="shared" si="73"/>
        <v>7.5</v>
      </c>
      <c r="AE126" s="249">
        <f t="shared" si="73"/>
        <v>7.5</v>
      </c>
      <c r="AF126" s="249">
        <f t="shared" si="73"/>
        <v>7.5</v>
      </c>
      <c r="AG126" s="249">
        <f t="shared" si="73"/>
        <v>7.5</v>
      </c>
      <c r="AH126" s="249">
        <f t="shared" si="73"/>
        <v>7.5</v>
      </c>
      <c r="AI126" s="249">
        <f t="shared" si="73"/>
        <v>7.5</v>
      </c>
      <c r="AJ126" s="249">
        <f t="shared" si="73"/>
        <v>7.5</v>
      </c>
      <c r="AK126" s="249">
        <f t="shared" si="73"/>
        <v>7.5</v>
      </c>
      <c r="AL126" s="249">
        <f t="shared" si="73"/>
        <v>7.5</v>
      </c>
      <c r="AM126" s="249">
        <f t="shared" si="73"/>
        <v>7.5</v>
      </c>
    </row>
    <row r="127" spans="1:39" hidden="1" outlineLevel="1" x14ac:dyDescent="0.25">
      <c r="A127" s="298"/>
      <c r="B127" t="str" cm="1">
        <f t="array" ref="B127:B129">ØvrigeBrændsler</f>
        <v>Flis</v>
      </c>
      <c r="C127" s="247" t="s">
        <v>394</v>
      </c>
      <c r="D127" s="248">
        <f t="shared" ref="D127:AM127" si="74">$Q31</f>
        <v>9.4</v>
      </c>
      <c r="E127" s="249">
        <f t="shared" si="74"/>
        <v>9.4</v>
      </c>
      <c r="F127" s="249">
        <f t="shared" si="74"/>
        <v>9.4</v>
      </c>
      <c r="G127" s="249">
        <f t="shared" si="74"/>
        <v>9.4</v>
      </c>
      <c r="H127" s="249">
        <f t="shared" si="74"/>
        <v>9.4</v>
      </c>
      <c r="I127" s="249">
        <f t="shared" si="74"/>
        <v>9.4</v>
      </c>
      <c r="J127" s="249">
        <f t="shared" si="74"/>
        <v>9.4</v>
      </c>
      <c r="K127" s="249">
        <f t="shared" si="74"/>
        <v>9.4</v>
      </c>
      <c r="L127" s="249">
        <f t="shared" si="74"/>
        <v>9.4</v>
      </c>
      <c r="M127" s="249">
        <f t="shared" si="74"/>
        <v>9.4</v>
      </c>
      <c r="N127" s="249">
        <f t="shared" si="74"/>
        <v>9.4</v>
      </c>
      <c r="O127" s="249">
        <f t="shared" si="74"/>
        <v>9.4</v>
      </c>
      <c r="P127" s="248">
        <f t="shared" si="74"/>
        <v>9.4</v>
      </c>
      <c r="Q127" s="249">
        <f t="shared" si="74"/>
        <v>9.4</v>
      </c>
      <c r="R127" s="249">
        <f t="shared" si="74"/>
        <v>9.4</v>
      </c>
      <c r="S127" s="249">
        <f t="shared" si="74"/>
        <v>9.4</v>
      </c>
      <c r="T127" s="249">
        <f t="shared" si="74"/>
        <v>9.4</v>
      </c>
      <c r="U127" s="249">
        <f t="shared" si="74"/>
        <v>9.4</v>
      </c>
      <c r="V127" s="249">
        <f t="shared" si="74"/>
        <v>9.4</v>
      </c>
      <c r="W127" s="249">
        <f t="shared" si="74"/>
        <v>9.4</v>
      </c>
      <c r="X127" s="249">
        <f t="shared" si="74"/>
        <v>9.4</v>
      </c>
      <c r="Y127" s="249">
        <f t="shared" si="74"/>
        <v>9.4</v>
      </c>
      <c r="Z127" s="249">
        <f t="shared" si="74"/>
        <v>9.4</v>
      </c>
      <c r="AA127" s="249">
        <f t="shared" si="74"/>
        <v>9.4</v>
      </c>
      <c r="AB127" s="248">
        <f t="shared" si="74"/>
        <v>9.4</v>
      </c>
      <c r="AC127" s="249">
        <f t="shared" si="74"/>
        <v>9.4</v>
      </c>
      <c r="AD127" s="249">
        <f t="shared" si="74"/>
        <v>9.4</v>
      </c>
      <c r="AE127" s="249">
        <f t="shared" si="74"/>
        <v>9.4</v>
      </c>
      <c r="AF127" s="249">
        <f t="shared" si="74"/>
        <v>9.4</v>
      </c>
      <c r="AG127" s="249">
        <f t="shared" si="74"/>
        <v>9.4</v>
      </c>
      <c r="AH127" s="249">
        <f t="shared" si="74"/>
        <v>9.4</v>
      </c>
      <c r="AI127" s="249">
        <f t="shared" si="74"/>
        <v>9.4</v>
      </c>
      <c r="AJ127" s="249">
        <f t="shared" si="74"/>
        <v>9.4</v>
      </c>
      <c r="AK127" s="249">
        <f t="shared" si="74"/>
        <v>9.4</v>
      </c>
      <c r="AL127" s="249">
        <f t="shared" si="74"/>
        <v>9.4</v>
      </c>
      <c r="AM127" s="249">
        <f t="shared" si="74"/>
        <v>9.4</v>
      </c>
    </row>
    <row r="128" spans="1:39" hidden="1" outlineLevel="1" x14ac:dyDescent="0.25">
      <c r="A128" s="299"/>
      <c r="B128" t="str">
        <v>NSvarme</v>
      </c>
      <c r="C128" s="247" t="s">
        <v>394</v>
      </c>
      <c r="D128" s="248">
        <f t="shared" ref="D128:AM128" si="75">$Q32</f>
        <v>3.6</v>
      </c>
      <c r="E128" s="249">
        <f t="shared" si="75"/>
        <v>3.6</v>
      </c>
      <c r="F128" s="249">
        <f t="shared" si="75"/>
        <v>3.6</v>
      </c>
      <c r="G128" s="249">
        <f t="shared" si="75"/>
        <v>3.6</v>
      </c>
      <c r="H128" s="249">
        <f t="shared" si="75"/>
        <v>3.6</v>
      </c>
      <c r="I128" s="249">
        <f t="shared" si="75"/>
        <v>3.6</v>
      </c>
      <c r="J128" s="249">
        <f t="shared" si="75"/>
        <v>3.6</v>
      </c>
      <c r="K128" s="249">
        <f t="shared" si="75"/>
        <v>3.6</v>
      </c>
      <c r="L128" s="249">
        <f t="shared" si="75"/>
        <v>3.6</v>
      </c>
      <c r="M128" s="249">
        <f t="shared" si="75"/>
        <v>3.6</v>
      </c>
      <c r="N128" s="249">
        <f t="shared" si="75"/>
        <v>3.6</v>
      </c>
      <c r="O128" s="249">
        <f t="shared" si="75"/>
        <v>3.6</v>
      </c>
      <c r="P128" s="248">
        <f t="shared" si="75"/>
        <v>3.6</v>
      </c>
      <c r="Q128" s="249">
        <f t="shared" si="75"/>
        <v>3.6</v>
      </c>
      <c r="R128" s="249">
        <f t="shared" si="75"/>
        <v>3.6</v>
      </c>
      <c r="S128" s="249">
        <f t="shared" si="75"/>
        <v>3.6</v>
      </c>
      <c r="T128" s="249">
        <f t="shared" si="75"/>
        <v>3.6</v>
      </c>
      <c r="U128" s="249">
        <f t="shared" si="75"/>
        <v>3.6</v>
      </c>
      <c r="V128" s="249">
        <f t="shared" si="75"/>
        <v>3.6</v>
      </c>
      <c r="W128" s="249">
        <f t="shared" si="75"/>
        <v>3.6</v>
      </c>
      <c r="X128" s="249">
        <f t="shared" si="75"/>
        <v>3.6</v>
      </c>
      <c r="Y128" s="249">
        <f t="shared" si="75"/>
        <v>3.6</v>
      </c>
      <c r="Z128" s="249">
        <f t="shared" si="75"/>
        <v>3.6</v>
      </c>
      <c r="AA128" s="249">
        <f t="shared" si="75"/>
        <v>3.6</v>
      </c>
      <c r="AB128" s="248">
        <f t="shared" si="75"/>
        <v>3.6</v>
      </c>
      <c r="AC128" s="249">
        <f t="shared" si="75"/>
        <v>3.6</v>
      </c>
      <c r="AD128" s="249">
        <f t="shared" si="75"/>
        <v>3.6</v>
      </c>
      <c r="AE128" s="249">
        <f t="shared" si="75"/>
        <v>3.6</v>
      </c>
      <c r="AF128" s="249">
        <f t="shared" si="75"/>
        <v>3.6</v>
      </c>
      <c r="AG128" s="249">
        <f t="shared" si="75"/>
        <v>3.6</v>
      </c>
      <c r="AH128" s="249">
        <f t="shared" si="75"/>
        <v>3.6</v>
      </c>
      <c r="AI128" s="249">
        <f t="shared" si="75"/>
        <v>3.6</v>
      </c>
      <c r="AJ128" s="249">
        <f t="shared" si="75"/>
        <v>3.6</v>
      </c>
      <c r="AK128" s="249">
        <f t="shared" si="75"/>
        <v>3.6</v>
      </c>
      <c r="AL128" s="249">
        <f t="shared" si="75"/>
        <v>3.6</v>
      </c>
      <c r="AM128" s="249">
        <f t="shared" si="75"/>
        <v>3.6</v>
      </c>
    </row>
    <row r="129" spans="1:39" hidden="1" outlineLevel="1" x14ac:dyDescent="0.25">
      <c r="A129" s="299"/>
      <c r="B129" t="str">
        <v>PeakFuel</v>
      </c>
      <c r="C129" s="247" t="s">
        <v>394</v>
      </c>
      <c r="D129" s="248">
        <f t="shared" ref="D129:AM129" si="76">$Q33</f>
        <v>44</v>
      </c>
      <c r="E129" s="249">
        <f t="shared" si="76"/>
        <v>44</v>
      </c>
      <c r="F129" s="249">
        <f t="shared" si="76"/>
        <v>44</v>
      </c>
      <c r="G129" s="249">
        <f t="shared" si="76"/>
        <v>44</v>
      </c>
      <c r="H129" s="249">
        <f t="shared" si="76"/>
        <v>44</v>
      </c>
      <c r="I129" s="249">
        <f t="shared" si="76"/>
        <v>44</v>
      </c>
      <c r="J129" s="249">
        <f t="shared" si="76"/>
        <v>44</v>
      </c>
      <c r="K129" s="249">
        <f t="shared" si="76"/>
        <v>44</v>
      </c>
      <c r="L129" s="249">
        <f t="shared" si="76"/>
        <v>44</v>
      </c>
      <c r="M129" s="249">
        <f t="shared" si="76"/>
        <v>44</v>
      </c>
      <c r="N129" s="249">
        <f t="shared" si="76"/>
        <v>44</v>
      </c>
      <c r="O129" s="249">
        <f t="shared" si="76"/>
        <v>44</v>
      </c>
      <c r="P129" s="248">
        <f t="shared" si="76"/>
        <v>44</v>
      </c>
      <c r="Q129" s="249">
        <f t="shared" si="76"/>
        <v>44</v>
      </c>
      <c r="R129" s="249">
        <f t="shared" si="76"/>
        <v>44</v>
      </c>
      <c r="S129" s="249">
        <f t="shared" si="76"/>
        <v>44</v>
      </c>
      <c r="T129" s="249">
        <f t="shared" si="76"/>
        <v>44</v>
      </c>
      <c r="U129" s="249">
        <f t="shared" si="76"/>
        <v>44</v>
      </c>
      <c r="V129" s="249">
        <f t="shared" si="76"/>
        <v>44</v>
      </c>
      <c r="W129" s="249">
        <f t="shared" si="76"/>
        <v>44</v>
      </c>
      <c r="X129" s="249">
        <f t="shared" si="76"/>
        <v>44</v>
      </c>
      <c r="Y129" s="249">
        <f t="shared" si="76"/>
        <v>44</v>
      </c>
      <c r="Z129" s="249">
        <f t="shared" si="76"/>
        <v>44</v>
      </c>
      <c r="AA129" s="249">
        <f t="shared" si="76"/>
        <v>44</v>
      </c>
      <c r="AB129" s="248">
        <f t="shared" si="76"/>
        <v>44</v>
      </c>
      <c r="AC129" s="249">
        <f t="shared" si="76"/>
        <v>44</v>
      </c>
      <c r="AD129" s="249">
        <f t="shared" si="76"/>
        <v>44</v>
      </c>
      <c r="AE129" s="249">
        <f t="shared" si="76"/>
        <v>44</v>
      </c>
      <c r="AF129" s="249">
        <f t="shared" si="76"/>
        <v>44</v>
      </c>
      <c r="AG129" s="249">
        <f t="shared" si="76"/>
        <v>44</v>
      </c>
      <c r="AH129" s="249">
        <f t="shared" si="76"/>
        <v>44</v>
      </c>
      <c r="AI129" s="249">
        <f t="shared" si="76"/>
        <v>44</v>
      </c>
      <c r="AJ129" s="249">
        <f t="shared" si="76"/>
        <v>44</v>
      </c>
      <c r="AK129" s="249">
        <f t="shared" si="76"/>
        <v>44</v>
      </c>
      <c r="AL129" s="249">
        <f t="shared" si="76"/>
        <v>44</v>
      </c>
      <c r="AM129" s="249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4" customFormat="1" hidden="1" outlineLevel="1" x14ac:dyDescent="0.25">
      <c r="B131" s="254" t="str">
        <f t="shared" ref="B131:B156" si="77">B101</f>
        <v>DepoSort</v>
      </c>
      <c r="C131" s="255" t="s">
        <v>256</v>
      </c>
      <c r="D131" s="256">
        <f t="shared" ref="D131:AM131" si="78">$P5</f>
        <v>525</v>
      </c>
      <c r="E131" s="257">
        <f t="shared" si="78"/>
        <v>525</v>
      </c>
      <c r="F131" s="257">
        <f t="shared" si="78"/>
        <v>525</v>
      </c>
      <c r="G131" s="257">
        <f t="shared" si="78"/>
        <v>525</v>
      </c>
      <c r="H131" s="257">
        <f t="shared" si="78"/>
        <v>525</v>
      </c>
      <c r="I131" s="257">
        <f t="shared" si="78"/>
        <v>525</v>
      </c>
      <c r="J131" s="257">
        <f t="shared" si="78"/>
        <v>525</v>
      </c>
      <c r="K131" s="257">
        <f t="shared" si="78"/>
        <v>525</v>
      </c>
      <c r="L131" s="257">
        <f t="shared" si="78"/>
        <v>525</v>
      </c>
      <c r="M131" s="257">
        <f t="shared" si="78"/>
        <v>525</v>
      </c>
      <c r="N131" s="257">
        <f t="shared" si="78"/>
        <v>525</v>
      </c>
      <c r="O131" s="257">
        <f t="shared" si="78"/>
        <v>525</v>
      </c>
      <c r="P131" s="256">
        <f t="shared" si="78"/>
        <v>525</v>
      </c>
      <c r="Q131" s="257">
        <f t="shared" si="78"/>
        <v>525</v>
      </c>
      <c r="R131" s="257">
        <f t="shared" si="78"/>
        <v>525</v>
      </c>
      <c r="S131" s="257">
        <f t="shared" si="78"/>
        <v>525</v>
      </c>
      <c r="T131" s="257">
        <f t="shared" si="78"/>
        <v>525</v>
      </c>
      <c r="U131" s="257">
        <f t="shared" si="78"/>
        <v>525</v>
      </c>
      <c r="V131" s="257">
        <f t="shared" si="78"/>
        <v>525</v>
      </c>
      <c r="W131" s="257">
        <f t="shared" si="78"/>
        <v>525</v>
      </c>
      <c r="X131" s="257">
        <f t="shared" si="78"/>
        <v>525</v>
      </c>
      <c r="Y131" s="257">
        <f t="shared" si="78"/>
        <v>525</v>
      </c>
      <c r="Z131" s="257">
        <f t="shared" si="78"/>
        <v>525</v>
      </c>
      <c r="AA131" s="257">
        <f t="shared" si="78"/>
        <v>525</v>
      </c>
      <c r="AB131" s="256">
        <f t="shared" si="78"/>
        <v>525</v>
      </c>
      <c r="AC131" s="257">
        <f t="shared" si="78"/>
        <v>525</v>
      </c>
      <c r="AD131" s="257">
        <f t="shared" si="78"/>
        <v>525</v>
      </c>
      <c r="AE131" s="257">
        <f t="shared" si="78"/>
        <v>525</v>
      </c>
      <c r="AF131" s="257">
        <f t="shared" si="78"/>
        <v>525</v>
      </c>
      <c r="AG131" s="257">
        <f t="shared" si="78"/>
        <v>525</v>
      </c>
      <c r="AH131" s="257">
        <f t="shared" si="78"/>
        <v>525</v>
      </c>
      <c r="AI131" s="257">
        <f t="shared" si="78"/>
        <v>525</v>
      </c>
      <c r="AJ131" s="257">
        <f t="shared" si="78"/>
        <v>525</v>
      </c>
      <c r="AK131" s="257">
        <f t="shared" si="78"/>
        <v>525</v>
      </c>
      <c r="AL131" s="257">
        <f t="shared" si="78"/>
        <v>525</v>
      </c>
      <c r="AM131" s="257">
        <f t="shared" si="78"/>
        <v>525</v>
      </c>
    </row>
    <row r="132" spans="1:39" s="254" customFormat="1" hidden="1" outlineLevel="1" x14ac:dyDescent="0.25">
      <c r="B132" s="254" t="str">
        <f t="shared" si="77"/>
        <v>DepoSmaat</v>
      </c>
      <c r="C132" s="255" t="s">
        <v>256</v>
      </c>
      <c r="D132" s="256">
        <f t="shared" ref="D132:AM132" si="79">$P6</f>
        <v>0</v>
      </c>
      <c r="E132" s="257">
        <f t="shared" si="79"/>
        <v>0</v>
      </c>
      <c r="F132" s="257">
        <f t="shared" si="79"/>
        <v>0</v>
      </c>
      <c r="G132" s="257">
        <f t="shared" si="79"/>
        <v>0</v>
      </c>
      <c r="H132" s="257">
        <f t="shared" si="79"/>
        <v>0</v>
      </c>
      <c r="I132" s="257">
        <f t="shared" si="79"/>
        <v>0</v>
      </c>
      <c r="J132" s="257">
        <f t="shared" si="79"/>
        <v>0</v>
      </c>
      <c r="K132" s="257">
        <f t="shared" si="79"/>
        <v>0</v>
      </c>
      <c r="L132" s="257">
        <f t="shared" si="79"/>
        <v>0</v>
      </c>
      <c r="M132" s="257">
        <f t="shared" si="79"/>
        <v>0</v>
      </c>
      <c r="N132" s="257">
        <f t="shared" si="79"/>
        <v>0</v>
      </c>
      <c r="O132" s="257">
        <f t="shared" si="79"/>
        <v>0</v>
      </c>
      <c r="P132" s="256">
        <f t="shared" si="79"/>
        <v>0</v>
      </c>
      <c r="Q132" s="257">
        <f t="shared" si="79"/>
        <v>0</v>
      </c>
      <c r="R132" s="257">
        <f t="shared" si="79"/>
        <v>0</v>
      </c>
      <c r="S132" s="257">
        <f t="shared" si="79"/>
        <v>0</v>
      </c>
      <c r="T132" s="257">
        <f t="shared" si="79"/>
        <v>0</v>
      </c>
      <c r="U132" s="257">
        <f t="shared" si="79"/>
        <v>0</v>
      </c>
      <c r="V132" s="257">
        <f t="shared" si="79"/>
        <v>0</v>
      </c>
      <c r="W132" s="257">
        <f t="shared" si="79"/>
        <v>0</v>
      </c>
      <c r="X132" s="257">
        <f t="shared" si="79"/>
        <v>0</v>
      </c>
      <c r="Y132" s="257">
        <f t="shared" si="79"/>
        <v>0</v>
      </c>
      <c r="Z132" s="257">
        <f t="shared" si="79"/>
        <v>0</v>
      </c>
      <c r="AA132" s="257">
        <f t="shared" si="79"/>
        <v>0</v>
      </c>
      <c r="AB132" s="256">
        <f t="shared" si="79"/>
        <v>0</v>
      </c>
      <c r="AC132" s="257">
        <f t="shared" si="79"/>
        <v>0</v>
      </c>
      <c r="AD132" s="257">
        <f t="shared" si="79"/>
        <v>0</v>
      </c>
      <c r="AE132" s="257">
        <f t="shared" si="79"/>
        <v>0</v>
      </c>
      <c r="AF132" s="257">
        <f t="shared" si="79"/>
        <v>0</v>
      </c>
      <c r="AG132" s="257">
        <f t="shared" si="79"/>
        <v>0</v>
      </c>
      <c r="AH132" s="257">
        <f t="shared" si="79"/>
        <v>0</v>
      </c>
      <c r="AI132" s="257">
        <f t="shared" si="79"/>
        <v>0</v>
      </c>
      <c r="AJ132" s="257">
        <f t="shared" si="79"/>
        <v>0</v>
      </c>
      <c r="AK132" s="257">
        <f t="shared" si="79"/>
        <v>0</v>
      </c>
      <c r="AL132" s="257">
        <f t="shared" si="79"/>
        <v>0</v>
      </c>
      <c r="AM132" s="257">
        <f t="shared" si="79"/>
        <v>0</v>
      </c>
    </row>
    <row r="133" spans="1:39" s="254" customFormat="1" hidden="1" outlineLevel="1" x14ac:dyDescent="0.25">
      <c r="B133" s="254" t="str">
        <f t="shared" si="77"/>
        <v>DepoNedd</v>
      </c>
      <c r="C133" s="255" t="s">
        <v>256</v>
      </c>
      <c r="D133" s="256">
        <f t="shared" ref="D133:AM133" si="80">$P7</f>
        <v>0</v>
      </c>
      <c r="E133" s="257">
        <f t="shared" si="80"/>
        <v>0</v>
      </c>
      <c r="F133" s="257">
        <f t="shared" si="80"/>
        <v>0</v>
      </c>
      <c r="G133" s="257">
        <f t="shared" si="80"/>
        <v>0</v>
      </c>
      <c r="H133" s="257">
        <f t="shared" si="80"/>
        <v>0</v>
      </c>
      <c r="I133" s="257">
        <f t="shared" si="80"/>
        <v>0</v>
      </c>
      <c r="J133" s="257">
        <f t="shared" si="80"/>
        <v>0</v>
      </c>
      <c r="K133" s="257">
        <f t="shared" si="80"/>
        <v>0</v>
      </c>
      <c r="L133" s="257">
        <f t="shared" si="80"/>
        <v>0</v>
      </c>
      <c r="M133" s="257">
        <f t="shared" si="80"/>
        <v>0</v>
      </c>
      <c r="N133" s="257">
        <f t="shared" si="80"/>
        <v>0</v>
      </c>
      <c r="O133" s="257">
        <f t="shared" si="80"/>
        <v>0</v>
      </c>
      <c r="P133" s="256">
        <f t="shared" si="80"/>
        <v>0</v>
      </c>
      <c r="Q133" s="257">
        <f t="shared" si="80"/>
        <v>0</v>
      </c>
      <c r="R133" s="257">
        <f t="shared" si="80"/>
        <v>0</v>
      </c>
      <c r="S133" s="257">
        <f t="shared" si="80"/>
        <v>0</v>
      </c>
      <c r="T133" s="257">
        <f t="shared" si="80"/>
        <v>0</v>
      </c>
      <c r="U133" s="257">
        <f t="shared" si="80"/>
        <v>0</v>
      </c>
      <c r="V133" s="257">
        <f t="shared" si="80"/>
        <v>0</v>
      </c>
      <c r="W133" s="257">
        <f t="shared" si="80"/>
        <v>0</v>
      </c>
      <c r="X133" s="257">
        <f t="shared" si="80"/>
        <v>0</v>
      </c>
      <c r="Y133" s="257">
        <f t="shared" si="80"/>
        <v>0</v>
      </c>
      <c r="Z133" s="257">
        <f t="shared" si="80"/>
        <v>0</v>
      </c>
      <c r="AA133" s="257">
        <f t="shared" si="80"/>
        <v>0</v>
      </c>
      <c r="AB133" s="256">
        <f t="shared" si="80"/>
        <v>0</v>
      </c>
      <c r="AC133" s="257">
        <f t="shared" si="80"/>
        <v>0</v>
      </c>
      <c r="AD133" s="257">
        <f t="shared" si="80"/>
        <v>0</v>
      </c>
      <c r="AE133" s="257">
        <f t="shared" si="80"/>
        <v>0</v>
      </c>
      <c r="AF133" s="257">
        <f t="shared" si="80"/>
        <v>0</v>
      </c>
      <c r="AG133" s="257">
        <f t="shared" si="80"/>
        <v>0</v>
      </c>
      <c r="AH133" s="257">
        <f t="shared" si="80"/>
        <v>0</v>
      </c>
      <c r="AI133" s="257">
        <f t="shared" si="80"/>
        <v>0</v>
      </c>
      <c r="AJ133" s="257">
        <f t="shared" si="80"/>
        <v>0</v>
      </c>
      <c r="AK133" s="257">
        <f t="shared" si="80"/>
        <v>0</v>
      </c>
      <c r="AL133" s="257">
        <f t="shared" si="80"/>
        <v>0</v>
      </c>
      <c r="AM133" s="257">
        <f t="shared" si="80"/>
        <v>0</v>
      </c>
    </row>
    <row r="134" spans="1:39" s="254" customFormat="1" hidden="1" outlineLevel="1" x14ac:dyDescent="0.25">
      <c r="B134" s="254" t="str">
        <f t="shared" si="77"/>
        <v>Dagren</v>
      </c>
      <c r="C134" s="255" t="s">
        <v>256</v>
      </c>
      <c r="D134" s="256">
        <f t="shared" ref="D134:AM134" si="81">$P8</f>
        <v>525</v>
      </c>
      <c r="E134" s="257">
        <f t="shared" si="81"/>
        <v>525</v>
      </c>
      <c r="F134" s="257">
        <f t="shared" si="81"/>
        <v>525</v>
      </c>
      <c r="G134" s="257">
        <f t="shared" si="81"/>
        <v>525</v>
      </c>
      <c r="H134" s="257">
        <f t="shared" si="81"/>
        <v>525</v>
      </c>
      <c r="I134" s="257">
        <f t="shared" si="81"/>
        <v>525</v>
      </c>
      <c r="J134" s="257">
        <f t="shared" si="81"/>
        <v>525</v>
      </c>
      <c r="K134" s="257">
        <f t="shared" si="81"/>
        <v>525</v>
      </c>
      <c r="L134" s="257">
        <f t="shared" si="81"/>
        <v>525</v>
      </c>
      <c r="M134" s="257">
        <f t="shared" si="81"/>
        <v>525</v>
      </c>
      <c r="N134" s="257">
        <f t="shared" si="81"/>
        <v>525</v>
      </c>
      <c r="O134" s="257">
        <f t="shared" si="81"/>
        <v>525</v>
      </c>
      <c r="P134" s="256">
        <f t="shared" si="81"/>
        <v>525</v>
      </c>
      <c r="Q134" s="257">
        <f t="shared" si="81"/>
        <v>525</v>
      </c>
      <c r="R134" s="257">
        <f t="shared" si="81"/>
        <v>525</v>
      </c>
      <c r="S134" s="257">
        <f t="shared" si="81"/>
        <v>525</v>
      </c>
      <c r="T134" s="257">
        <f t="shared" si="81"/>
        <v>525</v>
      </c>
      <c r="U134" s="257">
        <f t="shared" si="81"/>
        <v>525</v>
      </c>
      <c r="V134" s="257">
        <f t="shared" si="81"/>
        <v>525</v>
      </c>
      <c r="W134" s="257">
        <f t="shared" si="81"/>
        <v>525</v>
      </c>
      <c r="X134" s="257">
        <f t="shared" si="81"/>
        <v>525</v>
      </c>
      <c r="Y134" s="257">
        <f t="shared" si="81"/>
        <v>525</v>
      </c>
      <c r="Z134" s="257">
        <f t="shared" si="81"/>
        <v>525</v>
      </c>
      <c r="AA134" s="257">
        <f t="shared" si="81"/>
        <v>525</v>
      </c>
      <c r="AB134" s="256">
        <f t="shared" si="81"/>
        <v>525</v>
      </c>
      <c r="AC134" s="257">
        <f t="shared" si="81"/>
        <v>525</v>
      </c>
      <c r="AD134" s="257">
        <f t="shared" si="81"/>
        <v>525</v>
      </c>
      <c r="AE134" s="257">
        <f t="shared" si="81"/>
        <v>525</v>
      </c>
      <c r="AF134" s="257">
        <f t="shared" si="81"/>
        <v>525</v>
      </c>
      <c r="AG134" s="257">
        <f t="shared" si="81"/>
        <v>525</v>
      </c>
      <c r="AH134" s="257">
        <f t="shared" si="81"/>
        <v>525</v>
      </c>
      <c r="AI134" s="257">
        <f t="shared" si="81"/>
        <v>525</v>
      </c>
      <c r="AJ134" s="257">
        <f t="shared" si="81"/>
        <v>525</v>
      </c>
      <c r="AK134" s="257">
        <f t="shared" si="81"/>
        <v>525</v>
      </c>
      <c r="AL134" s="257">
        <f t="shared" si="81"/>
        <v>525</v>
      </c>
      <c r="AM134" s="257">
        <f t="shared" si="81"/>
        <v>525</v>
      </c>
    </row>
    <row r="135" spans="1:39" s="254" customFormat="1" hidden="1" outlineLevel="1" x14ac:dyDescent="0.25">
      <c r="B135" s="254" t="str">
        <f t="shared" si="77"/>
        <v>AndetBrand</v>
      </c>
      <c r="C135" s="255" t="s">
        <v>256</v>
      </c>
      <c r="D135" s="256">
        <f t="shared" ref="D135:AM135" si="82">$P9</f>
        <v>525</v>
      </c>
      <c r="E135" s="257">
        <f t="shared" si="82"/>
        <v>525</v>
      </c>
      <c r="F135" s="257">
        <f t="shared" si="82"/>
        <v>525</v>
      </c>
      <c r="G135" s="257">
        <f t="shared" si="82"/>
        <v>525</v>
      </c>
      <c r="H135" s="257">
        <f t="shared" si="82"/>
        <v>525</v>
      </c>
      <c r="I135" s="257">
        <f t="shared" si="82"/>
        <v>525</v>
      </c>
      <c r="J135" s="257">
        <f t="shared" si="82"/>
        <v>525</v>
      </c>
      <c r="K135" s="257">
        <f t="shared" si="82"/>
        <v>525</v>
      </c>
      <c r="L135" s="257">
        <f t="shared" si="82"/>
        <v>525</v>
      </c>
      <c r="M135" s="257">
        <f t="shared" si="82"/>
        <v>525</v>
      </c>
      <c r="N135" s="257">
        <f t="shared" si="82"/>
        <v>525</v>
      </c>
      <c r="O135" s="257">
        <f t="shared" si="82"/>
        <v>525</v>
      </c>
      <c r="P135" s="256">
        <f t="shared" si="82"/>
        <v>525</v>
      </c>
      <c r="Q135" s="257">
        <f t="shared" si="82"/>
        <v>525</v>
      </c>
      <c r="R135" s="257">
        <f t="shared" si="82"/>
        <v>525</v>
      </c>
      <c r="S135" s="257">
        <f t="shared" si="82"/>
        <v>525</v>
      </c>
      <c r="T135" s="257">
        <f t="shared" si="82"/>
        <v>525</v>
      </c>
      <c r="U135" s="257">
        <f t="shared" si="82"/>
        <v>525</v>
      </c>
      <c r="V135" s="257">
        <f t="shared" si="82"/>
        <v>525</v>
      </c>
      <c r="W135" s="257">
        <f t="shared" si="82"/>
        <v>525</v>
      </c>
      <c r="X135" s="257">
        <f t="shared" si="82"/>
        <v>525</v>
      </c>
      <c r="Y135" s="257">
        <f t="shared" si="82"/>
        <v>525</v>
      </c>
      <c r="Z135" s="257">
        <f t="shared" si="82"/>
        <v>525</v>
      </c>
      <c r="AA135" s="257">
        <f t="shared" si="82"/>
        <v>525</v>
      </c>
      <c r="AB135" s="256">
        <f t="shared" si="82"/>
        <v>525</v>
      </c>
      <c r="AC135" s="257">
        <f t="shared" si="82"/>
        <v>525</v>
      </c>
      <c r="AD135" s="257">
        <f t="shared" si="82"/>
        <v>525</v>
      </c>
      <c r="AE135" s="257">
        <f t="shared" si="82"/>
        <v>525</v>
      </c>
      <c r="AF135" s="257">
        <f t="shared" si="82"/>
        <v>525</v>
      </c>
      <c r="AG135" s="257">
        <f t="shared" si="82"/>
        <v>525</v>
      </c>
      <c r="AH135" s="257">
        <f t="shared" si="82"/>
        <v>525</v>
      </c>
      <c r="AI135" s="257">
        <f t="shared" si="82"/>
        <v>525</v>
      </c>
      <c r="AJ135" s="257">
        <f t="shared" si="82"/>
        <v>525</v>
      </c>
      <c r="AK135" s="257">
        <f t="shared" si="82"/>
        <v>525</v>
      </c>
      <c r="AL135" s="257">
        <f t="shared" si="82"/>
        <v>525</v>
      </c>
      <c r="AM135" s="257">
        <f t="shared" si="82"/>
        <v>525</v>
      </c>
    </row>
    <row r="136" spans="1:39" s="254" customFormat="1" hidden="1" outlineLevel="1" x14ac:dyDescent="0.25">
      <c r="B136" s="254" t="str">
        <f t="shared" si="77"/>
        <v>Trae</v>
      </c>
      <c r="C136" s="255" t="s">
        <v>256</v>
      </c>
      <c r="D136" s="256">
        <f t="shared" ref="D136:AM136" si="83">$P10</f>
        <v>155</v>
      </c>
      <c r="E136" s="257">
        <f t="shared" si="83"/>
        <v>155</v>
      </c>
      <c r="F136" s="257">
        <f t="shared" si="83"/>
        <v>155</v>
      </c>
      <c r="G136" s="257">
        <f t="shared" si="83"/>
        <v>155</v>
      </c>
      <c r="H136" s="257">
        <f t="shared" si="83"/>
        <v>155</v>
      </c>
      <c r="I136" s="257">
        <f t="shared" si="83"/>
        <v>155</v>
      </c>
      <c r="J136" s="257">
        <f t="shared" si="83"/>
        <v>155</v>
      </c>
      <c r="K136" s="257">
        <f t="shared" si="83"/>
        <v>155</v>
      </c>
      <c r="L136" s="257">
        <f t="shared" si="83"/>
        <v>155</v>
      </c>
      <c r="M136" s="257">
        <f t="shared" si="83"/>
        <v>155</v>
      </c>
      <c r="N136" s="257">
        <f t="shared" si="83"/>
        <v>155</v>
      </c>
      <c r="O136" s="257">
        <f t="shared" si="83"/>
        <v>155</v>
      </c>
      <c r="P136" s="256">
        <f t="shared" si="83"/>
        <v>155</v>
      </c>
      <c r="Q136" s="257">
        <f t="shared" si="83"/>
        <v>155</v>
      </c>
      <c r="R136" s="257">
        <f t="shared" si="83"/>
        <v>155</v>
      </c>
      <c r="S136" s="257">
        <f t="shared" si="83"/>
        <v>155</v>
      </c>
      <c r="T136" s="257">
        <f t="shared" si="83"/>
        <v>155</v>
      </c>
      <c r="U136" s="257">
        <f t="shared" si="83"/>
        <v>155</v>
      </c>
      <c r="V136" s="257">
        <f t="shared" si="83"/>
        <v>155</v>
      </c>
      <c r="W136" s="257">
        <f t="shared" si="83"/>
        <v>155</v>
      </c>
      <c r="X136" s="257">
        <f t="shared" si="83"/>
        <v>155</v>
      </c>
      <c r="Y136" s="257">
        <f t="shared" si="83"/>
        <v>155</v>
      </c>
      <c r="Z136" s="257">
        <f t="shared" si="83"/>
        <v>155</v>
      </c>
      <c r="AA136" s="257">
        <f t="shared" si="83"/>
        <v>155</v>
      </c>
      <c r="AB136" s="256">
        <f t="shared" si="83"/>
        <v>155</v>
      </c>
      <c r="AC136" s="257">
        <f t="shared" si="83"/>
        <v>155</v>
      </c>
      <c r="AD136" s="257">
        <f t="shared" si="83"/>
        <v>155</v>
      </c>
      <c r="AE136" s="257">
        <f t="shared" si="83"/>
        <v>155</v>
      </c>
      <c r="AF136" s="257">
        <f t="shared" si="83"/>
        <v>155</v>
      </c>
      <c r="AG136" s="257">
        <f t="shared" si="83"/>
        <v>155</v>
      </c>
      <c r="AH136" s="257">
        <f t="shared" si="83"/>
        <v>155</v>
      </c>
      <c r="AI136" s="257">
        <f t="shared" si="83"/>
        <v>155</v>
      </c>
      <c r="AJ136" s="257">
        <f t="shared" si="83"/>
        <v>155</v>
      </c>
      <c r="AK136" s="257">
        <f t="shared" si="83"/>
        <v>155</v>
      </c>
      <c r="AL136" s="257">
        <f t="shared" si="83"/>
        <v>155</v>
      </c>
      <c r="AM136" s="257">
        <f t="shared" si="83"/>
        <v>155</v>
      </c>
    </row>
    <row r="137" spans="1:39" s="254" customFormat="1" hidden="1" outlineLevel="1" x14ac:dyDescent="0.25">
      <c r="B137" s="254" t="str">
        <f t="shared" si="77"/>
        <v>DagrenRast</v>
      </c>
      <c r="C137" s="255" t="s">
        <v>256</v>
      </c>
      <c r="D137" s="256">
        <f t="shared" ref="D137:AM137" si="84">$P11</f>
        <v>525</v>
      </c>
      <c r="E137" s="257">
        <f t="shared" si="84"/>
        <v>525</v>
      </c>
      <c r="F137" s="257">
        <f t="shared" si="84"/>
        <v>525</v>
      </c>
      <c r="G137" s="257">
        <f t="shared" si="84"/>
        <v>525</v>
      </c>
      <c r="H137" s="257">
        <f t="shared" si="84"/>
        <v>525</v>
      </c>
      <c r="I137" s="257">
        <f t="shared" si="84"/>
        <v>525</v>
      </c>
      <c r="J137" s="257">
        <f t="shared" si="84"/>
        <v>525</v>
      </c>
      <c r="K137" s="257">
        <f t="shared" si="84"/>
        <v>525</v>
      </c>
      <c r="L137" s="257">
        <f t="shared" si="84"/>
        <v>525</v>
      </c>
      <c r="M137" s="257">
        <f t="shared" si="84"/>
        <v>525</v>
      </c>
      <c r="N137" s="257">
        <f t="shared" si="84"/>
        <v>525</v>
      </c>
      <c r="O137" s="257">
        <f t="shared" si="84"/>
        <v>525</v>
      </c>
      <c r="P137" s="256">
        <f t="shared" si="84"/>
        <v>525</v>
      </c>
      <c r="Q137" s="257">
        <f t="shared" si="84"/>
        <v>525</v>
      </c>
      <c r="R137" s="257">
        <f t="shared" si="84"/>
        <v>525</v>
      </c>
      <c r="S137" s="257">
        <f t="shared" si="84"/>
        <v>525</v>
      </c>
      <c r="T137" s="257">
        <f t="shared" si="84"/>
        <v>525</v>
      </c>
      <c r="U137" s="257">
        <f t="shared" si="84"/>
        <v>525</v>
      </c>
      <c r="V137" s="257">
        <f t="shared" si="84"/>
        <v>525</v>
      </c>
      <c r="W137" s="257">
        <f t="shared" si="84"/>
        <v>525</v>
      </c>
      <c r="X137" s="257">
        <f t="shared" si="84"/>
        <v>525</v>
      </c>
      <c r="Y137" s="257">
        <f t="shared" si="84"/>
        <v>525</v>
      </c>
      <c r="Z137" s="257">
        <f t="shared" si="84"/>
        <v>525</v>
      </c>
      <c r="AA137" s="257">
        <f t="shared" si="84"/>
        <v>525</v>
      </c>
      <c r="AB137" s="256">
        <f t="shared" si="84"/>
        <v>525</v>
      </c>
      <c r="AC137" s="257">
        <f t="shared" si="84"/>
        <v>525</v>
      </c>
      <c r="AD137" s="257">
        <f t="shared" si="84"/>
        <v>525</v>
      </c>
      <c r="AE137" s="257">
        <f t="shared" si="84"/>
        <v>525</v>
      </c>
      <c r="AF137" s="257">
        <f t="shared" si="84"/>
        <v>525</v>
      </c>
      <c r="AG137" s="257">
        <f t="shared" si="84"/>
        <v>525</v>
      </c>
      <c r="AH137" s="257">
        <f t="shared" si="84"/>
        <v>525</v>
      </c>
      <c r="AI137" s="257">
        <f t="shared" si="84"/>
        <v>525</v>
      </c>
      <c r="AJ137" s="257">
        <f t="shared" si="84"/>
        <v>525</v>
      </c>
      <c r="AK137" s="257">
        <f t="shared" si="84"/>
        <v>525</v>
      </c>
      <c r="AL137" s="257">
        <f t="shared" si="84"/>
        <v>525</v>
      </c>
      <c r="AM137" s="257">
        <f t="shared" si="84"/>
        <v>525</v>
      </c>
    </row>
    <row r="138" spans="1:39" s="254" customFormat="1" hidden="1" outlineLevel="1" x14ac:dyDescent="0.25">
      <c r="B138" s="254" t="str">
        <f t="shared" si="77"/>
        <v>DagrenInst</v>
      </c>
      <c r="C138" s="255" t="s">
        <v>256</v>
      </c>
      <c r="D138" s="256">
        <f t="shared" ref="D138:AM138" si="85">$P12</f>
        <v>525</v>
      </c>
      <c r="E138" s="257">
        <f t="shared" si="85"/>
        <v>525</v>
      </c>
      <c r="F138" s="257">
        <f t="shared" si="85"/>
        <v>525</v>
      </c>
      <c r="G138" s="257">
        <f t="shared" si="85"/>
        <v>525</v>
      </c>
      <c r="H138" s="257">
        <f t="shared" si="85"/>
        <v>525</v>
      </c>
      <c r="I138" s="257">
        <f t="shared" si="85"/>
        <v>525</v>
      </c>
      <c r="J138" s="257">
        <f t="shared" si="85"/>
        <v>525</v>
      </c>
      <c r="K138" s="257">
        <f t="shared" si="85"/>
        <v>525</v>
      </c>
      <c r="L138" s="257">
        <f t="shared" si="85"/>
        <v>525</v>
      </c>
      <c r="M138" s="257">
        <f t="shared" si="85"/>
        <v>525</v>
      </c>
      <c r="N138" s="257">
        <f t="shared" si="85"/>
        <v>525</v>
      </c>
      <c r="O138" s="257">
        <f t="shared" si="85"/>
        <v>525</v>
      </c>
      <c r="P138" s="256">
        <f t="shared" si="85"/>
        <v>525</v>
      </c>
      <c r="Q138" s="257">
        <f t="shared" si="85"/>
        <v>525</v>
      </c>
      <c r="R138" s="257">
        <f t="shared" si="85"/>
        <v>525</v>
      </c>
      <c r="S138" s="257">
        <f t="shared" si="85"/>
        <v>525</v>
      </c>
      <c r="T138" s="257">
        <f t="shared" si="85"/>
        <v>525</v>
      </c>
      <c r="U138" s="257">
        <f t="shared" si="85"/>
        <v>525</v>
      </c>
      <c r="V138" s="257">
        <f t="shared" si="85"/>
        <v>525</v>
      </c>
      <c r="W138" s="257">
        <f t="shared" si="85"/>
        <v>525</v>
      </c>
      <c r="X138" s="257">
        <f t="shared" si="85"/>
        <v>525</v>
      </c>
      <c r="Y138" s="257">
        <f t="shared" si="85"/>
        <v>525</v>
      </c>
      <c r="Z138" s="257">
        <f t="shared" si="85"/>
        <v>525</v>
      </c>
      <c r="AA138" s="257">
        <f t="shared" si="85"/>
        <v>525</v>
      </c>
      <c r="AB138" s="256">
        <f t="shared" si="85"/>
        <v>525</v>
      </c>
      <c r="AC138" s="257">
        <f t="shared" si="85"/>
        <v>525</v>
      </c>
      <c r="AD138" s="257">
        <f t="shared" si="85"/>
        <v>525</v>
      </c>
      <c r="AE138" s="257">
        <f t="shared" si="85"/>
        <v>525</v>
      </c>
      <c r="AF138" s="257">
        <f t="shared" si="85"/>
        <v>525</v>
      </c>
      <c r="AG138" s="257">
        <f t="shared" si="85"/>
        <v>525</v>
      </c>
      <c r="AH138" s="257">
        <f t="shared" si="85"/>
        <v>525</v>
      </c>
      <c r="AI138" s="257">
        <f t="shared" si="85"/>
        <v>525</v>
      </c>
      <c r="AJ138" s="257">
        <f t="shared" si="85"/>
        <v>525</v>
      </c>
      <c r="AK138" s="257">
        <f t="shared" si="85"/>
        <v>525</v>
      </c>
      <c r="AL138" s="257">
        <f t="shared" si="85"/>
        <v>525</v>
      </c>
      <c r="AM138" s="257">
        <f t="shared" si="85"/>
        <v>525</v>
      </c>
    </row>
    <row r="139" spans="1:39" s="254" customFormat="1" hidden="1" outlineLevel="1" x14ac:dyDescent="0.25">
      <c r="B139" s="254" t="str">
        <f t="shared" si="77"/>
        <v>DagrenHandel</v>
      </c>
      <c r="C139" s="255" t="s">
        <v>256</v>
      </c>
      <c r="D139" s="256">
        <f t="shared" ref="D139:AM139" si="86">$P13</f>
        <v>525</v>
      </c>
      <c r="E139" s="257">
        <f t="shared" si="86"/>
        <v>525</v>
      </c>
      <c r="F139" s="257">
        <f t="shared" si="86"/>
        <v>525</v>
      </c>
      <c r="G139" s="257">
        <f t="shared" si="86"/>
        <v>525</v>
      </c>
      <c r="H139" s="257">
        <f t="shared" si="86"/>
        <v>525</v>
      </c>
      <c r="I139" s="257">
        <f t="shared" si="86"/>
        <v>525</v>
      </c>
      <c r="J139" s="257">
        <f t="shared" si="86"/>
        <v>525</v>
      </c>
      <c r="K139" s="257">
        <f t="shared" si="86"/>
        <v>525</v>
      </c>
      <c r="L139" s="257">
        <f t="shared" si="86"/>
        <v>525</v>
      </c>
      <c r="M139" s="257">
        <f t="shared" si="86"/>
        <v>525</v>
      </c>
      <c r="N139" s="257">
        <f t="shared" si="86"/>
        <v>525</v>
      </c>
      <c r="O139" s="257">
        <f t="shared" si="86"/>
        <v>525</v>
      </c>
      <c r="P139" s="256">
        <f t="shared" si="86"/>
        <v>525</v>
      </c>
      <c r="Q139" s="257">
        <f t="shared" si="86"/>
        <v>525</v>
      </c>
      <c r="R139" s="257">
        <f t="shared" si="86"/>
        <v>525</v>
      </c>
      <c r="S139" s="257">
        <f t="shared" si="86"/>
        <v>525</v>
      </c>
      <c r="T139" s="257">
        <f t="shared" si="86"/>
        <v>525</v>
      </c>
      <c r="U139" s="257">
        <f t="shared" si="86"/>
        <v>525</v>
      </c>
      <c r="V139" s="257">
        <f t="shared" si="86"/>
        <v>525</v>
      </c>
      <c r="W139" s="257">
        <f t="shared" si="86"/>
        <v>525</v>
      </c>
      <c r="X139" s="257">
        <f t="shared" si="86"/>
        <v>525</v>
      </c>
      <c r="Y139" s="257">
        <f t="shared" si="86"/>
        <v>525</v>
      </c>
      <c r="Z139" s="257">
        <f t="shared" si="86"/>
        <v>525</v>
      </c>
      <c r="AA139" s="257">
        <f t="shared" si="86"/>
        <v>525</v>
      </c>
      <c r="AB139" s="256">
        <f t="shared" si="86"/>
        <v>525</v>
      </c>
      <c r="AC139" s="257">
        <f t="shared" si="86"/>
        <v>525</v>
      </c>
      <c r="AD139" s="257">
        <f t="shared" si="86"/>
        <v>525</v>
      </c>
      <c r="AE139" s="257">
        <f t="shared" si="86"/>
        <v>525</v>
      </c>
      <c r="AF139" s="257">
        <f t="shared" si="86"/>
        <v>525</v>
      </c>
      <c r="AG139" s="257">
        <f t="shared" si="86"/>
        <v>525</v>
      </c>
      <c r="AH139" s="257">
        <f t="shared" si="86"/>
        <v>525</v>
      </c>
      <c r="AI139" s="257">
        <f t="shared" si="86"/>
        <v>525</v>
      </c>
      <c r="AJ139" s="257">
        <f t="shared" si="86"/>
        <v>525</v>
      </c>
      <c r="AK139" s="257">
        <f t="shared" si="86"/>
        <v>525</v>
      </c>
      <c r="AL139" s="257">
        <f t="shared" si="86"/>
        <v>525</v>
      </c>
      <c r="AM139" s="257">
        <f t="shared" si="86"/>
        <v>525</v>
      </c>
    </row>
    <row r="140" spans="1:39" s="254" customFormat="1" hidden="1" outlineLevel="1" x14ac:dyDescent="0.25">
      <c r="B140" s="254" t="str">
        <f t="shared" si="77"/>
        <v>DagrenRestau</v>
      </c>
      <c r="C140" s="255" t="s">
        <v>256</v>
      </c>
      <c r="D140" s="256">
        <f t="shared" ref="D140:AM140" si="87">$P14</f>
        <v>525</v>
      </c>
      <c r="E140" s="257">
        <f t="shared" si="87"/>
        <v>525</v>
      </c>
      <c r="F140" s="257">
        <f t="shared" si="87"/>
        <v>525</v>
      </c>
      <c r="G140" s="257">
        <f t="shared" si="87"/>
        <v>525</v>
      </c>
      <c r="H140" s="257">
        <f t="shared" si="87"/>
        <v>525</v>
      </c>
      <c r="I140" s="257">
        <f t="shared" si="87"/>
        <v>525</v>
      </c>
      <c r="J140" s="257">
        <f t="shared" si="87"/>
        <v>525</v>
      </c>
      <c r="K140" s="257">
        <f t="shared" si="87"/>
        <v>525</v>
      </c>
      <c r="L140" s="257">
        <f t="shared" si="87"/>
        <v>525</v>
      </c>
      <c r="M140" s="257">
        <f t="shared" si="87"/>
        <v>525</v>
      </c>
      <c r="N140" s="257">
        <f t="shared" si="87"/>
        <v>525</v>
      </c>
      <c r="O140" s="257">
        <f t="shared" si="87"/>
        <v>525</v>
      </c>
      <c r="P140" s="256">
        <f t="shared" si="87"/>
        <v>525</v>
      </c>
      <c r="Q140" s="257">
        <f t="shared" si="87"/>
        <v>525</v>
      </c>
      <c r="R140" s="257">
        <f t="shared" si="87"/>
        <v>525</v>
      </c>
      <c r="S140" s="257">
        <f t="shared" si="87"/>
        <v>525</v>
      </c>
      <c r="T140" s="257">
        <f t="shared" si="87"/>
        <v>525</v>
      </c>
      <c r="U140" s="257">
        <f t="shared" si="87"/>
        <v>525</v>
      </c>
      <c r="V140" s="257">
        <f t="shared" si="87"/>
        <v>525</v>
      </c>
      <c r="W140" s="257">
        <f t="shared" si="87"/>
        <v>525</v>
      </c>
      <c r="X140" s="257">
        <f t="shared" si="87"/>
        <v>525</v>
      </c>
      <c r="Y140" s="257">
        <f t="shared" si="87"/>
        <v>525</v>
      </c>
      <c r="Z140" s="257">
        <f t="shared" si="87"/>
        <v>525</v>
      </c>
      <c r="AA140" s="257">
        <f t="shared" si="87"/>
        <v>525</v>
      </c>
      <c r="AB140" s="256">
        <f t="shared" si="87"/>
        <v>525</v>
      </c>
      <c r="AC140" s="257">
        <f t="shared" si="87"/>
        <v>525</v>
      </c>
      <c r="AD140" s="257">
        <f t="shared" si="87"/>
        <v>525</v>
      </c>
      <c r="AE140" s="257">
        <f t="shared" si="87"/>
        <v>525</v>
      </c>
      <c r="AF140" s="257">
        <f t="shared" si="87"/>
        <v>525</v>
      </c>
      <c r="AG140" s="257">
        <f t="shared" si="87"/>
        <v>525</v>
      </c>
      <c r="AH140" s="257">
        <f t="shared" si="87"/>
        <v>525</v>
      </c>
      <c r="AI140" s="257">
        <f t="shared" si="87"/>
        <v>525</v>
      </c>
      <c r="AJ140" s="257">
        <f t="shared" si="87"/>
        <v>525</v>
      </c>
      <c r="AK140" s="257">
        <f t="shared" si="87"/>
        <v>525</v>
      </c>
      <c r="AL140" s="257">
        <f t="shared" si="87"/>
        <v>525</v>
      </c>
      <c r="AM140" s="257">
        <f t="shared" si="87"/>
        <v>525</v>
      </c>
    </row>
    <row r="141" spans="1:39" s="254" customFormat="1" hidden="1" outlineLevel="1" x14ac:dyDescent="0.25">
      <c r="B141" s="254" t="str">
        <f t="shared" si="77"/>
        <v>Erhverv</v>
      </c>
      <c r="C141" s="255" t="s">
        <v>256</v>
      </c>
      <c r="D141" s="256">
        <f t="shared" ref="D141:AM141" si="88">$P15</f>
        <v>525</v>
      </c>
      <c r="E141" s="257">
        <f t="shared" si="88"/>
        <v>525</v>
      </c>
      <c r="F141" s="257">
        <f t="shared" si="88"/>
        <v>525</v>
      </c>
      <c r="G141" s="257">
        <f t="shared" si="88"/>
        <v>525</v>
      </c>
      <c r="H141" s="257">
        <f t="shared" si="88"/>
        <v>525</v>
      </c>
      <c r="I141" s="257">
        <f t="shared" si="88"/>
        <v>525</v>
      </c>
      <c r="J141" s="257">
        <f t="shared" si="88"/>
        <v>525</v>
      </c>
      <c r="K141" s="257">
        <f t="shared" si="88"/>
        <v>525</v>
      </c>
      <c r="L141" s="257">
        <f t="shared" si="88"/>
        <v>525</v>
      </c>
      <c r="M141" s="257">
        <f t="shared" si="88"/>
        <v>525</v>
      </c>
      <c r="N141" s="257">
        <f t="shared" si="88"/>
        <v>525</v>
      </c>
      <c r="O141" s="257">
        <f t="shared" si="88"/>
        <v>525</v>
      </c>
      <c r="P141" s="256">
        <f t="shared" si="88"/>
        <v>525</v>
      </c>
      <c r="Q141" s="257">
        <f t="shared" si="88"/>
        <v>525</v>
      </c>
      <c r="R141" s="257">
        <f t="shared" si="88"/>
        <v>525</v>
      </c>
      <c r="S141" s="257">
        <f t="shared" si="88"/>
        <v>525</v>
      </c>
      <c r="T141" s="257">
        <f t="shared" si="88"/>
        <v>525</v>
      </c>
      <c r="U141" s="257">
        <f t="shared" si="88"/>
        <v>525</v>
      </c>
      <c r="V141" s="257">
        <f t="shared" si="88"/>
        <v>525</v>
      </c>
      <c r="W141" s="257">
        <f t="shared" si="88"/>
        <v>525</v>
      </c>
      <c r="X141" s="257">
        <f t="shared" si="88"/>
        <v>525</v>
      </c>
      <c r="Y141" s="257">
        <f t="shared" si="88"/>
        <v>525</v>
      </c>
      <c r="Z141" s="257">
        <f t="shared" si="88"/>
        <v>525</v>
      </c>
      <c r="AA141" s="257">
        <f t="shared" si="88"/>
        <v>525</v>
      </c>
      <c r="AB141" s="256">
        <f t="shared" si="88"/>
        <v>525</v>
      </c>
      <c r="AC141" s="257">
        <f t="shared" si="88"/>
        <v>525</v>
      </c>
      <c r="AD141" s="257">
        <f t="shared" si="88"/>
        <v>525</v>
      </c>
      <c r="AE141" s="257">
        <f t="shared" si="88"/>
        <v>525</v>
      </c>
      <c r="AF141" s="257">
        <f t="shared" si="88"/>
        <v>525</v>
      </c>
      <c r="AG141" s="257">
        <f t="shared" si="88"/>
        <v>525</v>
      </c>
      <c r="AH141" s="257">
        <f t="shared" si="88"/>
        <v>525</v>
      </c>
      <c r="AI141" s="257">
        <f t="shared" si="88"/>
        <v>525</v>
      </c>
      <c r="AJ141" s="257">
        <f t="shared" si="88"/>
        <v>525</v>
      </c>
      <c r="AK141" s="257">
        <f t="shared" si="88"/>
        <v>525</v>
      </c>
      <c r="AL141" s="257">
        <f t="shared" si="88"/>
        <v>525</v>
      </c>
      <c r="AM141" s="257">
        <f t="shared" si="88"/>
        <v>525</v>
      </c>
    </row>
    <row r="142" spans="1:39" s="254" customFormat="1" hidden="1" outlineLevel="1" x14ac:dyDescent="0.25">
      <c r="B142" s="254" t="str">
        <f t="shared" si="77"/>
        <v>DagrenErhverv</v>
      </c>
      <c r="C142" s="255" t="s">
        <v>256</v>
      </c>
      <c r="D142" s="256">
        <f t="shared" ref="D142:AM142" si="89">$P16</f>
        <v>785</v>
      </c>
      <c r="E142" s="257">
        <f t="shared" si="89"/>
        <v>785</v>
      </c>
      <c r="F142" s="257">
        <f t="shared" si="89"/>
        <v>785</v>
      </c>
      <c r="G142" s="257">
        <f t="shared" si="89"/>
        <v>785</v>
      </c>
      <c r="H142" s="257">
        <f t="shared" si="89"/>
        <v>785</v>
      </c>
      <c r="I142" s="257">
        <f t="shared" si="89"/>
        <v>785</v>
      </c>
      <c r="J142" s="257">
        <f t="shared" si="89"/>
        <v>785</v>
      </c>
      <c r="K142" s="257">
        <f t="shared" si="89"/>
        <v>785</v>
      </c>
      <c r="L142" s="257">
        <f t="shared" si="89"/>
        <v>785</v>
      </c>
      <c r="M142" s="257">
        <f t="shared" si="89"/>
        <v>785</v>
      </c>
      <c r="N142" s="257">
        <f t="shared" si="89"/>
        <v>785</v>
      </c>
      <c r="O142" s="257">
        <f t="shared" si="89"/>
        <v>785</v>
      </c>
      <c r="P142" s="256">
        <f t="shared" si="89"/>
        <v>785</v>
      </c>
      <c r="Q142" s="257">
        <f t="shared" si="89"/>
        <v>785</v>
      </c>
      <c r="R142" s="257">
        <f t="shared" si="89"/>
        <v>785</v>
      </c>
      <c r="S142" s="257">
        <f t="shared" si="89"/>
        <v>785</v>
      </c>
      <c r="T142" s="257">
        <f t="shared" si="89"/>
        <v>785</v>
      </c>
      <c r="U142" s="257">
        <f t="shared" si="89"/>
        <v>785</v>
      </c>
      <c r="V142" s="257">
        <f t="shared" si="89"/>
        <v>785</v>
      </c>
      <c r="W142" s="257">
        <f t="shared" si="89"/>
        <v>785</v>
      </c>
      <c r="X142" s="257">
        <f t="shared" si="89"/>
        <v>785</v>
      </c>
      <c r="Y142" s="257">
        <f t="shared" si="89"/>
        <v>785</v>
      </c>
      <c r="Z142" s="257">
        <f t="shared" si="89"/>
        <v>785</v>
      </c>
      <c r="AA142" s="257">
        <f t="shared" si="89"/>
        <v>785</v>
      </c>
      <c r="AB142" s="256">
        <f t="shared" si="89"/>
        <v>785</v>
      </c>
      <c r="AC142" s="257">
        <f t="shared" si="89"/>
        <v>785</v>
      </c>
      <c r="AD142" s="257">
        <f t="shared" si="89"/>
        <v>785</v>
      </c>
      <c r="AE142" s="257">
        <f t="shared" si="89"/>
        <v>785</v>
      </c>
      <c r="AF142" s="257">
        <f t="shared" si="89"/>
        <v>785</v>
      </c>
      <c r="AG142" s="257">
        <f t="shared" si="89"/>
        <v>785</v>
      </c>
      <c r="AH142" s="257">
        <f t="shared" si="89"/>
        <v>785</v>
      </c>
      <c r="AI142" s="257">
        <f t="shared" si="89"/>
        <v>785</v>
      </c>
      <c r="AJ142" s="257">
        <f t="shared" si="89"/>
        <v>785</v>
      </c>
      <c r="AK142" s="257">
        <f t="shared" si="89"/>
        <v>785</v>
      </c>
      <c r="AL142" s="257">
        <f t="shared" si="89"/>
        <v>785</v>
      </c>
      <c r="AM142" s="257">
        <f t="shared" si="89"/>
        <v>785</v>
      </c>
    </row>
    <row r="143" spans="1:39" s="254" customFormat="1" hidden="1" outlineLevel="1" x14ac:dyDescent="0.25">
      <c r="B143" s="254" t="str">
        <f t="shared" si="77"/>
        <v>HandelKontor</v>
      </c>
      <c r="C143" s="255" t="s">
        <v>256</v>
      </c>
      <c r="D143" s="256">
        <f t="shared" ref="D143:AM143" si="90">$P17</f>
        <v>0</v>
      </c>
      <c r="E143" s="257">
        <f t="shared" si="90"/>
        <v>0</v>
      </c>
      <c r="F143" s="257">
        <f t="shared" si="90"/>
        <v>0</v>
      </c>
      <c r="G143" s="257">
        <f t="shared" si="90"/>
        <v>0</v>
      </c>
      <c r="H143" s="257">
        <f t="shared" si="90"/>
        <v>0</v>
      </c>
      <c r="I143" s="257">
        <f t="shared" si="90"/>
        <v>0</v>
      </c>
      <c r="J143" s="257">
        <f t="shared" si="90"/>
        <v>0</v>
      </c>
      <c r="K143" s="257">
        <f t="shared" si="90"/>
        <v>0</v>
      </c>
      <c r="L143" s="257">
        <f t="shared" si="90"/>
        <v>0</v>
      </c>
      <c r="M143" s="257">
        <f t="shared" si="90"/>
        <v>0</v>
      </c>
      <c r="N143" s="257">
        <f t="shared" si="90"/>
        <v>0</v>
      </c>
      <c r="O143" s="257">
        <f t="shared" si="90"/>
        <v>0</v>
      </c>
      <c r="P143" s="256">
        <f t="shared" si="90"/>
        <v>0</v>
      </c>
      <c r="Q143" s="257">
        <f t="shared" si="90"/>
        <v>0</v>
      </c>
      <c r="R143" s="257">
        <f t="shared" si="90"/>
        <v>0</v>
      </c>
      <c r="S143" s="257">
        <f t="shared" si="90"/>
        <v>0</v>
      </c>
      <c r="T143" s="257">
        <f t="shared" si="90"/>
        <v>0</v>
      </c>
      <c r="U143" s="257">
        <f t="shared" si="90"/>
        <v>0</v>
      </c>
      <c r="V143" s="257">
        <f t="shared" si="90"/>
        <v>0</v>
      </c>
      <c r="W143" s="257">
        <f t="shared" si="90"/>
        <v>0</v>
      </c>
      <c r="X143" s="257">
        <f t="shared" si="90"/>
        <v>0</v>
      </c>
      <c r="Y143" s="257">
        <f t="shared" si="90"/>
        <v>0</v>
      </c>
      <c r="Z143" s="257">
        <f t="shared" si="90"/>
        <v>0</v>
      </c>
      <c r="AA143" s="257">
        <f t="shared" si="90"/>
        <v>0</v>
      </c>
      <c r="AB143" s="256">
        <f t="shared" si="90"/>
        <v>0</v>
      </c>
      <c r="AC143" s="257">
        <f t="shared" si="90"/>
        <v>0</v>
      </c>
      <c r="AD143" s="257">
        <f t="shared" si="90"/>
        <v>0</v>
      </c>
      <c r="AE143" s="257">
        <f t="shared" si="90"/>
        <v>0</v>
      </c>
      <c r="AF143" s="257">
        <f t="shared" si="90"/>
        <v>0</v>
      </c>
      <c r="AG143" s="257">
        <f t="shared" si="90"/>
        <v>0</v>
      </c>
      <c r="AH143" s="257">
        <f t="shared" si="90"/>
        <v>0</v>
      </c>
      <c r="AI143" s="257">
        <f t="shared" si="90"/>
        <v>0</v>
      </c>
      <c r="AJ143" s="257">
        <f t="shared" si="90"/>
        <v>0</v>
      </c>
      <c r="AK143" s="257">
        <f t="shared" si="90"/>
        <v>0</v>
      </c>
      <c r="AL143" s="257">
        <f t="shared" si="90"/>
        <v>0</v>
      </c>
      <c r="AM143" s="257">
        <f t="shared" si="90"/>
        <v>0</v>
      </c>
    </row>
    <row r="144" spans="1:39" s="254" customFormat="1" hidden="1" outlineLevel="1" x14ac:dyDescent="0.25">
      <c r="B144" s="254" t="str">
        <f t="shared" si="77"/>
        <v>Privat</v>
      </c>
      <c r="C144" s="255" t="s">
        <v>256</v>
      </c>
      <c r="D144" s="256">
        <f t="shared" ref="D144:AM144" si="91">$P18</f>
        <v>525</v>
      </c>
      <c r="E144" s="257">
        <f t="shared" si="91"/>
        <v>525</v>
      </c>
      <c r="F144" s="257">
        <f t="shared" si="91"/>
        <v>525</v>
      </c>
      <c r="G144" s="257">
        <f t="shared" si="91"/>
        <v>525</v>
      </c>
      <c r="H144" s="257">
        <f t="shared" si="91"/>
        <v>525</v>
      </c>
      <c r="I144" s="257">
        <f t="shared" si="91"/>
        <v>525</v>
      </c>
      <c r="J144" s="257">
        <f t="shared" si="91"/>
        <v>525</v>
      </c>
      <c r="K144" s="257">
        <f t="shared" si="91"/>
        <v>525</v>
      </c>
      <c r="L144" s="257">
        <f t="shared" si="91"/>
        <v>525</v>
      </c>
      <c r="M144" s="257">
        <f t="shared" si="91"/>
        <v>525</v>
      </c>
      <c r="N144" s="257">
        <f t="shared" si="91"/>
        <v>525</v>
      </c>
      <c r="O144" s="257">
        <f t="shared" si="91"/>
        <v>525</v>
      </c>
      <c r="P144" s="256">
        <f t="shared" si="91"/>
        <v>525</v>
      </c>
      <c r="Q144" s="257">
        <f t="shared" si="91"/>
        <v>525</v>
      </c>
      <c r="R144" s="257">
        <f t="shared" si="91"/>
        <v>525</v>
      </c>
      <c r="S144" s="257">
        <f t="shared" si="91"/>
        <v>525</v>
      </c>
      <c r="T144" s="257">
        <f t="shared" si="91"/>
        <v>525</v>
      </c>
      <c r="U144" s="257">
        <f t="shared" si="91"/>
        <v>525</v>
      </c>
      <c r="V144" s="257">
        <f t="shared" si="91"/>
        <v>525</v>
      </c>
      <c r="W144" s="257">
        <f t="shared" si="91"/>
        <v>525</v>
      </c>
      <c r="X144" s="257">
        <f t="shared" si="91"/>
        <v>525</v>
      </c>
      <c r="Y144" s="257">
        <f t="shared" si="91"/>
        <v>525</v>
      </c>
      <c r="Z144" s="257">
        <f t="shared" si="91"/>
        <v>525</v>
      </c>
      <c r="AA144" s="257">
        <f t="shared" si="91"/>
        <v>525</v>
      </c>
      <c r="AB144" s="256">
        <f t="shared" si="91"/>
        <v>525</v>
      </c>
      <c r="AC144" s="257">
        <f t="shared" si="91"/>
        <v>525</v>
      </c>
      <c r="AD144" s="257">
        <f t="shared" si="91"/>
        <v>525</v>
      </c>
      <c r="AE144" s="257">
        <f t="shared" si="91"/>
        <v>525</v>
      </c>
      <c r="AF144" s="257">
        <f t="shared" si="91"/>
        <v>525</v>
      </c>
      <c r="AG144" s="257">
        <f t="shared" si="91"/>
        <v>525</v>
      </c>
      <c r="AH144" s="257">
        <f t="shared" si="91"/>
        <v>525</v>
      </c>
      <c r="AI144" s="257">
        <f t="shared" si="91"/>
        <v>525</v>
      </c>
      <c r="AJ144" s="257">
        <f t="shared" si="91"/>
        <v>525</v>
      </c>
      <c r="AK144" s="257">
        <f t="shared" si="91"/>
        <v>525</v>
      </c>
      <c r="AL144" s="257">
        <f t="shared" si="91"/>
        <v>525</v>
      </c>
      <c r="AM144" s="257">
        <f t="shared" si="91"/>
        <v>525</v>
      </c>
    </row>
    <row r="145" spans="1:39" s="254" customFormat="1" hidden="1" outlineLevel="1" x14ac:dyDescent="0.25">
      <c r="B145" s="254" t="str">
        <f t="shared" si="77"/>
        <v>TyskRest</v>
      </c>
      <c r="C145" s="255" t="s">
        <v>256</v>
      </c>
      <c r="D145" s="256">
        <f t="shared" ref="D145:AM145" si="92">$P19</f>
        <v>400</v>
      </c>
      <c r="E145" s="257">
        <f t="shared" si="92"/>
        <v>400</v>
      </c>
      <c r="F145" s="257">
        <f t="shared" si="92"/>
        <v>400</v>
      </c>
      <c r="G145" s="257">
        <f t="shared" si="92"/>
        <v>400</v>
      </c>
      <c r="H145" s="257">
        <f t="shared" si="92"/>
        <v>400</v>
      </c>
      <c r="I145" s="257">
        <f t="shared" si="92"/>
        <v>400</v>
      </c>
      <c r="J145" s="257">
        <f t="shared" si="92"/>
        <v>400</v>
      </c>
      <c r="K145" s="257">
        <f t="shared" si="92"/>
        <v>400</v>
      </c>
      <c r="L145" s="257">
        <f t="shared" si="92"/>
        <v>400</v>
      </c>
      <c r="M145" s="257">
        <f t="shared" si="92"/>
        <v>400</v>
      </c>
      <c r="N145" s="257">
        <f t="shared" si="92"/>
        <v>400</v>
      </c>
      <c r="O145" s="257">
        <f t="shared" si="92"/>
        <v>400</v>
      </c>
      <c r="P145" s="256">
        <f t="shared" si="92"/>
        <v>400</v>
      </c>
      <c r="Q145" s="257">
        <f t="shared" si="92"/>
        <v>400</v>
      </c>
      <c r="R145" s="257">
        <f t="shared" si="92"/>
        <v>400</v>
      </c>
      <c r="S145" s="257">
        <f t="shared" si="92"/>
        <v>400</v>
      </c>
      <c r="T145" s="257">
        <f t="shared" si="92"/>
        <v>400</v>
      </c>
      <c r="U145" s="257">
        <f t="shared" si="92"/>
        <v>400</v>
      </c>
      <c r="V145" s="257">
        <f t="shared" si="92"/>
        <v>400</v>
      </c>
      <c r="W145" s="257">
        <f t="shared" si="92"/>
        <v>400</v>
      </c>
      <c r="X145" s="257">
        <f t="shared" si="92"/>
        <v>400</v>
      </c>
      <c r="Y145" s="257">
        <f t="shared" si="92"/>
        <v>400</v>
      </c>
      <c r="Z145" s="257">
        <f t="shared" si="92"/>
        <v>400</v>
      </c>
      <c r="AA145" s="257">
        <f t="shared" si="92"/>
        <v>400</v>
      </c>
      <c r="AB145" s="256">
        <f t="shared" si="92"/>
        <v>400</v>
      </c>
      <c r="AC145" s="257">
        <f t="shared" si="92"/>
        <v>400</v>
      </c>
      <c r="AD145" s="257">
        <f t="shared" si="92"/>
        <v>400</v>
      </c>
      <c r="AE145" s="257">
        <f t="shared" si="92"/>
        <v>400</v>
      </c>
      <c r="AF145" s="257">
        <f t="shared" si="92"/>
        <v>400</v>
      </c>
      <c r="AG145" s="257">
        <f t="shared" si="92"/>
        <v>400</v>
      </c>
      <c r="AH145" s="257">
        <f t="shared" si="92"/>
        <v>400</v>
      </c>
      <c r="AI145" s="257">
        <f t="shared" si="92"/>
        <v>400</v>
      </c>
      <c r="AJ145" s="257">
        <f t="shared" si="92"/>
        <v>400</v>
      </c>
      <c r="AK145" s="257">
        <f t="shared" si="92"/>
        <v>400</v>
      </c>
      <c r="AL145" s="257">
        <f t="shared" si="92"/>
        <v>400</v>
      </c>
      <c r="AM145" s="257">
        <f t="shared" si="92"/>
        <v>400</v>
      </c>
    </row>
    <row r="146" spans="1:39" s="254" customFormat="1" hidden="1" outlineLevel="1" x14ac:dyDescent="0.25">
      <c r="B146" s="254" t="str">
        <f t="shared" si="77"/>
        <v>PolskRest</v>
      </c>
      <c r="C146" s="255" t="s">
        <v>256</v>
      </c>
      <c r="D146" s="256">
        <f t="shared" ref="D146:AM146" si="93">$P20</f>
        <v>515</v>
      </c>
      <c r="E146" s="257">
        <f t="shared" si="93"/>
        <v>515</v>
      </c>
      <c r="F146" s="257">
        <f t="shared" si="93"/>
        <v>515</v>
      </c>
      <c r="G146" s="257">
        <f t="shared" si="93"/>
        <v>515</v>
      </c>
      <c r="H146" s="257">
        <f t="shared" si="93"/>
        <v>515</v>
      </c>
      <c r="I146" s="257">
        <f t="shared" si="93"/>
        <v>515</v>
      </c>
      <c r="J146" s="257">
        <f t="shared" si="93"/>
        <v>515</v>
      </c>
      <c r="K146" s="257">
        <f t="shared" si="93"/>
        <v>515</v>
      </c>
      <c r="L146" s="257">
        <f t="shared" si="93"/>
        <v>515</v>
      </c>
      <c r="M146" s="257">
        <f t="shared" si="93"/>
        <v>515</v>
      </c>
      <c r="N146" s="257">
        <f t="shared" si="93"/>
        <v>515</v>
      </c>
      <c r="O146" s="257">
        <f t="shared" si="93"/>
        <v>515</v>
      </c>
      <c r="P146" s="256">
        <f t="shared" si="93"/>
        <v>515</v>
      </c>
      <c r="Q146" s="257">
        <f t="shared" si="93"/>
        <v>515</v>
      </c>
      <c r="R146" s="257">
        <f t="shared" si="93"/>
        <v>515</v>
      </c>
      <c r="S146" s="257">
        <f t="shared" si="93"/>
        <v>515</v>
      </c>
      <c r="T146" s="257">
        <f t="shared" si="93"/>
        <v>515</v>
      </c>
      <c r="U146" s="257">
        <f t="shared" si="93"/>
        <v>515</v>
      </c>
      <c r="V146" s="257">
        <f t="shared" si="93"/>
        <v>515</v>
      </c>
      <c r="W146" s="257">
        <f t="shared" si="93"/>
        <v>515</v>
      </c>
      <c r="X146" s="257">
        <f t="shared" si="93"/>
        <v>515</v>
      </c>
      <c r="Y146" s="257">
        <f t="shared" si="93"/>
        <v>515</v>
      </c>
      <c r="Z146" s="257">
        <f t="shared" si="93"/>
        <v>515</v>
      </c>
      <c r="AA146" s="257">
        <f t="shared" si="93"/>
        <v>515</v>
      </c>
      <c r="AB146" s="256">
        <f t="shared" si="93"/>
        <v>515</v>
      </c>
      <c r="AC146" s="257">
        <f t="shared" si="93"/>
        <v>515</v>
      </c>
      <c r="AD146" s="257">
        <f t="shared" si="93"/>
        <v>515</v>
      </c>
      <c r="AE146" s="257">
        <f t="shared" si="93"/>
        <v>515</v>
      </c>
      <c r="AF146" s="257">
        <f t="shared" si="93"/>
        <v>515</v>
      </c>
      <c r="AG146" s="257">
        <f t="shared" si="93"/>
        <v>515</v>
      </c>
      <c r="AH146" s="257">
        <f t="shared" si="93"/>
        <v>515</v>
      </c>
      <c r="AI146" s="257">
        <f t="shared" si="93"/>
        <v>515</v>
      </c>
      <c r="AJ146" s="257">
        <f t="shared" si="93"/>
        <v>515</v>
      </c>
      <c r="AK146" s="257">
        <f t="shared" si="93"/>
        <v>515</v>
      </c>
      <c r="AL146" s="257">
        <f t="shared" si="93"/>
        <v>515</v>
      </c>
      <c r="AM146" s="257">
        <f t="shared" si="93"/>
        <v>515</v>
      </c>
    </row>
    <row r="147" spans="1:39" s="254" customFormat="1" hidden="1" outlineLevel="1" x14ac:dyDescent="0.25">
      <c r="B147" s="254" t="str">
        <f t="shared" si="77"/>
        <v>PcbTrae</v>
      </c>
      <c r="C147" s="255" t="s">
        <v>256</v>
      </c>
      <c r="D147" s="256">
        <f t="shared" ref="D147:AM147" si="94">$P21</f>
        <v>0</v>
      </c>
      <c r="E147" s="257">
        <f t="shared" si="94"/>
        <v>0</v>
      </c>
      <c r="F147" s="257">
        <f t="shared" si="94"/>
        <v>0</v>
      </c>
      <c r="G147" s="257">
        <f t="shared" si="94"/>
        <v>0</v>
      </c>
      <c r="H147" s="257">
        <f t="shared" si="94"/>
        <v>0</v>
      </c>
      <c r="I147" s="257">
        <f t="shared" si="94"/>
        <v>0</v>
      </c>
      <c r="J147" s="257">
        <f t="shared" si="94"/>
        <v>0</v>
      </c>
      <c r="K147" s="257">
        <f t="shared" si="94"/>
        <v>0</v>
      </c>
      <c r="L147" s="257">
        <f t="shared" si="94"/>
        <v>0</v>
      </c>
      <c r="M147" s="257">
        <f t="shared" si="94"/>
        <v>0</v>
      </c>
      <c r="N147" s="257">
        <f t="shared" si="94"/>
        <v>0</v>
      </c>
      <c r="O147" s="257">
        <f t="shared" si="94"/>
        <v>0</v>
      </c>
      <c r="P147" s="256">
        <f t="shared" si="94"/>
        <v>0</v>
      </c>
      <c r="Q147" s="257">
        <f t="shared" si="94"/>
        <v>0</v>
      </c>
      <c r="R147" s="257">
        <f t="shared" si="94"/>
        <v>0</v>
      </c>
      <c r="S147" s="257">
        <f t="shared" si="94"/>
        <v>0</v>
      </c>
      <c r="T147" s="257">
        <f t="shared" si="94"/>
        <v>0</v>
      </c>
      <c r="U147" s="257">
        <f t="shared" si="94"/>
        <v>0</v>
      </c>
      <c r="V147" s="257">
        <f t="shared" si="94"/>
        <v>0</v>
      </c>
      <c r="W147" s="257">
        <f t="shared" si="94"/>
        <v>0</v>
      </c>
      <c r="X147" s="257">
        <f t="shared" si="94"/>
        <v>0</v>
      </c>
      <c r="Y147" s="257">
        <f t="shared" si="94"/>
        <v>0</v>
      </c>
      <c r="Z147" s="257">
        <f t="shared" si="94"/>
        <v>0</v>
      </c>
      <c r="AA147" s="257">
        <f t="shared" si="94"/>
        <v>0</v>
      </c>
      <c r="AB147" s="256">
        <f t="shared" si="94"/>
        <v>0</v>
      </c>
      <c r="AC147" s="257">
        <f t="shared" si="94"/>
        <v>0</v>
      </c>
      <c r="AD147" s="257">
        <f t="shared" si="94"/>
        <v>0</v>
      </c>
      <c r="AE147" s="257">
        <f t="shared" si="94"/>
        <v>0</v>
      </c>
      <c r="AF147" s="257">
        <f t="shared" si="94"/>
        <v>0</v>
      </c>
      <c r="AG147" s="257">
        <f t="shared" si="94"/>
        <v>0</v>
      </c>
      <c r="AH147" s="257">
        <f t="shared" si="94"/>
        <v>0</v>
      </c>
      <c r="AI147" s="257">
        <f t="shared" si="94"/>
        <v>0</v>
      </c>
      <c r="AJ147" s="257">
        <f t="shared" si="94"/>
        <v>0</v>
      </c>
      <c r="AK147" s="257">
        <f t="shared" si="94"/>
        <v>0</v>
      </c>
      <c r="AL147" s="257">
        <f t="shared" si="94"/>
        <v>0</v>
      </c>
      <c r="AM147" s="257">
        <f t="shared" si="94"/>
        <v>0</v>
      </c>
    </row>
    <row r="148" spans="1:39" s="254" customFormat="1" hidden="1" outlineLevel="1" x14ac:dyDescent="0.25">
      <c r="B148" s="254" t="str">
        <f t="shared" si="77"/>
        <v>TraeRekv</v>
      </c>
      <c r="C148" s="255" t="s">
        <v>256</v>
      </c>
      <c r="D148" s="256">
        <f t="shared" ref="D148:AM148" si="95">$P22</f>
        <v>0</v>
      </c>
      <c r="E148" s="257">
        <f t="shared" si="95"/>
        <v>0</v>
      </c>
      <c r="F148" s="257">
        <f t="shared" si="95"/>
        <v>0</v>
      </c>
      <c r="G148" s="257">
        <f t="shared" si="95"/>
        <v>0</v>
      </c>
      <c r="H148" s="257">
        <f t="shared" si="95"/>
        <v>0</v>
      </c>
      <c r="I148" s="257">
        <f t="shared" si="95"/>
        <v>0</v>
      </c>
      <c r="J148" s="257">
        <f t="shared" si="95"/>
        <v>0</v>
      </c>
      <c r="K148" s="257">
        <f t="shared" si="95"/>
        <v>0</v>
      </c>
      <c r="L148" s="257">
        <f t="shared" si="95"/>
        <v>0</v>
      </c>
      <c r="M148" s="257">
        <f t="shared" si="95"/>
        <v>0</v>
      </c>
      <c r="N148" s="257">
        <f t="shared" si="95"/>
        <v>0</v>
      </c>
      <c r="O148" s="257">
        <f t="shared" si="95"/>
        <v>0</v>
      </c>
      <c r="P148" s="256">
        <f t="shared" si="95"/>
        <v>0</v>
      </c>
      <c r="Q148" s="257">
        <f t="shared" si="95"/>
        <v>0</v>
      </c>
      <c r="R148" s="257">
        <f t="shared" si="95"/>
        <v>0</v>
      </c>
      <c r="S148" s="257">
        <f t="shared" si="95"/>
        <v>0</v>
      </c>
      <c r="T148" s="257">
        <f t="shared" si="95"/>
        <v>0</v>
      </c>
      <c r="U148" s="257">
        <f t="shared" si="95"/>
        <v>0</v>
      </c>
      <c r="V148" s="257">
        <f t="shared" si="95"/>
        <v>0</v>
      </c>
      <c r="W148" s="257">
        <f t="shared" si="95"/>
        <v>0</v>
      </c>
      <c r="X148" s="257">
        <f t="shared" si="95"/>
        <v>0</v>
      </c>
      <c r="Y148" s="257">
        <f t="shared" si="95"/>
        <v>0</v>
      </c>
      <c r="Z148" s="257">
        <f t="shared" si="95"/>
        <v>0</v>
      </c>
      <c r="AA148" s="257">
        <f t="shared" si="95"/>
        <v>0</v>
      </c>
      <c r="AB148" s="256">
        <f t="shared" si="95"/>
        <v>0</v>
      </c>
      <c r="AC148" s="257">
        <f t="shared" si="95"/>
        <v>0</v>
      </c>
      <c r="AD148" s="257">
        <f t="shared" si="95"/>
        <v>0</v>
      </c>
      <c r="AE148" s="257">
        <f t="shared" si="95"/>
        <v>0</v>
      </c>
      <c r="AF148" s="257">
        <f t="shared" si="95"/>
        <v>0</v>
      </c>
      <c r="AG148" s="257">
        <f t="shared" si="95"/>
        <v>0</v>
      </c>
      <c r="AH148" s="257">
        <f t="shared" si="95"/>
        <v>0</v>
      </c>
      <c r="AI148" s="257">
        <f t="shared" si="95"/>
        <v>0</v>
      </c>
      <c r="AJ148" s="257">
        <f t="shared" si="95"/>
        <v>0</v>
      </c>
      <c r="AK148" s="257">
        <f t="shared" si="95"/>
        <v>0</v>
      </c>
      <c r="AL148" s="257">
        <f t="shared" si="95"/>
        <v>0</v>
      </c>
      <c r="AM148" s="257">
        <f t="shared" si="95"/>
        <v>0</v>
      </c>
    </row>
    <row r="149" spans="1:39" s="254" customFormat="1" hidden="1" outlineLevel="1" x14ac:dyDescent="0.25">
      <c r="B149" s="254" t="str">
        <f t="shared" si="77"/>
        <v>Halm</v>
      </c>
      <c r="C149" s="255" t="s">
        <v>256</v>
      </c>
      <c r="D149" s="256">
        <f t="shared" ref="D149:AM149" si="96">$P23</f>
        <v>0</v>
      </c>
      <c r="E149" s="257">
        <f t="shared" si="96"/>
        <v>0</v>
      </c>
      <c r="F149" s="257">
        <f t="shared" si="96"/>
        <v>0</v>
      </c>
      <c r="G149" s="257">
        <f t="shared" si="96"/>
        <v>0</v>
      </c>
      <c r="H149" s="257">
        <f t="shared" si="96"/>
        <v>0</v>
      </c>
      <c r="I149" s="257">
        <f t="shared" si="96"/>
        <v>0</v>
      </c>
      <c r="J149" s="257">
        <f t="shared" si="96"/>
        <v>0</v>
      </c>
      <c r="K149" s="257">
        <f t="shared" si="96"/>
        <v>0</v>
      </c>
      <c r="L149" s="257">
        <f t="shared" si="96"/>
        <v>0</v>
      </c>
      <c r="M149" s="257">
        <f t="shared" si="96"/>
        <v>0</v>
      </c>
      <c r="N149" s="257">
        <f t="shared" si="96"/>
        <v>0</v>
      </c>
      <c r="O149" s="257">
        <f t="shared" si="96"/>
        <v>0</v>
      </c>
      <c r="P149" s="256">
        <f t="shared" si="96"/>
        <v>0</v>
      </c>
      <c r="Q149" s="257">
        <f t="shared" si="96"/>
        <v>0</v>
      </c>
      <c r="R149" s="257">
        <f t="shared" si="96"/>
        <v>0</v>
      </c>
      <c r="S149" s="257">
        <f t="shared" si="96"/>
        <v>0</v>
      </c>
      <c r="T149" s="257">
        <f t="shared" si="96"/>
        <v>0</v>
      </c>
      <c r="U149" s="257">
        <f t="shared" si="96"/>
        <v>0</v>
      </c>
      <c r="V149" s="257">
        <f t="shared" si="96"/>
        <v>0</v>
      </c>
      <c r="W149" s="257">
        <f t="shared" si="96"/>
        <v>0</v>
      </c>
      <c r="X149" s="257">
        <f t="shared" si="96"/>
        <v>0</v>
      </c>
      <c r="Y149" s="257">
        <f t="shared" si="96"/>
        <v>0</v>
      </c>
      <c r="Z149" s="257">
        <f t="shared" si="96"/>
        <v>0</v>
      </c>
      <c r="AA149" s="257">
        <f t="shared" si="96"/>
        <v>0</v>
      </c>
      <c r="AB149" s="256">
        <f t="shared" si="96"/>
        <v>0</v>
      </c>
      <c r="AC149" s="257">
        <f t="shared" si="96"/>
        <v>0</v>
      </c>
      <c r="AD149" s="257">
        <f t="shared" si="96"/>
        <v>0</v>
      </c>
      <c r="AE149" s="257">
        <f t="shared" si="96"/>
        <v>0</v>
      </c>
      <c r="AF149" s="257">
        <f t="shared" si="96"/>
        <v>0</v>
      </c>
      <c r="AG149" s="257">
        <f t="shared" si="96"/>
        <v>0</v>
      </c>
      <c r="AH149" s="257">
        <f t="shared" si="96"/>
        <v>0</v>
      </c>
      <c r="AI149" s="257">
        <f t="shared" si="96"/>
        <v>0</v>
      </c>
      <c r="AJ149" s="257">
        <f t="shared" si="96"/>
        <v>0</v>
      </c>
      <c r="AK149" s="257">
        <f t="shared" si="96"/>
        <v>0</v>
      </c>
      <c r="AL149" s="257">
        <f t="shared" si="96"/>
        <v>0</v>
      </c>
      <c r="AM149" s="257">
        <f t="shared" si="96"/>
        <v>0</v>
      </c>
    </row>
    <row r="150" spans="1:39" s="254" customFormat="1" hidden="1" outlineLevel="1" x14ac:dyDescent="0.25">
      <c r="A150" s="258"/>
      <c r="B150" s="254" t="str">
        <f t="shared" si="77"/>
        <v>Pulver</v>
      </c>
      <c r="C150" s="255" t="s">
        <v>256</v>
      </c>
      <c r="D150" s="256">
        <f t="shared" ref="D150:AM150" si="97">$P24</f>
        <v>685</v>
      </c>
      <c r="E150" s="257">
        <f t="shared" si="97"/>
        <v>685</v>
      </c>
      <c r="F150" s="257">
        <f t="shared" si="97"/>
        <v>685</v>
      </c>
      <c r="G150" s="257">
        <f t="shared" si="97"/>
        <v>685</v>
      </c>
      <c r="H150" s="257">
        <f t="shared" si="97"/>
        <v>685</v>
      </c>
      <c r="I150" s="257">
        <f t="shared" si="97"/>
        <v>685</v>
      </c>
      <c r="J150" s="257">
        <f t="shared" si="97"/>
        <v>685</v>
      </c>
      <c r="K150" s="257">
        <f t="shared" si="97"/>
        <v>685</v>
      </c>
      <c r="L150" s="257">
        <f t="shared" si="97"/>
        <v>685</v>
      </c>
      <c r="M150" s="257">
        <f t="shared" si="97"/>
        <v>685</v>
      </c>
      <c r="N150" s="257">
        <f t="shared" si="97"/>
        <v>685</v>
      </c>
      <c r="O150" s="257">
        <f t="shared" si="97"/>
        <v>685</v>
      </c>
      <c r="P150" s="256">
        <f t="shared" si="97"/>
        <v>685</v>
      </c>
      <c r="Q150" s="257">
        <f t="shared" si="97"/>
        <v>685</v>
      </c>
      <c r="R150" s="257">
        <f t="shared" si="97"/>
        <v>685</v>
      </c>
      <c r="S150" s="257">
        <f t="shared" si="97"/>
        <v>685</v>
      </c>
      <c r="T150" s="257">
        <f t="shared" si="97"/>
        <v>685</v>
      </c>
      <c r="U150" s="257">
        <f t="shared" si="97"/>
        <v>685</v>
      </c>
      <c r="V150" s="257">
        <f t="shared" si="97"/>
        <v>685</v>
      </c>
      <c r="W150" s="257">
        <f t="shared" si="97"/>
        <v>685</v>
      </c>
      <c r="X150" s="257">
        <f t="shared" si="97"/>
        <v>685</v>
      </c>
      <c r="Y150" s="257">
        <f t="shared" si="97"/>
        <v>685</v>
      </c>
      <c r="Z150" s="257">
        <f t="shared" si="97"/>
        <v>685</v>
      </c>
      <c r="AA150" s="257">
        <f t="shared" si="97"/>
        <v>685</v>
      </c>
      <c r="AB150" s="256">
        <f t="shared" si="97"/>
        <v>685</v>
      </c>
      <c r="AC150" s="257">
        <f t="shared" si="97"/>
        <v>685</v>
      </c>
      <c r="AD150" s="257">
        <f t="shared" si="97"/>
        <v>685</v>
      </c>
      <c r="AE150" s="257">
        <f t="shared" si="97"/>
        <v>685</v>
      </c>
      <c r="AF150" s="257">
        <f t="shared" si="97"/>
        <v>685</v>
      </c>
      <c r="AG150" s="257">
        <f t="shared" si="97"/>
        <v>685</v>
      </c>
      <c r="AH150" s="257">
        <f t="shared" si="97"/>
        <v>685</v>
      </c>
      <c r="AI150" s="257">
        <f t="shared" si="97"/>
        <v>685</v>
      </c>
      <c r="AJ150" s="257">
        <f t="shared" si="97"/>
        <v>685</v>
      </c>
      <c r="AK150" s="257">
        <f t="shared" si="97"/>
        <v>685</v>
      </c>
      <c r="AL150" s="257">
        <f t="shared" si="97"/>
        <v>685</v>
      </c>
      <c r="AM150" s="257">
        <f t="shared" si="97"/>
        <v>685</v>
      </c>
    </row>
    <row r="151" spans="1:39" s="254" customFormat="1" hidden="1" outlineLevel="1" x14ac:dyDescent="0.25">
      <c r="A151" s="258"/>
      <c r="B151" s="254" t="str">
        <f t="shared" si="77"/>
        <v>FlisAffald</v>
      </c>
      <c r="C151" s="255" t="s">
        <v>256</v>
      </c>
      <c r="D151" s="256">
        <f t="shared" ref="D151:AM151" si="98">$P25</f>
        <v>155</v>
      </c>
      <c r="E151" s="257">
        <f t="shared" si="98"/>
        <v>155</v>
      </c>
      <c r="F151" s="257">
        <f t="shared" si="98"/>
        <v>155</v>
      </c>
      <c r="G151" s="257">
        <f t="shared" si="98"/>
        <v>155</v>
      </c>
      <c r="H151" s="257">
        <f t="shared" si="98"/>
        <v>155</v>
      </c>
      <c r="I151" s="257">
        <f t="shared" si="98"/>
        <v>155</v>
      </c>
      <c r="J151" s="257">
        <f t="shared" si="98"/>
        <v>155</v>
      </c>
      <c r="K151" s="257">
        <f t="shared" si="98"/>
        <v>155</v>
      </c>
      <c r="L151" s="257">
        <f t="shared" si="98"/>
        <v>155</v>
      </c>
      <c r="M151" s="257">
        <f t="shared" si="98"/>
        <v>155</v>
      </c>
      <c r="N151" s="257">
        <f t="shared" si="98"/>
        <v>155</v>
      </c>
      <c r="O151" s="257">
        <f t="shared" si="98"/>
        <v>155</v>
      </c>
      <c r="P151" s="256">
        <f t="shared" si="98"/>
        <v>155</v>
      </c>
      <c r="Q151" s="257">
        <f t="shared" si="98"/>
        <v>155</v>
      </c>
      <c r="R151" s="257">
        <f t="shared" si="98"/>
        <v>155</v>
      </c>
      <c r="S151" s="257">
        <f t="shared" si="98"/>
        <v>155</v>
      </c>
      <c r="T151" s="257">
        <f t="shared" si="98"/>
        <v>155</v>
      </c>
      <c r="U151" s="257">
        <f t="shared" si="98"/>
        <v>155</v>
      </c>
      <c r="V151" s="257">
        <f t="shared" si="98"/>
        <v>155</v>
      </c>
      <c r="W151" s="257">
        <f t="shared" si="98"/>
        <v>155</v>
      </c>
      <c r="X151" s="257">
        <f t="shared" si="98"/>
        <v>155</v>
      </c>
      <c r="Y151" s="257">
        <f t="shared" si="98"/>
        <v>155</v>
      </c>
      <c r="Z151" s="257">
        <f t="shared" si="98"/>
        <v>155</v>
      </c>
      <c r="AA151" s="257">
        <f t="shared" si="98"/>
        <v>155</v>
      </c>
      <c r="AB151" s="256">
        <f t="shared" si="98"/>
        <v>155</v>
      </c>
      <c r="AC151" s="257">
        <f t="shared" si="98"/>
        <v>155</v>
      </c>
      <c r="AD151" s="257">
        <f t="shared" si="98"/>
        <v>155</v>
      </c>
      <c r="AE151" s="257">
        <f t="shared" si="98"/>
        <v>155</v>
      </c>
      <c r="AF151" s="257">
        <f t="shared" si="98"/>
        <v>155</v>
      </c>
      <c r="AG151" s="257">
        <f t="shared" si="98"/>
        <v>155</v>
      </c>
      <c r="AH151" s="257">
        <f t="shared" si="98"/>
        <v>155</v>
      </c>
      <c r="AI151" s="257">
        <f t="shared" si="98"/>
        <v>155</v>
      </c>
      <c r="AJ151" s="257">
        <f t="shared" si="98"/>
        <v>155</v>
      </c>
      <c r="AK151" s="257">
        <f t="shared" si="98"/>
        <v>155</v>
      </c>
      <c r="AL151" s="257">
        <f t="shared" si="98"/>
        <v>155</v>
      </c>
      <c r="AM151" s="257">
        <f t="shared" si="98"/>
        <v>155</v>
      </c>
    </row>
    <row r="152" spans="1:39" s="254" customFormat="1" hidden="1" outlineLevel="1" x14ac:dyDescent="0.25">
      <c r="A152" s="258"/>
      <c r="B152" s="254" t="str">
        <f t="shared" si="77"/>
        <v>NyAff1</v>
      </c>
      <c r="C152" s="255" t="s">
        <v>256</v>
      </c>
      <c r="D152" s="256">
        <f t="shared" ref="D152:AM152" si="99">$P26</f>
        <v>-402.5</v>
      </c>
      <c r="E152" s="257">
        <f t="shared" si="99"/>
        <v>-402.5</v>
      </c>
      <c r="F152" s="257">
        <f t="shared" si="99"/>
        <v>-402.5</v>
      </c>
      <c r="G152" s="257">
        <f t="shared" si="99"/>
        <v>-402.5</v>
      </c>
      <c r="H152" s="257">
        <f t="shared" si="99"/>
        <v>-402.5</v>
      </c>
      <c r="I152" s="257">
        <f t="shared" si="99"/>
        <v>-402.5</v>
      </c>
      <c r="J152" s="257">
        <f t="shared" si="99"/>
        <v>-402.5</v>
      </c>
      <c r="K152" s="257">
        <f t="shared" si="99"/>
        <v>-402.5</v>
      </c>
      <c r="L152" s="257">
        <f t="shared" si="99"/>
        <v>-402.5</v>
      </c>
      <c r="M152" s="257">
        <f t="shared" si="99"/>
        <v>-402.5</v>
      </c>
      <c r="N152" s="257">
        <f t="shared" si="99"/>
        <v>-402.5</v>
      </c>
      <c r="O152" s="257">
        <f t="shared" si="99"/>
        <v>-402.5</v>
      </c>
      <c r="P152" s="256">
        <f t="shared" si="99"/>
        <v>-402.5</v>
      </c>
      <c r="Q152" s="257">
        <f t="shared" si="99"/>
        <v>-402.5</v>
      </c>
      <c r="R152" s="257">
        <f t="shared" si="99"/>
        <v>-402.5</v>
      </c>
      <c r="S152" s="257">
        <f t="shared" si="99"/>
        <v>-402.5</v>
      </c>
      <c r="T152" s="257">
        <f t="shared" si="99"/>
        <v>-402.5</v>
      </c>
      <c r="U152" s="257">
        <f t="shared" si="99"/>
        <v>-402.5</v>
      </c>
      <c r="V152" s="257">
        <f t="shared" si="99"/>
        <v>-402.5</v>
      </c>
      <c r="W152" s="257">
        <f t="shared" si="99"/>
        <v>-402.5</v>
      </c>
      <c r="X152" s="257">
        <f t="shared" si="99"/>
        <v>-402.5</v>
      </c>
      <c r="Y152" s="257">
        <f t="shared" si="99"/>
        <v>-402.5</v>
      </c>
      <c r="Z152" s="257">
        <f t="shared" si="99"/>
        <v>-402.5</v>
      </c>
      <c r="AA152" s="257">
        <f t="shared" si="99"/>
        <v>-402.5</v>
      </c>
      <c r="AB152" s="256">
        <f t="shared" si="99"/>
        <v>-402.5</v>
      </c>
      <c r="AC152" s="257">
        <f t="shared" si="99"/>
        <v>-402.5</v>
      </c>
      <c r="AD152" s="257">
        <f t="shared" si="99"/>
        <v>-402.5</v>
      </c>
      <c r="AE152" s="257">
        <f t="shared" si="99"/>
        <v>-402.5</v>
      </c>
      <c r="AF152" s="257">
        <f t="shared" si="99"/>
        <v>-402.5</v>
      </c>
      <c r="AG152" s="257">
        <f t="shared" si="99"/>
        <v>-402.5</v>
      </c>
      <c r="AH152" s="257">
        <f t="shared" si="99"/>
        <v>-402.5</v>
      </c>
      <c r="AI152" s="257">
        <f t="shared" si="99"/>
        <v>-402.5</v>
      </c>
      <c r="AJ152" s="257">
        <f t="shared" si="99"/>
        <v>-402.5</v>
      </c>
      <c r="AK152" s="257">
        <f t="shared" si="99"/>
        <v>-402.5</v>
      </c>
      <c r="AL152" s="257">
        <f t="shared" si="99"/>
        <v>-402.5</v>
      </c>
      <c r="AM152" s="257">
        <f t="shared" si="99"/>
        <v>-402.5</v>
      </c>
    </row>
    <row r="153" spans="1:39" s="254" customFormat="1" hidden="1" outlineLevel="1" x14ac:dyDescent="0.25">
      <c r="B153" s="254" t="str">
        <f t="shared" si="77"/>
        <v>NyAff2</v>
      </c>
      <c r="C153" s="255" t="s">
        <v>256</v>
      </c>
      <c r="D153" s="256">
        <f t="shared" ref="D153:AM153" si="100">$P27</f>
        <v>450</v>
      </c>
      <c r="E153" s="257">
        <f t="shared" si="100"/>
        <v>450</v>
      </c>
      <c r="F153" s="257">
        <f t="shared" si="100"/>
        <v>450</v>
      </c>
      <c r="G153" s="257">
        <f t="shared" si="100"/>
        <v>450</v>
      </c>
      <c r="H153" s="257">
        <f t="shared" si="100"/>
        <v>450</v>
      </c>
      <c r="I153" s="257">
        <f t="shared" si="100"/>
        <v>450</v>
      </c>
      <c r="J153" s="257">
        <f t="shared" si="100"/>
        <v>450</v>
      </c>
      <c r="K153" s="257">
        <f t="shared" si="100"/>
        <v>450</v>
      </c>
      <c r="L153" s="257">
        <f t="shared" si="100"/>
        <v>450</v>
      </c>
      <c r="M153" s="257">
        <f t="shared" si="100"/>
        <v>450</v>
      </c>
      <c r="N153" s="257">
        <f t="shared" si="100"/>
        <v>450</v>
      </c>
      <c r="O153" s="257">
        <f t="shared" si="100"/>
        <v>450</v>
      </c>
      <c r="P153" s="256">
        <f t="shared" si="100"/>
        <v>450</v>
      </c>
      <c r="Q153" s="257">
        <f t="shared" si="100"/>
        <v>450</v>
      </c>
      <c r="R153" s="257">
        <f t="shared" si="100"/>
        <v>450</v>
      </c>
      <c r="S153" s="257">
        <f t="shared" si="100"/>
        <v>450</v>
      </c>
      <c r="T153" s="257">
        <f t="shared" si="100"/>
        <v>450</v>
      </c>
      <c r="U153" s="257">
        <f t="shared" si="100"/>
        <v>450</v>
      </c>
      <c r="V153" s="257">
        <f t="shared" si="100"/>
        <v>450</v>
      </c>
      <c r="W153" s="257">
        <f t="shared" si="100"/>
        <v>450</v>
      </c>
      <c r="X153" s="257">
        <f t="shared" si="100"/>
        <v>450</v>
      </c>
      <c r="Y153" s="257">
        <f t="shared" si="100"/>
        <v>450</v>
      </c>
      <c r="Z153" s="257">
        <f t="shared" si="100"/>
        <v>450</v>
      </c>
      <c r="AA153" s="257">
        <f t="shared" si="100"/>
        <v>450</v>
      </c>
      <c r="AB153" s="256">
        <f t="shared" si="100"/>
        <v>450</v>
      </c>
      <c r="AC153" s="257">
        <f t="shared" si="100"/>
        <v>450</v>
      </c>
      <c r="AD153" s="257">
        <f t="shared" si="100"/>
        <v>450</v>
      </c>
      <c r="AE153" s="257">
        <f t="shared" si="100"/>
        <v>450</v>
      </c>
      <c r="AF153" s="257">
        <f t="shared" si="100"/>
        <v>450</v>
      </c>
      <c r="AG153" s="257">
        <f t="shared" si="100"/>
        <v>450</v>
      </c>
      <c r="AH153" s="257">
        <f t="shared" si="100"/>
        <v>450</v>
      </c>
      <c r="AI153" s="257">
        <f t="shared" si="100"/>
        <v>450</v>
      </c>
      <c r="AJ153" s="257">
        <f t="shared" si="100"/>
        <v>450</v>
      </c>
      <c r="AK153" s="257">
        <f t="shared" si="100"/>
        <v>450</v>
      </c>
      <c r="AL153" s="257">
        <f t="shared" si="100"/>
        <v>450</v>
      </c>
      <c r="AM153" s="257">
        <f t="shared" si="100"/>
        <v>450</v>
      </c>
    </row>
    <row r="154" spans="1:39" s="254" customFormat="1" hidden="1" outlineLevel="1" x14ac:dyDescent="0.25">
      <c r="B154" s="254" t="str">
        <f t="shared" si="77"/>
        <v>NyAff3</v>
      </c>
      <c r="C154" s="255" t="s">
        <v>256</v>
      </c>
      <c r="D154" s="256">
        <f t="shared" ref="D154:AM154" si="101">$P28</f>
        <v>500</v>
      </c>
      <c r="E154" s="257">
        <f t="shared" si="101"/>
        <v>500</v>
      </c>
      <c r="F154" s="257">
        <f t="shared" si="101"/>
        <v>500</v>
      </c>
      <c r="G154" s="257">
        <f t="shared" si="101"/>
        <v>500</v>
      </c>
      <c r="H154" s="257">
        <f t="shared" si="101"/>
        <v>500</v>
      </c>
      <c r="I154" s="257">
        <f t="shared" si="101"/>
        <v>500</v>
      </c>
      <c r="J154" s="257">
        <f t="shared" si="101"/>
        <v>500</v>
      </c>
      <c r="K154" s="257">
        <f t="shared" si="101"/>
        <v>500</v>
      </c>
      <c r="L154" s="257">
        <f t="shared" si="101"/>
        <v>500</v>
      </c>
      <c r="M154" s="257">
        <f t="shared" si="101"/>
        <v>500</v>
      </c>
      <c r="N154" s="257">
        <f t="shared" si="101"/>
        <v>500</v>
      </c>
      <c r="O154" s="257">
        <f t="shared" si="101"/>
        <v>500</v>
      </c>
      <c r="P154" s="256">
        <f t="shared" si="101"/>
        <v>500</v>
      </c>
      <c r="Q154" s="257">
        <f t="shared" si="101"/>
        <v>500</v>
      </c>
      <c r="R154" s="257">
        <f t="shared" si="101"/>
        <v>500</v>
      </c>
      <c r="S154" s="257">
        <f t="shared" si="101"/>
        <v>500</v>
      </c>
      <c r="T154" s="257">
        <f t="shared" si="101"/>
        <v>500</v>
      </c>
      <c r="U154" s="257">
        <f t="shared" si="101"/>
        <v>500</v>
      </c>
      <c r="V154" s="257">
        <f t="shared" si="101"/>
        <v>500</v>
      </c>
      <c r="W154" s="257">
        <f t="shared" si="101"/>
        <v>500</v>
      </c>
      <c r="X154" s="257">
        <f t="shared" si="101"/>
        <v>500</v>
      </c>
      <c r="Y154" s="257">
        <f t="shared" si="101"/>
        <v>500</v>
      </c>
      <c r="Z154" s="257">
        <f t="shared" si="101"/>
        <v>500</v>
      </c>
      <c r="AA154" s="257">
        <f t="shared" si="101"/>
        <v>500</v>
      </c>
      <c r="AB154" s="256">
        <f t="shared" si="101"/>
        <v>500</v>
      </c>
      <c r="AC154" s="257">
        <f t="shared" si="101"/>
        <v>500</v>
      </c>
      <c r="AD154" s="257">
        <f t="shared" si="101"/>
        <v>500</v>
      </c>
      <c r="AE154" s="257">
        <f t="shared" si="101"/>
        <v>500</v>
      </c>
      <c r="AF154" s="257">
        <f t="shared" si="101"/>
        <v>500</v>
      </c>
      <c r="AG154" s="257">
        <f t="shared" si="101"/>
        <v>500</v>
      </c>
      <c r="AH154" s="257">
        <f t="shared" si="101"/>
        <v>500</v>
      </c>
      <c r="AI154" s="257">
        <f t="shared" si="101"/>
        <v>500</v>
      </c>
      <c r="AJ154" s="257">
        <f t="shared" si="101"/>
        <v>500</v>
      </c>
      <c r="AK154" s="257">
        <f t="shared" si="101"/>
        <v>500</v>
      </c>
      <c r="AL154" s="257">
        <f t="shared" si="101"/>
        <v>500</v>
      </c>
      <c r="AM154" s="257">
        <f t="shared" si="101"/>
        <v>500</v>
      </c>
    </row>
    <row r="155" spans="1:39" s="254" customFormat="1" hidden="1" outlineLevel="1" x14ac:dyDescent="0.25">
      <c r="B155" s="254" t="str">
        <f t="shared" si="77"/>
        <v>NyAff4</v>
      </c>
      <c r="C155" s="255" t="s">
        <v>256</v>
      </c>
      <c r="D155" s="256">
        <f t="shared" ref="D155:AM155" si="102">$P29</f>
        <v>550</v>
      </c>
      <c r="E155" s="257">
        <f t="shared" si="102"/>
        <v>550</v>
      </c>
      <c r="F155" s="257">
        <f t="shared" si="102"/>
        <v>550</v>
      </c>
      <c r="G155" s="257">
        <f t="shared" si="102"/>
        <v>550</v>
      </c>
      <c r="H155" s="257">
        <f t="shared" si="102"/>
        <v>550</v>
      </c>
      <c r="I155" s="257">
        <f t="shared" si="102"/>
        <v>550</v>
      </c>
      <c r="J155" s="257">
        <f t="shared" si="102"/>
        <v>550</v>
      </c>
      <c r="K155" s="257">
        <f t="shared" si="102"/>
        <v>550</v>
      </c>
      <c r="L155" s="257">
        <f t="shared" si="102"/>
        <v>550</v>
      </c>
      <c r="M155" s="257">
        <f t="shared" si="102"/>
        <v>550</v>
      </c>
      <c r="N155" s="257">
        <f t="shared" si="102"/>
        <v>550</v>
      </c>
      <c r="O155" s="257">
        <f t="shared" si="102"/>
        <v>550</v>
      </c>
      <c r="P155" s="256">
        <f t="shared" si="102"/>
        <v>550</v>
      </c>
      <c r="Q155" s="257">
        <f t="shared" si="102"/>
        <v>550</v>
      </c>
      <c r="R155" s="257">
        <f t="shared" si="102"/>
        <v>550</v>
      </c>
      <c r="S155" s="257">
        <f t="shared" si="102"/>
        <v>550</v>
      </c>
      <c r="T155" s="257">
        <f t="shared" si="102"/>
        <v>550</v>
      </c>
      <c r="U155" s="257">
        <f t="shared" si="102"/>
        <v>550</v>
      </c>
      <c r="V155" s="257">
        <f t="shared" si="102"/>
        <v>550</v>
      </c>
      <c r="W155" s="257">
        <f t="shared" si="102"/>
        <v>550</v>
      </c>
      <c r="X155" s="257">
        <f t="shared" si="102"/>
        <v>550</v>
      </c>
      <c r="Y155" s="257">
        <f t="shared" si="102"/>
        <v>550</v>
      </c>
      <c r="Z155" s="257">
        <f t="shared" si="102"/>
        <v>550</v>
      </c>
      <c r="AA155" s="257">
        <f t="shared" si="102"/>
        <v>550</v>
      </c>
      <c r="AB155" s="256">
        <f t="shared" si="102"/>
        <v>550</v>
      </c>
      <c r="AC155" s="257">
        <f t="shared" si="102"/>
        <v>550</v>
      </c>
      <c r="AD155" s="257">
        <f t="shared" si="102"/>
        <v>550</v>
      </c>
      <c r="AE155" s="257">
        <f t="shared" si="102"/>
        <v>550</v>
      </c>
      <c r="AF155" s="257">
        <f t="shared" si="102"/>
        <v>550</v>
      </c>
      <c r="AG155" s="257">
        <f t="shared" si="102"/>
        <v>550</v>
      </c>
      <c r="AH155" s="257">
        <f t="shared" si="102"/>
        <v>550</v>
      </c>
      <c r="AI155" s="257">
        <f t="shared" si="102"/>
        <v>550</v>
      </c>
      <c r="AJ155" s="257">
        <f t="shared" si="102"/>
        <v>550</v>
      </c>
      <c r="AK155" s="257">
        <f t="shared" si="102"/>
        <v>550</v>
      </c>
      <c r="AL155" s="257">
        <f t="shared" si="102"/>
        <v>550</v>
      </c>
      <c r="AM155" s="257">
        <f t="shared" si="102"/>
        <v>550</v>
      </c>
    </row>
    <row r="156" spans="1:39" s="254" customFormat="1" hidden="1" outlineLevel="1" x14ac:dyDescent="0.25">
      <c r="B156" s="254" t="str">
        <f t="shared" si="77"/>
        <v>NyAff5</v>
      </c>
      <c r="C156" s="255" t="s">
        <v>256</v>
      </c>
      <c r="D156" s="256">
        <f t="shared" ref="D156:AM156" si="103">$P30</f>
        <v>600</v>
      </c>
      <c r="E156" s="257">
        <f t="shared" si="103"/>
        <v>600</v>
      </c>
      <c r="F156" s="257">
        <f t="shared" si="103"/>
        <v>600</v>
      </c>
      <c r="G156" s="257">
        <f t="shared" si="103"/>
        <v>600</v>
      </c>
      <c r="H156" s="257">
        <f t="shared" si="103"/>
        <v>600</v>
      </c>
      <c r="I156" s="257">
        <f t="shared" si="103"/>
        <v>600</v>
      </c>
      <c r="J156" s="257">
        <f t="shared" si="103"/>
        <v>600</v>
      </c>
      <c r="K156" s="257">
        <f t="shared" si="103"/>
        <v>600</v>
      </c>
      <c r="L156" s="257">
        <f t="shared" si="103"/>
        <v>600</v>
      </c>
      <c r="M156" s="257">
        <f t="shared" si="103"/>
        <v>600</v>
      </c>
      <c r="N156" s="257">
        <f t="shared" si="103"/>
        <v>600</v>
      </c>
      <c r="O156" s="257">
        <f t="shared" si="103"/>
        <v>600</v>
      </c>
      <c r="P156" s="256">
        <f t="shared" si="103"/>
        <v>600</v>
      </c>
      <c r="Q156" s="257">
        <f t="shared" si="103"/>
        <v>600</v>
      </c>
      <c r="R156" s="257">
        <f t="shared" si="103"/>
        <v>600</v>
      </c>
      <c r="S156" s="257">
        <f t="shared" si="103"/>
        <v>600</v>
      </c>
      <c r="T156" s="257">
        <f t="shared" si="103"/>
        <v>600</v>
      </c>
      <c r="U156" s="257">
        <f t="shared" si="103"/>
        <v>600</v>
      </c>
      <c r="V156" s="257">
        <f t="shared" si="103"/>
        <v>600</v>
      </c>
      <c r="W156" s="257">
        <f t="shared" si="103"/>
        <v>600</v>
      </c>
      <c r="X156" s="257">
        <f t="shared" si="103"/>
        <v>600</v>
      </c>
      <c r="Y156" s="257">
        <f t="shared" si="103"/>
        <v>600</v>
      </c>
      <c r="Z156" s="257">
        <f t="shared" si="103"/>
        <v>600</v>
      </c>
      <c r="AA156" s="257">
        <f t="shared" si="103"/>
        <v>600</v>
      </c>
      <c r="AB156" s="256">
        <f t="shared" si="103"/>
        <v>600</v>
      </c>
      <c r="AC156" s="257">
        <f t="shared" si="103"/>
        <v>600</v>
      </c>
      <c r="AD156" s="257">
        <f t="shared" si="103"/>
        <v>600</v>
      </c>
      <c r="AE156" s="257">
        <f t="shared" si="103"/>
        <v>600</v>
      </c>
      <c r="AF156" s="257">
        <f t="shared" si="103"/>
        <v>600</v>
      </c>
      <c r="AG156" s="257">
        <f t="shared" si="103"/>
        <v>600</v>
      </c>
      <c r="AH156" s="257">
        <f t="shared" si="103"/>
        <v>600</v>
      </c>
      <c r="AI156" s="257">
        <f t="shared" si="103"/>
        <v>600</v>
      </c>
      <c r="AJ156" s="257">
        <f t="shared" si="103"/>
        <v>600</v>
      </c>
      <c r="AK156" s="257">
        <f t="shared" si="103"/>
        <v>600</v>
      </c>
      <c r="AL156" s="257">
        <f t="shared" si="103"/>
        <v>600</v>
      </c>
      <c r="AM156" s="257">
        <f t="shared" si="103"/>
        <v>600</v>
      </c>
    </row>
    <row r="157" spans="1:39" hidden="1" outlineLevel="1" x14ac:dyDescent="0.25">
      <c r="A157" s="298"/>
      <c r="B157" s="254" t="str" cm="1">
        <f t="array" ref="B157:B159">ØvrigeBrændsler</f>
        <v>Flis</v>
      </c>
      <c r="C157" s="255" t="s">
        <v>256</v>
      </c>
      <c r="D157" s="256">
        <f t="shared" ref="D157:AM157" si="104">$P31</f>
        <v>-470</v>
      </c>
      <c r="E157" s="257">
        <f t="shared" si="104"/>
        <v>-470</v>
      </c>
      <c r="F157" s="257">
        <f t="shared" si="104"/>
        <v>-470</v>
      </c>
      <c r="G157" s="257">
        <f t="shared" si="104"/>
        <v>-470</v>
      </c>
      <c r="H157" s="257">
        <f t="shared" si="104"/>
        <v>-470</v>
      </c>
      <c r="I157" s="257">
        <f t="shared" si="104"/>
        <v>-470</v>
      </c>
      <c r="J157" s="257">
        <f t="shared" si="104"/>
        <v>-470</v>
      </c>
      <c r="K157" s="257">
        <f t="shared" si="104"/>
        <v>-470</v>
      </c>
      <c r="L157" s="257">
        <f t="shared" si="104"/>
        <v>-470</v>
      </c>
      <c r="M157" s="257">
        <f t="shared" si="104"/>
        <v>-470</v>
      </c>
      <c r="N157" s="257">
        <f t="shared" si="104"/>
        <v>-470</v>
      </c>
      <c r="O157" s="257">
        <f t="shared" si="104"/>
        <v>-470</v>
      </c>
      <c r="P157" s="256">
        <f t="shared" si="104"/>
        <v>-470</v>
      </c>
      <c r="Q157" s="257">
        <f t="shared" si="104"/>
        <v>-470</v>
      </c>
      <c r="R157" s="257">
        <f t="shared" si="104"/>
        <v>-470</v>
      </c>
      <c r="S157" s="257">
        <f t="shared" si="104"/>
        <v>-470</v>
      </c>
      <c r="T157" s="257">
        <f t="shared" si="104"/>
        <v>-470</v>
      </c>
      <c r="U157" s="257">
        <f t="shared" si="104"/>
        <v>-470</v>
      </c>
      <c r="V157" s="257">
        <f t="shared" si="104"/>
        <v>-470</v>
      </c>
      <c r="W157" s="257">
        <f t="shared" si="104"/>
        <v>-470</v>
      </c>
      <c r="X157" s="257">
        <f t="shared" si="104"/>
        <v>-470</v>
      </c>
      <c r="Y157" s="257">
        <f t="shared" si="104"/>
        <v>-470</v>
      </c>
      <c r="Z157" s="257">
        <f t="shared" si="104"/>
        <v>-470</v>
      </c>
      <c r="AA157" s="257">
        <f t="shared" si="104"/>
        <v>-470</v>
      </c>
      <c r="AB157" s="256">
        <f t="shared" si="104"/>
        <v>-470</v>
      </c>
      <c r="AC157" s="257">
        <f t="shared" si="104"/>
        <v>-470</v>
      </c>
      <c r="AD157" s="257">
        <f t="shared" si="104"/>
        <v>-470</v>
      </c>
      <c r="AE157" s="257">
        <f t="shared" si="104"/>
        <v>-470</v>
      </c>
      <c r="AF157" s="257">
        <f t="shared" si="104"/>
        <v>-470</v>
      </c>
      <c r="AG157" s="257">
        <f t="shared" si="104"/>
        <v>-470</v>
      </c>
      <c r="AH157" s="257">
        <f t="shared" si="104"/>
        <v>-470</v>
      </c>
      <c r="AI157" s="257">
        <f t="shared" si="104"/>
        <v>-470</v>
      </c>
      <c r="AJ157" s="257">
        <f t="shared" si="104"/>
        <v>-470</v>
      </c>
      <c r="AK157" s="257">
        <f t="shared" si="104"/>
        <v>-470</v>
      </c>
      <c r="AL157" s="257">
        <f t="shared" si="104"/>
        <v>-470</v>
      </c>
      <c r="AM157" s="257">
        <f t="shared" si="104"/>
        <v>-470</v>
      </c>
    </row>
    <row r="158" spans="1:39" hidden="1" outlineLevel="1" x14ac:dyDescent="0.25">
      <c r="A158" s="299"/>
      <c r="B158" s="254" t="str">
        <v>NSvarme</v>
      </c>
      <c r="C158" s="255" t="s">
        <v>256</v>
      </c>
      <c r="D158" s="256">
        <f t="shared" ref="D158:AM158" si="105">$P32</f>
        <v>-189</v>
      </c>
      <c r="E158" s="257">
        <f t="shared" si="105"/>
        <v>-189</v>
      </c>
      <c r="F158" s="257">
        <f t="shared" si="105"/>
        <v>-189</v>
      </c>
      <c r="G158" s="257">
        <f t="shared" si="105"/>
        <v>-189</v>
      </c>
      <c r="H158" s="257">
        <f t="shared" si="105"/>
        <v>-189</v>
      </c>
      <c r="I158" s="257">
        <f t="shared" si="105"/>
        <v>-189</v>
      </c>
      <c r="J158" s="257">
        <f t="shared" si="105"/>
        <v>-189</v>
      </c>
      <c r="K158" s="257">
        <f t="shared" si="105"/>
        <v>-189</v>
      </c>
      <c r="L158" s="257">
        <f t="shared" si="105"/>
        <v>-189</v>
      </c>
      <c r="M158" s="257">
        <f t="shared" si="105"/>
        <v>-189</v>
      </c>
      <c r="N158" s="257">
        <f t="shared" si="105"/>
        <v>-189</v>
      </c>
      <c r="O158" s="257">
        <f t="shared" si="105"/>
        <v>-189</v>
      </c>
      <c r="P158" s="256">
        <f t="shared" si="105"/>
        <v>-189</v>
      </c>
      <c r="Q158" s="257">
        <f t="shared" si="105"/>
        <v>-189</v>
      </c>
      <c r="R158" s="257">
        <f t="shared" si="105"/>
        <v>-189</v>
      </c>
      <c r="S158" s="257">
        <f t="shared" si="105"/>
        <v>-189</v>
      </c>
      <c r="T158" s="257">
        <f t="shared" si="105"/>
        <v>-189</v>
      </c>
      <c r="U158" s="257">
        <f t="shared" si="105"/>
        <v>-189</v>
      </c>
      <c r="V158" s="257">
        <f t="shared" si="105"/>
        <v>-189</v>
      </c>
      <c r="W158" s="257">
        <f t="shared" si="105"/>
        <v>-189</v>
      </c>
      <c r="X158" s="257">
        <f t="shared" si="105"/>
        <v>-189</v>
      </c>
      <c r="Y158" s="257">
        <f t="shared" si="105"/>
        <v>-189</v>
      </c>
      <c r="Z158" s="257">
        <f t="shared" si="105"/>
        <v>-189</v>
      </c>
      <c r="AA158" s="257">
        <f t="shared" si="105"/>
        <v>-189</v>
      </c>
      <c r="AB158" s="256">
        <f t="shared" si="105"/>
        <v>-189</v>
      </c>
      <c r="AC158" s="257">
        <f t="shared" si="105"/>
        <v>-189</v>
      </c>
      <c r="AD158" s="257">
        <f t="shared" si="105"/>
        <v>-189</v>
      </c>
      <c r="AE158" s="257">
        <f t="shared" si="105"/>
        <v>-189</v>
      </c>
      <c r="AF158" s="257">
        <f t="shared" si="105"/>
        <v>-189</v>
      </c>
      <c r="AG158" s="257">
        <f t="shared" si="105"/>
        <v>-189</v>
      </c>
      <c r="AH158" s="257">
        <f t="shared" si="105"/>
        <v>-189</v>
      </c>
      <c r="AI158" s="257">
        <f t="shared" si="105"/>
        <v>-189</v>
      </c>
      <c r="AJ158" s="257">
        <f t="shared" si="105"/>
        <v>-189</v>
      </c>
      <c r="AK158" s="257">
        <f t="shared" si="105"/>
        <v>-189</v>
      </c>
      <c r="AL158" s="257">
        <f t="shared" si="105"/>
        <v>-189</v>
      </c>
      <c r="AM158" s="257">
        <f t="shared" si="105"/>
        <v>-189</v>
      </c>
    </row>
    <row r="159" spans="1:39" hidden="1" outlineLevel="1" x14ac:dyDescent="0.25">
      <c r="A159" s="299"/>
      <c r="B159" s="254" t="str">
        <v>PeakFuel</v>
      </c>
      <c r="C159" s="255" t="s">
        <v>256</v>
      </c>
      <c r="D159" s="256">
        <f t="shared" ref="D159:AM159" si="106">$P33</f>
        <v>-5000</v>
      </c>
      <c r="E159" s="257">
        <f t="shared" si="106"/>
        <v>-5000</v>
      </c>
      <c r="F159" s="257">
        <f t="shared" si="106"/>
        <v>-5000</v>
      </c>
      <c r="G159" s="257">
        <f t="shared" si="106"/>
        <v>-5000</v>
      </c>
      <c r="H159" s="257">
        <f t="shared" si="106"/>
        <v>-5000</v>
      </c>
      <c r="I159" s="257">
        <f t="shared" si="106"/>
        <v>-5000</v>
      </c>
      <c r="J159" s="257">
        <f t="shared" si="106"/>
        <v>-5000</v>
      </c>
      <c r="K159" s="257">
        <f t="shared" si="106"/>
        <v>-5000</v>
      </c>
      <c r="L159" s="257">
        <f t="shared" si="106"/>
        <v>-5000</v>
      </c>
      <c r="M159" s="257">
        <f t="shared" si="106"/>
        <v>-5000</v>
      </c>
      <c r="N159" s="257">
        <f t="shared" si="106"/>
        <v>-5000</v>
      </c>
      <c r="O159" s="257">
        <f t="shared" si="106"/>
        <v>-5000</v>
      </c>
      <c r="P159" s="256">
        <f t="shared" si="106"/>
        <v>-5000</v>
      </c>
      <c r="Q159" s="257">
        <f t="shared" si="106"/>
        <v>-5000</v>
      </c>
      <c r="R159" s="257">
        <f t="shared" si="106"/>
        <v>-5000</v>
      </c>
      <c r="S159" s="257">
        <f t="shared" si="106"/>
        <v>-5000</v>
      </c>
      <c r="T159" s="257">
        <f t="shared" si="106"/>
        <v>-5000</v>
      </c>
      <c r="U159" s="257">
        <f t="shared" si="106"/>
        <v>-5000</v>
      </c>
      <c r="V159" s="257">
        <f t="shared" si="106"/>
        <v>-5000</v>
      </c>
      <c r="W159" s="257">
        <f t="shared" si="106"/>
        <v>-5000</v>
      </c>
      <c r="X159" s="257">
        <f t="shared" si="106"/>
        <v>-5000</v>
      </c>
      <c r="Y159" s="257">
        <f t="shared" si="106"/>
        <v>-5000</v>
      </c>
      <c r="Z159" s="257">
        <f t="shared" si="106"/>
        <v>-5000</v>
      </c>
      <c r="AA159" s="257">
        <f t="shared" si="106"/>
        <v>-5000</v>
      </c>
      <c r="AB159" s="256">
        <f t="shared" si="106"/>
        <v>-5000</v>
      </c>
      <c r="AC159" s="257">
        <f t="shared" si="106"/>
        <v>-5000</v>
      </c>
      <c r="AD159" s="257">
        <f t="shared" si="106"/>
        <v>-5000</v>
      </c>
      <c r="AE159" s="257">
        <f t="shared" si="106"/>
        <v>-5000</v>
      </c>
      <c r="AF159" s="257">
        <f t="shared" si="106"/>
        <v>-5000</v>
      </c>
      <c r="AG159" s="257">
        <f t="shared" si="106"/>
        <v>-5000</v>
      </c>
      <c r="AH159" s="257">
        <f t="shared" si="106"/>
        <v>-5000</v>
      </c>
      <c r="AI159" s="257">
        <f t="shared" si="106"/>
        <v>-5000</v>
      </c>
      <c r="AJ159" s="257">
        <f t="shared" si="106"/>
        <v>-5000</v>
      </c>
      <c r="AK159" s="257">
        <f t="shared" si="106"/>
        <v>-5000</v>
      </c>
      <c r="AL159" s="257">
        <f t="shared" si="106"/>
        <v>-5000</v>
      </c>
      <c r="AM159" s="257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9" customFormat="1" hidden="1" outlineLevel="1" x14ac:dyDescent="0.25">
      <c r="B161" s="259" t="str">
        <f t="shared" ref="B161:B183" si="107">B131</f>
        <v>DepoSort</v>
      </c>
      <c r="C161" s="260" t="s">
        <v>259</v>
      </c>
      <c r="D161" s="261">
        <f t="shared" ref="D161:AM161" si="108">$S5</f>
        <v>37</v>
      </c>
      <c r="E161" s="262">
        <f t="shared" si="108"/>
        <v>37</v>
      </c>
      <c r="F161" s="262">
        <f t="shared" si="108"/>
        <v>37</v>
      </c>
      <c r="G161" s="262">
        <f t="shared" si="108"/>
        <v>37</v>
      </c>
      <c r="H161" s="262">
        <f t="shared" si="108"/>
        <v>37</v>
      </c>
      <c r="I161" s="262">
        <f t="shared" si="108"/>
        <v>37</v>
      </c>
      <c r="J161" s="262">
        <f t="shared" si="108"/>
        <v>37</v>
      </c>
      <c r="K161" s="262">
        <f t="shared" si="108"/>
        <v>37</v>
      </c>
      <c r="L161" s="262">
        <f t="shared" si="108"/>
        <v>37</v>
      </c>
      <c r="M161" s="262">
        <f t="shared" si="108"/>
        <v>37</v>
      </c>
      <c r="N161" s="262">
        <f t="shared" si="108"/>
        <v>37</v>
      </c>
      <c r="O161" s="262">
        <f t="shared" si="108"/>
        <v>37</v>
      </c>
      <c r="P161" s="261">
        <f t="shared" si="108"/>
        <v>37</v>
      </c>
      <c r="Q161" s="262">
        <f t="shared" si="108"/>
        <v>37</v>
      </c>
      <c r="R161" s="262">
        <f t="shared" si="108"/>
        <v>37</v>
      </c>
      <c r="S161" s="262">
        <f t="shared" si="108"/>
        <v>37</v>
      </c>
      <c r="T161" s="262">
        <f t="shared" si="108"/>
        <v>37</v>
      </c>
      <c r="U161" s="262">
        <f t="shared" si="108"/>
        <v>37</v>
      </c>
      <c r="V161" s="262">
        <f t="shared" si="108"/>
        <v>37</v>
      </c>
      <c r="W161" s="262">
        <f t="shared" si="108"/>
        <v>37</v>
      </c>
      <c r="X161" s="262">
        <f t="shared" si="108"/>
        <v>37</v>
      </c>
      <c r="Y161" s="262">
        <f t="shared" si="108"/>
        <v>37</v>
      </c>
      <c r="Z161" s="262">
        <f t="shared" si="108"/>
        <v>37</v>
      </c>
      <c r="AA161" s="262">
        <f t="shared" si="108"/>
        <v>37</v>
      </c>
      <c r="AB161" s="261">
        <f t="shared" si="108"/>
        <v>37</v>
      </c>
      <c r="AC161" s="262">
        <f t="shared" si="108"/>
        <v>37</v>
      </c>
      <c r="AD161" s="262">
        <f t="shared" si="108"/>
        <v>37</v>
      </c>
      <c r="AE161" s="262">
        <f t="shared" si="108"/>
        <v>37</v>
      </c>
      <c r="AF161" s="262">
        <f t="shared" si="108"/>
        <v>37</v>
      </c>
      <c r="AG161" s="262">
        <f t="shared" si="108"/>
        <v>37</v>
      </c>
      <c r="AH161" s="262">
        <f t="shared" si="108"/>
        <v>37</v>
      </c>
      <c r="AI161" s="262">
        <f t="shared" si="108"/>
        <v>37</v>
      </c>
      <c r="AJ161" s="262">
        <f t="shared" si="108"/>
        <v>37</v>
      </c>
      <c r="AK161" s="262">
        <f t="shared" si="108"/>
        <v>37</v>
      </c>
      <c r="AL161" s="262">
        <f t="shared" si="108"/>
        <v>37</v>
      </c>
      <c r="AM161" s="262">
        <f t="shared" si="108"/>
        <v>37</v>
      </c>
    </row>
    <row r="162" spans="2:39" s="259" customFormat="1" hidden="1" outlineLevel="1" x14ac:dyDescent="0.25">
      <c r="B162" s="259" t="str">
        <f t="shared" si="107"/>
        <v>DepoSmaat</v>
      </c>
      <c r="C162" s="260" t="s">
        <v>259</v>
      </c>
      <c r="D162" s="261">
        <f t="shared" ref="D162:AM162" si="109">$S6</f>
        <v>37</v>
      </c>
      <c r="E162" s="262">
        <f t="shared" si="109"/>
        <v>37</v>
      </c>
      <c r="F162" s="262">
        <f t="shared" si="109"/>
        <v>37</v>
      </c>
      <c r="G162" s="262">
        <f t="shared" si="109"/>
        <v>37</v>
      </c>
      <c r="H162" s="262">
        <f t="shared" si="109"/>
        <v>37</v>
      </c>
      <c r="I162" s="262">
        <f t="shared" si="109"/>
        <v>37</v>
      </c>
      <c r="J162" s="262">
        <f t="shared" si="109"/>
        <v>37</v>
      </c>
      <c r="K162" s="262">
        <f t="shared" si="109"/>
        <v>37</v>
      </c>
      <c r="L162" s="262">
        <f t="shared" si="109"/>
        <v>37</v>
      </c>
      <c r="M162" s="262">
        <f t="shared" si="109"/>
        <v>37</v>
      </c>
      <c r="N162" s="262">
        <f t="shared" si="109"/>
        <v>37</v>
      </c>
      <c r="O162" s="262">
        <f t="shared" si="109"/>
        <v>37</v>
      </c>
      <c r="P162" s="261">
        <f t="shared" si="109"/>
        <v>37</v>
      </c>
      <c r="Q162" s="262">
        <f t="shared" si="109"/>
        <v>37</v>
      </c>
      <c r="R162" s="262">
        <f t="shared" si="109"/>
        <v>37</v>
      </c>
      <c r="S162" s="262">
        <f t="shared" si="109"/>
        <v>37</v>
      </c>
      <c r="T162" s="262">
        <f t="shared" si="109"/>
        <v>37</v>
      </c>
      <c r="U162" s="262">
        <f t="shared" si="109"/>
        <v>37</v>
      </c>
      <c r="V162" s="262">
        <f t="shared" si="109"/>
        <v>37</v>
      </c>
      <c r="W162" s="262">
        <f t="shared" si="109"/>
        <v>37</v>
      </c>
      <c r="X162" s="262">
        <f t="shared" si="109"/>
        <v>37</v>
      </c>
      <c r="Y162" s="262">
        <f t="shared" si="109"/>
        <v>37</v>
      </c>
      <c r="Z162" s="262">
        <f t="shared" si="109"/>
        <v>37</v>
      </c>
      <c r="AA162" s="262">
        <f t="shared" si="109"/>
        <v>37</v>
      </c>
      <c r="AB162" s="261">
        <f t="shared" si="109"/>
        <v>37</v>
      </c>
      <c r="AC162" s="262">
        <f t="shared" si="109"/>
        <v>37</v>
      </c>
      <c r="AD162" s="262">
        <f t="shared" si="109"/>
        <v>37</v>
      </c>
      <c r="AE162" s="262">
        <f t="shared" si="109"/>
        <v>37</v>
      </c>
      <c r="AF162" s="262">
        <f t="shared" si="109"/>
        <v>37</v>
      </c>
      <c r="AG162" s="262">
        <f t="shared" si="109"/>
        <v>37</v>
      </c>
      <c r="AH162" s="262">
        <f t="shared" si="109"/>
        <v>37</v>
      </c>
      <c r="AI162" s="262">
        <f t="shared" si="109"/>
        <v>37</v>
      </c>
      <c r="AJ162" s="262">
        <f t="shared" si="109"/>
        <v>37</v>
      </c>
      <c r="AK162" s="262">
        <f t="shared" si="109"/>
        <v>37</v>
      </c>
      <c r="AL162" s="262">
        <f t="shared" si="109"/>
        <v>37</v>
      </c>
      <c r="AM162" s="262">
        <f t="shared" si="109"/>
        <v>37</v>
      </c>
    </row>
    <row r="163" spans="2:39" s="259" customFormat="1" hidden="1" outlineLevel="1" x14ac:dyDescent="0.25">
      <c r="B163" s="259" t="str">
        <f t="shared" si="107"/>
        <v>DepoNedd</v>
      </c>
      <c r="C163" s="260" t="s">
        <v>259</v>
      </c>
      <c r="D163" s="261">
        <f t="shared" ref="D163:AM163" si="110">$S7</f>
        <v>37</v>
      </c>
      <c r="E163" s="262">
        <f t="shared" si="110"/>
        <v>37</v>
      </c>
      <c r="F163" s="262">
        <f t="shared" si="110"/>
        <v>37</v>
      </c>
      <c r="G163" s="262">
        <f t="shared" si="110"/>
        <v>37</v>
      </c>
      <c r="H163" s="262">
        <f t="shared" si="110"/>
        <v>37</v>
      </c>
      <c r="I163" s="262">
        <f t="shared" si="110"/>
        <v>37</v>
      </c>
      <c r="J163" s="262">
        <f t="shared" si="110"/>
        <v>37</v>
      </c>
      <c r="K163" s="262">
        <f t="shared" si="110"/>
        <v>37</v>
      </c>
      <c r="L163" s="262">
        <f t="shared" si="110"/>
        <v>37</v>
      </c>
      <c r="M163" s="262">
        <f t="shared" si="110"/>
        <v>37</v>
      </c>
      <c r="N163" s="262">
        <f t="shared" si="110"/>
        <v>37</v>
      </c>
      <c r="O163" s="262">
        <f t="shared" si="110"/>
        <v>37</v>
      </c>
      <c r="P163" s="261">
        <f t="shared" si="110"/>
        <v>37</v>
      </c>
      <c r="Q163" s="262">
        <f t="shared" si="110"/>
        <v>37</v>
      </c>
      <c r="R163" s="262">
        <f t="shared" si="110"/>
        <v>37</v>
      </c>
      <c r="S163" s="262">
        <f t="shared" si="110"/>
        <v>37</v>
      </c>
      <c r="T163" s="262">
        <f t="shared" si="110"/>
        <v>37</v>
      </c>
      <c r="U163" s="262">
        <f t="shared" si="110"/>
        <v>37</v>
      </c>
      <c r="V163" s="262">
        <f t="shared" si="110"/>
        <v>37</v>
      </c>
      <c r="W163" s="262">
        <f t="shared" si="110"/>
        <v>37</v>
      </c>
      <c r="X163" s="262">
        <f t="shared" si="110"/>
        <v>37</v>
      </c>
      <c r="Y163" s="262">
        <f t="shared" si="110"/>
        <v>37</v>
      </c>
      <c r="Z163" s="262">
        <f t="shared" si="110"/>
        <v>37</v>
      </c>
      <c r="AA163" s="262">
        <f t="shared" si="110"/>
        <v>37</v>
      </c>
      <c r="AB163" s="261">
        <f t="shared" si="110"/>
        <v>37</v>
      </c>
      <c r="AC163" s="262">
        <f t="shared" si="110"/>
        <v>37</v>
      </c>
      <c r="AD163" s="262">
        <f t="shared" si="110"/>
        <v>37</v>
      </c>
      <c r="AE163" s="262">
        <f t="shared" si="110"/>
        <v>37</v>
      </c>
      <c r="AF163" s="262">
        <f t="shared" si="110"/>
        <v>37</v>
      </c>
      <c r="AG163" s="262">
        <f t="shared" si="110"/>
        <v>37</v>
      </c>
      <c r="AH163" s="262">
        <f t="shared" si="110"/>
        <v>37</v>
      </c>
      <c r="AI163" s="262">
        <f t="shared" si="110"/>
        <v>37</v>
      </c>
      <c r="AJ163" s="262">
        <f t="shared" si="110"/>
        <v>37</v>
      </c>
      <c r="AK163" s="262">
        <f t="shared" si="110"/>
        <v>37</v>
      </c>
      <c r="AL163" s="262">
        <f t="shared" si="110"/>
        <v>37</v>
      </c>
      <c r="AM163" s="262">
        <f t="shared" si="110"/>
        <v>37</v>
      </c>
    </row>
    <row r="164" spans="2:39" s="259" customFormat="1" hidden="1" outlineLevel="1" x14ac:dyDescent="0.25">
      <c r="B164" s="259" t="str">
        <f t="shared" si="107"/>
        <v>Dagren</v>
      </c>
      <c r="C164" s="260" t="s">
        <v>259</v>
      </c>
      <c r="D164" s="261">
        <f t="shared" ref="D164:AM164" si="111">$S8</f>
        <v>37</v>
      </c>
      <c r="E164" s="262">
        <f t="shared" si="111"/>
        <v>37</v>
      </c>
      <c r="F164" s="262">
        <f t="shared" si="111"/>
        <v>37</v>
      </c>
      <c r="G164" s="262">
        <f t="shared" si="111"/>
        <v>37</v>
      </c>
      <c r="H164" s="262">
        <f t="shared" si="111"/>
        <v>37</v>
      </c>
      <c r="I164" s="262">
        <f t="shared" si="111"/>
        <v>37</v>
      </c>
      <c r="J164" s="262">
        <f t="shared" si="111"/>
        <v>37</v>
      </c>
      <c r="K164" s="262">
        <f t="shared" si="111"/>
        <v>37</v>
      </c>
      <c r="L164" s="262">
        <f t="shared" si="111"/>
        <v>37</v>
      </c>
      <c r="M164" s="262">
        <f t="shared" si="111"/>
        <v>37</v>
      </c>
      <c r="N164" s="262">
        <f t="shared" si="111"/>
        <v>37</v>
      </c>
      <c r="O164" s="262">
        <f t="shared" si="111"/>
        <v>37</v>
      </c>
      <c r="P164" s="261">
        <f t="shared" si="111"/>
        <v>37</v>
      </c>
      <c r="Q164" s="262">
        <f t="shared" si="111"/>
        <v>37</v>
      </c>
      <c r="R164" s="262">
        <f t="shared" si="111"/>
        <v>37</v>
      </c>
      <c r="S164" s="262">
        <f t="shared" si="111"/>
        <v>37</v>
      </c>
      <c r="T164" s="262">
        <f t="shared" si="111"/>
        <v>37</v>
      </c>
      <c r="U164" s="262">
        <f t="shared" si="111"/>
        <v>37</v>
      </c>
      <c r="V164" s="262">
        <f t="shared" si="111"/>
        <v>37</v>
      </c>
      <c r="W164" s="262">
        <f t="shared" si="111"/>
        <v>37</v>
      </c>
      <c r="X164" s="262">
        <f t="shared" si="111"/>
        <v>37</v>
      </c>
      <c r="Y164" s="262">
        <f t="shared" si="111"/>
        <v>37</v>
      </c>
      <c r="Z164" s="262">
        <f t="shared" si="111"/>
        <v>37</v>
      </c>
      <c r="AA164" s="262">
        <f t="shared" si="111"/>
        <v>37</v>
      </c>
      <c r="AB164" s="261">
        <f t="shared" si="111"/>
        <v>37</v>
      </c>
      <c r="AC164" s="262">
        <f t="shared" si="111"/>
        <v>37</v>
      </c>
      <c r="AD164" s="262">
        <f t="shared" si="111"/>
        <v>37</v>
      </c>
      <c r="AE164" s="262">
        <f t="shared" si="111"/>
        <v>37</v>
      </c>
      <c r="AF164" s="262">
        <f t="shared" si="111"/>
        <v>37</v>
      </c>
      <c r="AG164" s="262">
        <f t="shared" si="111"/>
        <v>37</v>
      </c>
      <c r="AH164" s="262">
        <f t="shared" si="111"/>
        <v>37</v>
      </c>
      <c r="AI164" s="262">
        <f t="shared" si="111"/>
        <v>37</v>
      </c>
      <c r="AJ164" s="262">
        <f t="shared" si="111"/>
        <v>37</v>
      </c>
      <c r="AK164" s="262">
        <f t="shared" si="111"/>
        <v>37</v>
      </c>
      <c r="AL164" s="262">
        <f t="shared" si="111"/>
        <v>37</v>
      </c>
      <c r="AM164" s="262">
        <f t="shared" si="111"/>
        <v>37</v>
      </c>
    </row>
    <row r="165" spans="2:39" s="259" customFormat="1" hidden="1" outlineLevel="1" x14ac:dyDescent="0.25">
      <c r="B165" s="259" t="str">
        <f t="shared" si="107"/>
        <v>AndetBrand</v>
      </c>
      <c r="C165" s="260" t="s">
        <v>259</v>
      </c>
      <c r="D165" s="261">
        <f t="shared" ref="D165:AM165" si="112">$S9</f>
        <v>37</v>
      </c>
      <c r="E165" s="262">
        <f t="shared" si="112"/>
        <v>37</v>
      </c>
      <c r="F165" s="262">
        <f t="shared" si="112"/>
        <v>37</v>
      </c>
      <c r="G165" s="262">
        <f t="shared" si="112"/>
        <v>37</v>
      </c>
      <c r="H165" s="262">
        <f t="shared" si="112"/>
        <v>37</v>
      </c>
      <c r="I165" s="262">
        <f t="shared" si="112"/>
        <v>37</v>
      </c>
      <c r="J165" s="262">
        <f t="shared" si="112"/>
        <v>37</v>
      </c>
      <c r="K165" s="262">
        <f t="shared" si="112"/>
        <v>37</v>
      </c>
      <c r="L165" s="262">
        <f t="shared" si="112"/>
        <v>37</v>
      </c>
      <c r="M165" s="262">
        <f t="shared" si="112"/>
        <v>37</v>
      </c>
      <c r="N165" s="262">
        <f t="shared" si="112"/>
        <v>37</v>
      </c>
      <c r="O165" s="262">
        <f t="shared" si="112"/>
        <v>37</v>
      </c>
      <c r="P165" s="261">
        <f t="shared" si="112"/>
        <v>37</v>
      </c>
      <c r="Q165" s="262">
        <f t="shared" si="112"/>
        <v>37</v>
      </c>
      <c r="R165" s="262">
        <f t="shared" si="112"/>
        <v>37</v>
      </c>
      <c r="S165" s="262">
        <f t="shared" si="112"/>
        <v>37</v>
      </c>
      <c r="T165" s="262">
        <f t="shared" si="112"/>
        <v>37</v>
      </c>
      <c r="U165" s="262">
        <f t="shared" si="112"/>
        <v>37</v>
      </c>
      <c r="V165" s="262">
        <f t="shared" si="112"/>
        <v>37</v>
      </c>
      <c r="W165" s="262">
        <f t="shared" si="112"/>
        <v>37</v>
      </c>
      <c r="X165" s="262">
        <f t="shared" si="112"/>
        <v>37</v>
      </c>
      <c r="Y165" s="262">
        <f t="shared" si="112"/>
        <v>37</v>
      </c>
      <c r="Z165" s="262">
        <f t="shared" si="112"/>
        <v>37</v>
      </c>
      <c r="AA165" s="262">
        <f t="shared" si="112"/>
        <v>37</v>
      </c>
      <c r="AB165" s="261">
        <f t="shared" si="112"/>
        <v>37</v>
      </c>
      <c r="AC165" s="262">
        <f t="shared" si="112"/>
        <v>37</v>
      </c>
      <c r="AD165" s="262">
        <f t="shared" si="112"/>
        <v>37</v>
      </c>
      <c r="AE165" s="262">
        <f t="shared" si="112"/>
        <v>37</v>
      </c>
      <c r="AF165" s="262">
        <f t="shared" si="112"/>
        <v>37</v>
      </c>
      <c r="AG165" s="262">
        <f t="shared" si="112"/>
        <v>37</v>
      </c>
      <c r="AH165" s="262">
        <f t="shared" si="112"/>
        <v>37</v>
      </c>
      <c r="AI165" s="262">
        <f t="shared" si="112"/>
        <v>37</v>
      </c>
      <c r="AJ165" s="262">
        <f t="shared" si="112"/>
        <v>37</v>
      </c>
      <c r="AK165" s="262">
        <f t="shared" si="112"/>
        <v>37</v>
      </c>
      <c r="AL165" s="262">
        <f t="shared" si="112"/>
        <v>37</v>
      </c>
      <c r="AM165" s="262">
        <f t="shared" si="112"/>
        <v>37</v>
      </c>
    </row>
    <row r="166" spans="2:39" s="259" customFormat="1" hidden="1" outlineLevel="1" x14ac:dyDescent="0.25">
      <c r="B166" s="259" t="str">
        <f t="shared" si="107"/>
        <v>Trae</v>
      </c>
      <c r="C166" s="260" t="s">
        <v>259</v>
      </c>
      <c r="D166" s="261">
        <f t="shared" ref="D166:AM166" si="113">$S10</f>
        <v>37</v>
      </c>
      <c r="E166" s="262">
        <f t="shared" si="113"/>
        <v>37</v>
      </c>
      <c r="F166" s="262">
        <f t="shared" si="113"/>
        <v>37</v>
      </c>
      <c r="G166" s="262">
        <f t="shared" si="113"/>
        <v>37</v>
      </c>
      <c r="H166" s="262">
        <f t="shared" si="113"/>
        <v>37</v>
      </c>
      <c r="I166" s="262">
        <f t="shared" si="113"/>
        <v>37</v>
      </c>
      <c r="J166" s="262">
        <f t="shared" si="113"/>
        <v>37</v>
      </c>
      <c r="K166" s="262">
        <f t="shared" si="113"/>
        <v>37</v>
      </c>
      <c r="L166" s="262">
        <f t="shared" si="113"/>
        <v>37</v>
      </c>
      <c r="M166" s="262">
        <f t="shared" si="113"/>
        <v>37</v>
      </c>
      <c r="N166" s="262">
        <f t="shared" si="113"/>
        <v>37</v>
      </c>
      <c r="O166" s="262">
        <f t="shared" si="113"/>
        <v>37</v>
      </c>
      <c r="P166" s="261">
        <f t="shared" si="113"/>
        <v>37</v>
      </c>
      <c r="Q166" s="262">
        <f t="shared" si="113"/>
        <v>37</v>
      </c>
      <c r="R166" s="262">
        <f t="shared" si="113"/>
        <v>37</v>
      </c>
      <c r="S166" s="262">
        <f t="shared" si="113"/>
        <v>37</v>
      </c>
      <c r="T166" s="262">
        <f t="shared" si="113"/>
        <v>37</v>
      </c>
      <c r="U166" s="262">
        <f t="shared" si="113"/>
        <v>37</v>
      </c>
      <c r="V166" s="262">
        <f t="shared" si="113"/>
        <v>37</v>
      </c>
      <c r="W166" s="262">
        <f t="shared" si="113"/>
        <v>37</v>
      </c>
      <c r="X166" s="262">
        <f t="shared" si="113"/>
        <v>37</v>
      </c>
      <c r="Y166" s="262">
        <f t="shared" si="113"/>
        <v>37</v>
      </c>
      <c r="Z166" s="262">
        <f t="shared" si="113"/>
        <v>37</v>
      </c>
      <c r="AA166" s="262">
        <f t="shared" si="113"/>
        <v>37</v>
      </c>
      <c r="AB166" s="261">
        <f t="shared" si="113"/>
        <v>37</v>
      </c>
      <c r="AC166" s="262">
        <f t="shared" si="113"/>
        <v>37</v>
      </c>
      <c r="AD166" s="262">
        <f t="shared" si="113"/>
        <v>37</v>
      </c>
      <c r="AE166" s="262">
        <f t="shared" si="113"/>
        <v>37</v>
      </c>
      <c r="AF166" s="262">
        <f t="shared" si="113"/>
        <v>37</v>
      </c>
      <c r="AG166" s="262">
        <f t="shared" si="113"/>
        <v>37</v>
      </c>
      <c r="AH166" s="262">
        <f t="shared" si="113"/>
        <v>37</v>
      </c>
      <c r="AI166" s="262">
        <f t="shared" si="113"/>
        <v>37</v>
      </c>
      <c r="AJ166" s="262">
        <f t="shared" si="113"/>
        <v>37</v>
      </c>
      <c r="AK166" s="262">
        <f t="shared" si="113"/>
        <v>37</v>
      </c>
      <c r="AL166" s="262">
        <f t="shared" si="113"/>
        <v>37</v>
      </c>
      <c r="AM166" s="262">
        <f t="shared" si="113"/>
        <v>37</v>
      </c>
    </row>
    <row r="167" spans="2:39" s="259" customFormat="1" hidden="1" outlineLevel="1" x14ac:dyDescent="0.25">
      <c r="B167" s="259" t="str">
        <f t="shared" si="107"/>
        <v>DagrenRast</v>
      </c>
      <c r="C167" s="260" t="s">
        <v>259</v>
      </c>
      <c r="D167" s="261">
        <f t="shared" ref="D167:AM167" si="114">$S11</f>
        <v>37</v>
      </c>
      <c r="E167" s="262">
        <f t="shared" si="114"/>
        <v>37</v>
      </c>
      <c r="F167" s="262">
        <f t="shared" si="114"/>
        <v>37</v>
      </c>
      <c r="G167" s="262">
        <f t="shared" si="114"/>
        <v>37</v>
      </c>
      <c r="H167" s="262">
        <f t="shared" si="114"/>
        <v>37</v>
      </c>
      <c r="I167" s="262">
        <f t="shared" si="114"/>
        <v>37</v>
      </c>
      <c r="J167" s="262">
        <f t="shared" si="114"/>
        <v>37</v>
      </c>
      <c r="K167" s="262">
        <f t="shared" si="114"/>
        <v>37</v>
      </c>
      <c r="L167" s="262">
        <f t="shared" si="114"/>
        <v>37</v>
      </c>
      <c r="M167" s="262">
        <f t="shared" si="114"/>
        <v>37</v>
      </c>
      <c r="N167" s="262">
        <f t="shared" si="114"/>
        <v>37</v>
      </c>
      <c r="O167" s="262">
        <f t="shared" si="114"/>
        <v>37</v>
      </c>
      <c r="P167" s="261">
        <f t="shared" si="114"/>
        <v>37</v>
      </c>
      <c r="Q167" s="262">
        <f t="shared" si="114"/>
        <v>37</v>
      </c>
      <c r="R167" s="262">
        <f t="shared" si="114"/>
        <v>37</v>
      </c>
      <c r="S167" s="262">
        <f t="shared" si="114"/>
        <v>37</v>
      </c>
      <c r="T167" s="262">
        <f t="shared" si="114"/>
        <v>37</v>
      </c>
      <c r="U167" s="262">
        <f t="shared" si="114"/>
        <v>37</v>
      </c>
      <c r="V167" s="262">
        <f t="shared" si="114"/>
        <v>37</v>
      </c>
      <c r="W167" s="262">
        <f t="shared" si="114"/>
        <v>37</v>
      </c>
      <c r="X167" s="262">
        <f t="shared" si="114"/>
        <v>37</v>
      </c>
      <c r="Y167" s="262">
        <f t="shared" si="114"/>
        <v>37</v>
      </c>
      <c r="Z167" s="262">
        <f t="shared" si="114"/>
        <v>37</v>
      </c>
      <c r="AA167" s="262">
        <f t="shared" si="114"/>
        <v>37</v>
      </c>
      <c r="AB167" s="261">
        <f t="shared" si="114"/>
        <v>37</v>
      </c>
      <c r="AC167" s="262">
        <f t="shared" si="114"/>
        <v>37</v>
      </c>
      <c r="AD167" s="262">
        <f t="shared" si="114"/>
        <v>37</v>
      </c>
      <c r="AE167" s="262">
        <f t="shared" si="114"/>
        <v>37</v>
      </c>
      <c r="AF167" s="262">
        <f t="shared" si="114"/>
        <v>37</v>
      </c>
      <c r="AG167" s="262">
        <f t="shared" si="114"/>
        <v>37</v>
      </c>
      <c r="AH167" s="262">
        <f t="shared" si="114"/>
        <v>37</v>
      </c>
      <c r="AI167" s="262">
        <f t="shared" si="114"/>
        <v>37</v>
      </c>
      <c r="AJ167" s="262">
        <f t="shared" si="114"/>
        <v>37</v>
      </c>
      <c r="AK167" s="262">
        <f t="shared" si="114"/>
        <v>37</v>
      </c>
      <c r="AL167" s="262">
        <f t="shared" si="114"/>
        <v>37</v>
      </c>
      <c r="AM167" s="262">
        <f t="shared" si="114"/>
        <v>37</v>
      </c>
    </row>
    <row r="168" spans="2:39" s="259" customFormat="1" hidden="1" outlineLevel="1" x14ac:dyDescent="0.25">
      <c r="B168" s="259" t="str">
        <f t="shared" si="107"/>
        <v>DagrenInst</v>
      </c>
      <c r="C168" s="260" t="s">
        <v>259</v>
      </c>
      <c r="D168" s="261">
        <f t="shared" ref="D168:AM168" si="115">$S12</f>
        <v>37</v>
      </c>
      <c r="E168" s="262">
        <f t="shared" si="115"/>
        <v>37</v>
      </c>
      <c r="F168" s="262">
        <f t="shared" si="115"/>
        <v>37</v>
      </c>
      <c r="G168" s="262">
        <f t="shared" si="115"/>
        <v>37</v>
      </c>
      <c r="H168" s="262">
        <f t="shared" si="115"/>
        <v>37</v>
      </c>
      <c r="I168" s="262">
        <f t="shared" si="115"/>
        <v>37</v>
      </c>
      <c r="J168" s="262">
        <f t="shared" si="115"/>
        <v>37</v>
      </c>
      <c r="K168" s="262">
        <f t="shared" si="115"/>
        <v>37</v>
      </c>
      <c r="L168" s="262">
        <f t="shared" si="115"/>
        <v>37</v>
      </c>
      <c r="M168" s="262">
        <f t="shared" si="115"/>
        <v>37</v>
      </c>
      <c r="N168" s="262">
        <f t="shared" si="115"/>
        <v>37</v>
      </c>
      <c r="O168" s="262">
        <f t="shared" si="115"/>
        <v>37</v>
      </c>
      <c r="P168" s="261">
        <f t="shared" si="115"/>
        <v>37</v>
      </c>
      <c r="Q168" s="262">
        <f t="shared" si="115"/>
        <v>37</v>
      </c>
      <c r="R168" s="262">
        <f t="shared" si="115"/>
        <v>37</v>
      </c>
      <c r="S168" s="262">
        <f t="shared" si="115"/>
        <v>37</v>
      </c>
      <c r="T168" s="262">
        <f t="shared" si="115"/>
        <v>37</v>
      </c>
      <c r="U168" s="262">
        <f t="shared" si="115"/>
        <v>37</v>
      </c>
      <c r="V168" s="262">
        <f t="shared" si="115"/>
        <v>37</v>
      </c>
      <c r="W168" s="262">
        <f t="shared" si="115"/>
        <v>37</v>
      </c>
      <c r="X168" s="262">
        <f t="shared" si="115"/>
        <v>37</v>
      </c>
      <c r="Y168" s="262">
        <f t="shared" si="115"/>
        <v>37</v>
      </c>
      <c r="Z168" s="262">
        <f t="shared" si="115"/>
        <v>37</v>
      </c>
      <c r="AA168" s="262">
        <f t="shared" si="115"/>
        <v>37</v>
      </c>
      <c r="AB168" s="261">
        <f t="shared" si="115"/>
        <v>37</v>
      </c>
      <c r="AC168" s="262">
        <f t="shared" si="115"/>
        <v>37</v>
      </c>
      <c r="AD168" s="262">
        <f t="shared" si="115"/>
        <v>37</v>
      </c>
      <c r="AE168" s="262">
        <f t="shared" si="115"/>
        <v>37</v>
      </c>
      <c r="AF168" s="262">
        <f t="shared" si="115"/>
        <v>37</v>
      </c>
      <c r="AG168" s="262">
        <f t="shared" si="115"/>
        <v>37</v>
      </c>
      <c r="AH168" s="262">
        <f t="shared" si="115"/>
        <v>37</v>
      </c>
      <c r="AI168" s="262">
        <f t="shared" si="115"/>
        <v>37</v>
      </c>
      <c r="AJ168" s="262">
        <f t="shared" si="115"/>
        <v>37</v>
      </c>
      <c r="AK168" s="262">
        <f t="shared" si="115"/>
        <v>37</v>
      </c>
      <c r="AL168" s="262">
        <f t="shared" si="115"/>
        <v>37</v>
      </c>
      <c r="AM168" s="262">
        <f t="shared" si="115"/>
        <v>37</v>
      </c>
    </row>
    <row r="169" spans="2:39" s="259" customFormat="1" hidden="1" outlineLevel="1" x14ac:dyDescent="0.25">
      <c r="B169" s="259" t="str">
        <f t="shared" si="107"/>
        <v>DagrenHandel</v>
      </c>
      <c r="C169" s="260" t="s">
        <v>259</v>
      </c>
      <c r="D169" s="261">
        <f t="shared" ref="D169:AM169" si="116">$S13</f>
        <v>37</v>
      </c>
      <c r="E169" s="262">
        <f t="shared" si="116"/>
        <v>37</v>
      </c>
      <c r="F169" s="262">
        <f t="shared" si="116"/>
        <v>37</v>
      </c>
      <c r="G169" s="262">
        <f t="shared" si="116"/>
        <v>37</v>
      </c>
      <c r="H169" s="262">
        <f t="shared" si="116"/>
        <v>37</v>
      </c>
      <c r="I169" s="262">
        <f t="shared" si="116"/>
        <v>37</v>
      </c>
      <c r="J169" s="262">
        <f t="shared" si="116"/>
        <v>37</v>
      </c>
      <c r="K169" s="262">
        <f t="shared" si="116"/>
        <v>37</v>
      </c>
      <c r="L169" s="262">
        <f t="shared" si="116"/>
        <v>37</v>
      </c>
      <c r="M169" s="262">
        <f t="shared" si="116"/>
        <v>37</v>
      </c>
      <c r="N169" s="262">
        <f t="shared" si="116"/>
        <v>37</v>
      </c>
      <c r="O169" s="262">
        <f t="shared" si="116"/>
        <v>37</v>
      </c>
      <c r="P169" s="261">
        <f t="shared" si="116"/>
        <v>37</v>
      </c>
      <c r="Q169" s="262">
        <f t="shared" si="116"/>
        <v>37</v>
      </c>
      <c r="R169" s="262">
        <f t="shared" si="116"/>
        <v>37</v>
      </c>
      <c r="S169" s="262">
        <f t="shared" si="116"/>
        <v>37</v>
      </c>
      <c r="T169" s="262">
        <f t="shared" si="116"/>
        <v>37</v>
      </c>
      <c r="U169" s="262">
        <f t="shared" si="116"/>
        <v>37</v>
      </c>
      <c r="V169" s="262">
        <f t="shared" si="116"/>
        <v>37</v>
      </c>
      <c r="W169" s="262">
        <f t="shared" si="116"/>
        <v>37</v>
      </c>
      <c r="X169" s="262">
        <f t="shared" si="116"/>
        <v>37</v>
      </c>
      <c r="Y169" s="262">
        <f t="shared" si="116"/>
        <v>37</v>
      </c>
      <c r="Z169" s="262">
        <f t="shared" si="116"/>
        <v>37</v>
      </c>
      <c r="AA169" s="262">
        <f t="shared" si="116"/>
        <v>37</v>
      </c>
      <c r="AB169" s="261">
        <f t="shared" si="116"/>
        <v>37</v>
      </c>
      <c r="AC169" s="262">
        <f t="shared" si="116"/>
        <v>37</v>
      </c>
      <c r="AD169" s="262">
        <f t="shared" si="116"/>
        <v>37</v>
      </c>
      <c r="AE169" s="262">
        <f t="shared" si="116"/>
        <v>37</v>
      </c>
      <c r="AF169" s="262">
        <f t="shared" si="116"/>
        <v>37</v>
      </c>
      <c r="AG169" s="262">
        <f t="shared" si="116"/>
        <v>37</v>
      </c>
      <c r="AH169" s="262">
        <f t="shared" si="116"/>
        <v>37</v>
      </c>
      <c r="AI169" s="262">
        <f t="shared" si="116"/>
        <v>37</v>
      </c>
      <c r="AJ169" s="262">
        <f t="shared" si="116"/>
        <v>37</v>
      </c>
      <c r="AK169" s="262">
        <f t="shared" si="116"/>
        <v>37</v>
      </c>
      <c r="AL169" s="262">
        <f t="shared" si="116"/>
        <v>37</v>
      </c>
      <c r="AM169" s="262">
        <f t="shared" si="116"/>
        <v>37</v>
      </c>
    </row>
    <row r="170" spans="2:39" s="259" customFormat="1" hidden="1" outlineLevel="1" x14ac:dyDescent="0.25">
      <c r="B170" s="259" t="str">
        <f t="shared" si="107"/>
        <v>DagrenRestau</v>
      </c>
      <c r="C170" s="260" t="s">
        <v>259</v>
      </c>
      <c r="D170" s="261">
        <f t="shared" ref="D170:AM170" si="117">$S14</f>
        <v>37</v>
      </c>
      <c r="E170" s="262">
        <f t="shared" si="117"/>
        <v>37</v>
      </c>
      <c r="F170" s="262">
        <f t="shared" si="117"/>
        <v>37</v>
      </c>
      <c r="G170" s="262">
        <f t="shared" si="117"/>
        <v>37</v>
      </c>
      <c r="H170" s="262">
        <f t="shared" si="117"/>
        <v>37</v>
      </c>
      <c r="I170" s="262">
        <f t="shared" si="117"/>
        <v>37</v>
      </c>
      <c r="J170" s="262">
        <f t="shared" si="117"/>
        <v>37</v>
      </c>
      <c r="K170" s="262">
        <f t="shared" si="117"/>
        <v>37</v>
      </c>
      <c r="L170" s="262">
        <f t="shared" si="117"/>
        <v>37</v>
      </c>
      <c r="M170" s="262">
        <f t="shared" si="117"/>
        <v>37</v>
      </c>
      <c r="N170" s="262">
        <f t="shared" si="117"/>
        <v>37</v>
      </c>
      <c r="O170" s="262">
        <f t="shared" si="117"/>
        <v>37</v>
      </c>
      <c r="P170" s="261">
        <f t="shared" si="117"/>
        <v>37</v>
      </c>
      <c r="Q170" s="262">
        <f t="shared" si="117"/>
        <v>37</v>
      </c>
      <c r="R170" s="262">
        <f t="shared" si="117"/>
        <v>37</v>
      </c>
      <c r="S170" s="262">
        <f t="shared" si="117"/>
        <v>37</v>
      </c>
      <c r="T170" s="262">
        <f t="shared" si="117"/>
        <v>37</v>
      </c>
      <c r="U170" s="262">
        <f t="shared" si="117"/>
        <v>37</v>
      </c>
      <c r="V170" s="262">
        <f t="shared" si="117"/>
        <v>37</v>
      </c>
      <c r="W170" s="262">
        <f t="shared" si="117"/>
        <v>37</v>
      </c>
      <c r="X170" s="262">
        <f t="shared" si="117"/>
        <v>37</v>
      </c>
      <c r="Y170" s="262">
        <f t="shared" si="117"/>
        <v>37</v>
      </c>
      <c r="Z170" s="262">
        <f t="shared" si="117"/>
        <v>37</v>
      </c>
      <c r="AA170" s="262">
        <f t="shared" si="117"/>
        <v>37</v>
      </c>
      <c r="AB170" s="261">
        <f t="shared" si="117"/>
        <v>37</v>
      </c>
      <c r="AC170" s="262">
        <f t="shared" si="117"/>
        <v>37</v>
      </c>
      <c r="AD170" s="262">
        <f t="shared" si="117"/>
        <v>37</v>
      </c>
      <c r="AE170" s="262">
        <f t="shared" si="117"/>
        <v>37</v>
      </c>
      <c r="AF170" s="262">
        <f t="shared" si="117"/>
        <v>37</v>
      </c>
      <c r="AG170" s="262">
        <f t="shared" si="117"/>
        <v>37</v>
      </c>
      <c r="AH170" s="262">
        <f t="shared" si="117"/>
        <v>37</v>
      </c>
      <c r="AI170" s="262">
        <f t="shared" si="117"/>
        <v>37</v>
      </c>
      <c r="AJ170" s="262">
        <f t="shared" si="117"/>
        <v>37</v>
      </c>
      <c r="AK170" s="262">
        <f t="shared" si="117"/>
        <v>37</v>
      </c>
      <c r="AL170" s="262">
        <f t="shared" si="117"/>
        <v>37</v>
      </c>
      <c r="AM170" s="262">
        <f t="shared" si="117"/>
        <v>37</v>
      </c>
    </row>
    <row r="171" spans="2:39" s="259" customFormat="1" hidden="1" outlineLevel="1" x14ac:dyDescent="0.25">
      <c r="B171" s="259" t="str">
        <f t="shared" si="107"/>
        <v>Erhverv</v>
      </c>
      <c r="C171" s="260" t="s">
        <v>259</v>
      </c>
      <c r="D171" s="261">
        <f t="shared" ref="D171:AM171" si="118">$S15</f>
        <v>37</v>
      </c>
      <c r="E171" s="262">
        <f t="shared" si="118"/>
        <v>37</v>
      </c>
      <c r="F171" s="262">
        <f t="shared" si="118"/>
        <v>37</v>
      </c>
      <c r="G171" s="262">
        <f t="shared" si="118"/>
        <v>37</v>
      </c>
      <c r="H171" s="262">
        <f t="shared" si="118"/>
        <v>37</v>
      </c>
      <c r="I171" s="262">
        <f t="shared" si="118"/>
        <v>37</v>
      </c>
      <c r="J171" s="262">
        <f t="shared" si="118"/>
        <v>37</v>
      </c>
      <c r="K171" s="262">
        <f t="shared" si="118"/>
        <v>37</v>
      </c>
      <c r="L171" s="262">
        <f t="shared" si="118"/>
        <v>37</v>
      </c>
      <c r="M171" s="262">
        <f t="shared" si="118"/>
        <v>37</v>
      </c>
      <c r="N171" s="262">
        <f t="shared" si="118"/>
        <v>37</v>
      </c>
      <c r="O171" s="262">
        <f t="shared" si="118"/>
        <v>37</v>
      </c>
      <c r="P171" s="261">
        <f t="shared" si="118"/>
        <v>37</v>
      </c>
      <c r="Q171" s="262">
        <f t="shared" si="118"/>
        <v>37</v>
      </c>
      <c r="R171" s="262">
        <f t="shared" si="118"/>
        <v>37</v>
      </c>
      <c r="S171" s="262">
        <f t="shared" si="118"/>
        <v>37</v>
      </c>
      <c r="T171" s="262">
        <f t="shared" si="118"/>
        <v>37</v>
      </c>
      <c r="U171" s="262">
        <f t="shared" si="118"/>
        <v>37</v>
      </c>
      <c r="V171" s="262">
        <f t="shared" si="118"/>
        <v>37</v>
      </c>
      <c r="W171" s="262">
        <f t="shared" si="118"/>
        <v>37</v>
      </c>
      <c r="X171" s="262">
        <f t="shared" si="118"/>
        <v>37</v>
      </c>
      <c r="Y171" s="262">
        <f t="shared" si="118"/>
        <v>37</v>
      </c>
      <c r="Z171" s="262">
        <f t="shared" si="118"/>
        <v>37</v>
      </c>
      <c r="AA171" s="262">
        <f t="shared" si="118"/>
        <v>37</v>
      </c>
      <c r="AB171" s="261">
        <f t="shared" si="118"/>
        <v>37</v>
      </c>
      <c r="AC171" s="262">
        <f t="shared" si="118"/>
        <v>37</v>
      </c>
      <c r="AD171" s="262">
        <f t="shared" si="118"/>
        <v>37</v>
      </c>
      <c r="AE171" s="262">
        <f t="shared" si="118"/>
        <v>37</v>
      </c>
      <c r="AF171" s="262">
        <f t="shared" si="118"/>
        <v>37</v>
      </c>
      <c r="AG171" s="262">
        <f t="shared" si="118"/>
        <v>37</v>
      </c>
      <c r="AH171" s="262">
        <f t="shared" si="118"/>
        <v>37</v>
      </c>
      <c r="AI171" s="262">
        <f t="shared" si="118"/>
        <v>37</v>
      </c>
      <c r="AJ171" s="262">
        <f t="shared" si="118"/>
        <v>37</v>
      </c>
      <c r="AK171" s="262">
        <f t="shared" si="118"/>
        <v>37</v>
      </c>
      <c r="AL171" s="262">
        <f t="shared" si="118"/>
        <v>37</v>
      </c>
      <c r="AM171" s="262">
        <f t="shared" si="118"/>
        <v>37</v>
      </c>
    </row>
    <row r="172" spans="2:39" s="259" customFormat="1" hidden="1" outlineLevel="1" x14ac:dyDescent="0.25">
      <c r="B172" s="259" t="str">
        <f t="shared" si="107"/>
        <v>DagrenErhverv</v>
      </c>
      <c r="C172" s="260" t="s">
        <v>259</v>
      </c>
      <c r="D172" s="261">
        <f t="shared" ref="D172:AM172" si="119">$S16</f>
        <v>37</v>
      </c>
      <c r="E172" s="262">
        <f t="shared" si="119"/>
        <v>37</v>
      </c>
      <c r="F172" s="262">
        <f t="shared" si="119"/>
        <v>37</v>
      </c>
      <c r="G172" s="262">
        <f t="shared" si="119"/>
        <v>37</v>
      </c>
      <c r="H172" s="262">
        <f t="shared" si="119"/>
        <v>37</v>
      </c>
      <c r="I172" s="262">
        <f t="shared" si="119"/>
        <v>37</v>
      </c>
      <c r="J172" s="262">
        <f t="shared" si="119"/>
        <v>37</v>
      </c>
      <c r="K172" s="262">
        <f t="shared" si="119"/>
        <v>37</v>
      </c>
      <c r="L172" s="262">
        <f t="shared" si="119"/>
        <v>37</v>
      </c>
      <c r="M172" s="262">
        <f t="shared" si="119"/>
        <v>37</v>
      </c>
      <c r="N172" s="262">
        <f t="shared" si="119"/>
        <v>37</v>
      </c>
      <c r="O172" s="262">
        <f t="shared" si="119"/>
        <v>37</v>
      </c>
      <c r="P172" s="261">
        <f t="shared" si="119"/>
        <v>37</v>
      </c>
      <c r="Q172" s="262">
        <f t="shared" si="119"/>
        <v>37</v>
      </c>
      <c r="R172" s="262">
        <f t="shared" si="119"/>
        <v>37</v>
      </c>
      <c r="S172" s="262">
        <f t="shared" si="119"/>
        <v>37</v>
      </c>
      <c r="T172" s="262">
        <f t="shared" si="119"/>
        <v>37</v>
      </c>
      <c r="U172" s="262">
        <f t="shared" si="119"/>
        <v>37</v>
      </c>
      <c r="V172" s="262">
        <f t="shared" si="119"/>
        <v>37</v>
      </c>
      <c r="W172" s="262">
        <f t="shared" si="119"/>
        <v>37</v>
      </c>
      <c r="X172" s="262">
        <f t="shared" si="119"/>
        <v>37</v>
      </c>
      <c r="Y172" s="262">
        <f t="shared" si="119"/>
        <v>37</v>
      </c>
      <c r="Z172" s="262">
        <f t="shared" si="119"/>
        <v>37</v>
      </c>
      <c r="AA172" s="262">
        <f t="shared" si="119"/>
        <v>37</v>
      </c>
      <c r="AB172" s="261">
        <f t="shared" si="119"/>
        <v>37</v>
      </c>
      <c r="AC172" s="262">
        <f t="shared" si="119"/>
        <v>37</v>
      </c>
      <c r="AD172" s="262">
        <f t="shared" si="119"/>
        <v>37</v>
      </c>
      <c r="AE172" s="262">
        <f t="shared" si="119"/>
        <v>37</v>
      </c>
      <c r="AF172" s="262">
        <f t="shared" si="119"/>
        <v>37</v>
      </c>
      <c r="AG172" s="262">
        <f t="shared" si="119"/>
        <v>37</v>
      </c>
      <c r="AH172" s="262">
        <f t="shared" si="119"/>
        <v>37</v>
      </c>
      <c r="AI172" s="262">
        <f t="shared" si="119"/>
        <v>37</v>
      </c>
      <c r="AJ172" s="262">
        <f t="shared" si="119"/>
        <v>37</v>
      </c>
      <c r="AK172" s="262">
        <f t="shared" si="119"/>
        <v>37</v>
      </c>
      <c r="AL172" s="262">
        <f t="shared" si="119"/>
        <v>37</v>
      </c>
      <c r="AM172" s="262">
        <f t="shared" si="119"/>
        <v>37</v>
      </c>
    </row>
    <row r="173" spans="2:39" s="259" customFormat="1" hidden="1" outlineLevel="1" x14ac:dyDescent="0.25">
      <c r="B173" s="259" t="str">
        <f t="shared" si="107"/>
        <v>HandelKontor</v>
      </c>
      <c r="C173" s="260" t="s">
        <v>259</v>
      </c>
      <c r="D173" s="261">
        <f t="shared" ref="D173:AM173" si="120">$S17</f>
        <v>37</v>
      </c>
      <c r="E173" s="262">
        <f t="shared" si="120"/>
        <v>37</v>
      </c>
      <c r="F173" s="262">
        <f t="shared" si="120"/>
        <v>37</v>
      </c>
      <c r="G173" s="262">
        <f t="shared" si="120"/>
        <v>37</v>
      </c>
      <c r="H173" s="262">
        <f t="shared" si="120"/>
        <v>37</v>
      </c>
      <c r="I173" s="262">
        <f t="shared" si="120"/>
        <v>37</v>
      </c>
      <c r="J173" s="262">
        <f t="shared" si="120"/>
        <v>37</v>
      </c>
      <c r="K173" s="262">
        <f t="shared" si="120"/>
        <v>37</v>
      </c>
      <c r="L173" s="262">
        <f t="shared" si="120"/>
        <v>37</v>
      </c>
      <c r="M173" s="262">
        <f t="shared" si="120"/>
        <v>37</v>
      </c>
      <c r="N173" s="262">
        <f t="shared" si="120"/>
        <v>37</v>
      </c>
      <c r="O173" s="262">
        <f t="shared" si="120"/>
        <v>37</v>
      </c>
      <c r="P173" s="261">
        <f t="shared" si="120"/>
        <v>37</v>
      </c>
      <c r="Q173" s="262">
        <f t="shared" si="120"/>
        <v>37</v>
      </c>
      <c r="R173" s="262">
        <f t="shared" si="120"/>
        <v>37</v>
      </c>
      <c r="S173" s="262">
        <f t="shared" si="120"/>
        <v>37</v>
      </c>
      <c r="T173" s="262">
        <f t="shared" si="120"/>
        <v>37</v>
      </c>
      <c r="U173" s="262">
        <f t="shared" si="120"/>
        <v>37</v>
      </c>
      <c r="V173" s="262">
        <f t="shared" si="120"/>
        <v>37</v>
      </c>
      <c r="W173" s="262">
        <f t="shared" si="120"/>
        <v>37</v>
      </c>
      <c r="X173" s="262">
        <f t="shared" si="120"/>
        <v>37</v>
      </c>
      <c r="Y173" s="262">
        <f t="shared" si="120"/>
        <v>37</v>
      </c>
      <c r="Z173" s="262">
        <f t="shared" si="120"/>
        <v>37</v>
      </c>
      <c r="AA173" s="262">
        <f t="shared" si="120"/>
        <v>37</v>
      </c>
      <c r="AB173" s="261">
        <f t="shared" si="120"/>
        <v>37</v>
      </c>
      <c r="AC173" s="262">
        <f t="shared" si="120"/>
        <v>37</v>
      </c>
      <c r="AD173" s="262">
        <f t="shared" si="120"/>
        <v>37</v>
      </c>
      <c r="AE173" s="262">
        <f t="shared" si="120"/>
        <v>37</v>
      </c>
      <c r="AF173" s="262">
        <f t="shared" si="120"/>
        <v>37</v>
      </c>
      <c r="AG173" s="262">
        <f t="shared" si="120"/>
        <v>37</v>
      </c>
      <c r="AH173" s="262">
        <f t="shared" si="120"/>
        <v>37</v>
      </c>
      <c r="AI173" s="262">
        <f t="shared" si="120"/>
        <v>37</v>
      </c>
      <c r="AJ173" s="262">
        <f t="shared" si="120"/>
        <v>37</v>
      </c>
      <c r="AK173" s="262">
        <f t="shared" si="120"/>
        <v>37</v>
      </c>
      <c r="AL173" s="262">
        <f t="shared" si="120"/>
        <v>37</v>
      </c>
      <c r="AM173" s="262">
        <f t="shared" si="120"/>
        <v>37</v>
      </c>
    </row>
    <row r="174" spans="2:39" s="259" customFormat="1" hidden="1" outlineLevel="1" x14ac:dyDescent="0.25">
      <c r="B174" s="259" t="str">
        <f t="shared" si="107"/>
        <v>Privat</v>
      </c>
      <c r="C174" s="260" t="s">
        <v>259</v>
      </c>
      <c r="D174" s="261">
        <f t="shared" ref="D174:AM174" si="121">$S18</f>
        <v>37</v>
      </c>
      <c r="E174" s="262">
        <f t="shared" si="121"/>
        <v>37</v>
      </c>
      <c r="F174" s="262">
        <f t="shared" si="121"/>
        <v>37</v>
      </c>
      <c r="G174" s="262">
        <f t="shared" si="121"/>
        <v>37</v>
      </c>
      <c r="H174" s="262">
        <f t="shared" si="121"/>
        <v>37</v>
      </c>
      <c r="I174" s="262">
        <f t="shared" si="121"/>
        <v>37</v>
      </c>
      <c r="J174" s="262">
        <f t="shared" si="121"/>
        <v>37</v>
      </c>
      <c r="K174" s="262">
        <f t="shared" si="121"/>
        <v>37</v>
      </c>
      <c r="L174" s="262">
        <f t="shared" si="121"/>
        <v>37</v>
      </c>
      <c r="M174" s="262">
        <f t="shared" si="121"/>
        <v>37</v>
      </c>
      <c r="N174" s="262">
        <f t="shared" si="121"/>
        <v>37</v>
      </c>
      <c r="O174" s="262">
        <f t="shared" si="121"/>
        <v>37</v>
      </c>
      <c r="P174" s="261">
        <f t="shared" si="121"/>
        <v>37</v>
      </c>
      <c r="Q174" s="262">
        <f t="shared" si="121"/>
        <v>37</v>
      </c>
      <c r="R174" s="262">
        <f t="shared" si="121"/>
        <v>37</v>
      </c>
      <c r="S174" s="262">
        <f t="shared" si="121"/>
        <v>37</v>
      </c>
      <c r="T174" s="262">
        <f t="shared" si="121"/>
        <v>37</v>
      </c>
      <c r="U174" s="262">
        <f t="shared" si="121"/>
        <v>37</v>
      </c>
      <c r="V174" s="262">
        <f t="shared" si="121"/>
        <v>37</v>
      </c>
      <c r="W174" s="262">
        <f t="shared" si="121"/>
        <v>37</v>
      </c>
      <c r="X174" s="262">
        <f t="shared" si="121"/>
        <v>37</v>
      </c>
      <c r="Y174" s="262">
        <f t="shared" si="121"/>
        <v>37</v>
      </c>
      <c r="Z174" s="262">
        <f t="shared" si="121"/>
        <v>37</v>
      </c>
      <c r="AA174" s="262">
        <f t="shared" si="121"/>
        <v>37</v>
      </c>
      <c r="AB174" s="261">
        <f t="shared" si="121"/>
        <v>37</v>
      </c>
      <c r="AC174" s="262">
        <f t="shared" si="121"/>
        <v>37</v>
      </c>
      <c r="AD174" s="262">
        <f t="shared" si="121"/>
        <v>37</v>
      </c>
      <c r="AE174" s="262">
        <f t="shared" si="121"/>
        <v>37</v>
      </c>
      <c r="AF174" s="262">
        <f t="shared" si="121"/>
        <v>37</v>
      </c>
      <c r="AG174" s="262">
        <f t="shared" si="121"/>
        <v>37</v>
      </c>
      <c r="AH174" s="262">
        <f t="shared" si="121"/>
        <v>37</v>
      </c>
      <c r="AI174" s="262">
        <f t="shared" si="121"/>
        <v>37</v>
      </c>
      <c r="AJ174" s="262">
        <f t="shared" si="121"/>
        <v>37</v>
      </c>
      <c r="AK174" s="262">
        <f t="shared" si="121"/>
        <v>37</v>
      </c>
      <c r="AL174" s="262">
        <f t="shared" si="121"/>
        <v>37</v>
      </c>
      <c r="AM174" s="262">
        <f t="shared" si="121"/>
        <v>37</v>
      </c>
    </row>
    <row r="175" spans="2:39" s="259" customFormat="1" hidden="1" outlineLevel="1" x14ac:dyDescent="0.25">
      <c r="B175" s="259" t="str">
        <f t="shared" si="107"/>
        <v>TyskRest</v>
      </c>
      <c r="C175" s="260" t="s">
        <v>259</v>
      </c>
      <c r="D175" s="261">
        <f t="shared" ref="D175:AM175" si="122">$S19</f>
        <v>37</v>
      </c>
      <c r="E175" s="262">
        <f t="shared" si="122"/>
        <v>37</v>
      </c>
      <c r="F175" s="262">
        <f t="shared" si="122"/>
        <v>37</v>
      </c>
      <c r="G175" s="262">
        <f t="shared" si="122"/>
        <v>37</v>
      </c>
      <c r="H175" s="262">
        <f t="shared" si="122"/>
        <v>37</v>
      </c>
      <c r="I175" s="262">
        <f t="shared" si="122"/>
        <v>37</v>
      </c>
      <c r="J175" s="262">
        <f t="shared" si="122"/>
        <v>37</v>
      </c>
      <c r="K175" s="262">
        <f t="shared" si="122"/>
        <v>37</v>
      </c>
      <c r="L175" s="262">
        <f t="shared" si="122"/>
        <v>37</v>
      </c>
      <c r="M175" s="262">
        <f t="shared" si="122"/>
        <v>37</v>
      </c>
      <c r="N175" s="262">
        <f t="shared" si="122"/>
        <v>37</v>
      </c>
      <c r="O175" s="262">
        <f t="shared" si="122"/>
        <v>37</v>
      </c>
      <c r="P175" s="261">
        <f t="shared" si="122"/>
        <v>37</v>
      </c>
      <c r="Q175" s="262">
        <f t="shared" si="122"/>
        <v>37</v>
      </c>
      <c r="R175" s="262">
        <f t="shared" si="122"/>
        <v>37</v>
      </c>
      <c r="S175" s="262">
        <f t="shared" si="122"/>
        <v>37</v>
      </c>
      <c r="T175" s="262">
        <f t="shared" si="122"/>
        <v>37</v>
      </c>
      <c r="U175" s="262">
        <f t="shared" si="122"/>
        <v>37</v>
      </c>
      <c r="V175" s="262">
        <f t="shared" si="122"/>
        <v>37</v>
      </c>
      <c r="W175" s="262">
        <f t="shared" si="122"/>
        <v>37</v>
      </c>
      <c r="X175" s="262">
        <f t="shared" si="122"/>
        <v>37</v>
      </c>
      <c r="Y175" s="262">
        <f t="shared" si="122"/>
        <v>37</v>
      </c>
      <c r="Z175" s="262">
        <f t="shared" si="122"/>
        <v>37</v>
      </c>
      <c r="AA175" s="262">
        <f t="shared" si="122"/>
        <v>37</v>
      </c>
      <c r="AB175" s="261">
        <f t="shared" si="122"/>
        <v>37</v>
      </c>
      <c r="AC175" s="262">
        <f t="shared" si="122"/>
        <v>37</v>
      </c>
      <c r="AD175" s="262">
        <f t="shared" si="122"/>
        <v>37</v>
      </c>
      <c r="AE175" s="262">
        <f t="shared" si="122"/>
        <v>37</v>
      </c>
      <c r="AF175" s="262">
        <f t="shared" si="122"/>
        <v>37</v>
      </c>
      <c r="AG175" s="262">
        <f t="shared" si="122"/>
        <v>37</v>
      </c>
      <c r="AH175" s="262">
        <f t="shared" si="122"/>
        <v>37</v>
      </c>
      <c r="AI175" s="262">
        <f t="shared" si="122"/>
        <v>37</v>
      </c>
      <c r="AJ175" s="262">
        <f t="shared" si="122"/>
        <v>37</v>
      </c>
      <c r="AK175" s="262">
        <f t="shared" si="122"/>
        <v>37</v>
      </c>
      <c r="AL175" s="262">
        <f t="shared" si="122"/>
        <v>37</v>
      </c>
      <c r="AM175" s="262">
        <f t="shared" si="122"/>
        <v>37</v>
      </c>
    </row>
    <row r="176" spans="2:39" s="259" customFormat="1" hidden="1" outlineLevel="1" x14ac:dyDescent="0.25">
      <c r="B176" s="259" t="str">
        <f t="shared" si="107"/>
        <v>PolskRest</v>
      </c>
      <c r="C176" s="260" t="s">
        <v>259</v>
      </c>
      <c r="D176" s="261">
        <f t="shared" ref="D176:AM176" si="123">$S20</f>
        <v>37</v>
      </c>
      <c r="E176" s="262">
        <f t="shared" si="123"/>
        <v>37</v>
      </c>
      <c r="F176" s="262">
        <f t="shared" si="123"/>
        <v>37</v>
      </c>
      <c r="G176" s="262">
        <f t="shared" si="123"/>
        <v>37</v>
      </c>
      <c r="H176" s="262">
        <f t="shared" si="123"/>
        <v>37</v>
      </c>
      <c r="I176" s="262">
        <f t="shared" si="123"/>
        <v>37</v>
      </c>
      <c r="J176" s="262">
        <f t="shared" si="123"/>
        <v>37</v>
      </c>
      <c r="K176" s="262">
        <f t="shared" si="123"/>
        <v>37</v>
      </c>
      <c r="L176" s="262">
        <f t="shared" si="123"/>
        <v>37</v>
      </c>
      <c r="M176" s="262">
        <f t="shared" si="123"/>
        <v>37</v>
      </c>
      <c r="N176" s="262">
        <f t="shared" si="123"/>
        <v>37</v>
      </c>
      <c r="O176" s="262">
        <f t="shared" si="123"/>
        <v>37</v>
      </c>
      <c r="P176" s="261">
        <f t="shared" si="123"/>
        <v>37</v>
      </c>
      <c r="Q176" s="262">
        <f t="shared" si="123"/>
        <v>37</v>
      </c>
      <c r="R176" s="262">
        <f t="shared" si="123"/>
        <v>37</v>
      </c>
      <c r="S176" s="262">
        <f t="shared" si="123"/>
        <v>37</v>
      </c>
      <c r="T176" s="262">
        <f t="shared" si="123"/>
        <v>37</v>
      </c>
      <c r="U176" s="262">
        <f t="shared" si="123"/>
        <v>37</v>
      </c>
      <c r="V176" s="262">
        <f t="shared" si="123"/>
        <v>37</v>
      </c>
      <c r="W176" s="262">
        <f t="shared" si="123"/>
        <v>37</v>
      </c>
      <c r="X176" s="262">
        <f t="shared" si="123"/>
        <v>37</v>
      </c>
      <c r="Y176" s="262">
        <f t="shared" si="123"/>
        <v>37</v>
      </c>
      <c r="Z176" s="262">
        <f t="shared" si="123"/>
        <v>37</v>
      </c>
      <c r="AA176" s="262">
        <f t="shared" si="123"/>
        <v>37</v>
      </c>
      <c r="AB176" s="261">
        <f t="shared" si="123"/>
        <v>37</v>
      </c>
      <c r="AC176" s="262">
        <f t="shared" si="123"/>
        <v>37</v>
      </c>
      <c r="AD176" s="262">
        <f t="shared" si="123"/>
        <v>37</v>
      </c>
      <c r="AE176" s="262">
        <f t="shared" si="123"/>
        <v>37</v>
      </c>
      <c r="AF176" s="262">
        <f t="shared" si="123"/>
        <v>37</v>
      </c>
      <c r="AG176" s="262">
        <f t="shared" si="123"/>
        <v>37</v>
      </c>
      <c r="AH176" s="262">
        <f t="shared" si="123"/>
        <v>37</v>
      </c>
      <c r="AI176" s="262">
        <f t="shared" si="123"/>
        <v>37</v>
      </c>
      <c r="AJ176" s="262">
        <f t="shared" si="123"/>
        <v>37</v>
      </c>
      <c r="AK176" s="262">
        <f t="shared" si="123"/>
        <v>37</v>
      </c>
      <c r="AL176" s="262">
        <f t="shared" si="123"/>
        <v>37</v>
      </c>
      <c r="AM176" s="262">
        <f t="shared" si="123"/>
        <v>37</v>
      </c>
    </row>
    <row r="177" spans="1:39" s="259" customFormat="1" hidden="1" outlineLevel="1" x14ac:dyDescent="0.25">
      <c r="B177" s="259" t="str">
        <f t="shared" si="107"/>
        <v>PcbTrae</v>
      </c>
      <c r="C177" s="260" t="s">
        <v>259</v>
      </c>
      <c r="D177" s="261">
        <f t="shared" ref="D177:AM177" si="124">$S21</f>
        <v>37</v>
      </c>
      <c r="E177" s="262">
        <f t="shared" si="124"/>
        <v>37</v>
      </c>
      <c r="F177" s="262">
        <f t="shared" si="124"/>
        <v>37</v>
      </c>
      <c r="G177" s="262">
        <f t="shared" si="124"/>
        <v>37</v>
      </c>
      <c r="H177" s="262">
        <f t="shared" si="124"/>
        <v>37</v>
      </c>
      <c r="I177" s="262">
        <f t="shared" si="124"/>
        <v>37</v>
      </c>
      <c r="J177" s="262">
        <f t="shared" si="124"/>
        <v>37</v>
      </c>
      <c r="K177" s="262">
        <f t="shared" si="124"/>
        <v>37</v>
      </c>
      <c r="L177" s="262">
        <f t="shared" si="124"/>
        <v>37</v>
      </c>
      <c r="M177" s="262">
        <f t="shared" si="124"/>
        <v>37</v>
      </c>
      <c r="N177" s="262">
        <f t="shared" si="124"/>
        <v>37</v>
      </c>
      <c r="O177" s="262">
        <f t="shared" si="124"/>
        <v>37</v>
      </c>
      <c r="P177" s="261">
        <f t="shared" si="124"/>
        <v>37</v>
      </c>
      <c r="Q177" s="262">
        <f t="shared" si="124"/>
        <v>37</v>
      </c>
      <c r="R177" s="262">
        <f t="shared" si="124"/>
        <v>37</v>
      </c>
      <c r="S177" s="262">
        <f t="shared" si="124"/>
        <v>37</v>
      </c>
      <c r="T177" s="262">
        <f t="shared" si="124"/>
        <v>37</v>
      </c>
      <c r="U177" s="262">
        <f t="shared" si="124"/>
        <v>37</v>
      </c>
      <c r="V177" s="262">
        <f t="shared" si="124"/>
        <v>37</v>
      </c>
      <c r="W177" s="262">
        <f t="shared" si="124"/>
        <v>37</v>
      </c>
      <c r="X177" s="262">
        <f t="shared" si="124"/>
        <v>37</v>
      </c>
      <c r="Y177" s="262">
        <f t="shared" si="124"/>
        <v>37</v>
      </c>
      <c r="Z177" s="262">
        <f t="shared" si="124"/>
        <v>37</v>
      </c>
      <c r="AA177" s="262">
        <f t="shared" si="124"/>
        <v>37</v>
      </c>
      <c r="AB177" s="261">
        <f t="shared" si="124"/>
        <v>37</v>
      </c>
      <c r="AC177" s="262">
        <f t="shared" si="124"/>
        <v>37</v>
      </c>
      <c r="AD177" s="262">
        <f t="shared" si="124"/>
        <v>37</v>
      </c>
      <c r="AE177" s="262">
        <f t="shared" si="124"/>
        <v>37</v>
      </c>
      <c r="AF177" s="262">
        <f t="shared" si="124"/>
        <v>37</v>
      </c>
      <c r="AG177" s="262">
        <f t="shared" si="124"/>
        <v>37</v>
      </c>
      <c r="AH177" s="262">
        <f t="shared" si="124"/>
        <v>37</v>
      </c>
      <c r="AI177" s="262">
        <f t="shared" si="124"/>
        <v>37</v>
      </c>
      <c r="AJ177" s="262">
        <f t="shared" si="124"/>
        <v>37</v>
      </c>
      <c r="AK177" s="262">
        <f t="shared" si="124"/>
        <v>37</v>
      </c>
      <c r="AL177" s="262">
        <f t="shared" si="124"/>
        <v>37</v>
      </c>
      <c r="AM177" s="262">
        <f t="shared" si="124"/>
        <v>37</v>
      </c>
    </row>
    <row r="178" spans="1:39" s="259" customFormat="1" hidden="1" outlineLevel="1" x14ac:dyDescent="0.25">
      <c r="B178" s="259" t="str">
        <f t="shared" si="107"/>
        <v>TraeRekv</v>
      </c>
      <c r="C178" s="260" t="s">
        <v>259</v>
      </c>
      <c r="D178" s="261">
        <f t="shared" ref="D178:AM178" si="125">$S22</f>
        <v>37</v>
      </c>
      <c r="E178" s="262">
        <f t="shared" si="125"/>
        <v>37</v>
      </c>
      <c r="F178" s="262">
        <f t="shared" si="125"/>
        <v>37</v>
      </c>
      <c r="G178" s="262">
        <f t="shared" si="125"/>
        <v>37</v>
      </c>
      <c r="H178" s="262">
        <f t="shared" si="125"/>
        <v>37</v>
      </c>
      <c r="I178" s="262">
        <f t="shared" si="125"/>
        <v>37</v>
      </c>
      <c r="J178" s="262">
        <f t="shared" si="125"/>
        <v>37</v>
      </c>
      <c r="K178" s="262">
        <f t="shared" si="125"/>
        <v>37</v>
      </c>
      <c r="L178" s="262">
        <f t="shared" si="125"/>
        <v>37</v>
      </c>
      <c r="M178" s="262">
        <f t="shared" si="125"/>
        <v>37</v>
      </c>
      <c r="N178" s="262">
        <f t="shared" si="125"/>
        <v>37</v>
      </c>
      <c r="O178" s="262">
        <f t="shared" si="125"/>
        <v>37</v>
      </c>
      <c r="P178" s="261">
        <f t="shared" si="125"/>
        <v>37</v>
      </c>
      <c r="Q178" s="262">
        <f t="shared" si="125"/>
        <v>37</v>
      </c>
      <c r="R178" s="262">
        <f t="shared" si="125"/>
        <v>37</v>
      </c>
      <c r="S178" s="262">
        <f t="shared" si="125"/>
        <v>37</v>
      </c>
      <c r="T178" s="262">
        <f t="shared" si="125"/>
        <v>37</v>
      </c>
      <c r="U178" s="262">
        <f t="shared" si="125"/>
        <v>37</v>
      </c>
      <c r="V178" s="262">
        <f t="shared" si="125"/>
        <v>37</v>
      </c>
      <c r="W178" s="262">
        <f t="shared" si="125"/>
        <v>37</v>
      </c>
      <c r="X178" s="262">
        <f t="shared" si="125"/>
        <v>37</v>
      </c>
      <c r="Y178" s="262">
        <f t="shared" si="125"/>
        <v>37</v>
      </c>
      <c r="Z178" s="262">
        <f t="shared" si="125"/>
        <v>37</v>
      </c>
      <c r="AA178" s="262">
        <f t="shared" si="125"/>
        <v>37</v>
      </c>
      <c r="AB178" s="261">
        <f t="shared" si="125"/>
        <v>37</v>
      </c>
      <c r="AC178" s="262">
        <f t="shared" si="125"/>
        <v>37</v>
      </c>
      <c r="AD178" s="262">
        <f t="shared" si="125"/>
        <v>37</v>
      </c>
      <c r="AE178" s="262">
        <f t="shared" si="125"/>
        <v>37</v>
      </c>
      <c r="AF178" s="262">
        <f t="shared" si="125"/>
        <v>37</v>
      </c>
      <c r="AG178" s="262">
        <f t="shared" si="125"/>
        <v>37</v>
      </c>
      <c r="AH178" s="262">
        <f t="shared" si="125"/>
        <v>37</v>
      </c>
      <c r="AI178" s="262">
        <f t="shared" si="125"/>
        <v>37</v>
      </c>
      <c r="AJ178" s="262">
        <f t="shared" si="125"/>
        <v>37</v>
      </c>
      <c r="AK178" s="262">
        <f t="shared" si="125"/>
        <v>37</v>
      </c>
      <c r="AL178" s="262">
        <f t="shared" si="125"/>
        <v>37</v>
      </c>
      <c r="AM178" s="262">
        <f t="shared" si="125"/>
        <v>37</v>
      </c>
    </row>
    <row r="179" spans="1:39" s="259" customFormat="1" hidden="1" outlineLevel="1" x14ac:dyDescent="0.25">
      <c r="B179" s="259" t="str">
        <f t="shared" si="107"/>
        <v>Halm</v>
      </c>
      <c r="C179" s="260" t="s">
        <v>259</v>
      </c>
      <c r="D179" s="261">
        <f t="shared" ref="D179:AM179" si="126">$S23</f>
        <v>37</v>
      </c>
      <c r="E179" s="262">
        <f t="shared" si="126"/>
        <v>37</v>
      </c>
      <c r="F179" s="262">
        <f t="shared" si="126"/>
        <v>37</v>
      </c>
      <c r="G179" s="262">
        <f t="shared" si="126"/>
        <v>37</v>
      </c>
      <c r="H179" s="262">
        <f t="shared" si="126"/>
        <v>37</v>
      </c>
      <c r="I179" s="262">
        <f t="shared" si="126"/>
        <v>37</v>
      </c>
      <c r="J179" s="262">
        <f t="shared" si="126"/>
        <v>37</v>
      </c>
      <c r="K179" s="262">
        <f t="shared" si="126"/>
        <v>37</v>
      </c>
      <c r="L179" s="262">
        <f t="shared" si="126"/>
        <v>37</v>
      </c>
      <c r="M179" s="262">
        <f t="shared" si="126"/>
        <v>37</v>
      </c>
      <c r="N179" s="262">
        <f t="shared" si="126"/>
        <v>37</v>
      </c>
      <c r="O179" s="262">
        <f t="shared" si="126"/>
        <v>37</v>
      </c>
      <c r="P179" s="261">
        <f t="shared" si="126"/>
        <v>37</v>
      </c>
      <c r="Q179" s="262">
        <f t="shared" si="126"/>
        <v>37</v>
      </c>
      <c r="R179" s="262">
        <f t="shared" si="126"/>
        <v>37</v>
      </c>
      <c r="S179" s="262">
        <f t="shared" si="126"/>
        <v>37</v>
      </c>
      <c r="T179" s="262">
        <f t="shared" si="126"/>
        <v>37</v>
      </c>
      <c r="U179" s="262">
        <f t="shared" si="126"/>
        <v>37</v>
      </c>
      <c r="V179" s="262">
        <f t="shared" si="126"/>
        <v>37</v>
      </c>
      <c r="W179" s="262">
        <f t="shared" si="126"/>
        <v>37</v>
      </c>
      <c r="X179" s="262">
        <f t="shared" si="126"/>
        <v>37</v>
      </c>
      <c r="Y179" s="262">
        <f t="shared" si="126"/>
        <v>37</v>
      </c>
      <c r="Z179" s="262">
        <f t="shared" si="126"/>
        <v>37</v>
      </c>
      <c r="AA179" s="262">
        <f t="shared" si="126"/>
        <v>37</v>
      </c>
      <c r="AB179" s="261">
        <f t="shared" si="126"/>
        <v>37</v>
      </c>
      <c r="AC179" s="262">
        <f t="shared" si="126"/>
        <v>37</v>
      </c>
      <c r="AD179" s="262">
        <f t="shared" si="126"/>
        <v>37</v>
      </c>
      <c r="AE179" s="262">
        <f t="shared" si="126"/>
        <v>37</v>
      </c>
      <c r="AF179" s="262">
        <f t="shared" si="126"/>
        <v>37</v>
      </c>
      <c r="AG179" s="262">
        <f t="shared" si="126"/>
        <v>37</v>
      </c>
      <c r="AH179" s="262">
        <f t="shared" si="126"/>
        <v>37</v>
      </c>
      <c r="AI179" s="262">
        <f t="shared" si="126"/>
        <v>37</v>
      </c>
      <c r="AJ179" s="262">
        <f t="shared" si="126"/>
        <v>37</v>
      </c>
      <c r="AK179" s="262">
        <f t="shared" si="126"/>
        <v>37</v>
      </c>
      <c r="AL179" s="262">
        <f t="shared" si="126"/>
        <v>37</v>
      </c>
      <c r="AM179" s="262">
        <f t="shared" si="126"/>
        <v>37</v>
      </c>
    </row>
    <row r="180" spans="1:39" s="259" customFormat="1" hidden="1" outlineLevel="1" x14ac:dyDescent="0.25">
      <c r="A180" s="263"/>
      <c r="B180" s="259" t="str">
        <f t="shared" si="107"/>
        <v>Pulver</v>
      </c>
      <c r="C180" s="260" t="s">
        <v>259</v>
      </c>
      <c r="D180" s="261">
        <f t="shared" ref="D180:AM180" si="127">$S24</f>
        <v>37</v>
      </c>
      <c r="E180" s="262">
        <f t="shared" si="127"/>
        <v>37</v>
      </c>
      <c r="F180" s="262">
        <f t="shared" si="127"/>
        <v>37</v>
      </c>
      <c r="G180" s="262">
        <f t="shared" si="127"/>
        <v>37</v>
      </c>
      <c r="H180" s="262">
        <f t="shared" si="127"/>
        <v>37</v>
      </c>
      <c r="I180" s="262">
        <f t="shared" si="127"/>
        <v>37</v>
      </c>
      <c r="J180" s="262">
        <f t="shared" si="127"/>
        <v>37</v>
      </c>
      <c r="K180" s="262">
        <f t="shared" si="127"/>
        <v>37</v>
      </c>
      <c r="L180" s="262">
        <f t="shared" si="127"/>
        <v>37</v>
      </c>
      <c r="M180" s="262">
        <f t="shared" si="127"/>
        <v>37</v>
      </c>
      <c r="N180" s="262">
        <f t="shared" si="127"/>
        <v>37</v>
      </c>
      <c r="O180" s="262">
        <f t="shared" si="127"/>
        <v>37</v>
      </c>
      <c r="P180" s="261">
        <f t="shared" si="127"/>
        <v>37</v>
      </c>
      <c r="Q180" s="262">
        <f t="shared" si="127"/>
        <v>37</v>
      </c>
      <c r="R180" s="262">
        <f t="shared" si="127"/>
        <v>37</v>
      </c>
      <c r="S180" s="262">
        <f t="shared" si="127"/>
        <v>37</v>
      </c>
      <c r="T180" s="262">
        <f t="shared" si="127"/>
        <v>37</v>
      </c>
      <c r="U180" s="262">
        <f t="shared" si="127"/>
        <v>37</v>
      </c>
      <c r="V180" s="262">
        <f t="shared" si="127"/>
        <v>37</v>
      </c>
      <c r="W180" s="262">
        <f t="shared" si="127"/>
        <v>37</v>
      </c>
      <c r="X180" s="262">
        <f t="shared" si="127"/>
        <v>37</v>
      </c>
      <c r="Y180" s="262">
        <f t="shared" si="127"/>
        <v>37</v>
      </c>
      <c r="Z180" s="262">
        <f t="shared" si="127"/>
        <v>37</v>
      </c>
      <c r="AA180" s="262">
        <f t="shared" si="127"/>
        <v>37</v>
      </c>
      <c r="AB180" s="261">
        <f t="shared" si="127"/>
        <v>37</v>
      </c>
      <c r="AC180" s="262">
        <f t="shared" si="127"/>
        <v>37</v>
      </c>
      <c r="AD180" s="262">
        <f t="shared" si="127"/>
        <v>37</v>
      </c>
      <c r="AE180" s="262">
        <f t="shared" si="127"/>
        <v>37</v>
      </c>
      <c r="AF180" s="262">
        <f t="shared" si="127"/>
        <v>37</v>
      </c>
      <c r="AG180" s="262">
        <f t="shared" si="127"/>
        <v>37</v>
      </c>
      <c r="AH180" s="262">
        <f t="shared" si="127"/>
        <v>37</v>
      </c>
      <c r="AI180" s="262">
        <f t="shared" si="127"/>
        <v>37</v>
      </c>
      <c r="AJ180" s="262">
        <f t="shared" si="127"/>
        <v>37</v>
      </c>
      <c r="AK180" s="262">
        <f t="shared" si="127"/>
        <v>37</v>
      </c>
      <c r="AL180" s="262">
        <f t="shared" si="127"/>
        <v>37</v>
      </c>
      <c r="AM180" s="262">
        <f t="shared" si="127"/>
        <v>37</v>
      </c>
    </row>
    <row r="181" spans="1:39" s="259" customFormat="1" hidden="1" outlineLevel="1" x14ac:dyDescent="0.25">
      <c r="A181" s="263"/>
      <c r="B181" s="259" t="str">
        <f t="shared" si="107"/>
        <v>FlisAffald</v>
      </c>
      <c r="C181" s="260" t="s">
        <v>259</v>
      </c>
      <c r="D181" s="261">
        <f t="shared" ref="D181:AM181" si="128">$S25</f>
        <v>0</v>
      </c>
      <c r="E181" s="262">
        <f t="shared" si="128"/>
        <v>0</v>
      </c>
      <c r="F181" s="262">
        <f t="shared" si="128"/>
        <v>0</v>
      </c>
      <c r="G181" s="262">
        <f t="shared" si="128"/>
        <v>0</v>
      </c>
      <c r="H181" s="262">
        <f t="shared" si="128"/>
        <v>0</v>
      </c>
      <c r="I181" s="262">
        <f t="shared" si="128"/>
        <v>0</v>
      </c>
      <c r="J181" s="262">
        <f t="shared" si="128"/>
        <v>0</v>
      </c>
      <c r="K181" s="262">
        <f t="shared" si="128"/>
        <v>0</v>
      </c>
      <c r="L181" s="262">
        <f t="shared" si="128"/>
        <v>0</v>
      </c>
      <c r="M181" s="262">
        <f t="shared" si="128"/>
        <v>0</v>
      </c>
      <c r="N181" s="262">
        <f t="shared" si="128"/>
        <v>0</v>
      </c>
      <c r="O181" s="262">
        <f t="shared" si="128"/>
        <v>0</v>
      </c>
      <c r="P181" s="261">
        <f t="shared" si="128"/>
        <v>0</v>
      </c>
      <c r="Q181" s="262">
        <f t="shared" si="128"/>
        <v>0</v>
      </c>
      <c r="R181" s="262">
        <f t="shared" si="128"/>
        <v>0</v>
      </c>
      <c r="S181" s="262">
        <f t="shared" si="128"/>
        <v>0</v>
      </c>
      <c r="T181" s="262">
        <f t="shared" si="128"/>
        <v>0</v>
      </c>
      <c r="U181" s="262">
        <f t="shared" si="128"/>
        <v>0</v>
      </c>
      <c r="V181" s="262">
        <f t="shared" si="128"/>
        <v>0</v>
      </c>
      <c r="W181" s="262">
        <f t="shared" si="128"/>
        <v>0</v>
      </c>
      <c r="X181" s="262">
        <f t="shared" si="128"/>
        <v>0</v>
      </c>
      <c r="Y181" s="262">
        <f t="shared" si="128"/>
        <v>0</v>
      </c>
      <c r="Z181" s="262">
        <f t="shared" si="128"/>
        <v>0</v>
      </c>
      <c r="AA181" s="262">
        <f t="shared" si="128"/>
        <v>0</v>
      </c>
      <c r="AB181" s="261">
        <f t="shared" si="128"/>
        <v>0</v>
      </c>
      <c r="AC181" s="262">
        <f t="shared" si="128"/>
        <v>0</v>
      </c>
      <c r="AD181" s="262">
        <f t="shared" si="128"/>
        <v>0</v>
      </c>
      <c r="AE181" s="262">
        <f t="shared" si="128"/>
        <v>0</v>
      </c>
      <c r="AF181" s="262">
        <f t="shared" si="128"/>
        <v>0</v>
      </c>
      <c r="AG181" s="262">
        <f t="shared" si="128"/>
        <v>0</v>
      </c>
      <c r="AH181" s="262">
        <f t="shared" si="128"/>
        <v>0</v>
      </c>
      <c r="AI181" s="262">
        <f t="shared" si="128"/>
        <v>0</v>
      </c>
      <c r="AJ181" s="262">
        <f t="shared" si="128"/>
        <v>0</v>
      </c>
      <c r="AK181" s="262">
        <f t="shared" si="128"/>
        <v>0</v>
      </c>
      <c r="AL181" s="262">
        <f t="shared" si="128"/>
        <v>0</v>
      </c>
      <c r="AM181" s="262">
        <f t="shared" si="128"/>
        <v>0</v>
      </c>
    </row>
    <row r="182" spans="1:39" s="259" customFormat="1" hidden="1" outlineLevel="1" x14ac:dyDescent="0.25">
      <c r="A182" s="263"/>
      <c r="B182" s="259" t="str">
        <f t="shared" si="107"/>
        <v>NyAff1</v>
      </c>
      <c r="C182" s="260" t="s">
        <v>259</v>
      </c>
      <c r="D182" s="261">
        <f t="shared" ref="D182:AM182" si="129">$S26</f>
        <v>0</v>
      </c>
      <c r="E182" s="262">
        <f t="shared" si="129"/>
        <v>0</v>
      </c>
      <c r="F182" s="262">
        <f t="shared" si="129"/>
        <v>0</v>
      </c>
      <c r="G182" s="262">
        <f t="shared" si="129"/>
        <v>0</v>
      </c>
      <c r="H182" s="262">
        <f t="shared" si="129"/>
        <v>0</v>
      </c>
      <c r="I182" s="262">
        <f t="shared" si="129"/>
        <v>0</v>
      </c>
      <c r="J182" s="262">
        <f t="shared" si="129"/>
        <v>0</v>
      </c>
      <c r="K182" s="262">
        <f t="shared" si="129"/>
        <v>0</v>
      </c>
      <c r="L182" s="262">
        <f t="shared" si="129"/>
        <v>0</v>
      </c>
      <c r="M182" s="262">
        <f t="shared" si="129"/>
        <v>0</v>
      </c>
      <c r="N182" s="262">
        <f t="shared" si="129"/>
        <v>0</v>
      </c>
      <c r="O182" s="262">
        <f t="shared" si="129"/>
        <v>0</v>
      </c>
      <c r="P182" s="261">
        <f t="shared" si="129"/>
        <v>0</v>
      </c>
      <c r="Q182" s="262">
        <f t="shared" si="129"/>
        <v>0</v>
      </c>
      <c r="R182" s="262">
        <f t="shared" si="129"/>
        <v>0</v>
      </c>
      <c r="S182" s="262">
        <f t="shared" si="129"/>
        <v>0</v>
      </c>
      <c r="T182" s="262">
        <f t="shared" si="129"/>
        <v>0</v>
      </c>
      <c r="U182" s="262">
        <f t="shared" si="129"/>
        <v>0</v>
      </c>
      <c r="V182" s="262">
        <f t="shared" si="129"/>
        <v>0</v>
      </c>
      <c r="W182" s="262">
        <f t="shared" si="129"/>
        <v>0</v>
      </c>
      <c r="X182" s="262">
        <f t="shared" si="129"/>
        <v>0</v>
      </c>
      <c r="Y182" s="262">
        <f t="shared" si="129"/>
        <v>0</v>
      </c>
      <c r="Z182" s="262">
        <f t="shared" si="129"/>
        <v>0</v>
      </c>
      <c r="AA182" s="262">
        <f t="shared" si="129"/>
        <v>0</v>
      </c>
      <c r="AB182" s="261">
        <f t="shared" si="129"/>
        <v>0</v>
      </c>
      <c r="AC182" s="262">
        <f t="shared" si="129"/>
        <v>0</v>
      </c>
      <c r="AD182" s="262">
        <f t="shared" si="129"/>
        <v>0</v>
      </c>
      <c r="AE182" s="262">
        <f t="shared" si="129"/>
        <v>0</v>
      </c>
      <c r="AF182" s="262">
        <f t="shared" si="129"/>
        <v>0</v>
      </c>
      <c r="AG182" s="262">
        <f t="shared" si="129"/>
        <v>0</v>
      </c>
      <c r="AH182" s="262">
        <f t="shared" si="129"/>
        <v>0</v>
      </c>
      <c r="AI182" s="262">
        <f t="shared" si="129"/>
        <v>0</v>
      </c>
      <c r="AJ182" s="262">
        <f t="shared" si="129"/>
        <v>0</v>
      </c>
      <c r="AK182" s="262">
        <f t="shared" si="129"/>
        <v>0</v>
      </c>
      <c r="AL182" s="262">
        <f t="shared" si="129"/>
        <v>0</v>
      </c>
      <c r="AM182" s="262">
        <f t="shared" si="129"/>
        <v>0</v>
      </c>
    </row>
    <row r="183" spans="1:39" s="259" customFormat="1" hidden="1" outlineLevel="1" x14ac:dyDescent="0.25">
      <c r="B183" s="259" t="str">
        <f t="shared" si="107"/>
        <v>NyAff2</v>
      </c>
      <c r="C183" s="260" t="s">
        <v>259</v>
      </c>
      <c r="D183" s="261">
        <f t="shared" ref="D183:AM183" si="130">$S27</f>
        <v>37</v>
      </c>
      <c r="E183" s="262">
        <f t="shared" si="130"/>
        <v>37</v>
      </c>
      <c r="F183" s="262">
        <f t="shared" si="130"/>
        <v>37</v>
      </c>
      <c r="G183" s="262">
        <f t="shared" si="130"/>
        <v>37</v>
      </c>
      <c r="H183" s="262">
        <f t="shared" si="130"/>
        <v>37</v>
      </c>
      <c r="I183" s="262">
        <f t="shared" si="130"/>
        <v>37</v>
      </c>
      <c r="J183" s="262">
        <f t="shared" si="130"/>
        <v>37</v>
      </c>
      <c r="K183" s="262">
        <f t="shared" si="130"/>
        <v>37</v>
      </c>
      <c r="L183" s="262">
        <f t="shared" si="130"/>
        <v>37</v>
      </c>
      <c r="M183" s="262">
        <f t="shared" si="130"/>
        <v>37</v>
      </c>
      <c r="N183" s="262">
        <f t="shared" si="130"/>
        <v>37</v>
      </c>
      <c r="O183" s="262">
        <f t="shared" si="130"/>
        <v>37</v>
      </c>
      <c r="P183" s="261">
        <f t="shared" si="130"/>
        <v>37</v>
      </c>
      <c r="Q183" s="262">
        <f t="shared" si="130"/>
        <v>37</v>
      </c>
      <c r="R183" s="262">
        <f t="shared" si="130"/>
        <v>37</v>
      </c>
      <c r="S183" s="262">
        <f t="shared" si="130"/>
        <v>37</v>
      </c>
      <c r="T183" s="262">
        <f t="shared" si="130"/>
        <v>37</v>
      </c>
      <c r="U183" s="262">
        <f t="shared" si="130"/>
        <v>37</v>
      </c>
      <c r="V183" s="262">
        <f t="shared" si="130"/>
        <v>37</v>
      </c>
      <c r="W183" s="262">
        <f t="shared" si="130"/>
        <v>37</v>
      </c>
      <c r="X183" s="262">
        <f t="shared" si="130"/>
        <v>37</v>
      </c>
      <c r="Y183" s="262">
        <f t="shared" si="130"/>
        <v>37</v>
      </c>
      <c r="Z183" s="262">
        <f t="shared" si="130"/>
        <v>37</v>
      </c>
      <c r="AA183" s="262">
        <f t="shared" si="130"/>
        <v>37</v>
      </c>
      <c r="AB183" s="261">
        <f t="shared" si="130"/>
        <v>37</v>
      </c>
      <c r="AC183" s="262">
        <f t="shared" si="130"/>
        <v>37</v>
      </c>
      <c r="AD183" s="262">
        <f t="shared" si="130"/>
        <v>37</v>
      </c>
      <c r="AE183" s="262">
        <f t="shared" si="130"/>
        <v>37</v>
      </c>
      <c r="AF183" s="262">
        <f t="shared" si="130"/>
        <v>37</v>
      </c>
      <c r="AG183" s="262">
        <f t="shared" si="130"/>
        <v>37</v>
      </c>
      <c r="AH183" s="262">
        <f t="shared" si="130"/>
        <v>37</v>
      </c>
      <c r="AI183" s="262">
        <f t="shared" si="130"/>
        <v>37</v>
      </c>
      <c r="AJ183" s="262">
        <f t="shared" si="130"/>
        <v>37</v>
      </c>
      <c r="AK183" s="262">
        <f t="shared" si="130"/>
        <v>37</v>
      </c>
      <c r="AL183" s="262">
        <f t="shared" si="130"/>
        <v>37</v>
      </c>
      <c r="AM183" s="262">
        <f t="shared" si="130"/>
        <v>37</v>
      </c>
    </row>
    <row r="184" spans="1:39" s="259" customFormat="1" hidden="1" outlineLevel="1" x14ac:dyDescent="0.25">
      <c r="B184" s="259" t="str">
        <f>B154</f>
        <v>NyAff3</v>
      </c>
      <c r="C184" s="260" t="s">
        <v>259</v>
      </c>
      <c r="D184" s="261">
        <f t="shared" ref="D184:AM184" si="131">$S28</f>
        <v>37</v>
      </c>
      <c r="E184" s="262">
        <f t="shared" si="131"/>
        <v>37</v>
      </c>
      <c r="F184" s="262">
        <f t="shared" si="131"/>
        <v>37</v>
      </c>
      <c r="G184" s="262">
        <f t="shared" si="131"/>
        <v>37</v>
      </c>
      <c r="H184" s="262">
        <f t="shared" si="131"/>
        <v>37</v>
      </c>
      <c r="I184" s="262">
        <f t="shared" si="131"/>
        <v>37</v>
      </c>
      <c r="J184" s="262">
        <f t="shared" si="131"/>
        <v>37</v>
      </c>
      <c r="K184" s="262">
        <f t="shared" si="131"/>
        <v>37</v>
      </c>
      <c r="L184" s="262">
        <f t="shared" si="131"/>
        <v>37</v>
      </c>
      <c r="M184" s="262">
        <f t="shared" si="131"/>
        <v>37</v>
      </c>
      <c r="N184" s="262">
        <f t="shared" si="131"/>
        <v>37</v>
      </c>
      <c r="O184" s="262">
        <f t="shared" si="131"/>
        <v>37</v>
      </c>
      <c r="P184" s="261">
        <f t="shared" si="131"/>
        <v>37</v>
      </c>
      <c r="Q184" s="262">
        <f t="shared" si="131"/>
        <v>37</v>
      </c>
      <c r="R184" s="262">
        <f t="shared" si="131"/>
        <v>37</v>
      </c>
      <c r="S184" s="262">
        <f t="shared" si="131"/>
        <v>37</v>
      </c>
      <c r="T184" s="262">
        <f t="shared" si="131"/>
        <v>37</v>
      </c>
      <c r="U184" s="262">
        <f t="shared" si="131"/>
        <v>37</v>
      </c>
      <c r="V184" s="262">
        <f t="shared" si="131"/>
        <v>37</v>
      </c>
      <c r="W184" s="262">
        <f t="shared" si="131"/>
        <v>37</v>
      </c>
      <c r="X184" s="262">
        <f t="shared" si="131"/>
        <v>37</v>
      </c>
      <c r="Y184" s="262">
        <f t="shared" si="131"/>
        <v>37</v>
      </c>
      <c r="Z184" s="262">
        <f t="shared" si="131"/>
        <v>37</v>
      </c>
      <c r="AA184" s="262">
        <f t="shared" si="131"/>
        <v>37</v>
      </c>
      <c r="AB184" s="261">
        <f t="shared" si="131"/>
        <v>37</v>
      </c>
      <c r="AC184" s="262">
        <f t="shared" si="131"/>
        <v>37</v>
      </c>
      <c r="AD184" s="262">
        <f t="shared" si="131"/>
        <v>37</v>
      </c>
      <c r="AE184" s="262">
        <f t="shared" si="131"/>
        <v>37</v>
      </c>
      <c r="AF184" s="262">
        <f t="shared" si="131"/>
        <v>37</v>
      </c>
      <c r="AG184" s="262">
        <f t="shared" si="131"/>
        <v>37</v>
      </c>
      <c r="AH184" s="262">
        <f t="shared" si="131"/>
        <v>37</v>
      </c>
      <c r="AI184" s="262">
        <f t="shared" si="131"/>
        <v>37</v>
      </c>
      <c r="AJ184" s="262">
        <f t="shared" si="131"/>
        <v>37</v>
      </c>
      <c r="AK184" s="262">
        <f t="shared" si="131"/>
        <v>37</v>
      </c>
      <c r="AL184" s="262">
        <f t="shared" si="131"/>
        <v>37</v>
      </c>
      <c r="AM184" s="262">
        <f t="shared" si="131"/>
        <v>37</v>
      </c>
    </row>
    <row r="185" spans="1:39" s="259" customFormat="1" hidden="1" outlineLevel="1" x14ac:dyDescent="0.25">
      <c r="B185" s="259" t="str">
        <f>B155</f>
        <v>NyAff4</v>
      </c>
      <c r="C185" s="260" t="s">
        <v>259</v>
      </c>
      <c r="D185" s="261">
        <f t="shared" ref="D185:AM185" si="132">$S29</f>
        <v>37</v>
      </c>
      <c r="E185" s="262">
        <f t="shared" si="132"/>
        <v>37</v>
      </c>
      <c r="F185" s="262">
        <f t="shared" si="132"/>
        <v>37</v>
      </c>
      <c r="G185" s="262">
        <f t="shared" si="132"/>
        <v>37</v>
      </c>
      <c r="H185" s="262">
        <f t="shared" si="132"/>
        <v>37</v>
      </c>
      <c r="I185" s="262">
        <f t="shared" si="132"/>
        <v>37</v>
      </c>
      <c r="J185" s="262">
        <f t="shared" si="132"/>
        <v>37</v>
      </c>
      <c r="K185" s="262">
        <f t="shared" si="132"/>
        <v>37</v>
      </c>
      <c r="L185" s="262">
        <f t="shared" si="132"/>
        <v>37</v>
      </c>
      <c r="M185" s="262">
        <f t="shared" si="132"/>
        <v>37</v>
      </c>
      <c r="N185" s="262">
        <f t="shared" si="132"/>
        <v>37</v>
      </c>
      <c r="O185" s="262">
        <f t="shared" si="132"/>
        <v>37</v>
      </c>
      <c r="P185" s="261">
        <f t="shared" si="132"/>
        <v>37</v>
      </c>
      <c r="Q185" s="262">
        <f t="shared" si="132"/>
        <v>37</v>
      </c>
      <c r="R185" s="262">
        <f t="shared" si="132"/>
        <v>37</v>
      </c>
      <c r="S185" s="262">
        <f t="shared" si="132"/>
        <v>37</v>
      </c>
      <c r="T185" s="262">
        <f t="shared" si="132"/>
        <v>37</v>
      </c>
      <c r="U185" s="262">
        <f t="shared" si="132"/>
        <v>37</v>
      </c>
      <c r="V185" s="262">
        <f t="shared" si="132"/>
        <v>37</v>
      </c>
      <c r="W185" s="262">
        <f t="shared" si="132"/>
        <v>37</v>
      </c>
      <c r="X185" s="262">
        <f t="shared" si="132"/>
        <v>37</v>
      </c>
      <c r="Y185" s="262">
        <f t="shared" si="132"/>
        <v>37</v>
      </c>
      <c r="Z185" s="262">
        <f t="shared" si="132"/>
        <v>37</v>
      </c>
      <c r="AA185" s="262">
        <f t="shared" si="132"/>
        <v>37</v>
      </c>
      <c r="AB185" s="261">
        <f t="shared" si="132"/>
        <v>37</v>
      </c>
      <c r="AC185" s="262">
        <f t="shared" si="132"/>
        <v>37</v>
      </c>
      <c r="AD185" s="262">
        <f t="shared" si="132"/>
        <v>37</v>
      </c>
      <c r="AE185" s="262">
        <f t="shared" si="132"/>
        <v>37</v>
      </c>
      <c r="AF185" s="262">
        <f t="shared" si="132"/>
        <v>37</v>
      </c>
      <c r="AG185" s="262">
        <f t="shared" si="132"/>
        <v>37</v>
      </c>
      <c r="AH185" s="262">
        <f t="shared" si="132"/>
        <v>37</v>
      </c>
      <c r="AI185" s="262">
        <f t="shared" si="132"/>
        <v>37</v>
      </c>
      <c r="AJ185" s="262">
        <f t="shared" si="132"/>
        <v>37</v>
      </c>
      <c r="AK185" s="262">
        <f t="shared" si="132"/>
        <v>37</v>
      </c>
      <c r="AL185" s="262">
        <f t="shared" si="132"/>
        <v>37</v>
      </c>
      <c r="AM185" s="262">
        <f t="shared" si="132"/>
        <v>37</v>
      </c>
    </row>
    <row r="186" spans="1:39" s="259" customFormat="1" hidden="1" outlineLevel="1" x14ac:dyDescent="0.25">
      <c r="B186" s="259" t="str">
        <f>B156</f>
        <v>NyAff5</v>
      </c>
      <c r="C186" s="260" t="s">
        <v>259</v>
      </c>
      <c r="D186" s="261">
        <f t="shared" ref="D186:AM186" si="133">$S30</f>
        <v>37</v>
      </c>
      <c r="E186" s="262">
        <f t="shared" si="133"/>
        <v>37</v>
      </c>
      <c r="F186" s="262">
        <f t="shared" si="133"/>
        <v>37</v>
      </c>
      <c r="G186" s="262">
        <f t="shared" si="133"/>
        <v>37</v>
      </c>
      <c r="H186" s="262">
        <f t="shared" si="133"/>
        <v>37</v>
      </c>
      <c r="I186" s="262">
        <f t="shared" si="133"/>
        <v>37</v>
      </c>
      <c r="J186" s="262">
        <f t="shared" si="133"/>
        <v>37</v>
      </c>
      <c r="K186" s="262">
        <f t="shared" si="133"/>
        <v>37</v>
      </c>
      <c r="L186" s="262">
        <f t="shared" si="133"/>
        <v>37</v>
      </c>
      <c r="M186" s="262">
        <f t="shared" si="133"/>
        <v>37</v>
      </c>
      <c r="N186" s="262">
        <f t="shared" si="133"/>
        <v>37</v>
      </c>
      <c r="O186" s="262">
        <f t="shared" si="133"/>
        <v>37</v>
      </c>
      <c r="P186" s="261">
        <f t="shared" si="133"/>
        <v>37</v>
      </c>
      <c r="Q186" s="262">
        <f t="shared" si="133"/>
        <v>37</v>
      </c>
      <c r="R186" s="262">
        <f t="shared" si="133"/>
        <v>37</v>
      </c>
      <c r="S186" s="262">
        <f t="shared" si="133"/>
        <v>37</v>
      </c>
      <c r="T186" s="262">
        <f t="shared" si="133"/>
        <v>37</v>
      </c>
      <c r="U186" s="262">
        <f t="shared" si="133"/>
        <v>37</v>
      </c>
      <c r="V186" s="262">
        <f t="shared" si="133"/>
        <v>37</v>
      </c>
      <c r="W186" s="262">
        <f t="shared" si="133"/>
        <v>37</v>
      </c>
      <c r="X186" s="262">
        <f t="shared" si="133"/>
        <v>37</v>
      </c>
      <c r="Y186" s="262">
        <f t="shared" si="133"/>
        <v>37</v>
      </c>
      <c r="Z186" s="262">
        <f t="shared" si="133"/>
        <v>37</v>
      </c>
      <c r="AA186" s="262">
        <f t="shared" si="133"/>
        <v>37</v>
      </c>
      <c r="AB186" s="261">
        <f t="shared" si="133"/>
        <v>37</v>
      </c>
      <c r="AC186" s="262">
        <f t="shared" si="133"/>
        <v>37</v>
      </c>
      <c r="AD186" s="262">
        <f t="shared" si="133"/>
        <v>37</v>
      </c>
      <c r="AE186" s="262">
        <f t="shared" si="133"/>
        <v>37</v>
      </c>
      <c r="AF186" s="262">
        <f t="shared" si="133"/>
        <v>37</v>
      </c>
      <c r="AG186" s="262">
        <f t="shared" si="133"/>
        <v>37</v>
      </c>
      <c r="AH186" s="262">
        <f t="shared" si="133"/>
        <v>37</v>
      </c>
      <c r="AI186" s="262">
        <f t="shared" si="133"/>
        <v>37</v>
      </c>
      <c r="AJ186" s="262">
        <f t="shared" si="133"/>
        <v>37</v>
      </c>
      <c r="AK186" s="262">
        <f t="shared" si="133"/>
        <v>37</v>
      </c>
      <c r="AL186" s="262">
        <f t="shared" si="133"/>
        <v>37</v>
      </c>
      <c r="AM186" s="262">
        <f t="shared" si="133"/>
        <v>37</v>
      </c>
    </row>
    <row r="187" spans="1:39" hidden="1" outlineLevel="1" x14ac:dyDescent="0.25">
      <c r="A187" s="298"/>
      <c r="B187" t="str" cm="1">
        <f t="array" ref="B187:B189">ØvrigeBrændsler</f>
        <v>Flis</v>
      </c>
      <c r="C187" s="260" t="s">
        <v>259</v>
      </c>
      <c r="D187" s="261">
        <f t="shared" ref="D187:AM187" si="134">$S31</f>
        <v>0</v>
      </c>
      <c r="E187" s="262">
        <f t="shared" si="134"/>
        <v>0</v>
      </c>
      <c r="F187" s="262">
        <f t="shared" si="134"/>
        <v>0</v>
      </c>
      <c r="G187" s="262">
        <f t="shared" si="134"/>
        <v>0</v>
      </c>
      <c r="H187" s="262">
        <f t="shared" si="134"/>
        <v>0</v>
      </c>
      <c r="I187" s="262">
        <f t="shared" si="134"/>
        <v>0</v>
      </c>
      <c r="J187" s="262">
        <f t="shared" si="134"/>
        <v>0</v>
      </c>
      <c r="K187" s="262">
        <f t="shared" si="134"/>
        <v>0</v>
      </c>
      <c r="L187" s="262">
        <f t="shared" si="134"/>
        <v>0</v>
      </c>
      <c r="M187" s="262">
        <f t="shared" si="134"/>
        <v>0</v>
      </c>
      <c r="N187" s="262">
        <f t="shared" si="134"/>
        <v>0</v>
      </c>
      <c r="O187" s="262">
        <f t="shared" si="134"/>
        <v>0</v>
      </c>
      <c r="P187" s="261">
        <f t="shared" si="134"/>
        <v>0</v>
      </c>
      <c r="Q187" s="262">
        <f t="shared" si="134"/>
        <v>0</v>
      </c>
      <c r="R187" s="262">
        <f t="shared" si="134"/>
        <v>0</v>
      </c>
      <c r="S187" s="262">
        <f t="shared" si="134"/>
        <v>0</v>
      </c>
      <c r="T187" s="262">
        <f t="shared" si="134"/>
        <v>0</v>
      </c>
      <c r="U187" s="262">
        <f t="shared" si="134"/>
        <v>0</v>
      </c>
      <c r="V187" s="262">
        <f t="shared" si="134"/>
        <v>0</v>
      </c>
      <c r="W187" s="262">
        <f t="shared" si="134"/>
        <v>0</v>
      </c>
      <c r="X187" s="262">
        <f t="shared" si="134"/>
        <v>0</v>
      </c>
      <c r="Y187" s="262">
        <f t="shared" si="134"/>
        <v>0</v>
      </c>
      <c r="Z187" s="262">
        <f t="shared" si="134"/>
        <v>0</v>
      </c>
      <c r="AA187" s="262">
        <f t="shared" si="134"/>
        <v>0</v>
      </c>
      <c r="AB187" s="261">
        <f t="shared" si="134"/>
        <v>0</v>
      </c>
      <c r="AC187" s="262">
        <f t="shared" si="134"/>
        <v>0</v>
      </c>
      <c r="AD187" s="262">
        <f t="shared" si="134"/>
        <v>0</v>
      </c>
      <c r="AE187" s="262">
        <f t="shared" si="134"/>
        <v>0</v>
      </c>
      <c r="AF187" s="262">
        <f t="shared" si="134"/>
        <v>0</v>
      </c>
      <c r="AG187" s="262">
        <f t="shared" si="134"/>
        <v>0</v>
      </c>
      <c r="AH187" s="262">
        <f t="shared" si="134"/>
        <v>0</v>
      </c>
      <c r="AI187" s="262">
        <f t="shared" si="134"/>
        <v>0</v>
      </c>
      <c r="AJ187" s="262">
        <f t="shared" si="134"/>
        <v>0</v>
      </c>
      <c r="AK187" s="262">
        <f t="shared" si="134"/>
        <v>0</v>
      </c>
      <c r="AL187" s="262">
        <f t="shared" si="134"/>
        <v>0</v>
      </c>
      <c r="AM187" s="262">
        <f t="shared" si="134"/>
        <v>0</v>
      </c>
    </row>
    <row r="188" spans="1:39" hidden="1" outlineLevel="1" x14ac:dyDescent="0.25">
      <c r="A188" s="299"/>
      <c r="B188" t="str">
        <v>NSvarme</v>
      </c>
      <c r="C188" s="260" t="s">
        <v>259</v>
      </c>
      <c r="D188" s="261">
        <f t="shared" ref="D188:AM188" si="135">$S32</f>
        <v>0</v>
      </c>
      <c r="E188" s="262">
        <f t="shared" si="135"/>
        <v>0</v>
      </c>
      <c r="F188" s="262">
        <f t="shared" si="135"/>
        <v>0</v>
      </c>
      <c r="G188" s="262">
        <f t="shared" si="135"/>
        <v>0</v>
      </c>
      <c r="H188" s="262">
        <f t="shared" si="135"/>
        <v>0</v>
      </c>
      <c r="I188" s="262">
        <f t="shared" si="135"/>
        <v>0</v>
      </c>
      <c r="J188" s="262">
        <f t="shared" si="135"/>
        <v>0</v>
      </c>
      <c r="K188" s="262">
        <f t="shared" si="135"/>
        <v>0</v>
      </c>
      <c r="L188" s="262">
        <f t="shared" si="135"/>
        <v>0</v>
      </c>
      <c r="M188" s="262">
        <f t="shared" si="135"/>
        <v>0</v>
      </c>
      <c r="N188" s="262">
        <f t="shared" si="135"/>
        <v>0</v>
      </c>
      <c r="O188" s="262">
        <f t="shared" si="135"/>
        <v>0</v>
      </c>
      <c r="P188" s="261">
        <f t="shared" si="135"/>
        <v>0</v>
      </c>
      <c r="Q188" s="262">
        <f t="shared" si="135"/>
        <v>0</v>
      </c>
      <c r="R188" s="262">
        <f t="shared" si="135"/>
        <v>0</v>
      </c>
      <c r="S188" s="262">
        <f t="shared" si="135"/>
        <v>0</v>
      </c>
      <c r="T188" s="262">
        <f t="shared" si="135"/>
        <v>0</v>
      </c>
      <c r="U188" s="262">
        <f t="shared" si="135"/>
        <v>0</v>
      </c>
      <c r="V188" s="262">
        <f t="shared" si="135"/>
        <v>0</v>
      </c>
      <c r="W188" s="262">
        <f t="shared" si="135"/>
        <v>0</v>
      </c>
      <c r="X188" s="262">
        <f t="shared" si="135"/>
        <v>0</v>
      </c>
      <c r="Y188" s="262">
        <f t="shared" si="135"/>
        <v>0</v>
      </c>
      <c r="Z188" s="262">
        <f t="shared" si="135"/>
        <v>0</v>
      </c>
      <c r="AA188" s="262">
        <f t="shared" si="135"/>
        <v>0</v>
      </c>
      <c r="AB188" s="261">
        <f t="shared" si="135"/>
        <v>0</v>
      </c>
      <c r="AC188" s="262">
        <f t="shared" si="135"/>
        <v>0</v>
      </c>
      <c r="AD188" s="262">
        <f t="shared" si="135"/>
        <v>0</v>
      </c>
      <c r="AE188" s="262">
        <f t="shared" si="135"/>
        <v>0</v>
      </c>
      <c r="AF188" s="262">
        <f t="shared" si="135"/>
        <v>0</v>
      </c>
      <c r="AG188" s="262">
        <f t="shared" si="135"/>
        <v>0</v>
      </c>
      <c r="AH188" s="262">
        <f t="shared" si="135"/>
        <v>0</v>
      </c>
      <c r="AI188" s="262">
        <f t="shared" si="135"/>
        <v>0</v>
      </c>
      <c r="AJ188" s="262">
        <f t="shared" si="135"/>
        <v>0</v>
      </c>
      <c r="AK188" s="262">
        <f t="shared" si="135"/>
        <v>0</v>
      </c>
      <c r="AL188" s="262">
        <f t="shared" si="135"/>
        <v>0</v>
      </c>
      <c r="AM188" s="262">
        <f t="shared" si="135"/>
        <v>0</v>
      </c>
    </row>
    <row r="189" spans="1:39" hidden="1" outlineLevel="1" x14ac:dyDescent="0.25">
      <c r="A189" s="299"/>
      <c r="B189" t="str">
        <v>PeakFuel</v>
      </c>
      <c r="C189" s="260" t="s">
        <v>259</v>
      </c>
      <c r="D189" s="261">
        <f t="shared" ref="D189:AM189" si="136">$S33</f>
        <v>72.727272727272734</v>
      </c>
      <c r="E189" s="262">
        <f t="shared" si="136"/>
        <v>72.727272727272734</v>
      </c>
      <c r="F189" s="262">
        <f t="shared" si="136"/>
        <v>72.727272727272734</v>
      </c>
      <c r="G189" s="262">
        <f t="shared" si="136"/>
        <v>72.727272727272734</v>
      </c>
      <c r="H189" s="262">
        <f t="shared" si="136"/>
        <v>72.727272727272734</v>
      </c>
      <c r="I189" s="262">
        <f t="shared" si="136"/>
        <v>72.727272727272734</v>
      </c>
      <c r="J189" s="262">
        <f t="shared" si="136"/>
        <v>72.727272727272734</v>
      </c>
      <c r="K189" s="262">
        <f t="shared" si="136"/>
        <v>72.727272727272734</v>
      </c>
      <c r="L189" s="262">
        <f t="shared" si="136"/>
        <v>72.727272727272734</v>
      </c>
      <c r="M189" s="262">
        <f t="shared" si="136"/>
        <v>72.727272727272734</v>
      </c>
      <c r="N189" s="262">
        <f t="shared" si="136"/>
        <v>72.727272727272734</v>
      </c>
      <c r="O189" s="262">
        <f t="shared" si="136"/>
        <v>72.727272727272734</v>
      </c>
      <c r="P189" s="261">
        <f t="shared" si="136"/>
        <v>72.727272727272734</v>
      </c>
      <c r="Q189" s="262">
        <f t="shared" si="136"/>
        <v>72.727272727272734</v>
      </c>
      <c r="R189" s="262">
        <f t="shared" si="136"/>
        <v>72.727272727272734</v>
      </c>
      <c r="S189" s="262">
        <f t="shared" si="136"/>
        <v>72.727272727272734</v>
      </c>
      <c r="T189" s="262">
        <f t="shared" si="136"/>
        <v>72.727272727272734</v>
      </c>
      <c r="U189" s="262">
        <f t="shared" si="136"/>
        <v>72.727272727272734</v>
      </c>
      <c r="V189" s="262">
        <f t="shared" si="136"/>
        <v>72.727272727272734</v>
      </c>
      <c r="W189" s="262">
        <f t="shared" si="136"/>
        <v>72.727272727272734</v>
      </c>
      <c r="X189" s="262">
        <f t="shared" si="136"/>
        <v>72.727272727272734</v>
      </c>
      <c r="Y189" s="262">
        <f t="shared" si="136"/>
        <v>72.727272727272734</v>
      </c>
      <c r="Z189" s="262">
        <f t="shared" si="136"/>
        <v>72.727272727272734</v>
      </c>
      <c r="AA189" s="262">
        <f t="shared" si="136"/>
        <v>72.727272727272734</v>
      </c>
      <c r="AB189" s="261">
        <f t="shared" si="136"/>
        <v>72.727272727272734</v>
      </c>
      <c r="AC189" s="262">
        <f t="shared" si="136"/>
        <v>72.727272727272734</v>
      </c>
      <c r="AD189" s="262">
        <f t="shared" si="136"/>
        <v>72.727272727272734</v>
      </c>
      <c r="AE189" s="262">
        <f t="shared" si="136"/>
        <v>72.727272727272734</v>
      </c>
      <c r="AF189" s="262">
        <f t="shared" si="136"/>
        <v>72.727272727272734</v>
      </c>
      <c r="AG189" s="262">
        <f t="shared" si="136"/>
        <v>72.727272727272734</v>
      </c>
      <c r="AH189" s="262">
        <f t="shared" si="136"/>
        <v>72.727272727272734</v>
      </c>
      <c r="AI189" s="262">
        <f t="shared" si="136"/>
        <v>72.727272727272734</v>
      </c>
      <c r="AJ189" s="262">
        <f t="shared" si="136"/>
        <v>72.727272727272734</v>
      </c>
      <c r="AK189" s="262">
        <f t="shared" si="136"/>
        <v>72.727272727272734</v>
      </c>
      <c r="AL189" s="262">
        <f t="shared" si="136"/>
        <v>72.727272727272734</v>
      </c>
      <c r="AM189" s="262">
        <f t="shared" si="136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9" customFormat="1" hidden="1" outlineLevel="1" x14ac:dyDescent="0.25">
      <c r="B191" s="259" t="str">
        <f t="shared" ref="B191:B216" si="137">B161</f>
        <v>DepoSort</v>
      </c>
      <c r="C191" s="260" t="s">
        <v>242</v>
      </c>
      <c r="D191" s="350">
        <f t="shared" ref="D191:D219" si="138">$J5</f>
        <v>1</v>
      </c>
      <c r="E191" s="350">
        <f t="shared" ref="E191:AM198" si="139">$J5</f>
        <v>1</v>
      </c>
      <c r="F191" s="350">
        <f t="shared" si="139"/>
        <v>1</v>
      </c>
      <c r="G191" s="350">
        <f t="shared" si="139"/>
        <v>1</v>
      </c>
      <c r="H191" s="350">
        <f t="shared" si="139"/>
        <v>1</v>
      </c>
      <c r="I191" s="350">
        <f t="shared" si="139"/>
        <v>1</v>
      </c>
      <c r="J191" s="350">
        <f t="shared" si="139"/>
        <v>1</v>
      </c>
      <c r="K191" s="350">
        <f t="shared" si="139"/>
        <v>1</v>
      </c>
      <c r="L191" s="350">
        <f t="shared" si="139"/>
        <v>1</v>
      </c>
      <c r="M191" s="350">
        <f t="shared" si="139"/>
        <v>1</v>
      </c>
      <c r="N191" s="350">
        <f t="shared" si="139"/>
        <v>1</v>
      </c>
      <c r="O191" s="350">
        <f t="shared" si="139"/>
        <v>1</v>
      </c>
      <c r="P191" s="350">
        <f t="shared" si="139"/>
        <v>1</v>
      </c>
      <c r="Q191" s="350">
        <f t="shared" si="139"/>
        <v>1</v>
      </c>
      <c r="R191" s="350">
        <f t="shared" si="139"/>
        <v>1</v>
      </c>
      <c r="S191" s="350">
        <f t="shared" si="139"/>
        <v>1</v>
      </c>
      <c r="T191" s="350">
        <f t="shared" si="139"/>
        <v>1</v>
      </c>
      <c r="U191" s="350">
        <f t="shared" si="139"/>
        <v>1</v>
      </c>
      <c r="V191" s="350">
        <f t="shared" si="139"/>
        <v>1</v>
      </c>
      <c r="W191" s="350">
        <f t="shared" si="139"/>
        <v>1</v>
      </c>
      <c r="X191" s="350">
        <f t="shared" si="139"/>
        <v>1</v>
      </c>
      <c r="Y191" s="350">
        <f t="shared" si="139"/>
        <v>1</v>
      </c>
      <c r="Z191" s="350">
        <f t="shared" si="139"/>
        <v>1</v>
      </c>
      <c r="AA191" s="350">
        <f t="shared" si="139"/>
        <v>1</v>
      </c>
      <c r="AB191" s="350">
        <f t="shared" si="139"/>
        <v>1</v>
      </c>
      <c r="AC191" s="350">
        <f t="shared" si="139"/>
        <v>1</v>
      </c>
      <c r="AD191" s="350">
        <f t="shared" si="139"/>
        <v>1</v>
      </c>
      <c r="AE191" s="350">
        <f t="shared" si="139"/>
        <v>1</v>
      </c>
      <c r="AF191" s="350">
        <f t="shared" si="139"/>
        <v>1</v>
      </c>
      <c r="AG191" s="350">
        <f t="shared" si="139"/>
        <v>1</v>
      </c>
      <c r="AH191" s="350">
        <f t="shared" si="139"/>
        <v>1</v>
      </c>
      <c r="AI191" s="350">
        <f t="shared" si="139"/>
        <v>1</v>
      </c>
      <c r="AJ191" s="350">
        <f t="shared" si="139"/>
        <v>1</v>
      </c>
      <c r="AK191" s="350">
        <f t="shared" si="139"/>
        <v>1</v>
      </c>
      <c r="AL191" s="350">
        <f t="shared" si="139"/>
        <v>1</v>
      </c>
      <c r="AM191" s="350">
        <f t="shared" si="139"/>
        <v>1</v>
      </c>
    </row>
    <row r="192" spans="1:39" s="259" customFormat="1" hidden="1" outlineLevel="1" x14ac:dyDescent="0.25">
      <c r="B192" s="259" t="str">
        <f t="shared" si="137"/>
        <v>DepoSmaat</v>
      </c>
      <c r="C192" s="260" t="s">
        <v>242</v>
      </c>
      <c r="D192" s="350">
        <f t="shared" si="138"/>
        <v>1</v>
      </c>
      <c r="E192" s="350">
        <f t="shared" ref="E192:S192" si="140">$J6</f>
        <v>1</v>
      </c>
      <c r="F192" s="350">
        <f t="shared" si="140"/>
        <v>1</v>
      </c>
      <c r="G192" s="350">
        <f t="shared" si="140"/>
        <v>1</v>
      </c>
      <c r="H192" s="350">
        <f t="shared" si="140"/>
        <v>1</v>
      </c>
      <c r="I192" s="350">
        <f t="shared" si="140"/>
        <v>1</v>
      </c>
      <c r="J192" s="350">
        <f t="shared" si="140"/>
        <v>1</v>
      </c>
      <c r="K192" s="350">
        <f t="shared" si="140"/>
        <v>1</v>
      </c>
      <c r="L192" s="350">
        <f t="shared" si="140"/>
        <v>1</v>
      </c>
      <c r="M192" s="350">
        <f t="shared" si="140"/>
        <v>1</v>
      </c>
      <c r="N192" s="350">
        <f t="shared" si="140"/>
        <v>1</v>
      </c>
      <c r="O192" s="350">
        <f t="shared" si="140"/>
        <v>1</v>
      </c>
      <c r="P192" s="350">
        <f t="shared" si="140"/>
        <v>1</v>
      </c>
      <c r="Q192" s="350">
        <f t="shared" si="140"/>
        <v>1</v>
      </c>
      <c r="R192" s="350">
        <f t="shared" si="140"/>
        <v>1</v>
      </c>
      <c r="S192" s="350">
        <f t="shared" si="140"/>
        <v>1</v>
      </c>
      <c r="T192" s="350">
        <f t="shared" si="139"/>
        <v>1</v>
      </c>
      <c r="U192" s="350">
        <f t="shared" si="139"/>
        <v>1</v>
      </c>
      <c r="V192" s="350">
        <f t="shared" si="139"/>
        <v>1</v>
      </c>
      <c r="W192" s="350">
        <f t="shared" si="139"/>
        <v>1</v>
      </c>
      <c r="X192" s="350">
        <f t="shared" si="139"/>
        <v>1</v>
      </c>
      <c r="Y192" s="350">
        <f t="shared" si="139"/>
        <v>1</v>
      </c>
      <c r="Z192" s="350">
        <f t="shared" si="139"/>
        <v>1</v>
      </c>
      <c r="AA192" s="350">
        <f t="shared" si="139"/>
        <v>1</v>
      </c>
      <c r="AB192" s="350">
        <f t="shared" si="139"/>
        <v>1</v>
      </c>
      <c r="AC192" s="350">
        <f t="shared" si="139"/>
        <v>1</v>
      </c>
      <c r="AD192" s="350">
        <f t="shared" si="139"/>
        <v>1</v>
      </c>
      <c r="AE192" s="350">
        <f t="shared" si="139"/>
        <v>1</v>
      </c>
      <c r="AF192" s="350">
        <f t="shared" si="139"/>
        <v>1</v>
      </c>
      <c r="AG192" s="350">
        <f t="shared" si="139"/>
        <v>1</v>
      </c>
      <c r="AH192" s="350">
        <f t="shared" si="139"/>
        <v>1</v>
      </c>
      <c r="AI192" s="350">
        <f t="shared" si="139"/>
        <v>1</v>
      </c>
      <c r="AJ192" s="350">
        <f t="shared" si="139"/>
        <v>1</v>
      </c>
      <c r="AK192" s="350">
        <f t="shared" si="139"/>
        <v>1</v>
      </c>
      <c r="AL192" s="350">
        <f t="shared" si="139"/>
        <v>1</v>
      </c>
      <c r="AM192" s="350">
        <f t="shared" si="139"/>
        <v>1</v>
      </c>
    </row>
    <row r="193" spans="2:39" s="259" customFormat="1" hidden="1" outlineLevel="1" x14ac:dyDescent="0.25">
      <c r="B193" s="259" t="str">
        <f t="shared" si="137"/>
        <v>DepoNedd</v>
      </c>
      <c r="C193" s="260" t="s">
        <v>242</v>
      </c>
      <c r="D193" s="350">
        <f t="shared" si="138"/>
        <v>1</v>
      </c>
      <c r="E193" s="350">
        <f t="shared" si="139"/>
        <v>1</v>
      </c>
      <c r="F193" s="350">
        <f t="shared" si="139"/>
        <v>1</v>
      </c>
      <c r="G193" s="350">
        <f t="shared" si="139"/>
        <v>1</v>
      </c>
      <c r="H193" s="350">
        <f t="shared" si="139"/>
        <v>1</v>
      </c>
      <c r="I193" s="350">
        <f t="shared" si="139"/>
        <v>1</v>
      </c>
      <c r="J193" s="350">
        <f t="shared" si="139"/>
        <v>1</v>
      </c>
      <c r="K193" s="350">
        <f t="shared" si="139"/>
        <v>1</v>
      </c>
      <c r="L193" s="350">
        <f t="shared" si="139"/>
        <v>1</v>
      </c>
      <c r="M193" s="350">
        <f t="shared" si="139"/>
        <v>1</v>
      </c>
      <c r="N193" s="350">
        <f t="shared" si="139"/>
        <v>1</v>
      </c>
      <c r="O193" s="350">
        <f t="shared" si="139"/>
        <v>1</v>
      </c>
      <c r="P193" s="350">
        <f t="shared" si="139"/>
        <v>1</v>
      </c>
      <c r="Q193" s="350">
        <f t="shared" si="139"/>
        <v>1</v>
      </c>
      <c r="R193" s="350">
        <f t="shared" si="139"/>
        <v>1</v>
      </c>
      <c r="S193" s="350">
        <f t="shared" si="139"/>
        <v>1</v>
      </c>
      <c r="T193" s="350">
        <f t="shared" si="139"/>
        <v>1</v>
      </c>
      <c r="U193" s="350">
        <f t="shared" si="139"/>
        <v>1</v>
      </c>
      <c r="V193" s="350">
        <f t="shared" si="139"/>
        <v>1</v>
      </c>
      <c r="W193" s="350">
        <f t="shared" si="139"/>
        <v>1</v>
      </c>
      <c r="X193" s="350">
        <f t="shared" si="139"/>
        <v>1</v>
      </c>
      <c r="Y193" s="350">
        <f t="shared" si="139"/>
        <v>1</v>
      </c>
      <c r="Z193" s="350">
        <f t="shared" si="139"/>
        <v>1</v>
      </c>
      <c r="AA193" s="350">
        <f t="shared" si="139"/>
        <v>1</v>
      </c>
      <c r="AB193" s="350">
        <f t="shared" si="139"/>
        <v>1</v>
      </c>
      <c r="AC193" s="350">
        <f t="shared" si="139"/>
        <v>1</v>
      </c>
      <c r="AD193" s="350">
        <f t="shared" si="139"/>
        <v>1</v>
      </c>
      <c r="AE193" s="350">
        <f t="shared" si="139"/>
        <v>1</v>
      </c>
      <c r="AF193" s="350">
        <f t="shared" si="139"/>
        <v>1</v>
      </c>
      <c r="AG193" s="350">
        <f t="shared" si="139"/>
        <v>1</v>
      </c>
      <c r="AH193" s="350">
        <f t="shared" si="139"/>
        <v>1</v>
      </c>
      <c r="AI193" s="350">
        <f t="shared" si="139"/>
        <v>1</v>
      </c>
      <c r="AJ193" s="350">
        <f t="shared" si="139"/>
        <v>1</v>
      </c>
      <c r="AK193" s="350">
        <f t="shared" si="139"/>
        <v>1</v>
      </c>
      <c r="AL193" s="350">
        <f t="shared" si="139"/>
        <v>1</v>
      </c>
      <c r="AM193" s="350">
        <f t="shared" si="139"/>
        <v>1</v>
      </c>
    </row>
    <row r="194" spans="2:39" s="259" customFormat="1" hidden="1" outlineLevel="1" x14ac:dyDescent="0.25">
      <c r="B194" s="259" t="str">
        <f t="shared" si="137"/>
        <v>Dagren</v>
      </c>
      <c r="C194" s="260" t="s">
        <v>242</v>
      </c>
      <c r="D194" s="350">
        <f t="shared" si="138"/>
        <v>1</v>
      </c>
      <c r="E194" s="350">
        <f t="shared" si="139"/>
        <v>1</v>
      </c>
      <c r="F194" s="350">
        <f t="shared" si="139"/>
        <v>1</v>
      </c>
      <c r="G194" s="350">
        <f t="shared" si="139"/>
        <v>1</v>
      </c>
      <c r="H194" s="350">
        <f t="shared" si="139"/>
        <v>1</v>
      </c>
      <c r="I194" s="350">
        <f t="shared" si="139"/>
        <v>1</v>
      </c>
      <c r="J194" s="350">
        <f t="shared" si="139"/>
        <v>1</v>
      </c>
      <c r="K194" s="350">
        <f t="shared" si="139"/>
        <v>1</v>
      </c>
      <c r="L194" s="350">
        <f t="shared" si="139"/>
        <v>1</v>
      </c>
      <c r="M194" s="350">
        <f t="shared" si="139"/>
        <v>1</v>
      </c>
      <c r="N194" s="350">
        <f t="shared" si="139"/>
        <v>1</v>
      </c>
      <c r="O194" s="350">
        <f t="shared" si="139"/>
        <v>1</v>
      </c>
      <c r="P194" s="350">
        <f t="shared" si="139"/>
        <v>1</v>
      </c>
      <c r="Q194" s="350">
        <f t="shared" si="139"/>
        <v>1</v>
      </c>
      <c r="R194" s="350">
        <f t="shared" si="139"/>
        <v>1</v>
      </c>
      <c r="S194" s="350">
        <f t="shared" si="139"/>
        <v>1</v>
      </c>
      <c r="T194" s="350">
        <f t="shared" si="139"/>
        <v>1</v>
      </c>
      <c r="U194" s="350">
        <f t="shared" si="139"/>
        <v>1</v>
      </c>
      <c r="V194" s="350">
        <f t="shared" si="139"/>
        <v>1</v>
      </c>
      <c r="W194" s="350">
        <f t="shared" si="139"/>
        <v>1</v>
      </c>
      <c r="X194" s="350">
        <f t="shared" si="139"/>
        <v>1</v>
      </c>
      <c r="Y194" s="350">
        <f t="shared" si="139"/>
        <v>1</v>
      </c>
      <c r="Z194" s="350">
        <f t="shared" si="139"/>
        <v>1</v>
      </c>
      <c r="AA194" s="350">
        <f t="shared" si="139"/>
        <v>1</v>
      </c>
      <c r="AB194" s="350">
        <f t="shared" si="139"/>
        <v>1</v>
      </c>
      <c r="AC194" s="350">
        <f t="shared" si="139"/>
        <v>1</v>
      </c>
      <c r="AD194" s="350">
        <f t="shared" si="139"/>
        <v>1</v>
      </c>
      <c r="AE194" s="350">
        <f t="shared" si="139"/>
        <v>1</v>
      </c>
      <c r="AF194" s="350">
        <f t="shared" si="139"/>
        <v>1</v>
      </c>
      <c r="AG194" s="350">
        <f t="shared" si="139"/>
        <v>1</v>
      </c>
      <c r="AH194" s="350">
        <f t="shared" si="139"/>
        <v>1</v>
      </c>
      <c r="AI194" s="350">
        <f t="shared" si="139"/>
        <v>1</v>
      </c>
      <c r="AJ194" s="350">
        <f t="shared" si="139"/>
        <v>1</v>
      </c>
      <c r="AK194" s="350">
        <f t="shared" si="139"/>
        <v>1</v>
      </c>
      <c r="AL194" s="350">
        <f t="shared" si="139"/>
        <v>1</v>
      </c>
      <c r="AM194" s="350">
        <f t="shared" si="139"/>
        <v>1</v>
      </c>
    </row>
    <row r="195" spans="2:39" s="259" customFormat="1" hidden="1" outlineLevel="1" x14ac:dyDescent="0.25">
      <c r="B195" s="259" t="str">
        <f t="shared" si="137"/>
        <v>AndetBrand</v>
      </c>
      <c r="C195" s="260" t="s">
        <v>242</v>
      </c>
      <c r="D195" s="350">
        <f t="shared" si="138"/>
        <v>1</v>
      </c>
      <c r="E195" s="350">
        <f t="shared" si="139"/>
        <v>1</v>
      </c>
      <c r="F195" s="350">
        <f t="shared" si="139"/>
        <v>1</v>
      </c>
      <c r="G195" s="350">
        <f t="shared" si="139"/>
        <v>1</v>
      </c>
      <c r="H195" s="350">
        <f t="shared" si="139"/>
        <v>1</v>
      </c>
      <c r="I195" s="350">
        <f t="shared" si="139"/>
        <v>1</v>
      </c>
      <c r="J195" s="350">
        <f t="shared" si="139"/>
        <v>1</v>
      </c>
      <c r="K195" s="350">
        <f t="shared" si="139"/>
        <v>1</v>
      </c>
      <c r="L195" s="350">
        <f t="shared" si="139"/>
        <v>1</v>
      </c>
      <c r="M195" s="350">
        <f t="shared" si="139"/>
        <v>1</v>
      </c>
      <c r="N195" s="350">
        <f t="shared" si="139"/>
        <v>1</v>
      </c>
      <c r="O195" s="350">
        <f t="shared" si="139"/>
        <v>1</v>
      </c>
      <c r="P195" s="350">
        <f t="shared" si="139"/>
        <v>1</v>
      </c>
      <c r="Q195" s="350">
        <f t="shared" si="139"/>
        <v>1</v>
      </c>
      <c r="R195" s="350">
        <f t="shared" si="139"/>
        <v>1</v>
      </c>
      <c r="S195" s="350">
        <f t="shared" si="139"/>
        <v>1</v>
      </c>
      <c r="T195" s="350">
        <f t="shared" si="139"/>
        <v>1</v>
      </c>
      <c r="U195" s="350">
        <f t="shared" si="139"/>
        <v>1</v>
      </c>
      <c r="V195" s="350">
        <f t="shared" si="139"/>
        <v>1</v>
      </c>
      <c r="W195" s="350">
        <f t="shared" si="139"/>
        <v>1</v>
      </c>
      <c r="X195" s="350">
        <f t="shared" si="139"/>
        <v>1</v>
      </c>
      <c r="Y195" s="350">
        <f t="shared" si="139"/>
        <v>1</v>
      </c>
      <c r="Z195" s="350">
        <f t="shared" si="139"/>
        <v>1</v>
      </c>
      <c r="AA195" s="350">
        <f t="shared" si="139"/>
        <v>1</v>
      </c>
      <c r="AB195" s="350">
        <f t="shared" si="139"/>
        <v>1</v>
      </c>
      <c r="AC195" s="350">
        <f t="shared" si="139"/>
        <v>1</v>
      </c>
      <c r="AD195" s="350">
        <f t="shared" si="139"/>
        <v>1</v>
      </c>
      <c r="AE195" s="350">
        <f t="shared" si="139"/>
        <v>1</v>
      </c>
      <c r="AF195" s="350">
        <f t="shared" si="139"/>
        <v>1</v>
      </c>
      <c r="AG195" s="350">
        <f t="shared" si="139"/>
        <v>1</v>
      </c>
      <c r="AH195" s="350">
        <f t="shared" si="139"/>
        <v>1</v>
      </c>
      <c r="AI195" s="350">
        <f t="shared" si="139"/>
        <v>1</v>
      </c>
      <c r="AJ195" s="350">
        <f t="shared" si="139"/>
        <v>1</v>
      </c>
      <c r="AK195" s="350">
        <f t="shared" si="139"/>
        <v>1</v>
      </c>
      <c r="AL195" s="350">
        <f t="shared" si="139"/>
        <v>1</v>
      </c>
      <c r="AM195" s="350">
        <f t="shared" si="139"/>
        <v>1</v>
      </c>
    </row>
    <row r="196" spans="2:39" s="259" customFormat="1" hidden="1" outlineLevel="1" x14ac:dyDescent="0.25">
      <c r="B196" s="259" t="str">
        <f t="shared" si="137"/>
        <v>Trae</v>
      </c>
      <c r="C196" s="260" t="s">
        <v>242</v>
      </c>
      <c r="D196" s="350">
        <f t="shared" si="138"/>
        <v>1</v>
      </c>
      <c r="E196" s="350">
        <f t="shared" si="139"/>
        <v>1</v>
      </c>
      <c r="F196" s="350">
        <f t="shared" si="139"/>
        <v>1</v>
      </c>
      <c r="G196" s="350">
        <f t="shared" si="139"/>
        <v>1</v>
      </c>
      <c r="H196" s="350">
        <f t="shared" si="139"/>
        <v>1</v>
      </c>
      <c r="I196" s="350">
        <f t="shared" si="139"/>
        <v>1</v>
      </c>
      <c r="J196" s="350">
        <f t="shared" si="139"/>
        <v>1</v>
      </c>
      <c r="K196" s="350">
        <f t="shared" si="139"/>
        <v>1</v>
      </c>
      <c r="L196" s="350">
        <f t="shared" si="139"/>
        <v>1</v>
      </c>
      <c r="M196" s="350">
        <f t="shared" si="139"/>
        <v>1</v>
      </c>
      <c r="N196" s="350">
        <f t="shared" si="139"/>
        <v>1</v>
      </c>
      <c r="O196" s="350">
        <f t="shared" si="139"/>
        <v>1</v>
      </c>
      <c r="P196" s="350">
        <f t="shared" si="139"/>
        <v>1</v>
      </c>
      <c r="Q196" s="350">
        <f t="shared" si="139"/>
        <v>1</v>
      </c>
      <c r="R196" s="350">
        <f t="shared" si="139"/>
        <v>1</v>
      </c>
      <c r="S196" s="350">
        <f t="shared" si="139"/>
        <v>1</v>
      </c>
      <c r="T196" s="350">
        <f t="shared" si="139"/>
        <v>1</v>
      </c>
      <c r="U196" s="350">
        <f t="shared" si="139"/>
        <v>1</v>
      </c>
      <c r="V196" s="350">
        <f t="shared" si="139"/>
        <v>1</v>
      </c>
      <c r="W196" s="350">
        <f t="shared" si="139"/>
        <v>1</v>
      </c>
      <c r="X196" s="350">
        <f t="shared" si="139"/>
        <v>1</v>
      </c>
      <c r="Y196" s="350">
        <f t="shared" si="139"/>
        <v>1</v>
      </c>
      <c r="Z196" s="350">
        <f t="shared" si="139"/>
        <v>1</v>
      </c>
      <c r="AA196" s="350">
        <f t="shared" si="139"/>
        <v>1</v>
      </c>
      <c r="AB196" s="350">
        <f t="shared" si="139"/>
        <v>1</v>
      </c>
      <c r="AC196" s="350">
        <f t="shared" si="139"/>
        <v>1</v>
      </c>
      <c r="AD196" s="350">
        <f t="shared" si="139"/>
        <v>1</v>
      </c>
      <c r="AE196" s="350">
        <f t="shared" si="139"/>
        <v>1</v>
      </c>
      <c r="AF196" s="350">
        <f t="shared" si="139"/>
        <v>1</v>
      </c>
      <c r="AG196" s="350">
        <f t="shared" si="139"/>
        <v>1</v>
      </c>
      <c r="AH196" s="350">
        <f t="shared" si="139"/>
        <v>1</v>
      </c>
      <c r="AI196" s="350">
        <f t="shared" si="139"/>
        <v>1</v>
      </c>
      <c r="AJ196" s="350">
        <f t="shared" si="139"/>
        <v>1</v>
      </c>
      <c r="AK196" s="350">
        <f t="shared" si="139"/>
        <v>1</v>
      </c>
      <c r="AL196" s="350">
        <f t="shared" si="139"/>
        <v>1</v>
      </c>
      <c r="AM196" s="350">
        <f t="shared" si="139"/>
        <v>1</v>
      </c>
    </row>
    <row r="197" spans="2:39" s="259" customFormat="1" hidden="1" outlineLevel="1" x14ac:dyDescent="0.25">
      <c r="B197" s="259" t="str">
        <f t="shared" si="137"/>
        <v>DagrenRast</v>
      </c>
      <c r="C197" s="260" t="s">
        <v>242</v>
      </c>
      <c r="D197" s="350">
        <f t="shared" si="138"/>
        <v>1</v>
      </c>
      <c r="E197" s="350">
        <f t="shared" si="139"/>
        <v>1</v>
      </c>
      <c r="F197" s="350">
        <f t="shared" si="139"/>
        <v>1</v>
      </c>
      <c r="G197" s="350">
        <f t="shared" si="139"/>
        <v>1</v>
      </c>
      <c r="H197" s="350">
        <f t="shared" si="139"/>
        <v>1</v>
      </c>
      <c r="I197" s="350">
        <f t="shared" si="139"/>
        <v>1</v>
      </c>
      <c r="J197" s="350">
        <f t="shared" si="139"/>
        <v>1</v>
      </c>
      <c r="K197" s="350">
        <f t="shared" si="139"/>
        <v>1</v>
      </c>
      <c r="L197" s="350">
        <f t="shared" si="139"/>
        <v>1</v>
      </c>
      <c r="M197" s="350">
        <f t="shared" si="139"/>
        <v>1</v>
      </c>
      <c r="N197" s="350">
        <f t="shared" si="139"/>
        <v>1</v>
      </c>
      <c r="O197" s="350">
        <f t="shared" si="139"/>
        <v>1</v>
      </c>
      <c r="P197" s="350">
        <f t="shared" si="139"/>
        <v>1</v>
      </c>
      <c r="Q197" s="350">
        <f t="shared" si="139"/>
        <v>1</v>
      </c>
      <c r="R197" s="350">
        <f t="shared" si="139"/>
        <v>1</v>
      </c>
      <c r="S197" s="350">
        <f t="shared" si="139"/>
        <v>1</v>
      </c>
      <c r="T197" s="350">
        <f t="shared" si="139"/>
        <v>1</v>
      </c>
      <c r="U197" s="350">
        <f t="shared" si="139"/>
        <v>1</v>
      </c>
      <c r="V197" s="350">
        <f t="shared" si="139"/>
        <v>1</v>
      </c>
      <c r="W197" s="350">
        <f t="shared" si="139"/>
        <v>1</v>
      </c>
      <c r="X197" s="350">
        <f t="shared" si="139"/>
        <v>1</v>
      </c>
      <c r="Y197" s="350">
        <f t="shared" si="139"/>
        <v>1</v>
      </c>
      <c r="Z197" s="350">
        <f t="shared" si="139"/>
        <v>1</v>
      </c>
      <c r="AA197" s="350">
        <f t="shared" si="139"/>
        <v>1</v>
      </c>
      <c r="AB197" s="350">
        <f t="shared" si="139"/>
        <v>1</v>
      </c>
      <c r="AC197" s="350">
        <f t="shared" si="139"/>
        <v>1</v>
      </c>
      <c r="AD197" s="350">
        <f t="shared" si="139"/>
        <v>1</v>
      </c>
      <c r="AE197" s="350">
        <f t="shared" si="139"/>
        <v>1</v>
      </c>
      <c r="AF197" s="350">
        <f t="shared" si="139"/>
        <v>1</v>
      </c>
      <c r="AG197" s="350">
        <f t="shared" si="139"/>
        <v>1</v>
      </c>
      <c r="AH197" s="350">
        <f t="shared" si="139"/>
        <v>1</v>
      </c>
      <c r="AI197" s="350">
        <f t="shared" si="139"/>
        <v>1</v>
      </c>
      <c r="AJ197" s="350">
        <f t="shared" si="139"/>
        <v>1</v>
      </c>
      <c r="AK197" s="350">
        <f t="shared" si="139"/>
        <v>1</v>
      </c>
      <c r="AL197" s="350">
        <f t="shared" si="139"/>
        <v>1</v>
      </c>
      <c r="AM197" s="350">
        <f t="shared" si="139"/>
        <v>1</v>
      </c>
    </row>
    <row r="198" spans="2:39" s="259" customFormat="1" hidden="1" outlineLevel="1" x14ac:dyDescent="0.25">
      <c r="B198" s="259" t="str">
        <f t="shared" si="137"/>
        <v>DagrenInst</v>
      </c>
      <c r="C198" s="260" t="s">
        <v>242</v>
      </c>
      <c r="D198" s="350">
        <f t="shared" si="138"/>
        <v>1</v>
      </c>
      <c r="E198" s="350">
        <f t="shared" si="139"/>
        <v>1</v>
      </c>
      <c r="F198" s="350">
        <f t="shared" si="139"/>
        <v>1</v>
      </c>
      <c r="G198" s="350">
        <f t="shared" si="139"/>
        <v>1</v>
      </c>
      <c r="H198" s="350">
        <f t="shared" si="139"/>
        <v>1</v>
      </c>
      <c r="I198" s="350">
        <f t="shared" si="139"/>
        <v>1</v>
      </c>
      <c r="J198" s="350">
        <f t="shared" si="139"/>
        <v>1</v>
      </c>
      <c r="K198" s="350">
        <f t="shared" si="139"/>
        <v>1</v>
      </c>
      <c r="L198" s="350">
        <f t="shared" si="139"/>
        <v>1</v>
      </c>
      <c r="M198" s="350">
        <f t="shared" si="139"/>
        <v>1</v>
      </c>
      <c r="N198" s="350">
        <f t="shared" si="139"/>
        <v>1</v>
      </c>
      <c r="O198" s="350">
        <f t="shared" si="139"/>
        <v>1</v>
      </c>
      <c r="P198" s="350">
        <f t="shared" si="139"/>
        <v>1</v>
      </c>
      <c r="Q198" s="350">
        <f t="shared" si="139"/>
        <v>1</v>
      </c>
      <c r="R198" s="350">
        <f t="shared" si="139"/>
        <v>1</v>
      </c>
      <c r="S198" s="350">
        <f t="shared" si="139"/>
        <v>1</v>
      </c>
      <c r="T198" s="350">
        <f t="shared" si="139"/>
        <v>1</v>
      </c>
      <c r="U198" s="350">
        <f t="shared" si="139"/>
        <v>1</v>
      </c>
      <c r="V198" s="350">
        <f t="shared" si="139"/>
        <v>1</v>
      </c>
      <c r="W198" s="350">
        <f t="shared" si="139"/>
        <v>1</v>
      </c>
      <c r="X198" s="350">
        <f t="shared" si="139"/>
        <v>1</v>
      </c>
      <c r="Y198" s="350">
        <f t="shared" si="139"/>
        <v>1</v>
      </c>
      <c r="Z198" s="350">
        <f t="shared" si="139"/>
        <v>1</v>
      </c>
      <c r="AA198" s="350">
        <f t="shared" si="139"/>
        <v>1</v>
      </c>
      <c r="AB198" s="350">
        <f t="shared" si="139"/>
        <v>1</v>
      </c>
      <c r="AC198" s="350">
        <f t="shared" si="139"/>
        <v>1</v>
      </c>
      <c r="AD198" s="350">
        <f t="shared" ref="E198:AM205" si="141">$J12</f>
        <v>1</v>
      </c>
      <c r="AE198" s="350">
        <f t="shared" si="141"/>
        <v>1</v>
      </c>
      <c r="AF198" s="350">
        <f t="shared" si="141"/>
        <v>1</v>
      </c>
      <c r="AG198" s="350">
        <f t="shared" si="141"/>
        <v>1</v>
      </c>
      <c r="AH198" s="350">
        <f t="shared" si="141"/>
        <v>1</v>
      </c>
      <c r="AI198" s="350">
        <f t="shared" si="141"/>
        <v>1</v>
      </c>
      <c r="AJ198" s="350">
        <f t="shared" si="141"/>
        <v>1</v>
      </c>
      <c r="AK198" s="350">
        <f t="shared" si="141"/>
        <v>1</v>
      </c>
      <c r="AL198" s="350">
        <f t="shared" si="141"/>
        <v>1</v>
      </c>
      <c r="AM198" s="350">
        <f t="shared" si="141"/>
        <v>1</v>
      </c>
    </row>
    <row r="199" spans="2:39" s="259" customFormat="1" hidden="1" outlineLevel="1" x14ac:dyDescent="0.25">
      <c r="B199" s="259" t="str">
        <f t="shared" si="137"/>
        <v>DagrenHandel</v>
      </c>
      <c r="C199" s="260" t="s">
        <v>242</v>
      </c>
      <c r="D199" s="350">
        <f t="shared" si="138"/>
        <v>1</v>
      </c>
      <c r="E199" s="350">
        <f t="shared" si="141"/>
        <v>1</v>
      </c>
      <c r="F199" s="350">
        <f t="shared" si="141"/>
        <v>1</v>
      </c>
      <c r="G199" s="350">
        <f t="shared" si="141"/>
        <v>1</v>
      </c>
      <c r="H199" s="350">
        <f t="shared" si="141"/>
        <v>1</v>
      </c>
      <c r="I199" s="350">
        <f t="shared" si="141"/>
        <v>1</v>
      </c>
      <c r="J199" s="350">
        <f t="shared" si="141"/>
        <v>1</v>
      </c>
      <c r="K199" s="350">
        <f t="shared" si="141"/>
        <v>1</v>
      </c>
      <c r="L199" s="350">
        <f t="shared" si="141"/>
        <v>1</v>
      </c>
      <c r="M199" s="350">
        <f t="shared" si="141"/>
        <v>1</v>
      </c>
      <c r="N199" s="350">
        <f t="shared" si="141"/>
        <v>1</v>
      </c>
      <c r="O199" s="350">
        <f t="shared" si="141"/>
        <v>1</v>
      </c>
      <c r="P199" s="350">
        <f t="shared" si="141"/>
        <v>1</v>
      </c>
      <c r="Q199" s="350">
        <f t="shared" si="141"/>
        <v>1</v>
      </c>
      <c r="R199" s="350">
        <f t="shared" si="141"/>
        <v>1</v>
      </c>
      <c r="S199" s="350">
        <f t="shared" si="141"/>
        <v>1</v>
      </c>
      <c r="T199" s="350">
        <f t="shared" si="141"/>
        <v>1</v>
      </c>
      <c r="U199" s="350">
        <f t="shared" si="141"/>
        <v>1</v>
      </c>
      <c r="V199" s="350">
        <f t="shared" si="141"/>
        <v>1</v>
      </c>
      <c r="W199" s="350">
        <f t="shared" si="141"/>
        <v>1</v>
      </c>
      <c r="X199" s="350">
        <f t="shared" si="141"/>
        <v>1</v>
      </c>
      <c r="Y199" s="350">
        <f t="shared" si="141"/>
        <v>1</v>
      </c>
      <c r="Z199" s="350">
        <f t="shared" si="141"/>
        <v>1</v>
      </c>
      <c r="AA199" s="350">
        <f t="shared" si="141"/>
        <v>1</v>
      </c>
      <c r="AB199" s="350">
        <f t="shared" si="141"/>
        <v>1</v>
      </c>
      <c r="AC199" s="350">
        <f t="shared" si="141"/>
        <v>1</v>
      </c>
      <c r="AD199" s="350">
        <f t="shared" si="141"/>
        <v>1</v>
      </c>
      <c r="AE199" s="350">
        <f t="shared" si="141"/>
        <v>1</v>
      </c>
      <c r="AF199" s="350">
        <f t="shared" si="141"/>
        <v>1</v>
      </c>
      <c r="AG199" s="350">
        <f t="shared" si="141"/>
        <v>1</v>
      </c>
      <c r="AH199" s="350">
        <f t="shared" si="141"/>
        <v>1</v>
      </c>
      <c r="AI199" s="350">
        <f t="shared" si="141"/>
        <v>1</v>
      </c>
      <c r="AJ199" s="350">
        <f t="shared" si="141"/>
        <v>1</v>
      </c>
      <c r="AK199" s="350">
        <f t="shared" si="141"/>
        <v>1</v>
      </c>
      <c r="AL199" s="350">
        <f t="shared" si="141"/>
        <v>1</v>
      </c>
      <c r="AM199" s="350">
        <f t="shared" si="141"/>
        <v>1</v>
      </c>
    </row>
    <row r="200" spans="2:39" s="259" customFormat="1" hidden="1" outlineLevel="1" x14ac:dyDescent="0.25">
      <c r="B200" s="259" t="str">
        <f t="shared" si="137"/>
        <v>DagrenRestau</v>
      </c>
      <c r="C200" s="260" t="s">
        <v>242</v>
      </c>
      <c r="D200" s="350">
        <f t="shared" si="138"/>
        <v>1</v>
      </c>
      <c r="E200" s="350">
        <f t="shared" si="141"/>
        <v>1</v>
      </c>
      <c r="F200" s="350">
        <f t="shared" si="141"/>
        <v>1</v>
      </c>
      <c r="G200" s="350">
        <f t="shared" si="141"/>
        <v>1</v>
      </c>
      <c r="H200" s="350">
        <f t="shared" si="141"/>
        <v>1</v>
      </c>
      <c r="I200" s="350">
        <f t="shared" si="141"/>
        <v>1</v>
      </c>
      <c r="J200" s="350">
        <f t="shared" si="141"/>
        <v>1</v>
      </c>
      <c r="K200" s="350">
        <f t="shared" si="141"/>
        <v>1</v>
      </c>
      <c r="L200" s="350">
        <f t="shared" si="141"/>
        <v>1</v>
      </c>
      <c r="M200" s="350">
        <f t="shared" si="141"/>
        <v>1</v>
      </c>
      <c r="N200" s="350">
        <f t="shared" si="141"/>
        <v>1</v>
      </c>
      <c r="O200" s="350">
        <f t="shared" si="141"/>
        <v>1</v>
      </c>
      <c r="P200" s="350">
        <f t="shared" si="141"/>
        <v>1</v>
      </c>
      <c r="Q200" s="350">
        <f t="shared" si="141"/>
        <v>1</v>
      </c>
      <c r="R200" s="350">
        <f t="shared" si="141"/>
        <v>1</v>
      </c>
      <c r="S200" s="350">
        <f t="shared" si="141"/>
        <v>1</v>
      </c>
      <c r="T200" s="350">
        <f t="shared" si="141"/>
        <v>1</v>
      </c>
      <c r="U200" s="350">
        <f t="shared" si="141"/>
        <v>1</v>
      </c>
      <c r="V200" s="350">
        <f t="shared" si="141"/>
        <v>1</v>
      </c>
      <c r="W200" s="350">
        <f t="shared" si="141"/>
        <v>1</v>
      </c>
      <c r="X200" s="350">
        <f t="shared" si="141"/>
        <v>1</v>
      </c>
      <c r="Y200" s="350">
        <f t="shared" si="141"/>
        <v>1</v>
      </c>
      <c r="Z200" s="350">
        <f t="shared" si="141"/>
        <v>1</v>
      </c>
      <c r="AA200" s="350">
        <f t="shared" si="141"/>
        <v>1</v>
      </c>
      <c r="AB200" s="350">
        <f t="shared" si="141"/>
        <v>1</v>
      </c>
      <c r="AC200" s="350">
        <f t="shared" si="141"/>
        <v>1</v>
      </c>
      <c r="AD200" s="350">
        <f t="shared" si="141"/>
        <v>1</v>
      </c>
      <c r="AE200" s="350">
        <f t="shared" si="141"/>
        <v>1</v>
      </c>
      <c r="AF200" s="350">
        <f t="shared" si="141"/>
        <v>1</v>
      </c>
      <c r="AG200" s="350">
        <f t="shared" si="141"/>
        <v>1</v>
      </c>
      <c r="AH200" s="350">
        <f t="shared" si="141"/>
        <v>1</v>
      </c>
      <c r="AI200" s="350">
        <f t="shared" si="141"/>
        <v>1</v>
      </c>
      <c r="AJ200" s="350">
        <f t="shared" si="141"/>
        <v>1</v>
      </c>
      <c r="AK200" s="350">
        <f t="shared" si="141"/>
        <v>1</v>
      </c>
      <c r="AL200" s="350">
        <f t="shared" si="141"/>
        <v>1</v>
      </c>
      <c r="AM200" s="350">
        <f t="shared" si="141"/>
        <v>1</v>
      </c>
    </row>
    <row r="201" spans="2:39" s="259" customFormat="1" hidden="1" outlineLevel="1" x14ac:dyDescent="0.25">
      <c r="B201" s="259" t="str">
        <f t="shared" si="137"/>
        <v>Erhverv</v>
      </c>
      <c r="C201" s="260" t="s">
        <v>242</v>
      </c>
      <c r="D201" s="350">
        <f t="shared" si="138"/>
        <v>1</v>
      </c>
      <c r="E201" s="350">
        <f t="shared" si="141"/>
        <v>1</v>
      </c>
      <c r="F201" s="350">
        <f t="shared" si="141"/>
        <v>1</v>
      </c>
      <c r="G201" s="350">
        <f t="shared" si="141"/>
        <v>1</v>
      </c>
      <c r="H201" s="350">
        <f t="shared" si="141"/>
        <v>1</v>
      </c>
      <c r="I201" s="350">
        <f t="shared" si="141"/>
        <v>1</v>
      </c>
      <c r="J201" s="350">
        <f t="shared" si="141"/>
        <v>1</v>
      </c>
      <c r="K201" s="350">
        <f t="shared" si="141"/>
        <v>1</v>
      </c>
      <c r="L201" s="350">
        <f t="shared" si="141"/>
        <v>1</v>
      </c>
      <c r="M201" s="350">
        <f t="shared" si="141"/>
        <v>1</v>
      </c>
      <c r="N201" s="350">
        <f t="shared" si="141"/>
        <v>1</v>
      </c>
      <c r="O201" s="350">
        <f t="shared" si="141"/>
        <v>1</v>
      </c>
      <c r="P201" s="350">
        <f t="shared" si="141"/>
        <v>1</v>
      </c>
      <c r="Q201" s="350">
        <f t="shared" si="141"/>
        <v>1</v>
      </c>
      <c r="R201" s="350">
        <f t="shared" si="141"/>
        <v>1</v>
      </c>
      <c r="S201" s="350">
        <f t="shared" si="141"/>
        <v>1</v>
      </c>
      <c r="T201" s="350">
        <f t="shared" si="141"/>
        <v>1</v>
      </c>
      <c r="U201" s="350">
        <f t="shared" si="141"/>
        <v>1</v>
      </c>
      <c r="V201" s="350">
        <f t="shared" si="141"/>
        <v>1</v>
      </c>
      <c r="W201" s="350">
        <f t="shared" si="141"/>
        <v>1</v>
      </c>
      <c r="X201" s="350">
        <f t="shared" si="141"/>
        <v>1</v>
      </c>
      <c r="Y201" s="350">
        <f t="shared" si="141"/>
        <v>1</v>
      </c>
      <c r="Z201" s="350">
        <f t="shared" si="141"/>
        <v>1</v>
      </c>
      <c r="AA201" s="350">
        <f t="shared" si="141"/>
        <v>1</v>
      </c>
      <c r="AB201" s="350">
        <f t="shared" si="141"/>
        <v>1</v>
      </c>
      <c r="AC201" s="350">
        <f t="shared" si="141"/>
        <v>1</v>
      </c>
      <c r="AD201" s="350">
        <f t="shared" si="141"/>
        <v>1</v>
      </c>
      <c r="AE201" s="350">
        <f t="shared" si="141"/>
        <v>1</v>
      </c>
      <c r="AF201" s="350">
        <f t="shared" si="141"/>
        <v>1</v>
      </c>
      <c r="AG201" s="350">
        <f t="shared" si="141"/>
        <v>1</v>
      </c>
      <c r="AH201" s="350">
        <f t="shared" si="141"/>
        <v>1</v>
      </c>
      <c r="AI201" s="350">
        <f t="shared" si="141"/>
        <v>1</v>
      </c>
      <c r="AJ201" s="350">
        <f t="shared" si="141"/>
        <v>1</v>
      </c>
      <c r="AK201" s="350">
        <f t="shared" si="141"/>
        <v>1</v>
      </c>
      <c r="AL201" s="350">
        <f t="shared" si="141"/>
        <v>1</v>
      </c>
      <c r="AM201" s="350">
        <f t="shared" si="141"/>
        <v>1</v>
      </c>
    </row>
    <row r="202" spans="2:39" s="259" customFormat="1" hidden="1" outlineLevel="1" x14ac:dyDescent="0.25">
      <c r="B202" s="259" t="str">
        <f t="shared" si="137"/>
        <v>DagrenErhverv</v>
      </c>
      <c r="C202" s="260" t="s">
        <v>242</v>
      </c>
      <c r="D202" s="350">
        <f t="shared" si="138"/>
        <v>1</v>
      </c>
      <c r="E202" s="350">
        <f t="shared" si="141"/>
        <v>1</v>
      </c>
      <c r="F202" s="350">
        <f t="shared" si="141"/>
        <v>1</v>
      </c>
      <c r="G202" s="350">
        <f t="shared" si="141"/>
        <v>1</v>
      </c>
      <c r="H202" s="350">
        <f t="shared" si="141"/>
        <v>1</v>
      </c>
      <c r="I202" s="350">
        <f t="shared" si="141"/>
        <v>1</v>
      </c>
      <c r="J202" s="350">
        <f t="shared" si="141"/>
        <v>1</v>
      </c>
      <c r="K202" s="350">
        <f t="shared" si="141"/>
        <v>1</v>
      </c>
      <c r="L202" s="350">
        <f t="shared" si="141"/>
        <v>1</v>
      </c>
      <c r="M202" s="350">
        <f t="shared" si="141"/>
        <v>1</v>
      </c>
      <c r="N202" s="350">
        <f t="shared" si="141"/>
        <v>1</v>
      </c>
      <c r="O202" s="350">
        <f t="shared" si="141"/>
        <v>1</v>
      </c>
      <c r="P202" s="350">
        <f t="shared" si="141"/>
        <v>1</v>
      </c>
      <c r="Q202" s="350">
        <f t="shared" si="141"/>
        <v>1</v>
      </c>
      <c r="R202" s="350">
        <f t="shared" si="141"/>
        <v>1</v>
      </c>
      <c r="S202" s="350">
        <f t="shared" si="141"/>
        <v>1</v>
      </c>
      <c r="T202" s="350">
        <f t="shared" si="141"/>
        <v>1</v>
      </c>
      <c r="U202" s="350">
        <f t="shared" si="141"/>
        <v>1</v>
      </c>
      <c r="V202" s="350">
        <f t="shared" si="141"/>
        <v>1</v>
      </c>
      <c r="W202" s="350">
        <f t="shared" si="141"/>
        <v>1</v>
      </c>
      <c r="X202" s="350">
        <f t="shared" si="141"/>
        <v>1</v>
      </c>
      <c r="Y202" s="350">
        <f t="shared" si="141"/>
        <v>1</v>
      </c>
      <c r="Z202" s="350">
        <f t="shared" si="141"/>
        <v>1</v>
      </c>
      <c r="AA202" s="350">
        <f t="shared" si="141"/>
        <v>1</v>
      </c>
      <c r="AB202" s="350">
        <f t="shared" si="141"/>
        <v>1</v>
      </c>
      <c r="AC202" s="350">
        <f t="shared" si="141"/>
        <v>1</v>
      </c>
      <c r="AD202" s="350">
        <f t="shared" si="141"/>
        <v>1</v>
      </c>
      <c r="AE202" s="350">
        <f t="shared" si="141"/>
        <v>1</v>
      </c>
      <c r="AF202" s="350">
        <f t="shared" si="141"/>
        <v>1</v>
      </c>
      <c r="AG202" s="350">
        <f t="shared" si="141"/>
        <v>1</v>
      </c>
      <c r="AH202" s="350">
        <f t="shared" si="141"/>
        <v>1</v>
      </c>
      <c r="AI202" s="350">
        <f t="shared" si="141"/>
        <v>1</v>
      </c>
      <c r="AJ202" s="350">
        <f t="shared" si="141"/>
        <v>1</v>
      </c>
      <c r="AK202" s="350">
        <f t="shared" si="141"/>
        <v>1</v>
      </c>
      <c r="AL202" s="350">
        <f t="shared" si="141"/>
        <v>1</v>
      </c>
      <c r="AM202" s="350">
        <f t="shared" si="141"/>
        <v>1</v>
      </c>
    </row>
    <row r="203" spans="2:39" s="259" customFormat="1" hidden="1" outlineLevel="1" x14ac:dyDescent="0.25">
      <c r="B203" s="259" t="str">
        <f t="shared" si="137"/>
        <v>HandelKontor</v>
      </c>
      <c r="C203" s="260" t="s">
        <v>242</v>
      </c>
      <c r="D203" s="350">
        <f t="shared" si="138"/>
        <v>1</v>
      </c>
      <c r="E203" s="350">
        <f t="shared" si="141"/>
        <v>1</v>
      </c>
      <c r="F203" s="350">
        <f t="shared" si="141"/>
        <v>1</v>
      </c>
      <c r="G203" s="350">
        <f t="shared" si="141"/>
        <v>1</v>
      </c>
      <c r="H203" s="350">
        <f t="shared" si="141"/>
        <v>1</v>
      </c>
      <c r="I203" s="350">
        <f t="shared" si="141"/>
        <v>1</v>
      </c>
      <c r="J203" s="350">
        <f t="shared" si="141"/>
        <v>1</v>
      </c>
      <c r="K203" s="350">
        <f t="shared" si="141"/>
        <v>1</v>
      </c>
      <c r="L203" s="350">
        <f t="shared" si="141"/>
        <v>1</v>
      </c>
      <c r="M203" s="350">
        <f t="shared" si="141"/>
        <v>1</v>
      </c>
      <c r="N203" s="350">
        <f t="shared" si="141"/>
        <v>1</v>
      </c>
      <c r="O203" s="350">
        <f t="shared" si="141"/>
        <v>1</v>
      </c>
      <c r="P203" s="350">
        <f t="shared" si="141"/>
        <v>1</v>
      </c>
      <c r="Q203" s="350">
        <f t="shared" si="141"/>
        <v>1</v>
      </c>
      <c r="R203" s="350">
        <f t="shared" si="141"/>
        <v>1</v>
      </c>
      <c r="S203" s="350">
        <f t="shared" si="141"/>
        <v>1</v>
      </c>
      <c r="T203" s="350">
        <f t="shared" si="141"/>
        <v>1</v>
      </c>
      <c r="U203" s="350">
        <f t="shared" si="141"/>
        <v>1</v>
      </c>
      <c r="V203" s="350">
        <f t="shared" si="141"/>
        <v>1</v>
      </c>
      <c r="W203" s="350">
        <f t="shared" si="141"/>
        <v>1</v>
      </c>
      <c r="X203" s="350">
        <f t="shared" si="141"/>
        <v>1</v>
      </c>
      <c r="Y203" s="350">
        <f t="shared" si="141"/>
        <v>1</v>
      </c>
      <c r="Z203" s="350">
        <f t="shared" si="141"/>
        <v>1</v>
      </c>
      <c r="AA203" s="350">
        <f t="shared" si="141"/>
        <v>1</v>
      </c>
      <c r="AB203" s="350">
        <f t="shared" si="141"/>
        <v>1</v>
      </c>
      <c r="AC203" s="350">
        <f t="shared" si="141"/>
        <v>1</v>
      </c>
      <c r="AD203" s="350">
        <f t="shared" si="141"/>
        <v>1</v>
      </c>
      <c r="AE203" s="350">
        <f t="shared" si="141"/>
        <v>1</v>
      </c>
      <c r="AF203" s="350">
        <f t="shared" si="141"/>
        <v>1</v>
      </c>
      <c r="AG203" s="350">
        <f t="shared" si="141"/>
        <v>1</v>
      </c>
      <c r="AH203" s="350">
        <f t="shared" si="141"/>
        <v>1</v>
      </c>
      <c r="AI203" s="350">
        <f t="shared" si="141"/>
        <v>1</v>
      </c>
      <c r="AJ203" s="350">
        <f t="shared" si="141"/>
        <v>1</v>
      </c>
      <c r="AK203" s="350">
        <f t="shared" si="141"/>
        <v>1</v>
      </c>
      <c r="AL203" s="350">
        <f t="shared" si="141"/>
        <v>1</v>
      </c>
      <c r="AM203" s="350">
        <f t="shared" si="141"/>
        <v>1</v>
      </c>
    </row>
    <row r="204" spans="2:39" s="259" customFormat="1" hidden="1" outlineLevel="1" x14ac:dyDescent="0.25">
      <c r="B204" s="259" t="str">
        <f t="shared" si="137"/>
        <v>Privat</v>
      </c>
      <c r="C204" s="260" t="s">
        <v>242</v>
      </c>
      <c r="D204" s="350">
        <f t="shared" si="138"/>
        <v>1</v>
      </c>
      <c r="E204" s="350">
        <f t="shared" si="141"/>
        <v>1</v>
      </c>
      <c r="F204" s="350">
        <f t="shared" si="141"/>
        <v>1</v>
      </c>
      <c r="G204" s="350">
        <f t="shared" si="141"/>
        <v>1</v>
      </c>
      <c r="H204" s="350">
        <f t="shared" si="141"/>
        <v>1</v>
      </c>
      <c r="I204" s="350">
        <f t="shared" si="141"/>
        <v>1</v>
      </c>
      <c r="J204" s="350">
        <f t="shared" si="141"/>
        <v>1</v>
      </c>
      <c r="K204" s="350">
        <f t="shared" si="141"/>
        <v>1</v>
      </c>
      <c r="L204" s="350">
        <f t="shared" si="141"/>
        <v>1</v>
      </c>
      <c r="M204" s="350">
        <f t="shared" si="141"/>
        <v>1</v>
      </c>
      <c r="N204" s="350">
        <f t="shared" si="141"/>
        <v>1</v>
      </c>
      <c r="O204" s="350">
        <f t="shared" si="141"/>
        <v>1</v>
      </c>
      <c r="P204" s="350">
        <f t="shared" si="141"/>
        <v>1</v>
      </c>
      <c r="Q204" s="350">
        <f t="shared" si="141"/>
        <v>1</v>
      </c>
      <c r="R204" s="350">
        <f t="shared" si="141"/>
        <v>1</v>
      </c>
      <c r="S204" s="350">
        <f t="shared" si="141"/>
        <v>1</v>
      </c>
      <c r="T204" s="350">
        <f t="shared" si="141"/>
        <v>1</v>
      </c>
      <c r="U204" s="350">
        <f t="shared" si="141"/>
        <v>1</v>
      </c>
      <c r="V204" s="350">
        <f t="shared" si="141"/>
        <v>1</v>
      </c>
      <c r="W204" s="350">
        <f t="shared" si="141"/>
        <v>1</v>
      </c>
      <c r="X204" s="350">
        <f t="shared" si="141"/>
        <v>1</v>
      </c>
      <c r="Y204" s="350">
        <f t="shared" si="141"/>
        <v>1</v>
      </c>
      <c r="Z204" s="350">
        <f t="shared" si="141"/>
        <v>1</v>
      </c>
      <c r="AA204" s="350">
        <f t="shared" si="141"/>
        <v>1</v>
      </c>
      <c r="AB204" s="350">
        <f t="shared" si="141"/>
        <v>1</v>
      </c>
      <c r="AC204" s="350">
        <f t="shared" si="141"/>
        <v>1</v>
      </c>
      <c r="AD204" s="350">
        <f t="shared" si="141"/>
        <v>1</v>
      </c>
      <c r="AE204" s="350">
        <f t="shared" si="141"/>
        <v>1</v>
      </c>
      <c r="AF204" s="350">
        <f t="shared" si="141"/>
        <v>1</v>
      </c>
      <c r="AG204" s="350">
        <f t="shared" si="141"/>
        <v>1</v>
      </c>
      <c r="AH204" s="350">
        <f t="shared" si="141"/>
        <v>1</v>
      </c>
      <c r="AI204" s="350">
        <f t="shared" si="141"/>
        <v>1</v>
      </c>
      <c r="AJ204" s="350">
        <f t="shared" si="141"/>
        <v>1</v>
      </c>
      <c r="AK204" s="350">
        <f t="shared" si="141"/>
        <v>1</v>
      </c>
      <c r="AL204" s="350">
        <f t="shared" si="141"/>
        <v>1</v>
      </c>
      <c r="AM204" s="350">
        <f t="shared" si="141"/>
        <v>1</v>
      </c>
    </row>
    <row r="205" spans="2:39" s="259" customFormat="1" hidden="1" outlineLevel="1" x14ac:dyDescent="0.25">
      <c r="B205" s="259" t="str">
        <f t="shared" si="137"/>
        <v>TyskRest</v>
      </c>
      <c r="C205" s="260" t="s">
        <v>242</v>
      </c>
      <c r="D205" s="350">
        <f t="shared" si="138"/>
        <v>1</v>
      </c>
      <c r="E205" s="350">
        <f t="shared" si="141"/>
        <v>1</v>
      </c>
      <c r="F205" s="350">
        <f t="shared" si="141"/>
        <v>1</v>
      </c>
      <c r="G205" s="350">
        <f t="shared" si="141"/>
        <v>1</v>
      </c>
      <c r="H205" s="350">
        <f t="shared" si="141"/>
        <v>1</v>
      </c>
      <c r="I205" s="350">
        <f t="shared" si="141"/>
        <v>1</v>
      </c>
      <c r="J205" s="350">
        <f t="shared" si="141"/>
        <v>1</v>
      </c>
      <c r="K205" s="350">
        <f t="shared" si="141"/>
        <v>1</v>
      </c>
      <c r="L205" s="350">
        <f t="shared" si="141"/>
        <v>1</v>
      </c>
      <c r="M205" s="350">
        <f t="shared" si="141"/>
        <v>1</v>
      </c>
      <c r="N205" s="350">
        <f t="shared" si="141"/>
        <v>1</v>
      </c>
      <c r="O205" s="350">
        <f t="shared" si="141"/>
        <v>1</v>
      </c>
      <c r="P205" s="350">
        <f t="shared" si="141"/>
        <v>1</v>
      </c>
      <c r="Q205" s="350">
        <f t="shared" si="141"/>
        <v>1</v>
      </c>
      <c r="R205" s="350">
        <f t="shared" si="141"/>
        <v>1</v>
      </c>
      <c r="S205" s="350">
        <f t="shared" si="141"/>
        <v>1</v>
      </c>
      <c r="T205" s="350">
        <f t="shared" si="141"/>
        <v>1</v>
      </c>
      <c r="U205" s="350">
        <f t="shared" si="141"/>
        <v>1</v>
      </c>
      <c r="V205" s="350">
        <f t="shared" si="141"/>
        <v>1</v>
      </c>
      <c r="W205" s="350">
        <f t="shared" si="141"/>
        <v>1</v>
      </c>
      <c r="X205" s="350">
        <f t="shared" si="141"/>
        <v>1</v>
      </c>
      <c r="Y205" s="350">
        <f t="shared" si="141"/>
        <v>1</v>
      </c>
      <c r="Z205" s="350">
        <f t="shared" si="141"/>
        <v>1</v>
      </c>
      <c r="AA205" s="350">
        <f t="shared" si="141"/>
        <v>1</v>
      </c>
      <c r="AB205" s="350">
        <f t="shared" si="141"/>
        <v>1</v>
      </c>
      <c r="AC205" s="350">
        <f t="shared" si="141"/>
        <v>1</v>
      </c>
      <c r="AD205" s="350">
        <f t="shared" si="141"/>
        <v>1</v>
      </c>
      <c r="AE205" s="350">
        <f t="shared" si="141"/>
        <v>1</v>
      </c>
      <c r="AF205" s="350">
        <f t="shared" si="141"/>
        <v>1</v>
      </c>
      <c r="AG205" s="350">
        <f t="shared" si="141"/>
        <v>1</v>
      </c>
      <c r="AH205" s="350">
        <f t="shared" si="141"/>
        <v>1</v>
      </c>
      <c r="AI205" s="350">
        <f t="shared" si="141"/>
        <v>1</v>
      </c>
      <c r="AJ205" s="350">
        <f t="shared" si="141"/>
        <v>1</v>
      </c>
      <c r="AK205" s="350">
        <f t="shared" si="141"/>
        <v>1</v>
      </c>
      <c r="AL205" s="350">
        <f t="shared" si="141"/>
        <v>1</v>
      </c>
      <c r="AM205" s="350">
        <f t="shared" si="141"/>
        <v>1</v>
      </c>
    </row>
    <row r="206" spans="2:39" s="259" customFormat="1" hidden="1" outlineLevel="1" x14ac:dyDescent="0.25">
      <c r="B206" s="259" t="str">
        <f t="shared" si="137"/>
        <v>PolskRest</v>
      </c>
      <c r="C206" s="260" t="s">
        <v>242</v>
      </c>
      <c r="D206" s="350">
        <f t="shared" si="138"/>
        <v>1</v>
      </c>
      <c r="E206" s="350">
        <f t="shared" ref="E206:AM213" si="142">$J20</f>
        <v>1</v>
      </c>
      <c r="F206" s="350">
        <f t="shared" si="142"/>
        <v>1</v>
      </c>
      <c r="G206" s="350">
        <f t="shared" si="142"/>
        <v>1</v>
      </c>
      <c r="H206" s="350">
        <f t="shared" si="142"/>
        <v>1</v>
      </c>
      <c r="I206" s="350">
        <f t="shared" si="142"/>
        <v>1</v>
      </c>
      <c r="J206" s="350">
        <f t="shared" si="142"/>
        <v>1</v>
      </c>
      <c r="K206" s="350">
        <f t="shared" si="142"/>
        <v>1</v>
      </c>
      <c r="L206" s="350">
        <f t="shared" si="142"/>
        <v>1</v>
      </c>
      <c r="M206" s="350">
        <f t="shared" si="142"/>
        <v>1</v>
      </c>
      <c r="N206" s="350">
        <f t="shared" si="142"/>
        <v>1</v>
      </c>
      <c r="O206" s="350">
        <f t="shared" si="142"/>
        <v>1</v>
      </c>
      <c r="P206" s="350">
        <f t="shared" si="142"/>
        <v>1</v>
      </c>
      <c r="Q206" s="350">
        <f t="shared" si="142"/>
        <v>1</v>
      </c>
      <c r="R206" s="350">
        <f t="shared" si="142"/>
        <v>1</v>
      </c>
      <c r="S206" s="350">
        <f t="shared" si="142"/>
        <v>1</v>
      </c>
      <c r="T206" s="350">
        <f t="shared" si="142"/>
        <v>1</v>
      </c>
      <c r="U206" s="350">
        <f t="shared" si="142"/>
        <v>1</v>
      </c>
      <c r="V206" s="350">
        <f t="shared" si="142"/>
        <v>1</v>
      </c>
      <c r="W206" s="350">
        <f t="shared" si="142"/>
        <v>1</v>
      </c>
      <c r="X206" s="350">
        <f t="shared" si="142"/>
        <v>1</v>
      </c>
      <c r="Y206" s="350">
        <f t="shared" si="142"/>
        <v>1</v>
      </c>
      <c r="Z206" s="350">
        <f t="shared" si="142"/>
        <v>1</v>
      </c>
      <c r="AA206" s="350">
        <f t="shared" si="142"/>
        <v>1</v>
      </c>
      <c r="AB206" s="350">
        <f t="shared" si="142"/>
        <v>1</v>
      </c>
      <c r="AC206" s="350">
        <f t="shared" si="142"/>
        <v>1</v>
      </c>
      <c r="AD206" s="350">
        <f t="shared" si="142"/>
        <v>1</v>
      </c>
      <c r="AE206" s="350">
        <f t="shared" si="142"/>
        <v>1</v>
      </c>
      <c r="AF206" s="350">
        <f t="shared" si="142"/>
        <v>1</v>
      </c>
      <c r="AG206" s="350">
        <f t="shared" si="142"/>
        <v>1</v>
      </c>
      <c r="AH206" s="350">
        <f t="shared" si="142"/>
        <v>1</v>
      </c>
      <c r="AI206" s="350">
        <f t="shared" si="142"/>
        <v>1</v>
      </c>
      <c r="AJ206" s="350">
        <f t="shared" si="142"/>
        <v>1</v>
      </c>
      <c r="AK206" s="350">
        <f t="shared" si="142"/>
        <v>1</v>
      </c>
      <c r="AL206" s="350">
        <f t="shared" si="142"/>
        <v>1</v>
      </c>
      <c r="AM206" s="350">
        <f t="shared" si="142"/>
        <v>1</v>
      </c>
    </row>
    <row r="207" spans="2:39" s="259" customFormat="1" hidden="1" outlineLevel="1" x14ac:dyDescent="0.25">
      <c r="B207" s="259" t="str">
        <f t="shared" si="137"/>
        <v>PcbTrae</v>
      </c>
      <c r="C207" s="260" t="s">
        <v>242</v>
      </c>
      <c r="D207" s="350">
        <f t="shared" si="138"/>
        <v>1</v>
      </c>
      <c r="E207" s="350">
        <f t="shared" si="142"/>
        <v>1</v>
      </c>
      <c r="F207" s="350">
        <f t="shared" si="142"/>
        <v>1</v>
      </c>
      <c r="G207" s="350">
        <f t="shared" si="142"/>
        <v>1</v>
      </c>
      <c r="H207" s="350">
        <f t="shared" si="142"/>
        <v>1</v>
      </c>
      <c r="I207" s="350">
        <f t="shared" si="142"/>
        <v>1</v>
      </c>
      <c r="J207" s="350">
        <f t="shared" si="142"/>
        <v>1</v>
      </c>
      <c r="K207" s="350">
        <f t="shared" si="142"/>
        <v>1</v>
      </c>
      <c r="L207" s="350">
        <f t="shared" si="142"/>
        <v>1</v>
      </c>
      <c r="M207" s="350">
        <f t="shared" si="142"/>
        <v>1</v>
      </c>
      <c r="N207" s="350">
        <f t="shared" si="142"/>
        <v>1</v>
      </c>
      <c r="O207" s="350">
        <f t="shared" si="142"/>
        <v>1</v>
      </c>
      <c r="P207" s="350">
        <f t="shared" si="142"/>
        <v>1</v>
      </c>
      <c r="Q207" s="350">
        <f t="shared" si="142"/>
        <v>1</v>
      </c>
      <c r="R207" s="350">
        <f t="shared" si="142"/>
        <v>1</v>
      </c>
      <c r="S207" s="350">
        <f t="shared" si="142"/>
        <v>1</v>
      </c>
      <c r="T207" s="350">
        <f t="shared" si="142"/>
        <v>1</v>
      </c>
      <c r="U207" s="350">
        <f t="shared" si="142"/>
        <v>1</v>
      </c>
      <c r="V207" s="350">
        <f t="shared" si="142"/>
        <v>1</v>
      </c>
      <c r="W207" s="350">
        <f t="shared" si="142"/>
        <v>1</v>
      </c>
      <c r="X207" s="350">
        <f t="shared" si="142"/>
        <v>1</v>
      </c>
      <c r="Y207" s="350">
        <f t="shared" si="142"/>
        <v>1</v>
      </c>
      <c r="Z207" s="350">
        <f t="shared" si="142"/>
        <v>1</v>
      </c>
      <c r="AA207" s="350">
        <f t="shared" si="142"/>
        <v>1</v>
      </c>
      <c r="AB207" s="350">
        <f t="shared" si="142"/>
        <v>1</v>
      </c>
      <c r="AC207" s="350">
        <f t="shared" si="142"/>
        <v>1</v>
      </c>
      <c r="AD207" s="350">
        <f t="shared" si="142"/>
        <v>1</v>
      </c>
      <c r="AE207" s="350">
        <f t="shared" si="142"/>
        <v>1</v>
      </c>
      <c r="AF207" s="350">
        <f t="shared" si="142"/>
        <v>1</v>
      </c>
      <c r="AG207" s="350">
        <f t="shared" si="142"/>
        <v>1</v>
      </c>
      <c r="AH207" s="350">
        <f t="shared" si="142"/>
        <v>1</v>
      </c>
      <c r="AI207" s="350">
        <f t="shared" si="142"/>
        <v>1</v>
      </c>
      <c r="AJ207" s="350">
        <f t="shared" si="142"/>
        <v>1</v>
      </c>
      <c r="AK207" s="350">
        <f t="shared" si="142"/>
        <v>1</v>
      </c>
      <c r="AL207" s="350">
        <f t="shared" si="142"/>
        <v>1</v>
      </c>
      <c r="AM207" s="350">
        <f t="shared" si="142"/>
        <v>1</v>
      </c>
    </row>
    <row r="208" spans="2:39" s="259" customFormat="1" hidden="1" outlineLevel="1" x14ac:dyDescent="0.25">
      <c r="B208" s="259" t="str">
        <f t="shared" si="137"/>
        <v>TraeRekv</v>
      </c>
      <c r="C208" s="260" t="s">
        <v>242</v>
      </c>
      <c r="D208" s="350">
        <f t="shared" si="138"/>
        <v>1</v>
      </c>
      <c r="E208" s="350">
        <f t="shared" si="142"/>
        <v>1</v>
      </c>
      <c r="F208" s="350">
        <f t="shared" si="142"/>
        <v>1</v>
      </c>
      <c r="G208" s="350">
        <f t="shared" si="142"/>
        <v>1</v>
      </c>
      <c r="H208" s="350">
        <f t="shared" si="142"/>
        <v>1</v>
      </c>
      <c r="I208" s="350">
        <f t="shared" si="142"/>
        <v>1</v>
      </c>
      <c r="J208" s="350">
        <f t="shared" si="142"/>
        <v>1</v>
      </c>
      <c r="K208" s="350">
        <f t="shared" si="142"/>
        <v>1</v>
      </c>
      <c r="L208" s="350">
        <f t="shared" si="142"/>
        <v>1</v>
      </c>
      <c r="M208" s="350">
        <f t="shared" si="142"/>
        <v>1</v>
      </c>
      <c r="N208" s="350">
        <f t="shared" si="142"/>
        <v>1</v>
      </c>
      <c r="O208" s="350">
        <f t="shared" si="142"/>
        <v>1</v>
      </c>
      <c r="P208" s="350">
        <f t="shared" si="142"/>
        <v>1</v>
      </c>
      <c r="Q208" s="350">
        <f t="shared" si="142"/>
        <v>1</v>
      </c>
      <c r="R208" s="350">
        <f t="shared" si="142"/>
        <v>1</v>
      </c>
      <c r="S208" s="350">
        <f t="shared" si="142"/>
        <v>1</v>
      </c>
      <c r="T208" s="350">
        <f t="shared" si="142"/>
        <v>1</v>
      </c>
      <c r="U208" s="350">
        <f t="shared" si="142"/>
        <v>1</v>
      </c>
      <c r="V208" s="350">
        <f t="shared" si="142"/>
        <v>1</v>
      </c>
      <c r="W208" s="350">
        <f t="shared" si="142"/>
        <v>1</v>
      </c>
      <c r="X208" s="350">
        <f t="shared" si="142"/>
        <v>1</v>
      </c>
      <c r="Y208" s="350">
        <f t="shared" si="142"/>
        <v>1</v>
      </c>
      <c r="Z208" s="350">
        <f t="shared" si="142"/>
        <v>1</v>
      </c>
      <c r="AA208" s="350">
        <f t="shared" si="142"/>
        <v>1</v>
      </c>
      <c r="AB208" s="350">
        <f t="shared" si="142"/>
        <v>1</v>
      </c>
      <c r="AC208" s="350">
        <f t="shared" si="142"/>
        <v>1</v>
      </c>
      <c r="AD208" s="350">
        <f t="shared" si="142"/>
        <v>1</v>
      </c>
      <c r="AE208" s="350">
        <f t="shared" si="142"/>
        <v>1</v>
      </c>
      <c r="AF208" s="350">
        <f t="shared" si="142"/>
        <v>1</v>
      </c>
      <c r="AG208" s="350">
        <f t="shared" si="142"/>
        <v>1</v>
      </c>
      <c r="AH208" s="350">
        <f t="shared" si="142"/>
        <v>1</v>
      </c>
      <c r="AI208" s="350">
        <f t="shared" si="142"/>
        <v>1</v>
      </c>
      <c r="AJ208" s="350">
        <f t="shared" si="142"/>
        <v>1</v>
      </c>
      <c r="AK208" s="350">
        <f t="shared" si="142"/>
        <v>1</v>
      </c>
      <c r="AL208" s="350">
        <f t="shared" si="142"/>
        <v>1</v>
      </c>
      <c r="AM208" s="350">
        <f t="shared" si="142"/>
        <v>1</v>
      </c>
    </row>
    <row r="209" spans="1:39" s="259" customFormat="1" hidden="1" outlineLevel="1" x14ac:dyDescent="0.25">
      <c r="B209" s="259" t="str">
        <f t="shared" si="137"/>
        <v>Halm</v>
      </c>
      <c r="C209" s="260" t="s">
        <v>242</v>
      </c>
      <c r="D209" s="350">
        <f t="shared" si="138"/>
        <v>1</v>
      </c>
      <c r="E209" s="350">
        <f t="shared" si="142"/>
        <v>1</v>
      </c>
      <c r="F209" s="350">
        <f t="shared" si="142"/>
        <v>1</v>
      </c>
      <c r="G209" s="350">
        <f t="shared" si="142"/>
        <v>1</v>
      </c>
      <c r="H209" s="350">
        <f t="shared" si="142"/>
        <v>1</v>
      </c>
      <c r="I209" s="350">
        <f t="shared" si="142"/>
        <v>1</v>
      </c>
      <c r="J209" s="350">
        <f t="shared" si="142"/>
        <v>1</v>
      </c>
      <c r="K209" s="350">
        <f t="shared" si="142"/>
        <v>1</v>
      </c>
      <c r="L209" s="350">
        <f t="shared" si="142"/>
        <v>1</v>
      </c>
      <c r="M209" s="350">
        <f t="shared" si="142"/>
        <v>1</v>
      </c>
      <c r="N209" s="350">
        <f t="shared" si="142"/>
        <v>1</v>
      </c>
      <c r="O209" s="350">
        <f t="shared" si="142"/>
        <v>1</v>
      </c>
      <c r="P209" s="350">
        <f t="shared" si="142"/>
        <v>1</v>
      </c>
      <c r="Q209" s="350">
        <f t="shared" si="142"/>
        <v>1</v>
      </c>
      <c r="R209" s="350">
        <f t="shared" si="142"/>
        <v>1</v>
      </c>
      <c r="S209" s="350">
        <f t="shared" si="142"/>
        <v>1</v>
      </c>
      <c r="T209" s="350">
        <f t="shared" si="142"/>
        <v>1</v>
      </c>
      <c r="U209" s="350">
        <f t="shared" si="142"/>
        <v>1</v>
      </c>
      <c r="V209" s="350">
        <f t="shared" si="142"/>
        <v>1</v>
      </c>
      <c r="W209" s="350">
        <f t="shared" si="142"/>
        <v>1</v>
      </c>
      <c r="X209" s="350">
        <f t="shared" si="142"/>
        <v>1</v>
      </c>
      <c r="Y209" s="350">
        <f t="shared" si="142"/>
        <v>1</v>
      </c>
      <c r="Z209" s="350">
        <f t="shared" si="142"/>
        <v>1</v>
      </c>
      <c r="AA209" s="350">
        <f t="shared" si="142"/>
        <v>1</v>
      </c>
      <c r="AB209" s="350">
        <f t="shared" si="142"/>
        <v>1</v>
      </c>
      <c r="AC209" s="350">
        <f t="shared" si="142"/>
        <v>1</v>
      </c>
      <c r="AD209" s="350">
        <f t="shared" si="142"/>
        <v>1</v>
      </c>
      <c r="AE209" s="350">
        <f t="shared" si="142"/>
        <v>1</v>
      </c>
      <c r="AF209" s="350">
        <f t="shared" si="142"/>
        <v>1</v>
      </c>
      <c r="AG209" s="350">
        <f t="shared" si="142"/>
        <v>1</v>
      </c>
      <c r="AH209" s="350">
        <f t="shared" si="142"/>
        <v>1</v>
      </c>
      <c r="AI209" s="350">
        <f t="shared" si="142"/>
        <v>1</v>
      </c>
      <c r="AJ209" s="350">
        <f t="shared" si="142"/>
        <v>1</v>
      </c>
      <c r="AK209" s="350">
        <f t="shared" si="142"/>
        <v>1</v>
      </c>
      <c r="AL209" s="350">
        <f t="shared" si="142"/>
        <v>1</v>
      </c>
      <c r="AM209" s="350">
        <f t="shared" si="142"/>
        <v>1</v>
      </c>
    </row>
    <row r="210" spans="1:39" s="259" customFormat="1" hidden="1" outlineLevel="1" x14ac:dyDescent="0.25">
      <c r="A210" s="263"/>
      <c r="B210" s="259" t="str">
        <f t="shared" si="137"/>
        <v>Pulver</v>
      </c>
      <c r="C210" s="260" t="s">
        <v>242</v>
      </c>
      <c r="D210" s="350">
        <f t="shared" si="138"/>
        <v>1</v>
      </c>
      <c r="E210" s="350">
        <f t="shared" si="142"/>
        <v>1</v>
      </c>
      <c r="F210" s="350">
        <f t="shared" si="142"/>
        <v>1</v>
      </c>
      <c r="G210" s="350">
        <f t="shared" si="142"/>
        <v>1</v>
      </c>
      <c r="H210" s="350">
        <f t="shared" si="142"/>
        <v>1</v>
      </c>
      <c r="I210" s="350">
        <f t="shared" si="142"/>
        <v>1</v>
      </c>
      <c r="J210" s="350">
        <f t="shared" si="142"/>
        <v>1</v>
      </c>
      <c r="K210" s="350">
        <f t="shared" si="142"/>
        <v>1</v>
      </c>
      <c r="L210" s="350">
        <f t="shared" si="142"/>
        <v>1</v>
      </c>
      <c r="M210" s="350">
        <f t="shared" si="142"/>
        <v>1</v>
      </c>
      <c r="N210" s="350">
        <f t="shared" si="142"/>
        <v>1</v>
      </c>
      <c r="O210" s="350">
        <f t="shared" si="142"/>
        <v>1</v>
      </c>
      <c r="P210" s="350">
        <f t="shared" si="142"/>
        <v>1</v>
      </c>
      <c r="Q210" s="350">
        <f t="shared" si="142"/>
        <v>1</v>
      </c>
      <c r="R210" s="350">
        <f t="shared" si="142"/>
        <v>1</v>
      </c>
      <c r="S210" s="350">
        <f t="shared" si="142"/>
        <v>1</v>
      </c>
      <c r="T210" s="350">
        <f t="shared" si="142"/>
        <v>1</v>
      </c>
      <c r="U210" s="350">
        <f t="shared" si="142"/>
        <v>1</v>
      </c>
      <c r="V210" s="350">
        <f t="shared" si="142"/>
        <v>1</v>
      </c>
      <c r="W210" s="350">
        <f t="shared" si="142"/>
        <v>1</v>
      </c>
      <c r="X210" s="350">
        <f t="shared" si="142"/>
        <v>1</v>
      </c>
      <c r="Y210" s="350">
        <f t="shared" si="142"/>
        <v>1</v>
      </c>
      <c r="Z210" s="350">
        <f t="shared" si="142"/>
        <v>1</v>
      </c>
      <c r="AA210" s="350">
        <f t="shared" si="142"/>
        <v>1</v>
      </c>
      <c r="AB210" s="350">
        <f t="shared" si="142"/>
        <v>1</v>
      </c>
      <c r="AC210" s="350">
        <f t="shared" si="142"/>
        <v>1</v>
      </c>
      <c r="AD210" s="350">
        <f t="shared" si="142"/>
        <v>1</v>
      </c>
      <c r="AE210" s="350">
        <f t="shared" si="142"/>
        <v>1</v>
      </c>
      <c r="AF210" s="350">
        <f t="shared" si="142"/>
        <v>1</v>
      </c>
      <c r="AG210" s="350">
        <f t="shared" si="142"/>
        <v>1</v>
      </c>
      <c r="AH210" s="350">
        <f t="shared" si="142"/>
        <v>1</v>
      </c>
      <c r="AI210" s="350">
        <f t="shared" si="142"/>
        <v>1</v>
      </c>
      <c r="AJ210" s="350">
        <f t="shared" si="142"/>
        <v>1</v>
      </c>
      <c r="AK210" s="350">
        <f t="shared" si="142"/>
        <v>1</v>
      </c>
      <c r="AL210" s="350">
        <f t="shared" si="142"/>
        <v>1</v>
      </c>
      <c r="AM210" s="350">
        <f t="shared" si="142"/>
        <v>1</v>
      </c>
    </row>
    <row r="211" spans="1:39" s="259" customFormat="1" hidden="1" outlineLevel="1" x14ac:dyDescent="0.25">
      <c r="A211" s="263"/>
      <c r="B211" s="259" t="str">
        <f t="shared" si="137"/>
        <v>FlisAffald</v>
      </c>
      <c r="C211" s="260" t="s">
        <v>242</v>
      </c>
      <c r="D211" s="350">
        <f t="shared" si="138"/>
        <v>1</v>
      </c>
      <c r="E211" s="350">
        <f t="shared" si="142"/>
        <v>1</v>
      </c>
      <c r="F211" s="350">
        <f t="shared" si="142"/>
        <v>1</v>
      </c>
      <c r="G211" s="350">
        <f t="shared" si="142"/>
        <v>1</v>
      </c>
      <c r="H211" s="350">
        <f t="shared" si="142"/>
        <v>1</v>
      </c>
      <c r="I211" s="350">
        <f t="shared" si="142"/>
        <v>1</v>
      </c>
      <c r="J211" s="350">
        <f t="shared" si="142"/>
        <v>1</v>
      </c>
      <c r="K211" s="350">
        <f t="shared" si="142"/>
        <v>1</v>
      </c>
      <c r="L211" s="350">
        <f t="shared" si="142"/>
        <v>1</v>
      </c>
      <c r="M211" s="350">
        <f t="shared" si="142"/>
        <v>1</v>
      </c>
      <c r="N211" s="350">
        <f t="shared" si="142"/>
        <v>1</v>
      </c>
      <c r="O211" s="350">
        <f t="shared" si="142"/>
        <v>1</v>
      </c>
      <c r="P211" s="350">
        <f t="shared" si="142"/>
        <v>1</v>
      </c>
      <c r="Q211" s="350">
        <f t="shared" si="142"/>
        <v>1</v>
      </c>
      <c r="R211" s="350">
        <f t="shared" si="142"/>
        <v>1</v>
      </c>
      <c r="S211" s="350">
        <f t="shared" si="142"/>
        <v>1</v>
      </c>
      <c r="T211" s="350">
        <f t="shared" si="142"/>
        <v>1</v>
      </c>
      <c r="U211" s="350">
        <f t="shared" si="142"/>
        <v>1</v>
      </c>
      <c r="V211" s="350">
        <f t="shared" si="142"/>
        <v>1</v>
      </c>
      <c r="W211" s="350">
        <f t="shared" si="142"/>
        <v>1</v>
      </c>
      <c r="X211" s="350">
        <f t="shared" si="142"/>
        <v>1</v>
      </c>
      <c r="Y211" s="350">
        <f t="shared" si="142"/>
        <v>1</v>
      </c>
      <c r="Z211" s="350">
        <f t="shared" si="142"/>
        <v>1</v>
      </c>
      <c r="AA211" s="350">
        <f t="shared" si="142"/>
        <v>1</v>
      </c>
      <c r="AB211" s="350">
        <f t="shared" si="142"/>
        <v>1</v>
      </c>
      <c r="AC211" s="350">
        <f t="shared" si="142"/>
        <v>1</v>
      </c>
      <c r="AD211" s="350">
        <f t="shared" si="142"/>
        <v>1</v>
      </c>
      <c r="AE211" s="350">
        <f t="shared" si="142"/>
        <v>1</v>
      </c>
      <c r="AF211" s="350">
        <f t="shared" si="142"/>
        <v>1</v>
      </c>
      <c r="AG211" s="350">
        <f t="shared" si="142"/>
        <v>1</v>
      </c>
      <c r="AH211" s="350">
        <f t="shared" si="142"/>
        <v>1</v>
      </c>
      <c r="AI211" s="350">
        <f t="shared" si="142"/>
        <v>1</v>
      </c>
      <c r="AJ211" s="350">
        <f t="shared" si="142"/>
        <v>1</v>
      </c>
      <c r="AK211" s="350">
        <f t="shared" si="142"/>
        <v>1</v>
      </c>
      <c r="AL211" s="350">
        <f t="shared" si="142"/>
        <v>1</v>
      </c>
      <c r="AM211" s="350">
        <f t="shared" si="142"/>
        <v>1</v>
      </c>
    </row>
    <row r="212" spans="1:39" s="259" customFormat="1" hidden="1" outlineLevel="1" x14ac:dyDescent="0.25">
      <c r="A212" s="263"/>
      <c r="B212" s="259" t="str">
        <f t="shared" si="137"/>
        <v>NyAff1</v>
      </c>
      <c r="C212" s="260" t="s">
        <v>242</v>
      </c>
      <c r="D212" s="350">
        <f t="shared" si="138"/>
        <v>1</v>
      </c>
      <c r="E212" s="350">
        <f t="shared" si="142"/>
        <v>1</v>
      </c>
      <c r="F212" s="350">
        <f t="shared" si="142"/>
        <v>1</v>
      </c>
      <c r="G212" s="350">
        <f t="shared" si="142"/>
        <v>1</v>
      </c>
      <c r="H212" s="350">
        <f t="shared" si="142"/>
        <v>1</v>
      </c>
      <c r="I212" s="350">
        <f t="shared" si="142"/>
        <v>1</v>
      </c>
      <c r="J212" s="350">
        <f t="shared" si="142"/>
        <v>1</v>
      </c>
      <c r="K212" s="350">
        <f t="shared" si="142"/>
        <v>1</v>
      </c>
      <c r="L212" s="350">
        <f t="shared" si="142"/>
        <v>1</v>
      </c>
      <c r="M212" s="350">
        <f t="shared" si="142"/>
        <v>1</v>
      </c>
      <c r="N212" s="350">
        <f t="shared" si="142"/>
        <v>1</v>
      </c>
      <c r="O212" s="350">
        <f t="shared" si="142"/>
        <v>1</v>
      </c>
      <c r="P212" s="350">
        <f t="shared" si="142"/>
        <v>1</v>
      </c>
      <c r="Q212" s="350">
        <f t="shared" si="142"/>
        <v>1</v>
      </c>
      <c r="R212" s="350">
        <f t="shared" si="142"/>
        <v>1</v>
      </c>
      <c r="S212" s="350">
        <f t="shared" si="142"/>
        <v>1</v>
      </c>
      <c r="T212" s="350">
        <f t="shared" si="142"/>
        <v>1</v>
      </c>
      <c r="U212" s="350">
        <f t="shared" si="142"/>
        <v>1</v>
      </c>
      <c r="V212" s="350">
        <f t="shared" si="142"/>
        <v>1</v>
      </c>
      <c r="W212" s="350">
        <f t="shared" si="142"/>
        <v>1</v>
      </c>
      <c r="X212" s="350">
        <f t="shared" si="142"/>
        <v>1</v>
      </c>
      <c r="Y212" s="350">
        <f t="shared" si="142"/>
        <v>1</v>
      </c>
      <c r="Z212" s="350">
        <f t="shared" si="142"/>
        <v>1</v>
      </c>
      <c r="AA212" s="350">
        <f t="shared" si="142"/>
        <v>1</v>
      </c>
      <c r="AB212" s="350">
        <f t="shared" si="142"/>
        <v>1</v>
      </c>
      <c r="AC212" s="350">
        <f t="shared" si="142"/>
        <v>1</v>
      </c>
      <c r="AD212" s="350">
        <f t="shared" si="142"/>
        <v>1</v>
      </c>
      <c r="AE212" s="350">
        <f t="shared" si="142"/>
        <v>1</v>
      </c>
      <c r="AF212" s="350">
        <f t="shared" si="142"/>
        <v>1</v>
      </c>
      <c r="AG212" s="350">
        <f t="shared" si="142"/>
        <v>1</v>
      </c>
      <c r="AH212" s="350">
        <f t="shared" si="142"/>
        <v>1</v>
      </c>
      <c r="AI212" s="350">
        <f t="shared" si="142"/>
        <v>1</v>
      </c>
      <c r="AJ212" s="350">
        <f t="shared" si="142"/>
        <v>1</v>
      </c>
      <c r="AK212" s="350">
        <f t="shared" si="142"/>
        <v>1</v>
      </c>
      <c r="AL212" s="350">
        <f t="shared" si="142"/>
        <v>1</v>
      </c>
      <c r="AM212" s="350">
        <f t="shared" si="142"/>
        <v>1</v>
      </c>
    </row>
    <row r="213" spans="1:39" s="259" customFormat="1" hidden="1" outlineLevel="1" x14ac:dyDescent="0.25">
      <c r="B213" s="259" t="str">
        <f t="shared" si="137"/>
        <v>NyAff2</v>
      </c>
      <c r="C213" s="260" t="s">
        <v>242</v>
      </c>
      <c r="D213" s="350">
        <f t="shared" si="138"/>
        <v>1</v>
      </c>
      <c r="E213" s="350">
        <f t="shared" si="142"/>
        <v>1</v>
      </c>
      <c r="F213" s="350">
        <f t="shared" si="142"/>
        <v>1</v>
      </c>
      <c r="G213" s="350">
        <f t="shared" si="142"/>
        <v>1</v>
      </c>
      <c r="H213" s="350">
        <f t="shared" si="142"/>
        <v>1</v>
      </c>
      <c r="I213" s="350">
        <f t="shared" si="142"/>
        <v>1</v>
      </c>
      <c r="J213" s="350">
        <f t="shared" si="142"/>
        <v>1</v>
      </c>
      <c r="K213" s="350">
        <f t="shared" si="142"/>
        <v>1</v>
      </c>
      <c r="L213" s="350">
        <f t="shared" si="142"/>
        <v>1</v>
      </c>
      <c r="M213" s="350">
        <f t="shared" si="142"/>
        <v>1</v>
      </c>
      <c r="N213" s="350">
        <f t="shared" si="142"/>
        <v>1</v>
      </c>
      <c r="O213" s="350">
        <f t="shared" ref="E213:AM219" si="143">$J27</f>
        <v>1</v>
      </c>
      <c r="P213" s="350">
        <f t="shared" si="143"/>
        <v>1</v>
      </c>
      <c r="Q213" s="350">
        <f t="shared" si="143"/>
        <v>1</v>
      </c>
      <c r="R213" s="350">
        <f t="shared" si="143"/>
        <v>1</v>
      </c>
      <c r="S213" s="350">
        <f t="shared" si="143"/>
        <v>1</v>
      </c>
      <c r="T213" s="350">
        <f t="shared" si="143"/>
        <v>1</v>
      </c>
      <c r="U213" s="350">
        <f t="shared" si="143"/>
        <v>1</v>
      </c>
      <c r="V213" s="350">
        <f t="shared" si="143"/>
        <v>1</v>
      </c>
      <c r="W213" s="350">
        <f t="shared" si="143"/>
        <v>1</v>
      </c>
      <c r="X213" s="350">
        <f t="shared" si="143"/>
        <v>1</v>
      </c>
      <c r="Y213" s="350">
        <f t="shared" si="143"/>
        <v>1</v>
      </c>
      <c r="Z213" s="350">
        <f t="shared" si="143"/>
        <v>1</v>
      </c>
      <c r="AA213" s="350">
        <f t="shared" si="143"/>
        <v>1</v>
      </c>
      <c r="AB213" s="350">
        <f t="shared" si="143"/>
        <v>1</v>
      </c>
      <c r="AC213" s="350">
        <f t="shared" si="143"/>
        <v>1</v>
      </c>
      <c r="AD213" s="350">
        <f t="shared" si="143"/>
        <v>1</v>
      </c>
      <c r="AE213" s="350">
        <f t="shared" si="143"/>
        <v>1</v>
      </c>
      <c r="AF213" s="350">
        <f t="shared" si="143"/>
        <v>1</v>
      </c>
      <c r="AG213" s="350">
        <f t="shared" si="143"/>
        <v>1</v>
      </c>
      <c r="AH213" s="350">
        <f t="shared" si="143"/>
        <v>1</v>
      </c>
      <c r="AI213" s="350">
        <f t="shared" si="143"/>
        <v>1</v>
      </c>
      <c r="AJ213" s="350">
        <f t="shared" si="143"/>
        <v>1</v>
      </c>
      <c r="AK213" s="350">
        <f t="shared" si="143"/>
        <v>1</v>
      </c>
      <c r="AL213" s="350">
        <f t="shared" si="143"/>
        <v>1</v>
      </c>
      <c r="AM213" s="350">
        <f t="shared" si="143"/>
        <v>1</v>
      </c>
    </row>
    <row r="214" spans="1:39" s="259" customFormat="1" hidden="1" outlineLevel="1" x14ac:dyDescent="0.25">
      <c r="B214" s="259" t="str">
        <f t="shared" si="137"/>
        <v>NyAff3</v>
      </c>
      <c r="C214" s="260" t="s">
        <v>242</v>
      </c>
      <c r="D214" s="350">
        <f t="shared" si="138"/>
        <v>0</v>
      </c>
      <c r="E214" s="350">
        <f t="shared" si="143"/>
        <v>0</v>
      </c>
      <c r="F214" s="350">
        <f t="shared" si="143"/>
        <v>0</v>
      </c>
      <c r="G214" s="350">
        <f t="shared" si="143"/>
        <v>0</v>
      </c>
      <c r="H214" s="350">
        <f t="shared" si="143"/>
        <v>0</v>
      </c>
      <c r="I214" s="350">
        <f t="shared" si="143"/>
        <v>0</v>
      </c>
      <c r="J214" s="350">
        <f t="shared" si="143"/>
        <v>0</v>
      </c>
      <c r="K214" s="350">
        <f t="shared" si="143"/>
        <v>0</v>
      </c>
      <c r="L214" s="350">
        <f t="shared" si="143"/>
        <v>0</v>
      </c>
      <c r="M214" s="350">
        <f t="shared" si="143"/>
        <v>0</v>
      </c>
      <c r="N214" s="350">
        <f t="shared" si="143"/>
        <v>0</v>
      </c>
      <c r="O214" s="350">
        <f t="shared" si="143"/>
        <v>0</v>
      </c>
      <c r="P214" s="350">
        <f t="shared" si="143"/>
        <v>0</v>
      </c>
      <c r="Q214" s="350">
        <f t="shared" si="143"/>
        <v>0</v>
      </c>
      <c r="R214" s="350">
        <f t="shared" si="143"/>
        <v>0</v>
      </c>
      <c r="S214" s="350">
        <f t="shared" si="143"/>
        <v>0</v>
      </c>
      <c r="T214" s="350">
        <f t="shared" si="143"/>
        <v>0</v>
      </c>
      <c r="U214" s="350">
        <f t="shared" si="143"/>
        <v>0</v>
      </c>
      <c r="V214" s="350">
        <f t="shared" si="143"/>
        <v>0</v>
      </c>
      <c r="W214" s="350">
        <f t="shared" si="143"/>
        <v>0</v>
      </c>
      <c r="X214" s="350">
        <f t="shared" si="143"/>
        <v>0</v>
      </c>
      <c r="Y214" s="350">
        <f t="shared" si="143"/>
        <v>0</v>
      </c>
      <c r="Z214" s="350">
        <f t="shared" si="143"/>
        <v>0</v>
      </c>
      <c r="AA214" s="350">
        <f t="shared" si="143"/>
        <v>0</v>
      </c>
      <c r="AB214" s="350">
        <f t="shared" si="143"/>
        <v>0</v>
      </c>
      <c r="AC214" s="350">
        <f t="shared" si="143"/>
        <v>0</v>
      </c>
      <c r="AD214" s="350">
        <f t="shared" si="143"/>
        <v>0</v>
      </c>
      <c r="AE214" s="350">
        <f t="shared" si="143"/>
        <v>0</v>
      </c>
      <c r="AF214" s="350">
        <f t="shared" si="143"/>
        <v>0</v>
      </c>
      <c r="AG214" s="350">
        <f t="shared" si="143"/>
        <v>0</v>
      </c>
      <c r="AH214" s="350">
        <f t="shared" si="143"/>
        <v>0</v>
      </c>
      <c r="AI214" s="350">
        <f t="shared" si="143"/>
        <v>0</v>
      </c>
      <c r="AJ214" s="350">
        <f t="shared" si="143"/>
        <v>0</v>
      </c>
      <c r="AK214" s="350">
        <f t="shared" si="143"/>
        <v>0</v>
      </c>
      <c r="AL214" s="350">
        <f t="shared" si="143"/>
        <v>0</v>
      </c>
      <c r="AM214" s="350">
        <f t="shared" si="143"/>
        <v>0</v>
      </c>
    </row>
    <row r="215" spans="1:39" s="259" customFormat="1" hidden="1" outlineLevel="1" x14ac:dyDescent="0.25">
      <c r="B215" s="259" t="str">
        <f t="shared" si="137"/>
        <v>NyAff4</v>
      </c>
      <c r="C215" s="260" t="s">
        <v>242</v>
      </c>
      <c r="D215" s="350">
        <f t="shared" si="138"/>
        <v>0</v>
      </c>
      <c r="E215" s="350">
        <f t="shared" si="143"/>
        <v>0</v>
      </c>
      <c r="F215" s="350">
        <f t="shared" si="143"/>
        <v>0</v>
      </c>
      <c r="G215" s="350">
        <f t="shared" si="143"/>
        <v>0</v>
      </c>
      <c r="H215" s="350">
        <f t="shared" si="143"/>
        <v>0</v>
      </c>
      <c r="I215" s="350">
        <f t="shared" si="143"/>
        <v>0</v>
      </c>
      <c r="J215" s="350">
        <f t="shared" si="143"/>
        <v>0</v>
      </c>
      <c r="K215" s="350">
        <f t="shared" si="143"/>
        <v>0</v>
      </c>
      <c r="L215" s="350">
        <f t="shared" si="143"/>
        <v>0</v>
      </c>
      <c r="M215" s="350">
        <f t="shared" si="143"/>
        <v>0</v>
      </c>
      <c r="N215" s="350">
        <f t="shared" si="143"/>
        <v>0</v>
      </c>
      <c r="O215" s="350">
        <f t="shared" si="143"/>
        <v>0</v>
      </c>
      <c r="P215" s="350">
        <f t="shared" si="143"/>
        <v>0</v>
      </c>
      <c r="Q215" s="350">
        <f t="shared" si="143"/>
        <v>0</v>
      </c>
      <c r="R215" s="350">
        <f t="shared" si="143"/>
        <v>0</v>
      </c>
      <c r="S215" s="350">
        <f t="shared" si="143"/>
        <v>0</v>
      </c>
      <c r="T215" s="350">
        <f t="shared" si="143"/>
        <v>0</v>
      </c>
      <c r="U215" s="350">
        <f t="shared" si="143"/>
        <v>0</v>
      </c>
      <c r="V215" s="350">
        <f t="shared" si="143"/>
        <v>0</v>
      </c>
      <c r="W215" s="350">
        <f t="shared" si="143"/>
        <v>0</v>
      </c>
      <c r="X215" s="350">
        <f t="shared" si="143"/>
        <v>0</v>
      </c>
      <c r="Y215" s="350">
        <f t="shared" si="143"/>
        <v>0</v>
      </c>
      <c r="Z215" s="350">
        <f t="shared" si="143"/>
        <v>0</v>
      </c>
      <c r="AA215" s="350">
        <f t="shared" si="143"/>
        <v>0</v>
      </c>
      <c r="AB215" s="350">
        <f t="shared" si="143"/>
        <v>0</v>
      </c>
      <c r="AC215" s="350">
        <f t="shared" si="143"/>
        <v>0</v>
      </c>
      <c r="AD215" s="350">
        <f t="shared" si="143"/>
        <v>0</v>
      </c>
      <c r="AE215" s="350">
        <f t="shared" si="143"/>
        <v>0</v>
      </c>
      <c r="AF215" s="350">
        <f t="shared" si="143"/>
        <v>0</v>
      </c>
      <c r="AG215" s="350">
        <f t="shared" si="143"/>
        <v>0</v>
      </c>
      <c r="AH215" s="350">
        <f t="shared" si="143"/>
        <v>0</v>
      </c>
      <c r="AI215" s="350">
        <f t="shared" si="143"/>
        <v>0</v>
      </c>
      <c r="AJ215" s="350">
        <f t="shared" si="143"/>
        <v>0</v>
      </c>
      <c r="AK215" s="350">
        <f t="shared" si="143"/>
        <v>0</v>
      </c>
      <c r="AL215" s="350">
        <f t="shared" si="143"/>
        <v>0</v>
      </c>
      <c r="AM215" s="350">
        <f t="shared" si="143"/>
        <v>0</v>
      </c>
    </row>
    <row r="216" spans="1:39" s="259" customFormat="1" hidden="1" outlineLevel="1" x14ac:dyDescent="0.25">
      <c r="B216" s="259" t="str">
        <f t="shared" si="137"/>
        <v>NyAff5</v>
      </c>
      <c r="C216" s="260" t="s">
        <v>242</v>
      </c>
      <c r="D216" s="350">
        <f t="shared" si="138"/>
        <v>0</v>
      </c>
      <c r="E216" s="350">
        <f t="shared" si="143"/>
        <v>0</v>
      </c>
      <c r="F216" s="350">
        <f t="shared" si="143"/>
        <v>0</v>
      </c>
      <c r="G216" s="350">
        <f t="shared" si="143"/>
        <v>0</v>
      </c>
      <c r="H216" s="350">
        <f t="shared" si="143"/>
        <v>0</v>
      </c>
      <c r="I216" s="350">
        <f t="shared" si="143"/>
        <v>0</v>
      </c>
      <c r="J216" s="350">
        <f t="shared" si="143"/>
        <v>0</v>
      </c>
      <c r="K216" s="350">
        <f t="shared" si="143"/>
        <v>0</v>
      </c>
      <c r="L216" s="350">
        <f t="shared" si="143"/>
        <v>0</v>
      </c>
      <c r="M216" s="350">
        <f t="shared" si="143"/>
        <v>0</v>
      </c>
      <c r="N216" s="350">
        <f t="shared" si="143"/>
        <v>0</v>
      </c>
      <c r="O216" s="350">
        <f t="shared" si="143"/>
        <v>0</v>
      </c>
      <c r="P216" s="350">
        <f t="shared" si="143"/>
        <v>0</v>
      </c>
      <c r="Q216" s="350">
        <f t="shared" si="143"/>
        <v>0</v>
      </c>
      <c r="R216" s="350">
        <f t="shared" si="143"/>
        <v>0</v>
      </c>
      <c r="S216" s="350">
        <f t="shared" si="143"/>
        <v>0</v>
      </c>
      <c r="T216" s="350">
        <f t="shared" si="143"/>
        <v>0</v>
      </c>
      <c r="U216" s="350">
        <f t="shared" si="143"/>
        <v>0</v>
      </c>
      <c r="V216" s="350">
        <f t="shared" si="143"/>
        <v>0</v>
      </c>
      <c r="W216" s="350">
        <f t="shared" si="143"/>
        <v>0</v>
      </c>
      <c r="X216" s="350">
        <f t="shared" si="143"/>
        <v>0</v>
      </c>
      <c r="Y216" s="350">
        <f t="shared" si="143"/>
        <v>0</v>
      </c>
      <c r="Z216" s="350">
        <f t="shared" si="143"/>
        <v>0</v>
      </c>
      <c r="AA216" s="350">
        <f t="shared" si="143"/>
        <v>0</v>
      </c>
      <c r="AB216" s="350">
        <f t="shared" si="143"/>
        <v>0</v>
      </c>
      <c r="AC216" s="350">
        <f t="shared" si="143"/>
        <v>0</v>
      </c>
      <c r="AD216" s="350">
        <f t="shared" si="143"/>
        <v>0</v>
      </c>
      <c r="AE216" s="350">
        <f t="shared" si="143"/>
        <v>0</v>
      </c>
      <c r="AF216" s="350">
        <f t="shared" si="143"/>
        <v>0</v>
      </c>
      <c r="AG216" s="350">
        <f t="shared" si="143"/>
        <v>0</v>
      </c>
      <c r="AH216" s="350">
        <f t="shared" si="143"/>
        <v>0</v>
      </c>
      <c r="AI216" s="350">
        <f t="shared" si="143"/>
        <v>0</v>
      </c>
      <c r="AJ216" s="350">
        <f t="shared" si="143"/>
        <v>0</v>
      </c>
      <c r="AK216" s="350">
        <f t="shared" si="143"/>
        <v>0</v>
      </c>
      <c r="AL216" s="350">
        <f t="shared" si="143"/>
        <v>0</v>
      </c>
      <c r="AM216" s="350">
        <f t="shared" si="143"/>
        <v>0</v>
      </c>
    </row>
    <row r="217" spans="1:39" hidden="1" outlineLevel="1" x14ac:dyDescent="0.25">
      <c r="A217" s="298"/>
      <c r="B217" t="str" cm="1">
        <f t="array" ref="B217:B219">ØvrigeBrændsler</f>
        <v>Flis</v>
      </c>
      <c r="C217" s="260" t="s">
        <v>242</v>
      </c>
      <c r="D217" s="350">
        <f t="shared" si="138"/>
        <v>0</v>
      </c>
      <c r="E217" s="350">
        <f t="shared" si="143"/>
        <v>0</v>
      </c>
      <c r="F217" s="350">
        <f t="shared" si="143"/>
        <v>0</v>
      </c>
      <c r="G217" s="350">
        <f t="shared" si="143"/>
        <v>0</v>
      </c>
      <c r="H217" s="350">
        <f t="shared" si="143"/>
        <v>0</v>
      </c>
      <c r="I217" s="350">
        <f t="shared" si="143"/>
        <v>0</v>
      </c>
      <c r="J217" s="350">
        <f t="shared" si="143"/>
        <v>0</v>
      </c>
      <c r="K217" s="350">
        <f t="shared" si="143"/>
        <v>0</v>
      </c>
      <c r="L217" s="350">
        <f t="shared" si="143"/>
        <v>0</v>
      </c>
      <c r="M217" s="350">
        <f t="shared" si="143"/>
        <v>0</v>
      </c>
      <c r="N217" s="350">
        <f t="shared" si="143"/>
        <v>0</v>
      </c>
      <c r="O217" s="350">
        <f t="shared" si="143"/>
        <v>0</v>
      </c>
      <c r="P217" s="350">
        <f t="shared" si="143"/>
        <v>0</v>
      </c>
      <c r="Q217" s="350">
        <f t="shared" si="143"/>
        <v>0</v>
      </c>
      <c r="R217" s="350">
        <f t="shared" si="143"/>
        <v>0</v>
      </c>
      <c r="S217" s="350">
        <f t="shared" si="143"/>
        <v>0</v>
      </c>
      <c r="T217" s="350">
        <f t="shared" si="143"/>
        <v>0</v>
      </c>
      <c r="U217" s="350">
        <f t="shared" si="143"/>
        <v>0</v>
      </c>
      <c r="V217" s="350">
        <f t="shared" si="143"/>
        <v>0</v>
      </c>
      <c r="W217" s="350">
        <f t="shared" si="143"/>
        <v>0</v>
      </c>
      <c r="X217" s="350">
        <f t="shared" si="143"/>
        <v>0</v>
      </c>
      <c r="Y217" s="350">
        <f t="shared" si="143"/>
        <v>0</v>
      </c>
      <c r="Z217" s="350">
        <f t="shared" si="143"/>
        <v>0</v>
      </c>
      <c r="AA217" s="350">
        <f t="shared" si="143"/>
        <v>0</v>
      </c>
      <c r="AB217" s="350">
        <f t="shared" si="143"/>
        <v>0</v>
      </c>
      <c r="AC217" s="350">
        <f t="shared" si="143"/>
        <v>0</v>
      </c>
      <c r="AD217" s="350">
        <f t="shared" si="143"/>
        <v>0</v>
      </c>
      <c r="AE217" s="350">
        <f t="shared" si="143"/>
        <v>0</v>
      </c>
      <c r="AF217" s="350">
        <f t="shared" si="143"/>
        <v>0</v>
      </c>
      <c r="AG217" s="350">
        <f t="shared" si="143"/>
        <v>0</v>
      </c>
      <c r="AH217" s="350">
        <f t="shared" si="143"/>
        <v>0</v>
      </c>
      <c r="AI217" s="350">
        <f t="shared" si="143"/>
        <v>0</v>
      </c>
      <c r="AJ217" s="350">
        <f t="shared" si="143"/>
        <v>0</v>
      </c>
      <c r="AK217" s="350">
        <f t="shared" si="143"/>
        <v>0</v>
      </c>
      <c r="AL217" s="350">
        <f t="shared" si="143"/>
        <v>0</v>
      </c>
      <c r="AM217" s="350">
        <f t="shared" si="143"/>
        <v>0</v>
      </c>
    </row>
    <row r="218" spans="1:39" hidden="1" outlineLevel="1" x14ac:dyDescent="0.25">
      <c r="A218" s="299"/>
      <c r="B218" t="str">
        <v>NSvarme</v>
      </c>
      <c r="C218" s="260" t="s">
        <v>242</v>
      </c>
      <c r="D218" s="350">
        <f t="shared" si="138"/>
        <v>0</v>
      </c>
      <c r="E218" s="350">
        <f t="shared" si="143"/>
        <v>0</v>
      </c>
      <c r="F218" s="350">
        <f t="shared" si="143"/>
        <v>0</v>
      </c>
      <c r="G218" s="350">
        <f t="shared" si="143"/>
        <v>0</v>
      </c>
      <c r="H218" s="350">
        <f t="shared" si="143"/>
        <v>0</v>
      </c>
      <c r="I218" s="350">
        <f t="shared" si="143"/>
        <v>0</v>
      </c>
      <c r="J218" s="350">
        <f t="shared" si="143"/>
        <v>0</v>
      </c>
      <c r="K218" s="350">
        <f t="shared" si="143"/>
        <v>0</v>
      </c>
      <c r="L218" s="350">
        <f t="shared" si="143"/>
        <v>0</v>
      </c>
      <c r="M218" s="350">
        <f t="shared" si="143"/>
        <v>0</v>
      </c>
      <c r="N218" s="350">
        <f t="shared" si="143"/>
        <v>0</v>
      </c>
      <c r="O218" s="350">
        <f t="shared" si="143"/>
        <v>0</v>
      </c>
      <c r="P218" s="350">
        <f t="shared" si="143"/>
        <v>0</v>
      </c>
      <c r="Q218" s="350">
        <f t="shared" si="143"/>
        <v>0</v>
      </c>
      <c r="R218" s="350">
        <f t="shared" si="143"/>
        <v>0</v>
      </c>
      <c r="S218" s="350">
        <f t="shared" si="143"/>
        <v>0</v>
      </c>
      <c r="T218" s="350">
        <f t="shared" si="143"/>
        <v>0</v>
      </c>
      <c r="U218" s="350">
        <f t="shared" si="143"/>
        <v>0</v>
      </c>
      <c r="V218" s="350">
        <f t="shared" si="143"/>
        <v>0</v>
      </c>
      <c r="W218" s="350">
        <f t="shared" si="143"/>
        <v>0</v>
      </c>
      <c r="X218" s="350">
        <f t="shared" si="143"/>
        <v>0</v>
      </c>
      <c r="Y218" s="350">
        <f t="shared" si="143"/>
        <v>0</v>
      </c>
      <c r="Z218" s="350">
        <f t="shared" si="143"/>
        <v>0</v>
      </c>
      <c r="AA218" s="350">
        <f t="shared" si="143"/>
        <v>0</v>
      </c>
      <c r="AB218" s="350">
        <f t="shared" si="143"/>
        <v>0</v>
      </c>
      <c r="AC218" s="350">
        <f t="shared" si="143"/>
        <v>0</v>
      </c>
      <c r="AD218" s="350">
        <f t="shared" si="143"/>
        <v>0</v>
      </c>
      <c r="AE218" s="350">
        <f t="shared" si="143"/>
        <v>0</v>
      </c>
      <c r="AF218" s="350">
        <f t="shared" si="143"/>
        <v>0</v>
      </c>
      <c r="AG218" s="350">
        <f t="shared" si="143"/>
        <v>0</v>
      </c>
      <c r="AH218" s="350">
        <f t="shared" si="143"/>
        <v>0</v>
      </c>
      <c r="AI218" s="350">
        <f t="shared" si="143"/>
        <v>0</v>
      </c>
      <c r="AJ218" s="350">
        <f t="shared" si="143"/>
        <v>0</v>
      </c>
      <c r="AK218" s="350">
        <f t="shared" si="143"/>
        <v>0</v>
      </c>
      <c r="AL218" s="350">
        <f t="shared" si="143"/>
        <v>0</v>
      </c>
      <c r="AM218" s="350">
        <f t="shared" si="143"/>
        <v>0</v>
      </c>
    </row>
    <row r="219" spans="1:39" hidden="1" outlineLevel="1" x14ac:dyDescent="0.25">
      <c r="A219" s="299"/>
      <c r="B219" t="str">
        <v>PeakFuel</v>
      </c>
      <c r="C219" s="260" t="s">
        <v>242</v>
      </c>
      <c r="D219" s="350">
        <f t="shared" si="138"/>
        <v>0</v>
      </c>
      <c r="E219" s="350">
        <f t="shared" si="143"/>
        <v>0</v>
      </c>
      <c r="F219" s="350">
        <f t="shared" si="143"/>
        <v>0</v>
      </c>
      <c r="G219" s="350">
        <f t="shared" si="143"/>
        <v>0</v>
      </c>
      <c r="H219" s="350">
        <f t="shared" si="143"/>
        <v>0</v>
      </c>
      <c r="I219" s="350">
        <f t="shared" si="143"/>
        <v>0</v>
      </c>
      <c r="J219" s="350">
        <f t="shared" si="143"/>
        <v>0</v>
      </c>
      <c r="K219" s="350">
        <f t="shared" si="143"/>
        <v>0</v>
      </c>
      <c r="L219" s="350">
        <f t="shared" si="143"/>
        <v>0</v>
      </c>
      <c r="M219" s="350">
        <f t="shared" si="143"/>
        <v>0</v>
      </c>
      <c r="N219" s="350">
        <f t="shared" si="143"/>
        <v>0</v>
      </c>
      <c r="O219" s="350">
        <f t="shared" si="143"/>
        <v>0</v>
      </c>
      <c r="P219" s="350">
        <f t="shared" si="143"/>
        <v>0</v>
      </c>
      <c r="Q219" s="350">
        <f t="shared" si="143"/>
        <v>0</v>
      </c>
      <c r="R219" s="350">
        <f t="shared" si="143"/>
        <v>0</v>
      </c>
      <c r="S219" s="350">
        <f t="shared" si="143"/>
        <v>0</v>
      </c>
      <c r="T219" s="350">
        <f t="shared" si="143"/>
        <v>0</v>
      </c>
      <c r="U219" s="350">
        <f t="shared" si="143"/>
        <v>0</v>
      </c>
      <c r="V219" s="350">
        <f t="shared" si="143"/>
        <v>0</v>
      </c>
      <c r="W219" s="350">
        <f t="shared" si="143"/>
        <v>0</v>
      </c>
      <c r="X219" s="350">
        <f t="shared" si="143"/>
        <v>0</v>
      </c>
      <c r="Y219" s="350">
        <f t="shared" si="143"/>
        <v>0</v>
      </c>
      <c r="Z219" s="350">
        <f t="shared" si="143"/>
        <v>0</v>
      </c>
      <c r="AA219" s="350">
        <f t="shared" si="143"/>
        <v>0</v>
      </c>
      <c r="AB219" s="350">
        <f t="shared" si="143"/>
        <v>0</v>
      </c>
      <c r="AC219" s="350">
        <f t="shared" si="143"/>
        <v>0</v>
      </c>
      <c r="AD219" s="350">
        <f t="shared" si="143"/>
        <v>0</v>
      </c>
      <c r="AE219" s="350">
        <f t="shared" si="143"/>
        <v>0</v>
      </c>
      <c r="AF219" s="350">
        <f t="shared" si="143"/>
        <v>0</v>
      </c>
      <c r="AG219" s="350">
        <f t="shared" si="143"/>
        <v>0</v>
      </c>
      <c r="AH219" s="350">
        <f t="shared" si="143"/>
        <v>0</v>
      </c>
      <c r="AI219" s="350">
        <f t="shared" si="143"/>
        <v>0</v>
      </c>
      <c r="AJ219" s="350">
        <f t="shared" si="143"/>
        <v>0</v>
      </c>
      <c r="AK219" s="350">
        <f t="shared" si="143"/>
        <v>0</v>
      </c>
      <c r="AL219" s="350">
        <f t="shared" si="143"/>
        <v>0</v>
      </c>
      <c r="AM219" s="350">
        <f t="shared" si="14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51"/>
      <c r="E220" s="352"/>
      <c r="F220" s="352"/>
      <c r="G220" s="352"/>
      <c r="H220" s="352"/>
      <c r="I220" s="352"/>
      <c r="J220" s="352"/>
      <c r="K220" s="352"/>
      <c r="L220" s="352"/>
      <c r="M220" s="352"/>
      <c r="N220" s="352"/>
      <c r="O220" s="352"/>
      <c r="P220" s="351"/>
      <c r="Q220" s="352"/>
      <c r="R220" s="352"/>
      <c r="S220" s="352"/>
      <c r="T220" s="352"/>
      <c r="U220" s="352"/>
      <c r="V220" s="352"/>
      <c r="W220" s="352"/>
      <c r="X220" s="352"/>
      <c r="Y220" s="352"/>
      <c r="Z220" s="352"/>
      <c r="AA220" s="352"/>
      <c r="AB220" s="351"/>
      <c r="AC220" s="352"/>
      <c r="AD220" s="352"/>
      <c r="AE220" s="352"/>
      <c r="AF220" s="352"/>
      <c r="AG220" s="352"/>
      <c r="AH220" s="352"/>
      <c r="AI220" s="352"/>
      <c r="AJ220" s="352"/>
      <c r="AK220" s="352"/>
      <c r="AL220" s="352"/>
      <c r="AM220" s="352"/>
    </row>
    <row r="221" spans="1:39" s="259" customFormat="1" hidden="1" outlineLevel="1" x14ac:dyDescent="0.25">
      <c r="B221" s="259" t="str">
        <f t="shared" ref="B221:B246" si="144">B191</f>
        <v>DepoSort</v>
      </c>
      <c r="C221" s="260" t="s">
        <v>243</v>
      </c>
      <c r="D221" s="350">
        <f t="shared" ref="D221:D249" si="145">$K5</f>
        <v>1</v>
      </c>
      <c r="E221" s="350">
        <f t="shared" ref="E221:AM228" si="146">$K5</f>
        <v>1</v>
      </c>
      <c r="F221" s="350">
        <f t="shared" si="146"/>
        <v>1</v>
      </c>
      <c r="G221" s="350">
        <f t="shared" si="146"/>
        <v>1</v>
      </c>
      <c r="H221" s="350">
        <f t="shared" si="146"/>
        <v>1</v>
      </c>
      <c r="I221" s="350">
        <f t="shared" si="146"/>
        <v>1</v>
      </c>
      <c r="J221" s="350">
        <f t="shared" si="146"/>
        <v>1</v>
      </c>
      <c r="K221" s="350">
        <f t="shared" si="146"/>
        <v>1</v>
      </c>
      <c r="L221" s="350">
        <f t="shared" si="146"/>
        <v>1</v>
      </c>
      <c r="M221" s="350">
        <f t="shared" si="146"/>
        <v>1</v>
      </c>
      <c r="N221" s="350">
        <f t="shared" si="146"/>
        <v>1</v>
      </c>
      <c r="O221" s="350">
        <f t="shared" si="146"/>
        <v>1</v>
      </c>
      <c r="P221" s="350">
        <f t="shared" si="146"/>
        <v>1</v>
      </c>
      <c r="Q221" s="350">
        <f t="shared" si="146"/>
        <v>1</v>
      </c>
      <c r="R221" s="350">
        <f t="shared" si="146"/>
        <v>1</v>
      </c>
      <c r="S221" s="350">
        <f t="shared" si="146"/>
        <v>1</v>
      </c>
      <c r="T221" s="350">
        <f t="shared" si="146"/>
        <v>1</v>
      </c>
      <c r="U221" s="350">
        <f t="shared" si="146"/>
        <v>1</v>
      </c>
      <c r="V221" s="350">
        <f t="shared" si="146"/>
        <v>1</v>
      </c>
      <c r="W221" s="350">
        <f t="shared" si="146"/>
        <v>1</v>
      </c>
      <c r="X221" s="350">
        <f t="shared" si="146"/>
        <v>1</v>
      </c>
      <c r="Y221" s="350">
        <f t="shared" si="146"/>
        <v>1</v>
      </c>
      <c r="Z221" s="350">
        <f t="shared" si="146"/>
        <v>1</v>
      </c>
      <c r="AA221" s="350">
        <f t="shared" si="146"/>
        <v>1</v>
      </c>
      <c r="AB221" s="350">
        <f t="shared" si="146"/>
        <v>1</v>
      </c>
      <c r="AC221" s="350">
        <f t="shared" si="146"/>
        <v>1</v>
      </c>
      <c r="AD221" s="350">
        <f t="shared" si="146"/>
        <v>1</v>
      </c>
      <c r="AE221" s="350">
        <f t="shared" si="146"/>
        <v>1</v>
      </c>
      <c r="AF221" s="350">
        <f t="shared" si="146"/>
        <v>1</v>
      </c>
      <c r="AG221" s="350">
        <f t="shared" si="146"/>
        <v>1</v>
      </c>
      <c r="AH221" s="350">
        <f t="shared" si="146"/>
        <v>1</v>
      </c>
      <c r="AI221" s="350">
        <f t="shared" si="146"/>
        <v>1</v>
      </c>
      <c r="AJ221" s="350">
        <f t="shared" si="146"/>
        <v>1</v>
      </c>
      <c r="AK221" s="350">
        <f t="shared" si="146"/>
        <v>1</v>
      </c>
      <c r="AL221" s="350">
        <f t="shared" si="146"/>
        <v>1</v>
      </c>
      <c r="AM221" s="350">
        <f t="shared" si="146"/>
        <v>1</v>
      </c>
    </row>
    <row r="222" spans="1:39" s="259" customFormat="1" hidden="1" outlineLevel="1" x14ac:dyDescent="0.25">
      <c r="B222" s="259" t="str">
        <f t="shared" si="144"/>
        <v>DepoSmaat</v>
      </c>
      <c r="C222" s="260" t="s">
        <v>243</v>
      </c>
      <c r="D222" s="350">
        <f t="shared" si="145"/>
        <v>1</v>
      </c>
      <c r="E222" s="350">
        <f t="shared" ref="E222:S222" si="147">$K6</f>
        <v>1</v>
      </c>
      <c r="F222" s="350">
        <f t="shared" si="147"/>
        <v>1</v>
      </c>
      <c r="G222" s="350">
        <f t="shared" si="147"/>
        <v>1</v>
      </c>
      <c r="H222" s="350">
        <f t="shared" si="147"/>
        <v>1</v>
      </c>
      <c r="I222" s="350">
        <f t="shared" si="147"/>
        <v>1</v>
      </c>
      <c r="J222" s="350">
        <f t="shared" si="147"/>
        <v>1</v>
      </c>
      <c r="K222" s="350">
        <f t="shared" si="147"/>
        <v>1</v>
      </c>
      <c r="L222" s="350">
        <f t="shared" si="147"/>
        <v>1</v>
      </c>
      <c r="M222" s="350">
        <f t="shared" si="147"/>
        <v>1</v>
      </c>
      <c r="N222" s="350">
        <f t="shared" si="147"/>
        <v>1</v>
      </c>
      <c r="O222" s="350">
        <f t="shared" si="147"/>
        <v>1</v>
      </c>
      <c r="P222" s="350">
        <f t="shared" si="147"/>
        <v>1</v>
      </c>
      <c r="Q222" s="350">
        <f t="shared" si="147"/>
        <v>1</v>
      </c>
      <c r="R222" s="350">
        <f t="shared" si="147"/>
        <v>1</v>
      </c>
      <c r="S222" s="350">
        <f t="shared" si="147"/>
        <v>1</v>
      </c>
      <c r="T222" s="350">
        <f t="shared" si="146"/>
        <v>1</v>
      </c>
      <c r="U222" s="350">
        <f t="shared" si="146"/>
        <v>1</v>
      </c>
      <c r="V222" s="350">
        <f t="shared" si="146"/>
        <v>1</v>
      </c>
      <c r="W222" s="350">
        <f t="shared" si="146"/>
        <v>1</v>
      </c>
      <c r="X222" s="350">
        <f t="shared" si="146"/>
        <v>1</v>
      </c>
      <c r="Y222" s="350">
        <f t="shared" si="146"/>
        <v>1</v>
      </c>
      <c r="Z222" s="350">
        <f t="shared" si="146"/>
        <v>1</v>
      </c>
      <c r="AA222" s="350">
        <f t="shared" si="146"/>
        <v>1</v>
      </c>
      <c r="AB222" s="350">
        <f t="shared" si="146"/>
        <v>1</v>
      </c>
      <c r="AC222" s="350">
        <f t="shared" si="146"/>
        <v>1</v>
      </c>
      <c r="AD222" s="350">
        <f t="shared" si="146"/>
        <v>1</v>
      </c>
      <c r="AE222" s="350">
        <f t="shared" si="146"/>
        <v>1</v>
      </c>
      <c r="AF222" s="350">
        <f t="shared" si="146"/>
        <v>1</v>
      </c>
      <c r="AG222" s="350">
        <f t="shared" si="146"/>
        <v>1</v>
      </c>
      <c r="AH222" s="350">
        <f t="shared" si="146"/>
        <v>1</v>
      </c>
      <c r="AI222" s="350">
        <f t="shared" si="146"/>
        <v>1</v>
      </c>
      <c r="AJ222" s="350">
        <f t="shared" si="146"/>
        <v>1</v>
      </c>
      <c r="AK222" s="350">
        <f t="shared" si="146"/>
        <v>1</v>
      </c>
      <c r="AL222" s="350">
        <f t="shared" si="146"/>
        <v>1</v>
      </c>
      <c r="AM222" s="350">
        <f t="shared" si="146"/>
        <v>1</v>
      </c>
    </row>
    <row r="223" spans="1:39" s="259" customFormat="1" hidden="1" outlineLevel="1" x14ac:dyDescent="0.25">
      <c r="B223" s="259" t="str">
        <f t="shared" si="144"/>
        <v>DepoNedd</v>
      </c>
      <c r="C223" s="260" t="s">
        <v>243</v>
      </c>
      <c r="D223" s="350">
        <f t="shared" si="145"/>
        <v>1</v>
      </c>
      <c r="E223" s="350">
        <f t="shared" si="146"/>
        <v>1</v>
      </c>
      <c r="F223" s="350">
        <f t="shared" si="146"/>
        <v>1</v>
      </c>
      <c r="G223" s="350">
        <f t="shared" si="146"/>
        <v>1</v>
      </c>
      <c r="H223" s="350">
        <f t="shared" si="146"/>
        <v>1</v>
      </c>
      <c r="I223" s="350">
        <f t="shared" si="146"/>
        <v>1</v>
      </c>
      <c r="J223" s="350">
        <f t="shared" si="146"/>
        <v>1</v>
      </c>
      <c r="K223" s="350">
        <f t="shared" si="146"/>
        <v>1</v>
      </c>
      <c r="L223" s="350">
        <f t="shared" si="146"/>
        <v>1</v>
      </c>
      <c r="M223" s="350">
        <f t="shared" si="146"/>
        <v>1</v>
      </c>
      <c r="N223" s="350">
        <f t="shared" si="146"/>
        <v>1</v>
      </c>
      <c r="O223" s="350">
        <f t="shared" si="146"/>
        <v>1</v>
      </c>
      <c r="P223" s="350">
        <f t="shared" si="146"/>
        <v>1</v>
      </c>
      <c r="Q223" s="350">
        <f t="shared" si="146"/>
        <v>1</v>
      </c>
      <c r="R223" s="350">
        <f t="shared" si="146"/>
        <v>1</v>
      </c>
      <c r="S223" s="350">
        <f t="shared" si="146"/>
        <v>1</v>
      </c>
      <c r="T223" s="350">
        <f t="shared" si="146"/>
        <v>1</v>
      </c>
      <c r="U223" s="350">
        <f t="shared" si="146"/>
        <v>1</v>
      </c>
      <c r="V223" s="350">
        <f t="shared" si="146"/>
        <v>1</v>
      </c>
      <c r="W223" s="350">
        <f t="shared" si="146"/>
        <v>1</v>
      </c>
      <c r="X223" s="350">
        <f t="shared" si="146"/>
        <v>1</v>
      </c>
      <c r="Y223" s="350">
        <f t="shared" si="146"/>
        <v>1</v>
      </c>
      <c r="Z223" s="350">
        <f t="shared" si="146"/>
        <v>1</v>
      </c>
      <c r="AA223" s="350">
        <f t="shared" si="146"/>
        <v>1</v>
      </c>
      <c r="AB223" s="350">
        <f t="shared" si="146"/>
        <v>1</v>
      </c>
      <c r="AC223" s="350">
        <f t="shared" si="146"/>
        <v>1</v>
      </c>
      <c r="AD223" s="350">
        <f t="shared" si="146"/>
        <v>1</v>
      </c>
      <c r="AE223" s="350">
        <f t="shared" si="146"/>
        <v>1</v>
      </c>
      <c r="AF223" s="350">
        <f t="shared" si="146"/>
        <v>1</v>
      </c>
      <c r="AG223" s="350">
        <f t="shared" si="146"/>
        <v>1</v>
      </c>
      <c r="AH223" s="350">
        <f t="shared" si="146"/>
        <v>1</v>
      </c>
      <c r="AI223" s="350">
        <f t="shared" si="146"/>
        <v>1</v>
      </c>
      <c r="AJ223" s="350">
        <f t="shared" si="146"/>
        <v>1</v>
      </c>
      <c r="AK223" s="350">
        <f t="shared" si="146"/>
        <v>1</v>
      </c>
      <c r="AL223" s="350">
        <f t="shared" si="146"/>
        <v>1</v>
      </c>
      <c r="AM223" s="350">
        <f t="shared" si="146"/>
        <v>1</v>
      </c>
    </row>
    <row r="224" spans="1:39" s="259" customFormat="1" hidden="1" outlineLevel="1" x14ac:dyDescent="0.25">
      <c r="B224" s="259" t="str">
        <f t="shared" si="144"/>
        <v>Dagren</v>
      </c>
      <c r="C224" s="260" t="s">
        <v>243</v>
      </c>
      <c r="D224" s="350">
        <f t="shared" si="145"/>
        <v>1</v>
      </c>
      <c r="E224" s="350">
        <f t="shared" si="146"/>
        <v>1</v>
      </c>
      <c r="F224" s="350">
        <f t="shared" si="146"/>
        <v>1</v>
      </c>
      <c r="G224" s="350">
        <f t="shared" si="146"/>
        <v>1</v>
      </c>
      <c r="H224" s="350">
        <f t="shared" si="146"/>
        <v>1</v>
      </c>
      <c r="I224" s="350">
        <f t="shared" si="146"/>
        <v>1</v>
      </c>
      <c r="J224" s="350">
        <f t="shared" si="146"/>
        <v>1</v>
      </c>
      <c r="K224" s="350">
        <f t="shared" si="146"/>
        <v>1</v>
      </c>
      <c r="L224" s="350">
        <f t="shared" si="146"/>
        <v>1</v>
      </c>
      <c r="M224" s="350">
        <f t="shared" si="146"/>
        <v>1</v>
      </c>
      <c r="N224" s="350">
        <f t="shared" si="146"/>
        <v>1</v>
      </c>
      <c r="O224" s="350">
        <f t="shared" si="146"/>
        <v>1</v>
      </c>
      <c r="P224" s="350">
        <f t="shared" si="146"/>
        <v>1</v>
      </c>
      <c r="Q224" s="350">
        <f t="shared" si="146"/>
        <v>1</v>
      </c>
      <c r="R224" s="350">
        <f t="shared" si="146"/>
        <v>1</v>
      </c>
      <c r="S224" s="350">
        <f t="shared" si="146"/>
        <v>1</v>
      </c>
      <c r="T224" s="350">
        <f t="shared" si="146"/>
        <v>1</v>
      </c>
      <c r="U224" s="350">
        <f t="shared" si="146"/>
        <v>1</v>
      </c>
      <c r="V224" s="350">
        <f t="shared" si="146"/>
        <v>1</v>
      </c>
      <c r="W224" s="350">
        <f t="shared" si="146"/>
        <v>1</v>
      </c>
      <c r="X224" s="350">
        <f t="shared" si="146"/>
        <v>1</v>
      </c>
      <c r="Y224" s="350">
        <f t="shared" si="146"/>
        <v>1</v>
      </c>
      <c r="Z224" s="350">
        <f t="shared" si="146"/>
        <v>1</v>
      </c>
      <c r="AA224" s="350">
        <f t="shared" si="146"/>
        <v>1</v>
      </c>
      <c r="AB224" s="350">
        <f t="shared" si="146"/>
        <v>1</v>
      </c>
      <c r="AC224" s="350">
        <f t="shared" si="146"/>
        <v>1</v>
      </c>
      <c r="AD224" s="350">
        <f t="shared" si="146"/>
        <v>1</v>
      </c>
      <c r="AE224" s="350">
        <f t="shared" si="146"/>
        <v>1</v>
      </c>
      <c r="AF224" s="350">
        <f t="shared" si="146"/>
        <v>1</v>
      </c>
      <c r="AG224" s="350">
        <f t="shared" si="146"/>
        <v>1</v>
      </c>
      <c r="AH224" s="350">
        <f t="shared" si="146"/>
        <v>1</v>
      </c>
      <c r="AI224" s="350">
        <f t="shared" si="146"/>
        <v>1</v>
      </c>
      <c r="AJ224" s="350">
        <f t="shared" si="146"/>
        <v>1</v>
      </c>
      <c r="AK224" s="350">
        <f t="shared" si="146"/>
        <v>1</v>
      </c>
      <c r="AL224" s="350">
        <f t="shared" si="146"/>
        <v>1</v>
      </c>
      <c r="AM224" s="350">
        <f t="shared" si="146"/>
        <v>1</v>
      </c>
    </row>
    <row r="225" spans="1:39" s="259" customFormat="1" hidden="1" outlineLevel="1" x14ac:dyDescent="0.25">
      <c r="B225" s="259" t="str">
        <f t="shared" si="144"/>
        <v>AndetBrand</v>
      </c>
      <c r="C225" s="260" t="s">
        <v>243</v>
      </c>
      <c r="D225" s="350">
        <f t="shared" si="145"/>
        <v>1</v>
      </c>
      <c r="E225" s="350">
        <f t="shared" si="146"/>
        <v>1</v>
      </c>
      <c r="F225" s="350">
        <f t="shared" si="146"/>
        <v>1</v>
      </c>
      <c r="G225" s="350">
        <f t="shared" si="146"/>
        <v>1</v>
      </c>
      <c r="H225" s="350">
        <f t="shared" si="146"/>
        <v>1</v>
      </c>
      <c r="I225" s="350">
        <f t="shared" si="146"/>
        <v>1</v>
      </c>
      <c r="J225" s="350">
        <f t="shared" si="146"/>
        <v>1</v>
      </c>
      <c r="K225" s="350">
        <f t="shared" si="146"/>
        <v>1</v>
      </c>
      <c r="L225" s="350">
        <f t="shared" si="146"/>
        <v>1</v>
      </c>
      <c r="M225" s="350">
        <f t="shared" si="146"/>
        <v>1</v>
      </c>
      <c r="N225" s="350">
        <f t="shared" si="146"/>
        <v>1</v>
      </c>
      <c r="O225" s="350">
        <f t="shared" si="146"/>
        <v>1</v>
      </c>
      <c r="P225" s="350">
        <f t="shared" si="146"/>
        <v>1</v>
      </c>
      <c r="Q225" s="350">
        <f t="shared" si="146"/>
        <v>1</v>
      </c>
      <c r="R225" s="350">
        <f t="shared" si="146"/>
        <v>1</v>
      </c>
      <c r="S225" s="350">
        <f t="shared" si="146"/>
        <v>1</v>
      </c>
      <c r="T225" s="350">
        <f t="shared" si="146"/>
        <v>1</v>
      </c>
      <c r="U225" s="350">
        <f t="shared" si="146"/>
        <v>1</v>
      </c>
      <c r="V225" s="350">
        <f t="shared" si="146"/>
        <v>1</v>
      </c>
      <c r="W225" s="350">
        <f t="shared" si="146"/>
        <v>1</v>
      </c>
      <c r="X225" s="350">
        <f t="shared" si="146"/>
        <v>1</v>
      </c>
      <c r="Y225" s="350">
        <f t="shared" si="146"/>
        <v>1</v>
      </c>
      <c r="Z225" s="350">
        <f t="shared" si="146"/>
        <v>1</v>
      </c>
      <c r="AA225" s="350">
        <f t="shared" si="146"/>
        <v>1</v>
      </c>
      <c r="AB225" s="350">
        <f t="shared" si="146"/>
        <v>1</v>
      </c>
      <c r="AC225" s="350">
        <f t="shared" si="146"/>
        <v>1</v>
      </c>
      <c r="AD225" s="350">
        <f t="shared" si="146"/>
        <v>1</v>
      </c>
      <c r="AE225" s="350">
        <f t="shared" si="146"/>
        <v>1</v>
      </c>
      <c r="AF225" s="350">
        <f t="shared" si="146"/>
        <v>1</v>
      </c>
      <c r="AG225" s="350">
        <f t="shared" si="146"/>
        <v>1</v>
      </c>
      <c r="AH225" s="350">
        <f t="shared" si="146"/>
        <v>1</v>
      </c>
      <c r="AI225" s="350">
        <f t="shared" si="146"/>
        <v>1</v>
      </c>
      <c r="AJ225" s="350">
        <f t="shared" si="146"/>
        <v>1</v>
      </c>
      <c r="AK225" s="350">
        <f t="shared" si="146"/>
        <v>1</v>
      </c>
      <c r="AL225" s="350">
        <f t="shared" si="146"/>
        <v>1</v>
      </c>
      <c r="AM225" s="350">
        <f t="shared" si="146"/>
        <v>1</v>
      </c>
    </row>
    <row r="226" spans="1:39" s="259" customFormat="1" hidden="1" outlineLevel="1" x14ac:dyDescent="0.25">
      <c r="B226" s="259" t="str">
        <f t="shared" si="144"/>
        <v>Trae</v>
      </c>
      <c r="C226" s="260" t="s">
        <v>243</v>
      </c>
      <c r="D226" s="350">
        <f t="shared" si="145"/>
        <v>1</v>
      </c>
      <c r="E226" s="350">
        <f t="shared" si="146"/>
        <v>1</v>
      </c>
      <c r="F226" s="350">
        <f t="shared" si="146"/>
        <v>1</v>
      </c>
      <c r="G226" s="350">
        <f t="shared" si="146"/>
        <v>1</v>
      </c>
      <c r="H226" s="350">
        <f t="shared" si="146"/>
        <v>1</v>
      </c>
      <c r="I226" s="350">
        <f t="shared" si="146"/>
        <v>1</v>
      </c>
      <c r="J226" s="350">
        <f t="shared" si="146"/>
        <v>1</v>
      </c>
      <c r="K226" s="350">
        <f t="shared" si="146"/>
        <v>1</v>
      </c>
      <c r="L226" s="350">
        <f t="shared" si="146"/>
        <v>1</v>
      </c>
      <c r="M226" s="350">
        <f t="shared" si="146"/>
        <v>1</v>
      </c>
      <c r="N226" s="350">
        <f t="shared" si="146"/>
        <v>1</v>
      </c>
      <c r="O226" s="350">
        <f t="shared" si="146"/>
        <v>1</v>
      </c>
      <c r="P226" s="350">
        <f t="shared" si="146"/>
        <v>1</v>
      </c>
      <c r="Q226" s="350">
        <f t="shared" si="146"/>
        <v>1</v>
      </c>
      <c r="R226" s="350">
        <f t="shared" si="146"/>
        <v>1</v>
      </c>
      <c r="S226" s="350">
        <f t="shared" si="146"/>
        <v>1</v>
      </c>
      <c r="T226" s="350">
        <f t="shared" si="146"/>
        <v>1</v>
      </c>
      <c r="U226" s="350">
        <f t="shared" si="146"/>
        <v>1</v>
      </c>
      <c r="V226" s="350">
        <f t="shared" si="146"/>
        <v>1</v>
      </c>
      <c r="W226" s="350">
        <f t="shared" si="146"/>
        <v>1</v>
      </c>
      <c r="X226" s="350">
        <f t="shared" si="146"/>
        <v>1</v>
      </c>
      <c r="Y226" s="350">
        <f t="shared" si="146"/>
        <v>1</v>
      </c>
      <c r="Z226" s="350">
        <f t="shared" si="146"/>
        <v>1</v>
      </c>
      <c r="AA226" s="350">
        <f t="shared" si="146"/>
        <v>1</v>
      </c>
      <c r="AB226" s="350">
        <f t="shared" si="146"/>
        <v>1</v>
      </c>
      <c r="AC226" s="350">
        <f t="shared" si="146"/>
        <v>1</v>
      </c>
      <c r="AD226" s="350">
        <f t="shared" si="146"/>
        <v>1</v>
      </c>
      <c r="AE226" s="350">
        <f t="shared" si="146"/>
        <v>1</v>
      </c>
      <c r="AF226" s="350">
        <f t="shared" si="146"/>
        <v>1</v>
      </c>
      <c r="AG226" s="350">
        <f t="shared" si="146"/>
        <v>1</v>
      </c>
      <c r="AH226" s="350">
        <f t="shared" si="146"/>
        <v>1</v>
      </c>
      <c r="AI226" s="350">
        <f t="shared" si="146"/>
        <v>1</v>
      </c>
      <c r="AJ226" s="350">
        <f t="shared" si="146"/>
        <v>1</v>
      </c>
      <c r="AK226" s="350">
        <f t="shared" si="146"/>
        <v>1</v>
      </c>
      <c r="AL226" s="350">
        <f t="shared" si="146"/>
        <v>1</v>
      </c>
      <c r="AM226" s="350">
        <f t="shared" si="146"/>
        <v>1</v>
      </c>
    </row>
    <row r="227" spans="1:39" s="259" customFormat="1" hidden="1" outlineLevel="1" x14ac:dyDescent="0.25">
      <c r="B227" s="259" t="str">
        <f t="shared" si="144"/>
        <v>DagrenRast</v>
      </c>
      <c r="C227" s="260" t="s">
        <v>243</v>
      </c>
      <c r="D227" s="350">
        <f t="shared" si="145"/>
        <v>1</v>
      </c>
      <c r="E227" s="350">
        <f t="shared" si="146"/>
        <v>1</v>
      </c>
      <c r="F227" s="350">
        <f t="shared" si="146"/>
        <v>1</v>
      </c>
      <c r="G227" s="350">
        <f t="shared" si="146"/>
        <v>1</v>
      </c>
      <c r="H227" s="350">
        <f t="shared" si="146"/>
        <v>1</v>
      </c>
      <c r="I227" s="350">
        <f t="shared" si="146"/>
        <v>1</v>
      </c>
      <c r="J227" s="350">
        <f t="shared" si="146"/>
        <v>1</v>
      </c>
      <c r="K227" s="350">
        <f t="shared" si="146"/>
        <v>1</v>
      </c>
      <c r="L227" s="350">
        <f t="shared" si="146"/>
        <v>1</v>
      </c>
      <c r="M227" s="350">
        <f t="shared" si="146"/>
        <v>1</v>
      </c>
      <c r="N227" s="350">
        <f t="shared" si="146"/>
        <v>1</v>
      </c>
      <c r="O227" s="350">
        <f t="shared" si="146"/>
        <v>1</v>
      </c>
      <c r="P227" s="350">
        <f t="shared" si="146"/>
        <v>1</v>
      </c>
      <c r="Q227" s="350">
        <f t="shared" si="146"/>
        <v>1</v>
      </c>
      <c r="R227" s="350">
        <f t="shared" si="146"/>
        <v>1</v>
      </c>
      <c r="S227" s="350">
        <f t="shared" si="146"/>
        <v>1</v>
      </c>
      <c r="T227" s="350">
        <f t="shared" si="146"/>
        <v>1</v>
      </c>
      <c r="U227" s="350">
        <f t="shared" si="146"/>
        <v>1</v>
      </c>
      <c r="V227" s="350">
        <f t="shared" si="146"/>
        <v>1</v>
      </c>
      <c r="W227" s="350">
        <f t="shared" si="146"/>
        <v>1</v>
      </c>
      <c r="X227" s="350">
        <f t="shared" si="146"/>
        <v>1</v>
      </c>
      <c r="Y227" s="350">
        <f t="shared" si="146"/>
        <v>1</v>
      </c>
      <c r="Z227" s="350">
        <f t="shared" si="146"/>
        <v>1</v>
      </c>
      <c r="AA227" s="350">
        <f t="shared" si="146"/>
        <v>1</v>
      </c>
      <c r="AB227" s="350">
        <f t="shared" si="146"/>
        <v>1</v>
      </c>
      <c r="AC227" s="350">
        <f t="shared" si="146"/>
        <v>1</v>
      </c>
      <c r="AD227" s="350">
        <f t="shared" si="146"/>
        <v>1</v>
      </c>
      <c r="AE227" s="350">
        <f t="shared" si="146"/>
        <v>1</v>
      </c>
      <c r="AF227" s="350">
        <f t="shared" si="146"/>
        <v>1</v>
      </c>
      <c r="AG227" s="350">
        <f t="shared" si="146"/>
        <v>1</v>
      </c>
      <c r="AH227" s="350">
        <f t="shared" si="146"/>
        <v>1</v>
      </c>
      <c r="AI227" s="350">
        <f t="shared" si="146"/>
        <v>1</v>
      </c>
      <c r="AJ227" s="350">
        <f t="shared" si="146"/>
        <v>1</v>
      </c>
      <c r="AK227" s="350">
        <f t="shared" si="146"/>
        <v>1</v>
      </c>
      <c r="AL227" s="350">
        <f t="shared" si="146"/>
        <v>1</v>
      </c>
      <c r="AM227" s="350">
        <f t="shared" si="146"/>
        <v>1</v>
      </c>
    </row>
    <row r="228" spans="1:39" s="259" customFormat="1" hidden="1" outlineLevel="1" x14ac:dyDescent="0.25">
      <c r="B228" s="259" t="str">
        <f t="shared" si="144"/>
        <v>DagrenInst</v>
      </c>
      <c r="C228" s="260" t="s">
        <v>243</v>
      </c>
      <c r="D228" s="350">
        <f t="shared" si="145"/>
        <v>1</v>
      </c>
      <c r="E228" s="350">
        <f t="shared" si="146"/>
        <v>1</v>
      </c>
      <c r="F228" s="350">
        <f t="shared" si="146"/>
        <v>1</v>
      </c>
      <c r="G228" s="350">
        <f t="shared" si="146"/>
        <v>1</v>
      </c>
      <c r="H228" s="350">
        <f t="shared" si="146"/>
        <v>1</v>
      </c>
      <c r="I228" s="350">
        <f t="shared" si="146"/>
        <v>1</v>
      </c>
      <c r="J228" s="350">
        <f t="shared" si="146"/>
        <v>1</v>
      </c>
      <c r="K228" s="350">
        <f t="shared" si="146"/>
        <v>1</v>
      </c>
      <c r="L228" s="350">
        <f t="shared" si="146"/>
        <v>1</v>
      </c>
      <c r="M228" s="350">
        <f t="shared" si="146"/>
        <v>1</v>
      </c>
      <c r="N228" s="350">
        <f t="shared" si="146"/>
        <v>1</v>
      </c>
      <c r="O228" s="350">
        <f t="shared" si="146"/>
        <v>1</v>
      </c>
      <c r="P228" s="350">
        <f t="shared" si="146"/>
        <v>1</v>
      </c>
      <c r="Q228" s="350">
        <f t="shared" si="146"/>
        <v>1</v>
      </c>
      <c r="R228" s="350">
        <f t="shared" si="146"/>
        <v>1</v>
      </c>
      <c r="S228" s="350">
        <f t="shared" si="146"/>
        <v>1</v>
      </c>
      <c r="T228" s="350">
        <f t="shared" si="146"/>
        <v>1</v>
      </c>
      <c r="U228" s="350">
        <f t="shared" si="146"/>
        <v>1</v>
      </c>
      <c r="V228" s="350">
        <f t="shared" si="146"/>
        <v>1</v>
      </c>
      <c r="W228" s="350">
        <f t="shared" si="146"/>
        <v>1</v>
      </c>
      <c r="X228" s="350">
        <f t="shared" si="146"/>
        <v>1</v>
      </c>
      <c r="Y228" s="350">
        <f t="shared" si="146"/>
        <v>1</v>
      </c>
      <c r="Z228" s="350">
        <f t="shared" si="146"/>
        <v>1</v>
      </c>
      <c r="AA228" s="350">
        <f t="shared" si="146"/>
        <v>1</v>
      </c>
      <c r="AB228" s="350">
        <f t="shared" si="146"/>
        <v>1</v>
      </c>
      <c r="AC228" s="350">
        <f t="shared" si="146"/>
        <v>1</v>
      </c>
      <c r="AD228" s="350">
        <f t="shared" ref="E228:AM235" si="148">$K12</f>
        <v>1</v>
      </c>
      <c r="AE228" s="350">
        <f t="shared" si="148"/>
        <v>1</v>
      </c>
      <c r="AF228" s="350">
        <f t="shared" si="148"/>
        <v>1</v>
      </c>
      <c r="AG228" s="350">
        <f t="shared" si="148"/>
        <v>1</v>
      </c>
      <c r="AH228" s="350">
        <f t="shared" si="148"/>
        <v>1</v>
      </c>
      <c r="AI228" s="350">
        <f t="shared" si="148"/>
        <v>1</v>
      </c>
      <c r="AJ228" s="350">
        <f t="shared" si="148"/>
        <v>1</v>
      </c>
      <c r="AK228" s="350">
        <f t="shared" si="148"/>
        <v>1</v>
      </c>
      <c r="AL228" s="350">
        <f t="shared" si="148"/>
        <v>1</v>
      </c>
      <c r="AM228" s="350">
        <f t="shared" si="148"/>
        <v>1</v>
      </c>
    </row>
    <row r="229" spans="1:39" s="259" customFormat="1" hidden="1" outlineLevel="1" x14ac:dyDescent="0.25">
      <c r="B229" s="259" t="str">
        <f t="shared" si="144"/>
        <v>DagrenHandel</v>
      </c>
      <c r="C229" s="260" t="s">
        <v>243</v>
      </c>
      <c r="D229" s="350">
        <f t="shared" si="145"/>
        <v>1</v>
      </c>
      <c r="E229" s="350">
        <f t="shared" si="148"/>
        <v>1</v>
      </c>
      <c r="F229" s="350">
        <f t="shared" si="148"/>
        <v>1</v>
      </c>
      <c r="G229" s="350">
        <f t="shared" si="148"/>
        <v>1</v>
      </c>
      <c r="H229" s="350">
        <f t="shared" si="148"/>
        <v>1</v>
      </c>
      <c r="I229" s="350">
        <f t="shared" si="148"/>
        <v>1</v>
      </c>
      <c r="J229" s="350">
        <f t="shared" si="148"/>
        <v>1</v>
      </c>
      <c r="K229" s="350">
        <f t="shared" si="148"/>
        <v>1</v>
      </c>
      <c r="L229" s="350">
        <f t="shared" si="148"/>
        <v>1</v>
      </c>
      <c r="M229" s="350">
        <f t="shared" si="148"/>
        <v>1</v>
      </c>
      <c r="N229" s="350">
        <f t="shared" si="148"/>
        <v>1</v>
      </c>
      <c r="O229" s="350">
        <f t="shared" si="148"/>
        <v>1</v>
      </c>
      <c r="P229" s="350">
        <f t="shared" si="148"/>
        <v>1</v>
      </c>
      <c r="Q229" s="350">
        <f t="shared" si="148"/>
        <v>1</v>
      </c>
      <c r="R229" s="350">
        <f t="shared" si="148"/>
        <v>1</v>
      </c>
      <c r="S229" s="350">
        <f t="shared" si="148"/>
        <v>1</v>
      </c>
      <c r="T229" s="350">
        <f t="shared" si="148"/>
        <v>1</v>
      </c>
      <c r="U229" s="350">
        <f t="shared" si="148"/>
        <v>1</v>
      </c>
      <c r="V229" s="350">
        <f t="shared" si="148"/>
        <v>1</v>
      </c>
      <c r="W229" s="350">
        <f t="shared" si="148"/>
        <v>1</v>
      </c>
      <c r="X229" s="350">
        <f t="shared" si="148"/>
        <v>1</v>
      </c>
      <c r="Y229" s="350">
        <f t="shared" si="148"/>
        <v>1</v>
      </c>
      <c r="Z229" s="350">
        <f t="shared" si="148"/>
        <v>1</v>
      </c>
      <c r="AA229" s="350">
        <f t="shared" si="148"/>
        <v>1</v>
      </c>
      <c r="AB229" s="350">
        <f t="shared" si="148"/>
        <v>1</v>
      </c>
      <c r="AC229" s="350">
        <f t="shared" si="148"/>
        <v>1</v>
      </c>
      <c r="AD229" s="350">
        <f t="shared" si="148"/>
        <v>1</v>
      </c>
      <c r="AE229" s="350">
        <f t="shared" si="148"/>
        <v>1</v>
      </c>
      <c r="AF229" s="350">
        <f t="shared" si="148"/>
        <v>1</v>
      </c>
      <c r="AG229" s="350">
        <f t="shared" si="148"/>
        <v>1</v>
      </c>
      <c r="AH229" s="350">
        <f t="shared" si="148"/>
        <v>1</v>
      </c>
      <c r="AI229" s="350">
        <f t="shared" si="148"/>
        <v>1</v>
      </c>
      <c r="AJ229" s="350">
        <f t="shared" si="148"/>
        <v>1</v>
      </c>
      <c r="AK229" s="350">
        <f t="shared" si="148"/>
        <v>1</v>
      </c>
      <c r="AL229" s="350">
        <f t="shared" si="148"/>
        <v>1</v>
      </c>
      <c r="AM229" s="350">
        <f t="shared" si="148"/>
        <v>1</v>
      </c>
    </row>
    <row r="230" spans="1:39" s="259" customFormat="1" hidden="1" outlineLevel="1" x14ac:dyDescent="0.25">
      <c r="B230" s="259" t="str">
        <f t="shared" si="144"/>
        <v>DagrenRestau</v>
      </c>
      <c r="C230" s="260" t="s">
        <v>243</v>
      </c>
      <c r="D230" s="350">
        <f t="shared" si="145"/>
        <v>1</v>
      </c>
      <c r="E230" s="350">
        <f t="shared" si="148"/>
        <v>1</v>
      </c>
      <c r="F230" s="350">
        <f t="shared" si="148"/>
        <v>1</v>
      </c>
      <c r="G230" s="350">
        <f t="shared" si="148"/>
        <v>1</v>
      </c>
      <c r="H230" s="350">
        <f t="shared" si="148"/>
        <v>1</v>
      </c>
      <c r="I230" s="350">
        <f t="shared" si="148"/>
        <v>1</v>
      </c>
      <c r="J230" s="350">
        <f t="shared" si="148"/>
        <v>1</v>
      </c>
      <c r="K230" s="350">
        <f t="shared" si="148"/>
        <v>1</v>
      </c>
      <c r="L230" s="350">
        <f t="shared" si="148"/>
        <v>1</v>
      </c>
      <c r="M230" s="350">
        <f t="shared" si="148"/>
        <v>1</v>
      </c>
      <c r="N230" s="350">
        <f t="shared" si="148"/>
        <v>1</v>
      </c>
      <c r="O230" s="350">
        <f t="shared" si="148"/>
        <v>1</v>
      </c>
      <c r="P230" s="350">
        <f t="shared" si="148"/>
        <v>1</v>
      </c>
      <c r="Q230" s="350">
        <f t="shared" si="148"/>
        <v>1</v>
      </c>
      <c r="R230" s="350">
        <f t="shared" si="148"/>
        <v>1</v>
      </c>
      <c r="S230" s="350">
        <f t="shared" si="148"/>
        <v>1</v>
      </c>
      <c r="T230" s="350">
        <f t="shared" si="148"/>
        <v>1</v>
      </c>
      <c r="U230" s="350">
        <f t="shared" si="148"/>
        <v>1</v>
      </c>
      <c r="V230" s="350">
        <f t="shared" si="148"/>
        <v>1</v>
      </c>
      <c r="W230" s="350">
        <f t="shared" si="148"/>
        <v>1</v>
      </c>
      <c r="X230" s="350">
        <f t="shared" si="148"/>
        <v>1</v>
      </c>
      <c r="Y230" s="350">
        <f t="shared" si="148"/>
        <v>1</v>
      </c>
      <c r="Z230" s="350">
        <f t="shared" si="148"/>
        <v>1</v>
      </c>
      <c r="AA230" s="350">
        <f t="shared" si="148"/>
        <v>1</v>
      </c>
      <c r="AB230" s="350">
        <f t="shared" si="148"/>
        <v>1</v>
      </c>
      <c r="AC230" s="350">
        <f t="shared" si="148"/>
        <v>1</v>
      </c>
      <c r="AD230" s="350">
        <f t="shared" si="148"/>
        <v>1</v>
      </c>
      <c r="AE230" s="350">
        <f t="shared" si="148"/>
        <v>1</v>
      </c>
      <c r="AF230" s="350">
        <f t="shared" si="148"/>
        <v>1</v>
      </c>
      <c r="AG230" s="350">
        <f t="shared" si="148"/>
        <v>1</v>
      </c>
      <c r="AH230" s="350">
        <f t="shared" si="148"/>
        <v>1</v>
      </c>
      <c r="AI230" s="350">
        <f t="shared" si="148"/>
        <v>1</v>
      </c>
      <c r="AJ230" s="350">
        <f t="shared" si="148"/>
        <v>1</v>
      </c>
      <c r="AK230" s="350">
        <f t="shared" si="148"/>
        <v>1</v>
      </c>
      <c r="AL230" s="350">
        <f t="shared" si="148"/>
        <v>1</v>
      </c>
      <c r="AM230" s="350">
        <f t="shared" si="148"/>
        <v>1</v>
      </c>
    </row>
    <row r="231" spans="1:39" s="259" customFormat="1" hidden="1" outlineLevel="1" x14ac:dyDescent="0.25">
      <c r="B231" s="259" t="str">
        <f t="shared" si="144"/>
        <v>Erhverv</v>
      </c>
      <c r="C231" s="260" t="s">
        <v>243</v>
      </c>
      <c r="D231" s="350">
        <f t="shared" si="145"/>
        <v>1</v>
      </c>
      <c r="E231" s="350">
        <f t="shared" si="148"/>
        <v>1</v>
      </c>
      <c r="F231" s="350">
        <f t="shared" si="148"/>
        <v>1</v>
      </c>
      <c r="G231" s="350">
        <f t="shared" si="148"/>
        <v>1</v>
      </c>
      <c r="H231" s="350">
        <f t="shared" si="148"/>
        <v>1</v>
      </c>
      <c r="I231" s="350">
        <f t="shared" si="148"/>
        <v>1</v>
      </c>
      <c r="J231" s="350">
        <f t="shared" si="148"/>
        <v>1</v>
      </c>
      <c r="K231" s="350">
        <f t="shared" si="148"/>
        <v>1</v>
      </c>
      <c r="L231" s="350">
        <f t="shared" si="148"/>
        <v>1</v>
      </c>
      <c r="M231" s="350">
        <f t="shared" si="148"/>
        <v>1</v>
      </c>
      <c r="N231" s="350">
        <f t="shared" si="148"/>
        <v>1</v>
      </c>
      <c r="O231" s="350">
        <f t="shared" si="148"/>
        <v>1</v>
      </c>
      <c r="P231" s="350">
        <f t="shared" si="148"/>
        <v>1</v>
      </c>
      <c r="Q231" s="350">
        <f t="shared" si="148"/>
        <v>1</v>
      </c>
      <c r="R231" s="350">
        <f t="shared" si="148"/>
        <v>1</v>
      </c>
      <c r="S231" s="350">
        <f t="shared" si="148"/>
        <v>1</v>
      </c>
      <c r="T231" s="350">
        <f t="shared" si="148"/>
        <v>1</v>
      </c>
      <c r="U231" s="350">
        <f t="shared" si="148"/>
        <v>1</v>
      </c>
      <c r="V231" s="350">
        <f t="shared" si="148"/>
        <v>1</v>
      </c>
      <c r="W231" s="350">
        <f t="shared" si="148"/>
        <v>1</v>
      </c>
      <c r="X231" s="350">
        <f t="shared" si="148"/>
        <v>1</v>
      </c>
      <c r="Y231" s="350">
        <f t="shared" si="148"/>
        <v>1</v>
      </c>
      <c r="Z231" s="350">
        <f t="shared" si="148"/>
        <v>1</v>
      </c>
      <c r="AA231" s="350">
        <f t="shared" si="148"/>
        <v>1</v>
      </c>
      <c r="AB231" s="350">
        <f t="shared" si="148"/>
        <v>1</v>
      </c>
      <c r="AC231" s="350">
        <f t="shared" si="148"/>
        <v>1</v>
      </c>
      <c r="AD231" s="350">
        <f t="shared" si="148"/>
        <v>1</v>
      </c>
      <c r="AE231" s="350">
        <f t="shared" si="148"/>
        <v>1</v>
      </c>
      <c r="AF231" s="350">
        <f t="shared" si="148"/>
        <v>1</v>
      </c>
      <c r="AG231" s="350">
        <f t="shared" si="148"/>
        <v>1</v>
      </c>
      <c r="AH231" s="350">
        <f t="shared" si="148"/>
        <v>1</v>
      </c>
      <c r="AI231" s="350">
        <f t="shared" si="148"/>
        <v>1</v>
      </c>
      <c r="AJ231" s="350">
        <f t="shared" si="148"/>
        <v>1</v>
      </c>
      <c r="AK231" s="350">
        <f t="shared" si="148"/>
        <v>1</v>
      </c>
      <c r="AL231" s="350">
        <f t="shared" si="148"/>
        <v>1</v>
      </c>
      <c r="AM231" s="350">
        <f t="shared" si="148"/>
        <v>1</v>
      </c>
    </row>
    <row r="232" spans="1:39" s="259" customFormat="1" hidden="1" outlineLevel="1" x14ac:dyDescent="0.25">
      <c r="B232" s="259" t="str">
        <f t="shared" si="144"/>
        <v>DagrenErhverv</v>
      </c>
      <c r="C232" s="260" t="s">
        <v>243</v>
      </c>
      <c r="D232" s="350">
        <f t="shared" si="145"/>
        <v>1</v>
      </c>
      <c r="E232" s="350">
        <f t="shared" si="148"/>
        <v>1</v>
      </c>
      <c r="F232" s="350">
        <f t="shared" si="148"/>
        <v>1</v>
      </c>
      <c r="G232" s="350">
        <f t="shared" si="148"/>
        <v>1</v>
      </c>
      <c r="H232" s="350">
        <f t="shared" si="148"/>
        <v>1</v>
      </c>
      <c r="I232" s="350">
        <f t="shared" si="148"/>
        <v>1</v>
      </c>
      <c r="J232" s="350">
        <f t="shared" si="148"/>
        <v>1</v>
      </c>
      <c r="K232" s="350">
        <f t="shared" si="148"/>
        <v>1</v>
      </c>
      <c r="L232" s="350">
        <f t="shared" si="148"/>
        <v>1</v>
      </c>
      <c r="M232" s="350">
        <f t="shared" si="148"/>
        <v>1</v>
      </c>
      <c r="N232" s="350">
        <f t="shared" si="148"/>
        <v>1</v>
      </c>
      <c r="O232" s="350">
        <f t="shared" si="148"/>
        <v>1</v>
      </c>
      <c r="P232" s="350">
        <f t="shared" si="148"/>
        <v>1</v>
      </c>
      <c r="Q232" s="350">
        <f t="shared" si="148"/>
        <v>1</v>
      </c>
      <c r="R232" s="350">
        <f t="shared" si="148"/>
        <v>1</v>
      </c>
      <c r="S232" s="350">
        <f t="shared" si="148"/>
        <v>1</v>
      </c>
      <c r="T232" s="350">
        <f t="shared" si="148"/>
        <v>1</v>
      </c>
      <c r="U232" s="350">
        <f t="shared" si="148"/>
        <v>1</v>
      </c>
      <c r="V232" s="350">
        <f t="shared" si="148"/>
        <v>1</v>
      </c>
      <c r="W232" s="350">
        <f t="shared" si="148"/>
        <v>1</v>
      </c>
      <c r="X232" s="350">
        <f t="shared" si="148"/>
        <v>1</v>
      </c>
      <c r="Y232" s="350">
        <f t="shared" si="148"/>
        <v>1</v>
      </c>
      <c r="Z232" s="350">
        <f t="shared" si="148"/>
        <v>1</v>
      </c>
      <c r="AA232" s="350">
        <f t="shared" si="148"/>
        <v>1</v>
      </c>
      <c r="AB232" s="350">
        <f t="shared" si="148"/>
        <v>1</v>
      </c>
      <c r="AC232" s="350">
        <f t="shared" si="148"/>
        <v>1</v>
      </c>
      <c r="AD232" s="350">
        <f t="shared" si="148"/>
        <v>1</v>
      </c>
      <c r="AE232" s="350">
        <f t="shared" si="148"/>
        <v>1</v>
      </c>
      <c r="AF232" s="350">
        <f t="shared" si="148"/>
        <v>1</v>
      </c>
      <c r="AG232" s="350">
        <f t="shared" si="148"/>
        <v>1</v>
      </c>
      <c r="AH232" s="350">
        <f t="shared" si="148"/>
        <v>1</v>
      </c>
      <c r="AI232" s="350">
        <f t="shared" si="148"/>
        <v>1</v>
      </c>
      <c r="AJ232" s="350">
        <f t="shared" si="148"/>
        <v>1</v>
      </c>
      <c r="AK232" s="350">
        <f t="shared" si="148"/>
        <v>1</v>
      </c>
      <c r="AL232" s="350">
        <f t="shared" si="148"/>
        <v>1</v>
      </c>
      <c r="AM232" s="350">
        <f t="shared" si="148"/>
        <v>1</v>
      </c>
    </row>
    <row r="233" spans="1:39" s="259" customFormat="1" hidden="1" outlineLevel="1" x14ac:dyDescent="0.25">
      <c r="B233" s="259" t="str">
        <f t="shared" si="144"/>
        <v>HandelKontor</v>
      </c>
      <c r="C233" s="260" t="s">
        <v>243</v>
      </c>
      <c r="D233" s="350">
        <f t="shared" si="145"/>
        <v>1</v>
      </c>
      <c r="E233" s="350">
        <f t="shared" si="148"/>
        <v>1</v>
      </c>
      <c r="F233" s="350">
        <f t="shared" si="148"/>
        <v>1</v>
      </c>
      <c r="G233" s="350">
        <f t="shared" si="148"/>
        <v>1</v>
      </c>
      <c r="H233" s="350">
        <f t="shared" si="148"/>
        <v>1</v>
      </c>
      <c r="I233" s="350">
        <f t="shared" si="148"/>
        <v>1</v>
      </c>
      <c r="J233" s="350">
        <f t="shared" si="148"/>
        <v>1</v>
      </c>
      <c r="K233" s="350">
        <f t="shared" si="148"/>
        <v>1</v>
      </c>
      <c r="L233" s="350">
        <f t="shared" si="148"/>
        <v>1</v>
      </c>
      <c r="M233" s="350">
        <f t="shared" si="148"/>
        <v>1</v>
      </c>
      <c r="N233" s="350">
        <f t="shared" si="148"/>
        <v>1</v>
      </c>
      <c r="O233" s="350">
        <f t="shared" si="148"/>
        <v>1</v>
      </c>
      <c r="P233" s="350">
        <f t="shared" si="148"/>
        <v>1</v>
      </c>
      <c r="Q233" s="350">
        <f t="shared" si="148"/>
        <v>1</v>
      </c>
      <c r="R233" s="350">
        <f t="shared" si="148"/>
        <v>1</v>
      </c>
      <c r="S233" s="350">
        <f t="shared" si="148"/>
        <v>1</v>
      </c>
      <c r="T233" s="350">
        <f t="shared" si="148"/>
        <v>1</v>
      </c>
      <c r="U233" s="350">
        <f t="shared" si="148"/>
        <v>1</v>
      </c>
      <c r="V233" s="350">
        <f t="shared" si="148"/>
        <v>1</v>
      </c>
      <c r="W233" s="350">
        <f t="shared" si="148"/>
        <v>1</v>
      </c>
      <c r="X233" s="350">
        <f t="shared" si="148"/>
        <v>1</v>
      </c>
      <c r="Y233" s="350">
        <f t="shared" si="148"/>
        <v>1</v>
      </c>
      <c r="Z233" s="350">
        <f t="shared" si="148"/>
        <v>1</v>
      </c>
      <c r="AA233" s="350">
        <f t="shared" si="148"/>
        <v>1</v>
      </c>
      <c r="AB233" s="350">
        <f t="shared" si="148"/>
        <v>1</v>
      </c>
      <c r="AC233" s="350">
        <f t="shared" si="148"/>
        <v>1</v>
      </c>
      <c r="AD233" s="350">
        <f t="shared" si="148"/>
        <v>1</v>
      </c>
      <c r="AE233" s="350">
        <f t="shared" si="148"/>
        <v>1</v>
      </c>
      <c r="AF233" s="350">
        <f t="shared" si="148"/>
        <v>1</v>
      </c>
      <c r="AG233" s="350">
        <f t="shared" si="148"/>
        <v>1</v>
      </c>
      <c r="AH233" s="350">
        <f t="shared" si="148"/>
        <v>1</v>
      </c>
      <c r="AI233" s="350">
        <f t="shared" si="148"/>
        <v>1</v>
      </c>
      <c r="AJ233" s="350">
        <f t="shared" si="148"/>
        <v>1</v>
      </c>
      <c r="AK233" s="350">
        <f t="shared" si="148"/>
        <v>1</v>
      </c>
      <c r="AL233" s="350">
        <f t="shared" si="148"/>
        <v>1</v>
      </c>
      <c r="AM233" s="350">
        <f t="shared" si="148"/>
        <v>1</v>
      </c>
    </row>
    <row r="234" spans="1:39" s="259" customFormat="1" hidden="1" outlineLevel="1" x14ac:dyDescent="0.25">
      <c r="B234" s="259" t="str">
        <f t="shared" si="144"/>
        <v>Privat</v>
      </c>
      <c r="C234" s="260" t="s">
        <v>243</v>
      </c>
      <c r="D234" s="350">
        <f t="shared" si="145"/>
        <v>1</v>
      </c>
      <c r="E234" s="350">
        <f t="shared" si="148"/>
        <v>1</v>
      </c>
      <c r="F234" s="350">
        <f t="shared" si="148"/>
        <v>1</v>
      </c>
      <c r="G234" s="350">
        <f t="shared" si="148"/>
        <v>1</v>
      </c>
      <c r="H234" s="350">
        <f t="shared" si="148"/>
        <v>1</v>
      </c>
      <c r="I234" s="350">
        <f t="shared" si="148"/>
        <v>1</v>
      </c>
      <c r="J234" s="350">
        <f t="shared" si="148"/>
        <v>1</v>
      </c>
      <c r="K234" s="350">
        <f t="shared" si="148"/>
        <v>1</v>
      </c>
      <c r="L234" s="350">
        <f t="shared" si="148"/>
        <v>1</v>
      </c>
      <c r="M234" s="350">
        <f t="shared" si="148"/>
        <v>1</v>
      </c>
      <c r="N234" s="350">
        <f t="shared" si="148"/>
        <v>1</v>
      </c>
      <c r="O234" s="350">
        <f t="shared" si="148"/>
        <v>1</v>
      </c>
      <c r="P234" s="350">
        <f t="shared" si="148"/>
        <v>1</v>
      </c>
      <c r="Q234" s="350">
        <f t="shared" si="148"/>
        <v>1</v>
      </c>
      <c r="R234" s="350">
        <f t="shared" si="148"/>
        <v>1</v>
      </c>
      <c r="S234" s="350">
        <f t="shared" si="148"/>
        <v>1</v>
      </c>
      <c r="T234" s="350">
        <f t="shared" si="148"/>
        <v>1</v>
      </c>
      <c r="U234" s="350">
        <f t="shared" si="148"/>
        <v>1</v>
      </c>
      <c r="V234" s="350">
        <f t="shared" si="148"/>
        <v>1</v>
      </c>
      <c r="W234" s="350">
        <f t="shared" si="148"/>
        <v>1</v>
      </c>
      <c r="X234" s="350">
        <f t="shared" si="148"/>
        <v>1</v>
      </c>
      <c r="Y234" s="350">
        <f t="shared" si="148"/>
        <v>1</v>
      </c>
      <c r="Z234" s="350">
        <f t="shared" si="148"/>
        <v>1</v>
      </c>
      <c r="AA234" s="350">
        <f t="shared" si="148"/>
        <v>1</v>
      </c>
      <c r="AB234" s="350">
        <f t="shared" si="148"/>
        <v>1</v>
      </c>
      <c r="AC234" s="350">
        <f t="shared" si="148"/>
        <v>1</v>
      </c>
      <c r="AD234" s="350">
        <f t="shared" si="148"/>
        <v>1</v>
      </c>
      <c r="AE234" s="350">
        <f t="shared" si="148"/>
        <v>1</v>
      </c>
      <c r="AF234" s="350">
        <f t="shared" si="148"/>
        <v>1</v>
      </c>
      <c r="AG234" s="350">
        <f t="shared" si="148"/>
        <v>1</v>
      </c>
      <c r="AH234" s="350">
        <f t="shared" si="148"/>
        <v>1</v>
      </c>
      <c r="AI234" s="350">
        <f t="shared" si="148"/>
        <v>1</v>
      </c>
      <c r="AJ234" s="350">
        <f t="shared" si="148"/>
        <v>1</v>
      </c>
      <c r="AK234" s="350">
        <f t="shared" si="148"/>
        <v>1</v>
      </c>
      <c r="AL234" s="350">
        <f t="shared" si="148"/>
        <v>1</v>
      </c>
      <c r="AM234" s="350">
        <f t="shared" si="148"/>
        <v>1</v>
      </c>
    </row>
    <row r="235" spans="1:39" s="259" customFormat="1" hidden="1" outlineLevel="1" x14ac:dyDescent="0.25">
      <c r="B235" s="259" t="str">
        <f t="shared" si="144"/>
        <v>TyskRest</v>
      </c>
      <c r="C235" s="260" t="s">
        <v>243</v>
      </c>
      <c r="D235" s="350">
        <f t="shared" si="145"/>
        <v>1</v>
      </c>
      <c r="E235" s="350">
        <f t="shared" si="148"/>
        <v>1</v>
      </c>
      <c r="F235" s="350">
        <f t="shared" si="148"/>
        <v>1</v>
      </c>
      <c r="G235" s="350">
        <f t="shared" si="148"/>
        <v>1</v>
      </c>
      <c r="H235" s="350">
        <f t="shared" si="148"/>
        <v>1</v>
      </c>
      <c r="I235" s="350">
        <f t="shared" si="148"/>
        <v>1</v>
      </c>
      <c r="J235" s="350">
        <f t="shared" si="148"/>
        <v>1</v>
      </c>
      <c r="K235" s="350">
        <f t="shared" si="148"/>
        <v>1</v>
      </c>
      <c r="L235" s="350">
        <f t="shared" si="148"/>
        <v>1</v>
      </c>
      <c r="M235" s="350">
        <f t="shared" si="148"/>
        <v>1</v>
      </c>
      <c r="N235" s="350">
        <f t="shared" si="148"/>
        <v>1</v>
      </c>
      <c r="O235" s="350">
        <f t="shared" si="148"/>
        <v>1</v>
      </c>
      <c r="P235" s="350">
        <f t="shared" si="148"/>
        <v>1</v>
      </c>
      <c r="Q235" s="350">
        <f t="shared" si="148"/>
        <v>1</v>
      </c>
      <c r="R235" s="350">
        <f t="shared" si="148"/>
        <v>1</v>
      </c>
      <c r="S235" s="350">
        <f t="shared" si="148"/>
        <v>1</v>
      </c>
      <c r="T235" s="350">
        <f t="shared" si="148"/>
        <v>1</v>
      </c>
      <c r="U235" s="350">
        <f t="shared" si="148"/>
        <v>1</v>
      </c>
      <c r="V235" s="350">
        <f t="shared" si="148"/>
        <v>1</v>
      </c>
      <c r="W235" s="350">
        <f t="shared" si="148"/>
        <v>1</v>
      </c>
      <c r="X235" s="350">
        <f t="shared" si="148"/>
        <v>1</v>
      </c>
      <c r="Y235" s="350">
        <f t="shared" si="148"/>
        <v>1</v>
      </c>
      <c r="Z235" s="350">
        <f t="shared" si="148"/>
        <v>1</v>
      </c>
      <c r="AA235" s="350">
        <f t="shared" si="148"/>
        <v>1</v>
      </c>
      <c r="AB235" s="350">
        <f t="shared" si="148"/>
        <v>1</v>
      </c>
      <c r="AC235" s="350">
        <f t="shared" si="148"/>
        <v>1</v>
      </c>
      <c r="AD235" s="350">
        <f t="shared" si="148"/>
        <v>1</v>
      </c>
      <c r="AE235" s="350">
        <f t="shared" si="148"/>
        <v>1</v>
      </c>
      <c r="AF235" s="350">
        <f t="shared" si="148"/>
        <v>1</v>
      </c>
      <c r="AG235" s="350">
        <f t="shared" si="148"/>
        <v>1</v>
      </c>
      <c r="AH235" s="350">
        <f t="shared" si="148"/>
        <v>1</v>
      </c>
      <c r="AI235" s="350">
        <f t="shared" si="148"/>
        <v>1</v>
      </c>
      <c r="AJ235" s="350">
        <f t="shared" si="148"/>
        <v>1</v>
      </c>
      <c r="AK235" s="350">
        <f t="shared" si="148"/>
        <v>1</v>
      </c>
      <c r="AL235" s="350">
        <f t="shared" si="148"/>
        <v>1</v>
      </c>
      <c r="AM235" s="350">
        <f t="shared" si="148"/>
        <v>1</v>
      </c>
    </row>
    <row r="236" spans="1:39" s="259" customFormat="1" hidden="1" outlineLevel="1" x14ac:dyDescent="0.25">
      <c r="B236" s="259" t="str">
        <f t="shared" si="144"/>
        <v>PolskRest</v>
      </c>
      <c r="C236" s="260" t="s">
        <v>243</v>
      </c>
      <c r="D236" s="350">
        <f t="shared" si="145"/>
        <v>1</v>
      </c>
      <c r="E236" s="350">
        <f t="shared" ref="E236:AM243" si="149">$K20</f>
        <v>1</v>
      </c>
      <c r="F236" s="350">
        <f t="shared" si="149"/>
        <v>1</v>
      </c>
      <c r="G236" s="350">
        <f t="shared" si="149"/>
        <v>1</v>
      </c>
      <c r="H236" s="350">
        <f t="shared" si="149"/>
        <v>1</v>
      </c>
      <c r="I236" s="350">
        <f t="shared" si="149"/>
        <v>1</v>
      </c>
      <c r="J236" s="350">
        <f t="shared" si="149"/>
        <v>1</v>
      </c>
      <c r="K236" s="350">
        <f t="shared" si="149"/>
        <v>1</v>
      </c>
      <c r="L236" s="350">
        <f t="shared" si="149"/>
        <v>1</v>
      </c>
      <c r="M236" s="350">
        <f t="shared" si="149"/>
        <v>1</v>
      </c>
      <c r="N236" s="350">
        <f t="shared" si="149"/>
        <v>1</v>
      </c>
      <c r="O236" s="350">
        <f t="shared" si="149"/>
        <v>1</v>
      </c>
      <c r="P236" s="350">
        <f t="shared" si="149"/>
        <v>1</v>
      </c>
      <c r="Q236" s="350">
        <f t="shared" si="149"/>
        <v>1</v>
      </c>
      <c r="R236" s="350">
        <f t="shared" si="149"/>
        <v>1</v>
      </c>
      <c r="S236" s="350">
        <f t="shared" si="149"/>
        <v>1</v>
      </c>
      <c r="T236" s="350">
        <f t="shared" si="149"/>
        <v>1</v>
      </c>
      <c r="U236" s="350">
        <f t="shared" si="149"/>
        <v>1</v>
      </c>
      <c r="V236" s="350">
        <f t="shared" si="149"/>
        <v>1</v>
      </c>
      <c r="W236" s="350">
        <f t="shared" si="149"/>
        <v>1</v>
      </c>
      <c r="X236" s="350">
        <f t="shared" si="149"/>
        <v>1</v>
      </c>
      <c r="Y236" s="350">
        <f t="shared" si="149"/>
        <v>1</v>
      </c>
      <c r="Z236" s="350">
        <f t="shared" si="149"/>
        <v>1</v>
      </c>
      <c r="AA236" s="350">
        <f t="shared" si="149"/>
        <v>1</v>
      </c>
      <c r="AB236" s="350">
        <f t="shared" si="149"/>
        <v>1</v>
      </c>
      <c r="AC236" s="350">
        <f t="shared" si="149"/>
        <v>1</v>
      </c>
      <c r="AD236" s="350">
        <f t="shared" si="149"/>
        <v>1</v>
      </c>
      <c r="AE236" s="350">
        <f t="shared" si="149"/>
        <v>1</v>
      </c>
      <c r="AF236" s="350">
        <f t="shared" si="149"/>
        <v>1</v>
      </c>
      <c r="AG236" s="350">
        <f t="shared" si="149"/>
        <v>1</v>
      </c>
      <c r="AH236" s="350">
        <f t="shared" si="149"/>
        <v>1</v>
      </c>
      <c r="AI236" s="350">
        <f t="shared" si="149"/>
        <v>1</v>
      </c>
      <c r="AJ236" s="350">
        <f t="shared" si="149"/>
        <v>1</v>
      </c>
      <c r="AK236" s="350">
        <f t="shared" si="149"/>
        <v>1</v>
      </c>
      <c r="AL236" s="350">
        <f t="shared" si="149"/>
        <v>1</v>
      </c>
      <c r="AM236" s="350">
        <f t="shared" si="149"/>
        <v>1</v>
      </c>
    </row>
    <row r="237" spans="1:39" s="259" customFormat="1" hidden="1" outlineLevel="1" x14ac:dyDescent="0.25">
      <c r="B237" s="259" t="str">
        <f t="shared" si="144"/>
        <v>PcbTrae</v>
      </c>
      <c r="C237" s="260" t="s">
        <v>243</v>
      </c>
      <c r="D237" s="350">
        <f t="shared" si="145"/>
        <v>1</v>
      </c>
      <c r="E237" s="350">
        <f t="shared" si="149"/>
        <v>1</v>
      </c>
      <c r="F237" s="350">
        <f t="shared" si="149"/>
        <v>1</v>
      </c>
      <c r="G237" s="350">
        <f t="shared" si="149"/>
        <v>1</v>
      </c>
      <c r="H237" s="350">
        <f t="shared" si="149"/>
        <v>1</v>
      </c>
      <c r="I237" s="350">
        <f t="shared" si="149"/>
        <v>1</v>
      </c>
      <c r="J237" s="350">
        <f t="shared" si="149"/>
        <v>1</v>
      </c>
      <c r="K237" s="350">
        <f t="shared" si="149"/>
        <v>1</v>
      </c>
      <c r="L237" s="350">
        <f t="shared" si="149"/>
        <v>1</v>
      </c>
      <c r="M237" s="350">
        <f t="shared" si="149"/>
        <v>1</v>
      </c>
      <c r="N237" s="350">
        <f t="shared" si="149"/>
        <v>1</v>
      </c>
      <c r="O237" s="350">
        <f t="shared" si="149"/>
        <v>1</v>
      </c>
      <c r="P237" s="350">
        <f t="shared" si="149"/>
        <v>1</v>
      </c>
      <c r="Q237" s="350">
        <f t="shared" si="149"/>
        <v>1</v>
      </c>
      <c r="R237" s="350">
        <f t="shared" si="149"/>
        <v>1</v>
      </c>
      <c r="S237" s="350">
        <f t="shared" si="149"/>
        <v>1</v>
      </c>
      <c r="T237" s="350">
        <f t="shared" si="149"/>
        <v>1</v>
      </c>
      <c r="U237" s="350">
        <f t="shared" si="149"/>
        <v>1</v>
      </c>
      <c r="V237" s="350">
        <f t="shared" si="149"/>
        <v>1</v>
      </c>
      <c r="W237" s="350">
        <f t="shared" si="149"/>
        <v>1</v>
      </c>
      <c r="X237" s="350">
        <f t="shared" si="149"/>
        <v>1</v>
      </c>
      <c r="Y237" s="350">
        <f t="shared" si="149"/>
        <v>1</v>
      </c>
      <c r="Z237" s="350">
        <f t="shared" si="149"/>
        <v>1</v>
      </c>
      <c r="AA237" s="350">
        <f t="shared" si="149"/>
        <v>1</v>
      </c>
      <c r="AB237" s="350">
        <f t="shared" si="149"/>
        <v>1</v>
      </c>
      <c r="AC237" s="350">
        <f t="shared" si="149"/>
        <v>1</v>
      </c>
      <c r="AD237" s="350">
        <f t="shared" si="149"/>
        <v>1</v>
      </c>
      <c r="AE237" s="350">
        <f t="shared" si="149"/>
        <v>1</v>
      </c>
      <c r="AF237" s="350">
        <f t="shared" si="149"/>
        <v>1</v>
      </c>
      <c r="AG237" s="350">
        <f t="shared" si="149"/>
        <v>1</v>
      </c>
      <c r="AH237" s="350">
        <f t="shared" si="149"/>
        <v>1</v>
      </c>
      <c r="AI237" s="350">
        <f t="shared" si="149"/>
        <v>1</v>
      </c>
      <c r="AJ237" s="350">
        <f t="shared" si="149"/>
        <v>1</v>
      </c>
      <c r="AK237" s="350">
        <f t="shared" si="149"/>
        <v>1</v>
      </c>
      <c r="AL237" s="350">
        <f t="shared" si="149"/>
        <v>1</v>
      </c>
      <c r="AM237" s="350">
        <f t="shared" si="149"/>
        <v>1</v>
      </c>
    </row>
    <row r="238" spans="1:39" s="259" customFormat="1" hidden="1" outlineLevel="1" x14ac:dyDescent="0.25">
      <c r="B238" s="259" t="str">
        <f t="shared" si="144"/>
        <v>TraeRekv</v>
      </c>
      <c r="C238" s="260" t="s">
        <v>243</v>
      </c>
      <c r="D238" s="350">
        <f t="shared" si="145"/>
        <v>1</v>
      </c>
      <c r="E238" s="350">
        <f t="shared" si="149"/>
        <v>1</v>
      </c>
      <c r="F238" s="350">
        <f t="shared" si="149"/>
        <v>1</v>
      </c>
      <c r="G238" s="350">
        <f t="shared" si="149"/>
        <v>1</v>
      </c>
      <c r="H238" s="350">
        <f t="shared" si="149"/>
        <v>1</v>
      </c>
      <c r="I238" s="350">
        <f t="shared" si="149"/>
        <v>1</v>
      </c>
      <c r="J238" s="350">
        <f t="shared" si="149"/>
        <v>1</v>
      </c>
      <c r="K238" s="350">
        <f t="shared" si="149"/>
        <v>1</v>
      </c>
      <c r="L238" s="350">
        <f t="shared" si="149"/>
        <v>1</v>
      </c>
      <c r="M238" s="350">
        <f t="shared" si="149"/>
        <v>1</v>
      </c>
      <c r="N238" s="350">
        <f t="shared" si="149"/>
        <v>1</v>
      </c>
      <c r="O238" s="350">
        <f t="shared" si="149"/>
        <v>1</v>
      </c>
      <c r="P238" s="350">
        <f t="shared" si="149"/>
        <v>1</v>
      </c>
      <c r="Q238" s="350">
        <f t="shared" si="149"/>
        <v>1</v>
      </c>
      <c r="R238" s="350">
        <f t="shared" si="149"/>
        <v>1</v>
      </c>
      <c r="S238" s="350">
        <f t="shared" si="149"/>
        <v>1</v>
      </c>
      <c r="T238" s="350">
        <f t="shared" si="149"/>
        <v>1</v>
      </c>
      <c r="U238" s="350">
        <f t="shared" si="149"/>
        <v>1</v>
      </c>
      <c r="V238" s="350">
        <f t="shared" si="149"/>
        <v>1</v>
      </c>
      <c r="W238" s="350">
        <f t="shared" si="149"/>
        <v>1</v>
      </c>
      <c r="X238" s="350">
        <f t="shared" si="149"/>
        <v>1</v>
      </c>
      <c r="Y238" s="350">
        <f t="shared" si="149"/>
        <v>1</v>
      </c>
      <c r="Z238" s="350">
        <f t="shared" si="149"/>
        <v>1</v>
      </c>
      <c r="AA238" s="350">
        <f t="shared" si="149"/>
        <v>1</v>
      </c>
      <c r="AB238" s="350">
        <f t="shared" si="149"/>
        <v>1</v>
      </c>
      <c r="AC238" s="350">
        <f t="shared" si="149"/>
        <v>1</v>
      </c>
      <c r="AD238" s="350">
        <f t="shared" si="149"/>
        <v>1</v>
      </c>
      <c r="AE238" s="350">
        <f t="shared" si="149"/>
        <v>1</v>
      </c>
      <c r="AF238" s="350">
        <f t="shared" si="149"/>
        <v>1</v>
      </c>
      <c r="AG238" s="350">
        <f t="shared" si="149"/>
        <v>1</v>
      </c>
      <c r="AH238" s="350">
        <f t="shared" si="149"/>
        <v>1</v>
      </c>
      <c r="AI238" s="350">
        <f t="shared" si="149"/>
        <v>1</v>
      </c>
      <c r="AJ238" s="350">
        <f t="shared" si="149"/>
        <v>1</v>
      </c>
      <c r="AK238" s="350">
        <f t="shared" si="149"/>
        <v>1</v>
      </c>
      <c r="AL238" s="350">
        <f t="shared" si="149"/>
        <v>1</v>
      </c>
      <c r="AM238" s="350">
        <f t="shared" si="149"/>
        <v>1</v>
      </c>
    </row>
    <row r="239" spans="1:39" s="259" customFormat="1" hidden="1" outlineLevel="1" x14ac:dyDescent="0.25">
      <c r="B239" s="259" t="str">
        <f t="shared" si="144"/>
        <v>Halm</v>
      </c>
      <c r="C239" s="260" t="s">
        <v>243</v>
      </c>
      <c r="D239" s="350">
        <f t="shared" si="145"/>
        <v>1</v>
      </c>
      <c r="E239" s="350">
        <f t="shared" si="149"/>
        <v>1</v>
      </c>
      <c r="F239" s="350">
        <f t="shared" si="149"/>
        <v>1</v>
      </c>
      <c r="G239" s="350">
        <f t="shared" si="149"/>
        <v>1</v>
      </c>
      <c r="H239" s="350">
        <f t="shared" si="149"/>
        <v>1</v>
      </c>
      <c r="I239" s="350">
        <f t="shared" si="149"/>
        <v>1</v>
      </c>
      <c r="J239" s="350">
        <f t="shared" si="149"/>
        <v>1</v>
      </c>
      <c r="K239" s="350">
        <f t="shared" si="149"/>
        <v>1</v>
      </c>
      <c r="L239" s="350">
        <f t="shared" si="149"/>
        <v>1</v>
      </c>
      <c r="M239" s="350">
        <f t="shared" si="149"/>
        <v>1</v>
      </c>
      <c r="N239" s="350">
        <f t="shared" si="149"/>
        <v>1</v>
      </c>
      <c r="O239" s="350">
        <f t="shared" si="149"/>
        <v>1</v>
      </c>
      <c r="P239" s="350">
        <f t="shared" si="149"/>
        <v>1</v>
      </c>
      <c r="Q239" s="350">
        <f t="shared" si="149"/>
        <v>1</v>
      </c>
      <c r="R239" s="350">
        <f t="shared" si="149"/>
        <v>1</v>
      </c>
      <c r="S239" s="350">
        <f t="shared" si="149"/>
        <v>1</v>
      </c>
      <c r="T239" s="350">
        <f t="shared" si="149"/>
        <v>1</v>
      </c>
      <c r="U239" s="350">
        <f t="shared" si="149"/>
        <v>1</v>
      </c>
      <c r="V239" s="350">
        <f t="shared" si="149"/>
        <v>1</v>
      </c>
      <c r="W239" s="350">
        <f t="shared" si="149"/>
        <v>1</v>
      </c>
      <c r="X239" s="350">
        <f t="shared" si="149"/>
        <v>1</v>
      </c>
      <c r="Y239" s="350">
        <f t="shared" si="149"/>
        <v>1</v>
      </c>
      <c r="Z239" s="350">
        <f t="shared" si="149"/>
        <v>1</v>
      </c>
      <c r="AA239" s="350">
        <f t="shared" si="149"/>
        <v>1</v>
      </c>
      <c r="AB239" s="350">
        <f t="shared" si="149"/>
        <v>1</v>
      </c>
      <c r="AC239" s="350">
        <f t="shared" si="149"/>
        <v>1</v>
      </c>
      <c r="AD239" s="350">
        <f t="shared" si="149"/>
        <v>1</v>
      </c>
      <c r="AE239" s="350">
        <f t="shared" si="149"/>
        <v>1</v>
      </c>
      <c r="AF239" s="350">
        <f t="shared" si="149"/>
        <v>1</v>
      </c>
      <c r="AG239" s="350">
        <f t="shared" si="149"/>
        <v>1</v>
      </c>
      <c r="AH239" s="350">
        <f t="shared" si="149"/>
        <v>1</v>
      </c>
      <c r="AI239" s="350">
        <f t="shared" si="149"/>
        <v>1</v>
      </c>
      <c r="AJ239" s="350">
        <f t="shared" si="149"/>
        <v>1</v>
      </c>
      <c r="AK239" s="350">
        <f t="shared" si="149"/>
        <v>1</v>
      </c>
      <c r="AL239" s="350">
        <f t="shared" si="149"/>
        <v>1</v>
      </c>
      <c r="AM239" s="350">
        <f t="shared" si="149"/>
        <v>1</v>
      </c>
    </row>
    <row r="240" spans="1:39" s="259" customFormat="1" hidden="1" outlineLevel="1" x14ac:dyDescent="0.25">
      <c r="A240" s="263"/>
      <c r="B240" s="259" t="str">
        <f t="shared" si="144"/>
        <v>Pulver</v>
      </c>
      <c r="C240" s="260" t="s">
        <v>243</v>
      </c>
      <c r="D240" s="350">
        <f t="shared" si="145"/>
        <v>1</v>
      </c>
      <c r="E240" s="350">
        <f t="shared" si="149"/>
        <v>1</v>
      </c>
      <c r="F240" s="350">
        <f t="shared" si="149"/>
        <v>1</v>
      </c>
      <c r="G240" s="350">
        <f t="shared" si="149"/>
        <v>1</v>
      </c>
      <c r="H240" s="350">
        <f t="shared" si="149"/>
        <v>1</v>
      </c>
      <c r="I240" s="350">
        <f t="shared" si="149"/>
        <v>1</v>
      </c>
      <c r="J240" s="350">
        <f t="shared" si="149"/>
        <v>1</v>
      </c>
      <c r="K240" s="350">
        <f t="shared" si="149"/>
        <v>1</v>
      </c>
      <c r="L240" s="350">
        <f t="shared" si="149"/>
        <v>1</v>
      </c>
      <c r="M240" s="350">
        <f t="shared" si="149"/>
        <v>1</v>
      </c>
      <c r="N240" s="350">
        <f t="shared" si="149"/>
        <v>1</v>
      </c>
      <c r="O240" s="350">
        <f t="shared" si="149"/>
        <v>1</v>
      </c>
      <c r="P240" s="350">
        <f t="shared" si="149"/>
        <v>1</v>
      </c>
      <c r="Q240" s="350">
        <f t="shared" si="149"/>
        <v>1</v>
      </c>
      <c r="R240" s="350">
        <f t="shared" si="149"/>
        <v>1</v>
      </c>
      <c r="S240" s="350">
        <f t="shared" si="149"/>
        <v>1</v>
      </c>
      <c r="T240" s="350">
        <f t="shared" si="149"/>
        <v>1</v>
      </c>
      <c r="U240" s="350">
        <f t="shared" si="149"/>
        <v>1</v>
      </c>
      <c r="V240" s="350">
        <f t="shared" si="149"/>
        <v>1</v>
      </c>
      <c r="W240" s="350">
        <f t="shared" si="149"/>
        <v>1</v>
      </c>
      <c r="X240" s="350">
        <f t="shared" si="149"/>
        <v>1</v>
      </c>
      <c r="Y240" s="350">
        <f t="shared" si="149"/>
        <v>1</v>
      </c>
      <c r="Z240" s="350">
        <f t="shared" si="149"/>
        <v>1</v>
      </c>
      <c r="AA240" s="350">
        <f t="shared" si="149"/>
        <v>1</v>
      </c>
      <c r="AB240" s="350">
        <f t="shared" si="149"/>
        <v>1</v>
      </c>
      <c r="AC240" s="350">
        <f t="shared" si="149"/>
        <v>1</v>
      </c>
      <c r="AD240" s="350">
        <f t="shared" si="149"/>
        <v>1</v>
      </c>
      <c r="AE240" s="350">
        <f t="shared" si="149"/>
        <v>1</v>
      </c>
      <c r="AF240" s="350">
        <f t="shared" si="149"/>
        <v>1</v>
      </c>
      <c r="AG240" s="350">
        <f t="shared" si="149"/>
        <v>1</v>
      </c>
      <c r="AH240" s="350">
        <f t="shared" si="149"/>
        <v>1</v>
      </c>
      <c r="AI240" s="350">
        <f t="shared" si="149"/>
        <v>1</v>
      </c>
      <c r="AJ240" s="350">
        <f t="shared" si="149"/>
        <v>1</v>
      </c>
      <c r="AK240" s="350">
        <f t="shared" si="149"/>
        <v>1</v>
      </c>
      <c r="AL240" s="350">
        <f t="shared" si="149"/>
        <v>1</v>
      </c>
      <c r="AM240" s="350">
        <f t="shared" si="149"/>
        <v>1</v>
      </c>
    </row>
    <row r="241" spans="1:40" s="259" customFormat="1" hidden="1" outlineLevel="1" x14ac:dyDescent="0.25">
      <c r="A241" s="263"/>
      <c r="B241" s="259" t="str">
        <f t="shared" si="144"/>
        <v>FlisAffald</v>
      </c>
      <c r="C241" s="260" t="s">
        <v>243</v>
      </c>
      <c r="D241" s="350">
        <f t="shared" si="145"/>
        <v>1</v>
      </c>
      <c r="E241" s="350">
        <f t="shared" si="149"/>
        <v>1</v>
      </c>
      <c r="F241" s="350">
        <f t="shared" si="149"/>
        <v>1</v>
      </c>
      <c r="G241" s="350">
        <f t="shared" si="149"/>
        <v>1</v>
      </c>
      <c r="H241" s="350">
        <f t="shared" si="149"/>
        <v>1</v>
      </c>
      <c r="I241" s="350">
        <f t="shared" si="149"/>
        <v>1</v>
      </c>
      <c r="J241" s="350">
        <f t="shared" si="149"/>
        <v>1</v>
      </c>
      <c r="K241" s="350">
        <f t="shared" si="149"/>
        <v>1</v>
      </c>
      <c r="L241" s="350">
        <f t="shared" si="149"/>
        <v>1</v>
      </c>
      <c r="M241" s="350">
        <f t="shared" si="149"/>
        <v>1</v>
      </c>
      <c r="N241" s="350">
        <f t="shared" si="149"/>
        <v>1</v>
      </c>
      <c r="O241" s="350">
        <f t="shared" si="149"/>
        <v>1</v>
      </c>
      <c r="P241" s="350">
        <f t="shared" si="149"/>
        <v>1</v>
      </c>
      <c r="Q241" s="350">
        <f t="shared" si="149"/>
        <v>1</v>
      </c>
      <c r="R241" s="350">
        <f t="shared" si="149"/>
        <v>1</v>
      </c>
      <c r="S241" s="350">
        <f t="shared" si="149"/>
        <v>1</v>
      </c>
      <c r="T241" s="350">
        <f t="shared" si="149"/>
        <v>1</v>
      </c>
      <c r="U241" s="350">
        <f t="shared" si="149"/>
        <v>1</v>
      </c>
      <c r="V241" s="350">
        <f t="shared" si="149"/>
        <v>1</v>
      </c>
      <c r="W241" s="350">
        <f t="shared" si="149"/>
        <v>1</v>
      </c>
      <c r="X241" s="350">
        <f t="shared" si="149"/>
        <v>1</v>
      </c>
      <c r="Y241" s="350">
        <f t="shared" si="149"/>
        <v>1</v>
      </c>
      <c r="Z241" s="350">
        <f t="shared" si="149"/>
        <v>1</v>
      </c>
      <c r="AA241" s="350">
        <f t="shared" si="149"/>
        <v>1</v>
      </c>
      <c r="AB241" s="350">
        <f t="shared" si="149"/>
        <v>1</v>
      </c>
      <c r="AC241" s="350">
        <f t="shared" si="149"/>
        <v>1</v>
      </c>
      <c r="AD241" s="350">
        <f t="shared" si="149"/>
        <v>1</v>
      </c>
      <c r="AE241" s="350">
        <f t="shared" si="149"/>
        <v>1</v>
      </c>
      <c r="AF241" s="350">
        <f t="shared" si="149"/>
        <v>1</v>
      </c>
      <c r="AG241" s="350">
        <f t="shared" si="149"/>
        <v>1</v>
      </c>
      <c r="AH241" s="350">
        <f t="shared" si="149"/>
        <v>1</v>
      </c>
      <c r="AI241" s="350">
        <f t="shared" si="149"/>
        <v>1</v>
      </c>
      <c r="AJ241" s="350">
        <f t="shared" si="149"/>
        <v>1</v>
      </c>
      <c r="AK241" s="350">
        <f t="shared" si="149"/>
        <v>1</v>
      </c>
      <c r="AL241" s="350">
        <f t="shared" si="149"/>
        <v>1</v>
      </c>
      <c r="AM241" s="350">
        <f t="shared" si="149"/>
        <v>1</v>
      </c>
    </row>
    <row r="242" spans="1:40" s="259" customFormat="1" hidden="1" outlineLevel="1" x14ac:dyDescent="0.25">
      <c r="A242" s="263"/>
      <c r="B242" s="259" t="str">
        <f t="shared" si="144"/>
        <v>NyAff1</v>
      </c>
      <c r="C242" s="260" t="s">
        <v>243</v>
      </c>
      <c r="D242" s="350">
        <f t="shared" si="145"/>
        <v>1</v>
      </c>
      <c r="E242" s="350">
        <f t="shared" si="149"/>
        <v>1</v>
      </c>
      <c r="F242" s="350">
        <f t="shared" si="149"/>
        <v>1</v>
      </c>
      <c r="G242" s="350">
        <f t="shared" si="149"/>
        <v>1</v>
      </c>
      <c r="H242" s="350">
        <f t="shared" si="149"/>
        <v>1</v>
      </c>
      <c r="I242" s="350">
        <f t="shared" si="149"/>
        <v>1</v>
      </c>
      <c r="J242" s="350">
        <f t="shared" si="149"/>
        <v>1</v>
      </c>
      <c r="K242" s="350">
        <f t="shared" si="149"/>
        <v>1</v>
      </c>
      <c r="L242" s="350">
        <f t="shared" si="149"/>
        <v>1</v>
      </c>
      <c r="M242" s="350">
        <f t="shared" si="149"/>
        <v>1</v>
      </c>
      <c r="N242" s="350">
        <f t="shared" si="149"/>
        <v>1</v>
      </c>
      <c r="O242" s="350">
        <f t="shared" si="149"/>
        <v>1</v>
      </c>
      <c r="P242" s="350">
        <f t="shared" si="149"/>
        <v>1</v>
      </c>
      <c r="Q242" s="350">
        <f t="shared" si="149"/>
        <v>1</v>
      </c>
      <c r="R242" s="350">
        <f t="shared" si="149"/>
        <v>1</v>
      </c>
      <c r="S242" s="350">
        <f t="shared" si="149"/>
        <v>1</v>
      </c>
      <c r="T242" s="350">
        <f t="shared" si="149"/>
        <v>1</v>
      </c>
      <c r="U242" s="350">
        <f t="shared" si="149"/>
        <v>1</v>
      </c>
      <c r="V242" s="350">
        <f t="shared" si="149"/>
        <v>1</v>
      </c>
      <c r="W242" s="350">
        <f t="shared" si="149"/>
        <v>1</v>
      </c>
      <c r="X242" s="350">
        <f t="shared" si="149"/>
        <v>1</v>
      </c>
      <c r="Y242" s="350">
        <f t="shared" si="149"/>
        <v>1</v>
      </c>
      <c r="Z242" s="350">
        <f t="shared" si="149"/>
        <v>1</v>
      </c>
      <c r="AA242" s="350">
        <f t="shared" si="149"/>
        <v>1</v>
      </c>
      <c r="AB242" s="350">
        <f t="shared" si="149"/>
        <v>1</v>
      </c>
      <c r="AC242" s="350">
        <f t="shared" si="149"/>
        <v>1</v>
      </c>
      <c r="AD242" s="350">
        <f t="shared" si="149"/>
        <v>1</v>
      </c>
      <c r="AE242" s="350">
        <f t="shared" si="149"/>
        <v>1</v>
      </c>
      <c r="AF242" s="350">
        <f t="shared" si="149"/>
        <v>1</v>
      </c>
      <c r="AG242" s="350">
        <f t="shared" si="149"/>
        <v>1</v>
      </c>
      <c r="AH242" s="350">
        <f t="shared" si="149"/>
        <v>1</v>
      </c>
      <c r="AI242" s="350">
        <f t="shared" si="149"/>
        <v>1</v>
      </c>
      <c r="AJ242" s="350">
        <f t="shared" si="149"/>
        <v>1</v>
      </c>
      <c r="AK242" s="350">
        <f t="shared" si="149"/>
        <v>1</v>
      </c>
      <c r="AL242" s="350">
        <f t="shared" si="149"/>
        <v>1</v>
      </c>
      <c r="AM242" s="350">
        <f t="shared" si="149"/>
        <v>1</v>
      </c>
    </row>
    <row r="243" spans="1:40" s="259" customFormat="1" hidden="1" outlineLevel="1" x14ac:dyDescent="0.25">
      <c r="B243" s="259" t="str">
        <f t="shared" si="144"/>
        <v>NyAff2</v>
      </c>
      <c r="C243" s="260" t="s">
        <v>243</v>
      </c>
      <c r="D243" s="350">
        <f t="shared" si="145"/>
        <v>1</v>
      </c>
      <c r="E243" s="350">
        <f t="shared" si="149"/>
        <v>1</v>
      </c>
      <c r="F243" s="350">
        <f t="shared" si="149"/>
        <v>1</v>
      </c>
      <c r="G243" s="350">
        <f t="shared" si="149"/>
        <v>1</v>
      </c>
      <c r="H243" s="350">
        <f t="shared" si="149"/>
        <v>1</v>
      </c>
      <c r="I243" s="350">
        <f t="shared" si="149"/>
        <v>1</v>
      </c>
      <c r="J243" s="350">
        <f t="shared" si="149"/>
        <v>1</v>
      </c>
      <c r="K243" s="350">
        <f t="shared" si="149"/>
        <v>1</v>
      </c>
      <c r="L243" s="350">
        <f t="shared" si="149"/>
        <v>1</v>
      </c>
      <c r="M243" s="350">
        <f t="shared" si="149"/>
        <v>1</v>
      </c>
      <c r="N243" s="350">
        <f t="shared" si="149"/>
        <v>1</v>
      </c>
      <c r="O243" s="350">
        <f t="shared" ref="E243:AM249" si="150">$K27</f>
        <v>1</v>
      </c>
      <c r="P243" s="350">
        <f t="shared" si="150"/>
        <v>1</v>
      </c>
      <c r="Q243" s="350">
        <f t="shared" si="150"/>
        <v>1</v>
      </c>
      <c r="R243" s="350">
        <f t="shared" si="150"/>
        <v>1</v>
      </c>
      <c r="S243" s="350">
        <f t="shared" si="150"/>
        <v>1</v>
      </c>
      <c r="T243" s="350">
        <f t="shared" si="150"/>
        <v>1</v>
      </c>
      <c r="U243" s="350">
        <f t="shared" si="150"/>
        <v>1</v>
      </c>
      <c r="V243" s="350">
        <f t="shared" si="150"/>
        <v>1</v>
      </c>
      <c r="W243" s="350">
        <f t="shared" si="150"/>
        <v>1</v>
      </c>
      <c r="X243" s="350">
        <f t="shared" si="150"/>
        <v>1</v>
      </c>
      <c r="Y243" s="350">
        <f t="shared" si="150"/>
        <v>1</v>
      </c>
      <c r="Z243" s="350">
        <f t="shared" si="150"/>
        <v>1</v>
      </c>
      <c r="AA243" s="350">
        <f t="shared" si="150"/>
        <v>1</v>
      </c>
      <c r="AB243" s="350">
        <f t="shared" si="150"/>
        <v>1</v>
      </c>
      <c r="AC243" s="350">
        <f t="shared" si="150"/>
        <v>1</v>
      </c>
      <c r="AD243" s="350">
        <f t="shared" si="150"/>
        <v>1</v>
      </c>
      <c r="AE243" s="350">
        <f t="shared" si="150"/>
        <v>1</v>
      </c>
      <c r="AF243" s="350">
        <f t="shared" si="150"/>
        <v>1</v>
      </c>
      <c r="AG243" s="350">
        <f t="shared" si="150"/>
        <v>1</v>
      </c>
      <c r="AH243" s="350">
        <f t="shared" si="150"/>
        <v>1</v>
      </c>
      <c r="AI243" s="350">
        <f t="shared" si="150"/>
        <v>1</v>
      </c>
      <c r="AJ243" s="350">
        <f t="shared" si="150"/>
        <v>1</v>
      </c>
      <c r="AK243" s="350">
        <f t="shared" si="150"/>
        <v>1</v>
      </c>
      <c r="AL243" s="350">
        <f t="shared" si="150"/>
        <v>1</v>
      </c>
      <c r="AM243" s="350">
        <f t="shared" si="150"/>
        <v>1</v>
      </c>
    </row>
    <row r="244" spans="1:40" s="259" customFormat="1" hidden="1" outlineLevel="1" x14ac:dyDescent="0.25">
      <c r="B244" s="259" t="str">
        <f t="shared" si="144"/>
        <v>NyAff3</v>
      </c>
      <c r="C244" s="260" t="s">
        <v>243</v>
      </c>
      <c r="D244" s="350">
        <f t="shared" si="145"/>
        <v>1</v>
      </c>
      <c r="E244" s="350">
        <f t="shared" si="150"/>
        <v>1</v>
      </c>
      <c r="F244" s="350">
        <f t="shared" si="150"/>
        <v>1</v>
      </c>
      <c r="G244" s="350">
        <f t="shared" si="150"/>
        <v>1</v>
      </c>
      <c r="H244" s="350">
        <f t="shared" si="150"/>
        <v>1</v>
      </c>
      <c r="I244" s="350">
        <f t="shared" si="150"/>
        <v>1</v>
      </c>
      <c r="J244" s="350">
        <f t="shared" si="150"/>
        <v>1</v>
      </c>
      <c r="K244" s="350">
        <f t="shared" si="150"/>
        <v>1</v>
      </c>
      <c r="L244" s="350">
        <f t="shared" si="150"/>
        <v>1</v>
      </c>
      <c r="M244" s="350">
        <f t="shared" si="150"/>
        <v>1</v>
      </c>
      <c r="N244" s="350">
        <f t="shared" si="150"/>
        <v>1</v>
      </c>
      <c r="O244" s="350">
        <f t="shared" si="150"/>
        <v>1</v>
      </c>
      <c r="P244" s="350">
        <f t="shared" si="150"/>
        <v>1</v>
      </c>
      <c r="Q244" s="350">
        <f t="shared" si="150"/>
        <v>1</v>
      </c>
      <c r="R244" s="350">
        <f t="shared" si="150"/>
        <v>1</v>
      </c>
      <c r="S244" s="350">
        <f t="shared" si="150"/>
        <v>1</v>
      </c>
      <c r="T244" s="350">
        <f t="shared" si="150"/>
        <v>1</v>
      </c>
      <c r="U244" s="350">
        <f t="shared" si="150"/>
        <v>1</v>
      </c>
      <c r="V244" s="350">
        <f t="shared" si="150"/>
        <v>1</v>
      </c>
      <c r="W244" s="350">
        <f t="shared" si="150"/>
        <v>1</v>
      </c>
      <c r="X244" s="350">
        <f t="shared" si="150"/>
        <v>1</v>
      </c>
      <c r="Y244" s="350">
        <f t="shared" si="150"/>
        <v>1</v>
      </c>
      <c r="Z244" s="350">
        <f t="shared" si="150"/>
        <v>1</v>
      </c>
      <c r="AA244" s="350">
        <f t="shared" si="150"/>
        <v>1</v>
      </c>
      <c r="AB244" s="350">
        <f t="shared" si="150"/>
        <v>1</v>
      </c>
      <c r="AC244" s="350">
        <f t="shared" si="150"/>
        <v>1</v>
      </c>
      <c r="AD244" s="350">
        <f t="shared" si="150"/>
        <v>1</v>
      </c>
      <c r="AE244" s="350">
        <f t="shared" si="150"/>
        <v>1</v>
      </c>
      <c r="AF244" s="350">
        <f t="shared" si="150"/>
        <v>1</v>
      </c>
      <c r="AG244" s="350">
        <f t="shared" si="150"/>
        <v>1</v>
      </c>
      <c r="AH244" s="350">
        <f t="shared" si="150"/>
        <v>1</v>
      </c>
      <c r="AI244" s="350">
        <f t="shared" si="150"/>
        <v>1</v>
      </c>
      <c r="AJ244" s="350">
        <f t="shared" si="150"/>
        <v>1</v>
      </c>
      <c r="AK244" s="350">
        <f t="shared" si="150"/>
        <v>1</v>
      </c>
      <c r="AL244" s="350">
        <f t="shared" si="150"/>
        <v>1</v>
      </c>
      <c r="AM244" s="350">
        <f t="shared" si="150"/>
        <v>1</v>
      </c>
    </row>
    <row r="245" spans="1:40" s="259" customFormat="1" hidden="1" outlineLevel="1" x14ac:dyDescent="0.25">
      <c r="B245" s="259" t="str">
        <f t="shared" si="144"/>
        <v>NyAff4</v>
      </c>
      <c r="C245" s="260" t="s">
        <v>243</v>
      </c>
      <c r="D245" s="350">
        <f t="shared" si="145"/>
        <v>1</v>
      </c>
      <c r="E245" s="350">
        <f t="shared" si="150"/>
        <v>1</v>
      </c>
      <c r="F245" s="350">
        <f t="shared" si="150"/>
        <v>1</v>
      </c>
      <c r="G245" s="350">
        <f t="shared" si="150"/>
        <v>1</v>
      </c>
      <c r="H245" s="350">
        <f t="shared" si="150"/>
        <v>1</v>
      </c>
      <c r="I245" s="350">
        <f t="shared" si="150"/>
        <v>1</v>
      </c>
      <c r="J245" s="350">
        <f t="shared" si="150"/>
        <v>1</v>
      </c>
      <c r="K245" s="350">
        <f t="shared" si="150"/>
        <v>1</v>
      </c>
      <c r="L245" s="350">
        <f t="shared" si="150"/>
        <v>1</v>
      </c>
      <c r="M245" s="350">
        <f t="shared" si="150"/>
        <v>1</v>
      </c>
      <c r="N245" s="350">
        <f t="shared" si="150"/>
        <v>1</v>
      </c>
      <c r="O245" s="350">
        <f t="shared" si="150"/>
        <v>1</v>
      </c>
      <c r="P245" s="350">
        <f t="shared" si="150"/>
        <v>1</v>
      </c>
      <c r="Q245" s="350">
        <f t="shared" si="150"/>
        <v>1</v>
      </c>
      <c r="R245" s="350">
        <f t="shared" si="150"/>
        <v>1</v>
      </c>
      <c r="S245" s="350">
        <f t="shared" si="150"/>
        <v>1</v>
      </c>
      <c r="T245" s="350">
        <f t="shared" si="150"/>
        <v>1</v>
      </c>
      <c r="U245" s="350">
        <f t="shared" si="150"/>
        <v>1</v>
      </c>
      <c r="V245" s="350">
        <f t="shared" si="150"/>
        <v>1</v>
      </c>
      <c r="W245" s="350">
        <f t="shared" si="150"/>
        <v>1</v>
      </c>
      <c r="X245" s="350">
        <f t="shared" si="150"/>
        <v>1</v>
      </c>
      <c r="Y245" s="350">
        <f t="shared" si="150"/>
        <v>1</v>
      </c>
      <c r="Z245" s="350">
        <f t="shared" si="150"/>
        <v>1</v>
      </c>
      <c r="AA245" s="350">
        <f t="shared" si="150"/>
        <v>1</v>
      </c>
      <c r="AB245" s="350">
        <f t="shared" si="150"/>
        <v>1</v>
      </c>
      <c r="AC245" s="350">
        <f t="shared" si="150"/>
        <v>1</v>
      </c>
      <c r="AD245" s="350">
        <f t="shared" si="150"/>
        <v>1</v>
      </c>
      <c r="AE245" s="350">
        <f t="shared" si="150"/>
        <v>1</v>
      </c>
      <c r="AF245" s="350">
        <f t="shared" si="150"/>
        <v>1</v>
      </c>
      <c r="AG245" s="350">
        <f t="shared" si="150"/>
        <v>1</v>
      </c>
      <c r="AH245" s="350">
        <f t="shared" si="150"/>
        <v>1</v>
      </c>
      <c r="AI245" s="350">
        <f t="shared" si="150"/>
        <v>1</v>
      </c>
      <c r="AJ245" s="350">
        <f t="shared" si="150"/>
        <v>1</v>
      </c>
      <c r="AK245" s="350">
        <f t="shared" si="150"/>
        <v>1</v>
      </c>
      <c r="AL245" s="350">
        <f t="shared" si="150"/>
        <v>1</v>
      </c>
      <c r="AM245" s="350">
        <f t="shared" si="150"/>
        <v>1</v>
      </c>
    </row>
    <row r="246" spans="1:40" s="259" customFormat="1" hidden="1" outlineLevel="1" x14ac:dyDescent="0.25">
      <c r="B246" s="259" t="str">
        <f t="shared" si="144"/>
        <v>NyAff5</v>
      </c>
      <c r="C246" s="260" t="s">
        <v>243</v>
      </c>
      <c r="D246" s="350">
        <f t="shared" si="145"/>
        <v>1</v>
      </c>
      <c r="E246" s="350">
        <f t="shared" si="150"/>
        <v>1</v>
      </c>
      <c r="F246" s="350">
        <f t="shared" si="150"/>
        <v>1</v>
      </c>
      <c r="G246" s="350">
        <f t="shared" si="150"/>
        <v>1</v>
      </c>
      <c r="H246" s="350">
        <f t="shared" si="150"/>
        <v>1</v>
      </c>
      <c r="I246" s="350">
        <f t="shared" si="150"/>
        <v>1</v>
      </c>
      <c r="J246" s="350">
        <f t="shared" si="150"/>
        <v>1</v>
      </c>
      <c r="K246" s="350">
        <f t="shared" si="150"/>
        <v>1</v>
      </c>
      <c r="L246" s="350">
        <f t="shared" si="150"/>
        <v>1</v>
      </c>
      <c r="M246" s="350">
        <f t="shared" si="150"/>
        <v>1</v>
      </c>
      <c r="N246" s="350">
        <f t="shared" si="150"/>
        <v>1</v>
      </c>
      <c r="O246" s="350">
        <f t="shared" si="150"/>
        <v>1</v>
      </c>
      <c r="P246" s="350">
        <f t="shared" si="150"/>
        <v>1</v>
      </c>
      <c r="Q246" s="350">
        <f t="shared" si="150"/>
        <v>1</v>
      </c>
      <c r="R246" s="350">
        <f t="shared" si="150"/>
        <v>1</v>
      </c>
      <c r="S246" s="350">
        <f t="shared" si="150"/>
        <v>1</v>
      </c>
      <c r="T246" s="350">
        <f t="shared" si="150"/>
        <v>1</v>
      </c>
      <c r="U246" s="350">
        <f t="shared" si="150"/>
        <v>1</v>
      </c>
      <c r="V246" s="350">
        <f t="shared" si="150"/>
        <v>1</v>
      </c>
      <c r="W246" s="350">
        <f t="shared" si="150"/>
        <v>1</v>
      </c>
      <c r="X246" s="350">
        <f t="shared" si="150"/>
        <v>1</v>
      </c>
      <c r="Y246" s="350">
        <f t="shared" si="150"/>
        <v>1</v>
      </c>
      <c r="Z246" s="350">
        <f t="shared" si="150"/>
        <v>1</v>
      </c>
      <c r="AA246" s="350">
        <f t="shared" si="150"/>
        <v>1</v>
      </c>
      <c r="AB246" s="350">
        <f t="shared" si="150"/>
        <v>1</v>
      </c>
      <c r="AC246" s="350">
        <f t="shared" si="150"/>
        <v>1</v>
      </c>
      <c r="AD246" s="350">
        <f t="shared" si="150"/>
        <v>1</v>
      </c>
      <c r="AE246" s="350">
        <f t="shared" si="150"/>
        <v>1</v>
      </c>
      <c r="AF246" s="350">
        <f t="shared" si="150"/>
        <v>1</v>
      </c>
      <c r="AG246" s="350">
        <f t="shared" si="150"/>
        <v>1</v>
      </c>
      <c r="AH246" s="350">
        <f t="shared" si="150"/>
        <v>1</v>
      </c>
      <c r="AI246" s="350">
        <f t="shared" si="150"/>
        <v>1</v>
      </c>
      <c r="AJ246" s="350">
        <f t="shared" si="150"/>
        <v>1</v>
      </c>
      <c r="AK246" s="350">
        <f t="shared" si="150"/>
        <v>1</v>
      </c>
      <c r="AL246" s="350">
        <f t="shared" si="150"/>
        <v>1</v>
      </c>
      <c r="AM246" s="350">
        <f t="shared" si="150"/>
        <v>1</v>
      </c>
    </row>
    <row r="247" spans="1:40" hidden="1" outlineLevel="1" x14ac:dyDescent="0.25">
      <c r="A247" s="298"/>
      <c r="B247" t="str" cm="1">
        <f t="array" ref="B247:B249">ØvrigeBrændsler</f>
        <v>Flis</v>
      </c>
      <c r="C247" s="260" t="s">
        <v>243</v>
      </c>
      <c r="D247" s="350">
        <f t="shared" si="145"/>
        <v>0</v>
      </c>
      <c r="E247" s="350">
        <f t="shared" si="150"/>
        <v>0</v>
      </c>
      <c r="F247" s="350">
        <f t="shared" si="150"/>
        <v>0</v>
      </c>
      <c r="G247" s="350">
        <f t="shared" si="150"/>
        <v>0</v>
      </c>
      <c r="H247" s="350">
        <f t="shared" si="150"/>
        <v>0</v>
      </c>
      <c r="I247" s="350">
        <f t="shared" si="150"/>
        <v>0</v>
      </c>
      <c r="J247" s="350">
        <f t="shared" si="150"/>
        <v>0</v>
      </c>
      <c r="K247" s="350">
        <f t="shared" si="150"/>
        <v>0</v>
      </c>
      <c r="L247" s="350">
        <f t="shared" si="150"/>
        <v>0</v>
      </c>
      <c r="M247" s="350">
        <f t="shared" si="150"/>
        <v>0</v>
      </c>
      <c r="N247" s="350">
        <f t="shared" si="150"/>
        <v>0</v>
      </c>
      <c r="O247" s="350">
        <f t="shared" si="150"/>
        <v>0</v>
      </c>
      <c r="P247" s="350">
        <f t="shared" si="150"/>
        <v>0</v>
      </c>
      <c r="Q247" s="350">
        <f t="shared" si="150"/>
        <v>0</v>
      </c>
      <c r="R247" s="350">
        <f t="shared" si="150"/>
        <v>0</v>
      </c>
      <c r="S247" s="350">
        <f t="shared" si="150"/>
        <v>0</v>
      </c>
      <c r="T247" s="350">
        <f t="shared" si="150"/>
        <v>0</v>
      </c>
      <c r="U247" s="350">
        <f t="shared" si="150"/>
        <v>0</v>
      </c>
      <c r="V247" s="350">
        <f t="shared" si="150"/>
        <v>0</v>
      </c>
      <c r="W247" s="350">
        <f t="shared" si="150"/>
        <v>0</v>
      </c>
      <c r="X247" s="350">
        <f t="shared" si="150"/>
        <v>0</v>
      </c>
      <c r="Y247" s="350">
        <f t="shared" si="150"/>
        <v>0</v>
      </c>
      <c r="Z247" s="350">
        <f t="shared" si="150"/>
        <v>0</v>
      </c>
      <c r="AA247" s="350">
        <f t="shared" si="150"/>
        <v>0</v>
      </c>
      <c r="AB247" s="350">
        <f t="shared" si="150"/>
        <v>0</v>
      </c>
      <c r="AC247" s="350">
        <f t="shared" si="150"/>
        <v>0</v>
      </c>
      <c r="AD247" s="350">
        <f t="shared" si="150"/>
        <v>0</v>
      </c>
      <c r="AE247" s="350">
        <f t="shared" si="150"/>
        <v>0</v>
      </c>
      <c r="AF247" s="350">
        <f t="shared" si="150"/>
        <v>0</v>
      </c>
      <c r="AG247" s="350">
        <f t="shared" si="150"/>
        <v>0</v>
      </c>
      <c r="AH247" s="350">
        <f t="shared" si="150"/>
        <v>0</v>
      </c>
      <c r="AI247" s="350">
        <f t="shared" si="150"/>
        <v>0</v>
      </c>
      <c r="AJ247" s="350">
        <f t="shared" si="150"/>
        <v>0</v>
      </c>
      <c r="AK247" s="350">
        <f t="shared" si="150"/>
        <v>0</v>
      </c>
      <c r="AL247" s="350">
        <f t="shared" si="150"/>
        <v>0</v>
      </c>
      <c r="AM247" s="350">
        <f t="shared" si="150"/>
        <v>0</v>
      </c>
    </row>
    <row r="248" spans="1:40" hidden="1" outlineLevel="1" x14ac:dyDescent="0.25">
      <c r="A248" s="299"/>
      <c r="B248" t="str">
        <v>NSvarme</v>
      </c>
      <c r="C248" s="260" t="s">
        <v>243</v>
      </c>
      <c r="D248" s="350">
        <f t="shared" si="145"/>
        <v>0</v>
      </c>
      <c r="E248" s="350">
        <f t="shared" si="150"/>
        <v>0</v>
      </c>
      <c r="F248" s="350">
        <f t="shared" si="150"/>
        <v>0</v>
      </c>
      <c r="G248" s="350">
        <f t="shared" si="150"/>
        <v>0</v>
      </c>
      <c r="H248" s="350">
        <f t="shared" si="150"/>
        <v>0</v>
      </c>
      <c r="I248" s="350">
        <f t="shared" si="150"/>
        <v>0</v>
      </c>
      <c r="J248" s="350">
        <f t="shared" si="150"/>
        <v>0</v>
      </c>
      <c r="K248" s="350">
        <f t="shared" si="150"/>
        <v>0</v>
      </c>
      <c r="L248" s="350">
        <f t="shared" si="150"/>
        <v>0</v>
      </c>
      <c r="M248" s="350">
        <f t="shared" si="150"/>
        <v>0</v>
      </c>
      <c r="N248" s="350">
        <f t="shared" si="150"/>
        <v>0</v>
      </c>
      <c r="O248" s="350">
        <f t="shared" si="150"/>
        <v>0</v>
      </c>
      <c r="P248" s="350">
        <f t="shared" si="150"/>
        <v>0</v>
      </c>
      <c r="Q248" s="350">
        <f t="shared" si="150"/>
        <v>0</v>
      </c>
      <c r="R248" s="350">
        <f t="shared" si="150"/>
        <v>0</v>
      </c>
      <c r="S248" s="350">
        <f t="shared" si="150"/>
        <v>0</v>
      </c>
      <c r="T248" s="350">
        <f t="shared" si="150"/>
        <v>0</v>
      </c>
      <c r="U248" s="350">
        <f t="shared" si="150"/>
        <v>0</v>
      </c>
      <c r="V248" s="350">
        <f t="shared" si="150"/>
        <v>0</v>
      </c>
      <c r="W248" s="350">
        <f t="shared" si="150"/>
        <v>0</v>
      </c>
      <c r="X248" s="350">
        <f t="shared" si="150"/>
        <v>0</v>
      </c>
      <c r="Y248" s="350">
        <f t="shared" si="150"/>
        <v>0</v>
      </c>
      <c r="Z248" s="350">
        <f t="shared" si="150"/>
        <v>0</v>
      </c>
      <c r="AA248" s="350">
        <f t="shared" si="150"/>
        <v>0</v>
      </c>
      <c r="AB248" s="350">
        <f t="shared" si="150"/>
        <v>0</v>
      </c>
      <c r="AC248" s="350">
        <f t="shared" si="150"/>
        <v>0</v>
      </c>
      <c r="AD248" s="350">
        <f t="shared" si="150"/>
        <v>0</v>
      </c>
      <c r="AE248" s="350">
        <f t="shared" si="150"/>
        <v>0</v>
      </c>
      <c r="AF248" s="350">
        <f t="shared" si="150"/>
        <v>0</v>
      </c>
      <c r="AG248" s="350">
        <f t="shared" si="150"/>
        <v>0</v>
      </c>
      <c r="AH248" s="350">
        <f t="shared" si="150"/>
        <v>0</v>
      </c>
      <c r="AI248" s="350">
        <f t="shared" si="150"/>
        <v>0</v>
      </c>
      <c r="AJ248" s="350">
        <f t="shared" si="150"/>
        <v>0</v>
      </c>
      <c r="AK248" s="350">
        <f t="shared" si="150"/>
        <v>0</v>
      </c>
      <c r="AL248" s="350">
        <f t="shared" si="150"/>
        <v>0</v>
      </c>
      <c r="AM248" s="350">
        <f t="shared" si="150"/>
        <v>0</v>
      </c>
    </row>
    <row r="249" spans="1:40" hidden="1" outlineLevel="1" x14ac:dyDescent="0.25">
      <c r="A249" s="299"/>
      <c r="B249" t="str">
        <v>PeakFuel</v>
      </c>
      <c r="C249" s="260" t="s">
        <v>243</v>
      </c>
      <c r="D249" s="350">
        <f t="shared" si="145"/>
        <v>0</v>
      </c>
      <c r="E249" s="350">
        <f t="shared" si="150"/>
        <v>0</v>
      </c>
      <c r="F249" s="350">
        <f t="shared" si="150"/>
        <v>0</v>
      </c>
      <c r="G249" s="350">
        <f t="shared" si="150"/>
        <v>0</v>
      </c>
      <c r="H249" s="350">
        <f t="shared" si="150"/>
        <v>0</v>
      </c>
      <c r="I249" s="350">
        <f t="shared" si="150"/>
        <v>0</v>
      </c>
      <c r="J249" s="350">
        <f t="shared" si="150"/>
        <v>0</v>
      </c>
      <c r="K249" s="350">
        <f t="shared" si="150"/>
        <v>0</v>
      </c>
      <c r="L249" s="350">
        <f t="shared" si="150"/>
        <v>0</v>
      </c>
      <c r="M249" s="350">
        <f t="shared" si="150"/>
        <v>0</v>
      </c>
      <c r="N249" s="350">
        <f t="shared" si="150"/>
        <v>0</v>
      </c>
      <c r="O249" s="350">
        <f t="shared" si="150"/>
        <v>0</v>
      </c>
      <c r="P249" s="350">
        <f t="shared" si="150"/>
        <v>0</v>
      </c>
      <c r="Q249" s="350">
        <f t="shared" si="150"/>
        <v>0</v>
      </c>
      <c r="R249" s="350">
        <f t="shared" si="150"/>
        <v>0</v>
      </c>
      <c r="S249" s="350">
        <f t="shared" si="150"/>
        <v>0</v>
      </c>
      <c r="T249" s="350">
        <f t="shared" si="150"/>
        <v>0</v>
      </c>
      <c r="U249" s="350">
        <f t="shared" si="150"/>
        <v>0</v>
      </c>
      <c r="V249" s="350">
        <f t="shared" si="150"/>
        <v>0</v>
      </c>
      <c r="W249" s="350">
        <f t="shared" si="150"/>
        <v>0</v>
      </c>
      <c r="X249" s="350">
        <f t="shared" si="150"/>
        <v>0</v>
      </c>
      <c r="Y249" s="350">
        <f t="shared" si="150"/>
        <v>0</v>
      </c>
      <c r="Z249" s="350">
        <f t="shared" si="150"/>
        <v>0</v>
      </c>
      <c r="AA249" s="350">
        <f t="shared" si="150"/>
        <v>0</v>
      </c>
      <c r="AB249" s="350">
        <f t="shared" si="150"/>
        <v>0</v>
      </c>
      <c r="AC249" s="350">
        <f t="shared" si="150"/>
        <v>0</v>
      </c>
      <c r="AD249" s="350">
        <f t="shared" si="150"/>
        <v>0</v>
      </c>
      <c r="AE249" s="350">
        <f t="shared" si="150"/>
        <v>0</v>
      </c>
      <c r="AF249" s="350">
        <f t="shared" si="150"/>
        <v>0</v>
      </c>
      <c r="AG249" s="350">
        <f t="shared" si="150"/>
        <v>0</v>
      </c>
      <c r="AH249" s="350">
        <f t="shared" si="150"/>
        <v>0</v>
      </c>
      <c r="AI249" s="350">
        <f t="shared" si="150"/>
        <v>0</v>
      </c>
      <c r="AJ249" s="350">
        <f t="shared" si="150"/>
        <v>0</v>
      </c>
      <c r="AK249" s="350">
        <f t="shared" si="150"/>
        <v>0</v>
      </c>
      <c r="AL249" s="350">
        <f t="shared" si="150"/>
        <v>0</v>
      </c>
      <c r="AM249" s="350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19" t="s">
        <v>141</v>
      </c>
      <c r="E254" s="320" t="s">
        <v>142</v>
      </c>
      <c r="F254" s="320" t="s">
        <v>143</v>
      </c>
      <c r="G254" s="320" t="s">
        <v>144</v>
      </c>
      <c r="H254" s="320" t="s">
        <v>145</v>
      </c>
      <c r="I254" s="320" t="s">
        <v>146</v>
      </c>
      <c r="J254" s="320" t="s">
        <v>147</v>
      </c>
      <c r="K254" s="320" t="s">
        <v>148</v>
      </c>
      <c r="L254" s="320" t="s">
        <v>149</v>
      </c>
      <c r="M254" s="320" t="s">
        <v>150</v>
      </c>
      <c r="N254" s="320" t="s">
        <v>151</v>
      </c>
      <c r="O254" s="320" t="s">
        <v>152</v>
      </c>
      <c r="P254" s="319" t="s">
        <v>153</v>
      </c>
      <c r="Q254" s="320" t="s">
        <v>154</v>
      </c>
      <c r="R254" s="320" t="s">
        <v>155</v>
      </c>
      <c r="S254" s="320" t="s">
        <v>156</v>
      </c>
      <c r="T254" s="320" t="s">
        <v>157</v>
      </c>
      <c r="U254" s="320" t="s">
        <v>158</v>
      </c>
      <c r="V254" s="320" t="s">
        <v>159</v>
      </c>
      <c r="W254" s="320" t="s">
        <v>160</v>
      </c>
      <c r="X254" s="320" t="s">
        <v>161</v>
      </c>
      <c r="Y254" s="320" t="s">
        <v>162</v>
      </c>
      <c r="Z254" s="320" t="s">
        <v>163</v>
      </c>
      <c r="AA254" s="320" t="s">
        <v>164</v>
      </c>
      <c r="AB254" s="319" t="s">
        <v>165</v>
      </c>
      <c r="AC254" s="320" t="s">
        <v>166</v>
      </c>
      <c r="AD254" s="320" t="s">
        <v>167</v>
      </c>
      <c r="AE254" s="320" t="s">
        <v>168</v>
      </c>
      <c r="AF254" s="320" t="s">
        <v>169</v>
      </c>
      <c r="AG254" s="320" t="s">
        <v>170</v>
      </c>
      <c r="AH254" s="320" t="s">
        <v>171</v>
      </c>
      <c r="AI254" s="320" t="s">
        <v>172</v>
      </c>
      <c r="AJ254" s="320" t="s">
        <v>173</v>
      </c>
      <c r="AK254" s="320" t="s">
        <v>174</v>
      </c>
      <c r="AL254" s="320" t="s">
        <v>175</v>
      </c>
      <c r="AM254" s="320" t="s">
        <v>176</v>
      </c>
    </row>
    <row r="255" spans="1:40" x14ac:dyDescent="0.25">
      <c r="A255" s="251"/>
      <c r="B255" s="251"/>
      <c r="C255" s="22" t="s">
        <v>66</v>
      </c>
      <c r="D255" s="321">
        <v>11626.560000000001</v>
      </c>
      <c r="E255" s="322">
        <v>9474.2799999999988</v>
      </c>
      <c r="F255" s="322">
        <v>10228.650000000001</v>
      </c>
      <c r="G255" s="322">
        <v>8992.5099999999984</v>
      </c>
      <c r="H255" s="322">
        <v>5701.99</v>
      </c>
      <c r="I255" s="322">
        <v>4842.76</v>
      </c>
      <c r="J255" s="322">
        <v>6278.33</v>
      </c>
      <c r="K255" s="322">
        <v>6279.51</v>
      </c>
      <c r="L255" s="322">
        <v>7301.25</v>
      </c>
      <c r="M255" s="322">
        <v>8538.26</v>
      </c>
      <c r="N255" s="322">
        <v>8494.76</v>
      </c>
      <c r="O255" s="323">
        <f t="shared" ref="O255:AM255" si="151">NaN</f>
        <v>-9.99</v>
      </c>
      <c r="P255" s="323">
        <f t="shared" si="151"/>
        <v>-9.99</v>
      </c>
      <c r="Q255" s="323">
        <f t="shared" si="151"/>
        <v>-9.99</v>
      </c>
      <c r="R255" s="323">
        <f t="shared" si="151"/>
        <v>-9.99</v>
      </c>
      <c r="S255" s="323">
        <f t="shared" si="151"/>
        <v>-9.99</v>
      </c>
      <c r="T255" s="323">
        <f t="shared" si="151"/>
        <v>-9.99</v>
      </c>
      <c r="U255" s="323">
        <f t="shared" si="151"/>
        <v>-9.99</v>
      </c>
      <c r="V255" s="323">
        <f t="shared" si="151"/>
        <v>-9.99</v>
      </c>
      <c r="W255" s="323">
        <f t="shared" si="151"/>
        <v>-9.99</v>
      </c>
      <c r="X255" s="323">
        <f t="shared" si="151"/>
        <v>-9.99</v>
      </c>
      <c r="Y255" s="323">
        <f t="shared" si="151"/>
        <v>-9.99</v>
      </c>
      <c r="Z255" s="323">
        <f t="shared" si="151"/>
        <v>-9.99</v>
      </c>
      <c r="AA255" s="323">
        <f t="shared" si="151"/>
        <v>-9.99</v>
      </c>
      <c r="AB255" s="323">
        <f t="shared" si="151"/>
        <v>-9.99</v>
      </c>
      <c r="AC255" s="323">
        <f t="shared" si="151"/>
        <v>-9.99</v>
      </c>
      <c r="AD255" s="323">
        <f t="shared" si="151"/>
        <v>-9.99</v>
      </c>
      <c r="AE255" s="323">
        <f t="shared" si="151"/>
        <v>-9.99</v>
      </c>
      <c r="AF255" s="323">
        <f t="shared" si="151"/>
        <v>-9.99</v>
      </c>
      <c r="AG255" s="323">
        <f t="shared" si="151"/>
        <v>-9.99</v>
      </c>
      <c r="AH255" s="323">
        <f t="shared" si="151"/>
        <v>-9.99</v>
      </c>
      <c r="AI255" s="323">
        <f t="shared" si="151"/>
        <v>-9.99</v>
      </c>
      <c r="AJ255" s="323">
        <f t="shared" si="151"/>
        <v>-9.99</v>
      </c>
      <c r="AK255" s="323">
        <f t="shared" si="151"/>
        <v>-9.99</v>
      </c>
      <c r="AL255" s="323">
        <f t="shared" si="151"/>
        <v>-9.99</v>
      </c>
      <c r="AM255" s="323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B5:F33 S5:V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X10" sqref="X10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9">
        <v>0.56999999999999995</v>
      </c>
      <c r="D2" s="280" t="s">
        <v>286</v>
      </c>
    </row>
    <row r="3" spans="1:13" x14ac:dyDescent="0.25">
      <c r="B3" s="21" t="s">
        <v>275</v>
      </c>
      <c r="C3" s="279">
        <v>0.85499999999999998</v>
      </c>
      <c r="D3" s="280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9">
        <v>0.15</v>
      </c>
      <c r="D4" s="280" t="s">
        <v>283</v>
      </c>
    </row>
    <row r="5" spans="1:13" x14ac:dyDescent="0.25">
      <c r="B5" s="21"/>
      <c r="C5" s="21"/>
      <c r="D5" s="280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81" t="s">
        <v>281</v>
      </c>
    </row>
    <row r="8" spans="1:13" x14ac:dyDescent="0.25">
      <c r="A8" s="278">
        <v>0</v>
      </c>
      <c r="B8" s="278">
        <f>$C$3-C8+$C$4</f>
        <v>1.0049999999999999</v>
      </c>
      <c r="C8" s="278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2" t="str">
        <f>IF(C8&gt;0,(B8+C8)/(1.55*C8),"")</f>
        <v/>
      </c>
    </row>
    <row r="9" spans="1:13" x14ac:dyDescent="0.25">
      <c r="A9" s="278">
        <v>5.0000000000000001E-3</v>
      </c>
      <c r="B9" s="278">
        <f t="shared" ref="B9:B28" si="0">$C$3-C9+$C$4</f>
        <v>1.0021499999999999</v>
      </c>
      <c r="C9" s="278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2">
        <f t="shared" ref="K9:K72" si="8">IF(C9&gt;0,(B9+C9)/(1.55*C9),"")</f>
        <v>227.50424448217316</v>
      </c>
    </row>
    <row r="10" spans="1:13" x14ac:dyDescent="0.25">
      <c r="A10" s="278">
        <v>0.01</v>
      </c>
      <c r="B10" s="278">
        <f t="shared" si="0"/>
        <v>0.99929999999999997</v>
      </c>
      <c r="C10" s="278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2">
        <f t="shared" si="8"/>
        <v>113.75212224108658</v>
      </c>
    </row>
    <row r="11" spans="1:13" x14ac:dyDescent="0.25">
      <c r="A11" s="278">
        <v>1.4999999999999999E-2</v>
      </c>
      <c r="B11" s="278">
        <f t="shared" si="0"/>
        <v>0.99645000000000006</v>
      </c>
      <c r="C11" s="278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2">
        <f t="shared" si="8"/>
        <v>75.834748160724402</v>
      </c>
    </row>
    <row r="12" spans="1:13" x14ac:dyDescent="0.25">
      <c r="A12" s="278">
        <v>0.02</v>
      </c>
      <c r="B12" s="278">
        <f t="shared" si="0"/>
        <v>0.99360000000000004</v>
      </c>
      <c r="C12" s="278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2">
        <f t="shared" si="8"/>
        <v>56.876061120543305</v>
      </c>
    </row>
    <row r="13" spans="1:13" x14ac:dyDescent="0.25">
      <c r="A13" s="278">
        <v>2.5000000000000001E-2</v>
      </c>
      <c r="B13" s="278">
        <f t="shared" si="0"/>
        <v>0.99075000000000002</v>
      </c>
      <c r="C13" s="278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2">
        <f t="shared" si="8"/>
        <v>45.50084889643464</v>
      </c>
    </row>
    <row r="14" spans="1:13" x14ac:dyDescent="0.25">
      <c r="A14" s="278">
        <v>0.03</v>
      </c>
      <c r="B14" s="278">
        <f t="shared" si="0"/>
        <v>0.9879</v>
      </c>
      <c r="C14" s="278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2">
        <f t="shared" si="8"/>
        <v>37.917374080362194</v>
      </c>
    </row>
    <row r="15" spans="1:13" x14ac:dyDescent="0.25">
      <c r="A15" s="278">
        <v>3.5000000000000003E-2</v>
      </c>
      <c r="B15" s="278">
        <f t="shared" si="0"/>
        <v>0.98504999999999998</v>
      </c>
      <c r="C15" s="278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2">
        <f t="shared" si="8"/>
        <v>32.500606354596165</v>
      </c>
    </row>
    <row r="16" spans="1:13" x14ac:dyDescent="0.25">
      <c r="A16" s="278">
        <v>0.04</v>
      </c>
      <c r="B16" s="278">
        <f t="shared" si="0"/>
        <v>0.98219999999999996</v>
      </c>
      <c r="C16" s="278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2">
        <f t="shared" si="8"/>
        <v>28.438030560271645</v>
      </c>
    </row>
    <row r="17" spans="1:11" x14ac:dyDescent="0.25">
      <c r="A17" s="278">
        <v>4.4999999999999998E-2</v>
      </c>
      <c r="B17" s="278">
        <f t="shared" si="0"/>
        <v>0.97935000000000005</v>
      </c>
      <c r="C17" s="278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2">
        <f t="shared" si="8"/>
        <v>25.278249386908136</v>
      </c>
    </row>
    <row r="18" spans="1:11" x14ac:dyDescent="0.25">
      <c r="A18" s="278">
        <v>0.05</v>
      </c>
      <c r="B18" s="278">
        <f t="shared" si="0"/>
        <v>0.97650000000000003</v>
      </c>
      <c r="C18" s="278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2">
        <f t="shared" si="8"/>
        <v>22.75042444821732</v>
      </c>
    </row>
    <row r="19" spans="1:11" x14ac:dyDescent="0.25">
      <c r="A19" s="278">
        <v>5.5E-2</v>
      </c>
      <c r="B19" s="278">
        <f t="shared" si="0"/>
        <v>0.97365000000000002</v>
      </c>
      <c r="C19" s="278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2">
        <f t="shared" si="8"/>
        <v>20.682204043833927</v>
      </c>
    </row>
    <row r="20" spans="1:11" x14ac:dyDescent="0.25">
      <c r="A20" s="278">
        <v>0.06</v>
      </c>
      <c r="B20" s="278">
        <f t="shared" si="0"/>
        <v>0.9708</v>
      </c>
      <c r="C20" s="278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2">
        <f t="shared" si="8"/>
        <v>18.958687040181097</v>
      </c>
    </row>
    <row r="21" spans="1:11" x14ac:dyDescent="0.25">
      <c r="A21" s="278">
        <v>6.5000000000000002E-2</v>
      </c>
      <c r="B21" s="278">
        <f t="shared" si="0"/>
        <v>0.96794999999999998</v>
      </c>
      <c r="C21" s="278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2">
        <f t="shared" si="8"/>
        <v>17.500326498628706</v>
      </c>
    </row>
    <row r="22" spans="1:11" x14ac:dyDescent="0.25">
      <c r="A22" s="278">
        <v>7.0000000000000007E-2</v>
      </c>
      <c r="B22" s="278">
        <f t="shared" si="0"/>
        <v>0.96509999999999996</v>
      </c>
      <c r="C22" s="278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2">
        <f t="shared" si="8"/>
        <v>16.250303177298083</v>
      </c>
    </row>
    <row r="23" spans="1:11" x14ac:dyDescent="0.25">
      <c r="A23" s="278">
        <v>7.4999999999999997E-2</v>
      </c>
      <c r="B23" s="278">
        <f t="shared" si="0"/>
        <v>0.96225000000000005</v>
      </c>
      <c r="C23" s="278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2">
        <f t="shared" si="8"/>
        <v>15.166949632144879</v>
      </c>
    </row>
    <row r="24" spans="1:11" x14ac:dyDescent="0.25">
      <c r="A24" s="278">
        <v>0.08</v>
      </c>
      <c r="B24" s="278">
        <f t="shared" si="0"/>
        <v>0.95940000000000003</v>
      </c>
      <c r="C24" s="278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2">
        <f t="shared" si="8"/>
        <v>14.219015280135826</v>
      </c>
    </row>
    <row r="25" spans="1:11" x14ac:dyDescent="0.25">
      <c r="A25" s="278">
        <v>8.5000000000000006E-2</v>
      </c>
      <c r="B25" s="278">
        <f t="shared" si="0"/>
        <v>0.95655000000000001</v>
      </c>
      <c r="C25" s="278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2">
        <f t="shared" si="8"/>
        <v>13.382602616598424</v>
      </c>
    </row>
    <row r="26" spans="1:11" x14ac:dyDescent="0.25">
      <c r="A26" s="278">
        <v>0.09</v>
      </c>
      <c r="B26" s="278">
        <f t="shared" si="0"/>
        <v>0.95369999999999999</v>
      </c>
      <c r="C26" s="278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2">
        <f t="shared" si="8"/>
        <v>12.639124693454066</v>
      </c>
    </row>
    <row r="27" spans="1:11" x14ac:dyDescent="0.25">
      <c r="A27" s="278">
        <v>9.5000000000000001E-2</v>
      </c>
      <c r="B27" s="278">
        <f t="shared" si="0"/>
        <v>0.95084999999999997</v>
      </c>
      <c r="C27" s="278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2">
        <f t="shared" si="8"/>
        <v>11.973907604324904</v>
      </c>
    </row>
    <row r="28" spans="1:11" x14ac:dyDescent="0.25">
      <c r="A28" s="278">
        <v>0.1</v>
      </c>
      <c r="B28" s="278">
        <f t="shared" si="0"/>
        <v>0.94800000000000006</v>
      </c>
      <c r="C28" s="278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2">
        <f t="shared" si="8"/>
        <v>11.37521222410866</v>
      </c>
    </row>
    <row r="29" spans="1:11" x14ac:dyDescent="0.25">
      <c r="A29" s="278">
        <v>0.105</v>
      </c>
      <c r="B29" s="278">
        <f t="shared" ref="B29:B88" si="9">$C$3-C29+$C$4</f>
        <v>0.94515000000000005</v>
      </c>
      <c r="C29" s="278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2">
        <f t="shared" si="8"/>
        <v>10.833535451532059</v>
      </c>
    </row>
    <row r="30" spans="1:11" x14ac:dyDescent="0.25">
      <c r="A30" s="278">
        <v>0.11</v>
      </c>
      <c r="B30" s="278">
        <f t="shared" si="9"/>
        <v>0.94230000000000003</v>
      </c>
      <c r="C30" s="278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2">
        <f t="shared" si="8"/>
        <v>10.341102021916964</v>
      </c>
    </row>
    <row r="31" spans="1:11" x14ac:dyDescent="0.25">
      <c r="A31" s="278">
        <v>0.115</v>
      </c>
      <c r="B31" s="278">
        <f t="shared" si="9"/>
        <v>0.93945000000000001</v>
      </c>
      <c r="C31" s="278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2">
        <f t="shared" si="8"/>
        <v>9.8914888905292671</v>
      </c>
    </row>
    <row r="32" spans="1:11" x14ac:dyDescent="0.25">
      <c r="A32" s="278">
        <v>0.12</v>
      </c>
      <c r="B32" s="278">
        <f t="shared" si="9"/>
        <v>0.93659999999999999</v>
      </c>
      <c r="C32" s="278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2">
        <f t="shared" si="8"/>
        <v>9.4793435200905485</v>
      </c>
    </row>
    <row r="33" spans="1:11" x14ac:dyDescent="0.25">
      <c r="A33" s="278">
        <v>0.125</v>
      </c>
      <c r="B33" s="278">
        <f t="shared" si="9"/>
        <v>0.93374999999999997</v>
      </c>
      <c r="C33" s="278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2">
        <f t="shared" si="8"/>
        <v>9.1001697792869258</v>
      </c>
    </row>
    <row r="34" spans="1:11" x14ac:dyDescent="0.25">
      <c r="A34" s="278">
        <v>0.13</v>
      </c>
      <c r="B34" s="278">
        <f t="shared" si="9"/>
        <v>0.93089999999999995</v>
      </c>
      <c r="C34" s="278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2">
        <f t="shared" si="8"/>
        <v>8.7501632493143529</v>
      </c>
    </row>
    <row r="35" spans="1:11" x14ac:dyDescent="0.25">
      <c r="A35" s="278">
        <v>0.13500000000000001</v>
      </c>
      <c r="B35" s="278">
        <f t="shared" si="9"/>
        <v>0.92805000000000004</v>
      </c>
      <c r="C35" s="278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2">
        <f t="shared" si="8"/>
        <v>8.4260831289693776</v>
      </c>
    </row>
    <row r="36" spans="1:11" x14ac:dyDescent="0.25">
      <c r="A36" s="278">
        <v>0.14000000000000001</v>
      </c>
      <c r="B36" s="278">
        <f t="shared" si="9"/>
        <v>0.92520000000000002</v>
      </c>
      <c r="C36" s="278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2">
        <f t="shared" si="8"/>
        <v>8.1251515886490431</v>
      </c>
    </row>
    <row r="37" spans="1:11" x14ac:dyDescent="0.25">
      <c r="A37" s="278">
        <v>0.14499999999999999</v>
      </c>
      <c r="B37" s="278">
        <f t="shared" si="9"/>
        <v>0.92235</v>
      </c>
      <c r="C37" s="278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2">
        <f t="shared" si="8"/>
        <v>7.8449739476611438</v>
      </c>
    </row>
    <row r="38" spans="1:11" x14ac:dyDescent="0.25">
      <c r="A38" s="278">
        <v>0.15</v>
      </c>
      <c r="B38" s="278">
        <f t="shared" si="9"/>
        <v>0.91949999999999998</v>
      </c>
      <c r="C38" s="278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2">
        <f t="shared" si="8"/>
        <v>7.5834748160724379</v>
      </c>
    </row>
    <row r="39" spans="1:11" x14ac:dyDescent="0.25">
      <c r="A39" s="278">
        <v>0.155</v>
      </c>
      <c r="B39" s="278">
        <f t="shared" si="9"/>
        <v>0.91664999999999996</v>
      </c>
      <c r="C39" s="278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2">
        <f t="shared" si="8"/>
        <v>7.3388465961991338</v>
      </c>
    </row>
    <row r="40" spans="1:11" x14ac:dyDescent="0.25">
      <c r="A40" s="278">
        <v>0.16</v>
      </c>
      <c r="B40" s="278">
        <f t="shared" si="9"/>
        <v>0.91380000000000006</v>
      </c>
      <c r="C40" s="278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2">
        <f t="shared" si="8"/>
        <v>7.1095076400679131</v>
      </c>
    </row>
    <row r="41" spans="1:11" x14ac:dyDescent="0.25">
      <c r="A41" s="278">
        <v>0.16500000000000001</v>
      </c>
      <c r="B41" s="278">
        <f t="shared" si="9"/>
        <v>0.91095000000000004</v>
      </c>
      <c r="C41" s="278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2">
        <f t="shared" si="8"/>
        <v>6.8940680146113094</v>
      </c>
    </row>
    <row r="42" spans="1:11" x14ac:dyDescent="0.25">
      <c r="A42" s="278">
        <v>0.17</v>
      </c>
      <c r="B42" s="278">
        <f t="shared" si="9"/>
        <v>0.90810000000000002</v>
      </c>
      <c r="C42" s="278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2">
        <f t="shared" si="8"/>
        <v>6.6913013082992121</v>
      </c>
    </row>
    <row r="43" spans="1:11" x14ac:dyDescent="0.25">
      <c r="A43" s="278">
        <v>0.17499999999999999</v>
      </c>
      <c r="B43" s="278">
        <f t="shared" si="9"/>
        <v>0.90525</v>
      </c>
      <c r="C43" s="278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2">
        <f t="shared" si="8"/>
        <v>6.5001212709192338</v>
      </c>
    </row>
    <row r="44" spans="1:11" x14ac:dyDescent="0.25">
      <c r="A44" s="278">
        <v>0.18</v>
      </c>
      <c r="B44" s="278">
        <f t="shared" si="9"/>
        <v>0.90239999999999998</v>
      </c>
      <c r="C44" s="278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2">
        <f t="shared" si="8"/>
        <v>6.3195623467270332</v>
      </c>
    </row>
    <row r="45" spans="1:11" x14ac:dyDescent="0.25">
      <c r="A45" s="278">
        <v>0.185</v>
      </c>
      <c r="B45" s="278">
        <f t="shared" si="9"/>
        <v>0.89954999999999996</v>
      </c>
      <c r="C45" s="278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2">
        <f t="shared" si="8"/>
        <v>6.1487633643830586</v>
      </c>
    </row>
    <row r="46" spans="1:11" x14ac:dyDescent="0.25">
      <c r="A46" s="278">
        <v>0.19</v>
      </c>
      <c r="B46" s="278">
        <f t="shared" si="9"/>
        <v>0.89670000000000005</v>
      </c>
      <c r="C46" s="278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2">
        <f t="shared" si="8"/>
        <v>5.9869538021624535</v>
      </c>
    </row>
    <row r="47" spans="1:11" x14ac:dyDescent="0.25">
      <c r="A47" s="278">
        <v>0.19500000000000001</v>
      </c>
      <c r="B47" s="278">
        <f t="shared" si="9"/>
        <v>0.89385000000000003</v>
      </c>
      <c r="C47" s="278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2">
        <f t="shared" si="8"/>
        <v>5.8334421662095695</v>
      </c>
    </row>
    <row r="48" spans="1:11" x14ac:dyDescent="0.25">
      <c r="A48" s="278">
        <v>0.2</v>
      </c>
      <c r="B48" s="278">
        <f t="shared" si="9"/>
        <v>0.89100000000000001</v>
      </c>
      <c r="C48" s="278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2">
        <f t="shared" si="8"/>
        <v>5.6876061120543291</v>
      </c>
    </row>
    <row r="49" spans="1:11" x14ac:dyDescent="0.25">
      <c r="A49" s="278">
        <v>0.20499999999999999</v>
      </c>
      <c r="B49" s="278">
        <f t="shared" si="9"/>
        <v>0.88815</v>
      </c>
      <c r="C49" s="278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2">
        <f t="shared" si="8"/>
        <v>5.5488840117603209</v>
      </c>
    </row>
    <row r="50" spans="1:11" x14ac:dyDescent="0.25">
      <c r="A50" s="278">
        <v>0.21</v>
      </c>
      <c r="B50" s="278">
        <f t="shared" si="9"/>
        <v>0.88529999999999998</v>
      </c>
      <c r="C50" s="278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2">
        <f t="shared" si="8"/>
        <v>5.4167677257660278</v>
      </c>
    </row>
    <row r="51" spans="1:11" x14ac:dyDescent="0.25">
      <c r="A51" s="278">
        <v>0.215</v>
      </c>
      <c r="B51" s="278">
        <f t="shared" si="9"/>
        <v>0.88245000000000007</v>
      </c>
      <c r="C51" s="278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2">
        <f t="shared" si="8"/>
        <v>5.290796383306354</v>
      </c>
    </row>
    <row r="52" spans="1:11" x14ac:dyDescent="0.25">
      <c r="A52" s="278">
        <v>0.22</v>
      </c>
      <c r="B52" s="278">
        <f t="shared" si="9"/>
        <v>0.87960000000000005</v>
      </c>
      <c r="C52" s="278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2">
        <f t="shared" si="8"/>
        <v>5.1705510109584818</v>
      </c>
    </row>
    <row r="53" spans="1:11" x14ac:dyDescent="0.25">
      <c r="A53" s="278">
        <v>0.22500000000000001</v>
      </c>
      <c r="B53" s="278">
        <f t="shared" si="9"/>
        <v>0.87675000000000003</v>
      </c>
      <c r="C53" s="278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2">
        <f t="shared" si="8"/>
        <v>5.0556498773816267</v>
      </c>
    </row>
    <row r="54" spans="1:11" x14ac:dyDescent="0.25">
      <c r="A54" s="278">
        <v>0.23</v>
      </c>
      <c r="B54" s="278">
        <f t="shared" si="9"/>
        <v>0.87390000000000001</v>
      </c>
      <c r="C54" s="278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2">
        <f t="shared" si="8"/>
        <v>4.9457444452646335</v>
      </c>
    </row>
    <row r="55" spans="1:11" x14ac:dyDescent="0.25">
      <c r="A55" s="278">
        <v>0.23499999999999999</v>
      </c>
      <c r="B55" s="278">
        <f t="shared" si="9"/>
        <v>0.87104999999999999</v>
      </c>
      <c r="C55" s="278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2">
        <f t="shared" si="8"/>
        <v>4.8405158400462378</v>
      </c>
    </row>
    <row r="56" spans="1:11" x14ac:dyDescent="0.25">
      <c r="A56" s="278">
        <v>0.24</v>
      </c>
      <c r="B56" s="278">
        <f t="shared" si="9"/>
        <v>0.86819999999999997</v>
      </c>
      <c r="C56" s="278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2">
        <f t="shared" si="8"/>
        <v>4.7396717600452742</v>
      </c>
    </row>
    <row r="57" spans="1:11" x14ac:dyDescent="0.25">
      <c r="A57" s="278">
        <v>0.245</v>
      </c>
      <c r="B57" s="278">
        <f t="shared" si="9"/>
        <v>0.86534999999999995</v>
      </c>
      <c r="C57" s="278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2">
        <f t="shared" si="8"/>
        <v>4.6429437649423093</v>
      </c>
    </row>
    <row r="58" spans="1:11" x14ac:dyDescent="0.25">
      <c r="A58" s="278">
        <v>0.25</v>
      </c>
      <c r="B58" s="278">
        <f t="shared" si="9"/>
        <v>0.86250000000000004</v>
      </c>
      <c r="C58" s="278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2">
        <f t="shared" si="8"/>
        <v>4.5500848896434647</v>
      </c>
    </row>
    <row r="59" spans="1:11" x14ac:dyDescent="0.25">
      <c r="A59" s="278">
        <v>0.255</v>
      </c>
      <c r="B59" s="278">
        <f t="shared" si="9"/>
        <v>0.85965000000000003</v>
      </c>
      <c r="C59" s="278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2">
        <f t="shared" si="8"/>
        <v>4.4608675388661405</v>
      </c>
    </row>
    <row r="60" spans="1:11" x14ac:dyDescent="0.25">
      <c r="A60" s="278">
        <v>0.26</v>
      </c>
      <c r="B60" s="278">
        <f t="shared" si="9"/>
        <v>0.85680000000000001</v>
      </c>
      <c r="C60" s="278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2">
        <f t="shared" si="8"/>
        <v>4.3750816246571764</v>
      </c>
    </row>
    <row r="61" spans="1:11" x14ac:dyDescent="0.25">
      <c r="A61" s="278">
        <v>0.26500000000000001</v>
      </c>
      <c r="B61" s="278">
        <f t="shared" si="9"/>
        <v>0.85394999999999999</v>
      </c>
      <c r="C61" s="278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2">
        <f t="shared" si="8"/>
        <v>4.2925329147579845</v>
      </c>
    </row>
    <row r="62" spans="1:11" x14ac:dyDescent="0.25">
      <c r="A62" s="278">
        <v>0.27</v>
      </c>
      <c r="B62" s="278">
        <f t="shared" si="9"/>
        <v>0.85109999999999997</v>
      </c>
      <c r="C62" s="278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2">
        <f t="shared" si="8"/>
        <v>4.2130415644846879</v>
      </c>
    </row>
    <row r="63" spans="1:11" x14ac:dyDescent="0.25">
      <c r="A63" s="278">
        <v>0.27500000000000002</v>
      </c>
      <c r="B63" s="278">
        <f t="shared" si="9"/>
        <v>0.84825000000000006</v>
      </c>
      <c r="C63" s="278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2">
        <f t="shared" si="8"/>
        <v>4.1364408087667854</v>
      </c>
    </row>
    <row r="64" spans="1:11" x14ac:dyDescent="0.25">
      <c r="A64" s="278">
        <v>0.28000000000000003</v>
      </c>
      <c r="B64" s="278">
        <f t="shared" si="9"/>
        <v>0.84540000000000004</v>
      </c>
      <c r="C64" s="278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2">
        <f t="shared" si="8"/>
        <v>4.0625757943245215</v>
      </c>
    </row>
    <row r="65" spans="1:11" x14ac:dyDescent="0.25">
      <c r="A65" s="278">
        <v>0.28499999999999998</v>
      </c>
      <c r="B65" s="278">
        <f t="shared" si="9"/>
        <v>0.84255000000000002</v>
      </c>
      <c r="C65" s="278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2">
        <f t="shared" si="8"/>
        <v>3.9913025347749675</v>
      </c>
    </row>
    <row r="66" spans="1:11" x14ac:dyDescent="0.25">
      <c r="A66" s="278">
        <v>0.28999999999999998</v>
      </c>
      <c r="B66" s="278">
        <f t="shared" si="9"/>
        <v>0.8397</v>
      </c>
      <c r="C66" s="278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2">
        <f t="shared" si="8"/>
        <v>3.9224869738305719</v>
      </c>
    </row>
    <row r="67" spans="1:11" x14ac:dyDescent="0.25">
      <c r="A67" s="278">
        <v>0.29499999999999998</v>
      </c>
      <c r="B67" s="278">
        <f t="shared" si="9"/>
        <v>0.83684999999999998</v>
      </c>
      <c r="C67" s="278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2">
        <f t="shared" si="8"/>
        <v>3.8560041437656478</v>
      </c>
    </row>
    <row r="68" spans="1:11" x14ac:dyDescent="0.25">
      <c r="A68" s="278">
        <v>0.3</v>
      </c>
      <c r="B68" s="278">
        <f t="shared" si="9"/>
        <v>0.83399999999999996</v>
      </c>
      <c r="C68" s="278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2">
        <f t="shared" si="8"/>
        <v>3.7917374080362189</v>
      </c>
    </row>
    <row r="69" spans="1:11" x14ac:dyDescent="0.25">
      <c r="A69" s="278">
        <v>0.30499999999999999</v>
      </c>
      <c r="B69" s="278">
        <f t="shared" si="9"/>
        <v>0.83115000000000006</v>
      </c>
      <c r="C69" s="278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2">
        <f t="shared" si="8"/>
        <v>3.7295777783962825</v>
      </c>
    </row>
    <row r="70" spans="1:11" x14ac:dyDescent="0.25">
      <c r="A70" s="278">
        <v>0.31</v>
      </c>
      <c r="B70" s="278">
        <f t="shared" si="9"/>
        <v>0.82830000000000004</v>
      </c>
      <c r="C70" s="278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2">
        <f t="shared" si="8"/>
        <v>3.6694232980995678</v>
      </c>
    </row>
    <row r="71" spans="1:11" x14ac:dyDescent="0.25">
      <c r="A71" s="278">
        <v>0.315</v>
      </c>
      <c r="B71" s="278">
        <f t="shared" si="9"/>
        <v>0.82545000000000002</v>
      </c>
      <c r="C71" s="278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2">
        <f t="shared" si="8"/>
        <v>3.611178483844018</v>
      </c>
    </row>
    <row r="72" spans="1:11" x14ac:dyDescent="0.25">
      <c r="A72" s="278">
        <v>0.32</v>
      </c>
      <c r="B72" s="278">
        <f t="shared" si="9"/>
        <v>0.8226</v>
      </c>
      <c r="C72" s="278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2">
        <f t="shared" si="8"/>
        <v>3.5547538200339557</v>
      </c>
    </row>
    <row r="73" spans="1:11" x14ac:dyDescent="0.25">
      <c r="A73" s="278">
        <v>0.32500000000000001</v>
      </c>
      <c r="B73" s="278">
        <f t="shared" si="9"/>
        <v>0.81974999999999998</v>
      </c>
      <c r="C73" s="278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2">
        <f t="shared" ref="K73:K89" si="17">IF(C73&gt;0,(B73+C73)/(1.55*C73),"")</f>
        <v>3.5000652997257409</v>
      </c>
    </row>
    <row r="74" spans="1:11" x14ac:dyDescent="0.25">
      <c r="A74" s="278">
        <v>0.33</v>
      </c>
      <c r="B74" s="278">
        <f t="shared" si="9"/>
        <v>0.81690000000000007</v>
      </c>
      <c r="C74" s="278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2">
        <f t="shared" si="17"/>
        <v>3.4470340073056547</v>
      </c>
    </row>
    <row r="75" spans="1:11" x14ac:dyDescent="0.25">
      <c r="A75" s="278">
        <v>0.33500000000000002</v>
      </c>
      <c r="B75" s="278">
        <f t="shared" si="9"/>
        <v>0.81405000000000005</v>
      </c>
      <c r="C75" s="278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2">
        <f t="shared" si="17"/>
        <v>3.3955857385398982</v>
      </c>
    </row>
    <row r="76" spans="1:11" x14ac:dyDescent="0.25">
      <c r="A76" s="278">
        <v>0.34</v>
      </c>
      <c r="B76" s="278">
        <f t="shared" si="9"/>
        <v>0.81120000000000003</v>
      </c>
      <c r="C76" s="278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2">
        <f t="shared" si="17"/>
        <v>3.3456506541496061</v>
      </c>
    </row>
    <row r="77" spans="1:11" x14ac:dyDescent="0.25">
      <c r="A77" s="278">
        <v>0.34499999999999997</v>
      </c>
      <c r="B77" s="278">
        <f t="shared" si="9"/>
        <v>0.80835000000000001</v>
      </c>
      <c r="C77" s="278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2">
        <f t="shared" si="17"/>
        <v>3.2971629635097561</v>
      </c>
    </row>
    <row r="78" spans="1:11" x14ac:dyDescent="0.25">
      <c r="A78" s="278">
        <v>0.35</v>
      </c>
      <c r="B78" s="278">
        <f t="shared" si="9"/>
        <v>0.80549999999999999</v>
      </c>
      <c r="C78" s="278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2">
        <f t="shared" si="17"/>
        <v>3.2500606354596169</v>
      </c>
    </row>
    <row r="79" spans="1:11" x14ac:dyDescent="0.25">
      <c r="A79" s="278">
        <v>0.35499999999999998</v>
      </c>
      <c r="B79" s="278">
        <f t="shared" si="9"/>
        <v>0.80264999999999997</v>
      </c>
      <c r="C79" s="278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2">
        <f t="shared" si="17"/>
        <v>3.2042851335517346</v>
      </c>
    </row>
    <row r="80" spans="1:11" x14ac:dyDescent="0.25">
      <c r="A80" s="278">
        <v>0.36</v>
      </c>
      <c r="B80" s="278">
        <f t="shared" si="9"/>
        <v>0.79980000000000007</v>
      </c>
      <c r="C80" s="278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2">
        <f t="shared" si="17"/>
        <v>3.159781173363517</v>
      </c>
    </row>
    <row r="81" spans="1:11" x14ac:dyDescent="0.25">
      <c r="A81" s="278">
        <v>0.36499999999999999</v>
      </c>
      <c r="B81" s="278">
        <f t="shared" si="9"/>
        <v>0.79695000000000005</v>
      </c>
      <c r="C81" s="278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2">
        <f t="shared" si="17"/>
        <v>3.1164964997557973</v>
      </c>
    </row>
    <row r="82" spans="1:11" x14ac:dyDescent="0.25">
      <c r="A82" s="278">
        <v>0.37</v>
      </c>
      <c r="B82" s="278">
        <f t="shared" si="9"/>
        <v>0.79410000000000003</v>
      </c>
      <c r="C82" s="278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2">
        <f t="shared" si="17"/>
        <v>3.0743816821915293</v>
      </c>
    </row>
    <row r="83" spans="1:11" x14ac:dyDescent="0.25">
      <c r="A83" s="278">
        <v>0.375</v>
      </c>
      <c r="B83" s="278">
        <f t="shared" si="9"/>
        <v>0.79125000000000001</v>
      </c>
      <c r="C83" s="278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2">
        <f t="shared" si="17"/>
        <v>3.0333899264289754</v>
      </c>
    </row>
    <row r="84" spans="1:11" x14ac:dyDescent="0.25">
      <c r="A84" s="278">
        <v>0.38</v>
      </c>
      <c r="B84" s="278">
        <f t="shared" si="9"/>
        <v>0.78839999999999999</v>
      </c>
      <c r="C84" s="278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2">
        <f t="shared" si="17"/>
        <v>2.9934769010812259</v>
      </c>
    </row>
    <row r="85" spans="1:11" x14ac:dyDescent="0.25">
      <c r="A85" s="278">
        <v>0.38500000000000001</v>
      </c>
      <c r="B85" s="278">
        <f t="shared" si="9"/>
        <v>0.78555000000000008</v>
      </c>
      <c r="C85" s="278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2">
        <f t="shared" si="17"/>
        <v>2.9546005776905613</v>
      </c>
    </row>
    <row r="86" spans="1:11" x14ac:dyDescent="0.25">
      <c r="A86" s="278">
        <v>0.39</v>
      </c>
      <c r="B86" s="278">
        <f t="shared" si="9"/>
        <v>0.78270000000000006</v>
      </c>
      <c r="C86" s="278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2">
        <f t="shared" si="17"/>
        <v>2.9167210831047847</v>
      </c>
    </row>
    <row r="87" spans="1:11" x14ac:dyDescent="0.25">
      <c r="A87" s="278">
        <v>0.39500000000000002</v>
      </c>
      <c r="B87" s="278">
        <f t="shared" si="9"/>
        <v>0.77985000000000004</v>
      </c>
      <c r="C87" s="278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2">
        <f t="shared" si="17"/>
        <v>2.8798005630654839</v>
      </c>
    </row>
    <row r="88" spans="1:11" x14ac:dyDescent="0.25">
      <c r="A88" s="278">
        <v>0.4</v>
      </c>
      <c r="B88" s="278">
        <f t="shared" si="9"/>
        <v>0.77700000000000002</v>
      </c>
      <c r="C88" s="278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2">
        <f t="shared" si="17"/>
        <v>2.8438030560271645</v>
      </c>
    </row>
    <row r="89" spans="1:11" x14ac:dyDescent="0.25">
      <c r="K89" s="282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D19" sqref="D19"/>
    </sheetView>
  </sheetViews>
  <sheetFormatPr defaultRowHeight="15" x14ac:dyDescent="0.25"/>
  <cols>
    <col min="2" max="2" width="12.5703125" style="284" bestFit="1" customWidth="1"/>
    <col min="3" max="3" width="17.28515625" style="284" bestFit="1" customWidth="1"/>
    <col min="4" max="4" width="10.140625" style="284" bestFit="1" customWidth="1"/>
    <col min="5" max="5" width="12" style="284" customWidth="1"/>
    <col min="6" max="6" width="15.85546875" style="284" customWidth="1"/>
    <col min="7" max="7" width="12.5703125" style="284" bestFit="1" customWidth="1"/>
    <col min="8" max="9" width="14.5703125" style="284" bestFit="1" customWidth="1"/>
    <col min="10" max="10" width="8.5703125" style="284" bestFit="1" customWidth="1"/>
    <col min="11" max="11" width="11" style="284" bestFit="1" customWidth="1"/>
    <col min="12" max="12" width="13.28515625" style="284" customWidth="1"/>
    <col min="13" max="13" width="14.5703125" style="284" customWidth="1"/>
    <col min="14" max="14" width="15" style="284" customWidth="1"/>
    <col min="15" max="15" width="17" style="284" customWidth="1"/>
    <col min="16" max="16" width="12.42578125" style="284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4">
        <f>COUNTA(E4:E30)</f>
        <v>2</v>
      </c>
      <c r="R1" s="283" t="s">
        <v>293</v>
      </c>
      <c r="S1" t="s">
        <v>295</v>
      </c>
      <c r="T1" s="285" t="s">
        <v>294</v>
      </c>
    </row>
    <row r="2" spans="1:26" x14ac:dyDescent="0.25">
      <c r="B2" s="342" t="s">
        <v>287</v>
      </c>
      <c r="C2" s="342" t="s">
        <v>290</v>
      </c>
      <c r="J2" s="342" t="s">
        <v>291</v>
      </c>
      <c r="O2" s="354" t="s">
        <v>404</v>
      </c>
      <c r="S2" t="s">
        <v>296</v>
      </c>
      <c r="T2" s="285" t="s">
        <v>297</v>
      </c>
    </row>
    <row r="3" spans="1:26" x14ac:dyDescent="0.25">
      <c r="B3" s="343" t="s">
        <v>292</v>
      </c>
      <c r="C3" s="344" t="str" cm="1">
        <f t="array" ref="C3:H3">TRANSPOSE(B4:B9)&amp;"2"</f>
        <v>Control2</v>
      </c>
      <c r="D3" s="344" t="str">
        <v>Plant2</v>
      </c>
      <c r="E3" s="344" t="str">
        <v>Storage2</v>
      </c>
      <c r="F3" s="344" t="str">
        <v>Prognoses2</v>
      </c>
      <c r="G3" s="344" t="str">
        <v>Fuel2</v>
      </c>
      <c r="H3" s="344" t="str">
        <v>FuelBounds2</v>
      </c>
      <c r="I3" s="344"/>
      <c r="J3" s="345" t="str" cm="1">
        <f t="array" ref="J3:O3">TRANSPOSE(B4:B9)&amp;"3"</f>
        <v>Control3</v>
      </c>
      <c r="K3" s="345" t="str">
        <v>Plant3</v>
      </c>
      <c r="L3" s="345" t="str">
        <v>Storage3</v>
      </c>
      <c r="M3" s="345" t="str">
        <v>Prognoses3</v>
      </c>
      <c r="N3" s="345" t="str">
        <v>Fuel3</v>
      </c>
      <c r="O3" s="345" t="str">
        <v>FuelBounds3</v>
      </c>
      <c r="P3" s="345"/>
    </row>
    <row r="4" spans="1:26" x14ac:dyDescent="0.25">
      <c r="B4" s="284" t="s">
        <v>367</v>
      </c>
      <c r="C4" s="284" t="str" cm="1">
        <f t="array" ref="C4:C13">_xlfn.LET(_xlpm.ran,listDataCtrl,_xlfn._xlws.FILTER(_xlpm.ran,(LEN(_xlpm.ran)&gt;0)))</f>
        <v>RunScenarios</v>
      </c>
      <c r="D4" s="284" t="str" cm="1">
        <f t="array" ref="D4:D9">listUnitsName</f>
        <v>Ovn2</v>
      </c>
      <c r="E4" s="284" t="str" cm="1">
        <f t="array" ref="E4:E5">_xlfn._xlws.FILTER(listStorageName,LEN(listStorageName)&gt;0)</f>
        <v>sto1</v>
      </c>
      <c r="F4" s="284" t="str" cm="1">
        <f t="array" ref="F4:F28">_xlfn.LET(_xlpm.ran,TRANSPOSE(listPrognosisAttr),_xlpm.ran)</f>
        <v>Aktiv</v>
      </c>
      <c r="G4" s="284" t="str" cm="1">
        <f t="array" ref="G4:G32">listFuelName</f>
        <v>DepoSort</v>
      </c>
      <c r="H4" s="284" t="str" cm="1">
        <f t="array" ref="H4:H32">listFuelName</f>
        <v>DepoSort</v>
      </c>
      <c r="J4" s="284" t="s">
        <v>371</v>
      </c>
      <c r="K4" s="284" t="str" cm="1">
        <f t="array" ref="K4:K17">_xlfn.LET(_xlpm.ran,TRANSPOSE(listUnitAttr),_xlpm.ran)</f>
        <v>Aktiv</v>
      </c>
      <c r="L4" s="284" t="str" cm="1">
        <f t="array" ref="L4:L15">TRANSPOSE(listStorageAttr)</f>
        <v>Aktiv</v>
      </c>
      <c r="M4" s="284" t="s">
        <v>371</v>
      </c>
      <c r="N4" s="284" t="str" cm="1">
        <f t="array" ref="N4:N19">_xlfn.LET(_xlpm.ran,TRANSPOSE(listFuelAttr),_xlpm.ran)</f>
        <v>Aktiv</v>
      </c>
      <c r="O4" s="284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4" t="s">
        <v>369</v>
      </c>
      <c r="C5" s="284" t="str">
        <v>IncludeGSF</v>
      </c>
      <c r="D5" s="284" t="str">
        <v>Ovn3</v>
      </c>
      <c r="E5" s="284" t="str">
        <v>sto2</v>
      </c>
      <c r="F5" s="284" t="str">
        <v>Ndage</v>
      </c>
      <c r="G5" s="284" t="str">
        <v>DepoSmaat</v>
      </c>
      <c r="H5" s="284" t="str">
        <v>DepoSmaat</v>
      </c>
      <c r="K5" s="284" t="str">
        <v>Ukind</v>
      </c>
      <c r="L5" s="284" t="str">
        <v>StoKind</v>
      </c>
      <c r="N5" s="284" t="str">
        <v>Fkind</v>
      </c>
      <c r="O5" s="284" t="s">
        <v>243</v>
      </c>
      <c r="R5" t="s">
        <v>369</v>
      </c>
      <c r="S5" t="s">
        <v>78</v>
      </c>
      <c r="T5" t="s">
        <v>184</v>
      </c>
      <c r="U5" s="286">
        <v>44197</v>
      </c>
      <c r="V5" s="287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4" t="s">
        <v>370</v>
      </c>
      <c r="C6" s="284" t="str">
        <v>VirtuelVarme</v>
      </c>
      <c r="D6" s="284" t="str">
        <v>FlisK</v>
      </c>
      <c r="F6" s="284" t="str">
        <v>Ovn2</v>
      </c>
      <c r="G6" s="284" t="str">
        <v>DepoNedd</v>
      </c>
      <c r="H6" s="284" t="str">
        <v>DepoNedd</v>
      </c>
      <c r="K6" s="284" t="str">
        <v>Prioritet</v>
      </c>
      <c r="L6" s="284" t="str">
        <v>LoadInit</v>
      </c>
      <c r="N6" s="284" t="str">
        <v>Lagerbar</v>
      </c>
      <c r="O6" s="284" t="s">
        <v>254</v>
      </c>
      <c r="R6" t="s">
        <v>369</v>
      </c>
      <c r="S6" t="s">
        <v>78</v>
      </c>
      <c r="T6" t="s">
        <v>184</v>
      </c>
      <c r="U6" s="286">
        <v>44531</v>
      </c>
      <c r="V6" s="287"/>
      <c r="X6" t="str">
        <f ca="1"/>
        <v>Ovn3</v>
      </c>
      <c r="Z6" t="str">
        <f ca="1"/>
        <v>sto2</v>
      </c>
    </row>
    <row r="7" spans="1:26" x14ac:dyDescent="0.25">
      <c r="B7" s="284" t="s">
        <v>329</v>
      </c>
      <c r="C7" s="284" t="str">
        <v>VirtuelAffald</v>
      </c>
      <c r="D7" s="284" t="str">
        <v>NS</v>
      </c>
      <c r="F7" s="284" t="str">
        <v>Ovn3</v>
      </c>
      <c r="G7" s="284" t="str">
        <v>Dagren</v>
      </c>
      <c r="H7" s="284" t="str">
        <v>Dagren</v>
      </c>
      <c r="K7" s="284" t="str">
        <v>MinLhv</v>
      </c>
      <c r="L7" s="284" t="str">
        <v>LoadMin</v>
      </c>
      <c r="N7" s="284" t="str">
        <v>Fri</v>
      </c>
      <c r="O7" s="284" t="s">
        <v>255</v>
      </c>
      <c r="R7" t="s">
        <v>369</v>
      </c>
      <c r="S7" t="s">
        <v>77</v>
      </c>
      <c r="T7" t="s">
        <v>184</v>
      </c>
      <c r="U7" s="286">
        <v>44531</v>
      </c>
      <c r="V7" s="287"/>
      <c r="X7" t="str">
        <f ca="1"/>
        <v>FlisK</v>
      </c>
      <c r="Z7">
        <f ca="1"/>
        <v>0</v>
      </c>
    </row>
    <row r="8" spans="1:26" x14ac:dyDescent="0.25">
      <c r="B8" s="284" t="s">
        <v>368</v>
      </c>
      <c r="C8" s="284" t="str">
        <v>Skorstensmetode</v>
      </c>
      <c r="D8" s="284" t="str">
        <v>Cooler</v>
      </c>
      <c r="F8" s="284" t="str">
        <v>FlisK</v>
      </c>
      <c r="G8" s="284" t="str">
        <v>AndetBrand</v>
      </c>
      <c r="H8" s="284" t="str">
        <v>AndetBrand</v>
      </c>
      <c r="K8" s="284" t="str">
        <v>MaxLhv</v>
      </c>
      <c r="L8" s="284" t="str">
        <v>LoadMax</v>
      </c>
      <c r="N8" s="284" t="str">
        <v>Flex</v>
      </c>
      <c r="O8" s="284" t="s">
        <v>256</v>
      </c>
      <c r="R8" t="s">
        <v>369</v>
      </c>
      <c r="U8" s="286">
        <v>44197</v>
      </c>
      <c r="V8" s="287"/>
      <c r="X8" t="str">
        <f ca="1"/>
        <v>NS</v>
      </c>
      <c r="Z8">
        <f ca="1"/>
        <v>0</v>
      </c>
    </row>
    <row r="9" spans="1:26" x14ac:dyDescent="0.25">
      <c r="B9" s="366" t="s">
        <v>289</v>
      </c>
      <c r="C9" s="284" t="str">
        <v>FixAffald</v>
      </c>
      <c r="D9" s="284" t="str">
        <v>PeakK</v>
      </c>
      <c r="F9" s="284" t="str">
        <v>NS</v>
      </c>
      <c r="G9" s="284" t="str">
        <v>Trae</v>
      </c>
      <c r="H9" s="284" t="str">
        <v>Trae</v>
      </c>
      <c r="K9" s="284" t="str">
        <v>MinTon</v>
      </c>
      <c r="L9" s="284" t="str">
        <v>DLoadMax</v>
      </c>
      <c r="N9" s="284" t="str">
        <v>Bortskaf</v>
      </c>
      <c r="O9" s="284" t="s">
        <v>394</v>
      </c>
      <c r="R9" t="s">
        <v>370</v>
      </c>
      <c r="S9" t="s">
        <v>225</v>
      </c>
      <c r="U9" s="286">
        <v>44682</v>
      </c>
      <c r="V9" s="287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4" t="str">
        <v>RgkRabatSats</v>
      </c>
      <c r="F10" s="284" t="str">
        <v>Cooler</v>
      </c>
      <c r="G10" s="284" t="str">
        <v>DagrenRast</v>
      </c>
      <c r="H10" s="284" t="str">
        <v>DagrenRast</v>
      </c>
      <c r="K10" s="284" t="str">
        <v>MaxTon</v>
      </c>
      <c r="L10" s="284" t="str">
        <v>LossRate</v>
      </c>
      <c r="N10" s="284" t="str">
        <v>TilOvn2</v>
      </c>
      <c r="O10" s="284" t="s">
        <v>259</v>
      </c>
      <c r="R10" t="s">
        <v>369</v>
      </c>
      <c r="S10" t="s">
        <v>77</v>
      </c>
      <c r="U10" s="286">
        <v>47665</v>
      </c>
      <c r="V10" s="287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4" t="str">
        <v>RgkAndelRabat</v>
      </c>
      <c r="F11" s="284" t="str">
        <v>PeakK</v>
      </c>
      <c r="G11" s="284" t="str">
        <v>DagrenInst</v>
      </c>
      <c r="H11" s="284" t="str">
        <v>DagrenInst</v>
      </c>
      <c r="K11" s="284" t="str">
        <v>KapQNom</v>
      </c>
      <c r="L11" s="284" t="str">
        <v>LoadCost</v>
      </c>
      <c r="N11" s="284" t="str">
        <v>TilOvn3</v>
      </c>
      <c r="R11" t="s">
        <v>369</v>
      </c>
      <c r="U11" s="286"/>
      <c r="V11" s="287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4" t="str">
        <v>Varmesalgspris</v>
      </c>
      <c r="F12" s="284" t="str">
        <v>Turbine</v>
      </c>
      <c r="G12" s="284" t="str">
        <v>DagrenHandel</v>
      </c>
      <c r="H12" s="284" t="str">
        <v>DagrenHandel</v>
      </c>
      <c r="K12" s="284" t="str">
        <v>KapRgk</v>
      </c>
      <c r="L12" s="284" t="str">
        <v>DLoadCost</v>
      </c>
      <c r="N12" s="284" t="str">
        <v>MinTonnage</v>
      </c>
      <c r="R12" t="s">
        <v>369</v>
      </c>
      <c r="S12" t="s">
        <v>246</v>
      </c>
      <c r="U12" s="286"/>
      <c r="V12" s="287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4" t="str">
        <v>EgetforbrugKVV</v>
      </c>
      <c r="F13" s="284" t="str">
        <v>Varmebehov</v>
      </c>
      <c r="G13" s="284" t="str">
        <v>DagrenRestau</v>
      </c>
      <c r="H13" s="284" t="str">
        <v>DagrenRestau</v>
      </c>
      <c r="K13" s="284" t="str">
        <v>KapE</v>
      </c>
      <c r="L13" s="284" t="str">
        <v>ResetFirst</v>
      </c>
      <c r="N13" s="284" t="str">
        <v>MaxTonnage</v>
      </c>
      <c r="R13" t="s">
        <v>369</v>
      </c>
      <c r="S13" t="s">
        <v>246</v>
      </c>
      <c r="U13" s="286"/>
      <c r="V13" s="287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4" t="str">
        <v>NSprod</v>
      </c>
      <c r="G14" s="284" t="str">
        <v>Erhverv</v>
      </c>
      <c r="H14" s="284" t="str">
        <v>Erhverv</v>
      </c>
      <c r="K14" s="284" t="str">
        <v>EtaE</v>
      </c>
      <c r="L14" s="284" t="str">
        <v>ResetIntv</v>
      </c>
      <c r="N14" s="284" t="str">
        <v>InitSto1</v>
      </c>
      <c r="R14" t="s">
        <v>369</v>
      </c>
      <c r="U14" s="286"/>
      <c r="V14" s="287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4" t="str">
        <v>ELprod</v>
      </c>
      <c r="G15" s="284" t="str">
        <v>DagrenErhverv</v>
      </c>
      <c r="H15" s="284" t="str">
        <v>DagrenErhverv</v>
      </c>
      <c r="K15" s="284" t="str">
        <v>EtaQ</v>
      </c>
      <c r="L15" s="284" t="str">
        <v>ResetLast</v>
      </c>
      <c r="N15" s="284" t="str">
        <v>InitSto2</v>
      </c>
      <c r="R15" t="s">
        <v>369</v>
      </c>
      <c r="U15" s="286"/>
      <c r="V15" s="287"/>
      <c r="X15">
        <f ca="1"/>
        <v>0</v>
      </c>
      <c r="Z15">
        <f ca="1"/>
        <v>0</v>
      </c>
    </row>
    <row r="16" spans="1:26" x14ac:dyDescent="0.25">
      <c r="F16" s="284" t="str">
        <v>Bypass</v>
      </c>
      <c r="G16" s="284" t="str">
        <v>HandelKontor</v>
      </c>
      <c r="H16" s="284" t="str">
        <v>HandelKontor</v>
      </c>
      <c r="K16" s="284" t="str">
        <v>DVMWhq</v>
      </c>
      <c r="N16" s="284" t="str">
        <v>Pris</v>
      </c>
      <c r="R16" t="s">
        <v>369</v>
      </c>
      <c r="U16" s="286"/>
      <c r="V16" s="287"/>
      <c r="Z16">
        <f ca="1"/>
        <v>0</v>
      </c>
    </row>
    <row r="17" spans="2:26" x14ac:dyDescent="0.25">
      <c r="F17" s="284" t="str">
        <v>Elpris</v>
      </c>
      <c r="G17" s="284" t="str">
        <v>Privat</v>
      </c>
      <c r="H17" s="284" t="str">
        <v>Privat</v>
      </c>
      <c r="K17" s="284" t="str">
        <v>DVtime</v>
      </c>
      <c r="N17" s="284" t="str">
        <v>LHV</v>
      </c>
      <c r="U17" s="286"/>
      <c r="V17" s="287"/>
      <c r="Z17">
        <f ca="1"/>
        <v>0</v>
      </c>
    </row>
    <row r="18" spans="2:26" x14ac:dyDescent="0.25">
      <c r="F18" s="284" t="str">
        <v>ETS</v>
      </c>
      <c r="G18" s="284" t="str">
        <v>TyskRest</v>
      </c>
      <c r="H18" s="284" t="str">
        <v>TyskRest</v>
      </c>
      <c r="N18" s="284" t="str">
        <v>NOxKgTon</v>
      </c>
      <c r="U18" s="286"/>
      <c r="V18" s="287"/>
      <c r="Z18">
        <f ca="1"/>
        <v>0</v>
      </c>
    </row>
    <row r="19" spans="2:26" x14ac:dyDescent="0.25">
      <c r="F19" s="284" t="str">
        <v>AFV</v>
      </c>
      <c r="G19" s="284" t="str">
        <v>PolskRest</v>
      </c>
      <c r="H19" s="284" t="str">
        <v>PolskRest</v>
      </c>
      <c r="N19" s="284" t="str">
        <v>CO2kgGJ</v>
      </c>
      <c r="U19" s="286"/>
      <c r="V19" s="287"/>
      <c r="Z19">
        <f ca="1"/>
        <v>0</v>
      </c>
    </row>
    <row r="20" spans="2:26" x14ac:dyDescent="0.25">
      <c r="F20" s="284" t="str">
        <v>ATL</v>
      </c>
      <c r="G20" s="284" t="str">
        <v>PcbTrae</v>
      </c>
      <c r="H20" s="284" t="str">
        <v>PcbTrae</v>
      </c>
      <c r="U20" s="286"/>
      <c r="V20" s="287"/>
      <c r="Z20">
        <f ca="1"/>
        <v>0</v>
      </c>
    </row>
    <row r="21" spans="2:26" x14ac:dyDescent="0.25">
      <c r="F21" s="284" t="str">
        <v>CO2aff</v>
      </c>
      <c r="G21" s="284" t="str">
        <v>TraeRekv</v>
      </c>
      <c r="H21" s="284" t="str">
        <v>TraeRekv</v>
      </c>
      <c r="U21" s="286"/>
      <c r="V21" s="287"/>
      <c r="Z21">
        <f ca="1"/>
        <v>0</v>
      </c>
    </row>
    <row r="22" spans="2:26" x14ac:dyDescent="0.25">
      <c r="B22" s="284" t="s">
        <v>288</v>
      </c>
      <c r="F22" s="284" t="str">
        <v>ETSaff</v>
      </c>
      <c r="G22" s="284" t="str">
        <v>Halm</v>
      </c>
      <c r="H22" s="284" t="str">
        <v>Halm</v>
      </c>
      <c r="U22" s="286"/>
      <c r="V22" s="287"/>
      <c r="Z22">
        <f ca="1"/>
        <v>0</v>
      </c>
    </row>
    <row r="23" spans="2:26" x14ac:dyDescent="0.25">
      <c r="F23" s="284" t="str">
        <v>CO2afgAff</v>
      </c>
      <c r="G23" s="284" t="str">
        <v>Pulver</v>
      </c>
      <c r="H23" s="284" t="str">
        <v>Pulver</v>
      </c>
      <c r="U23" s="286"/>
      <c r="V23" s="287"/>
      <c r="Z23">
        <f ca="1"/>
        <v>0</v>
      </c>
    </row>
    <row r="24" spans="2:26" x14ac:dyDescent="0.25">
      <c r="F24" s="284" t="str">
        <v>NOxAff</v>
      </c>
      <c r="G24" s="284" t="str">
        <v>FlisAffald</v>
      </c>
      <c r="H24" s="284" t="str">
        <v>FlisAffald</v>
      </c>
      <c r="U24" s="286"/>
      <c r="V24" s="287"/>
      <c r="Z24">
        <f ca="1"/>
        <v>0</v>
      </c>
    </row>
    <row r="25" spans="2:26" x14ac:dyDescent="0.25">
      <c r="F25" s="284" t="str">
        <v>NOxFlis</v>
      </c>
      <c r="G25" s="284" t="str">
        <v>NyAff1</v>
      </c>
      <c r="H25" s="284" t="str">
        <v>NyAff1</v>
      </c>
      <c r="U25" s="286"/>
      <c r="V25" s="287"/>
    </row>
    <row r="26" spans="2:26" x14ac:dyDescent="0.25">
      <c r="F26" s="284" t="str">
        <v>EnrPeak</v>
      </c>
      <c r="G26" s="284" t="str">
        <v>NyAff2</v>
      </c>
      <c r="H26" s="284" t="str">
        <v>NyAff2</v>
      </c>
      <c r="U26" s="286"/>
      <c r="V26" s="287"/>
    </row>
    <row r="27" spans="2:26" x14ac:dyDescent="0.25">
      <c r="F27" s="284" t="str">
        <v>CO2peak</v>
      </c>
      <c r="G27" s="284" t="str">
        <v>NyAff3</v>
      </c>
      <c r="H27" s="284" t="str">
        <v>NyAff3</v>
      </c>
      <c r="U27" s="286"/>
      <c r="V27" s="287"/>
    </row>
    <row r="28" spans="2:26" x14ac:dyDescent="0.25">
      <c r="F28" s="284" t="str">
        <v>NOxPeak</v>
      </c>
      <c r="G28" s="284" t="str">
        <v>NyAff4</v>
      </c>
      <c r="H28" s="284" t="str">
        <v>NyAff4</v>
      </c>
      <c r="U28" s="286"/>
      <c r="V28" s="287"/>
    </row>
    <row r="29" spans="2:26" x14ac:dyDescent="0.25">
      <c r="G29" s="284" t="str">
        <v>NyAff5</v>
      </c>
      <c r="H29" s="284" t="str">
        <v>NyAff5</v>
      </c>
      <c r="U29" s="286"/>
      <c r="V29" s="287"/>
    </row>
    <row r="30" spans="2:26" x14ac:dyDescent="0.25">
      <c r="G30" s="284" t="str">
        <v>Flis</v>
      </c>
      <c r="H30" s="284" t="str">
        <v>Flis</v>
      </c>
      <c r="U30" s="286"/>
      <c r="V30" s="287"/>
    </row>
    <row r="31" spans="2:26" x14ac:dyDescent="0.25">
      <c r="G31" s="284" t="str">
        <v>NSvarme</v>
      </c>
      <c r="H31" s="284" t="str">
        <v>NSvarme</v>
      </c>
      <c r="U31" s="286"/>
      <c r="V31" s="287"/>
    </row>
    <row r="32" spans="2:26" x14ac:dyDescent="0.25">
      <c r="G32" s="284" t="str">
        <v>PeakFuel</v>
      </c>
      <c r="H32" s="284" t="str">
        <v>PeakFuel</v>
      </c>
      <c r="U32" s="286"/>
      <c r="V32" s="287"/>
    </row>
    <row r="33" spans="1:31" x14ac:dyDescent="0.25">
      <c r="U33" s="286"/>
      <c r="V33" s="287"/>
    </row>
    <row r="34" spans="1:31" x14ac:dyDescent="0.25">
      <c r="U34" s="286"/>
      <c r="V34" s="287"/>
    </row>
    <row r="35" spans="1:31" x14ac:dyDescent="0.25">
      <c r="U35" s="286"/>
      <c r="V35" s="287"/>
    </row>
    <row r="36" spans="1:31" x14ac:dyDescent="0.25">
      <c r="U36" s="286"/>
      <c r="V36" s="287"/>
    </row>
    <row r="37" spans="1:31" x14ac:dyDescent="0.25">
      <c r="U37" s="286"/>
      <c r="V37" s="287"/>
    </row>
    <row r="38" spans="1:31" x14ac:dyDescent="0.25">
      <c r="A38" t="s">
        <v>376</v>
      </c>
      <c r="B38" s="342" t="s">
        <v>374</v>
      </c>
      <c r="U38" s="286"/>
      <c r="V38" s="287"/>
    </row>
    <row r="39" spans="1:31" x14ac:dyDescent="0.25">
      <c r="A39" s="6">
        <f>COUNTA(_xlfn.ANCHORARRAY(C39))</f>
        <v>10</v>
      </c>
      <c r="B39" s="284" t="str">
        <f>B4</f>
        <v>Control</v>
      </c>
      <c r="C39" s="284" t="str" cm="1">
        <f t="array" ref="C39:L39">TRANSPOSE(_xlfn.ANCHORARRAY(C4))</f>
        <v>RunScenarios</v>
      </c>
      <c r="D39" s="284" t="str">
        <v>IncludeGSF</v>
      </c>
      <c r="E39" s="284" t="str">
        <v>VirtuelVarme</v>
      </c>
      <c r="F39" s="284" t="str">
        <v>VirtuelAffald</v>
      </c>
      <c r="G39" s="284" t="str">
        <v>Skorstensmetode</v>
      </c>
      <c r="H39" s="284" t="str">
        <v>FixAffald</v>
      </c>
      <c r="I39" s="284" t="str">
        <v>RgkRabatSats</v>
      </c>
      <c r="J39" s="284" t="str">
        <v>RgkAndelRabat</v>
      </c>
      <c r="K39" s="284" t="str">
        <v>Varmesalgspris</v>
      </c>
      <c r="L39" s="284" t="str">
        <v>EgetforbrugKVV</v>
      </c>
      <c r="U39" s="286"/>
      <c r="V39" s="287"/>
    </row>
    <row r="40" spans="1:31" x14ac:dyDescent="0.25">
      <c r="A40" s="6">
        <f t="shared" ref="A40:A44" si="0">COUNTA(_xlfn.ANCHORARRAY(C40))</f>
        <v>6</v>
      </c>
      <c r="B40" s="284" t="str">
        <f t="shared" ref="B40:B44" si="1">B5</f>
        <v>Plant</v>
      </c>
      <c r="C40" s="284" t="str" cm="1">
        <f t="array" ref="C40:H40">TRANSPOSE(_xlfn.ANCHORARRAY(D4))</f>
        <v>Ovn2</v>
      </c>
      <c r="D40" s="284" t="str">
        <v>Ovn3</v>
      </c>
      <c r="E40" s="284" t="str">
        <v>FlisK</v>
      </c>
      <c r="F40" s="284" t="str">
        <v>NS</v>
      </c>
      <c r="G40" s="284" t="str">
        <v>Cooler</v>
      </c>
      <c r="H40" s="284" t="str">
        <v>PeakK</v>
      </c>
      <c r="U40" s="286"/>
      <c r="V40" s="287"/>
    </row>
    <row r="41" spans="1:31" x14ac:dyDescent="0.25">
      <c r="A41" s="6">
        <f t="shared" si="0"/>
        <v>2</v>
      </c>
      <c r="B41" s="284" t="str">
        <f t="shared" si="1"/>
        <v>Storage</v>
      </c>
      <c r="C41" s="284" t="str" cm="1">
        <f t="array" ref="C41:D41">TRANSPOSE(_xlfn.ANCHORARRAY(E4))</f>
        <v>sto1</v>
      </c>
      <c r="D41" s="284" t="str">
        <v>sto2</v>
      </c>
      <c r="U41" s="284"/>
    </row>
    <row r="42" spans="1:31" x14ac:dyDescent="0.25">
      <c r="A42" s="6">
        <f t="shared" si="0"/>
        <v>25</v>
      </c>
      <c r="B42" s="284" t="str">
        <f t="shared" si="1"/>
        <v>Prognoses</v>
      </c>
      <c r="C42" s="284" t="str" cm="1">
        <f t="array" ref="C42:AA42">TRANSPOSE(_xlfn.ANCHORARRAY(F4))</f>
        <v>Aktiv</v>
      </c>
      <c r="D42" s="284" t="str">
        <v>Ndage</v>
      </c>
      <c r="E42" s="284" t="str">
        <v>Ovn2</v>
      </c>
      <c r="F42" s="284" t="str">
        <v>Ovn3</v>
      </c>
      <c r="G42" s="284" t="str">
        <v>FlisK</v>
      </c>
      <c r="H42" s="284" t="str">
        <v>NS</v>
      </c>
      <c r="I42" s="284" t="str">
        <v>Cooler</v>
      </c>
      <c r="J42" s="284" t="str">
        <v>PeakK</v>
      </c>
      <c r="K42" s="284" t="str">
        <v>Turbine</v>
      </c>
      <c r="L42" s="284" t="str">
        <v>Varmebehov</v>
      </c>
      <c r="M42" s="284" t="str">
        <v>NSprod</v>
      </c>
      <c r="N42" s="284" t="str">
        <v>ELprod</v>
      </c>
      <c r="O42" s="284" t="str">
        <v>Bypass</v>
      </c>
      <c r="P42" s="284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4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4" t="str">
        <f t="shared" si="1"/>
        <v>Fuel</v>
      </c>
      <c r="C43" s="284" t="str" cm="1">
        <f t="array" ref="C43:AE43">TRANSPOSE(_xlfn.ANCHORARRAY(G4))</f>
        <v>DepoSort</v>
      </c>
      <c r="D43" s="284" t="str">
        <v>DepoSmaat</v>
      </c>
      <c r="E43" s="284" t="str">
        <v>DepoNedd</v>
      </c>
      <c r="F43" s="284" t="str">
        <v>Dagren</v>
      </c>
      <c r="G43" s="284" t="str">
        <v>AndetBrand</v>
      </c>
      <c r="H43" s="284" t="str">
        <v>Trae</v>
      </c>
      <c r="I43" s="284" t="str">
        <v>DagrenRast</v>
      </c>
      <c r="J43" s="284" t="str">
        <v>DagrenInst</v>
      </c>
      <c r="K43" s="284" t="str">
        <v>DagrenHandel</v>
      </c>
      <c r="L43" s="284" t="str">
        <v>DagrenRestau</v>
      </c>
      <c r="M43" s="284" t="str">
        <v>Erhverv</v>
      </c>
      <c r="N43" s="284" t="str">
        <v>DagrenErhverv</v>
      </c>
      <c r="O43" s="284" t="str">
        <v>HandelKontor</v>
      </c>
      <c r="P43" s="284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4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4" t="str">
        <f t="shared" si="1"/>
        <v>FuelBounds</v>
      </c>
      <c r="C44" s="284" t="str" cm="1">
        <f t="array" ref="C44:AE44">TRANSPOSE(_xlfn.ANCHORARRAY(H4))</f>
        <v>DepoSort</v>
      </c>
      <c r="D44" s="284" t="str">
        <v>DepoSmaat</v>
      </c>
      <c r="E44" s="284" t="str">
        <v>DepoNedd</v>
      </c>
      <c r="F44" s="284" t="str">
        <v>Dagren</v>
      </c>
      <c r="G44" s="284" t="str">
        <v>AndetBrand</v>
      </c>
      <c r="H44" s="284" t="str">
        <v>Trae</v>
      </c>
      <c r="I44" s="284" t="str">
        <v>DagrenRast</v>
      </c>
      <c r="J44" s="284" t="str">
        <v>DagrenInst</v>
      </c>
      <c r="K44" s="284" t="str">
        <v>DagrenHandel</v>
      </c>
      <c r="L44" s="284" t="str">
        <v>DagrenRestau</v>
      </c>
      <c r="M44" s="284" t="str">
        <v>Erhverv</v>
      </c>
      <c r="N44" s="284" t="str">
        <v>DagrenErhverv</v>
      </c>
      <c r="O44" s="284" t="str">
        <v>HandelKontor</v>
      </c>
      <c r="P44" s="28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4"/>
    </row>
    <row r="46" spans="1:31" x14ac:dyDescent="0.25">
      <c r="A46" s="6"/>
      <c r="U46" s="284"/>
    </row>
    <row r="47" spans="1:31" x14ac:dyDescent="0.25">
      <c r="A47" s="6"/>
      <c r="B47" s="342" t="s">
        <v>375</v>
      </c>
    </row>
    <row r="48" spans="1:31" x14ac:dyDescent="0.25">
      <c r="A48" s="6"/>
      <c r="B48" s="284" t="str">
        <f>B4</f>
        <v>Control</v>
      </c>
      <c r="C48" s="284" t="s">
        <v>371</v>
      </c>
    </row>
    <row r="49" spans="1:39" x14ac:dyDescent="0.25">
      <c r="A49" s="6">
        <f>COUNTA(_xlfn.ANCHORARRAY(C49))</f>
        <v>14</v>
      </c>
      <c r="B49" s="284" t="str">
        <f t="shared" ref="B49:B53" si="2">B5</f>
        <v>Plant</v>
      </c>
      <c r="C49" s="284" t="str" cm="1">
        <f t="array" ref="C49:P49">TRANSPOSE(_xlfn.ANCHORARRAY(K4))</f>
        <v>Aktiv</v>
      </c>
      <c r="D49" s="284" t="str">
        <v>Ukind</v>
      </c>
      <c r="E49" s="284" t="str">
        <v>Prioritet</v>
      </c>
      <c r="F49" s="284" t="str">
        <v>MinLhv</v>
      </c>
      <c r="G49" s="284" t="str">
        <v>MaxLhv</v>
      </c>
      <c r="H49" s="284" t="str">
        <v>MinTon</v>
      </c>
      <c r="I49" s="284" t="str">
        <v>MaxTon</v>
      </c>
      <c r="J49" s="284" t="str">
        <v>KapQNom</v>
      </c>
      <c r="K49" s="284" t="str">
        <v>KapRgk</v>
      </c>
      <c r="L49" s="284" t="str">
        <v>KapE</v>
      </c>
      <c r="M49" s="284" t="str">
        <v>EtaE</v>
      </c>
      <c r="N49" s="284" t="str">
        <v>EtaQ</v>
      </c>
      <c r="O49" s="284" t="str">
        <v>DVMWhq</v>
      </c>
      <c r="P49" s="284" t="str">
        <v>DVtime</v>
      </c>
    </row>
    <row r="50" spans="1:39" x14ac:dyDescent="0.25">
      <c r="A50" s="6">
        <f>COUNTA(_xlfn.ANCHORARRAY(C50))</f>
        <v>12</v>
      </c>
      <c r="B50" s="284" t="str">
        <f t="shared" si="2"/>
        <v>Storage</v>
      </c>
      <c r="C50" s="284" t="str" cm="1">
        <f t="array" ref="C50:N50">TRANSPOSE(_xlfn.ANCHORARRAY(L4))</f>
        <v>Aktiv</v>
      </c>
      <c r="D50" s="284" t="str">
        <v>StoKind</v>
      </c>
      <c r="E50" s="284" t="str">
        <v>LoadInit</v>
      </c>
      <c r="F50" s="284" t="str">
        <v>LoadMin</v>
      </c>
      <c r="G50" s="284" t="str">
        <v>LoadMax</v>
      </c>
      <c r="H50" s="284" t="str">
        <v>DLoadMax</v>
      </c>
      <c r="I50" s="284" t="str">
        <v>LossRate</v>
      </c>
      <c r="J50" s="284" t="str">
        <v>LoadCost</v>
      </c>
      <c r="K50" s="284" t="str">
        <v>DLoadCost</v>
      </c>
      <c r="L50" s="284" t="str">
        <v>ResetFirst</v>
      </c>
      <c r="M50" s="284" t="str">
        <v>ResetIntv</v>
      </c>
      <c r="N50" s="284" t="str">
        <v>ResetLast</v>
      </c>
    </row>
    <row r="51" spans="1:39" x14ac:dyDescent="0.25">
      <c r="A51" s="6">
        <f>COUNTA(_xlfn.ANCHORARRAY(C51))</f>
        <v>1</v>
      </c>
      <c r="B51" s="284" t="str">
        <f t="shared" si="2"/>
        <v>Prognoses</v>
      </c>
      <c r="C51" s="284" t="s">
        <v>371</v>
      </c>
    </row>
    <row r="52" spans="1:39" x14ac:dyDescent="0.25">
      <c r="A52" s="6">
        <f>COUNTA(_xlfn.ANCHORARRAY(C52))</f>
        <v>16</v>
      </c>
      <c r="B52" s="284" t="str">
        <f t="shared" si="2"/>
        <v>Fuel</v>
      </c>
      <c r="C52" s="284" t="str" cm="1">
        <f t="array" ref="C52:R52">TRANSPOSE(_xlfn.ANCHORARRAY(N4))</f>
        <v>Aktiv</v>
      </c>
      <c r="D52" s="284" t="str">
        <v>Fkind</v>
      </c>
      <c r="E52" s="284" t="str">
        <v>Lagerbar</v>
      </c>
      <c r="F52" s="284" t="str">
        <v>Fri</v>
      </c>
      <c r="G52" s="284" t="str">
        <v>Flex</v>
      </c>
      <c r="H52" s="284" t="str">
        <v>Bortskaf</v>
      </c>
      <c r="I52" s="284" t="str">
        <v>TilOvn2</v>
      </c>
      <c r="J52" s="284" t="str">
        <v>TilOvn3</v>
      </c>
      <c r="K52" s="284" t="str">
        <v>MinTonnage</v>
      </c>
      <c r="L52" s="284" t="str">
        <v>MaxTonnage</v>
      </c>
      <c r="M52" s="284" t="str">
        <v>InitSto1</v>
      </c>
      <c r="N52" s="284" t="str">
        <v>InitSto2</v>
      </c>
      <c r="O52" s="284" t="str">
        <v>Pris</v>
      </c>
      <c r="P52" s="284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4" t="str">
        <f t="shared" si="2"/>
        <v>FuelBounds</v>
      </c>
      <c r="C53" s="284" t="str" cm="1">
        <f t="array" ref="C53:I53">TRANSPOSE(O4:O10)</f>
        <v>TilOvn2</v>
      </c>
      <c r="D53" s="284" t="str">
        <v>TilOvn3</v>
      </c>
      <c r="E53" s="284" t="str">
        <v>MinTonnage</v>
      </c>
      <c r="F53" s="284" t="str">
        <v>MaxTonnage</v>
      </c>
      <c r="G53" s="284" t="str">
        <v>Pris</v>
      </c>
      <c r="H53" s="284" t="str">
        <v>LHV</v>
      </c>
      <c r="I53" s="284" t="str">
        <v>CO2kgGJ</v>
      </c>
    </row>
    <row r="54" spans="1:39" x14ac:dyDescent="0.25">
      <c r="A54" s="6"/>
    </row>
    <row r="56" spans="1:39" x14ac:dyDescent="0.25">
      <c r="A56" t="s">
        <v>377</v>
      </c>
      <c r="B56" s="284">
        <v>5</v>
      </c>
    </row>
    <row r="57" spans="1:39" x14ac:dyDescent="0.25">
      <c r="B57" s="284">
        <f ca="1">OFFSET(OfzNiveau2,B56+1,COLUMNS(arrNiv2))</f>
        <v>0</v>
      </c>
    </row>
    <row r="59" spans="1:39" x14ac:dyDescent="0.25">
      <c r="B59" s="284" t="str" cm="1">
        <f t="array" aca="1" ref="B59:AM59" ca="1">OFFSET(OfzNiveau2,B56+1,1,1,COLUMNS(arrNiv2))</f>
        <v>DepoSort</v>
      </c>
      <c r="C59" s="284" t="str">
        <f ca="1"/>
        <v>DepoSmaat</v>
      </c>
      <c r="D59" s="284" t="str">
        <f ca="1"/>
        <v>DepoNedd</v>
      </c>
      <c r="E59" s="284" t="str">
        <f ca="1"/>
        <v>Dagren</v>
      </c>
      <c r="F59" s="284" t="str">
        <f ca="1"/>
        <v>AndetBrand</v>
      </c>
      <c r="G59" s="284" t="str">
        <f ca="1"/>
        <v>Trae</v>
      </c>
      <c r="H59" s="284" t="str">
        <f ca="1"/>
        <v>DagrenRast</v>
      </c>
      <c r="I59" s="284" t="str">
        <f ca="1"/>
        <v>DagrenInst</v>
      </c>
      <c r="J59" s="284" t="str">
        <f ca="1"/>
        <v>DagrenHandel</v>
      </c>
      <c r="K59" s="284" t="str">
        <f ca="1"/>
        <v>DagrenRestau</v>
      </c>
      <c r="L59" s="284" t="str">
        <f ca="1"/>
        <v>Erhverv</v>
      </c>
      <c r="M59" s="284" t="str">
        <f ca="1"/>
        <v>DagrenErhverv</v>
      </c>
      <c r="N59" s="284" t="str">
        <f ca="1"/>
        <v>HandelKontor</v>
      </c>
      <c r="O59" s="284" t="str">
        <f ca="1"/>
        <v>Privat</v>
      </c>
      <c r="P59" s="284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INFO</vt:lpstr>
      <vt:lpstr>Scen</vt:lpstr>
      <vt:lpstr>DataCtrl</vt:lpstr>
      <vt:lpstr>DataU</vt:lpstr>
      <vt:lpstr>DataFuel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2022-02-04T11:12:14Z</dcterms:modified>
</cp:coreProperties>
</file>