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42C0001-F379-4C63-BE44-D22D24DD08FD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1" l="1"/>
  <c r="W34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<sst xmlns="http://schemas.openxmlformats.org/spreadsheetml/2006/main" count="866" uniqueCount="381">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</sst>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  <xf numFmtId="0" fontId="41" fillId="17" borderId="2" applyNumberFormat="0" applyAlignment="0" applyProtection="0"/>
  </cellStyleXfs>
  <cellXfs count="36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8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7" fillId="0" borderId="0" xfId="0" applyNumberFormat="1" applyFont="1"/>
    <xf numFmtId="3" fontId="42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="85" zoomScaleNormal="85" workbookViewId="0">
      <selection activeCell="C7" sqref="C7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53" t="s">
        <v>379</v>
      </c>
      <c r="C3" s="357" t="s">
        <v>91</v>
      </c>
      <c r="D3" s="354" t="s">
        <v>228</v>
      </c>
    </row>
    <row r="4" spans="2:4" x14ac:dyDescent="0.25">
      <c r="B4" s="351" t="s">
        <v>337</v>
      </c>
      <c r="C4" s="108">
        <v>0</v>
      </c>
      <c r="D4" s="355" t="s">
        <v>338</v>
      </c>
    </row>
    <row r="5" spans="2:4" x14ac:dyDescent="0.25">
      <c r="B5" s="351" t="s">
        <v>223</v>
      </c>
      <c r="C5" s="327">
        <v>0</v>
      </c>
      <c r="D5" s="355" t="s">
        <v>224</v>
      </c>
    </row>
    <row r="6" spans="2:4" x14ac:dyDescent="0.25">
      <c r="B6" s="351" t="s">
        <v>227</v>
      </c>
      <c r="C6" s="327">
        <v>0</v>
      </c>
      <c r="D6" s="355" t="s">
        <v>376</v>
      </c>
    </row>
    <row r="7" spans="2:4" x14ac:dyDescent="0.25">
      <c r="B7" s="351" t="s">
        <v>374</v>
      </c>
      <c r="C7" s="327">
        <v>1</v>
      </c>
      <c r="D7" s="356" t="s">
        <v>375</v>
      </c>
    </row>
    <row r="8" spans="2:4" x14ac:dyDescent="0.25">
      <c r="B8" s="358" t="s">
        <v>271</v>
      </c>
      <c r="C8" s="359">
        <v>0</v>
      </c>
      <c r="D8" s="360" t="s">
        <v>272</v>
      </c>
    </row>
    <row r="9" spans="2:4" x14ac:dyDescent="0.25">
      <c r="B9" s="351" t="s">
        <v>371</v>
      </c>
      <c r="C9" s="108">
        <v>1</v>
      </c>
      <c r="D9" s="356" t="s">
        <v>372</v>
      </c>
    </row>
    <row r="10" spans="2:4" x14ac:dyDescent="0.25">
      <c r="B10" s="351" t="s">
        <v>84</v>
      </c>
      <c r="C10" s="329">
        <v>0.1</v>
      </c>
      <c r="D10" s="355"/>
    </row>
    <row r="11" spans="2:4" x14ac:dyDescent="0.25">
      <c r="B11" s="351" t="s">
        <v>225</v>
      </c>
      <c r="C11" s="329">
        <v>7.0000000000000007E-2</v>
      </c>
      <c r="D11" s="355" t="s">
        <v>226</v>
      </c>
    </row>
    <row r="12" spans="2:4" x14ac:dyDescent="0.25">
      <c r="B12" s="351" t="s">
        <v>93</v>
      </c>
      <c r="C12" s="330">
        <v>0</v>
      </c>
      <c r="D12" s="355" t="s">
        <v>246</v>
      </c>
    </row>
    <row r="13" spans="2:4" x14ac:dyDescent="0.25">
      <c r="B13" s="351" t="s">
        <v>330</v>
      </c>
      <c r="C13" s="331">
        <v>25</v>
      </c>
      <c r="D13" s="355" t="s">
        <v>332</v>
      </c>
    </row>
    <row r="14" spans="2:4" x14ac:dyDescent="0.25">
      <c r="B14" s="351"/>
      <c r="C14" s="75"/>
      <c r="D14" s="328"/>
    </row>
    <row r="15" spans="2:4" x14ac:dyDescent="0.25">
      <c r="B15" s="351"/>
      <c r="C15" s="75"/>
      <c r="D15" s="328"/>
    </row>
    <row r="16" spans="2:4" x14ac:dyDescent="0.25">
      <c r="B16" s="351"/>
      <c r="C16" s="75"/>
      <c r="D16" s="328"/>
    </row>
    <row r="17" spans="2:4" x14ac:dyDescent="0.25">
      <c r="B17" s="351"/>
      <c r="C17" s="75"/>
      <c r="D17" s="328"/>
    </row>
    <row r="18" spans="2:4" x14ac:dyDescent="0.25">
      <c r="B18" s="351"/>
      <c r="C18" s="75"/>
      <c r="D18" s="328"/>
    </row>
    <row r="19" spans="2:4" x14ac:dyDescent="0.25">
      <c r="B19" s="351"/>
      <c r="C19" s="75"/>
      <c r="D19" s="328"/>
    </row>
    <row r="20" spans="2:4" x14ac:dyDescent="0.25">
      <c r="B20" s="352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tabSelected="1" topLeftCell="A10" zoomScale="85" zoomScaleNormal="85" workbookViewId="0">
      <selection activeCell="Q27" sqref="Q27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43" t="s">
        <v>110</v>
      </c>
      <c r="B21" s="344"/>
      <c r="C21" s="344"/>
      <c r="D21" s="344"/>
      <c r="E21" s="344"/>
      <c r="F21" s="345"/>
      <c r="G21" s="343" t="s">
        <v>101</v>
      </c>
      <c r="H21" s="344"/>
      <c r="I21" s="344"/>
      <c r="J21" s="344"/>
      <c r="K21" s="344"/>
      <c r="L21" s="344"/>
      <c r="M21" s="345"/>
      <c r="N21" s="340" t="s">
        <v>195</v>
      </c>
      <c r="O21" s="342"/>
      <c r="P21" s="361" t="s">
        <v>194</v>
      </c>
      <c r="Q21" s="362"/>
      <c r="R21" s="363"/>
      <c r="S21" s="340" t="s">
        <v>215</v>
      </c>
      <c r="T21" s="341"/>
      <c r="U21" s="341"/>
      <c r="V21" s="341"/>
      <c r="W21" s="341"/>
      <c r="X21" s="341"/>
      <c r="Y21" s="341"/>
      <c r="Z21" s="342"/>
      <c r="AA21" s="340" t="s">
        <v>216</v>
      </c>
      <c r="AB21" s="341"/>
      <c r="AC21" s="342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66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64">
        <v>4076.9</v>
      </c>
      <c r="Q23" s="160">
        <v>1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64">
        <v>4120.58</v>
      </c>
      <c r="Q24" s="159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64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64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64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64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64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64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64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64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64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65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6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>8*H36*24</f>
        <v>5376</v>
      </c>
      <c r="Q36" s="163">
        <v>1</v>
      </c>
      <c r="R36" s="237">
        <v>400</v>
      </c>
      <c r="S36" s="237">
        <f t="shared" ref="S36:S46" si="17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8">AE35+0.1561*7.5*$F36</f>
        <v>725.75137499999983</v>
      </c>
    </row>
    <row r="37" spans="1:35" x14ac:dyDescent="0.25">
      <c r="A37" s="91">
        <f t="shared" si="0"/>
        <v>2022</v>
      </c>
      <c r="B37" s="91">
        <f t="shared" si="16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>8*H37*24</f>
        <v>5952</v>
      </c>
      <c r="Q37" s="163">
        <v>1</v>
      </c>
      <c r="R37" s="237">
        <v>400</v>
      </c>
      <c r="S37" s="237">
        <f t="shared" si="17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8"/>
        <v>762.04462499999977</v>
      </c>
    </row>
    <row r="38" spans="1:35" x14ac:dyDescent="0.25">
      <c r="A38" s="91">
        <f t="shared" si="0"/>
        <v>2022</v>
      </c>
      <c r="B38" s="91">
        <f t="shared" si="16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>8*H38*24</f>
        <v>5760</v>
      </c>
      <c r="Q38" s="163">
        <v>1</v>
      </c>
      <c r="R38" s="237">
        <v>400</v>
      </c>
      <c r="S38" s="237">
        <f t="shared" si="17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8"/>
        <v>797.16712499999971</v>
      </c>
    </row>
    <row r="39" spans="1:35" x14ac:dyDescent="0.25">
      <c r="A39" s="91">
        <f t="shared" si="0"/>
        <v>2022</v>
      </c>
      <c r="B39" s="91">
        <f t="shared" si="16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>8*H39*24</f>
        <v>5952</v>
      </c>
      <c r="Q39" s="163">
        <v>1</v>
      </c>
      <c r="R39" s="237">
        <v>400</v>
      </c>
      <c r="S39" s="237">
        <f t="shared" si="17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8"/>
        <v>833.46037499999966</v>
      </c>
    </row>
    <row r="40" spans="1:35" x14ac:dyDescent="0.25">
      <c r="A40" s="91">
        <f t="shared" si="0"/>
        <v>2022</v>
      </c>
      <c r="B40" s="91">
        <f t="shared" si="16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19">$F40</f>
        <v>30</v>
      </c>
      <c r="L40" s="235">
        <f t="shared" si="19"/>
        <v>30</v>
      </c>
      <c r="M40" s="165">
        <f t="shared" si="14"/>
        <v>2</v>
      </c>
      <c r="N40" s="237">
        <v>7500</v>
      </c>
      <c r="O40" s="237">
        <v>0</v>
      </c>
      <c r="P40" s="318">
        <f>8*H40*24</f>
        <v>384</v>
      </c>
      <c r="Q40" s="163">
        <v>1</v>
      </c>
      <c r="R40" s="237">
        <v>400</v>
      </c>
      <c r="S40" s="237">
        <f t="shared" si="17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8"/>
        <v>868.5828749999996</v>
      </c>
    </row>
    <row r="41" spans="1:35" x14ac:dyDescent="0.25">
      <c r="A41" s="91">
        <f t="shared" si="0"/>
        <v>2022</v>
      </c>
      <c r="B41" s="91">
        <f t="shared" si="16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19"/>
        <v>31</v>
      </c>
      <c r="L41" s="235">
        <f t="shared" si="19"/>
        <v>31</v>
      </c>
      <c r="M41" s="165">
        <f t="shared" si="14"/>
        <v>31</v>
      </c>
      <c r="N41" s="237">
        <v>7500</v>
      </c>
      <c r="O41" s="237">
        <v>0</v>
      </c>
      <c r="P41" s="318">
        <f>8*H41*24</f>
        <v>5952</v>
      </c>
      <c r="Q41" s="163">
        <v>1</v>
      </c>
      <c r="R41" s="237">
        <v>400</v>
      </c>
      <c r="S41" s="237">
        <f t="shared" si="17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8"/>
        <v>904.87612499999955</v>
      </c>
    </row>
    <row r="42" spans="1:35" x14ac:dyDescent="0.25">
      <c r="A42" s="91">
        <f t="shared" si="0"/>
        <v>2022</v>
      </c>
      <c r="B42" s="91">
        <f t="shared" si="16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0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19"/>
        <v>31</v>
      </c>
      <c r="L42" s="235">
        <f t="shared" si="19"/>
        <v>31</v>
      </c>
      <c r="M42" s="165">
        <f t="shared" si="14"/>
        <v>31</v>
      </c>
      <c r="N42" s="237">
        <v>7000</v>
      </c>
      <c r="O42" s="237">
        <v>0</v>
      </c>
      <c r="P42" s="318">
        <f>8*H42*24</f>
        <v>5952</v>
      </c>
      <c r="Q42" s="163">
        <v>1</v>
      </c>
      <c r="R42" s="237">
        <v>400</v>
      </c>
      <c r="S42" s="237">
        <f t="shared" si="17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8"/>
        <v>941.16937499999949</v>
      </c>
    </row>
    <row r="43" spans="1:35" x14ac:dyDescent="0.25">
      <c r="A43" s="91">
        <f t="shared" si="0"/>
        <v>2022</v>
      </c>
      <c r="B43" s="91">
        <f t="shared" si="16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0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19"/>
        <v>30</v>
      </c>
      <c r="L43" s="235">
        <f t="shared" si="19"/>
        <v>30</v>
      </c>
      <c r="M43" s="165">
        <f t="shared" si="14"/>
        <v>30</v>
      </c>
      <c r="N43" s="237">
        <v>8000</v>
      </c>
      <c r="O43" s="237">
        <v>0</v>
      </c>
      <c r="P43" s="318">
        <f>8*H43*24</f>
        <v>5760</v>
      </c>
      <c r="Q43" s="163">
        <v>1</v>
      </c>
      <c r="R43" s="237">
        <v>400</v>
      </c>
      <c r="S43" s="237">
        <f t="shared" si="17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8"/>
        <v>976.29187499999944</v>
      </c>
    </row>
    <row r="44" spans="1:35" x14ac:dyDescent="0.25">
      <c r="A44" s="91">
        <f t="shared" si="0"/>
        <v>2022</v>
      </c>
      <c r="B44" s="91">
        <f t="shared" si="16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0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19"/>
        <v>31</v>
      </c>
      <c r="L44" s="235">
        <f t="shared" si="19"/>
        <v>31</v>
      </c>
      <c r="M44" s="165">
        <f t="shared" si="14"/>
        <v>31</v>
      </c>
      <c r="N44" s="237">
        <v>19700</v>
      </c>
      <c r="O44" s="237">
        <v>0</v>
      </c>
      <c r="P44" s="318">
        <f>8*H44*24</f>
        <v>5952</v>
      </c>
      <c r="Q44" s="163">
        <v>1</v>
      </c>
      <c r="R44" s="237">
        <v>400</v>
      </c>
      <c r="S44" s="237">
        <f t="shared" si="17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8"/>
        <v>1012.5851249999994</v>
      </c>
    </row>
    <row r="45" spans="1:35" x14ac:dyDescent="0.25">
      <c r="A45" s="91">
        <f t="shared" si="0"/>
        <v>2022</v>
      </c>
      <c r="B45" s="91">
        <f t="shared" si="16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0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19"/>
        <v>30</v>
      </c>
      <c r="L45" s="235">
        <f t="shared" si="19"/>
        <v>30</v>
      </c>
      <c r="M45" s="165">
        <f t="shared" si="14"/>
        <v>30</v>
      </c>
      <c r="N45" s="237">
        <v>27500</v>
      </c>
      <c r="O45" s="237">
        <v>1500</v>
      </c>
      <c r="P45" s="318">
        <f>8*H45*24</f>
        <v>5760</v>
      </c>
      <c r="Q45" s="163">
        <v>1</v>
      </c>
      <c r="R45" s="237">
        <v>400</v>
      </c>
      <c r="S45" s="237">
        <f t="shared" si="17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8"/>
        <v>1047.7076249999993</v>
      </c>
    </row>
    <row r="46" spans="1:35" x14ac:dyDescent="0.25">
      <c r="A46" s="94">
        <f t="shared" si="0"/>
        <v>2022</v>
      </c>
      <c r="B46" s="94">
        <f t="shared" si="16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0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19"/>
        <v>31</v>
      </c>
      <c r="L46" s="236">
        <f t="shared" si="19"/>
        <v>31</v>
      </c>
      <c r="M46" s="166">
        <f t="shared" si="14"/>
        <v>31</v>
      </c>
      <c r="N46" s="241">
        <v>33000</v>
      </c>
      <c r="O46" s="241">
        <v>5600</v>
      </c>
      <c r="P46" s="317">
        <f>8*H46*24</f>
        <v>5952</v>
      </c>
      <c r="Q46" s="164">
        <v>1</v>
      </c>
      <c r="R46" s="241">
        <v>400</v>
      </c>
      <c r="S46" s="241">
        <f t="shared" si="17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8"/>
        <v>1084.0008749999993</v>
      </c>
    </row>
    <row r="47" spans="1:35" x14ac:dyDescent="0.25">
      <c r="A47" s="91">
        <f t="shared" si="0"/>
        <v>2023</v>
      </c>
      <c r="B47" s="91">
        <f t="shared" si="16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0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19"/>
        <v>31</v>
      </c>
      <c r="L47" s="235">
        <f t="shared" si="19"/>
        <v>31</v>
      </c>
      <c r="M47" s="167">
        <f t="shared" si="14"/>
        <v>31</v>
      </c>
      <c r="N47" s="237">
        <v>35300</v>
      </c>
      <c r="O47" s="237">
        <v>4000</v>
      </c>
      <c r="P47" s="318">
        <f>8*H47*24</f>
        <v>5952</v>
      </c>
      <c r="Q47" s="162">
        <v>1</v>
      </c>
      <c r="R47" s="237">
        <v>400</v>
      </c>
      <c r="S47" s="237">
        <f t="shared" ref="S47:S58" si="21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2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8"/>
        <v>1120.2941249999992</v>
      </c>
    </row>
    <row r="48" spans="1:35" x14ac:dyDescent="0.25">
      <c r="A48" s="91">
        <f t="shared" si="0"/>
        <v>2023</v>
      </c>
      <c r="B48" s="91">
        <f t="shared" si="16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0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19"/>
        <v>28</v>
      </c>
      <c r="L48" s="235">
        <f t="shared" si="19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3">8*H48*24</f>
        <v>5376</v>
      </c>
      <c r="Q48" s="163">
        <v>1</v>
      </c>
      <c r="R48" s="237">
        <v>400</v>
      </c>
      <c r="S48" s="237">
        <f t="shared" si="21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2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8"/>
        <v>1153.0751249999992</v>
      </c>
    </row>
    <row r="49" spans="1:31" x14ac:dyDescent="0.25">
      <c r="A49" s="91">
        <f t="shared" si="0"/>
        <v>2023</v>
      </c>
      <c r="B49" s="91">
        <f t="shared" si="16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0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19"/>
        <v>31</v>
      </c>
      <c r="L49" s="235">
        <f t="shared" si="19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3"/>
        <v>5952</v>
      </c>
      <c r="Q49" s="163">
        <v>1</v>
      </c>
      <c r="R49" s="237">
        <v>400</v>
      </c>
      <c r="S49" s="237">
        <f t="shared" si="21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2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8"/>
        <v>1189.3683749999991</v>
      </c>
    </row>
    <row r="50" spans="1:31" x14ac:dyDescent="0.25">
      <c r="A50" s="91">
        <f t="shared" si="0"/>
        <v>2023</v>
      </c>
      <c r="B50" s="91">
        <f t="shared" si="16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0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19"/>
        <v>30</v>
      </c>
      <c r="L50" s="235">
        <f t="shared" si="19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3"/>
        <v>5760</v>
      </c>
      <c r="Q50" s="163">
        <v>1</v>
      </c>
      <c r="R50" s="237">
        <v>400</v>
      </c>
      <c r="S50" s="237">
        <f t="shared" si="21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2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8"/>
        <v>1224.4908749999991</v>
      </c>
    </row>
    <row r="51" spans="1:31" x14ac:dyDescent="0.25">
      <c r="A51" s="91">
        <f t="shared" si="0"/>
        <v>2023</v>
      </c>
      <c r="B51" s="91">
        <f t="shared" si="16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0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19"/>
        <v>31</v>
      </c>
      <c r="L51" s="235">
        <f t="shared" si="19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3"/>
        <v>5952</v>
      </c>
      <c r="Q51" s="163">
        <v>1</v>
      </c>
      <c r="R51" s="237">
        <v>400</v>
      </c>
      <c r="S51" s="237">
        <f t="shared" si="21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2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8"/>
        <v>1260.784124999999</v>
      </c>
    </row>
    <row r="52" spans="1:31" x14ac:dyDescent="0.25">
      <c r="A52" s="91">
        <f t="shared" si="0"/>
        <v>2023</v>
      </c>
      <c r="B52" s="91">
        <f t="shared" si="16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0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19"/>
        <v>30</v>
      </c>
      <c r="L52" s="235">
        <f t="shared" si="19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3"/>
        <v>384</v>
      </c>
      <c r="Q52" s="163">
        <v>1</v>
      </c>
      <c r="R52" s="237">
        <v>400</v>
      </c>
      <c r="S52" s="237">
        <f t="shared" si="21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2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8"/>
        <v>1295.9066249999989</v>
      </c>
    </row>
    <row r="53" spans="1:31" x14ac:dyDescent="0.25">
      <c r="A53" s="91">
        <f t="shared" si="0"/>
        <v>2023</v>
      </c>
      <c r="B53" s="91">
        <f t="shared" si="16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19"/>
        <v>31</v>
      </c>
      <c r="L53" s="235">
        <f t="shared" si="19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3"/>
        <v>5952</v>
      </c>
      <c r="Q53" s="163">
        <v>1</v>
      </c>
      <c r="R53" s="237">
        <v>400</v>
      </c>
      <c r="S53" s="237">
        <f t="shared" si="21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2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8"/>
        <v>1332.1998749999989</v>
      </c>
    </row>
    <row r="54" spans="1:31" x14ac:dyDescent="0.25">
      <c r="A54" s="91">
        <f t="shared" si="0"/>
        <v>2023</v>
      </c>
      <c r="B54" s="91">
        <f t="shared" si="16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0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19"/>
        <v>31</v>
      </c>
      <c r="L54" s="235">
        <f t="shared" si="19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3"/>
        <v>5952</v>
      </c>
      <c r="Q54" s="163">
        <v>1</v>
      </c>
      <c r="R54" s="237">
        <v>400</v>
      </c>
      <c r="S54" s="237">
        <f t="shared" si="21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2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8"/>
        <v>1368.4931249999988</v>
      </c>
    </row>
    <row r="55" spans="1:31" x14ac:dyDescent="0.25">
      <c r="A55" s="91">
        <f t="shared" si="0"/>
        <v>2023</v>
      </c>
      <c r="B55" s="91">
        <f t="shared" si="16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4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19"/>
        <v>30</v>
      </c>
      <c r="L55" s="235">
        <f t="shared" si="19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3"/>
        <v>5760</v>
      </c>
      <c r="Q55" s="163">
        <v>1</v>
      </c>
      <c r="R55" s="237">
        <v>400</v>
      </c>
      <c r="S55" s="237">
        <f t="shared" si="21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2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8"/>
        <v>1403.6156249999988</v>
      </c>
    </row>
    <row r="56" spans="1:31" x14ac:dyDescent="0.25">
      <c r="A56" s="91">
        <f t="shared" si="0"/>
        <v>2023</v>
      </c>
      <c r="B56" s="91">
        <f t="shared" si="16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4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19"/>
        <v>31</v>
      </c>
      <c r="L56" s="235">
        <f t="shared" si="19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3"/>
        <v>5952</v>
      </c>
      <c r="Q56" s="163">
        <v>1</v>
      </c>
      <c r="R56" s="237">
        <v>400</v>
      </c>
      <c r="S56" s="237">
        <f t="shared" si="21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2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8"/>
        <v>1439.9088749999987</v>
      </c>
    </row>
    <row r="57" spans="1:31" x14ac:dyDescent="0.25">
      <c r="A57" s="91">
        <f t="shared" si="0"/>
        <v>2023</v>
      </c>
      <c r="B57" s="91">
        <f t="shared" si="16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4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19"/>
        <v>30</v>
      </c>
      <c r="L57" s="235">
        <f t="shared" si="19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3"/>
        <v>5760</v>
      </c>
      <c r="Q57" s="163">
        <v>1</v>
      </c>
      <c r="R57" s="237">
        <v>400</v>
      </c>
      <c r="S57" s="237">
        <f t="shared" si="21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2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8"/>
        <v>1475.0313749999987</v>
      </c>
    </row>
    <row r="58" spans="1:31" x14ac:dyDescent="0.25">
      <c r="A58" s="94">
        <f t="shared" si="0"/>
        <v>2023</v>
      </c>
      <c r="B58" s="94">
        <f t="shared" si="16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4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19"/>
        <v>31</v>
      </c>
      <c r="L58" s="236">
        <f t="shared" si="19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3"/>
        <v>5952</v>
      </c>
      <c r="Q58" s="164">
        <v>1</v>
      </c>
      <c r="R58" s="241">
        <v>400</v>
      </c>
      <c r="S58" s="241">
        <f t="shared" si="21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2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7" priority="11" operator="notBetween">
      <formula>1</formula>
      <formula>12</formula>
    </cfRule>
  </conditionalFormatting>
  <conditionalFormatting sqref="E23:E58">
    <cfRule type="cellIs" dxfId="6" priority="10" operator="greaterThan">
      <formula>0</formula>
    </cfRule>
  </conditionalFormatting>
  <conditionalFormatting sqref="G4">
    <cfRule type="containsText" dxfId="5" priority="9" operator="containsText" text="FEJL">
      <formula>NOT(ISERROR(SEARCH("FEJL",G4)))</formula>
    </cfRule>
  </conditionalFormatting>
  <conditionalFormatting sqref="F4">
    <cfRule type="cellIs" dxfId="4" priority="7" operator="greaterThan">
      <formula>0</formula>
    </cfRule>
  </conditionalFormatting>
  <conditionalFormatting sqref="B12:B17">
    <cfRule type="cellIs" dxfId="3" priority="4" operator="greaterThan">
      <formula>0</formula>
    </cfRule>
  </conditionalFormatting>
  <conditionalFormatting sqref="R12:R17">
    <cfRule type="cellIs" dxfId="2" priority="2" operator="greaterThan">
      <formula>0</formula>
    </cfRule>
    <cfRule type="cellIs" dxfId="1" priority="3" operator="greaterThan">
      <formula>0</formula>
    </cfRule>
  </conditionalFormatting>
  <conditionalFormatting sqref="Q23:Q58">
    <cfRule type="cellIs" dxfId="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U12" sqref="U12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49" t="s">
        <v>245</v>
      </c>
      <c r="M2" s="350"/>
      <c r="N2" s="349" t="s">
        <v>244</v>
      </c>
      <c r="O2" s="350"/>
      <c r="P2" s="120"/>
      <c r="Q2" s="120"/>
      <c r="R2" s="120"/>
      <c r="T2" s="346" t="s">
        <v>218</v>
      </c>
      <c r="U2" s="347"/>
      <c r="V2" s="348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f t="shared" si="6"/>
        <v>40000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-155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-17.222222222222221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40000</v>
      </c>
      <c r="N26" s="273">
        <v>1</v>
      </c>
      <c r="O26" s="273">
        <f t="shared" si="7"/>
        <v>0</v>
      </c>
      <c r="P26" s="196">
        <v>-100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-8.695652173913043</v>
      </c>
      <c r="V26" s="144">
        <f t="shared" si="2"/>
        <v>0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40000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30000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20000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>
        <f>V34/L34</f>
        <v>2.7892446792626981</v>
      </c>
      <c r="X34" s="9">
        <f>W34*3.6</f>
        <v>10.041280845345714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40000</v>
      </c>
      <c r="E62" s="258">
        <f t="shared" si="14"/>
        <v>40000</v>
      </c>
      <c r="F62" s="258">
        <f t="shared" si="14"/>
        <v>40000</v>
      </c>
      <c r="G62" s="258">
        <f t="shared" si="14"/>
        <v>40000</v>
      </c>
      <c r="H62" s="258">
        <f t="shared" si="14"/>
        <v>40000</v>
      </c>
      <c r="I62" s="258">
        <f t="shared" si="14"/>
        <v>40000</v>
      </c>
      <c r="J62" s="258">
        <f t="shared" si="14"/>
        <v>40000</v>
      </c>
      <c r="K62" s="258">
        <f t="shared" si="14"/>
        <v>40000</v>
      </c>
      <c r="L62" s="258">
        <f t="shared" si="14"/>
        <v>40000</v>
      </c>
      <c r="M62" s="258">
        <f t="shared" si="14"/>
        <v>40000</v>
      </c>
      <c r="N62" s="258">
        <f t="shared" si="14"/>
        <v>40000</v>
      </c>
      <c r="O62" s="258">
        <f t="shared" si="14"/>
        <v>40000</v>
      </c>
      <c r="P62" s="257">
        <f t="shared" si="14"/>
        <v>40000</v>
      </c>
      <c r="Q62" s="258">
        <f t="shared" si="14"/>
        <v>40000</v>
      </c>
      <c r="R62" s="258">
        <f t="shared" si="14"/>
        <v>40000</v>
      </c>
      <c r="S62" s="258">
        <f t="shared" si="14"/>
        <v>40000</v>
      </c>
      <c r="T62" s="258">
        <f t="shared" si="14"/>
        <v>40000</v>
      </c>
      <c r="U62" s="258">
        <f t="shared" si="14"/>
        <v>40000</v>
      </c>
      <c r="V62" s="258">
        <f t="shared" si="14"/>
        <v>40000</v>
      </c>
      <c r="W62" s="258">
        <f t="shared" si="14"/>
        <v>40000</v>
      </c>
      <c r="X62" s="258">
        <f t="shared" si="14"/>
        <v>40000</v>
      </c>
      <c r="Y62" s="258">
        <f t="shared" si="14"/>
        <v>40000</v>
      </c>
      <c r="Z62" s="258">
        <f t="shared" si="14"/>
        <v>40000</v>
      </c>
      <c r="AA62" s="258">
        <f t="shared" si="14"/>
        <v>40000</v>
      </c>
      <c r="AB62" s="257">
        <f t="shared" si="14"/>
        <v>40000</v>
      </c>
      <c r="AC62" s="258">
        <f t="shared" si="14"/>
        <v>40000</v>
      </c>
      <c r="AD62" s="258">
        <f t="shared" si="14"/>
        <v>40000</v>
      </c>
      <c r="AE62" s="258">
        <f t="shared" si="14"/>
        <v>40000</v>
      </c>
      <c r="AF62" s="258">
        <f t="shared" si="14"/>
        <v>40000</v>
      </c>
      <c r="AG62" s="258">
        <f t="shared" si="14"/>
        <v>40000</v>
      </c>
      <c r="AH62" s="258">
        <f t="shared" si="14"/>
        <v>40000</v>
      </c>
      <c r="AI62" s="258">
        <f t="shared" si="14"/>
        <v>40000</v>
      </c>
      <c r="AJ62" s="258">
        <f t="shared" si="14"/>
        <v>40000</v>
      </c>
      <c r="AK62" s="258">
        <f t="shared" si="14"/>
        <v>40000</v>
      </c>
      <c r="AL62" s="258">
        <f t="shared" si="14"/>
        <v>40000</v>
      </c>
      <c r="AM62" s="258">
        <f t="shared" si="14"/>
        <v>40000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3333.3333333333335</v>
      </c>
      <c r="E63" s="258">
        <f t="shared" si="14"/>
        <v>3333.3333333333335</v>
      </c>
      <c r="F63" s="258">
        <f t="shared" si="14"/>
        <v>3333.3333333333335</v>
      </c>
      <c r="G63" s="258">
        <f t="shared" si="14"/>
        <v>3333.3333333333335</v>
      </c>
      <c r="H63" s="258">
        <f t="shared" si="14"/>
        <v>3333.3333333333335</v>
      </c>
      <c r="I63" s="258">
        <f t="shared" si="14"/>
        <v>3333.3333333333335</v>
      </c>
      <c r="J63" s="258">
        <f t="shared" si="14"/>
        <v>3333.3333333333335</v>
      </c>
      <c r="K63" s="258">
        <f t="shared" si="14"/>
        <v>3333.3333333333335</v>
      </c>
      <c r="L63" s="258">
        <f t="shared" si="14"/>
        <v>3333.3333333333335</v>
      </c>
      <c r="M63" s="258">
        <f t="shared" si="14"/>
        <v>3333.3333333333335</v>
      </c>
      <c r="N63" s="258">
        <f t="shared" si="14"/>
        <v>3333.3333333333335</v>
      </c>
      <c r="O63" s="258">
        <f t="shared" ref="E63:AM66" si="15">IF(AND($I27&lt;&gt;0,$H27=0),$M27/12,$M27)</f>
        <v>3333.3333333333335</v>
      </c>
      <c r="P63" s="257">
        <f t="shared" si="15"/>
        <v>3333.3333333333335</v>
      </c>
      <c r="Q63" s="258">
        <f t="shared" si="15"/>
        <v>3333.3333333333335</v>
      </c>
      <c r="R63" s="258">
        <f t="shared" si="15"/>
        <v>3333.3333333333335</v>
      </c>
      <c r="S63" s="258">
        <f t="shared" si="15"/>
        <v>3333.3333333333335</v>
      </c>
      <c r="T63" s="258">
        <f t="shared" si="15"/>
        <v>3333.3333333333335</v>
      </c>
      <c r="U63" s="258">
        <f t="shared" si="15"/>
        <v>3333.3333333333335</v>
      </c>
      <c r="V63" s="258">
        <f t="shared" si="15"/>
        <v>3333.3333333333335</v>
      </c>
      <c r="W63" s="258">
        <f t="shared" si="15"/>
        <v>3333.3333333333335</v>
      </c>
      <c r="X63" s="258">
        <f t="shared" si="15"/>
        <v>3333.3333333333335</v>
      </c>
      <c r="Y63" s="258">
        <f t="shared" si="15"/>
        <v>3333.3333333333335</v>
      </c>
      <c r="Z63" s="258">
        <f t="shared" si="15"/>
        <v>3333.3333333333335</v>
      </c>
      <c r="AA63" s="258">
        <f t="shared" si="15"/>
        <v>3333.3333333333335</v>
      </c>
      <c r="AB63" s="257">
        <f t="shared" si="15"/>
        <v>3333.3333333333335</v>
      </c>
      <c r="AC63" s="258">
        <f t="shared" si="15"/>
        <v>3333.3333333333335</v>
      </c>
      <c r="AD63" s="258">
        <f t="shared" si="15"/>
        <v>3333.3333333333335</v>
      </c>
      <c r="AE63" s="258">
        <f t="shared" si="15"/>
        <v>3333.3333333333335</v>
      </c>
      <c r="AF63" s="258">
        <f t="shared" si="15"/>
        <v>3333.3333333333335</v>
      </c>
      <c r="AG63" s="258">
        <f t="shared" si="15"/>
        <v>3333.3333333333335</v>
      </c>
      <c r="AH63" s="258">
        <f t="shared" si="15"/>
        <v>3333.3333333333335</v>
      </c>
      <c r="AI63" s="258">
        <f t="shared" si="15"/>
        <v>3333.3333333333335</v>
      </c>
      <c r="AJ63" s="258">
        <f t="shared" si="15"/>
        <v>3333.3333333333335</v>
      </c>
      <c r="AK63" s="258">
        <f t="shared" si="15"/>
        <v>3333.3333333333335</v>
      </c>
      <c r="AL63" s="258">
        <f t="shared" si="15"/>
        <v>3333.3333333333335</v>
      </c>
      <c r="AM63" s="258">
        <f t="shared" si="15"/>
        <v>3333.3333333333335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2500</v>
      </c>
      <c r="E64" s="258">
        <f t="shared" si="15"/>
        <v>2500</v>
      </c>
      <c r="F64" s="258">
        <f t="shared" si="15"/>
        <v>2500</v>
      </c>
      <c r="G64" s="258">
        <f t="shared" si="15"/>
        <v>2500</v>
      </c>
      <c r="H64" s="258">
        <f t="shared" si="15"/>
        <v>2500</v>
      </c>
      <c r="I64" s="258">
        <f t="shared" si="15"/>
        <v>2500</v>
      </c>
      <c r="J64" s="258">
        <f t="shared" si="15"/>
        <v>2500</v>
      </c>
      <c r="K64" s="258">
        <f t="shared" si="15"/>
        <v>2500</v>
      </c>
      <c r="L64" s="258">
        <f t="shared" si="15"/>
        <v>2500</v>
      </c>
      <c r="M64" s="258">
        <f t="shared" si="15"/>
        <v>2500</v>
      </c>
      <c r="N64" s="258">
        <f t="shared" si="15"/>
        <v>2500</v>
      </c>
      <c r="O64" s="258">
        <f t="shared" si="15"/>
        <v>2500</v>
      </c>
      <c r="P64" s="257">
        <f t="shared" si="15"/>
        <v>2500</v>
      </c>
      <c r="Q64" s="258">
        <f t="shared" si="15"/>
        <v>2500</v>
      </c>
      <c r="R64" s="258">
        <f t="shared" si="15"/>
        <v>2500</v>
      </c>
      <c r="S64" s="258">
        <f t="shared" si="15"/>
        <v>2500</v>
      </c>
      <c r="T64" s="258">
        <f t="shared" si="15"/>
        <v>2500</v>
      </c>
      <c r="U64" s="258">
        <f t="shared" si="15"/>
        <v>2500</v>
      </c>
      <c r="V64" s="258">
        <f t="shared" si="15"/>
        <v>2500</v>
      </c>
      <c r="W64" s="258">
        <f t="shared" si="15"/>
        <v>2500</v>
      </c>
      <c r="X64" s="258">
        <f t="shared" si="15"/>
        <v>2500</v>
      </c>
      <c r="Y64" s="258">
        <f t="shared" si="15"/>
        <v>2500</v>
      </c>
      <c r="Z64" s="258">
        <f t="shared" si="15"/>
        <v>2500</v>
      </c>
      <c r="AA64" s="258">
        <f t="shared" si="15"/>
        <v>2500</v>
      </c>
      <c r="AB64" s="257">
        <f t="shared" si="15"/>
        <v>2500</v>
      </c>
      <c r="AC64" s="258">
        <f t="shared" si="15"/>
        <v>2500</v>
      </c>
      <c r="AD64" s="258">
        <f t="shared" si="15"/>
        <v>2500</v>
      </c>
      <c r="AE64" s="258">
        <f t="shared" si="15"/>
        <v>2500</v>
      </c>
      <c r="AF64" s="258">
        <f t="shared" si="15"/>
        <v>2500</v>
      </c>
      <c r="AG64" s="258">
        <f t="shared" si="15"/>
        <v>2500</v>
      </c>
      <c r="AH64" s="258">
        <f t="shared" si="15"/>
        <v>2500</v>
      </c>
      <c r="AI64" s="258">
        <f t="shared" si="15"/>
        <v>2500</v>
      </c>
      <c r="AJ64" s="258">
        <f t="shared" si="15"/>
        <v>2500</v>
      </c>
      <c r="AK64" s="258">
        <f t="shared" si="15"/>
        <v>2500</v>
      </c>
      <c r="AL64" s="258">
        <f t="shared" si="15"/>
        <v>2500</v>
      </c>
      <c r="AM64" s="258">
        <f t="shared" si="15"/>
        <v>2500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1666.6666666666667</v>
      </c>
      <c r="E65" s="258">
        <f t="shared" si="15"/>
        <v>1666.6666666666667</v>
      </c>
      <c r="F65" s="258">
        <f t="shared" si="15"/>
        <v>1666.6666666666667</v>
      </c>
      <c r="G65" s="258">
        <f t="shared" si="15"/>
        <v>1666.6666666666667</v>
      </c>
      <c r="H65" s="258">
        <f t="shared" si="15"/>
        <v>1666.6666666666667</v>
      </c>
      <c r="I65" s="258">
        <f t="shared" si="15"/>
        <v>1666.6666666666667</v>
      </c>
      <c r="J65" s="258">
        <f t="shared" si="15"/>
        <v>1666.6666666666667</v>
      </c>
      <c r="K65" s="258">
        <f t="shared" si="15"/>
        <v>1666.6666666666667</v>
      </c>
      <c r="L65" s="258">
        <f t="shared" si="15"/>
        <v>1666.6666666666667</v>
      </c>
      <c r="M65" s="258">
        <f t="shared" si="15"/>
        <v>1666.6666666666667</v>
      </c>
      <c r="N65" s="258">
        <f t="shared" si="15"/>
        <v>1666.6666666666667</v>
      </c>
      <c r="O65" s="258">
        <f t="shared" si="15"/>
        <v>1666.6666666666667</v>
      </c>
      <c r="P65" s="257">
        <f t="shared" si="15"/>
        <v>1666.6666666666667</v>
      </c>
      <c r="Q65" s="258">
        <f t="shared" si="15"/>
        <v>1666.6666666666667</v>
      </c>
      <c r="R65" s="258">
        <f t="shared" si="15"/>
        <v>1666.6666666666667</v>
      </c>
      <c r="S65" s="258">
        <f t="shared" si="15"/>
        <v>1666.6666666666667</v>
      </c>
      <c r="T65" s="258">
        <f t="shared" si="15"/>
        <v>1666.6666666666667</v>
      </c>
      <c r="U65" s="258">
        <f t="shared" si="15"/>
        <v>1666.6666666666667</v>
      </c>
      <c r="V65" s="258">
        <f t="shared" si="15"/>
        <v>1666.6666666666667</v>
      </c>
      <c r="W65" s="258">
        <f t="shared" si="15"/>
        <v>1666.6666666666667</v>
      </c>
      <c r="X65" s="258">
        <f t="shared" si="15"/>
        <v>1666.6666666666667</v>
      </c>
      <c r="Y65" s="258">
        <f t="shared" si="15"/>
        <v>1666.6666666666667</v>
      </c>
      <c r="Z65" s="258">
        <f t="shared" si="15"/>
        <v>1666.6666666666667</v>
      </c>
      <c r="AA65" s="258">
        <f t="shared" si="15"/>
        <v>1666.6666666666667</v>
      </c>
      <c r="AB65" s="257">
        <f t="shared" si="15"/>
        <v>1666.6666666666667</v>
      </c>
      <c r="AC65" s="258">
        <f t="shared" si="15"/>
        <v>1666.6666666666667</v>
      </c>
      <c r="AD65" s="258">
        <f t="shared" si="15"/>
        <v>1666.6666666666667</v>
      </c>
      <c r="AE65" s="258">
        <f t="shared" si="15"/>
        <v>1666.6666666666667</v>
      </c>
      <c r="AF65" s="258">
        <f t="shared" si="15"/>
        <v>1666.6666666666667</v>
      </c>
      <c r="AG65" s="258">
        <f t="shared" si="15"/>
        <v>1666.6666666666667</v>
      </c>
      <c r="AH65" s="258">
        <f t="shared" si="15"/>
        <v>1666.6666666666667</v>
      </c>
      <c r="AI65" s="258">
        <f t="shared" si="15"/>
        <v>1666.6666666666667</v>
      </c>
      <c r="AJ65" s="258">
        <f t="shared" si="15"/>
        <v>1666.6666666666667</v>
      </c>
      <c r="AK65" s="258">
        <f t="shared" si="15"/>
        <v>1666.6666666666667</v>
      </c>
      <c r="AL65" s="258">
        <f t="shared" si="15"/>
        <v>1666.6666666666667</v>
      </c>
      <c r="AM65" s="258">
        <f t="shared" si="15"/>
        <v>1666.6666666666667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-155</v>
      </c>
      <c r="E142" s="262">
        <f t="shared" si="68"/>
        <v>-155</v>
      </c>
      <c r="F142" s="262">
        <f t="shared" si="68"/>
        <v>-155</v>
      </c>
      <c r="G142" s="262">
        <f t="shared" si="68"/>
        <v>-155</v>
      </c>
      <c r="H142" s="262">
        <f t="shared" si="68"/>
        <v>-155</v>
      </c>
      <c r="I142" s="262">
        <f t="shared" si="68"/>
        <v>-155</v>
      </c>
      <c r="J142" s="262">
        <f t="shared" si="68"/>
        <v>-155</v>
      </c>
      <c r="K142" s="262">
        <f t="shared" si="68"/>
        <v>-155</v>
      </c>
      <c r="L142" s="262">
        <f t="shared" si="68"/>
        <v>-155</v>
      </c>
      <c r="M142" s="262">
        <f t="shared" si="68"/>
        <v>-155</v>
      </c>
      <c r="N142" s="262">
        <f t="shared" si="68"/>
        <v>-155</v>
      </c>
      <c r="O142" s="262">
        <f t="shared" si="68"/>
        <v>-155</v>
      </c>
      <c r="P142" s="261">
        <f t="shared" si="68"/>
        <v>-155</v>
      </c>
      <c r="Q142" s="262">
        <f t="shared" si="68"/>
        <v>-155</v>
      </c>
      <c r="R142" s="262">
        <f t="shared" si="68"/>
        <v>-155</v>
      </c>
      <c r="S142" s="262">
        <f t="shared" si="68"/>
        <v>-155</v>
      </c>
      <c r="T142" s="262">
        <f t="shared" si="68"/>
        <v>-155</v>
      </c>
      <c r="U142" s="262">
        <f t="shared" si="68"/>
        <v>-155</v>
      </c>
      <c r="V142" s="262">
        <f t="shared" si="68"/>
        <v>-155</v>
      </c>
      <c r="W142" s="262">
        <f t="shared" si="68"/>
        <v>-155</v>
      </c>
      <c r="X142" s="262">
        <f t="shared" si="68"/>
        <v>-155</v>
      </c>
      <c r="Y142" s="262">
        <f t="shared" si="68"/>
        <v>-155</v>
      </c>
      <c r="Z142" s="262">
        <f t="shared" si="68"/>
        <v>-155</v>
      </c>
      <c r="AA142" s="262">
        <f t="shared" si="68"/>
        <v>-155</v>
      </c>
      <c r="AB142" s="261">
        <f t="shared" si="68"/>
        <v>-155</v>
      </c>
      <c r="AC142" s="262">
        <f t="shared" si="68"/>
        <v>-155</v>
      </c>
      <c r="AD142" s="262">
        <f t="shared" si="68"/>
        <v>-155</v>
      </c>
      <c r="AE142" s="262">
        <f t="shared" si="68"/>
        <v>-155</v>
      </c>
      <c r="AF142" s="262">
        <f t="shared" si="68"/>
        <v>-155</v>
      </c>
      <c r="AG142" s="262">
        <f t="shared" si="68"/>
        <v>-155</v>
      </c>
      <c r="AH142" s="262">
        <f t="shared" si="68"/>
        <v>-155</v>
      </c>
      <c r="AI142" s="262">
        <f t="shared" si="68"/>
        <v>-155</v>
      </c>
      <c r="AJ142" s="262">
        <f t="shared" si="68"/>
        <v>-155</v>
      </c>
      <c r="AK142" s="262">
        <f t="shared" si="68"/>
        <v>-155</v>
      </c>
      <c r="AL142" s="262">
        <f t="shared" si="68"/>
        <v>-155</v>
      </c>
      <c r="AM142" s="262">
        <f t="shared" si="68"/>
        <v>-155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-100</v>
      </c>
      <c r="E143" s="262">
        <f t="shared" si="69"/>
        <v>-100</v>
      </c>
      <c r="F143" s="262">
        <f t="shared" si="69"/>
        <v>-100</v>
      </c>
      <c r="G143" s="262">
        <f t="shared" si="69"/>
        <v>-100</v>
      </c>
      <c r="H143" s="262">
        <f t="shared" si="69"/>
        <v>-100</v>
      </c>
      <c r="I143" s="262">
        <f t="shared" si="69"/>
        <v>-100</v>
      </c>
      <c r="J143" s="262">
        <f t="shared" si="69"/>
        <v>-100</v>
      </c>
      <c r="K143" s="262">
        <f t="shared" si="69"/>
        <v>-100</v>
      </c>
      <c r="L143" s="262">
        <f t="shared" si="69"/>
        <v>-100</v>
      </c>
      <c r="M143" s="262">
        <f t="shared" si="69"/>
        <v>-100</v>
      </c>
      <c r="N143" s="262">
        <f t="shared" si="69"/>
        <v>-100</v>
      </c>
      <c r="O143" s="262">
        <f t="shared" si="69"/>
        <v>-100</v>
      </c>
      <c r="P143" s="261">
        <f t="shared" si="69"/>
        <v>-100</v>
      </c>
      <c r="Q143" s="262">
        <f t="shared" si="69"/>
        <v>-100</v>
      </c>
      <c r="R143" s="262">
        <f t="shared" si="69"/>
        <v>-100</v>
      </c>
      <c r="S143" s="262">
        <f t="shared" si="69"/>
        <v>-100</v>
      </c>
      <c r="T143" s="262">
        <f t="shared" si="69"/>
        <v>-100</v>
      </c>
      <c r="U143" s="262">
        <f t="shared" si="69"/>
        <v>-100</v>
      </c>
      <c r="V143" s="262">
        <f t="shared" si="69"/>
        <v>-100</v>
      </c>
      <c r="W143" s="262">
        <f t="shared" si="69"/>
        <v>-100</v>
      </c>
      <c r="X143" s="262">
        <f t="shared" si="69"/>
        <v>-100</v>
      </c>
      <c r="Y143" s="262">
        <f t="shared" si="69"/>
        <v>-100</v>
      </c>
      <c r="Z143" s="262">
        <f t="shared" si="69"/>
        <v>-100</v>
      </c>
      <c r="AA143" s="262">
        <f t="shared" si="69"/>
        <v>-100</v>
      </c>
      <c r="AB143" s="261">
        <f t="shared" si="69"/>
        <v>-100</v>
      </c>
      <c r="AC143" s="262">
        <f t="shared" si="69"/>
        <v>-100</v>
      </c>
      <c r="AD143" s="262">
        <f t="shared" si="69"/>
        <v>-100</v>
      </c>
      <c r="AE143" s="262">
        <f t="shared" si="69"/>
        <v>-100</v>
      </c>
      <c r="AF143" s="262">
        <f t="shared" si="69"/>
        <v>-100</v>
      </c>
      <c r="AG143" s="262">
        <f t="shared" si="69"/>
        <v>-100</v>
      </c>
      <c r="AH143" s="262">
        <f t="shared" si="69"/>
        <v>-100</v>
      </c>
      <c r="AI143" s="262">
        <f t="shared" si="69"/>
        <v>-100</v>
      </c>
      <c r="AJ143" s="262">
        <f t="shared" si="69"/>
        <v>-100</v>
      </c>
      <c r="AK143" s="262">
        <f t="shared" si="69"/>
        <v>-100</v>
      </c>
      <c r="AL143" s="262">
        <f t="shared" si="69"/>
        <v>-100</v>
      </c>
      <c r="AM143" s="262">
        <f t="shared" si="69"/>
        <v>-100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8" priority="28" operator="equal">
      <formula>0</formula>
    </cfRule>
  </conditionalFormatting>
  <conditionalFormatting sqref="D37:AM37">
    <cfRule type="cellIs" dxfId="27" priority="19" operator="greaterThan">
      <formula>0</formula>
    </cfRule>
  </conditionalFormatting>
  <conditionalFormatting sqref="H31">
    <cfRule type="expression" dxfId="26" priority="13">
      <formula>$H31&lt;&gt;0</formula>
    </cfRule>
  </conditionalFormatting>
  <conditionalFormatting sqref="P5:P33">
    <cfRule type="cellIs" dxfId="25" priority="7" operator="lessThan">
      <formula>0</formula>
    </cfRule>
  </conditionalFormatting>
  <conditionalFormatting sqref="I31">
    <cfRule type="cellIs" dxfId="24" priority="17" operator="notEqual">
      <formula>0</formula>
    </cfRule>
  </conditionalFormatting>
  <conditionalFormatting sqref="S31 L31:M31">
    <cfRule type="cellIs" dxfId="23" priority="16" operator="equal">
      <formula>0</formula>
    </cfRule>
  </conditionalFormatting>
  <conditionalFormatting sqref="K5:K30">
    <cfRule type="cellIs" dxfId="22" priority="12" operator="equal">
      <formula>0</formula>
    </cfRule>
  </conditionalFormatting>
  <conditionalFormatting sqref="K31">
    <cfRule type="cellIs" dxfId="21" priority="11" operator="equal">
      <formula>0</formula>
    </cfRule>
  </conditionalFormatting>
  <conditionalFormatting sqref="J5:J30">
    <cfRule type="cellIs" dxfId="20" priority="10" operator="equal">
      <formula>0</formula>
    </cfRule>
  </conditionalFormatting>
  <conditionalFormatting sqref="J31">
    <cfRule type="cellIs" dxfId="19" priority="9" operator="equal">
      <formula>0</formula>
    </cfRule>
  </conditionalFormatting>
  <conditionalFormatting sqref="J5:K30">
    <cfRule type="cellIs" dxfId="18" priority="8" operator="equal">
      <formula>0</formula>
    </cfRule>
  </conditionalFormatting>
  <conditionalFormatting sqref="S5:V33 B5:F33 H5:Q33">
    <cfRule type="expression" dxfId="17" priority="29">
      <formula>$D5&lt;&gt;0</formula>
    </cfRule>
  </conditionalFormatting>
  <conditionalFormatting sqref="N5:O30">
    <cfRule type="cellIs" dxfId="16" priority="5" operator="lessThan">
      <formula>0</formula>
    </cfRule>
  </conditionalFormatting>
  <conditionalFormatting sqref="R5:R33">
    <cfRule type="expression" dxfId="15" priority="4">
      <formula>$D5&lt;&gt;0</formula>
    </cfRule>
  </conditionalFormatting>
  <conditionalFormatting sqref="G5:G33">
    <cfRule type="cellIs" dxfId="14" priority="2" operator="equal">
      <formula>0</formula>
    </cfRule>
  </conditionalFormatting>
  <conditionalFormatting sqref="G31">
    <cfRule type="expression" dxfId="13" priority="1">
      <formula>$H31&lt;&gt;0</formula>
    </cfRule>
  </conditionalFormatting>
  <conditionalFormatting sqref="G5:G33">
    <cfRule type="expression" dxfId="12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1" priority="10" operator="lessThan">
      <formula>0.0000000000012</formula>
    </cfRule>
  </conditionalFormatting>
  <conditionalFormatting sqref="D88:O93">
    <cfRule type="cellIs" dxfId="10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9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8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2022-01-26T06:29:19Z</dcterms:modified>
</cp:coreProperties>
</file>