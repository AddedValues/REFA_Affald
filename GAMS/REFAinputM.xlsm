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26713099-4F4D-4723-B57F-1B2CC32B1A76}" xr6:coauthVersionLast="47" xr6:coauthVersionMax="47" xr10:uidLastSave="{00000000-0000-0000-0000-000000000000}"/>
  <bookViews>
    <workbookView xWindow="-120" yWindow="-120" windowWidth="29040" windowHeight="17520" tabRatio="841" firstSheet="1" activeTab="3" xr2:uid="{15369939-A677-4414-B524-DF263B3097DC}"/>
  </bookViews>
  <sheets>
    <sheet name="ModelParms" sheetId="5" state="hidden" r:id="rId1"/>
    <sheet name="INFO" sheetId="16" r:id="rId2"/>
    <sheet name="Scen" sheetId="15" r:id="rId3"/>
    <sheet name="DataCtrl" sheetId="10" r:id="rId4"/>
    <sheet name="DataU" sheetId="2" r:id="rId5"/>
    <sheet name="DataFuel" sheetId="1" r:id="rId6"/>
    <sheet name="Affald2021" sheetId="17" r:id="rId7"/>
    <sheet name="E-V" sheetId="11" r:id="rId8"/>
    <sheet name="Lister" sheetId="12" r:id="rId9"/>
    <sheet name="Resultater" sheetId="8" state="hidden" r:id="rId10"/>
    <sheet name="OptimDump" sheetId="9" state="hidden" r:id="rId11"/>
  </sheets>
  <externalReferences>
    <externalReference r:id="rId12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pmax" hidden="1" xlm="1">#NAME?</definedName>
    <definedName name="_xlpm.ran" hidden="1" xlm="1">#NAME?</definedName>
    <definedName name="Affaldsfraktioner">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>_xlfn.LET(_xlpm.icol,MATCH(Scen!$E1&amp;"2",listHeaders,0)-1,_xlpm.ran,OFFSET(Lister!$B$3,1,_xlpm.icol,40,1),OFFSET(Lister!$B$3,1,_xlpm.icol,COUNTA(_xlpm.ran)-COUNTIF(_xlpm.ran,"=0"),1))</definedName>
    <definedName name="DropDownScen3">_xlfn.LET(_xlpm.icol,MATCH(Scen!$E1&amp;"3",listHeaders,0)-1,_xlpm.ran,OFFSET(Lister!$B$3,1,_xlpm.icol,40,1),OFFSET(Lister!$B$3,1,_xlpm.icol,COUNTA(_xlpm.ran)-COUNTIF(_xlpm.ran,"=0"),1))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FixAffald2021">DataCtrl!$C$9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DataCtrl!$B$4:$B$20</definedName>
    <definedName name="listFuelAttr">DataFuel!$D$4:$T$4</definedName>
    <definedName name="listFuelBounds">Lister!$P$4:$P$8</definedName>
    <definedName name="listFuelName">DataFuel!$C$5:$C$33</definedName>
    <definedName name="listHeaders">Lister!$B$3:$P$3</definedName>
    <definedName name="listPrognosisAttr">DataU!$E$22:$AC$22</definedName>
    <definedName name="listRoot">Lister!$B$4:$B$9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DataU!$B$11:$O$11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DataCtrl!$J$4</definedName>
    <definedName name="nFuelA">ModelParms!#REF!</definedName>
    <definedName name="NUMBERFACTOR" hidden="1">1</definedName>
    <definedName name="OfzNiveau2">Lister!$B$38</definedName>
    <definedName name="OfzNiveau3">Lister!$B$47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cenProtoTHIS">!A1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1" i="1" l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7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41" i="1"/>
  <c r="E71" i="1" l="1"/>
  <c r="F71" i="1"/>
  <c r="G71" i="1"/>
  <c r="H71" i="1"/>
  <c r="I71" i="1"/>
  <c r="J71" i="1"/>
  <c r="K71" i="1"/>
  <c r="L71" i="1"/>
  <c r="M71" i="1"/>
  <c r="N71" i="1"/>
  <c r="O71" i="1"/>
  <c r="E72" i="1"/>
  <c r="F72" i="1"/>
  <c r="G72" i="1"/>
  <c r="H72" i="1"/>
  <c r="I72" i="1"/>
  <c r="J72" i="1"/>
  <c r="K72" i="1"/>
  <c r="L72" i="1"/>
  <c r="M72" i="1"/>
  <c r="N72" i="1"/>
  <c r="O72" i="1"/>
  <c r="E73" i="1"/>
  <c r="F73" i="1"/>
  <c r="G73" i="1"/>
  <c r="H73" i="1"/>
  <c r="I73" i="1"/>
  <c r="J73" i="1"/>
  <c r="K73" i="1"/>
  <c r="L73" i="1"/>
  <c r="M73" i="1"/>
  <c r="N73" i="1"/>
  <c r="O73" i="1"/>
  <c r="E74" i="1"/>
  <c r="F74" i="1"/>
  <c r="G74" i="1"/>
  <c r="H74" i="1"/>
  <c r="I74" i="1"/>
  <c r="J74" i="1"/>
  <c r="K74" i="1"/>
  <c r="L74" i="1"/>
  <c r="M74" i="1"/>
  <c r="N74" i="1"/>
  <c r="O74" i="1"/>
  <c r="E75" i="1"/>
  <c r="F75" i="1"/>
  <c r="G75" i="1"/>
  <c r="H75" i="1"/>
  <c r="I75" i="1"/>
  <c r="J75" i="1"/>
  <c r="K75" i="1"/>
  <c r="L75" i="1"/>
  <c r="M75" i="1"/>
  <c r="N75" i="1"/>
  <c r="O75" i="1"/>
  <c r="E76" i="1"/>
  <c r="F76" i="1"/>
  <c r="G76" i="1"/>
  <c r="H76" i="1"/>
  <c r="I76" i="1"/>
  <c r="J76" i="1"/>
  <c r="K76" i="1"/>
  <c r="L76" i="1"/>
  <c r="M76" i="1"/>
  <c r="N76" i="1"/>
  <c r="O76" i="1"/>
  <c r="E77" i="1"/>
  <c r="F77" i="1"/>
  <c r="G77" i="1"/>
  <c r="H77" i="1"/>
  <c r="I77" i="1"/>
  <c r="J77" i="1"/>
  <c r="K77" i="1"/>
  <c r="L77" i="1"/>
  <c r="M77" i="1"/>
  <c r="N77" i="1"/>
  <c r="O77" i="1"/>
  <c r="E78" i="1"/>
  <c r="F78" i="1"/>
  <c r="G78" i="1"/>
  <c r="H78" i="1"/>
  <c r="I78" i="1"/>
  <c r="J78" i="1"/>
  <c r="K78" i="1"/>
  <c r="L78" i="1"/>
  <c r="M78" i="1"/>
  <c r="N78" i="1"/>
  <c r="O78" i="1"/>
  <c r="E79" i="1"/>
  <c r="F79" i="1"/>
  <c r="G79" i="1"/>
  <c r="H79" i="1"/>
  <c r="I79" i="1"/>
  <c r="J79" i="1"/>
  <c r="K79" i="1"/>
  <c r="L79" i="1"/>
  <c r="M79" i="1"/>
  <c r="N79" i="1"/>
  <c r="O79" i="1"/>
  <c r="E80" i="1"/>
  <c r="F80" i="1"/>
  <c r="G80" i="1"/>
  <c r="H80" i="1"/>
  <c r="I80" i="1"/>
  <c r="J80" i="1"/>
  <c r="K80" i="1"/>
  <c r="L80" i="1"/>
  <c r="M80" i="1"/>
  <c r="N80" i="1"/>
  <c r="O80" i="1"/>
  <c r="E81" i="1"/>
  <c r="F81" i="1"/>
  <c r="G81" i="1"/>
  <c r="H81" i="1"/>
  <c r="I81" i="1"/>
  <c r="J81" i="1"/>
  <c r="K81" i="1"/>
  <c r="L81" i="1"/>
  <c r="M81" i="1"/>
  <c r="N81" i="1"/>
  <c r="O81" i="1"/>
  <c r="E82" i="1"/>
  <c r="F82" i="1"/>
  <c r="G82" i="1"/>
  <c r="H82" i="1"/>
  <c r="I82" i="1"/>
  <c r="J82" i="1"/>
  <c r="K82" i="1"/>
  <c r="L82" i="1"/>
  <c r="M82" i="1"/>
  <c r="N82" i="1"/>
  <c r="O82" i="1"/>
  <c r="E83" i="1"/>
  <c r="F83" i="1"/>
  <c r="G83" i="1"/>
  <c r="H83" i="1"/>
  <c r="I83" i="1"/>
  <c r="J83" i="1"/>
  <c r="K83" i="1"/>
  <c r="L83" i="1"/>
  <c r="M83" i="1"/>
  <c r="N83" i="1"/>
  <c r="O83" i="1"/>
  <c r="E84" i="1"/>
  <c r="F84" i="1"/>
  <c r="G84" i="1"/>
  <c r="H84" i="1"/>
  <c r="I84" i="1"/>
  <c r="J84" i="1"/>
  <c r="K84" i="1"/>
  <c r="L84" i="1"/>
  <c r="M84" i="1"/>
  <c r="N84" i="1"/>
  <c r="O84" i="1"/>
  <c r="E85" i="1"/>
  <c r="F85" i="1"/>
  <c r="G85" i="1"/>
  <c r="H85" i="1"/>
  <c r="I85" i="1"/>
  <c r="J85" i="1"/>
  <c r="K85" i="1"/>
  <c r="L85" i="1"/>
  <c r="M85" i="1"/>
  <c r="N85" i="1"/>
  <c r="O85" i="1"/>
  <c r="E86" i="1"/>
  <c r="F86" i="1"/>
  <c r="G86" i="1"/>
  <c r="H86" i="1"/>
  <c r="I86" i="1"/>
  <c r="J86" i="1"/>
  <c r="K86" i="1"/>
  <c r="L86" i="1"/>
  <c r="M86" i="1"/>
  <c r="N86" i="1"/>
  <c r="O86" i="1"/>
  <c r="E87" i="1"/>
  <c r="F87" i="1"/>
  <c r="G87" i="1"/>
  <c r="H87" i="1"/>
  <c r="I87" i="1"/>
  <c r="J87" i="1"/>
  <c r="K87" i="1"/>
  <c r="L87" i="1"/>
  <c r="M87" i="1"/>
  <c r="N87" i="1"/>
  <c r="O87" i="1"/>
  <c r="E88" i="1"/>
  <c r="F88" i="1"/>
  <c r="G88" i="1"/>
  <c r="H88" i="1"/>
  <c r="I88" i="1"/>
  <c r="J88" i="1"/>
  <c r="K88" i="1"/>
  <c r="L88" i="1"/>
  <c r="M88" i="1"/>
  <c r="N88" i="1"/>
  <c r="O88" i="1"/>
  <c r="E89" i="1"/>
  <c r="F89" i="1"/>
  <c r="G89" i="1"/>
  <c r="H89" i="1"/>
  <c r="I89" i="1"/>
  <c r="J89" i="1"/>
  <c r="K89" i="1"/>
  <c r="L89" i="1"/>
  <c r="M89" i="1"/>
  <c r="N89" i="1"/>
  <c r="O89" i="1"/>
  <c r="E90" i="1"/>
  <c r="F90" i="1"/>
  <c r="G90" i="1"/>
  <c r="H90" i="1"/>
  <c r="I90" i="1"/>
  <c r="J90" i="1"/>
  <c r="K90" i="1"/>
  <c r="L90" i="1"/>
  <c r="M90" i="1"/>
  <c r="N90" i="1"/>
  <c r="O90" i="1"/>
  <c r="E91" i="1"/>
  <c r="F91" i="1"/>
  <c r="G91" i="1"/>
  <c r="H91" i="1"/>
  <c r="I91" i="1"/>
  <c r="J91" i="1"/>
  <c r="K91" i="1"/>
  <c r="L91" i="1"/>
  <c r="M91" i="1"/>
  <c r="N91" i="1"/>
  <c r="O91" i="1"/>
  <c r="E92" i="1"/>
  <c r="F92" i="1"/>
  <c r="G92" i="1"/>
  <c r="H92" i="1"/>
  <c r="I92" i="1"/>
  <c r="J92" i="1"/>
  <c r="K92" i="1"/>
  <c r="L92" i="1"/>
  <c r="M92" i="1"/>
  <c r="N92" i="1"/>
  <c r="O92" i="1"/>
  <c r="E93" i="1"/>
  <c r="F93" i="1"/>
  <c r="G93" i="1"/>
  <c r="H93" i="1"/>
  <c r="I93" i="1"/>
  <c r="J93" i="1"/>
  <c r="K93" i="1"/>
  <c r="L93" i="1"/>
  <c r="M93" i="1"/>
  <c r="N93" i="1"/>
  <c r="O93" i="1"/>
  <c r="E94" i="1"/>
  <c r="F94" i="1"/>
  <c r="G94" i="1"/>
  <c r="H94" i="1"/>
  <c r="I94" i="1"/>
  <c r="J94" i="1"/>
  <c r="K94" i="1"/>
  <c r="L94" i="1"/>
  <c r="M94" i="1"/>
  <c r="N94" i="1"/>
  <c r="O94" i="1"/>
  <c r="E95" i="1"/>
  <c r="F95" i="1"/>
  <c r="G95" i="1"/>
  <c r="H95" i="1"/>
  <c r="I95" i="1"/>
  <c r="J95" i="1"/>
  <c r="K95" i="1"/>
  <c r="L95" i="1"/>
  <c r="M95" i="1"/>
  <c r="N95" i="1"/>
  <c r="O95" i="1"/>
  <c r="E96" i="1"/>
  <c r="F96" i="1"/>
  <c r="G96" i="1"/>
  <c r="H96" i="1"/>
  <c r="I96" i="1"/>
  <c r="J96" i="1"/>
  <c r="K96" i="1"/>
  <c r="L96" i="1"/>
  <c r="M96" i="1"/>
  <c r="N96" i="1"/>
  <c r="O96" i="1"/>
  <c r="E97" i="1"/>
  <c r="F97" i="1"/>
  <c r="G97" i="1"/>
  <c r="H97" i="1"/>
  <c r="I97" i="1"/>
  <c r="J97" i="1"/>
  <c r="K97" i="1"/>
  <c r="L97" i="1"/>
  <c r="M97" i="1"/>
  <c r="N97" i="1"/>
  <c r="O97" i="1"/>
  <c r="E98" i="1"/>
  <c r="F98" i="1"/>
  <c r="G98" i="1"/>
  <c r="H98" i="1"/>
  <c r="I98" i="1"/>
  <c r="J98" i="1"/>
  <c r="K98" i="1"/>
  <c r="L98" i="1"/>
  <c r="M98" i="1"/>
  <c r="N98" i="1"/>
  <c r="O98" i="1"/>
  <c r="E99" i="1"/>
  <c r="F99" i="1"/>
  <c r="G99" i="1"/>
  <c r="H99" i="1"/>
  <c r="I99" i="1"/>
  <c r="J99" i="1"/>
  <c r="K99" i="1"/>
  <c r="L99" i="1"/>
  <c r="M99" i="1"/>
  <c r="N99" i="1"/>
  <c r="O99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71" i="1"/>
  <c r="AA6" i="1"/>
  <c r="AA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E66" i="1"/>
  <c r="F66" i="1"/>
  <c r="G66" i="1"/>
  <c r="H66" i="1"/>
  <c r="I66" i="1"/>
  <c r="J66" i="1"/>
  <c r="K66" i="1"/>
  <c r="L66" i="1"/>
  <c r="M66" i="1"/>
  <c r="N66" i="1"/>
  <c r="O66" i="1"/>
  <c r="E67" i="1"/>
  <c r="F67" i="1"/>
  <c r="G67" i="1"/>
  <c r="H67" i="1"/>
  <c r="I67" i="1"/>
  <c r="J67" i="1"/>
  <c r="K67" i="1"/>
  <c r="L67" i="1"/>
  <c r="M67" i="1"/>
  <c r="N67" i="1"/>
  <c r="O67" i="1"/>
  <c r="E68" i="1"/>
  <c r="F68" i="1"/>
  <c r="G68" i="1"/>
  <c r="H68" i="1"/>
  <c r="I68" i="1"/>
  <c r="J68" i="1"/>
  <c r="K68" i="1"/>
  <c r="L68" i="1"/>
  <c r="M68" i="1"/>
  <c r="N68" i="1"/>
  <c r="O68" i="1"/>
  <c r="E69" i="1"/>
  <c r="F69" i="1"/>
  <c r="G69" i="1"/>
  <c r="H69" i="1"/>
  <c r="I69" i="1"/>
  <c r="J69" i="1"/>
  <c r="K69" i="1"/>
  <c r="L69" i="1"/>
  <c r="M69" i="1"/>
  <c r="N69" i="1"/>
  <c r="O69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41" i="1"/>
  <c r="T10" i="17" l="1"/>
  <c r="T11" i="17"/>
  <c r="T12" i="17"/>
  <c r="T13" i="17"/>
  <c r="T14" i="17"/>
  <c r="T15" i="17"/>
  <c r="T16" i="17"/>
  <c r="T17" i="17"/>
  <c r="T18" i="17"/>
  <c r="T19" i="17"/>
  <c r="T20" i="17"/>
  <c r="T21" i="17"/>
  <c r="T22" i="17"/>
  <c r="T23" i="17"/>
  <c r="T24" i="17"/>
  <c r="T25" i="17"/>
  <c r="T26" i="17"/>
  <c r="T27" i="17"/>
  <c r="T28" i="17"/>
  <c r="T29" i="17"/>
  <c r="T9" i="17"/>
  <c r="S10" i="17" a="1"/>
  <c r="S10" i="17" s="1"/>
  <c r="S11" i="17" a="1"/>
  <c r="S11" i="17" s="1"/>
  <c r="S12" i="17" a="1"/>
  <c r="S12" i="17"/>
  <c r="S13" i="17" a="1"/>
  <c r="S13" i="17" s="1"/>
  <c r="S14" i="17" a="1"/>
  <c r="S14" i="17" s="1"/>
  <c r="S15" i="17" a="1"/>
  <c r="S15" i="17" s="1"/>
  <c r="S16" i="17" a="1"/>
  <c r="S16" i="17"/>
  <c r="S17" i="17" a="1"/>
  <c r="S17" i="17" s="1"/>
  <c r="S18" i="17" a="1"/>
  <c r="S18" i="17" s="1"/>
  <c r="S19" i="17" a="1"/>
  <c r="S19" i="17" s="1"/>
  <c r="S20" i="17" a="1"/>
  <c r="S20" i="17"/>
  <c r="S21" i="17" a="1"/>
  <c r="S21" i="17" s="1"/>
  <c r="S22" i="17" a="1"/>
  <c r="S22" i="17" s="1"/>
  <c r="S23" i="17" a="1"/>
  <c r="S23" i="17" s="1"/>
  <c r="S24" i="17" a="1"/>
  <c r="S24" i="17"/>
  <c r="S25" i="17" a="1"/>
  <c r="S25" i="17" s="1"/>
  <c r="S26" i="17" a="1"/>
  <c r="S26" i="17" s="1"/>
  <c r="S27" i="17" a="1"/>
  <c r="S27" i="17" s="1"/>
  <c r="S28" i="17" a="1"/>
  <c r="S28" i="17"/>
  <c r="S29" i="17" a="1"/>
  <c r="S29" i="17" s="1"/>
  <c r="S9" i="17" a="1"/>
  <c r="S9" i="17" s="1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9" i="17"/>
  <c r="K255" i="1" l="1"/>
  <c r="B37" i="1"/>
  <c r="N40" i="17"/>
  <c r="O255" i="1" s="1"/>
  <c r="M40" i="17"/>
  <c r="N255" i="1" s="1"/>
  <c r="L40" i="17"/>
  <c r="M255" i="1" s="1"/>
  <c r="K40" i="17"/>
  <c r="L255" i="1" s="1"/>
  <c r="J40" i="17"/>
  <c r="I40" i="17"/>
  <c r="J255" i="1" s="1"/>
  <c r="H40" i="17"/>
  <c r="I255" i="1" s="1"/>
  <c r="G40" i="17"/>
  <c r="H255" i="1" s="1"/>
  <c r="F40" i="17"/>
  <c r="G255" i="1" s="1"/>
  <c r="E40" i="17"/>
  <c r="F255" i="1" s="1"/>
  <c r="D40" i="17"/>
  <c r="E255" i="1" s="1"/>
  <c r="C40" i="17"/>
  <c r="D255" i="1" s="1"/>
  <c r="P39" i="17"/>
  <c r="P38" i="17"/>
  <c r="P37" i="17"/>
  <c r="P36" i="17"/>
  <c r="P35" i="17"/>
  <c r="P34" i="17"/>
  <c r="P33" i="17"/>
  <c r="P32" i="17"/>
  <c r="P31" i="17"/>
  <c r="P30" i="17"/>
  <c r="P29" i="17"/>
  <c r="W29" i="17" s="1"/>
  <c r="P28" i="17"/>
  <c r="W28" i="17" s="1"/>
  <c r="P27" i="17"/>
  <c r="W27" i="17" s="1"/>
  <c r="P26" i="17"/>
  <c r="W26" i="17" s="1"/>
  <c r="P25" i="17"/>
  <c r="W25" i="17" s="1"/>
  <c r="P24" i="17"/>
  <c r="W24" i="17" s="1"/>
  <c r="P23" i="17"/>
  <c r="W23" i="17" s="1"/>
  <c r="P22" i="17"/>
  <c r="W22" i="17" s="1"/>
  <c r="P21" i="17"/>
  <c r="W21" i="17" s="1"/>
  <c r="P20" i="17"/>
  <c r="W20" i="17" s="1"/>
  <c r="P19" i="17"/>
  <c r="W19" i="17" s="1"/>
  <c r="P18" i="17"/>
  <c r="W18" i="17" s="1"/>
  <c r="P17" i="17"/>
  <c r="W17" i="17" s="1"/>
  <c r="P16" i="17"/>
  <c r="W16" i="17" s="1"/>
  <c r="P15" i="17"/>
  <c r="W15" i="17" s="1"/>
  <c r="P14" i="17"/>
  <c r="W14" i="17" s="1"/>
  <c r="P13" i="17"/>
  <c r="W13" i="17" s="1"/>
  <c r="P12" i="17"/>
  <c r="W12" i="17" s="1"/>
  <c r="P11" i="17"/>
  <c r="W11" i="17" s="1"/>
  <c r="P10" i="17"/>
  <c r="W10" i="17" s="1"/>
  <c r="P9" i="17"/>
  <c r="W9" i="17" s="1"/>
  <c r="P40" i="17" l="1"/>
  <c r="AW22" i="15" l="1"/>
  <c r="AX22" i="15"/>
  <c r="AY22" i="15"/>
  <c r="AZ22" i="15" s="1"/>
  <c r="AW23" i="15"/>
  <c r="AX23" i="15"/>
  <c r="AY23" i="15"/>
  <c r="AZ23" i="15" s="1"/>
  <c r="AW24" i="15"/>
  <c r="AX24" i="15"/>
  <c r="AY24" i="15"/>
  <c r="AZ24" i="15" s="1"/>
  <c r="AW25" i="15"/>
  <c r="AX25" i="15"/>
  <c r="AY25" i="15"/>
  <c r="BA25" i="15" s="1"/>
  <c r="AW26" i="15"/>
  <c r="AX26" i="15"/>
  <c r="AY26" i="15"/>
  <c r="BA26" i="15" s="1"/>
  <c r="AZ26" i="15"/>
  <c r="AW27" i="15"/>
  <c r="AX27" i="15"/>
  <c r="AY27" i="15"/>
  <c r="BA27" i="15" s="1"/>
  <c r="AZ27" i="15"/>
  <c r="AW28" i="15"/>
  <c r="AX28" i="15"/>
  <c r="AY28" i="15"/>
  <c r="AZ28" i="15"/>
  <c r="BA28" i="15"/>
  <c r="AW29" i="15"/>
  <c r="AX29" i="15"/>
  <c r="AY29" i="15"/>
  <c r="AZ29" i="15"/>
  <c r="BA29" i="15"/>
  <c r="AW30" i="15"/>
  <c r="AX30" i="15"/>
  <c r="AY30" i="15"/>
  <c r="AZ30" i="15" s="1"/>
  <c r="AW31" i="15"/>
  <c r="AX31" i="15"/>
  <c r="AY31" i="15"/>
  <c r="AZ31" i="15" s="1"/>
  <c r="AW32" i="15"/>
  <c r="AX32" i="15"/>
  <c r="AY32" i="15"/>
  <c r="AZ32" i="15" s="1"/>
  <c r="AW33" i="15"/>
  <c r="AX33" i="15"/>
  <c r="AY33" i="15"/>
  <c r="BA33" i="15" s="1"/>
  <c r="AZ33" i="15"/>
  <c r="AW34" i="15"/>
  <c r="AX34" i="15"/>
  <c r="AY34" i="15"/>
  <c r="BA34" i="15" s="1"/>
  <c r="AZ34" i="15"/>
  <c r="AW35" i="15"/>
  <c r="AX35" i="15"/>
  <c r="AY35" i="15"/>
  <c r="BA35" i="15" s="1"/>
  <c r="AZ35" i="15"/>
  <c r="AW36" i="15"/>
  <c r="AX36" i="15"/>
  <c r="AY36" i="15"/>
  <c r="AZ36" i="15"/>
  <c r="BA36" i="15"/>
  <c r="AW37" i="15"/>
  <c r="AX37" i="15"/>
  <c r="AY37" i="15"/>
  <c r="AZ37" i="15"/>
  <c r="BA37" i="15"/>
  <c r="AW38" i="15"/>
  <c r="AX38" i="15"/>
  <c r="AY38" i="15"/>
  <c r="AZ38" i="15" s="1"/>
  <c r="AW39" i="15"/>
  <c r="AX39" i="15"/>
  <c r="AY39" i="15"/>
  <c r="AZ39" i="15" s="1"/>
  <c r="AW40" i="15"/>
  <c r="AX40" i="15"/>
  <c r="AY40" i="15"/>
  <c r="AZ40" i="15" s="1"/>
  <c r="AW41" i="15"/>
  <c r="AX41" i="15"/>
  <c r="AY41" i="15"/>
  <c r="BA41" i="15" s="1"/>
  <c r="AZ41" i="15"/>
  <c r="AW42" i="15"/>
  <c r="AX42" i="15"/>
  <c r="AY42" i="15"/>
  <c r="BA42" i="15" s="1"/>
  <c r="AZ42" i="15"/>
  <c r="AW43" i="15"/>
  <c r="AX43" i="15"/>
  <c r="AY43" i="15"/>
  <c r="BA43" i="15" s="1"/>
  <c r="AZ43" i="15"/>
  <c r="AW44" i="15"/>
  <c r="AX44" i="15"/>
  <c r="AY44" i="15"/>
  <c r="AZ44" i="15"/>
  <c r="BA44" i="15"/>
  <c r="AW45" i="15"/>
  <c r="AX45" i="15"/>
  <c r="AY45" i="15"/>
  <c r="AZ45" i="15"/>
  <c r="BA45" i="15"/>
  <c r="AZ25" i="15" l="1"/>
  <c r="BA40" i="15"/>
  <c r="BA24" i="15"/>
  <c r="BA32" i="15"/>
  <c r="BA38" i="15"/>
  <c r="BA22" i="15"/>
  <c r="BA30" i="15"/>
  <c r="BA39" i="15"/>
  <c r="BA23" i="15"/>
  <c r="BA31" i="15"/>
  <c r="AF6" i="1" l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5" i="1"/>
  <c r="B34" i="1" l="1"/>
  <c r="D34" i="1"/>
  <c r="BB10" i="15" l="1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6" i="15"/>
  <c r="BB11" i="15"/>
  <c r="BB14" i="15"/>
  <c r="BB15" i="15"/>
  <c r="BB18" i="15"/>
  <c r="BB19" i="15"/>
  <c r="BB20" i="15"/>
  <c r="BB21" i="15"/>
  <c r="BB16" i="15"/>
  <c r="BB17" i="15"/>
  <c r="BK5" i="15" l="1"/>
  <c r="BS5" i="15"/>
  <c r="CA5" i="15"/>
  <c r="CI5" i="15"/>
  <c r="BH13" i="15"/>
  <c r="BF12" i="15"/>
  <c r="BH12" i="15"/>
  <c r="BB12" i="15"/>
  <c r="BB8" i="15"/>
  <c r="BB9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BD6" i="15"/>
  <c r="BE6" i="15"/>
  <c r="BF6" i="15"/>
  <c r="BG6" i="15"/>
  <c r="BH6" i="15"/>
  <c r="BI6" i="15"/>
  <c r="BJ6" i="15"/>
  <c r="BK6" i="15"/>
  <c r="BL6" i="15"/>
  <c r="BM6" i="15"/>
  <c r="BN6" i="15"/>
  <c r="BO6" i="15"/>
  <c r="BP6" i="15"/>
  <c r="BQ6" i="15"/>
  <c r="BR6" i="15"/>
  <c r="BS6" i="15"/>
  <c r="BT6" i="15"/>
  <c r="BU6" i="15"/>
  <c r="BV6" i="15"/>
  <c r="BW6" i="15"/>
  <c r="BX6" i="15"/>
  <c r="BY6" i="15"/>
  <c r="BZ6" i="15"/>
  <c r="CA6" i="15"/>
  <c r="CB6" i="15"/>
  <c r="CC6" i="15"/>
  <c r="CD6" i="15"/>
  <c r="CE6" i="15"/>
  <c r="CF6" i="15"/>
  <c r="CG6" i="15"/>
  <c r="CH6" i="15"/>
  <c r="CI6" i="15"/>
  <c r="CJ6" i="15"/>
  <c r="CK6" i="15"/>
  <c r="CL6" i="15"/>
  <c r="BD7" i="15"/>
  <c r="BE7" i="15"/>
  <c r="BF7" i="15"/>
  <c r="BG7" i="15"/>
  <c r="BH7" i="15"/>
  <c r="BI7" i="15"/>
  <c r="BJ7" i="15"/>
  <c r="BK7" i="15"/>
  <c r="BL7" i="15"/>
  <c r="BM7" i="15"/>
  <c r="BN7" i="15"/>
  <c r="BO7" i="15"/>
  <c r="BP7" i="15"/>
  <c r="BQ7" i="15"/>
  <c r="BR7" i="15"/>
  <c r="BS7" i="15"/>
  <c r="BT7" i="15"/>
  <c r="BU7" i="15"/>
  <c r="BV7" i="15"/>
  <c r="BW7" i="15"/>
  <c r="BX7" i="15"/>
  <c r="BY7" i="15"/>
  <c r="BZ7" i="15"/>
  <c r="CA7" i="15"/>
  <c r="CB7" i="15"/>
  <c r="CC7" i="15"/>
  <c r="CD7" i="15"/>
  <c r="CE7" i="15"/>
  <c r="CF7" i="15"/>
  <c r="CG7" i="15"/>
  <c r="CH7" i="15"/>
  <c r="CI7" i="15"/>
  <c r="CJ7" i="15"/>
  <c r="CK7" i="15"/>
  <c r="CL7" i="15"/>
  <c r="BD8" i="15"/>
  <c r="BE8" i="15"/>
  <c r="BF8" i="15"/>
  <c r="BG8" i="15"/>
  <c r="BH8" i="15"/>
  <c r="BI8" i="15"/>
  <c r="BJ8" i="15"/>
  <c r="BK8" i="15"/>
  <c r="BL8" i="15"/>
  <c r="BM8" i="15"/>
  <c r="BN8" i="15"/>
  <c r="BO8" i="15"/>
  <c r="BP8" i="15"/>
  <c r="BQ8" i="15"/>
  <c r="BR8" i="15"/>
  <c r="BS8" i="15"/>
  <c r="BT8" i="15"/>
  <c r="BU8" i="15"/>
  <c r="BV8" i="15"/>
  <c r="BW8" i="15"/>
  <c r="BX8" i="15"/>
  <c r="BY8" i="15"/>
  <c r="BZ8" i="15"/>
  <c r="CA8" i="15"/>
  <c r="CB8" i="15"/>
  <c r="CC8" i="15"/>
  <c r="CD8" i="15"/>
  <c r="CE8" i="15"/>
  <c r="CF8" i="15"/>
  <c r="CG8" i="15"/>
  <c r="CH8" i="15"/>
  <c r="CI8" i="15"/>
  <c r="CJ8" i="15"/>
  <c r="CK8" i="15"/>
  <c r="CL8" i="15"/>
  <c r="BD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CK9" i="15"/>
  <c r="CL9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CJ10" i="15"/>
  <c r="CK10" i="15"/>
  <c r="CL10" i="15"/>
  <c r="BD11" i="15"/>
  <c r="BE11" i="15"/>
  <c r="BF11" i="15"/>
  <c r="BG11" i="15"/>
  <c r="BH11" i="15"/>
  <c r="BI11" i="15"/>
  <c r="BJ11" i="15"/>
  <c r="BK11" i="15"/>
  <c r="BL11" i="15"/>
  <c r="BM11" i="15"/>
  <c r="BN11" i="15"/>
  <c r="BO11" i="15"/>
  <c r="BP11" i="15"/>
  <c r="BQ11" i="15"/>
  <c r="BR11" i="15"/>
  <c r="BS11" i="15"/>
  <c r="BT11" i="15"/>
  <c r="BU11" i="15"/>
  <c r="BV11" i="15"/>
  <c r="BW11" i="15"/>
  <c r="BX11" i="15"/>
  <c r="BY11" i="15"/>
  <c r="BZ11" i="15"/>
  <c r="CA11" i="15"/>
  <c r="CB11" i="15"/>
  <c r="CC11" i="15"/>
  <c r="CD11" i="15"/>
  <c r="CE11" i="15"/>
  <c r="CF11" i="15"/>
  <c r="CG11" i="15"/>
  <c r="CH11" i="15"/>
  <c r="CI11" i="15"/>
  <c r="CJ11" i="15"/>
  <c r="CK11" i="15"/>
  <c r="CL11" i="15"/>
  <c r="BD12" i="15"/>
  <c r="BE12" i="15"/>
  <c r="BG12" i="15"/>
  <c r="BI12" i="15"/>
  <c r="BJ12" i="15"/>
  <c r="BK12" i="15"/>
  <c r="BL12" i="15"/>
  <c r="BM12" i="15"/>
  <c r="BN12" i="15"/>
  <c r="BO12" i="15"/>
  <c r="BP12" i="15"/>
  <c r="BQ12" i="15"/>
  <c r="BR12" i="15"/>
  <c r="BS12" i="15"/>
  <c r="BT12" i="15"/>
  <c r="BU12" i="15"/>
  <c r="BV12" i="15"/>
  <c r="BW12" i="15"/>
  <c r="BX12" i="15"/>
  <c r="BY12" i="15"/>
  <c r="BZ12" i="15"/>
  <c r="CA12" i="15"/>
  <c r="CB12" i="15"/>
  <c r="CC12" i="15"/>
  <c r="CD12" i="15"/>
  <c r="CE12" i="15"/>
  <c r="CF12" i="15"/>
  <c r="CG12" i="15"/>
  <c r="CH12" i="15"/>
  <c r="CI12" i="15"/>
  <c r="CJ12" i="15"/>
  <c r="CK12" i="15"/>
  <c r="CL12" i="15"/>
  <c r="BD13" i="15"/>
  <c r="BE13" i="15"/>
  <c r="BF13" i="15"/>
  <c r="BG13" i="15"/>
  <c r="BI13" i="15"/>
  <c r="BJ13" i="15"/>
  <c r="BK13" i="15"/>
  <c r="BL13" i="15"/>
  <c r="BM13" i="15"/>
  <c r="BN13" i="15"/>
  <c r="BO13" i="15"/>
  <c r="BP13" i="15"/>
  <c r="BQ13" i="15"/>
  <c r="BR13" i="15"/>
  <c r="BS13" i="15"/>
  <c r="BT13" i="15"/>
  <c r="BU13" i="15"/>
  <c r="BV13" i="15"/>
  <c r="BW13" i="15"/>
  <c r="BX13" i="15"/>
  <c r="BY13" i="15"/>
  <c r="BZ13" i="15"/>
  <c r="CA13" i="15"/>
  <c r="CB13" i="15"/>
  <c r="CC13" i="15"/>
  <c r="CD13" i="15"/>
  <c r="CE13" i="15"/>
  <c r="CF13" i="15"/>
  <c r="CG13" i="15"/>
  <c r="CH13" i="15"/>
  <c r="CI13" i="15"/>
  <c r="CJ13" i="15"/>
  <c r="CK13" i="15"/>
  <c r="CL13" i="15"/>
  <c r="BD14" i="15"/>
  <c r="BE14" i="15"/>
  <c r="BF14" i="15"/>
  <c r="BG14" i="15"/>
  <c r="BH14" i="15"/>
  <c r="BI14" i="15"/>
  <c r="BJ14" i="15"/>
  <c r="BK14" i="15"/>
  <c r="BL14" i="15"/>
  <c r="BM14" i="15"/>
  <c r="BN14" i="15"/>
  <c r="BO14" i="15"/>
  <c r="BP14" i="15"/>
  <c r="BQ14" i="15"/>
  <c r="BR14" i="15"/>
  <c r="BS14" i="15"/>
  <c r="BT14" i="15"/>
  <c r="BU14" i="15"/>
  <c r="BV14" i="15"/>
  <c r="BW14" i="15"/>
  <c r="BX14" i="15"/>
  <c r="BY14" i="15"/>
  <c r="BZ14" i="15"/>
  <c r="CA14" i="15"/>
  <c r="CB14" i="15"/>
  <c r="CC14" i="15"/>
  <c r="CD14" i="15"/>
  <c r="CE14" i="15"/>
  <c r="CF14" i="15"/>
  <c r="CG14" i="15"/>
  <c r="CH14" i="15"/>
  <c r="CI14" i="15"/>
  <c r="CJ14" i="15"/>
  <c r="CK14" i="15"/>
  <c r="CL14" i="15"/>
  <c r="BD15" i="15"/>
  <c r="BE15" i="15"/>
  <c r="BF15" i="15"/>
  <c r="BG15" i="15"/>
  <c r="BH15" i="15"/>
  <c r="BI15" i="15"/>
  <c r="BJ15" i="15"/>
  <c r="BK15" i="15"/>
  <c r="BL15" i="15"/>
  <c r="BM15" i="15"/>
  <c r="BN15" i="15"/>
  <c r="BO15" i="15"/>
  <c r="BP15" i="15"/>
  <c r="BQ15" i="15"/>
  <c r="BR15" i="15"/>
  <c r="BS15" i="15"/>
  <c r="BT15" i="15"/>
  <c r="BU15" i="15"/>
  <c r="BV15" i="15"/>
  <c r="BW15" i="15"/>
  <c r="BX15" i="15"/>
  <c r="BY15" i="15"/>
  <c r="BZ15" i="15"/>
  <c r="CA15" i="15"/>
  <c r="CB15" i="15"/>
  <c r="CC15" i="15"/>
  <c r="CD15" i="15"/>
  <c r="CE15" i="15"/>
  <c r="CF15" i="15"/>
  <c r="CG15" i="15"/>
  <c r="CH15" i="15"/>
  <c r="CI15" i="15"/>
  <c r="CJ15" i="15"/>
  <c r="CK15" i="15"/>
  <c r="CL15" i="15"/>
  <c r="BD16" i="15"/>
  <c r="BE16" i="15"/>
  <c r="BF16" i="15"/>
  <c r="BG16" i="15"/>
  <c r="BH16" i="15"/>
  <c r="BI16" i="15"/>
  <c r="BJ16" i="15"/>
  <c r="BK16" i="15"/>
  <c r="BL16" i="15"/>
  <c r="BM16" i="15"/>
  <c r="BN16" i="15"/>
  <c r="BO16" i="15"/>
  <c r="BP16" i="15"/>
  <c r="BQ16" i="15"/>
  <c r="BR16" i="15"/>
  <c r="BS16" i="15"/>
  <c r="BT16" i="15"/>
  <c r="BU16" i="15"/>
  <c r="BV16" i="15"/>
  <c r="BW16" i="15"/>
  <c r="BX16" i="15"/>
  <c r="BY16" i="15"/>
  <c r="BZ16" i="15"/>
  <c r="CA16" i="15"/>
  <c r="CB16" i="15"/>
  <c r="CC16" i="15"/>
  <c r="CD16" i="15"/>
  <c r="CE16" i="15"/>
  <c r="CF16" i="15"/>
  <c r="CG16" i="15"/>
  <c r="CH16" i="15"/>
  <c r="CI16" i="15"/>
  <c r="CJ16" i="15"/>
  <c r="CK16" i="15"/>
  <c r="CL16" i="15"/>
  <c r="BD17" i="15"/>
  <c r="BE17" i="15"/>
  <c r="BF17" i="15"/>
  <c r="BG17" i="15"/>
  <c r="BH17" i="15"/>
  <c r="BI17" i="15"/>
  <c r="BJ17" i="15"/>
  <c r="BK17" i="15"/>
  <c r="BL17" i="15"/>
  <c r="BM17" i="15"/>
  <c r="BN17" i="15"/>
  <c r="BO17" i="15"/>
  <c r="BP17" i="15"/>
  <c r="BQ17" i="15"/>
  <c r="BR17" i="15"/>
  <c r="BS17" i="15"/>
  <c r="BT17" i="15"/>
  <c r="BU17" i="15"/>
  <c r="BV17" i="15"/>
  <c r="BW17" i="15"/>
  <c r="BX17" i="15"/>
  <c r="BY17" i="15"/>
  <c r="BZ17" i="15"/>
  <c r="CA17" i="15"/>
  <c r="CB17" i="15"/>
  <c r="CC17" i="15"/>
  <c r="CD17" i="15"/>
  <c r="CE17" i="15"/>
  <c r="CF17" i="15"/>
  <c r="CG17" i="15"/>
  <c r="CH17" i="15"/>
  <c r="CI17" i="15"/>
  <c r="CJ17" i="15"/>
  <c r="CK17" i="15"/>
  <c r="CL17" i="15"/>
  <c r="BD18" i="15"/>
  <c r="BE18" i="15"/>
  <c r="BF18" i="15"/>
  <c r="BG18" i="15"/>
  <c r="BH18" i="15"/>
  <c r="BI18" i="15"/>
  <c r="BJ18" i="15"/>
  <c r="BK18" i="15"/>
  <c r="BL18" i="15"/>
  <c r="BM18" i="15"/>
  <c r="BN18" i="15"/>
  <c r="BO18" i="15"/>
  <c r="BP18" i="15"/>
  <c r="BQ18" i="15"/>
  <c r="BR18" i="15"/>
  <c r="BS18" i="15"/>
  <c r="BT18" i="15"/>
  <c r="BU18" i="15"/>
  <c r="BV18" i="15"/>
  <c r="BW18" i="15"/>
  <c r="BX18" i="15"/>
  <c r="BY18" i="15"/>
  <c r="BZ18" i="15"/>
  <c r="CA18" i="15"/>
  <c r="CB18" i="15"/>
  <c r="CC18" i="15"/>
  <c r="CD18" i="15"/>
  <c r="CE18" i="15"/>
  <c r="CF18" i="15"/>
  <c r="CG18" i="15"/>
  <c r="CH18" i="15"/>
  <c r="CI18" i="15"/>
  <c r="CJ18" i="15"/>
  <c r="CK18" i="15"/>
  <c r="CL18" i="15"/>
  <c r="BD19" i="15"/>
  <c r="BE19" i="15"/>
  <c r="BF19" i="15"/>
  <c r="BG19" i="15"/>
  <c r="BH19" i="15"/>
  <c r="BI19" i="15"/>
  <c r="BJ19" i="15"/>
  <c r="BK19" i="15"/>
  <c r="BL19" i="15"/>
  <c r="BM19" i="15"/>
  <c r="BN19" i="15"/>
  <c r="BO19" i="15"/>
  <c r="BP19" i="15"/>
  <c r="BQ19" i="15"/>
  <c r="BR19" i="15"/>
  <c r="BS19" i="15"/>
  <c r="BT19" i="15"/>
  <c r="BU19" i="15"/>
  <c r="BV19" i="15"/>
  <c r="BW19" i="15"/>
  <c r="BX19" i="15"/>
  <c r="BY19" i="15"/>
  <c r="BZ19" i="15"/>
  <c r="CA19" i="15"/>
  <c r="CB19" i="15"/>
  <c r="CC19" i="15"/>
  <c r="CD19" i="15"/>
  <c r="CE19" i="15"/>
  <c r="CF19" i="15"/>
  <c r="CG19" i="15"/>
  <c r="CH19" i="15"/>
  <c r="CI19" i="15"/>
  <c r="CJ19" i="15"/>
  <c r="CK19" i="15"/>
  <c r="CL19" i="15"/>
  <c r="BD20" i="15"/>
  <c r="BE20" i="15"/>
  <c r="BF20" i="15"/>
  <c r="BG20" i="15"/>
  <c r="BH20" i="15"/>
  <c r="BI20" i="15"/>
  <c r="BJ20" i="15"/>
  <c r="BK20" i="15"/>
  <c r="BL20" i="15"/>
  <c r="BM20" i="15"/>
  <c r="BN20" i="15"/>
  <c r="BO20" i="15"/>
  <c r="BP20" i="15"/>
  <c r="BQ20" i="15"/>
  <c r="BR20" i="15"/>
  <c r="BS20" i="15"/>
  <c r="BT20" i="15"/>
  <c r="BU20" i="15"/>
  <c r="BV20" i="15"/>
  <c r="BW20" i="15"/>
  <c r="BX20" i="15"/>
  <c r="BY20" i="15"/>
  <c r="BZ20" i="15"/>
  <c r="CA20" i="15"/>
  <c r="CB20" i="15"/>
  <c r="CC20" i="15"/>
  <c r="CD20" i="15"/>
  <c r="CE20" i="15"/>
  <c r="CF20" i="15"/>
  <c r="CG20" i="15"/>
  <c r="CH20" i="15"/>
  <c r="CI20" i="15"/>
  <c r="CJ20" i="15"/>
  <c r="CK20" i="15"/>
  <c r="CL20" i="15"/>
  <c r="BD21" i="15"/>
  <c r="BE21" i="15"/>
  <c r="BF21" i="15"/>
  <c r="BG21" i="15"/>
  <c r="BH21" i="15"/>
  <c r="BI21" i="15"/>
  <c r="BJ21" i="15"/>
  <c r="BK21" i="15"/>
  <c r="BL21" i="15"/>
  <c r="BM21" i="15"/>
  <c r="BN21" i="15"/>
  <c r="BO21" i="15"/>
  <c r="BP21" i="15"/>
  <c r="BQ21" i="15"/>
  <c r="BR21" i="15"/>
  <c r="BS21" i="15"/>
  <c r="BT21" i="15"/>
  <c r="BU21" i="15"/>
  <c r="BV21" i="15"/>
  <c r="BW21" i="15"/>
  <c r="BX21" i="15"/>
  <c r="BY21" i="15"/>
  <c r="BZ21" i="15"/>
  <c r="CA21" i="15"/>
  <c r="CB21" i="15"/>
  <c r="CC21" i="15"/>
  <c r="CD21" i="15"/>
  <c r="CE21" i="15"/>
  <c r="CF21" i="15"/>
  <c r="CG21" i="15"/>
  <c r="CH21" i="15"/>
  <c r="CI21" i="15"/>
  <c r="CJ21" i="15"/>
  <c r="CK21" i="15"/>
  <c r="CL21" i="15"/>
  <c r="BD22" i="15"/>
  <c r="BE22" i="15"/>
  <c r="BF22" i="15"/>
  <c r="BG22" i="15"/>
  <c r="BH22" i="15"/>
  <c r="BI22" i="15"/>
  <c r="BJ22" i="15"/>
  <c r="BK22" i="15"/>
  <c r="BL22" i="15"/>
  <c r="BM22" i="15"/>
  <c r="BN22" i="15"/>
  <c r="BO22" i="15"/>
  <c r="BP22" i="15"/>
  <c r="BQ22" i="15"/>
  <c r="BR22" i="15"/>
  <c r="BS22" i="15"/>
  <c r="BT22" i="15"/>
  <c r="BU22" i="15"/>
  <c r="BV22" i="15"/>
  <c r="BW22" i="15"/>
  <c r="BX22" i="15"/>
  <c r="BY22" i="15"/>
  <c r="BZ22" i="15"/>
  <c r="CA22" i="15"/>
  <c r="CB22" i="15"/>
  <c r="CC22" i="15"/>
  <c r="CD22" i="15"/>
  <c r="CE22" i="15"/>
  <c r="CF22" i="15"/>
  <c r="CG22" i="15"/>
  <c r="CH22" i="15"/>
  <c r="CI22" i="15"/>
  <c r="CJ22" i="15"/>
  <c r="CK22" i="15"/>
  <c r="CL22" i="15"/>
  <c r="BD23" i="15"/>
  <c r="BE23" i="15"/>
  <c r="BF23" i="15"/>
  <c r="BG23" i="15"/>
  <c r="BH23" i="15"/>
  <c r="BI23" i="15"/>
  <c r="BJ23" i="15"/>
  <c r="BK23" i="15"/>
  <c r="BL23" i="15"/>
  <c r="BM23" i="15"/>
  <c r="BN23" i="15"/>
  <c r="BO23" i="15"/>
  <c r="BP23" i="15"/>
  <c r="BQ23" i="15"/>
  <c r="BR23" i="15"/>
  <c r="BS23" i="15"/>
  <c r="BT23" i="15"/>
  <c r="BU23" i="15"/>
  <c r="BV23" i="15"/>
  <c r="BW23" i="15"/>
  <c r="BX23" i="15"/>
  <c r="BY23" i="15"/>
  <c r="BZ23" i="15"/>
  <c r="CA23" i="15"/>
  <c r="CB23" i="15"/>
  <c r="CC23" i="15"/>
  <c r="CD23" i="15"/>
  <c r="CE23" i="15"/>
  <c r="CF23" i="15"/>
  <c r="CG23" i="15"/>
  <c r="CH23" i="15"/>
  <c r="CI23" i="15"/>
  <c r="CJ23" i="15"/>
  <c r="CK23" i="15"/>
  <c r="CL23" i="15"/>
  <c r="BD24" i="15"/>
  <c r="BE24" i="15"/>
  <c r="BF24" i="15"/>
  <c r="BG24" i="15"/>
  <c r="BH24" i="15"/>
  <c r="BI24" i="15"/>
  <c r="BJ24" i="15"/>
  <c r="BK24" i="15"/>
  <c r="BL24" i="15"/>
  <c r="BM24" i="15"/>
  <c r="BN24" i="15"/>
  <c r="BO24" i="15"/>
  <c r="BP24" i="15"/>
  <c r="BQ24" i="15"/>
  <c r="BR24" i="15"/>
  <c r="BS24" i="15"/>
  <c r="BT24" i="15"/>
  <c r="BU24" i="15"/>
  <c r="BV24" i="15"/>
  <c r="BW24" i="15"/>
  <c r="BX24" i="15"/>
  <c r="BY24" i="15"/>
  <c r="BZ24" i="15"/>
  <c r="CA24" i="15"/>
  <c r="CB24" i="15"/>
  <c r="CC24" i="15"/>
  <c r="CD24" i="15"/>
  <c r="CE24" i="15"/>
  <c r="CF24" i="15"/>
  <c r="CG24" i="15"/>
  <c r="CH24" i="15"/>
  <c r="CI24" i="15"/>
  <c r="CJ24" i="15"/>
  <c r="CK24" i="15"/>
  <c r="CL24" i="15"/>
  <c r="BD25" i="15"/>
  <c r="BE25" i="15"/>
  <c r="BF25" i="15"/>
  <c r="BG25" i="15"/>
  <c r="BH25" i="15"/>
  <c r="BI25" i="15"/>
  <c r="BJ25" i="15"/>
  <c r="BK25" i="15"/>
  <c r="BL25" i="15"/>
  <c r="BM25" i="15"/>
  <c r="BN25" i="15"/>
  <c r="BO25" i="15"/>
  <c r="BP25" i="15"/>
  <c r="BQ25" i="15"/>
  <c r="BR25" i="15"/>
  <c r="BS25" i="15"/>
  <c r="BT25" i="15"/>
  <c r="BU25" i="15"/>
  <c r="BV25" i="15"/>
  <c r="BW25" i="15"/>
  <c r="BX25" i="15"/>
  <c r="BY25" i="15"/>
  <c r="BZ25" i="15"/>
  <c r="CA25" i="15"/>
  <c r="CB25" i="15"/>
  <c r="CC25" i="15"/>
  <c r="CD25" i="15"/>
  <c r="CE25" i="15"/>
  <c r="CF25" i="15"/>
  <c r="CG25" i="15"/>
  <c r="CH25" i="15"/>
  <c r="CI25" i="15"/>
  <c r="CJ25" i="15"/>
  <c r="CK25" i="15"/>
  <c r="CL25" i="15"/>
  <c r="BD26" i="15"/>
  <c r="BE26" i="15"/>
  <c r="BF26" i="15"/>
  <c r="BG26" i="15"/>
  <c r="BH26" i="15"/>
  <c r="BI26" i="15"/>
  <c r="BJ26" i="15"/>
  <c r="BK26" i="15"/>
  <c r="BL26" i="15"/>
  <c r="BM26" i="15"/>
  <c r="BN26" i="15"/>
  <c r="BO26" i="15"/>
  <c r="BP26" i="15"/>
  <c r="BQ26" i="15"/>
  <c r="BR26" i="15"/>
  <c r="BS26" i="15"/>
  <c r="BT26" i="15"/>
  <c r="BU26" i="15"/>
  <c r="BV26" i="15"/>
  <c r="BW26" i="15"/>
  <c r="BX26" i="15"/>
  <c r="BY26" i="15"/>
  <c r="BZ26" i="15"/>
  <c r="CA26" i="15"/>
  <c r="CB26" i="15"/>
  <c r="CC26" i="15"/>
  <c r="CD26" i="15"/>
  <c r="CE26" i="15"/>
  <c r="CF26" i="15"/>
  <c r="CG26" i="15"/>
  <c r="CH26" i="15"/>
  <c r="CI26" i="15"/>
  <c r="CJ26" i="15"/>
  <c r="CK26" i="15"/>
  <c r="CL26" i="15"/>
  <c r="BD27" i="15"/>
  <c r="BE27" i="15"/>
  <c r="BF27" i="15"/>
  <c r="BG27" i="15"/>
  <c r="BH27" i="15"/>
  <c r="BI27" i="15"/>
  <c r="BJ27" i="15"/>
  <c r="BK27" i="15"/>
  <c r="BL27" i="15"/>
  <c r="BM27" i="15"/>
  <c r="BN27" i="15"/>
  <c r="BO27" i="15"/>
  <c r="BP27" i="15"/>
  <c r="BQ27" i="15"/>
  <c r="BR27" i="15"/>
  <c r="BS27" i="15"/>
  <c r="BT27" i="15"/>
  <c r="BU27" i="15"/>
  <c r="BV27" i="15"/>
  <c r="BW27" i="15"/>
  <c r="BX27" i="15"/>
  <c r="BY27" i="15"/>
  <c r="BZ27" i="15"/>
  <c r="CA27" i="15"/>
  <c r="CB27" i="15"/>
  <c r="CC27" i="15"/>
  <c r="CD27" i="15"/>
  <c r="CE27" i="15"/>
  <c r="CF27" i="15"/>
  <c r="CG27" i="15"/>
  <c r="CH27" i="15"/>
  <c r="CI27" i="15"/>
  <c r="CJ27" i="15"/>
  <c r="CK27" i="15"/>
  <c r="CL27" i="15"/>
  <c r="BD28" i="15"/>
  <c r="BE28" i="15"/>
  <c r="BF28" i="15"/>
  <c r="BG28" i="15"/>
  <c r="BH28" i="15"/>
  <c r="BI28" i="15"/>
  <c r="BJ28" i="15"/>
  <c r="BK28" i="15"/>
  <c r="BL28" i="15"/>
  <c r="BM28" i="15"/>
  <c r="BN28" i="15"/>
  <c r="BO28" i="15"/>
  <c r="BP28" i="15"/>
  <c r="BQ28" i="15"/>
  <c r="BR28" i="15"/>
  <c r="BS28" i="15"/>
  <c r="BT28" i="15"/>
  <c r="BU28" i="15"/>
  <c r="BV28" i="15"/>
  <c r="BW28" i="15"/>
  <c r="BX28" i="15"/>
  <c r="BY28" i="15"/>
  <c r="BZ28" i="15"/>
  <c r="CA28" i="15"/>
  <c r="CB28" i="15"/>
  <c r="CC28" i="15"/>
  <c r="CD28" i="15"/>
  <c r="CE28" i="15"/>
  <c r="CF28" i="15"/>
  <c r="CG28" i="15"/>
  <c r="CH28" i="15"/>
  <c r="CI28" i="15"/>
  <c r="CJ28" i="15"/>
  <c r="CK28" i="15"/>
  <c r="CL28" i="15"/>
  <c r="BD29" i="15"/>
  <c r="BE29" i="15"/>
  <c r="BF29" i="15"/>
  <c r="BG29" i="15"/>
  <c r="BH29" i="15"/>
  <c r="BI29" i="15"/>
  <c r="BJ29" i="15"/>
  <c r="BK29" i="15"/>
  <c r="BL29" i="15"/>
  <c r="BM29" i="15"/>
  <c r="BN29" i="15"/>
  <c r="BO29" i="15"/>
  <c r="BP29" i="15"/>
  <c r="BQ29" i="15"/>
  <c r="BR29" i="15"/>
  <c r="BS29" i="15"/>
  <c r="BT29" i="15"/>
  <c r="BU29" i="15"/>
  <c r="BV29" i="15"/>
  <c r="BW29" i="15"/>
  <c r="BX29" i="15"/>
  <c r="BY29" i="15"/>
  <c r="BZ29" i="15"/>
  <c r="CA29" i="15"/>
  <c r="CB29" i="15"/>
  <c r="CC29" i="15"/>
  <c r="CD29" i="15"/>
  <c r="CE29" i="15"/>
  <c r="CF29" i="15"/>
  <c r="CG29" i="15"/>
  <c r="CH29" i="15"/>
  <c r="CI29" i="15"/>
  <c r="CJ29" i="15"/>
  <c r="CK29" i="15"/>
  <c r="CL29" i="15"/>
  <c r="BD30" i="15"/>
  <c r="BE30" i="15"/>
  <c r="BF30" i="15"/>
  <c r="BG30" i="15"/>
  <c r="BH30" i="15"/>
  <c r="BI30" i="15"/>
  <c r="BJ30" i="15"/>
  <c r="BK30" i="15"/>
  <c r="BL30" i="15"/>
  <c r="BM30" i="15"/>
  <c r="BN30" i="15"/>
  <c r="BO30" i="15"/>
  <c r="BP30" i="15"/>
  <c r="BQ30" i="15"/>
  <c r="BR30" i="15"/>
  <c r="BS30" i="15"/>
  <c r="BT30" i="15"/>
  <c r="BU30" i="15"/>
  <c r="BV30" i="15"/>
  <c r="BW30" i="15"/>
  <c r="BX30" i="15"/>
  <c r="BY30" i="15"/>
  <c r="BZ30" i="15"/>
  <c r="CA30" i="15"/>
  <c r="CB30" i="15"/>
  <c r="CC30" i="15"/>
  <c r="CD30" i="15"/>
  <c r="CE30" i="15"/>
  <c r="CF30" i="15"/>
  <c r="CG30" i="15"/>
  <c r="CH30" i="15"/>
  <c r="CI30" i="15"/>
  <c r="CJ30" i="15"/>
  <c r="CK30" i="15"/>
  <c r="CL30" i="15"/>
  <c r="BD31" i="15"/>
  <c r="BE31" i="15"/>
  <c r="BF31" i="15"/>
  <c r="BG31" i="15"/>
  <c r="BH31" i="15"/>
  <c r="BI31" i="15"/>
  <c r="BJ31" i="15"/>
  <c r="BK31" i="15"/>
  <c r="BL31" i="15"/>
  <c r="BM31" i="15"/>
  <c r="BN31" i="15"/>
  <c r="BO31" i="15"/>
  <c r="BP31" i="15"/>
  <c r="BQ31" i="15"/>
  <c r="BR31" i="15"/>
  <c r="BS31" i="15"/>
  <c r="BT31" i="15"/>
  <c r="BU31" i="15"/>
  <c r="BV31" i="15"/>
  <c r="BW31" i="15"/>
  <c r="BX31" i="15"/>
  <c r="BY31" i="15"/>
  <c r="BZ31" i="15"/>
  <c r="CA31" i="15"/>
  <c r="CB31" i="15"/>
  <c r="CC31" i="15"/>
  <c r="CD31" i="15"/>
  <c r="CE31" i="15"/>
  <c r="CF31" i="15"/>
  <c r="CG31" i="15"/>
  <c r="CH31" i="15"/>
  <c r="CI31" i="15"/>
  <c r="CJ31" i="15"/>
  <c r="CK31" i="15"/>
  <c r="CL31" i="15"/>
  <c r="BD32" i="15"/>
  <c r="BE32" i="15"/>
  <c r="BF32" i="15"/>
  <c r="BG32" i="15"/>
  <c r="BH32" i="15"/>
  <c r="BI32" i="15"/>
  <c r="BJ32" i="15"/>
  <c r="BK32" i="15"/>
  <c r="BL32" i="15"/>
  <c r="BM32" i="15"/>
  <c r="BN32" i="15"/>
  <c r="BO32" i="15"/>
  <c r="BP32" i="15"/>
  <c r="BQ32" i="15"/>
  <c r="BR32" i="15"/>
  <c r="BS32" i="15"/>
  <c r="BT32" i="15"/>
  <c r="BU32" i="15"/>
  <c r="BV32" i="15"/>
  <c r="BW32" i="15"/>
  <c r="BX32" i="15"/>
  <c r="BY32" i="15"/>
  <c r="BZ32" i="15"/>
  <c r="CA32" i="15"/>
  <c r="CB32" i="15"/>
  <c r="CC32" i="15"/>
  <c r="CD32" i="15"/>
  <c r="CE32" i="15"/>
  <c r="CF32" i="15"/>
  <c r="CG32" i="15"/>
  <c r="CH32" i="15"/>
  <c r="CI32" i="15"/>
  <c r="CJ32" i="15"/>
  <c r="CK32" i="15"/>
  <c r="CL32" i="15"/>
  <c r="BD33" i="15"/>
  <c r="BE33" i="15"/>
  <c r="BF33" i="15"/>
  <c r="BG33" i="15"/>
  <c r="BH33" i="15"/>
  <c r="BI33" i="15"/>
  <c r="BJ33" i="15"/>
  <c r="BK33" i="15"/>
  <c r="BL33" i="15"/>
  <c r="BM33" i="15"/>
  <c r="BN33" i="15"/>
  <c r="BO33" i="15"/>
  <c r="BP33" i="15"/>
  <c r="BQ33" i="15"/>
  <c r="BR33" i="15"/>
  <c r="BS33" i="15"/>
  <c r="BT33" i="15"/>
  <c r="BU33" i="15"/>
  <c r="BV33" i="15"/>
  <c r="BW33" i="15"/>
  <c r="BX33" i="15"/>
  <c r="BY33" i="15"/>
  <c r="BZ33" i="15"/>
  <c r="CA33" i="15"/>
  <c r="CB33" i="15"/>
  <c r="CC33" i="15"/>
  <c r="CD33" i="15"/>
  <c r="CE33" i="15"/>
  <c r="CF33" i="15"/>
  <c r="CG33" i="15"/>
  <c r="CH33" i="15"/>
  <c r="CI33" i="15"/>
  <c r="CJ33" i="15"/>
  <c r="CK33" i="15"/>
  <c r="CL33" i="15"/>
  <c r="BD34" i="15"/>
  <c r="BE34" i="15"/>
  <c r="BF34" i="15"/>
  <c r="BG34" i="15"/>
  <c r="BH34" i="15"/>
  <c r="BI34" i="15"/>
  <c r="BJ34" i="15"/>
  <c r="BK34" i="15"/>
  <c r="BL34" i="15"/>
  <c r="BM34" i="15"/>
  <c r="BN34" i="15"/>
  <c r="BO34" i="15"/>
  <c r="BP34" i="15"/>
  <c r="BQ34" i="15"/>
  <c r="BR34" i="15"/>
  <c r="BS34" i="15"/>
  <c r="BT34" i="15"/>
  <c r="BU34" i="15"/>
  <c r="BV34" i="15"/>
  <c r="BW34" i="15"/>
  <c r="BX34" i="15"/>
  <c r="BY34" i="15"/>
  <c r="BZ34" i="15"/>
  <c r="CA34" i="15"/>
  <c r="CB34" i="15"/>
  <c r="CC34" i="15"/>
  <c r="CD34" i="15"/>
  <c r="CE34" i="15"/>
  <c r="CF34" i="15"/>
  <c r="CG34" i="15"/>
  <c r="CH34" i="15"/>
  <c r="CI34" i="15"/>
  <c r="CJ34" i="15"/>
  <c r="CK34" i="15"/>
  <c r="CL34" i="15"/>
  <c r="BD35" i="15"/>
  <c r="BE35" i="15"/>
  <c r="BF35" i="15"/>
  <c r="BG35" i="15"/>
  <c r="BH35" i="15"/>
  <c r="BI35" i="15"/>
  <c r="BJ35" i="15"/>
  <c r="BK35" i="15"/>
  <c r="BL35" i="15"/>
  <c r="BM35" i="15"/>
  <c r="BN35" i="15"/>
  <c r="BO35" i="15"/>
  <c r="BP35" i="15"/>
  <c r="BQ35" i="15"/>
  <c r="BR35" i="15"/>
  <c r="BS35" i="15"/>
  <c r="BT35" i="15"/>
  <c r="BU35" i="15"/>
  <c r="BV35" i="15"/>
  <c r="BW35" i="15"/>
  <c r="BX35" i="15"/>
  <c r="BY35" i="15"/>
  <c r="BZ35" i="15"/>
  <c r="CA35" i="15"/>
  <c r="CB35" i="15"/>
  <c r="CC35" i="15"/>
  <c r="CD35" i="15"/>
  <c r="CE35" i="15"/>
  <c r="CF35" i="15"/>
  <c r="CG35" i="15"/>
  <c r="CH35" i="15"/>
  <c r="CI35" i="15"/>
  <c r="CJ35" i="15"/>
  <c r="CK35" i="15"/>
  <c r="CL35" i="15"/>
  <c r="BD36" i="15"/>
  <c r="BE36" i="15"/>
  <c r="BF36" i="15"/>
  <c r="BG36" i="15"/>
  <c r="BH36" i="15"/>
  <c r="BI36" i="15"/>
  <c r="BJ36" i="15"/>
  <c r="BK36" i="15"/>
  <c r="BL36" i="15"/>
  <c r="BM36" i="15"/>
  <c r="BN36" i="15"/>
  <c r="BO36" i="15"/>
  <c r="BP36" i="15"/>
  <c r="BQ36" i="15"/>
  <c r="BR36" i="15"/>
  <c r="BS36" i="15"/>
  <c r="BT36" i="15"/>
  <c r="BU36" i="15"/>
  <c r="BV36" i="15"/>
  <c r="BW36" i="15"/>
  <c r="BX36" i="15"/>
  <c r="BY36" i="15"/>
  <c r="BZ36" i="15"/>
  <c r="CA36" i="15"/>
  <c r="CB36" i="15"/>
  <c r="CC36" i="15"/>
  <c r="CD36" i="15"/>
  <c r="CE36" i="15"/>
  <c r="CF36" i="15"/>
  <c r="CG36" i="15"/>
  <c r="CH36" i="15"/>
  <c r="CI36" i="15"/>
  <c r="CJ36" i="15"/>
  <c r="CK36" i="15"/>
  <c r="CL36" i="15"/>
  <c r="BD37" i="15"/>
  <c r="BE37" i="15"/>
  <c r="BF37" i="15"/>
  <c r="BG37" i="15"/>
  <c r="BH37" i="15"/>
  <c r="BI37" i="15"/>
  <c r="BJ37" i="15"/>
  <c r="BK37" i="15"/>
  <c r="BL37" i="15"/>
  <c r="BM37" i="15"/>
  <c r="BN37" i="15"/>
  <c r="BO37" i="15"/>
  <c r="BP37" i="15"/>
  <c r="BQ37" i="15"/>
  <c r="BR37" i="15"/>
  <c r="BS37" i="15"/>
  <c r="BT37" i="15"/>
  <c r="BU37" i="15"/>
  <c r="BV37" i="15"/>
  <c r="BW37" i="15"/>
  <c r="BX37" i="15"/>
  <c r="BY37" i="15"/>
  <c r="BZ37" i="15"/>
  <c r="CA37" i="15"/>
  <c r="CB37" i="15"/>
  <c r="CC37" i="15"/>
  <c r="CD37" i="15"/>
  <c r="CE37" i="15"/>
  <c r="CF37" i="15"/>
  <c r="CG37" i="15"/>
  <c r="CH37" i="15"/>
  <c r="CI37" i="15"/>
  <c r="CJ37" i="15"/>
  <c r="CK37" i="15"/>
  <c r="CL37" i="15"/>
  <c r="BD38" i="15"/>
  <c r="BE38" i="15"/>
  <c r="BF38" i="15"/>
  <c r="BG38" i="15"/>
  <c r="BH38" i="15"/>
  <c r="BI38" i="15"/>
  <c r="BJ38" i="15"/>
  <c r="BK38" i="15"/>
  <c r="BL38" i="15"/>
  <c r="BM38" i="15"/>
  <c r="BN38" i="15"/>
  <c r="BO38" i="15"/>
  <c r="BP38" i="15"/>
  <c r="BQ38" i="15"/>
  <c r="BR38" i="15"/>
  <c r="BS38" i="15"/>
  <c r="BT38" i="15"/>
  <c r="BU38" i="15"/>
  <c r="BV38" i="15"/>
  <c r="BW38" i="15"/>
  <c r="BX38" i="15"/>
  <c r="BY38" i="15"/>
  <c r="BZ38" i="15"/>
  <c r="CA38" i="15"/>
  <c r="CB38" i="15"/>
  <c r="CC38" i="15"/>
  <c r="CD38" i="15"/>
  <c r="CE38" i="15"/>
  <c r="CF38" i="15"/>
  <c r="CG38" i="15"/>
  <c r="CH38" i="15"/>
  <c r="CI38" i="15"/>
  <c r="CJ38" i="15"/>
  <c r="CK38" i="15"/>
  <c r="CL38" i="15"/>
  <c r="BD39" i="15"/>
  <c r="BE39" i="15"/>
  <c r="BF39" i="15"/>
  <c r="BG39" i="15"/>
  <c r="BH39" i="15"/>
  <c r="BI39" i="15"/>
  <c r="BJ39" i="15"/>
  <c r="BK39" i="15"/>
  <c r="BL39" i="15"/>
  <c r="BM39" i="15"/>
  <c r="BN39" i="15"/>
  <c r="BO39" i="15"/>
  <c r="BP39" i="15"/>
  <c r="BQ39" i="15"/>
  <c r="BR39" i="15"/>
  <c r="BS39" i="15"/>
  <c r="BT39" i="15"/>
  <c r="BU39" i="15"/>
  <c r="BV39" i="15"/>
  <c r="BW39" i="15"/>
  <c r="BX39" i="15"/>
  <c r="BY39" i="15"/>
  <c r="BZ39" i="15"/>
  <c r="CA39" i="15"/>
  <c r="CB39" i="15"/>
  <c r="CC39" i="15"/>
  <c r="CD39" i="15"/>
  <c r="CE39" i="15"/>
  <c r="CF39" i="15"/>
  <c r="CG39" i="15"/>
  <c r="CH39" i="15"/>
  <c r="CI39" i="15"/>
  <c r="CJ39" i="15"/>
  <c r="CK39" i="15"/>
  <c r="CL39" i="15"/>
  <c r="BD40" i="15"/>
  <c r="BE40" i="15"/>
  <c r="BF40" i="15"/>
  <c r="BG40" i="15"/>
  <c r="BH40" i="15"/>
  <c r="BI40" i="15"/>
  <c r="BJ40" i="15"/>
  <c r="BK40" i="15"/>
  <c r="BL40" i="15"/>
  <c r="BM40" i="15"/>
  <c r="BN40" i="15"/>
  <c r="BO40" i="15"/>
  <c r="BP40" i="15"/>
  <c r="BQ40" i="15"/>
  <c r="BR40" i="15"/>
  <c r="BS40" i="15"/>
  <c r="BT40" i="15"/>
  <c r="BU40" i="15"/>
  <c r="BV40" i="15"/>
  <c r="BW40" i="15"/>
  <c r="BX40" i="15"/>
  <c r="BY40" i="15"/>
  <c r="BZ40" i="15"/>
  <c r="CA40" i="15"/>
  <c r="CB40" i="15"/>
  <c r="CC40" i="15"/>
  <c r="CD40" i="15"/>
  <c r="CE40" i="15"/>
  <c r="CF40" i="15"/>
  <c r="CG40" i="15"/>
  <c r="CH40" i="15"/>
  <c r="CI40" i="15"/>
  <c r="CJ40" i="15"/>
  <c r="CK40" i="15"/>
  <c r="CL40" i="15"/>
  <c r="BD41" i="15"/>
  <c r="BE41" i="15"/>
  <c r="BF41" i="15"/>
  <c r="BG41" i="15"/>
  <c r="BH41" i="15"/>
  <c r="BI41" i="15"/>
  <c r="BJ41" i="15"/>
  <c r="BK41" i="15"/>
  <c r="BL41" i="15"/>
  <c r="BM41" i="15"/>
  <c r="BN41" i="15"/>
  <c r="BO41" i="15"/>
  <c r="BP41" i="15"/>
  <c r="BQ41" i="15"/>
  <c r="BR41" i="15"/>
  <c r="BS41" i="15"/>
  <c r="BT41" i="15"/>
  <c r="BU41" i="15"/>
  <c r="BV41" i="15"/>
  <c r="BW41" i="15"/>
  <c r="BX41" i="15"/>
  <c r="BY41" i="15"/>
  <c r="BZ41" i="15"/>
  <c r="CA41" i="15"/>
  <c r="CB41" i="15"/>
  <c r="CC41" i="15"/>
  <c r="CD41" i="15"/>
  <c r="CE41" i="15"/>
  <c r="CF41" i="15"/>
  <c r="CG41" i="15"/>
  <c r="CH41" i="15"/>
  <c r="CI41" i="15"/>
  <c r="CJ41" i="15"/>
  <c r="CK41" i="15"/>
  <c r="CL41" i="15"/>
  <c r="BD42" i="15"/>
  <c r="BE42" i="15"/>
  <c r="BF42" i="15"/>
  <c r="BG42" i="15"/>
  <c r="BH42" i="15"/>
  <c r="BI42" i="15"/>
  <c r="BJ42" i="15"/>
  <c r="BK42" i="15"/>
  <c r="BL42" i="15"/>
  <c r="BM42" i="15"/>
  <c r="BN42" i="15"/>
  <c r="BO42" i="15"/>
  <c r="BP42" i="15"/>
  <c r="BQ42" i="15"/>
  <c r="BR42" i="15"/>
  <c r="BS42" i="15"/>
  <c r="BT42" i="15"/>
  <c r="BU42" i="15"/>
  <c r="BV42" i="15"/>
  <c r="BW42" i="15"/>
  <c r="BX42" i="15"/>
  <c r="BY42" i="15"/>
  <c r="BZ42" i="15"/>
  <c r="CA42" i="15"/>
  <c r="CB42" i="15"/>
  <c r="CC42" i="15"/>
  <c r="CD42" i="15"/>
  <c r="CE42" i="15"/>
  <c r="CF42" i="15"/>
  <c r="CG42" i="15"/>
  <c r="CH42" i="15"/>
  <c r="CI42" i="15"/>
  <c r="CJ42" i="15"/>
  <c r="CK42" i="15"/>
  <c r="CL42" i="15"/>
  <c r="BD43" i="15"/>
  <c r="BE43" i="15"/>
  <c r="BF43" i="15"/>
  <c r="BG43" i="15"/>
  <c r="BH43" i="15"/>
  <c r="BI43" i="15"/>
  <c r="BJ43" i="15"/>
  <c r="BK43" i="15"/>
  <c r="BL43" i="15"/>
  <c r="BM43" i="15"/>
  <c r="BN43" i="15"/>
  <c r="BO43" i="15"/>
  <c r="BP43" i="15"/>
  <c r="BQ43" i="15"/>
  <c r="BR43" i="15"/>
  <c r="BS43" i="15"/>
  <c r="BT43" i="15"/>
  <c r="BU43" i="15"/>
  <c r="BV43" i="15"/>
  <c r="BW43" i="15"/>
  <c r="BX43" i="15"/>
  <c r="BY43" i="15"/>
  <c r="BZ43" i="15"/>
  <c r="CA43" i="15"/>
  <c r="CB43" i="15"/>
  <c r="CC43" i="15"/>
  <c r="CD43" i="15"/>
  <c r="CE43" i="15"/>
  <c r="CF43" i="15"/>
  <c r="CG43" i="15"/>
  <c r="CH43" i="15"/>
  <c r="CI43" i="15"/>
  <c r="CJ43" i="15"/>
  <c r="CK43" i="15"/>
  <c r="CL43" i="15"/>
  <c r="BD44" i="15"/>
  <c r="BE44" i="15"/>
  <c r="BF44" i="15"/>
  <c r="BG44" i="15"/>
  <c r="BH44" i="15"/>
  <c r="BI44" i="15"/>
  <c r="BJ44" i="15"/>
  <c r="BK44" i="15"/>
  <c r="BL44" i="15"/>
  <c r="BM44" i="15"/>
  <c r="BN44" i="15"/>
  <c r="BO44" i="15"/>
  <c r="BP44" i="15"/>
  <c r="BQ44" i="15"/>
  <c r="BR44" i="15"/>
  <c r="BS44" i="15"/>
  <c r="BT44" i="15"/>
  <c r="BU44" i="15"/>
  <c r="BV44" i="15"/>
  <c r="BW44" i="15"/>
  <c r="BX44" i="15"/>
  <c r="BY44" i="15"/>
  <c r="BZ44" i="15"/>
  <c r="CA44" i="15"/>
  <c r="CB44" i="15"/>
  <c r="CC44" i="15"/>
  <c r="CD44" i="15"/>
  <c r="CE44" i="15"/>
  <c r="CF44" i="15"/>
  <c r="CG44" i="15"/>
  <c r="CH44" i="15"/>
  <c r="CI44" i="15"/>
  <c r="CJ44" i="15"/>
  <c r="CK44" i="15"/>
  <c r="CL44" i="15"/>
  <c r="BD45" i="15"/>
  <c r="BE45" i="15"/>
  <c r="BF45" i="15"/>
  <c r="BG45" i="15"/>
  <c r="BH45" i="15"/>
  <c r="BI45" i="15"/>
  <c r="BJ45" i="15"/>
  <c r="BK45" i="15"/>
  <c r="BL45" i="15"/>
  <c r="BM45" i="15"/>
  <c r="BN45" i="15"/>
  <c r="BO45" i="15"/>
  <c r="BP45" i="15"/>
  <c r="BQ45" i="15"/>
  <c r="BR45" i="15"/>
  <c r="BS45" i="15"/>
  <c r="BT45" i="15"/>
  <c r="BU45" i="15"/>
  <c r="BV45" i="15"/>
  <c r="BW45" i="15"/>
  <c r="BX45" i="15"/>
  <c r="BY45" i="15"/>
  <c r="BZ45" i="15"/>
  <c r="CA45" i="15"/>
  <c r="CB45" i="15"/>
  <c r="CC45" i="15"/>
  <c r="CD45" i="15"/>
  <c r="CE45" i="15"/>
  <c r="CF45" i="15"/>
  <c r="CG45" i="15"/>
  <c r="CH45" i="15"/>
  <c r="CI45" i="15"/>
  <c r="CJ45" i="15"/>
  <c r="CK45" i="15"/>
  <c r="CL45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6" i="15"/>
  <c r="BB22" i="15"/>
  <c r="BB23" i="15"/>
  <c r="BB24" i="15"/>
  <c r="BB25" i="15"/>
  <c r="H26" i="15"/>
  <c r="BB26" i="15" s="1"/>
  <c r="H27" i="15"/>
  <c r="BB27" i="15" s="1"/>
  <c r="H28" i="15"/>
  <c r="BB28" i="15" s="1"/>
  <c r="H29" i="15"/>
  <c r="BB29" i="15" s="1"/>
  <c r="H30" i="15"/>
  <c r="BB30" i="15" s="1"/>
  <c r="H31" i="15"/>
  <c r="BB31" i="15" s="1"/>
  <c r="H32" i="15"/>
  <c r="BB32" i="15" s="1"/>
  <c r="H33" i="15"/>
  <c r="BB33" i="15" s="1"/>
  <c r="H34" i="15"/>
  <c r="BB34" i="15" s="1"/>
  <c r="H35" i="15"/>
  <c r="BB35" i="15" s="1"/>
  <c r="H36" i="15"/>
  <c r="BB36" i="15" s="1"/>
  <c r="H37" i="15"/>
  <c r="BB37" i="15" s="1"/>
  <c r="H38" i="15"/>
  <c r="BB38" i="15" s="1"/>
  <c r="H39" i="15"/>
  <c r="BB39" i="15" s="1"/>
  <c r="H40" i="15"/>
  <c r="BB40" i="15" s="1"/>
  <c r="H41" i="15"/>
  <c r="BB41" i="15" s="1"/>
  <c r="H42" i="15"/>
  <c r="BB42" i="15" s="1"/>
  <c r="H43" i="15"/>
  <c r="BB43" i="15" s="1"/>
  <c r="H44" i="15"/>
  <c r="BB44" i="15" s="1"/>
  <c r="H45" i="15"/>
  <c r="BB45" i="15" s="1"/>
  <c r="BB13" i="15"/>
  <c r="CJ5" i="15"/>
  <c r="CK5" i="15"/>
  <c r="CL5" i="15"/>
  <c r="CD5" i="15"/>
  <c r="CE5" i="15"/>
  <c r="CF5" i="15"/>
  <c r="CG5" i="15"/>
  <c r="CH5" i="15"/>
  <c r="BD5" i="15"/>
  <c r="BE5" i="15"/>
  <c r="BF5" i="15"/>
  <c r="BG5" i="15"/>
  <c r="BH5" i="15"/>
  <c r="BI5" i="15"/>
  <c r="BJ5" i="15"/>
  <c r="BL5" i="15"/>
  <c r="BM5" i="15"/>
  <c r="BN5" i="15"/>
  <c r="BO5" i="15"/>
  <c r="BP5" i="15"/>
  <c r="BQ5" i="15"/>
  <c r="BR5" i="15"/>
  <c r="BT5" i="15"/>
  <c r="BU5" i="15"/>
  <c r="BV5" i="15"/>
  <c r="BW5" i="15"/>
  <c r="BX5" i="15"/>
  <c r="BY5" i="15"/>
  <c r="BZ5" i="15"/>
  <c r="CB5" i="15"/>
  <c r="CC5" i="15"/>
  <c r="BC5" i="15"/>
  <c r="I4" i="15" a="1"/>
  <c r="I4" i="15" s="1"/>
  <c r="BC4" i="15" s="1"/>
  <c r="BY4" i="15" l="1"/>
  <c r="BQ4" i="15"/>
  <c r="BI4" i="15"/>
  <c r="CE4" i="15"/>
  <c r="BH4" i="15"/>
  <c r="BW4" i="15"/>
  <c r="BO4" i="15"/>
  <c r="BG4" i="15"/>
  <c r="BV4" i="15"/>
  <c r="BN4" i="15"/>
  <c r="BF4" i="15"/>
  <c r="BP4" i="15"/>
  <c r="CC4" i="15"/>
  <c r="BU4" i="15"/>
  <c r="BM4" i="15"/>
  <c r="BE4" i="15"/>
  <c r="CI4" i="15"/>
  <c r="BX4" i="15"/>
  <c r="CD4" i="15"/>
  <c r="CB4" i="15"/>
  <c r="BT4" i="15"/>
  <c r="BL4" i="15"/>
  <c r="BD4" i="15"/>
  <c r="CH4" i="15"/>
  <c r="CL4" i="15"/>
  <c r="CA4" i="15"/>
  <c r="BS4" i="15"/>
  <c r="BK4" i="15"/>
  <c r="CG4" i="15"/>
  <c r="CK4" i="15"/>
  <c r="BZ4" i="15"/>
  <c r="BR4" i="15"/>
  <c r="BJ4" i="15"/>
  <c r="CF4" i="15"/>
  <c r="CJ4" i="15"/>
  <c r="AT7" i="15" l="1"/>
  <c r="AT8" i="15"/>
  <c r="AT9" i="15"/>
  <c r="AT10" i="15"/>
  <c r="AT11" i="15"/>
  <c r="AT12" i="15"/>
  <c r="AT6" i="15"/>
  <c r="F4" i="12" a="1"/>
  <c r="F4" i="12" s="1"/>
  <c r="C42" i="12" s="1" a="1"/>
  <c r="C42" i="12" s="1"/>
  <c r="A42" i="12" s="1"/>
  <c r="K4" i="12" a="1"/>
  <c r="K4" i="12" s="1"/>
  <c r="C49" i="12" s="1" a="1"/>
  <c r="C49" i="12" s="1"/>
  <c r="A49" i="12" s="1"/>
  <c r="N4" i="12" a="1"/>
  <c r="N4" i="12" s="1"/>
  <c r="C52" i="12" s="1" a="1"/>
  <c r="C52" i="12" s="1"/>
  <c r="A52" i="12" s="1"/>
  <c r="C53" i="12" a="1"/>
  <c r="C53" i="12" s="1"/>
  <c r="C4" i="12" a="1"/>
  <c r="C4" i="12" s="1"/>
  <c r="C39" i="12" s="1" a="1"/>
  <c r="C39" i="12" s="1"/>
  <c r="A39" i="12" s="1"/>
  <c r="B49" i="12"/>
  <c r="B50" i="12"/>
  <c r="B51" i="12"/>
  <c r="B52" i="12"/>
  <c r="B53" i="12"/>
  <c r="B48" i="12"/>
  <c r="B40" i="12"/>
  <c r="B41" i="12"/>
  <c r="B42" i="12"/>
  <c r="B43" i="12"/>
  <c r="B44" i="12"/>
  <c r="B39" i="12"/>
  <c r="L4" i="12" a="1"/>
  <c r="L4" i="12" s="1"/>
  <c r="H4" i="12" a="1"/>
  <c r="H4" i="12" s="1"/>
  <c r="G4" i="12" a="1"/>
  <c r="G4" i="12" s="1"/>
  <c r="C43" i="12" s="1" a="1"/>
  <c r="C43" i="12" s="1"/>
  <c r="E4" i="12" a="1"/>
  <c r="E4" i="12" s="1"/>
  <c r="D4" i="12" a="1"/>
  <c r="D4" i="12" s="1"/>
  <c r="C40" i="12" s="1" a="1"/>
  <c r="E221" i="1"/>
  <c r="F221" i="1"/>
  <c r="G221" i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E222" i="1"/>
  <c r="F222" i="1"/>
  <c r="G222" i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E224" i="1"/>
  <c r="F224" i="1"/>
  <c r="G224" i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E225" i="1"/>
  <c r="F225" i="1"/>
  <c r="G225" i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E226" i="1"/>
  <c r="F226" i="1"/>
  <c r="G226" i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E227" i="1"/>
  <c r="F227" i="1"/>
  <c r="G227" i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E228" i="1"/>
  <c r="F228" i="1"/>
  <c r="G228" i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E229" i="1"/>
  <c r="F229" i="1"/>
  <c r="G229" i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E230" i="1"/>
  <c r="F230" i="1"/>
  <c r="G230" i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E231" i="1"/>
  <c r="F231" i="1"/>
  <c r="G231" i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E232" i="1"/>
  <c r="F232" i="1"/>
  <c r="G232" i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E233" i="1"/>
  <c r="F233" i="1"/>
  <c r="G233" i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E234" i="1"/>
  <c r="F234" i="1"/>
  <c r="G234" i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E235" i="1"/>
  <c r="F235" i="1"/>
  <c r="G235" i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E236" i="1"/>
  <c r="F236" i="1"/>
  <c r="G236" i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E237" i="1"/>
  <c r="F237" i="1"/>
  <c r="G237" i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E238" i="1"/>
  <c r="F238" i="1"/>
  <c r="G238" i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E239" i="1"/>
  <c r="F239" i="1"/>
  <c r="G239" i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E240" i="1"/>
  <c r="F240" i="1"/>
  <c r="G240" i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E241" i="1"/>
  <c r="F241" i="1"/>
  <c r="G241" i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E242" i="1"/>
  <c r="F242" i="1"/>
  <c r="G242" i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E243" i="1"/>
  <c r="F243" i="1"/>
  <c r="G243" i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E244" i="1"/>
  <c r="F244" i="1"/>
  <c r="G244" i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E245" i="1"/>
  <c r="F245" i="1"/>
  <c r="G245" i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E246" i="1"/>
  <c r="F246" i="1"/>
  <c r="G246" i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E247" i="1"/>
  <c r="F247" i="1"/>
  <c r="G247" i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E248" i="1"/>
  <c r="F248" i="1"/>
  <c r="G248" i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E249" i="1"/>
  <c r="F249" i="1"/>
  <c r="G249" i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2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E204" i="1"/>
  <c r="F204" i="1"/>
  <c r="G204" i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E205" i="1"/>
  <c r="F205" i="1"/>
  <c r="G205" i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E206" i="1"/>
  <c r="F206" i="1"/>
  <c r="G206" i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E207" i="1"/>
  <c r="F207" i="1"/>
  <c r="G207" i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E208" i="1"/>
  <c r="F208" i="1"/>
  <c r="G208" i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E209" i="1"/>
  <c r="F209" i="1"/>
  <c r="G209" i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E210" i="1"/>
  <c r="F210" i="1"/>
  <c r="G210" i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E211" i="1"/>
  <c r="F211" i="1"/>
  <c r="G211" i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E212" i="1"/>
  <c r="F212" i="1"/>
  <c r="G212" i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E213" i="1"/>
  <c r="F213" i="1"/>
  <c r="G213" i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E214" i="1"/>
  <c r="F214" i="1"/>
  <c r="G214" i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E215" i="1"/>
  <c r="F215" i="1"/>
  <c r="G215" i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E216" i="1"/>
  <c r="F216" i="1"/>
  <c r="G216" i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E217" i="1"/>
  <c r="F217" i="1"/>
  <c r="G217" i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E218" i="1"/>
  <c r="F218" i="1"/>
  <c r="G218" i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E219" i="1"/>
  <c r="F219" i="1"/>
  <c r="G219" i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191" i="1"/>
  <c r="O6" i="1"/>
  <c r="P6" i="1"/>
  <c r="B247" i="1" a="1"/>
  <c r="B247" i="1" s="1"/>
  <c r="B217" i="1" a="1"/>
  <c r="B217" i="1" s="1"/>
  <c r="B67" i="1" a="1"/>
  <c r="B67" i="1" s="1"/>
  <c r="B97" i="1" a="1"/>
  <c r="B97" i="1" s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B187" i="1" a="1"/>
  <c r="B187" i="1" s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B127" i="1" a="1"/>
  <c r="B127" i="1" s="1"/>
  <c r="AW18" i="15"/>
  <c r="AX18" i="15"/>
  <c r="AY18" i="15"/>
  <c r="AW19" i="15"/>
  <c r="AX19" i="15"/>
  <c r="AY19" i="15"/>
  <c r="AW20" i="15"/>
  <c r="AX20" i="15"/>
  <c r="AY20" i="15"/>
  <c r="AW21" i="15"/>
  <c r="AX21" i="15"/>
  <c r="AY21" i="15"/>
  <c r="AY7" i="15"/>
  <c r="AY8" i="15"/>
  <c r="AY9" i="15"/>
  <c r="AY10" i="15"/>
  <c r="AY11" i="15"/>
  <c r="AY12" i="15"/>
  <c r="AY13" i="15"/>
  <c r="AY14" i="15"/>
  <c r="AY15" i="15"/>
  <c r="AY16" i="15"/>
  <c r="AY17" i="15"/>
  <c r="AY6" i="15"/>
  <c r="BA6" i="15" s="1"/>
  <c r="AW10" i="15"/>
  <c r="AX10" i="15"/>
  <c r="AW11" i="15"/>
  <c r="AX11" i="15"/>
  <c r="AW12" i="15"/>
  <c r="AX12" i="15"/>
  <c r="AW13" i="15"/>
  <c r="AX13" i="15"/>
  <c r="AW14" i="15"/>
  <c r="AX14" i="15"/>
  <c r="AW15" i="15"/>
  <c r="AX15" i="15"/>
  <c r="AW16" i="15"/>
  <c r="AX16" i="15"/>
  <c r="AW17" i="15"/>
  <c r="AX17" i="15"/>
  <c r="AX7" i="15"/>
  <c r="AX8" i="15"/>
  <c r="AX9" i="15"/>
  <c r="AX6" i="15"/>
  <c r="AW7" i="15"/>
  <c r="AW8" i="15"/>
  <c r="AW9" i="15"/>
  <c r="AW6" i="15"/>
  <c r="B57" i="12"/>
  <c r="BB7" i="15"/>
  <c r="BB6" i="15"/>
  <c r="A51" i="12"/>
  <c r="BB5" i="15"/>
  <c r="BA13" i="15" l="1"/>
  <c r="BA14" i="15"/>
  <c r="Z5" i="12" a="1"/>
  <c r="Z5" i="12" s="1"/>
  <c r="C41" i="12" a="1"/>
  <c r="C41" i="12" s="1"/>
  <c r="AZ10" i="15"/>
  <c r="BA21" i="15"/>
  <c r="BA20" i="15"/>
  <c r="C40" i="12"/>
  <c r="AZ8" i="15" s="1"/>
  <c r="BA10" i="15"/>
  <c r="AZ6" i="15"/>
  <c r="BA17" i="15"/>
  <c r="BA7" i="15"/>
  <c r="A43" i="12"/>
  <c r="A41" i="12" l="1"/>
  <c r="AZ9" i="15"/>
  <c r="A40" i="12"/>
  <c r="AZ7" i="15"/>
  <c r="Q26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M26" i="1"/>
  <c r="M27" i="1"/>
  <c r="M28" i="1"/>
  <c r="M29" i="1"/>
  <c r="M30" i="1"/>
  <c r="G34" i="1" l="1"/>
  <c r="P255" i="1" l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Q31" i="1" l="1"/>
  <c r="S36" i="2" l="1"/>
  <c r="S37" i="2"/>
  <c r="S38" i="2"/>
  <c r="S39" i="2"/>
  <c r="S40" i="2"/>
  <c r="S41" i="2"/>
  <c r="S42" i="2"/>
  <c r="S43" i="2"/>
  <c r="S44" i="2"/>
  <c r="S45" i="2"/>
  <c r="S46" i="2"/>
  <c r="S35" i="2"/>
  <c r="T33" i="1" l="1"/>
  <c r="D189" i="1" l="1"/>
  <c r="L189" i="1"/>
  <c r="T189" i="1"/>
  <c r="AB189" i="1"/>
  <c r="AJ189" i="1"/>
  <c r="E189" i="1"/>
  <c r="M189" i="1"/>
  <c r="U189" i="1"/>
  <c r="AC189" i="1"/>
  <c r="AK189" i="1"/>
  <c r="F189" i="1"/>
  <c r="N189" i="1"/>
  <c r="V189" i="1"/>
  <c r="AD189" i="1"/>
  <c r="AL189" i="1"/>
  <c r="G189" i="1"/>
  <c r="O189" i="1"/>
  <c r="W189" i="1"/>
  <c r="AE189" i="1"/>
  <c r="AM189" i="1"/>
  <c r="H189" i="1"/>
  <c r="P189" i="1"/>
  <c r="X189" i="1"/>
  <c r="AF189" i="1"/>
  <c r="AH189" i="1"/>
  <c r="I189" i="1"/>
  <c r="Q189" i="1"/>
  <c r="Y189" i="1"/>
  <c r="AG189" i="1"/>
  <c r="J189" i="1"/>
  <c r="R189" i="1"/>
  <c r="Z189" i="1"/>
  <c r="K189" i="1"/>
  <c r="S189" i="1"/>
  <c r="AA189" i="1"/>
  <c r="AI189" i="1"/>
  <c r="S24" i="2" l="1"/>
  <c r="S25" i="2"/>
  <c r="S26" i="2"/>
  <c r="S27" i="2"/>
  <c r="S28" i="2"/>
  <c r="S29" i="2"/>
  <c r="S30" i="2"/>
  <c r="S31" i="2"/>
  <c r="S32" i="2"/>
  <c r="S33" i="2"/>
  <c r="S34" i="2"/>
  <c r="S23" i="2"/>
  <c r="AM159" i="1" l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P159" i="1"/>
  <c r="O159" i="1"/>
  <c r="N159" i="1"/>
  <c r="M159" i="1"/>
  <c r="L159" i="1"/>
  <c r="K159" i="1"/>
  <c r="J159" i="1"/>
  <c r="I159" i="1"/>
  <c r="H159" i="1"/>
  <c r="G159" i="1"/>
  <c r="F159" i="1"/>
  <c r="E159" i="1"/>
  <c r="D159" i="1"/>
  <c r="B157" i="1" a="1"/>
  <c r="B157" i="1" s="1"/>
  <c r="G22" i="2" a="1"/>
  <c r="G22" i="2" s="1"/>
  <c r="H12" i="2" l="1"/>
  <c r="Q32" i="1" l="1"/>
  <c r="AI158" i="1" l="1"/>
  <c r="AA158" i="1"/>
  <c r="S158" i="1"/>
  <c r="K158" i="1"/>
  <c r="AH158" i="1"/>
  <c r="Z158" i="1"/>
  <c r="AG158" i="1"/>
  <c r="Y158" i="1"/>
  <c r="Q158" i="1"/>
  <c r="I158" i="1"/>
  <c r="AF158" i="1"/>
  <c r="X158" i="1"/>
  <c r="H158" i="1"/>
  <c r="P158" i="1"/>
  <c r="AM158" i="1"/>
  <c r="AE158" i="1"/>
  <c r="W158" i="1"/>
  <c r="O158" i="1"/>
  <c r="G158" i="1"/>
  <c r="AB158" i="1"/>
  <c r="J158" i="1"/>
  <c r="AL158" i="1"/>
  <c r="AD158" i="1"/>
  <c r="V158" i="1"/>
  <c r="N158" i="1"/>
  <c r="F158" i="1"/>
  <c r="AK158" i="1"/>
  <c r="AC158" i="1"/>
  <c r="U158" i="1"/>
  <c r="M158" i="1"/>
  <c r="E158" i="1"/>
  <c r="AJ158" i="1"/>
  <c r="T158" i="1"/>
  <c r="L158" i="1"/>
  <c r="D158" i="1"/>
  <c r="R158" i="1"/>
  <c r="C50" i="12" a="1"/>
  <c r="C50" i="12" s="1"/>
  <c r="E1" i="12"/>
  <c r="C3" i="12" a="1"/>
  <c r="C3" i="12" s="1"/>
  <c r="J3" i="12" a="1"/>
  <c r="J3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BA9" i="15" l="1"/>
  <c r="BA16" i="15"/>
  <c r="BA15" i="15"/>
  <c r="BA8" i="15"/>
  <c r="BA19" i="15"/>
  <c r="BA12" i="15"/>
  <c r="W9" i="12" a="1"/>
  <c r="W9" i="12" s="1"/>
  <c r="X5" i="12" a="1"/>
  <c r="X5" i="12" s="1"/>
  <c r="C44" i="12" a="1"/>
  <c r="C44" i="12" s="1"/>
  <c r="BA18" i="15"/>
  <c r="A53" i="12"/>
  <c r="BA11" i="15"/>
  <c r="A50" i="12"/>
  <c r="D15" i="1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AZ13" i="15" l="1"/>
  <c r="AZ20" i="15"/>
  <c r="AZ17" i="15"/>
  <c r="AZ14" i="15"/>
  <c r="AZ21" i="15"/>
  <c r="AZ15" i="15"/>
  <c r="AZ16" i="15"/>
  <c r="AZ12" i="15"/>
  <c r="AZ19" i="15"/>
  <c r="B59" i="12" a="1"/>
  <c r="B59" i="12" s="1"/>
  <c r="A44" i="12"/>
  <c r="AZ18" i="15"/>
  <c r="AZ11" i="15"/>
  <c r="H63" i="1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D2" i="1"/>
  <c r="O7" i="1" l="1"/>
  <c r="P7" i="1"/>
  <c r="O8" i="1"/>
  <c r="P8" i="1"/>
  <c r="O9" i="1"/>
  <c r="P9" i="1"/>
  <c r="O10" i="1"/>
  <c r="P10" i="1"/>
  <c r="O11" i="1"/>
  <c r="P11" i="1"/>
  <c r="O12" i="1"/>
  <c r="P12" i="1"/>
  <c r="O13" i="1"/>
  <c r="P13" i="1"/>
  <c r="O14" i="1"/>
  <c r="P14" i="1"/>
  <c r="P15" i="1"/>
  <c r="O16" i="1"/>
  <c r="P16" i="1"/>
  <c r="O17" i="1"/>
  <c r="P17" i="1"/>
  <c r="O18" i="1"/>
  <c r="P18" i="1"/>
  <c r="O19" i="1"/>
  <c r="P19" i="1"/>
  <c r="O20" i="1"/>
  <c r="P20" i="1"/>
  <c r="O21" i="1"/>
  <c r="P21" i="1"/>
  <c r="O22" i="1"/>
  <c r="P22" i="1"/>
  <c r="O23" i="1"/>
  <c r="P23" i="1"/>
  <c r="O24" i="1"/>
  <c r="P24" i="1"/>
  <c r="O25" i="1"/>
  <c r="P25" i="1"/>
  <c r="P26" i="1"/>
  <c r="O27" i="1"/>
  <c r="P27" i="1"/>
  <c r="O28" i="1"/>
  <c r="P28" i="1"/>
  <c r="O29" i="1"/>
  <c r="P29" i="1"/>
  <c r="O30" i="1"/>
  <c r="P30" i="1"/>
  <c r="P5" i="1"/>
  <c r="O5" i="1"/>
  <c r="J115" i="1" l="1"/>
  <c r="K115" i="1"/>
  <c r="L115" i="1"/>
  <c r="M115" i="1"/>
  <c r="N115" i="1"/>
  <c r="O115" i="1"/>
  <c r="W8" i="1" l="1"/>
  <c r="W9" i="1"/>
  <c r="W12" i="1"/>
  <c r="W15" i="1"/>
  <c r="W16" i="1"/>
  <c r="W19" i="1"/>
  <c r="W20" i="1"/>
  <c r="W22" i="1"/>
  <c r="W24" i="1"/>
  <c r="W25" i="1"/>
  <c r="W26" i="1"/>
  <c r="W27" i="1"/>
  <c r="W28" i="1"/>
  <c r="W29" i="1"/>
  <c r="W30" i="1"/>
  <c r="W31" i="1"/>
  <c r="W32" i="1"/>
  <c r="W33" i="1"/>
  <c r="W5" i="1"/>
  <c r="U6" i="1" l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57" i="1" l="1"/>
  <c r="AE157" i="1"/>
  <c r="W157" i="1"/>
  <c r="O157" i="1"/>
  <c r="G157" i="1"/>
  <c r="AL157" i="1"/>
  <c r="N157" i="1"/>
  <c r="AK157" i="1"/>
  <c r="AC157" i="1"/>
  <c r="U157" i="1"/>
  <c r="M157" i="1"/>
  <c r="E157" i="1"/>
  <c r="AJ157" i="1"/>
  <c r="AB157" i="1"/>
  <c r="T157" i="1"/>
  <c r="L157" i="1"/>
  <c r="D157" i="1"/>
  <c r="AI157" i="1"/>
  <c r="AA157" i="1"/>
  <c r="S157" i="1"/>
  <c r="K157" i="1"/>
  <c r="AF157" i="1"/>
  <c r="AH157" i="1"/>
  <c r="Z157" i="1"/>
  <c r="R157" i="1"/>
  <c r="J157" i="1"/>
  <c r="AG157" i="1"/>
  <c r="Y157" i="1"/>
  <c r="Q157" i="1"/>
  <c r="I157" i="1"/>
  <c r="X157" i="1"/>
  <c r="P157" i="1"/>
  <c r="H157" i="1"/>
  <c r="AD157" i="1"/>
  <c r="V157" i="1"/>
  <c r="F157" i="1"/>
  <c r="I34" i="1"/>
  <c r="F34" i="1"/>
  <c r="H34" i="1"/>
  <c r="N176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6" i="1" l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AA121" i="1"/>
  <c r="Z121" i="1"/>
  <c r="Y121" i="1"/>
  <c r="X121" i="1"/>
  <c r="W121" i="1"/>
  <c r="V121" i="1"/>
  <c r="U121" i="1"/>
  <c r="T121" i="1"/>
  <c r="S121" i="1"/>
  <c r="R121" i="1"/>
  <c r="Q121" i="1"/>
  <c r="P121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56" i="1"/>
  <c r="Z156" i="1"/>
  <c r="Y156" i="1"/>
  <c r="X156" i="1"/>
  <c r="W156" i="1"/>
  <c r="V156" i="1"/>
  <c r="U156" i="1"/>
  <c r="T156" i="1"/>
  <c r="S156" i="1"/>
  <c r="R156" i="1"/>
  <c r="Q156" i="1"/>
  <c r="P156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AA154" i="1"/>
  <c r="Z154" i="1"/>
  <c r="Y154" i="1"/>
  <c r="X154" i="1"/>
  <c r="W154" i="1"/>
  <c r="V154" i="1"/>
  <c r="U154" i="1"/>
  <c r="T154" i="1"/>
  <c r="S154" i="1"/>
  <c r="R154" i="1"/>
  <c r="Q154" i="1"/>
  <c r="P154" i="1"/>
  <c r="AA153" i="1"/>
  <c r="Z153" i="1"/>
  <c r="Y153" i="1"/>
  <c r="X153" i="1"/>
  <c r="W153" i="1"/>
  <c r="V153" i="1"/>
  <c r="U153" i="1"/>
  <c r="T153" i="1"/>
  <c r="S153" i="1"/>
  <c r="R153" i="1"/>
  <c r="Q153" i="1"/>
  <c r="P153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AA149" i="1"/>
  <c r="Z149" i="1"/>
  <c r="Y149" i="1"/>
  <c r="X149" i="1"/>
  <c r="W149" i="1"/>
  <c r="V149" i="1"/>
  <c r="U149" i="1"/>
  <c r="T149" i="1"/>
  <c r="S149" i="1"/>
  <c r="R149" i="1"/>
  <c r="Q149" i="1"/>
  <c r="P149" i="1"/>
  <c r="AA148" i="1"/>
  <c r="Z148" i="1"/>
  <c r="Y148" i="1"/>
  <c r="X148" i="1"/>
  <c r="W148" i="1"/>
  <c r="V148" i="1"/>
  <c r="U148" i="1"/>
  <c r="T148" i="1"/>
  <c r="S148" i="1"/>
  <c r="R148" i="1"/>
  <c r="Q148" i="1"/>
  <c r="P148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D177" i="1"/>
  <c r="D178" i="1"/>
  <c r="D179" i="1"/>
  <c r="D180" i="1"/>
  <c r="D18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E131" i="1"/>
  <c r="F131" i="1"/>
  <c r="G131" i="1"/>
  <c r="H131" i="1"/>
  <c r="I131" i="1"/>
  <c r="J131" i="1"/>
  <c r="K131" i="1"/>
  <c r="L131" i="1"/>
  <c r="M131" i="1"/>
  <c r="N131" i="1"/>
  <c r="O131" i="1"/>
  <c r="D13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E101" i="1"/>
  <c r="F101" i="1"/>
  <c r="G101" i="1"/>
  <c r="H101" i="1"/>
  <c r="I101" i="1"/>
  <c r="J101" i="1"/>
  <c r="K101" i="1"/>
  <c r="L101" i="1"/>
  <c r="M101" i="1"/>
  <c r="N101" i="1"/>
  <c r="O101" i="1"/>
  <c r="D101" i="1"/>
  <c r="B101" i="1" l="1" a="1"/>
  <c r="B71" i="1" a="1"/>
  <c r="B71" i="1" s="1"/>
  <c r="B41" i="1" a="1"/>
  <c r="B41" i="1" s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B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V28" i="1"/>
  <c r="V29" i="1"/>
  <c r="V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J24" i="2"/>
  <c r="J25" i="2"/>
  <c r="J26" i="2"/>
  <c r="J27" i="2"/>
  <c r="J28" i="2"/>
  <c r="J29" i="2"/>
  <c r="J30" i="2"/>
  <c r="J31" i="2"/>
  <c r="J32" i="2"/>
  <c r="J33" i="2"/>
  <c r="J34" i="2"/>
  <c r="J23" i="2"/>
  <c r="B38" i="1" l="1"/>
  <c r="C23" i="2"/>
  <c r="G4" i="2"/>
  <c r="F4" i="2" s="1"/>
  <c r="J186" i="1"/>
  <c r="R186" i="1"/>
  <c r="Z186" i="1"/>
  <c r="AH186" i="1"/>
  <c r="K186" i="1"/>
  <c r="S186" i="1"/>
  <c r="AA186" i="1"/>
  <c r="AI186" i="1"/>
  <c r="L186" i="1"/>
  <c r="T186" i="1"/>
  <c r="AB186" i="1"/>
  <c r="AJ186" i="1"/>
  <c r="E186" i="1"/>
  <c r="M186" i="1"/>
  <c r="U186" i="1"/>
  <c r="AC186" i="1"/>
  <c r="AK186" i="1"/>
  <c r="F186" i="1"/>
  <c r="N186" i="1"/>
  <c r="V186" i="1"/>
  <c r="AD186" i="1"/>
  <c r="AL186" i="1"/>
  <c r="G186" i="1"/>
  <c r="O186" i="1"/>
  <c r="W186" i="1"/>
  <c r="AE186" i="1"/>
  <c r="AM186" i="1"/>
  <c r="H186" i="1"/>
  <c r="P186" i="1"/>
  <c r="X186" i="1"/>
  <c r="AF186" i="1"/>
  <c r="D186" i="1"/>
  <c r="I186" i="1"/>
  <c r="Q186" i="1"/>
  <c r="Y186" i="1"/>
  <c r="AG186" i="1"/>
  <c r="H184" i="1"/>
  <c r="J184" i="1"/>
  <c r="E184" i="1"/>
  <c r="F184" i="1"/>
  <c r="P184" i="1"/>
  <c r="X184" i="1"/>
  <c r="AF184" i="1"/>
  <c r="G184" i="1"/>
  <c r="Q184" i="1"/>
  <c r="Y184" i="1"/>
  <c r="AG184" i="1"/>
  <c r="I184" i="1"/>
  <c r="R184" i="1"/>
  <c r="Z184" i="1"/>
  <c r="AH184" i="1"/>
  <c r="K184" i="1"/>
  <c r="S184" i="1"/>
  <c r="AA184" i="1"/>
  <c r="AI184" i="1"/>
  <c r="L184" i="1"/>
  <c r="T184" i="1"/>
  <c r="AB184" i="1"/>
  <c r="AJ184" i="1"/>
  <c r="D184" i="1"/>
  <c r="M184" i="1"/>
  <c r="U184" i="1"/>
  <c r="AC184" i="1"/>
  <c r="AK184" i="1"/>
  <c r="N184" i="1"/>
  <c r="V184" i="1"/>
  <c r="AD184" i="1"/>
  <c r="AL184" i="1"/>
  <c r="O184" i="1"/>
  <c r="W184" i="1"/>
  <c r="AE184" i="1"/>
  <c r="AM184" i="1"/>
  <c r="E185" i="1"/>
  <c r="M185" i="1"/>
  <c r="U185" i="1"/>
  <c r="AC185" i="1"/>
  <c r="AK185" i="1"/>
  <c r="L185" i="1"/>
  <c r="F185" i="1"/>
  <c r="N185" i="1"/>
  <c r="V185" i="1"/>
  <c r="AD185" i="1"/>
  <c r="AL185" i="1"/>
  <c r="G185" i="1"/>
  <c r="O185" i="1"/>
  <c r="W185" i="1"/>
  <c r="AE185" i="1"/>
  <c r="AM185" i="1"/>
  <c r="H185" i="1"/>
  <c r="P185" i="1"/>
  <c r="X185" i="1"/>
  <c r="AF185" i="1"/>
  <c r="I185" i="1"/>
  <c r="Q185" i="1"/>
  <c r="Y185" i="1"/>
  <c r="AG185" i="1"/>
  <c r="J185" i="1"/>
  <c r="R185" i="1"/>
  <c r="Z185" i="1"/>
  <c r="AH185" i="1"/>
  <c r="D185" i="1"/>
  <c r="K185" i="1"/>
  <c r="S185" i="1"/>
  <c r="AA185" i="1"/>
  <c r="AI185" i="1"/>
  <c r="T185" i="1"/>
  <c r="AB185" i="1"/>
  <c r="AJ185" i="1"/>
  <c r="B101" i="1"/>
  <c r="B131" i="1" s="1"/>
  <c r="B161" i="1" s="1"/>
  <c r="B191" i="1" s="1"/>
  <c r="B221" i="1" s="1"/>
  <c r="B154" i="1"/>
  <c r="B184" i="1" s="1"/>
  <c r="B214" i="1" s="1"/>
  <c r="B244" i="1" s="1"/>
  <c r="B155" i="1"/>
  <c r="B185" i="1" s="1"/>
  <c r="B215" i="1" s="1"/>
  <c r="B245" i="1" s="1"/>
  <c r="B156" i="1"/>
  <c r="B186" i="1" s="1"/>
  <c r="B216" i="1" s="1"/>
  <c r="B246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53" i="1"/>
  <c r="B183" i="1" s="1"/>
  <c r="B213" i="1" s="1"/>
  <c r="B243" i="1" s="1"/>
  <c r="B152" i="1"/>
  <c r="B182" i="1" s="1"/>
  <c r="B212" i="1" s="1"/>
  <c r="B242" i="1" s="1"/>
  <c r="B151" i="1"/>
  <c r="B181" i="1" s="1"/>
  <c r="B211" i="1" s="1"/>
  <c r="B241" i="1" s="1"/>
  <c r="B150" i="1"/>
  <c r="B180" i="1" s="1"/>
  <c r="B210" i="1" s="1"/>
  <c r="B240" i="1" s="1"/>
  <c r="B149" i="1"/>
  <c r="B179" i="1" s="1"/>
  <c r="B209" i="1" s="1"/>
  <c r="B239" i="1" s="1"/>
  <c r="B148" i="1"/>
  <c r="B178" i="1" s="1"/>
  <c r="B208" i="1" s="1"/>
  <c r="B238" i="1" s="1"/>
  <c r="B147" i="1"/>
  <c r="B177" i="1" s="1"/>
  <c r="B207" i="1" s="1"/>
  <c r="B237" i="1" s="1"/>
  <c r="B146" i="1"/>
  <c r="B176" i="1" s="1"/>
  <c r="B206" i="1" s="1"/>
  <c r="B236" i="1" s="1"/>
  <c r="B145" i="1"/>
  <c r="B175" i="1" s="1"/>
  <c r="B205" i="1" s="1"/>
  <c r="B235" i="1" s="1"/>
  <c r="B144" i="1"/>
  <c r="B174" i="1" s="1"/>
  <c r="B204" i="1" s="1"/>
  <c r="B234" i="1" s="1"/>
  <c r="B143" i="1"/>
  <c r="B173" i="1" s="1"/>
  <c r="B203" i="1" s="1"/>
  <c r="B233" i="1" s="1"/>
  <c r="B142" i="1"/>
  <c r="B172" i="1" s="1"/>
  <c r="B202" i="1" s="1"/>
  <c r="B232" i="1" s="1"/>
  <c r="B141" i="1"/>
  <c r="B171" i="1" s="1"/>
  <c r="B201" i="1" s="1"/>
  <c r="B231" i="1" s="1"/>
  <c r="B140" i="1"/>
  <c r="B170" i="1" s="1"/>
  <c r="B200" i="1" s="1"/>
  <c r="B230" i="1" s="1"/>
  <c r="B139" i="1"/>
  <c r="B169" i="1" s="1"/>
  <c r="B199" i="1" s="1"/>
  <c r="B229" i="1" s="1"/>
  <c r="B138" i="1"/>
  <c r="B168" i="1" s="1"/>
  <c r="B198" i="1" s="1"/>
  <c r="B228" i="1" s="1"/>
  <c r="B137" i="1"/>
  <c r="B167" i="1" s="1"/>
  <c r="B197" i="1" s="1"/>
  <c r="B227" i="1" s="1"/>
  <c r="B136" i="1"/>
  <c r="B166" i="1" s="1"/>
  <c r="B196" i="1" s="1"/>
  <c r="B226" i="1" s="1"/>
  <c r="B135" i="1"/>
  <c r="B165" i="1" s="1"/>
  <c r="B195" i="1" s="1"/>
  <c r="B225" i="1" s="1"/>
  <c r="B134" i="1"/>
  <c r="B164" i="1" s="1"/>
  <c r="B194" i="1" s="1"/>
  <c r="B224" i="1" s="1"/>
  <c r="B133" i="1"/>
  <c r="B163" i="1" s="1"/>
  <c r="B193" i="1" s="1"/>
  <c r="B223" i="1" s="1"/>
  <c r="B132" i="1"/>
  <c r="B162" i="1" s="1"/>
  <c r="B192" i="1" s="1"/>
  <c r="B222" i="1" s="1"/>
  <c r="V33" i="1"/>
  <c r="V32" i="1"/>
  <c r="V31" i="1"/>
  <c r="V27" i="1"/>
  <c r="V26" i="1"/>
  <c r="V25" i="1"/>
  <c r="V24" i="1"/>
  <c r="V23" i="1"/>
  <c r="W23" i="1"/>
  <c r="V22" i="1"/>
  <c r="V21" i="1"/>
  <c r="W21" i="1"/>
  <c r="V20" i="1"/>
  <c r="V19" i="1"/>
  <c r="V18" i="1"/>
  <c r="W18" i="1"/>
  <c r="V17" i="1"/>
  <c r="W17" i="1"/>
  <c r="V16" i="1"/>
  <c r="V15" i="1"/>
  <c r="V14" i="1"/>
  <c r="W14" i="1"/>
  <c r="V13" i="1"/>
  <c r="W13" i="1"/>
  <c r="V12" i="1"/>
  <c r="V11" i="1"/>
  <c r="W11" i="1"/>
  <c r="V10" i="1"/>
  <c r="W10" i="1"/>
  <c r="V9" i="1"/>
  <c r="V8" i="1"/>
  <c r="V7" i="1"/>
  <c r="W7" i="1"/>
  <c r="V6" i="1"/>
  <c r="V5" i="1"/>
  <c r="L33" i="2" l="1"/>
  <c r="D253" i="1" a="1"/>
  <c r="D253" i="1" s="1"/>
  <c r="D38" i="1" a="1"/>
  <c r="W6" i="1"/>
  <c r="W34" i="1" s="1"/>
  <c r="N34" i="1"/>
  <c r="M34" i="1"/>
  <c r="F41" i="2"/>
  <c r="F40" i="2"/>
  <c r="F48" i="2"/>
  <c r="K48" i="2" s="1"/>
  <c r="G163" i="1"/>
  <c r="O163" i="1"/>
  <c r="W163" i="1"/>
  <c r="AE163" i="1"/>
  <c r="AM163" i="1"/>
  <c r="H163" i="1"/>
  <c r="I163" i="1"/>
  <c r="Q163" i="1"/>
  <c r="Y163" i="1"/>
  <c r="AG163" i="1"/>
  <c r="K163" i="1"/>
  <c r="S163" i="1"/>
  <c r="AA163" i="1"/>
  <c r="AI163" i="1"/>
  <c r="L163" i="1"/>
  <c r="T163" i="1"/>
  <c r="AB163" i="1"/>
  <c r="AJ163" i="1"/>
  <c r="E163" i="1"/>
  <c r="M163" i="1"/>
  <c r="U163" i="1"/>
  <c r="AC163" i="1"/>
  <c r="AK163" i="1"/>
  <c r="Z163" i="1"/>
  <c r="F163" i="1"/>
  <c r="AD163" i="1"/>
  <c r="J163" i="1"/>
  <c r="AF163" i="1"/>
  <c r="N163" i="1"/>
  <c r="AH163" i="1"/>
  <c r="P163" i="1"/>
  <c r="AL163" i="1"/>
  <c r="R163" i="1"/>
  <c r="V163" i="1"/>
  <c r="X163" i="1"/>
  <c r="D163" i="1"/>
  <c r="J170" i="1"/>
  <c r="R170" i="1"/>
  <c r="Z170" i="1"/>
  <c r="AH170" i="1"/>
  <c r="L170" i="1"/>
  <c r="T170" i="1"/>
  <c r="AB170" i="1"/>
  <c r="AJ170" i="1"/>
  <c r="F170" i="1"/>
  <c r="N170" i="1"/>
  <c r="V170" i="1"/>
  <c r="AD170" i="1"/>
  <c r="AL170" i="1"/>
  <c r="G170" i="1"/>
  <c r="O170" i="1"/>
  <c r="W170" i="1"/>
  <c r="AE170" i="1"/>
  <c r="AM170" i="1"/>
  <c r="H170" i="1"/>
  <c r="P170" i="1"/>
  <c r="X170" i="1"/>
  <c r="AF170" i="1"/>
  <c r="Q170" i="1"/>
  <c r="AK170" i="1"/>
  <c r="S170" i="1"/>
  <c r="U170" i="1"/>
  <c r="Y170" i="1"/>
  <c r="E170" i="1"/>
  <c r="AA170" i="1"/>
  <c r="I170" i="1"/>
  <c r="AC170" i="1"/>
  <c r="K170" i="1"/>
  <c r="AG170" i="1"/>
  <c r="D170" i="1"/>
  <c r="M170" i="1"/>
  <c r="AI170" i="1"/>
  <c r="K167" i="1"/>
  <c r="S167" i="1"/>
  <c r="AA167" i="1"/>
  <c r="AI167" i="1"/>
  <c r="E167" i="1"/>
  <c r="M167" i="1"/>
  <c r="U167" i="1"/>
  <c r="AC167" i="1"/>
  <c r="AK167" i="1"/>
  <c r="G167" i="1"/>
  <c r="O167" i="1"/>
  <c r="W167" i="1"/>
  <c r="AE167" i="1"/>
  <c r="AM167" i="1"/>
  <c r="H167" i="1"/>
  <c r="P167" i="1"/>
  <c r="X167" i="1"/>
  <c r="AF167" i="1"/>
  <c r="I167" i="1"/>
  <c r="Q167" i="1"/>
  <c r="Y167" i="1"/>
  <c r="AG167" i="1"/>
  <c r="N167" i="1"/>
  <c r="AJ167" i="1"/>
  <c r="R167" i="1"/>
  <c r="AL167" i="1"/>
  <c r="T167" i="1"/>
  <c r="V167" i="1"/>
  <c r="D167" i="1"/>
  <c r="Z167" i="1"/>
  <c r="F167" i="1"/>
  <c r="AB167" i="1"/>
  <c r="J167" i="1"/>
  <c r="AD167" i="1"/>
  <c r="L167" i="1"/>
  <c r="AH167" i="1"/>
  <c r="F166" i="1"/>
  <c r="N166" i="1"/>
  <c r="V166" i="1"/>
  <c r="AD166" i="1"/>
  <c r="AL166" i="1"/>
  <c r="H166" i="1"/>
  <c r="P166" i="1"/>
  <c r="X166" i="1"/>
  <c r="AF166" i="1"/>
  <c r="J166" i="1"/>
  <c r="R166" i="1"/>
  <c r="Z166" i="1"/>
  <c r="AH166" i="1"/>
  <c r="K166" i="1"/>
  <c r="S166" i="1"/>
  <c r="AA166" i="1"/>
  <c r="AI166" i="1"/>
  <c r="L166" i="1"/>
  <c r="T166" i="1"/>
  <c r="AB166" i="1"/>
  <c r="AJ166" i="1"/>
  <c r="G166" i="1"/>
  <c r="AC166" i="1"/>
  <c r="I166" i="1"/>
  <c r="AE166" i="1"/>
  <c r="M166" i="1"/>
  <c r="AG166" i="1"/>
  <c r="D166" i="1"/>
  <c r="O166" i="1"/>
  <c r="AK166" i="1"/>
  <c r="Q166" i="1"/>
  <c r="AM166" i="1"/>
  <c r="U166" i="1"/>
  <c r="W166" i="1"/>
  <c r="E166" i="1"/>
  <c r="Y166" i="1"/>
  <c r="I173" i="1"/>
  <c r="Q173" i="1"/>
  <c r="Y173" i="1"/>
  <c r="AG173" i="1"/>
  <c r="K173" i="1"/>
  <c r="S173" i="1"/>
  <c r="AA173" i="1"/>
  <c r="AI173" i="1"/>
  <c r="E173" i="1"/>
  <c r="M173" i="1"/>
  <c r="U173" i="1"/>
  <c r="AC173" i="1"/>
  <c r="AK173" i="1"/>
  <c r="F173" i="1"/>
  <c r="N173" i="1"/>
  <c r="V173" i="1"/>
  <c r="AD173" i="1"/>
  <c r="AL173" i="1"/>
  <c r="G173" i="1"/>
  <c r="O173" i="1"/>
  <c r="W173" i="1"/>
  <c r="AE173" i="1"/>
  <c r="AM173" i="1"/>
  <c r="R173" i="1"/>
  <c r="T173" i="1"/>
  <c r="D173" i="1"/>
  <c r="X173" i="1"/>
  <c r="Z173" i="1"/>
  <c r="H173" i="1"/>
  <c r="AB173" i="1"/>
  <c r="J173" i="1"/>
  <c r="AF173" i="1"/>
  <c r="L173" i="1"/>
  <c r="AH173" i="1"/>
  <c r="P173" i="1"/>
  <c r="AJ173" i="1"/>
  <c r="H176" i="1"/>
  <c r="P176" i="1"/>
  <c r="X176" i="1"/>
  <c r="AF176" i="1"/>
  <c r="J176" i="1"/>
  <c r="R176" i="1"/>
  <c r="Z176" i="1"/>
  <c r="AH176" i="1"/>
  <c r="L176" i="1"/>
  <c r="T176" i="1"/>
  <c r="AB176" i="1"/>
  <c r="AJ176" i="1"/>
  <c r="E176" i="1"/>
  <c r="M176" i="1"/>
  <c r="U176" i="1"/>
  <c r="AC176" i="1"/>
  <c r="AK176" i="1"/>
  <c r="F176" i="1"/>
  <c r="V176" i="1"/>
  <c r="AD176" i="1"/>
  <c r="AL176" i="1"/>
  <c r="S176" i="1"/>
  <c r="W176" i="1"/>
  <c r="Y176" i="1"/>
  <c r="G176" i="1"/>
  <c r="AA176" i="1"/>
  <c r="I176" i="1"/>
  <c r="AE176" i="1"/>
  <c r="D176" i="1"/>
  <c r="K176" i="1"/>
  <c r="AG176" i="1"/>
  <c r="O176" i="1"/>
  <c r="AI176" i="1"/>
  <c r="Q176" i="1"/>
  <c r="AM176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I161" i="1"/>
  <c r="Q161" i="1"/>
  <c r="Y161" i="1"/>
  <c r="AG161" i="1"/>
  <c r="K161" i="1"/>
  <c r="S161" i="1"/>
  <c r="AA161" i="1"/>
  <c r="AI161" i="1"/>
  <c r="L161" i="1"/>
  <c r="T161" i="1"/>
  <c r="AB161" i="1"/>
  <c r="AJ161" i="1"/>
  <c r="X161" i="1"/>
  <c r="Z161" i="1"/>
  <c r="AF161" i="1"/>
  <c r="J161" i="1"/>
  <c r="R161" i="1"/>
  <c r="AH161" i="1"/>
  <c r="D161" i="1"/>
  <c r="H168" i="1"/>
  <c r="P168" i="1"/>
  <c r="X168" i="1"/>
  <c r="AF168" i="1"/>
  <c r="J168" i="1"/>
  <c r="R168" i="1"/>
  <c r="Z168" i="1"/>
  <c r="AH168" i="1"/>
  <c r="L168" i="1"/>
  <c r="T168" i="1"/>
  <c r="AB168" i="1"/>
  <c r="AJ168" i="1"/>
  <c r="E168" i="1"/>
  <c r="M168" i="1"/>
  <c r="U168" i="1"/>
  <c r="AC168" i="1"/>
  <c r="AK168" i="1"/>
  <c r="F168" i="1"/>
  <c r="N168" i="1"/>
  <c r="V168" i="1"/>
  <c r="AD168" i="1"/>
  <c r="AL168" i="1"/>
  <c r="W168" i="1"/>
  <c r="Y168" i="1"/>
  <c r="G168" i="1"/>
  <c r="AA168" i="1"/>
  <c r="I168" i="1"/>
  <c r="AE168" i="1"/>
  <c r="K168" i="1"/>
  <c r="AG168" i="1"/>
  <c r="D168" i="1"/>
  <c r="O168" i="1"/>
  <c r="AI168" i="1"/>
  <c r="Q168" i="1"/>
  <c r="AM168" i="1"/>
  <c r="S168" i="1"/>
  <c r="K175" i="1"/>
  <c r="S175" i="1"/>
  <c r="AA175" i="1"/>
  <c r="AI175" i="1"/>
  <c r="E175" i="1"/>
  <c r="M175" i="1"/>
  <c r="U175" i="1"/>
  <c r="AC175" i="1"/>
  <c r="AK175" i="1"/>
  <c r="G175" i="1"/>
  <c r="O175" i="1"/>
  <c r="W175" i="1"/>
  <c r="AE175" i="1"/>
  <c r="AM175" i="1"/>
  <c r="H175" i="1"/>
  <c r="P175" i="1"/>
  <c r="X175" i="1"/>
  <c r="AF175" i="1"/>
  <c r="I175" i="1"/>
  <c r="Q175" i="1"/>
  <c r="Y175" i="1"/>
  <c r="AG175" i="1"/>
  <c r="L175" i="1"/>
  <c r="AH175" i="1"/>
  <c r="N175" i="1"/>
  <c r="AJ175" i="1"/>
  <c r="R175" i="1"/>
  <c r="AL175" i="1"/>
  <c r="T175" i="1"/>
  <c r="D175" i="1"/>
  <c r="V175" i="1"/>
  <c r="Z175" i="1"/>
  <c r="F175" i="1"/>
  <c r="AB175" i="1"/>
  <c r="J175" i="1"/>
  <c r="AD175" i="1"/>
  <c r="F182" i="1"/>
  <c r="N182" i="1"/>
  <c r="V182" i="1"/>
  <c r="AD182" i="1"/>
  <c r="AL182" i="1"/>
  <c r="H182" i="1"/>
  <c r="P182" i="1"/>
  <c r="X182" i="1"/>
  <c r="AF182" i="1"/>
  <c r="J182" i="1"/>
  <c r="R182" i="1"/>
  <c r="K182" i="1"/>
  <c r="S182" i="1"/>
  <c r="AA182" i="1"/>
  <c r="AI182" i="1"/>
  <c r="L182" i="1"/>
  <c r="T182" i="1"/>
  <c r="AB182" i="1"/>
  <c r="AJ182" i="1"/>
  <c r="G182" i="1"/>
  <c r="Z182" i="1"/>
  <c r="I182" i="1"/>
  <c r="AC182" i="1"/>
  <c r="M182" i="1"/>
  <c r="AE182" i="1"/>
  <c r="D182" i="1"/>
  <c r="O182" i="1"/>
  <c r="AG182" i="1"/>
  <c r="Q182" i="1"/>
  <c r="AH182" i="1"/>
  <c r="U182" i="1"/>
  <c r="AK182" i="1"/>
  <c r="W182" i="1"/>
  <c r="AM182" i="1"/>
  <c r="E182" i="1"/>
  <c r="Y182" i="1"/>
  <c r="F174" i="1"/>
  <c r="N174" i="1"/>
  <c r="V174" i="1"/>
  <c r="AD174" i="1"/>
  <c r="AL174" i="1"/>
  <c r="H174" i="1"/>
  <c r="P174" i="1"/>
  <c r="X174" i="1"/>
  <c r="AF174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Y174" i="1"/>
  <c r="G174" i="1"/>
  <c r="AC174" i="1"/>
  <c r="I174" i="1"/>
  <c r="AE174" i="1"/>
  <c r="D174" i="1"/>
  <c r="M174" i="1"/>
  <c r="AG174" i="1"/>
  <c r="O174" i="1"/>
  <c r="AK174" i="1"/>
  <c r="Q174" i="1"/>
  <c r="AM174" i="1"/>
  <c r="U174" i="1"/>
  <c r="W174" i="1"/>
  <c r="I165" i="1"/>
  <c r="Q165" i="1"/>
  <c r="Y165" i="1"/>
  <c r="AG165" i="1"/>
  <c r="K165" i="1"/>
  <c r="S165" i="1"/>
  <c r="AA165" i="1"/>
  <c r="AI165" i="1"/>
  <c r="E165" i="1"/>
  <c r="M165" i="1"/>
  <c r="U165" i="1"/>
  <c r="AC165" i="1"/>
  <c r="AK165" i="1"/>
  <c r="F165" i="1"/>
  <c r="N165" i="1"/>
  <c r="V165" i="1"/>
  <c r="AD165" i="1"/>
  <c r="AL165" i="1"/>
  <c r="G165" i="1"/>
  <c r="O165" i="1"/>
  <c r="W165" i="1"/>
  <c r="AE165" i="1"/>
  <c r="AM165" i="1"/>
  <c r="T165" i="1"/>
  <c r="X165" i="1"/>
  <c r="D165" i="1"/>
  <c r="Z165" i="1"/>
  <c r="H165" i="1"/>
  <c r="AB165" i="1"/>
  <c r="J165" i="1"/>
  <c r="AF165" i="1"/>
  <c r="L165" i="1"/>
  <c r="AH165" i="1"/>
  <c r="P165" i="1"/>
  <c r="AJ165" i="1"/>
  <c r="R165" i="1"/>
  <c r="L172" i="1"/>
  <c r="T172" i="1"/>
  <c r="AB172" i="1"/>
  <c r="AJ172" i="1"/>
  <c r="F172" i="1"/>
  <c r="N172" i="1"/>
  <c r="V172" i="1"/>
  <c r="AD172" i="1"/>
  <c r="AL172" i="1"/>
  <c r="H172" i="1"/>
  <c r="P172" i="1"/>
  <c r="X172" i="1"/>
  <c r="AF172" i="1"/>
  <c r="I172" i="1"/>
  <c r="Q172" i="1"/>
  <c r="Y172" i="1"/>
  <c r="AG172" i="1"/>
  <c r="J172" i="1"/>
  <c r="R172" i="1"/>
  <c r="Z172" i="1"/>
  <c r="AH172" i="1"/>
  <c r="K172" i="1"/>
  <c r="AE172" i="1"/>
  <c r="D172" i="1"/>
  <c r="M172" i="1"/>
  <c r="AI172" i="1"/>
  <c r="O172" i="1"/>
  <c r="AK172" i="1"/>
  <c r="S172" i="1"/>
  <c r="AM172" i="1"/>
  <c r="U172" i="1"/>
  <c r="W172" i="1"/>
  <c r="E172" i="1"/>
  <c r="AA172" i="1"/>
  <c r="G172" i="1"/>
  <c r="AC172" i="1"/>
  <c r="K183" i="1"/>
  <c r="S183" i="1"/>
  <c r="AA183" i="1"/>
  <c r="AI183" i="1"/>
  <c r="E183" i="1"/>
  <c r="M183" i="1"/>
  <c r="U183" i="1"/>
  <c r="AC183" i="1"/>
  <c r="AK183" i="1"/>
  <c r="H183" i="1"/>
  <c r="P183" i="1"/>
  <c r="X183" i="1"/>
  <c r="AF183" i="1"/>
  <c r="I183" i="1"/>
  <c r="Q183" i="1"/>
  <c r="Y183" i="1"/>
  <c r="AG183" i="1"/>
  <c r="G183" i="1"/>
  <c r="W183" i="1"/>
  <c r="AM183" i="1"/>
  <c r="J183" i="1"/>
  <c r="Z183" i="1"/>
  <c r="L183" i="1"/>
  <c r="AB183" i="1"/>
  <c r="N183" i="1"/>
  <c r="AD183" i="1"/>
  <c r="D183" i="1"/>
  <c r="O183" i="1"/>
  <c r="AE183" i="1"/>
  <c r="AL183" i="1"/>
  <c r="R183" i="1"/>
  <c r="AH183" i="1"/>
  <c r="F183" i="1"/>
  <c r="T183" i="1"/>
  <c r="AJ183" i="1"/>
  <c r="V183" i="1"/>
  <c r="L162" i="1"/>
  <c r="T162" i="1"/>
  <c r="F162" i="1"/>
  <c r="N162" i="1"/>
  <c r="V162" i="1"/>
  <c r="H162" i="1"/>
  <c r="P162" i="1"/>
  <c r="I162" i="1"/>
  <c r="Q162" i="1"/>
  <c r="M162" i="1"/>
  <c r="Z162" i="1"/>
  <c r="AH162" i="1"/>
  <c r="O162" i="1"/>
  <c r="AA162" i="1"/>
  <c r="AI162" i="1"/>
  <c r="R162" i="1"/>
  <c r="AB162" i="1"/>
  <c r="AJ162" i="1"/>
  <c r="E162" i="1"/>
  <c r="U162" i="1"/>
  <c r="AD162" i="1"/>
  <c r="AL162" i="1"/>
  <c r="G162" i="1"/>
  <c r="W162" i="1"/>
  <c r="AE162" i="1"/>
  <c r="AM162" i="1"/>
  <c r="J162" i="1"/>
  <c r="X162" i="1"/>
  <c r="AF162" i="1"/>
  <c r="AK162" i="1"/>
  <c r="K162" i="1"/>
  <c r="S162" i="1"/>
  <c r="Y162" i="1"/>
  <c r="AC162" i="1"/>
  <c r="D162" i="1"/>
  <c r="AG162" i="1"/>
  <c r="E169" i="1"/>
  <c r="M169" i="1"/>
  <c r="U169" i="1"/>
  <c r="AC169" i="1"/>
  <c r="AK169" i="1"/>
  <c r="G169" i="1"/>
  <c r="O169" i="1"/>
  <c r="W169" i="1"/>
  <c r="AE169" i="1"/>
  <c r="AM169" i="1"/>
  <c r="I169" i="1"/>
  <c r="Q169" i="1"/>
  <c r="Y169" i="1"/>
  <c r="AG169" i="1"/>
  <c r="J169" i="1"/>
  <c r="R169" i="1"/>
  <c r="Z169" i="1"/>
  <c r="AH169" i="1"/>
  <c r="K169" i="1"/>
  <c r="S169" i="1"/>
  <c r="AA169" i="1"/>
  <c r="AI169" i="1"/>
  <c r="H169" i="1"/>
  <c r="AD169" i="1"/>
  <c r="L169" i="1"/>
  <c r="AF169" i="1"/>
  <c r="N169" i="1"/>
  <c r="AJ169" i="1"/>
  <c r="P169" i="1"/>
  <c r="AL169" i="1"/>
  <c r="T169" i="1"/>
  <c r="V169" i="1"/>
  <c r="D169" i="1"/>
  <c r="X169" i="1"/>
  <c r="F169" i="1"/>
  <c r="AB169" i="1"/>
  <c r="L164" i="1"/>
  <c r="T164" i="1"/>
  <c r="AB164" i="1"/>
  <c r="AJ164" i="1"/>
  <c r="F164" i="1"/>
  <c r="N164" i="1"/>
  <c r="V164" i="1"/>
  <c r="AD164" i="1"/>
  <c r="AL164" i="1"/>
  <c r="H164" i="1"/>
  <c r="P164" i="1"/>
  <c r="X164" i="1"/>
  <c r="AF164" i="1"/>
  <c r="I164" i="1"/>
  <c r="Q164" i="1"/>
  <c r="Y164" i="1"/>
  <c r="AG164" i="1"/>
  <c r="J164" i="1"/>
  <c r="R164" i="1"/>
  <c r="Z164" i="1"/>
  <c r="AH164" i="1"/>
  <c r="M164" i="1"/>
  <c r="AI164" i="1"/>
  <c r="D164" i="1"/>
  <c r="O164" i="1"/>
  <c r="AK164" i="1"/>
  <c r="S164" i="1"/>
  <c r="AM164" i="1"/>
  <c r="AE164" i="1"/>
  <c r="U164" i="1"/>
  <c r="W164" i="1"/>
  <c r="E164" i="1"/>
  <c r="AA164" i="1"/>
  <c r="G164" i="1"/>
  <c r="AC164" i="1"/>
  <c r="K164" i="1"/>
  <c r="G171" i="1"/>
  <c r="O171" i="1"/>
  <c r="W171" i="1"/>
  <c r="AE171" i="1"/>
  <c r="AM171" i="1"/>
  <c r="I171" i="1"/>
  <c r="Q171" i="1"/>
  <c r="Y171" i="1"/>
  <c r="AG171" i="1"/>
  <c r="K171" i="1"/>
  <c r="S171" i="1"/>
  <c r="AA171" i="1"/>
  <c r="AI171" i="1"/>
  <c r="L171" i="1"/>
  <c r="T171" i="1"/>
  <c r="AB171" i="1"/>
  <c r="AJ171" i="1"/>
  <c r="E171" i="1"/>
  <c r="M171" i="1"/>
  <c r="U171" i="1"/>
  <c r="AC171" i="1"/>
  <c r="AK171" i="1"/>
  <c r="X171" i="1"/>
  <c r="F171" i="1"/>
  <c r="Z171" i="1"/>
  <c r="H171" i="1"/>
  <c r="AD171" i="1"/>
  <c r="J171" i="1"/>
  <c r="AF171" i="1"/>
  <c r="D171" i="1"/>
  <c r="N171" i="1"/>
  <c r="AH171" i="1"/>
  <c r="P171" i="1"/>
  <c r="AL171" i="1"/>
  <c r="R171" i="1"/>
  <c r="V171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D38" i="1" l="1"/>
  <c r="D37" i="1" s="1"/>
  <c r="X34" i="1"/>
  <c r="Y34" i="1" s="1"/>
  <c r="H25" i="2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H5" authorId="0" shapeId="0" xr:uid="{F0978F14-7341-4415-9B8E-58206E7F8D7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Dette felt anvendes hvis værdien skal gælde hele tidsområdet, og så skal værdien være NaN (navngivet værdi).
Hvis FastVaerdi = NaN, skal alle værdier for den aktive periode angives.</t>
        </r>
      </text>
    </comment>
    <comment ref="AV5" authorId="0" shapeId="0" xr:uid="{AFF73F54-32D8-40A3-B382-12FA1EC026C5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StatusKode er et dummy felt ved indlæsning og har derfor værdien NaN., Men den tildeles en værdi ved parsing af scenarier, fx der både angives en fast værdi og månedsværdier.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5,0 hhv 5,5 MWq i tilsendt regneark fra sept 2021.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0" shapeId="0" xr:uid="{C8B9882F-E62B-4918-80C2-DB3DD80CC0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Elproduktionen beregnes af modellen. Denne kolonne fastholder blot historiske elpriser.</t>
        </r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kontrakter: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O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P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T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U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Q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Q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70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254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FixAffaldSum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<sst xmlns="http://schemas.openxmlformats.org/spreadsheetml/2006/main" count="1153" uniqueCount="482">
  <si>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</si>
  <si>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</si>
  <si>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</si>
  <si>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</si>
  <si>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</si>
  <si>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</si>
  <si>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</si>
  <si>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</si>
  <si>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</si>
  <si>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</si>
  <si>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</si>
  <si>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</si>
  <si>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</si>
  <si>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</si>
  <si>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</si>
  <si>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</si>
  <si>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</si>
  <si>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</si>
  <si>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</si>
  <si>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</si>
  <si>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</si>
  <si>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</si>
  <si>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</si>
  <si>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</si>
  <si>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</si>
  <si>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</si>
  <si>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</si>
  <si>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</si>
  <si>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</si>
  <si>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</si>
  <si>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</si>
  <si>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</si>
  <si>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</si>
  <si>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</si>
  <si>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</si>
  <si>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</si>
  <si>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</si>
  <si>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</si>
  <si>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</si>
  <si>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</si>
  <si>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</si>
  <si>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</si>
  <si>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</si>
  <si>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</si>
  <si>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</si>
  <si>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</si>
  <si>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</si>
  <si>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</si>
  <si>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</si>
  <si>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</si>
  <si>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</si>
  <si>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</si>
  <si>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</si>
  <si>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</si>
  <si>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</si>
  <si>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</si>
  <si>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</si>
  <si>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</si>
  <si>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</si>
  <si>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</si>
  <si>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</si>
  <si>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</si>
  <si>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</si>
  <si>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</si>
  <si>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</si>
  <si>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</si>
  <si>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</si>
  <si>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</si>
  <si>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</si>
  <si>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</si>
  <si>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</si>
  <si>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</si>
  <si>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</si>
  <si>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</si>
  <si>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</si>
  <si>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</si>
  <si>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</si>
  <si>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</si>
  <si>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</si>
  <si>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</si>
  <si>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</si>
  <si>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</si>
  <si>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</si>
  <si>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</si>
  <si>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</si>
  <si>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</si>
  <si>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</si>
  <si>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</si>
  <si>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</si>
  <si>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</si>
  <si>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</si>
  <si>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</si>
  <si>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</si>
  <si>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</si>
  <si>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</si>
  <si>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</si>
  <si>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</si>
  <si>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</si>
  <si>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</si>
  <si>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</si>
  <si>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</si>
  <si>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</si>
  <si>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</si>
  <si>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</si>
  <si>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</si>
  <si>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</si>
  <si>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</si>
  <si>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</si>
  <si>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</si>
  <si>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</si>
  <si>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</si>
  <si>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</si>
  <si>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</si>
  <si>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</si>
  <si>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</si>
  <si>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</si>
  <si>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</si>
  <si>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</si>
  <si>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</si>
  <si>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</si>
  <si>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</si>
  <si>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</si>
  <si>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</si>
  <si>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</si>
  <si>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</si>
  <si>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</si>
  <si>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</si>
  <si>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</si>
  <si>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</si>
  <si>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</si>
  <si>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</si>
  <si>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</si>
  <si>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</si>
  <si>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</si>
  <si>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</si>
  <si>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</si>
  <si>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</si>
  <si>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</si>
  <si>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</si>
  <si>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</si>
  <si>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</si>
  <si>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</si>
  <si>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</si>
  <si>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</si>
  <si>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</si>
  <si>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</si>
  <si>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</si>
  <si>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</si>
  <si>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</si>
  <si>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</si>
  <si>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</si>
  <si>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</si>
  <si>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</si>
  <si>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</si>
  <si>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</si>
  <si>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</si>
  <si>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</si>
  <si>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</si>
  <si>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</si>
  <si>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</si>
  <si>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</si>
  <si>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</si>
  <si>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</si>
  <si>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</si>
  <si>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</si>
  <si>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</si>
  <si>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</si>
  <si>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</si>
  <si>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</si>
  <si>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</si>
  <si>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</si>
  <si>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</si>
  <si>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</si>
  <si>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</si>
  <si>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</si>
  <si>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</si>
  <si>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</si>
  <si>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</si>
  <si>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</si>
  <si>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</si>
  <si>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</si>
  <si>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</si>
  <si>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</si>
  <si>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</si>
  <si>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</si>
  <si>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</si>
  <si>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</si>
  <si>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</si>
  <si>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</si>
  <si>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</si>
  <si>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</si>
  <si>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</si>
  <si>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</si>
  <si>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</si>
  <si>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</si>
  <si>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</si>
  <si>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</si>
  <si>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</si>
  <si>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</si>
  <si>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</si>
  <si>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</si>
  <si>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</si>
  <si>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</si>
  <si>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</si>
  <si>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</si>
  <si>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</si>
  <si>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</si>
  <si>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</si>
  <si>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</si>
  <si>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</si>
  <si>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</si>
  <si>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</si>
  <si>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</si>
  <si>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</si>
  <si>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</si>
  <si>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</si>
  <si>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</si>
  <si>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</si>
  <si>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</si>
  <si>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</si>
  <si>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</si>
  <si>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</si>
  <si>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</si>
  <si>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</si>
  <si>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</si>
  <si>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</si>
  <si>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</si>
  <si>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</si>
  <si>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</si>
  <si>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</si>
  <si>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</si>
  <si>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</si>
  <si>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</si>
  <si>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</si>
  <si>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</si>
  <si>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</si>
  <si>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</si>
  <si>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</si>
  <si>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</si>
  <si>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</si>
  <si>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</si>
  <si>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</si>
  <si>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</si>
  <si>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</si>
  <si>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</si>
  <si>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</si>
  <si>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</si>
  <si>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</si>
  <si>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</si>
  <si>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</si>
  <si>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</si>
  <si>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</si>
  <si>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</si>
  <si>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</si>
  <si>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</si>
  <si>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</si>
  <si>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</si>
  <si>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PrisBv</t>
  </si>
  <si>
    <t>CO2-ANDEL [kg/GJ]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</si>
  <si>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</si>
  <si>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</si>
  <si>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</si>
  <si>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</si>
  <si>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</si>
  <si>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</si>
  <si>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</si>
  <si>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</si>
  <si>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</si>
  <si>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</si>
  <si>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</si>
  <si>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</si>
  <si>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</si>
  <si>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</si>
  <si>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</si>
  <si>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</si>
  <si>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</si>
  <si>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</si>
  <si>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</si>
  <si>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</si>
  <si>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</si>
  <si>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</si>
  <si>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</si>
  <si>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</si>
  <si>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</si>
  <si>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</si>
  <si>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</si>
  <si>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</si>
  <si>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</si>
  <si>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</si>
  <si>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</si>
  <si>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</si>
  <si>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</si>
  <si>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</si>
  <si>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</si>
  <si>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</si>
  <si>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</si>
  <si>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</si>
  <si>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</si>
  <si>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</si>
  <si>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</si>
  <si>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</si>
  <si>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</si>
  <si>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</si>
  <si>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</si>
  <si>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</si>
  <si>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</si>
  <si>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</si>
  <si>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</si>
  <si>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</si>
  <si>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</si>
  <si>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</si>
  <si>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</si>
  <si>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</si>
  <si>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</si>
  <si>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</si>
  <si>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</si>
  <si>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RunScenarios</t>
  </si>
  <si>
    <t>Angiver 0/1 om scenarier skal beregnes efter den nominelle beregning.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</si>
  <si>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</si>
  <si>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</si>
  <si>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</si>
  <si>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</si>
  <si>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</si>
  <si>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</si>
  <si>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</si>
  <si>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</si>
  <si>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</si>
  <si>
    <t>ScenId</t>
  </si>
  <si>
    <t>Prognoses</t>
  </si>
  <si>
    <t>rec1</t>
  </si>
  <si>
    <t>rec2</t>
  </si>
  <si>
    <t>rec3</t>
  </si>
  <si>
    <t>rec4</t>
  </si>
  <si>
    <t>rec5</t>
  </si>
  <si>
    <t>rec6</t>
  </si>
  <si>
    <t>rec7</t>
  </si>
  <si>
    <t>rec8</t>
  </si>
  <si>
    <t>rec9</t>
  </si>
  <si>
    <t>rec10</t>
  </si>
  <si>
    <t>rec11</t>
  </si>
  <si>
    <t>rec12</t>
  </si>
  <si>
    <t>rec13</t>
  </si>
  <si>
    <t>rec14</t>
  </si>
  <si>
    <t>rec15</t>
  </si>
  <si>
    <t>rec16</t>
  </si>
  <si>
    <t>rec17</t>
  </si>
  <si>
    <t>rec18</t>
  </si>
  <si>
    <t>rec19</t>
  </si>
  <si>
    <t>rec20</t>
  </si>
  <si>
    <t>rec21</t>
  </si>
  <si>
    <t>rec22</t>
  </si>
  <si>
    <t>rec23</t>
  </si>
  <si>
    <t>rec24</t>
  </si>
  <si>
    <t>rec25</t>
  </si>
  <si>
    <t>rec26</t>
  </si>
  <si>
    <t>rec27</t>
  </si>
  <si>
    <t>rec28</t>
  </si>
  <si>
    <t>rec29</t>
  </si>
  <si>
    <t>rec30</t>
  </si>
  <si>
    <t>rec31</t>
  </si>
  <si>
    <t>rec32</t>
  </si>
  <si>
    <t>rec33</t>
  </si>
  <si>
    <t>rec34</t>
  </si>
  <si>
    <t>rec35</t>
  </si>
  <si>
    <t>rec36</t>
  </si>
  <si>
    <t>rec37</t>
  </si>
  <si>
    <t>Control</t>
  </si>
  <si>
    <t>Fuel</t>
  </si>
  <si>
    <t>Plant</t>
  </si>
  <si>
    <t>Storage</t>
  </si>
  <si>
    <t>VOID</t>
  </si>
  <si>
    <t>scRec</t>
  </si>
  <si>
    <t>Niveau1</t>
  </si>
  <si>
    <t>Niveau2</t>
  </si>
  <si>
    <t>Niveau3</t>
  </si>
  <si>
    <t>Count</t>
  </si>
  <si>
    <t>row</t>
  </si>
  <si>
    <t>ordinal1</t>
  </si>
  <si>
    <t>ordinal2</t>
  </si>
  <si>
    <t>ordinal3</t>
  </si>
  <si>
    <t>Verbal udgave af scenarietabellen</t>
  </si>
  <si>
    <t>screc1</t>
  </si>
  <si>
    <t>screc2</t>
  </si>
  <si>
    <t>screc3</t>
  </si>
  <si>
    <t>screc4</t>
  </si>
  <si>
    <t>screc5</t>
  </si>
  <si>
    <t>screc6</t>
  </si>
  <si>
    <t>screc7</t>
  </si>
  <si>
    <t>screc8</t>
  </si>
  <si>
    <t>screc9</t>
  </si>
  <si>
    <t>screc10</t>
  </si>
  <si>
    <t>screc11</t>
  </si>
  <si>
    <t>screc12</t>
  </si>
  <si>
    <t>LHV</t>
  </si>
  <si>
    <t>screc13</t>
  </si>
  <si>
    <t>screc14</t>
  </si>
  <si>
    <t>screc15</t>
  </si>
  <si>
    <t>screc16</t>
  </si>
  <si>
    <t>TilOvn2 indikator 0/1</t>
  </si>
  <si>
    <t>TilOvn3 indikator 0/1</t>
  </si>
  <si>
    <t>STØRSTE TONNAGE [ton/måned]</t>
  </si>
  <si>
    <t>MINDSTE TONNAGE [ton/måned]</t>
  </si>
  <si>
    <t>=LET(ran;TRANSPOSE(listFuelAttr);FILTER(ran;(ran&lt;&gt;"Fkind")*(ran&lt;&gt;"Lagerbar")*(ran&lt;&gt;"Fri")*(ran&lt;&gt;"Flex")*(ran&lt;&gt;"Bortskaf")))</t>
  </si>
  <si>
    <t>FastVaerdi</t>
  </si>
  <si>
    <t>rec38</t>
  </si>
  <si>
    <t>rec39</t>
  </si>
  <si>
    <t>rec40</t>
  </si>
  <si>
    <t>screc17</t>
  </si>
  <si>
    <t>screc18</t>
  </si>
  <si>
    <t>screc19</t>
  </si>
  <si>
    <t>screc20</t>
  </si>
  <si>
    <t>screc21</t>
  </si>
  <si>
    <t>screc22</t>
  </si>
  <si>
    <t>screc23</t>
  </si>
  <si>
    <t>screc24</t>
  </si>
  <si>
    <t>screc25</t>
  </si>
  <si>
    <t>screc26</t>
  </si>
  <si>
    <t>screc27</t>
  </si>
  <si>
    <t>screc28</t>
  </si>
  <si>
    <t>screc29</t>
  </si>
  <si>
    <t>screc30</t>
  </si>
  <si>
    <t>screc31</t>
  </si>
  <si>
    <t>screc32</t>
  </si>
  <si>
    <t>screc33</t>
  </si>
  <si>
    <t>screc34</t>
  </si>
  <si>
    <t>screc35</t>
  </si>
  <si>
    <t>screc36</t>
  </si>
  <si>
    <t>screc37</t>
  </si>
  <si>
    <t>screc38</t>
  </si>
  <si>
    <t>screc39</t>
  </si>
  <si>
    <t>screc40</t>
  </si>
  <si>
    <t>Tidslig variantion</t>
  </si>
  <si>
    <t>StatusKode</t>
  </si>
  <si>
    <t>Intern variabel</t>
  </si>
  <si>
    <t>NaN</t>
  </si>
  <si>
    <t>Bruges til at angive manglende værdier i input</t>
  </si>
  <si>
    <t>NIX PILLE</t>
  </si>
  <si>
    <t>Affaldsleverancer</t>
  </si>
  <si>
    <t>Fraktionerne fra deponi, samt tyskrest og polskrest, leveres alle af samme firma.</t>
  </si>
  <si>
    <t>1.</t>
  </si>
  <si>
    <t>Disse kan derfor håndteres som fleksible tonnager, dvs. kun den øvre årsgrænse er gældende</t>
  </si>
  <si>
    <t>Kilde</t>
  </si>
  <si>
    <t>JKO</t>
  </si>
  <si>
    <t xml:space="preserve">2. </t>
  </si>
  <si>
    <t>REFA har ingen mellemlagre, idet de lagerbare fraktioner håndteres via REFA's egne deponier eller ekstern leverandør</t>
  </si>
  <si>
    <t xml:space="preserve">3. </t>
  </si>
  <si>
    <t>Fliskedlen skal holdes ude så meget som muligt, idet den udløser en startomkostning kontraktuelt på cirka 1 mio.kr.</t>
  </si>
  <si>
    <t>Dermed skal fliskedlen i modellen holdes kunstigt ude vha. en penalty på dens varmeproduktion</t>
  </si>
  <si>
    <t>REFA ejer fliskedlen og drifter den.</t>
  </si>
  <si>
    <t>2021-Opgørelse</t>
  </si>
  <si>
    <t>OPGØRELSE FRA REFA PÅ FRAKTIONS-NIVEAU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</si>
  <si>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</si>
  <si>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</si>
  <si>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</si>
  <si>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</si>
  <si>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</si>
  <si>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</si>
  <si>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</si>
  <si>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</si>
  <si>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</si>
  <si>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</si>
  <si>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</si>
  <si>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</si>
  <si>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Erhverv,brænd</t>
  </si>
  <si>
    <t>SumAffald</t>
  </si>
  <si>
    <t>Angiver 0/1 om affaldsfraktioners tonnage skal fikseres på årsniveau (bruges til verifikation af historiske data)</t>
  </si>
  <si>
    <t>Nedenstående tabel bruges hvis DataCtrl-parameteren Fix2021 er aktiveret ( != 0)</t>
  </si>
  <si>
    <t>I så fald anvendes tabellens værdier som nedre og øvre grænse for månedstonnager for hver affaldsfraktion</t>
  </si>
  <si>
    <t>Featuren er udelukkende tiltænkt sammenligning af realiserede og beregnede værdier for år 2021.</t>
  </si>
  <si>
    <t>FixAffaldSum</t>
  </si>
  <si>
    <t>FixAffald2021</t>
  </si>
  <si>
    <t>JUNI</t>
  </si>
  <si>
    <t>AffTinfeas</t>
  </si>
  <si>
    <t>SDEV</t>
  </si>
  <si>
    <t>SDEV/SUM</t>
  </si>
  <si>
    <t>MaxDev</t>
  </si>
  <si>
    <t>MaxDev%</t>
  </si>
  <si>
    <t>DeltaTon</t>
  </si>
  <si>
    <t>%ton/måned</t>
  </si>
  <si>
    <t/>
  </si>
  <si>
    <t>DeltaTonAktiv</t>
  </si>
  <si>
    <t>Angiver 0/1 om tonnagetolerancer angivet i DataFuel(DeltaTon) er aktive.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</si>
</sst>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8" fillId="17" borderId="2" applyNumberFormat="0" applyAlignment="0" applyProtection="0"/>
  </cellStyleXfs>
  <cellXfs count="40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0" fontId="0" fillId="0" borderId="0" xfId="0" applyNumberFormat="1"/>
    <xf numFmtId="0" fontId="31" fillId="0" borderId="0" xfId="0" quotePrefix="1" applyFont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3" fillId="10" borderId="0" xfId="0" applyFont="1" applyFill="1" applyAlignment="1">
      <alignment horizontal="center"/>
    </xf>
    <xf numFmtId="0" fontId="3" fillId="10" borderId="0" xfId="0" applyFont="1" applyFill="1" applyAlignment="1">
      <alignment horizontal="left" indent="1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39" fillId="17" borderId="2" xfId="8" applyNumberFormat="1" applyFont="1" applyProtection="1">
      <protection locked="0"/>
    </xf>
    <xf numFmtId="0" fontId="3" fillId="10" borderId="4" xfId="0" applyFont="1" applyFill="1" applyBorder="1" applyAlignment="1">
      <alignment horizontal="left" indent="1"/>
    </xf>
    <xf numFmtId="0" fontId="3" fillId="10" borderId="5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left" indent="1"/>
    </xf>
    <xf numFmtId="0" fontId="3" fillId="0" borderId="22" xfId="0" applyFont="1" applyFill="1" applyBorder="1" applyAlignment="1">
      <alignment horizontal="center"/>
    </xf>
    <xf numFmtId="0" fontId="8" fillId="3" borderId="22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NumberFormat="1" applyFont="1"/>
    <xf numFmtId="0" fontId="34" fillId="9" borderId="0" xfId="0" applyNumberFormat="1" applyFont="1" applyFill="1"/>
    <xf numFmtId="0" fontId="34" fillId="12" borderId="0" xfId="0" applyNumberFormat="1" applyFont="1" applyFill="1"/>
    <xf numFmtId="0" fontId="3" fillId="10" borderId="0" xfId="0" applyNumberFormat="1" applyFont="1" applyFill="1"/>
    <xf numFmtId="0" fontId="7" fillId="0" borderId="39" xfId="0" applyFont="1" applyBorder="1" applyAlignment="1" applyProtection="1">
      <alignment horizontal="center"/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7" xfId="0" applyFont="1" applyBorder="1" applyAlignment="1" applyProtection="1">
      <alignment horizontal="center"/>
      <protection locked="0"/>
    </xf>
    <xf numFmtId="164" fontId="11" fillId="4" borderId="9" xfId="4" applyNumberFormat="1" applyBorder="1" applyProtection="1">
      <protection locked="0"/>
    </xf>
    <xf numFmtId="1" fontId="32" fillId="0" borderId="7" xfId="1" applyNumberFormat="1" applyFont="1" applyBorder="1" applyAlignment="1" applyProtection="1">
      <alignment horizontal="center"/>
      <protection locked="0"/>
    </xf>
    <xf numFmtId="1" fontId="22" fillId="3" borderId="7" xfId="1" applyNumberFormat="1" applyFont="1" applyFill="1" applyBorder="1" applyAlignment="1">
      <alignment horizontal="center"/>
    </xf>
    <xf numFmtId="1" fontId="22" fillId="3" borderId="0" xfId="1" applyNumberFormat="1" applyFont="1" applyFill="1" applyBorder="1" applyAlignment="1">
      <alignment horizontal="center"/>
    </xf>
    <xf numFmtId="0" fontId="0" fillId="10" borderId="53" xfId="0" applyFill="1" applyBorder="1"/>
    <xf numFmtId="0" fontId="7" fillId="0" borderId="0" xfId="0" quotePrefix="1" applyNumberFormat="1" applyFont="1"/>
    <xf numFmtId="0" fontId="0" fillId="10" borderId="0" xfId="0" applyFill="1" applyAlignment="1">
      <alignment horizontal="center"/>
    </xf>
    <xf numFmtId="0" fontId="0" fillId="0" borderId="7" xfId="0" applyBorder="1"/>
    <xf numFmtId="0" fontId="0" fillId="10" borderId="0" xfId="0" applyFill="1" applyBorder="1" applyAlignment="1">
      <alignment horizontal="center"/>
    </xf>
    <xf numFmtId="0" fontId="3" fillId="10" borderId="0" xfId="0" applyFont="1" applyFill="1" applyBorder="1" applyAlignment="1"/>
    <xf numFmtId="169" fontId="3" fillId="0" borderId="0" xfId="0" applyNumberFormat="1" applyFont="1" applyBorder="1" applyAlignment="1">
      <alignment horizontal="center"/>
    </xf>
    <xf numFmtId="169" fontId="3" fillId="0" borderId="30" xfId="0" applyNumberFormat="1" applyFont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0" borderId="30" xfId="0" applyFill="1" applyBorder="1"/>
    <xf numFmtId="0" fontId="3" fillId="10" borderId="7" xfId="0" applyFont="1" applyFill="1" applyBorder="1" applyAlignment="1">
      <alignment horizontal="center"/>
    </xf>
    <xf numFmtId="0" fontId="3" fillId="3" borderId="22" xfId="0" applyFont="1" applyFill="1" applyBorder="1" applyAlignment="1" applyProtection="1">
      <alignment horizontal="center"/>
    </xf>
    <xf numFmtId="0" fontId="3" fillId="3" borderId="28" xfId="0" applyFont="1" applyFill="1" applyBorder="1" applyAlignment="1" applyProtection="1">
      <alignment horizontal="center"/>
    </xf>
    <xf numFmtId="0" fontId="12" fillId="0" borderId="0" xfId="0" applyNumberFormat="1" applyFont="1"/>
    <xf numFmtId="0" fontId="12" fillId="0" borderId="22" xfId="0" applyFont="1" applyBorder="1" applyAlignment="1">
      <alignment horizontal="center"/>
    </xf>
    <xf numFmtId="3" fontId="7" fillId="0" borderId="0" xfId="0" applyNumberFormat="1" applyFont="1"/>
    <xf numFmtId="0" fontId="18" fillId="0" borderId="0" xfId="0" applyFont="1"/>
    <xf numFmtId="10" fontId="14" fillId="8" borderId="2" xfId="5" applyNumberFormat="1" applyAlignment="1" applyProtection="1">
      <alignment horizontal="center"/>
      <protection locked="0"/>
    </xf>
    <xf numFmtId="10" fontId="0" fillId="0" borderId="0" xfId="0" applyNumberFormat="1"/>
    <xf numFmtId="9" fontId="0" fillId="0" borderId="0" xfId="0" applyNumberFormat="1" applyFill="1"/>
    <xf numFmtId="10" fontId="0" fillId="0" borderId="0" xfId="0" applyNumberFormat="1" applyFill="1"/>
    <xf numFmtId="0" fontId="3" fillId="0" borderId="0" xfId="0" applyFont="1" applyAlignment="1">
      <alignment horizontal="left" indent="1"/>
    </xf>
    <xf numFmtId="1" fontId="7" fillId="0" borderId="9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0" fontId="3" fillId="18" borderId="0" xfId="0" applyFont="1" applyFill="1"/>
    <xf numFmtId="3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3" fontId="0" fillId="0" borderId="0" xfId="0" quotePrefix="1" applyNumberFormat="1" applyAlignment="1">
      <alignment horizontal="left" indent="1"/>
    </xf>
    <xf numFmtId="3" fontId="0" fillId="0" borderId="3" xfId="1" applyNumberFormat="1" applyFont="1" applyBorder="1"/>
    <xf numFmtId="3" fontId="0" fillId="0" borderId="54" xfId="0" applyNumberFormat="1" applyBorder="1" applyAlignment="1">
      <alignment horizontal="left" indent="1"/>
    </xf>
    <xf numFmtId="3" fontId="0" fillId="0" borderId="54" xfId="0" applyNumberFormat="1" applyBorder="1"/>
    <xf numFmtId="3" fontId="42" fillId="3" borderId="0" xfId="0" applyNumberFormat="1" applyFont="1" applyFill="1"/>
    <xf numFmtId="3" fontId="20" fillId="3" borderId="0" xfId="0" applyNumberFormat="1" applyFont="1" applyFill="1"/>
    <xf numFmtId="0" fontId="42" fillId="3" borderId="0" xfId="0" applyNumberFormat="1" applyFont="1" applyFill="1" applyAlignment="1">
      <alignment horizontal="center"/>
    </xf>
    <xf numFmtId="165" fontId="30" fillId="0" borderId="7" xfId="1" applyNumberFormat="1" applyFont="1" applyFill="1" applyBorder="1" applyProtection="1">
      <protection locked="0"/>
    </xf>
    <xf numFmtId="165" fontId="30" fillId="0" borderId="0" xfId="1" applyNumberFormat="1" applyFont="1" applyFill="1" applyProtection="1">
      <protection locked="0"/>
    </xf>
    <xf numFmtId="165" fontId="12" fillId="0" borderId="7" xfId="1" applyNumberFormat="1" applyFont="1" applyFill="1" applyBorder="1" applyProtection="1">
      <protection locked="0"/>
    </xf>
    <xf numFmtId="165" fontId="12" fillId="0" borderId="0" xfId="1" applyNumberFormat="1" applyFont="1" applyFill="1" applyProtection="1">
      <protection locked="0"/>
    </xf>
    <xf numFmtId="0" fontId="0" fillId="0" borderId="0" xfId="0" applyAlignment="1">
      <alignment horizontal="center"/>
    </xf>
    <xf numFmtId="9" fontId="0" fillId="0" borderId="0" xfId="2" applyFont="1"/>
    <xf numFmtId="185" fontId="0" fillId="0" borderId="0" xfId="2" applyNumberFormat="1" applyFont="1"/>
    <xf numFmtId="0" fontId="12" fillId="8" borderId="49" xfId="5" applyFont="1" applyBorder="1" applyAlignment="1"/>
    <xf numFmtId="0" fontId="12" fillId="8" borderId="17" xfId="5" applyFont="1" applyBorder="1" applyAlignment="1"/>
    <xf numFmtId="180" fontId="0" fillId="0" borderId="9" xfId="2" applyNumberFormat="1" applyFont="1" applyBorder="1" applyAlignment="1" applyProtection="1">
      <alignment horizontal="center"/>
      <protection locked="0"/>
    </xf>
    <xf numFmtId="180" fontId="0" fillId="0" borderId="3" xfId="2" applyNumberFormat="1" applyFont="1" applyBorder="1" applyAlignment="1" applyProtection="1">
      <alignment horizontal="center"/>
      <protection locked="0"/>
    </xf>
    <xf numFmtId="180" fontId="0" fillId="0" borderId="10" xfId="2" applyNumberFormat="1" applyFont="1" applyBorder="1" applyAlignment="1" applyProtection="1">
      <alignment horizontal="center"/>
      <protection locked="0"/>
    </xf>
    <xf numFmtId="180" fontId="12" fillId="0" borderId="9" xfId="2" applyNumberFormat="1" applyFont="1" applyBorder="1" applyAlignment="1" applyProtection="1">
      <alignment horizontal="center"/>
      <protection locked="0"/>
    </xf>
    <xf numFmtId="180" fontId="12" fillId="0" borderId="3" xfId="2" applyNumberFormat="1" applyFont="1" applyBorder="1" applyAlignment="1" applyProtection="1">
      <alignment horizontal="center"/>
      <protection locked="0"/>
    </xf>
    <xf numFmtId="180" fontId="12" fillId="0" borderId="10" xfId="2" applyNumberFormat="1" applyFont="1" applyBorder="1" applyAlignment="1" applyProtection="1">
      <alignment horizontal="center"/>
      <protection locked="0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67">
    <dxf>
      <font>
        <b/>
        <i/>
      </font>
      <fill>
        <patternFill>
          <bgColor theme="7" tint="0.79998168889431442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b/>
        <i/>
      </font>
      <fill>
        <patternFill>
          <bgColor theme="7" tint="0.79998168889431442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 val="0"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</dxfs>
  <tableStyles count="0" defaultTableStyle="TableStyleMedium2" defaultPivotStyle="PivotStyleLight16"/>
  <colors>
    <mruColors>
      <color rgb="FFFDD2CB"/>
      <color rgb="FFFFCCCC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100851</xdr:colOff>
      <xdr:row>0</xdr:row>
      <xdr:rowOff>44824</xdr:rowOff>
    </xdr:from>
    <xdr:to>
      <xdr:col>48</xdr:col>
      <xdr:colOff>459440</xdr:colOff>
      <xdr:row>3</xdr:row>
      <xdr:rowOff>156881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A9D3FB1-8045-4B8C-BCCE-7B770BE039BA}"/>
            </a:ext>
          </a:extLst>
        </xdr:cNvPr>
        <xdr:cNvSpPr txBox="1"/>
      </xdr:nvSpPr>
      <xdr:spPr>
        <a:xfrm>
          <a:off x="13940116" y="44824"/>
          <a:ext cx="3731559" cy="683557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>
              <a:solidFill>
                <a:schemeClr val="bg1"/>
              </a:solidFill>
            </a:rPr>
            <a:t>Kodet udgave af scenarietabellen (MÅ IKKE ÆNDRES)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valideres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  <xdr:twoCellAnchor>
    <xdr:from>
      <xdr:col>20</xdr:col>
      <xdr:colOff>212911</xdr:colOff>
      <xdr:row>4</xdr:row>
      <xdr:rowOff>11205</xdr:rowOff>
    </xdr:from>
    <xdr:to>
      <xdr:col>21</xdr:col>
      <xdr:colOff>145677</xdr:colOff>
      <xdr:row>5</xdr:row>
      <xdr:rowOff>22412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FB74105-69F0-47F6-9D2F-538234FABF35}"/>
            </a:ext>
          </a:extLst>
        </xdr:cNvPr>
        <xdr:cNvSpPr/>
      </xdr:nvSpPr>
      <xdr:spPr>
        <a:xfrm>
          <a:off x="13637558" y="8180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  <xdr:twoCellAnchor>
    <xdr:from>
      <xdr:col>20</xdr:col>
      <xdr:colOff>174810</xdr:colOff>
      <xdr:row>1</xdr:row>
      <xdr:rowOff>163605</xdr:rowOff>
    </xdr:from>
    <xdr:to>
      <xdr:col>21</xdr:col>
      <xdr:colOff>107576</xdr:colOff>
      <xdr:row>3</xdr:row>
      <xdr:rowOff>17929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4DF29A9-5EC0-4098-A2EA-FE2CC1EFFBF2}"/>
            </a:ext>
          </a:extLst>
        </xdr:cNvPr>
        <xdr:cNvSpPr/>
      </xdr:nvSpPr>
      <xdr:spPr>
        <a:xfrm>
          <a:off x="13599457" y="398929"/>
          <a:ext cx="661148" cy="235324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954742</xdr:colOff>
      <xdr:row>24</xdr:row>
      <xdr:rowOff>170330</xdr:rowOff>
    </xdr:from>
    <xdr:to>
      <xdr:col>4</xdr:col>
      <xdr:colOff>22412</xdr:colOff>
      <xdr:row>26</xdr:row>
      <xdr:rowOff>22412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3C91610-9455-491D-8F41-C3CEAECEDE40}"/>
            </a:ext>
          </a:extLst>
        </xdr:cNvPr>
        <xdr:cNvSpPr/>
      </xdr:nvSpPr>
      <xdr:spPr>
        <a:xfrm>
          <a:off x="3330389" y="4787154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10,</a:t>
          </a:r>
        </a:p>
      </xdr:txBody>
    </xdr:sp>
    <xdr:clientData/>
  </xdr:twoCellAnchor>
  <xdr:twoCellAnchor>
    <xdr:from>
      <xdr:col>31</xdr:col>
      <xdr:colOff>20171</xdr:colOff>
      <xdr:row>0</xdr:row>
      <xdr:rowOff>0</xdr:rowOff>
    </xdr:from>
    <xdr:to>
      <xdr:col>32</xdr:col>
      <xdr:colOff>230841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412A48F6-3C5A-4158-9920-79A6858648FF}"/>
            </a:ext>
          </a:extLst>
        </xdr:cNvPr>
        <xdr:cNvSpPr/>
      </xdr:nvSpPr>
      <xdr:spPr>
        <a:xfrm>
          <a:off x="22230230" y="0"/>
          <a:ext cx="871817" cy="0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>
    <xdr:from>
      <xdr:col>13</xdr:col>
      <xdr:colOff>98613</xdr:colOff>
      <xdr:row>17</xdr:row>
      <xdr:rowOff>177054</xdr:rowOff>
    </xdr:from>
    <xdr:to>
      <xdr:col>13</xdr:col>
      <xdr:colOff>813548</xdr:colOff>
      <xdr:row>19</xdr:row>
      <xdr:rowOff>29136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7C93F3C-FFBE-47DE-914B-A99144D5FF1F}"/>
            </a:ext>
          </a:extLst>
        </xdr:cNvPr>
        <xdr:cNvSpPr/>
      </xdr:nvSpPr>
      <xdr:spPr>
        <a:xfrm>
          <a:off x="9903760" y="3460378"/>
          <a:ext cx="714935" cy="233082"/>
        </a:xfrm>
        <a:prstGeom prst="rect">
          <a:avLst/>
        </a:prstGeom>
        <a:noFill/>
        <a:effectLst>
          <a:glow rad="50800">
            <a:srgbClr val="FF0000">
              <a:alpha val="6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a-DK" sz="1100"/>
            <a:t>,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90</v>
      </c>
      <c r="C4" s="19" t="s">
        <v>89</v>
      </c>
      <c r="D4" s="19" t="s">
        <v>67</v>
      </c>
    </row>
    <row r="5" spans="2:4" x14ac:dyDescent="0.25">
      <c r="B5" t="s">
        <v>201</v>
      </c>
      <c r="C5" s="5">
        <v>1</v>
      </c>
      <c r="D5" s="78" t="s">
        <v>202</v>
      </c>
    </row>
    <row r="6" spans="2:4" x14ac:dyDescent="0.25">
      <c r="B6" t="s">
        <v>92</v>
      </c>
      <c r="C6" s="5">
        <v>0</v>
      </c>
      <c r="D6" t="s">
        <v>56</v>
      </c>
    </row>
    <row r="7" spans="2:4" x14ac:dyDescent="0.25">
      <c r="B7" t="s">
        <v>79</v>
      </c>
      <c r="C7" s="4">
        <v>50</v>
      </c>
      <c r="D7" t="s">
        <v>56</v>
      </c>
    </row>
    <row r="8" spans="2:4" x14ac:dyDescent="0.25">
      <c r="B8" t="s">
        <v>81</v>
      </c>
      <c r="C8" s="3">
        <v>7.0000000000000007E-2</v>
      </c>
    </row>
    <row r="9" spans="2:4" x14ac:dyDescent="0.25">
      <c r="B9" t="s">
        <v>82</v>
      </c>
      <c r="C9" s="3">
        <v>0.1</v>
      </c>
    </row>
    <row r="10" spans="2:4" x14ac:dyDescent="0.25">
      <c r="B10" t="s">
        <v>91</v>
      </c>
      <c r="C10">
        <v>0</v>
      </c>
      <c r="D10" t="s">
        <v>56</v>
      </c>
    </row>
    <row r="11" spans="2:4" x14ac:dyDescent="0.25">
      <c r="B11" t="s">
        <v>212</v>
      </c>
      <c r="C11" s="3">
        <v>0.45</v>
      </c>
      <c r="D11" t="s">
        <v>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7A585-83EA-4225-86EB-6DADE786ABF8}">
  <sheetPr codeName="Sheet4"/>
  <dimension ref="A3:C16"/>
  <sheetViews>
    <sheetView workbookViewId="0">
      <selection activeCell="L12" sqref="L12"/>
    </sheetView>
  </sheetViews>
  <sheetFormatPr defaultRowHeight="15" x14ac:dyDescent="0.25"/>
  <cols>
    <col min="1" max="1" width="9.140625" style="276"/>
  </cols>
  <sheetData>
    <row r="3" spans="1:3" x14ac:dyDescent="0.25">
      <c r="A3" s="367" t="s">
        <v>441</v>
      </c>
      <c r="B3" s="1" t="s">
        <v>437</v>
      </c>
    </row>
    <row r="4" spans="1:3" x14ac:dyDescent="0.25">
      <c r="A4" s="276" t="s">
        <v>442</v>
      </c>
      <c r="B4" s="6" t="s">
        <v>439</v>
      </c>
      <c r="C4" t="s">
        <v>438</v>
      </c>
    </row>
    <row r="5" spans="1:3" x14ac:dyDescent="0.25">
      <c r="B5" s="6"/>
      <c r="C5" t="s">
        <v>440</v>
      </c>
    </row>
    <row r="6" spans="1:3" x14ac:dyDescent="0.25">
      <c r="A6" s="276" t="s">
        <v>442</v>
      </c>
      <c r="B6" s="6" t="s">
        <v>443</v>
      </c>
      <c r="C6" t="s">
        <v>444</v>
      </c>
    </row>
    <row r="7" spans="1:3" x14ac:dyDescent="0.25">
      <c r="A7" s="276" t="s">
        <v>442</v>
      </c>
      <c r="B7" s="6" t="s">
        <v>445</v>
      </c>
      <c r="C7" t="s">
        <v>446</v>
      </c>
    </row>
    <row r="8" spans="1:3" x14ac:dyDescent="0.25">
      <c r="B8" s="6"/>
      <c r="C8" t="s">
        <v>448</v>
      </c>
    </row>
    <row r="9" spans="1:3" x14ac:dyDescent="0.25">
      <c r="B9" s="6"/>
      <c r="C9" t="s">
        <v>447</v>
      </c>
    </row>
    <row r="10" spans="1:3" x14ac:dyDescent="0.25">
      <c r="B10" s="6"/>
    </row>
    <row r="11" spans="1:3" x14ac:dyDescent="0.25">
      <c r="B11" s="6"/>
    </row>
    <row r="12" spans="1:3" x14ac:dyDescent="0.25">
      <c r="B12" s="6"/>
    </row>
    <row r="13" spans="1:3" x14ac:dyDescent="0.25">
      <c r="B13" s="6"/>
    </row>
    <row r="14" spans="1:3" x14ac:dyDescent="0.25">
      <c r="B14" s="6"/>
    </row>
    <row r="15" spans="1:3" x14ac:dyDescent="0.25">
      <c r="B15" s="6"/>
    </row>
    <row r="16" spans="1:3" x14ac:dyDescent="0.25">
      <c r="B16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65CB-248B-4D91-AE19-B678AE7BB46A}">
  <sheetPr codeName="Sheet5">
    <tabColor theme="4" tint="0.59999389629810485"/>
  </sheetPr>
  <dimension ref="A1:CL45"/>
  <sheetViews>
    <sheetView zoomScale="85" zoomScaleNormal="85" workbookViewId="0">
      <selection activeCell="C12" sqref="C12"/>
    </sheetView>
  </sheetViews>
  <sheetFormatPr defaultRowHeight="15" outlineLevelCol="2" x14ac:dyDescent="0.25"/>
  <cols>
    <col min="1" max="1" width="20.85546875" customWidth="1"/>
    <col min="3" max="3" width="9.140625" customWidth="1" outlineLevel="1"/>
    <col min="4" max="4" width="8.140625" customWidth="1" outlineLevel="1"/>
    <col min="5" max="5" width="13.5703125" customWidth="1" outlineLevel="1"/>
    <col min="6" max="6" width="16" customWidth="1" outlineLevel="1"/>
    <col min="7" max="7" width="14.28515625" customWidth="1" outlineLevel="1"/>
    <col min="8" max="8" width="10.7109375" customWidth="1" outlineLevel="1"/>
    <col min="9" max="9" width="6.7109375" customWidth="1"/>
    <col min="10" max="20" width="6.7109375" customWidth="1" outlineLevel="1"/>
    <col min="21" max="21" width="6.7109375" customWidth="1"/>
    <col min="22" max="32" width="6.7109375" hidden="1" customWidth="1" outlineLevel="1"/>
    <col min="33" max="33" width="6.7109375" customWidth="1" collapsed="1"/>
    <col min="34" max="43" width="6.7109375" hidden="1" customWidth="1" outlineLevel="1"/>
    <col min="44" max="44" width="6.7109375" customWidth="1" collapsed="1"/>
    <col min="45" max="45" width="5" style="346" customWidth="1"/>
    <col min="46" max="46" width="28" style="73" customWidth="1" outlineLevel="1"/>
    <col min="47" max="48" width="11.28515625" style="276" customWidth="1" outlineLevel="2"/>
    <col min="49" max="50" width="9.140625" style="6" customWidth="1" outlineLevel="2"/>
    <col min="51" max="53" width="8.85546875" style="6" customWidth="1" outlineLevel="2"/>
    <col min="54" max="54" width="10.7109375" style="6" customWidth="1" outlineLevel="2"/>
    <col min="55" max="55" width="6.7109375" customWidth="1" outlineLevel="1"/>
    <col min="56" max="66" width="6.7109375" customWidth="1" outlineLevel="2"/>
    <col min="67" max="67" width="6.7109375" customWidth="1" outlineLevel="1"/>
    <col min="68" max="78" width="6.7109375" customWidth="1" outlineLevel="2"/>
    <col min="79" max="79" width="6.7109375" customWidth="1" outlineLevel="1"/>
    <col min="80" max="89" width="6.7109375" customWidth="1" outlineLevel="2"/>
    <col min="90" max="90" width="6.7109375" customWidth="1" outlineLevel="1"/>
  </cols>
  <sheetData>
    <row r="1" spans="1:90" x14ac:dyDescent="0.25">
      <c r="B1" s="1" t="s">
        <v>380</v>
      </c>
      <c r="G1" t="s">
        <v>98</v>
      </c>
      <c r="H1">
        <v>200</v>
      </c>
      <c r="I1">
        <v>200</v>
      </c>
    </row>
    <row r="2" spans="1:90" x14ac:dyDescent="0.25">
      <c r="G2" t="s">
        <v>178</v>
      </c>
      <c r="H2">
        <v>400</v>
      </c>
      <c r="I2">
        <v>800</v>
      </c>
      <c r="AU2" s="73"/>
      <c r="AV2" s="73"/>
      <c r="AW2" s="73"/>
      <c r="AX2" s="73"/>
      <c r="AY2" s="73"/>
    </row>
    <row r="3" spans="1:90" x14ac:dyDescent="0.25">
      <c r="H3" s="1"/>
    </row>
    <row r="4" spans="1:90" x14ac:dyDescent="0.25">
      <c r="A4" s="35"/>
      <c r="C4" s="334" t="s">
        <v>217</v>
      </c>
      <c r="H4" s="6"/>
      <c r="I4" s="35" cm="1">
        <f t="array" ref="I4:AR4">TRANSPOSE(PeriodRange)</f>
        <v>44197</v>
      </c>
      <c r="J4" s="352">
        <v>44228</v>
      </c>
      <c r="K4" s="352">
        <v>44256</v>
      </c>
      <c r="L4" s="352">
        <v>44287</v>
      </c>
      <c r="M4" s="352">
        <v>44317</v>
      </c>
      <c r="N4" s="352">
        <v>44348</v>
      </c>
      <c r="O4" s="352">
        <v>44378</v>
      </c>
      <c r="P4" s="352">
        <v>44409</v>
      </c>
      <c r="Q4" s="352">
        <v>44440</v>
      </c>
      <c r="R4" s="352">
        <v>44470</v>
      </c>
      <c r="S4" s="352">
        <v>44501</v>
      </c>
      <c r="T4" s="353">
        <v>44531</v>
      </c>
      <c r="U4" s="35">
        <v>44562</v>
      </c>
      <c r="V4" s="352">
        <v>44593</v>
      </c>
      <c r="W4" s="352">
        <v>44621</v>
      </c>
      <c r="X4" s="352">
        <v>44652</v>
      </c>
      <c r="Y4" s="352">
        <v>44682</v>
      </c>
      <c r="Z4" s="352">
        <v>44713</v>
      </c>
      <c r="AA4" s="352">
        <v>44743</v>
      </c>
      <c r="AB4" s="352">
        <v>44774</v>
      </c>
      <c r="AC4" s="352">
        <v>44805</v>
      </c>
      <c r="AD4" s="352">
        <v>44835</v>
      </c>
      <c r="AE4" s="352">
        <v>44866</v>
      </c>
      <c r="AF4" s="353">
        <v>44896</v>
      </c>
      <c r="AG4" s="35">
        <v>44927</v>
      </c>
      <c r="AH4" s="352">
        <v>44958</v>
      </c>
      <c r="AI4" s="352">
        <v>44986</v>
      </c>
      <c r="AJ4" s="352">
        <v>45017</v>
      </c>
      <c r="AK4" s="352">
        <v>45047</v>
      </c>
      <c r="AL4" s="352">
        <v>45078</v>
      </c>
      <c r="AM4" s="352">
        <v>45108</v>
      </c>
      <c r="AN4" s="352">
        <v>45139</v>
      </c>
      <c r="AO4" s="352">
        <v>45170</v>
      </c>
      <c r="AP4" s="352">
        <v>45200</v>
      </c>
      <c r="AQ4" s="352">
        <v>45231</v>
      </c>
      <c r="AR4" s="353">
        <v>45261</v>
      </c>
      <c r="AY4" s="6" t="s">
        <v>377</v>
      </c>
      <c r="AZ4" s="6" t="s">
        <v>378</v>
      </c>
      <c r="BA4" s="6" t="s">
        <v>379</v>
      </c>
      <c r="BC4" s="35">
        <f>I4</f>
        <v>44197</v>
      </c>
      <c r="BD4" s="352">
        <f t="shared" ref="BD4:CC13" si="0">J4</f>
        <v>44228</v>
      </c>
      <c r="BE4" s="352">
        <f t="shared" si="0"/>
        <v>44256</v>
      </c>
      <c r="BF4" s="352">
        <f t="shared" si="0"/>
        <v>44287</v>
      </c>
      <c r="BG4" s="352">
        <f t="shared" si="0"/>
        <v>44317</v>
      </c>
      <c r="BH4" s="352">
        <f t="shared" si="0"/>
        <v>44348</v>
      </c>
      <c r="BI4" s="352">
        <f t="shared" si="0"/>
        <v>44378</v>
      </c>
      <c r="BJ4" s="352">
        <f t="shared" si="0"/>
        <v>44409</v>
      </c>
      <c r="BK4" s="352">
        <f t="shared" si="0"/>
        <v>44440</v>
      </c>
      <c r="BL4" s="352">
        <f t="shared" si="0"/>
        <v>44470</v>
      </c>
      <c r="BM4" s="352">
        <f t="shared" si="0"/>
        <v>44501</v>
      </c>
      <c r="BN4" s="353">
        <f t="shared" si="0"/>
        <v>44531</v>
      </c>
      <c r="BO4" s="35">
        <f t="shared" si="0"/>
        <v>44562</v>
      </c>
      <c r="BP4" s="352">
        <f t="shared" si="0"/>
        <v>44593</v>
      </c>
      <c r="BQ4" s="352">
        <f t="shared" si="0"/>
        <v>44621</v>
      </c>
      <c r="BR4" s="352">
        <f t="shared" si="0"/>
        <v>44652</v>
      </c>
      <c r="BS4" s="352">
        <f t="shared" si="0"/>
        <v>44682</v>
      </c>
      <c r="BT4" s="352">
        <f t="shared" si="0"/>
        <v>44713</v>
      </c>
      <c r="BU4" s="352">
        <f t="shared" si="0"/>
        <v>44743</v>
      </c>
      <c r="BV4" s="352">
        <f t="shared" si="0"/>
        <v>44774</v>
      </c>
      <c r="BW4" s="352">
        <f t="shared" si="0"/>
        <v>44805</v>
      </c>
      <c r="BX4" s="352">
        <f t="shared" si="0"/>
        <v>44835</v>
      </c>
      <c r="BY4" s="352">
        <f t="shared" si="0"/>
        <v>44866</v>
      </c>
      <c r="BZ4" s="353">
        <f t="shared" si="0"/>
        <v>44896</v>
      </c>
      <c r="CA4" s="35">
        <f t="shared" si="0"/>
        <v>44927</v>
      </c>
      <c r="CB4" s="352">
        <f t="shared" si="0"/>
        <v>44958</v>
      </c>
      <c r="CC4" s="352">
        <f t="shared" si="0"/>
        <v>44986</v>
      </c>
      <c r="CD4" s="352">
        <f t="shared" ref="CD4:CD45" si="1">AJ4</f>
        <v>45017</v>
      </c>
      <c r="CE4" s="352">
        <f t="shared" ref="CE4:CE45" si="2">AK4</f>
        <v>45047</v>
      </c>
      <c r="CF4" s="352">
        <f t="shared" ref="CF4:CF45" si="3">AL4</f>
        <v>45078</v>
      </c>
      <c r="CG4" s="352">
        <f t="shared" ref="CG4:CG45" si="4">AM4</f>
        <v>45108</v>
      </c>
      <c r="CH4" s="352">
        <f t="shared" ref="CH4:CH45" si="5">AN4</f>
        <v>45139</v>
      </c>
      <c r="CI4" s="352">
        <f t="shared" ref="CI4:CI45" si="6">AO4</f>
        <v>45170</v>
      </c>
      <c r="CJ4" s="352">
        <f t="shared" ref="CJ4:CJ45" si="7">AP4</f>
        <v>45200</v>
      </c>
      <c r="CK4" s="352">
        <f t="shared" ref="CK4:CK45" si="8">AQ4</f>
        <v>45231</v>
      </c>
      <c r="CL4" s="353">
        <f t="shared" ref="CL4:CL45" si="9">AR4</f>
        <v>45261</v>
      </c>
    </row>
    <row r="5" spans="1:90" x14ac:dyDescent="0.25">
      <c r="A5" s="356" t="s">
        <v>431</v>
      </c>
      <c r="B5" s="304" t="s">
        <v>371</v>
      </c>
      <c r="C5" s="304" t="s">
        <v>184</v>
      </c>
      <c r="D5" s="305" t="s">
        <v>327</v>
      </c>
      <c r="E5" s="304" t="s">
        <v>372</v>
      </c>
      <c r="F5" s="304" t="s">
        <v>373</v>
      </c>
      <c r="G5" s="304" t="s">
        <v>374</v>
      </c>
      <c r="H5" s="304" t="s">
        <v>403</v>
      </c>
      <c r="I5" s="354" t="s">
        <v>141</v>
      </c>
      <c r="J5" s="348" t="s">
        <v>142</v>
      </c>
      <c r="K5" s="348" t="s">
        <v>143</v>
      </c>
      <c r="L5" s="348" t="s">
        <v>144</v>
      </c>
      <c r="M5" s="348" t="s">
        <v>145</v>
      </c>
      <c r="N5" s="348" t="s">
        <v>146</v>
      </c>
      <c r="O5" s="348" t="s">
        <v>147</v>
      </c>
      <c r="P5" s="348" t="s">
        <v>148</v>
      </c>
      <c r="Q5" s="348" t="s">
        <v>149</v>
      </c>
      <c r="R5" s="348" t="s">
        <v>150</v>
      </c>
      <c r="S5" s="348" t="s">
        <v>151</v>
      </c>
      <c r="T5" s="348" t="s">
        <v>152</v>
      </c>
      <c r="U5" s="354" t="s">
        <v>153</v>
      </c>
      <c r="V5" s="348" t="s">
        <v>154</v>
      </c>
      <c r="W5" s="348" t="s">
        <v>155</v>
      </c>
      <c r="X5" s="348" t="s">
        <v>156</v>
      </c>
      <c r="Y5" s="348" t="s">
        <v>157</v>
      </c>
      <c r="Z5" s="348" t="s">
        <v>158</v>
      </c>
      <c r="AA5" s="348" t="s">
        <v>159</v>
      </c>
      <c r="AB5" s="348" t="s">
        <v>160</v>
      </c>
      <c r="AC5" s="348" t="s">
        <v>161</v>
      </c>
      <c r="AD5" s="348" t="s">
        <v>162</v>
      </c>
      <c r="AE5" s="348" t="s">
        <v>163</v>
      </c>
      <c r="AF5" s="354" t="s">
        <v>164</v>
      </c>
      <c r="AG5" s="350" t="s">
        <v>165</v>
      </c>
      <c r="AH5" s="348" t="s">
        <v>166</v>
      </c>
      <c r="AI5" s="348" t="s">
        <v>167</v>
      </c>
      <c r="AJ5" s="348" t="s">
        <v>168</v>
      </c>
      <c r="AK5" s="348" t="s">
        <v>169</v>
      </c>
      <c r="AL5" s="348" t="s">
        <v>170</v>
      </c>
      <c r="AM5" s="348" t="s">
        <v>171</v>
      </c>
      <c r="AN5" s="348" t="s">
        <v>172</v>
      </c>
      <c r="AO5" s="348" t="s">
        <v>173</v>
      </c>
      <c r="AP5" s="348" t="s">
        <v>174</v>
      </c>
      <c r="AQ5" s="348" t="s">
        <v>175</v>
      </c>
      <c r="AR5" s="348" t="s">
        <v>176</v>
      </c>
      <c r="AT5" s="351" t="s">
        <v>0</v>
      </c>
      <c r="AU5" s="305" t="s">
        <v>371</v>
      </c>
      <c r="AV5" s="304" t="s">
        <v>432</v>
      </c>
      <c r="AW5" s="304" t="s">
        <v>184</v>
      </c>
      <c r="AX5" s="304" t="s">
        <v>327</v>
      </c>
      <c r="AY5" s="304" t="s">
        <v>372</v>
      </c>
      <c r="AZ5" s="304" t="s">
        <v>373</v>
      </c>
      <c r="BA5" s="304" t="s">
        <v>374</v>
      </c>
      <c r="BB5" s="304" t="str">
        <f>H5</f>
        <v>FastVaerdi</v>
      </c>
      <c r="BC5" s="354" t="str">
        <f>I5</f>
        <v>mo1</v>
      </c>
      <c r="BD5" s="348" t="str">
        <f t="shared" si="0"/>
        <v>mo2</v>
      </c>
      <c r="BE5" s="348" t="str">
        <f t="shared" si="0"/>
        <v>mo3</v>
      </c>
      <c r="BF5" s="348" t="str">
        <f t="shared" si="0"/>
        <v>mo4</v>
      </c>
      <c r="BG5" s="348" t="str">
        <f t="shared" si="0"/>
        <v>mo5</v>
      </c>
      <c r="BH5" s="348" t="str">
        <f t="shared" si="0"/>
        <v>mo6</v>
      </c>
      <c r="BI5" s="348" t="str">
        <f t="shared" si="0"/>
        <v>mo7</v>
      </c>
      <c r="BJ5" s="348" t="str">
        <f t="shared" si="0"/>
        <v>mo8</v>
      </c>
      <c r="BK5" s="348" t="str">
        <f t="shared" si="0"/>
        <v>mo9</v>
      </c>
      <c r="BL5" s="348" t="str">
        <f t="shared" si="0"/>
        <v>mo10</v>
      </c>
      <c r="BM5" s="348" t="str">
        <f t="shared" si="0"/>
        <v>mo11</v>
      </c>
      <c r="BN5" s="348" t="str">
        <f t="shared" si="0"/>
        <v>mo12</v>
      </c>
      <c r="BO5" s="354" t="str">
        <f t="shared" si="0"/>
        <v>mo13</v>
      </c>
      <c r="BP5" s="348" t="str">
        <f t="shared" si="0"/>
        <v>mo14</v>
      </c>
      <c r="BQ5" s="348" t="str">
        <f t="shared" si="0"/>
        <v>mo15</v>
      </c>
      <c r="BR5" s="348" t="str">
        <f t="shared" si="0"/>
        <v>mo16</v>
      </c>
      <c r="BS5" s="348" t="str">
        <f t="shared" si="0"/>
        <v>mo17</v>
      </c>
      <c r="BT5" s="348" t="str">
        <f t="shared" si="0"/>
        <v>mo18</v>
      </c>
      <c r="BU5" s="348" t="str">
        <f t="shared" si="0"/>
        <v>mo19</v>
      </c>
      <c r="BV5" s="348" t="str">
        <f t="shared" si="0"/>
        <v>mo20</v>
      </c>
      <c r="BW5" s="348" t="str">
        <f t="shared" si="0"/>
        <v>mo21</v>
      </c>
      <c r="BX5" s="348" t="str">
        <f t="shared" si="0"/>
        <v>mo22</v>
      </c>
      <c r="BY5" s="348" t="str">
        <f t="shared" si="0"/>
        <v>mo23</v>
      </c>
      <c r="BZ5" s="354" t="str">
        <f t="shared" si="0"/>
        <v>mo24</v>
      </c>
      <c r="CA5" s="350" t="str">
        <f t="shared" si="0"/>
        <v>mo25</v>
      </c>
      <c r="CB5" s="348" t="str">
        <f t="shared" si="0"/>
        <v>mo26</v>
      </c>
      <c r="CC5" s="348" t="str">
        <f t="shared" si="0"/>
        <v>mo27</v>
      </c>
      <c r="CD5" s="348" t="str">
        <f t="shared" si="1"/>
        <v>mo28</v>
      </c>
      <c r="CE5" s="348" t="str">
        <f t="shared" si="2"/>
        <v>mo29</v>
      </c>
      <c r="CF5" s="348" t="str">
        <f t="shared" si="3"/>
        <v>mo30</v>
      </c>
      <c r="CG5" s="348" t="str">
        <f t="shared" si="4"/>
        <v>mo31</v>
      </c>
      <c r="CH5" s="348" t="str">
        <f t="shared" si="5"/>
        <v>mo32</v>
      </c>
      <c r="CI5" s="348" t="str">
        <f t="shared" si="6"/>
        <v>mo33</v>
      </c>
      <c r="CJ5" s="348" t="str">
        <f t="shared" si="7"/>
        <v>mo34</v>
      </c>
      <c r="CK5" s="348" t="str">
        <f t="shared" si="8"/>
        <v>mo35</v>
      </c>
      <c r="CL5" s="348" t="str">
        <f t="shared" si="9"/>
        <v>mo36</v>
      </c>
    </row>
    <row r="6" spans="1:90" x14ac:dyDescent="0.25">
      <c r="A6" s="349"/>
      <c r="B6" s="313" t="s">
        <v>329</v>
      </c>
      <c r="C6" s="313">
        <v>0</v>
      </c>
      <c r="D6" s="21">
        <v>1</v>
      </c>
      <c r="E6" s="276" t="s">
        <v>368</v>
      </c>
      <c r="F6" s="276" t="s">
        <v>77</v>
      </c>
      <c r="G6" s="276" t="s">
        <v>184</v>
      </c>
      <c r="H6" s="6">
        <v>0</v>
      </c>
      <c r="I6" s="349"/>
      <c r="U6" s="349"/>
      <c r="AF6" s="349"/>
      <c r="AG6" s="73"/>
      <c r="AT6" s="73" t="str">
        <f t="shared" ref="AT6:AT12" si="10">IF(C6=0,"",E6&amp;"."&amp;F6&amp;"."&amp;G6)</f>
        <v/>
      </c>
      <c r="AU6" s="276" t="s">
        <v>381</v>
      </c>
      <c r="AV6" s="6">
        <f t="shared" ref="AV6:AV45" si="11">NaN</f>
        <v>-9.99</v>
      </c>
      <c r="AW6" s="313">
        <f t="shared" ref="AW6:AW21" si="12">C6</f>
        <v>0</v>
      </c>
      <c r="AX6" s="21">
        <f t="shared" ref="AX6:AX21" si="13">D6</f>
        <v>1</v>
      </c>
      <c r="AY6" s="13">
        <f t="shared" ref="AY6:AY21" si="14">IFERROR(MATCH(E6,listRoot,0),IF(C6=0,"",-1))</f>
        <v>2</v>
      </c>
      <c r="AZ6" s="13">
        <f t="shared" ref="AZ6:AZ21" ca="1" si="15">_xlfn.LET(_xlpm.ran,OFFSET(OfzNiveau2,AY6,1,1,COLUMNS(arrNiv2)),IFERROR(MATCH(F6,_xlpm.ran,0),IF(C6=0,"",-1)))</f>
        <v>1</v>
      </c>
      <c r="BA6" s="21">
        <f t="shared" ref="BA6:BA21" ca="1" si="16">_xlfn.LET(_xlpm.ran,OFFSET(OfzNiveau3,AY6,1,1,COLUMNS(arrNiv3)),IFERROR(MATCH(G6,_xlpm.ran,0),IF(C6=0,"",-1)))</f>
        <v>1</v>
      </c>
      <c r="BB6" s="6">
        <f>H6</f>
        <v>0</v>
      </c>
      <c r="BC6" s="349">
        <f>I6</f>
        <v>0</v>
      </c>
      <c r="BD6">
        <f t="shared" si="0"/>
        <v>0</v>
      </c>
      <c r="BE6">
        <f t="shared" si="0"/>
        <v>0</v>
      </c>
      <c r="BF6">
        <f t="shared" si="0"/>
        <v>0</v>
      </c>
      <c r="BG6">
        <f t="shared" si="0"/>
        <v>0</v>
      </c>
      <c r="BH6">
        <f t="shared" si="0"/>
        <v>0</v>
      </c>
      <c r="BI6">
        <f t="shared" si="0"/>
        <v>0</v>
      </c>
      <c r="BJ6">
        <f t="shared" si="0"/>
        <v>0</v>
      </c>
      <c r="BK6">
        <f t="shared" si="0"/>
        <v>0</v>
      </c>
      <c r="BL6">
        <f t="shared" si="0"/>
        <v>0</v>
      </c>
      <c r="BM6">
        <f t="shared" si="0"/>
        <v>0</v>
      </c>
      <c r="BN6">
        <f t="shared" si="0"/>
        <v>0</v>
      </c>
      <c r="BO6" s="349">
        <f t="shared" si="0"/>
        <v>0</v>
      </c>
      <c r="BP6">
        <f t="shared" si="0"/>
        <v>0</v>
      </c>
      <c r="BQ6">
        <f t="shared" si="0"/>
        <v>0</v>
      </c>
      <c r="BR6">
        <f t="shared" si="0"/>
        <v>0</v>
      </c>
      <c r="BS6">
        <f t="shared" si="0"/>
        <v>0</v>
      </c>
      <c r="BT6">
        <f t="shared" si="0"/>
        <v>0</v>
      </c>
      <c r="BU6">
        <f t="shared" si="0"/>
        <v>0</v>
      </c>
      <c r="BV6">
        <f t="shared" si="0"/>
        <v>0</v>
      </c>
      <c r="BW6">
        <f t="shared" si="0"/>
        <v>0</v>
      </c>
      <c r="BX6">
        <f t="shared" si="0"/>
        <v>0</v>
      </c>
      <c r="BY6">
        <f t="shared" si="0"/>
        <v>0</v>
      </c>
      <c r="BZ6" s="349">
        <f t="shared" si="0"/>
        <v>0</v>
      </c>
      <c r="CA6" s="73">
        <f t="shared" si="0"/>
        <v>0</v>
      </c>
      <c r="CB6">
        <f t="shared" si="0"/>
        <v>0</v>
      </c>
      <c r="CC6">
        <f t="shared" si="0"/>
        <v>0</v>
      </c>
      <c r="CD6">
        <f t="shared" si="1"/>
        <v>0</v>
      </c>
      <c r="CE6">
        <f t="shared" si="2"/>
        <v>0</v>
      </c>
      <c r="CF6">
        <f t="shared" si="3"/>
        <v>0</v>
      </c>
      <c r="CG6">
        <f t="shared" si="4"/>
        <v>0</v>
      </c>
      <c r="CH6">
        <f t="shared" si="5"/>
        <v>0</v>
      </c>
      <c r="CI6">
        <f t="shared" si="6"/>
        <v>0</v>
      </c>
      <c r="CJ6">
        <f t="shared" si="7"/>
        <v>0</v>
      </c>
      <c r="CK6">
        <f t="shared" si="8"/>
        <v>0</v>
      </c>
      <c r="CL6">
        <f t="shared" si="9"/>
        <v>0</v>
      </c>
    </row>
    <row r="7" spans="1:90" x14ac:dyDescent="0.25">
      <c r="A7" s="349"/>
      <c r="B7" s="313" t="s">
        <v>330</v>
      </c>
      <c r="C7" s="313">
        <v>0</v>
      </c>
      <c r="D7" s="21">
        <v>1</v>
      </c>
      <c r="E7" s="276" t="s">
        <v>367</v>
      </c>
      <c r="F7" s="276" t="s">
        <v>14</v>
      </c>
      <c r="G7" s="276" t="s">
        <v>112</v>
      </c>
      <c r="H7" s="6">
        <v>1</v>
      </c>
      <c r="I7" s="349"/>
      <c r="U7" s="349"/>
      <c r="AF7" s="349"/>
      <c r="AG7" s="73"/>
      <c r="AT7" s="73" t="str">
        <f t="shared" si="10"/>
        <v/>
      </c>
      <c r="AU7" s="276" t="s">
        <v>382</v>
      </c>
      <c r="AV7" s="6">
        <f t="shared" si="11"/>
        <v>-9.99</v>
      </c>
      <c r="AW7" s="313">
        <f t="shared" si="12"/>
        <v>0</v>
      </c>
      <c r="AX7" s="21">
        <f t="shared" si="13"/>
        <v>1</v>
      </c>
      <c r="AY7" s="13">
        <f t="shared" si="14"/>
        <v>5</v>
      </c>
      <c r="AZ7" s="13">
        <f t="shared" ca="1" si="15"/>
        <v>1</v>
      </c>
      <c r="BA7" s="21">
        <f t="shared" ca="1" si="16"/>
        <v>4</v>
      </c>
      <c r="BB7" s="6">
        <f>H7</f>
        <v>1</v>
      </c>
      <c r="BC7" s="349">
        <f t="shared" ref="BC7:BC45" si="17">I7</f>
        <v>0</v>
      </c>
      <c r="BD7">
        <f t="shared" si="0"/>
        <v>0</v>
      </c>
      <c r="BE7">
        <f t="shared" si="0"/>
        <v>0</v>
      </c>
      <c r="BF7">
        <f t="shared" si="0"/>
        <v>0</v>
      </c>
      <c r="BG7">
        <f t="shared" si="0"/>
        <v>0</v>
      </c>
      <c r="BH7">
        <f t="shared" si="0"/>
        <v>0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0"/>
        <v>0</v>
      </c>
      <c r="BM7">
        <f t="shared" si="0"/>
        <v>0</v>
      </c>
      <c r="BN7">
        <f t="shared" si="0"/>
        <v>0</v>
      </c>
      <c r="BO7" s="349">
        <f t="shared" si="0"/>
        <v>0</v>
      </c>
      <c r="BP7">
        <f t="shared" si="0"/>
        <v>0</v>
      </c>
      <c r="BQ7">
        <f t="shared" si="0"/>
        <v>0</v>
      </c>
      <c r="BR7">
        <f t="shared" si="0"/>
        <v>0</v>
      </c>
      <c r="BS7">
        <f t="shared" si="0"/>
        <v>0</v>
      </c>
      <c r="BT7">
        <f t="shared" si="0"/>
        <v>0</v>
      </c>
      <c r="BU7">
        <f t="shared" si="0"/>
        <v>0</v>
      </c>
      <c r="BV7">
        <f t="shared" si="0"/>
        <v>0</v>
      </c>
      <c r="BW7">
        <f t="shared" si="0"/>
        <v>0</v>
      </c>
      <c r="BX7">
        <f t="shared" si="0"/>
        <v>0</v>
      </c>
      <c r="BY7">
        <f t="shared" si="0"/>
        <v>0</v>
      </c>
      <c r="BZ7" s="349">
        <f t="shared" si="0"/>
        <v>0</v>
      </c>
      <c r="CA7" s="73">
        <f t="shared" si="0"/>
        <v>0</v>
      </c>
      <c r="CB7">
        <f t="shared" si="0"/>
        <v>0</v>
      </c>
      <c r="CC7">
        <f t="shared" si="0"/>
        <v>0</v>
      </c>
      <c r="CD7">
        <f t="shared" si="1"/>
        <v>0</v>
      </c>
      <c r="CE7">
        <f t="shared" si="2"/>
        <v>0</v>
      </c>
      <c r="CF7">
        <f t="shared" si="3"/>
        <v>0</v>
      </c>
      <c r="CG7">
        <f t="shared" si="4"/>
        <v>0</v>
      </c>
      <c r="CH7">
        <f t="shared" si="5"/>
        <v>0</v>
      </c>
      <c r="CI7">
        <f t="shared" si="6"/>
        <v>0</v>
      </c>
      <c r="CJ7">
        <f t="shared" si="7"/>
        <v>0</v>
      </c>
      <c r="CK7">
        <f t="shared" si="8"/>
        <v>0</v>
      </c>
      <c r="CL7">
        <f t="shared" si="9"/>
        <v>0</v>
      </c>
    </row>
    <row r="8" spans="1:90" x14ac:dyDescent="0.25">
      <c r="A8" s="349"/>
      <c r="B8" s="313" t="s">
        <v>331</v>
      </c>
      <c r="C8" s="313">
        <v>0</v>
      </c>
      <c r="D8" s="21">
        <v>1</v>
      </c>
      <c r="E8" s="276" t="s">
        <v>367</v>
      </c>
      <c r="F8" s="276" t="s">
        <v>14</v>
      </c>
      <c r="G8" s="276" t="s">
        <v>323</v>
      </c>
      <c r="H8" s="6">
        <v>1</v>
      </c>
      <c r="I8" s="349"/>
      <c r="U8" s="349"/>
      <c r="AF8" s="349"/>
      <c r="AG8" s="73"/>
      <c r="AT8" s="73" t="str">
        <f t="shared" si="10"/>
        <v/>
      </c>
      <c r="AU8" s="276" t="s">
        <v>383</v>
      </c>
      <c r="AV8" s="6">
        <f t="shared" si="11"/>
        <v>-9.99</v>
      </c>
      <c r="AW8" s="313">
        <f t="shared" si="12"/>
        <v>0</v>
      </c>
      <c r="AX8" s="21">
        <f t="shared" si="13"/>
        <v>1</v>
      </c>
      <c r="AY8" s="13">
        <f t="shared" si="14"/>
        <v>5</v>
      </c>
      <c r="AZ8" s="13">
        <f t="shared" ca="1" si="15"/>
        <v>1</v>
      </c>
      <c r="BA8" s="21">
        <f t="shared" ca="1" si="16"/>
        <v>5</v>
      </c>
      <c r="BB8" s="6">
        <f t="shared" ref="BB8:BB45" si="18">H8</f>
        <v>1</v>
      </c>
      <c r="BC8" s="349">
        <f t="shared" si="17"/>
        <v>0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0</v>
      </c>
      <c r="BH8">
        <f t="shared" si="0"/>
        <v>0</v>
      </c>
      <c r="BI8">
        <f t="shared" si="0"/>
        <v>0</v>
      </c>
      <c r="BJ8">
        <f t="shared" si="0"/>
        <v>0</v>
      </c>
      <c r="BK8">
        <f t="shared" si="0"/>
        <v>0</v>
      </c>
      <c r="BL8">
        <f t="shared" si="0"/>
        <v>0</v>
      </c>
      <c r="BM8">
        <f t="shared" si="0"/>
        <v>0</v>
      </c>
      <c r="BN8">
        <f t="shared" si="0"/>
        <v>0</v>
      </c>
      <c r="BO8" s="349">
        <f t="shared" si="0"/>
        <v>0</v>
      </c>
      <c r="BP8">
        <f t="shared" si="0"/>
        <v>0</v>
      </c>
      <c r="BQ8">
        <f t="shared" si="0"/>
        <v>0</v>
      </c>
      <c r="BR8">
        <f t="shared" si="0"/>
        <v>0</v>
      </c>
      <c r="BS8">
        <f t="shared" si="0"/>
        <v>0</v>
      </c>
      <c r="BT8">
        <f t="shared" si="0"/>
        <v>0</v>
      </c>
      <c r="BU8">
        <f t="shared" si="0"/>
        <v>0</v>
      </c>
      <c r="BV8">
        <f t="shared" si="0"/>
        <v>0</v>
      </c>
      <c r="BW8">
        <f t="shared" si="0"/>
        <v>0</v>
      </c>
      <c r="BX8">
        <f t="shared" si="0"/>
        <v>0</v>
      </c>
      <c r="BY8">
        <f t="shared" si="0"/>
        <v>0</v>
      </c>
      <c r="BZ8" s="349">
        <f t="shared" si="0"/>
        <v>0</v>
      </c>
      <c r="CA8" s="73">
        <f t="shared" si="0"/>
        <v>0</v>
      </c>
      <c r="CB8">
        <f t="shared" si="0"/>
        <v>0</v>
      </c>
      <c r="CC8">
        <f t="shared" si="0"/>
        <v>0</v>
      </c>
      <c r="CD8">
        <f t="shared" si="1"/>
        <v>0</v>
      </c>
      <c r="CE8">
        <f t="shared" si="2"/>
        <v>0</v>
      </c>
      <c r="CF8">
        <f t="shared" si="3"/>
        <v>0</v>
      </c>
      <c r="CG8">
        <f t="shared" si="4"/>
        <v>0</v>
      </c>
      <c r="CH8">
        <f t="shared" si="5"/>
        <v>0</v>
      </c>
      <c r="CI8">
        <f t="shared" si="6"/>
        <v>0</v>
      </c>
      <c r="CJ8">
        <f t="shared" si="7"/>
        <v>0</v>
      </c>
      <c r="CK8">
        <f t="shared" si="8"/>
        <v>0</v>
      </c>
      <c r="CL8">
        <f t="shared" si="9"/>
        <v>0</v>
      </c>
    </row>
    <row r="9" spans="1:90" x14ac:dyDescent="0.25">
      <c r="A9" s="349"/>
      <c r="B9" s="313" t="s">
        <v>332</v>
      </c>
      <c r="C9" s="313">
        <v>0</v>
      </c>
      <c r="D9" s="21">
        <v>1</v>
      </c>
      <c r="E9" s="276" t="s">
        <v>367</v>
      </c>
      <c r="F9" s="276" t="s">
        <v>42</v>
      </c>
      <c r="G9" s="276" t="s">
        <v>112</v>
      </c>
      <c r="H9" s="6">
        <v>1</v>
      </c>
      <c r="I9" s="349"/>
      <c r="T9" s="307"/>
      <c r="U9" s="349"/>
      <c r="AF9" s="349"/>
      <c r="AG9" s="73"/>
      <c r="AT9" s="73" t="str">
        <f t="shared" si="10"/>
        <v/>
      </c>
      <c r="AU9" s="276" t="s">
        <v>384</v>
      </c>
      <c r="AV9" s="6">
        <f t="shared" si="11"/>
        <v>-9.99</v>
      </c>
      <c r="AW9" s="313">
        <f t="shared" si="12"/>
        <v>0</v>
      </c>
      <c r="AX9" s="21">
        <f t="shared" si="13"/>
        <v>1</v>
      </c>
      <c r="AY9" s="13">
        <f t="shared" si="14"/>
        <v>5</v>
      </c>
      <c r="AZ9" s="13">
        <f t="shared" ca="1" si="15"/>
        <v>15</v>
      </c>
      <c r="BA9" s="21">
        <f t="shared" ca="1" si="16"/>
        <v>4</v>
      </c>
      <c r="BB9" s="6">
        <f t="shared" si="18"/>
        <v>1</v>
      </c>
      <c r="BC9" s="349">
        <f t="shared" si="17"/>
        <v>0</v>
      </c>
      <c r="BD9" s="73">
        <f t="shared" si="0"/>
        <v>0</v>
      </c>
      <c r="BE9" s="73">
        <f t="shared" si="0"/>
        <v>0</v>
      </c>
      <c r="BF9" s="73">
        <f t="shared" si="0"/>
        <v>0</v>
      </c>
      <c r="BG9" s="73">
        <f t="shared" si="0"/>
        <v>0</v>
      </c>
      <c r="BH9" s="73">
        <f t="shared" si="0"/>
        <v>0</v>
      </c>
      <c r="BI9" s="73">
        <f t="shared" si="0"/>
        <v>0</v>
      </c>
      <c r="BJ9" s="73">
        <f t="shared" si="0"/>
        <v>0</v>
      </c>
      <c r="BK9" s="73">
        <f t="shared" si="0"/>
        <v>0</v>
      </c>
      <c r="BL9" s="73">
        <f t="shared" si="0"/>
        <v>0</v>
      </c>
      <c r="BM9" s="73">
        <f t="shared" si="0"/>
        <v>0</v>
      </c>
      <c r="BN9" s="355">
        <f t="shared" si="0"/>
        <v>0</v>
      </c>
      <c r="BO9" s="349">
        <f t="shared" si="0"/>
        <v>0</v>
      </c>
      <c r="BP9">
        <f t="shared" si="0"/>
        <v>0</v>
      </c>
      <c r="BQ9">
        <f t="shared" si="0"/>
        <v>0</v>
      </c>
      <c r="BR9">
        <f t="shared" si="0"/>
        <v>0</v>
      </c>
      <c r="BS9">
        <f t="shared" si="0"/>
        <v>0</v>
      </c>
      <c r="BT9">
        <f t="shared" si="0"/>
        <v>0</v>
      </c>
      <c r="BU9">
        <f t="shared" si="0"/>
        <v>0</v>
      </c>
      <c r="BV9">
        <f t="shared" si="0"/>
        <v>0</v>
      </c>
      <c r="BW9">
        <f t="shared" si="0"/>
        <v>0</v>
      </c>
      <c r="BX9">
        <f t="shared" si="0"/>
        <v>0</v>
      </c>
      <c r="BY9">
        <f t="shared" si="0"/>
        <v>0</v>
      </c>
      <c r="BZ9" s="349">
        <f t="shared" si="0"/>
        <v>0</v>
      </c>
      <c r="CA9" s="73">
        <f t="shared" si="0"/>
        <v>0</v>
      </c>
      <c r="CB9">
        <f t="shared" si="0"/>
        <v>0</v>
      </c>
      <c r="CC9">
        <f t="shared" si="0"/>
        <v>0</v>
      </c>
      <c r="CD9">
        <f t="shared" si="1"/>
        <v>0</v>
      </c>
      <c r="CE9">
        <f t="shared" si="2"/>
        <v>0</v>
      </c>
      <c r="CF9">
        <f t="shared" si="3"/>
        <v>0</v>
      </c>
      <c r="CG9">
        <f t="shared" si="4"/>
        <v>0</v>
      </c>
      <c r="CH9">
        <f t="shared" si="5"/>
        <v>0</v>
      </c>
      <c r="CI9">
        <f t="shared" si="6"/>
        <v>0</v>
      </c>
      <c r="CJ9">
        <f t="shared" si="7"/>
        <v>0</v>
      </c>
      <c r="CK9">
        <f t="shared" si="8"/>
        <v>0</v>
      </c>
      <c r="CL9">
        <f t="shared" si="9"/>
        <v>0</v>
      </c>
    </row>
    <row r="10" spans="1:90" x14ac:dyDescent="0.25">
      <c r="A10" s="349"/>
      <c r="B10" s="313" t="s">
        <v>333</v>
      </c>
      <c r="C10" s="313">
        <v>0</v>
      </c>
      <c r="D10" s="21">
        <v>1</v>
      </c>
      <c r="E10" s="276" t="s">
        <v>367</v>
      </c>
      <c r="F10" s="276" t="s">
        <v>42</v>
      </c>
      <c r="G10" s="276" t="s">
        <v>323</v>
      </c>
      <c r="H10" s="6">
        <v>1</v>
      </c>
      <c r="I10" s="349"/>
      <c r="U10" s="349"/>
      <c r="AF10" s="349"/>
      <c r="AG10" s="73"/>
      <c r="AT10" s="73" t="str">
        <f t="shared" si="10"/>
        <v/>
      </c>
      <c r="AU10" s="276" t="s">
        <v>385</v>
      </c>
      <c r="AV10" s="6">
        <f t="shared" si="11"/>
        <v>-9.99</v>
      </c>
      <c r="AW10" s="313">
        <f t="shared" si="12"/>
        <v>0</v>
      </c>
      <c r="AX10" s="21">
        <f t="shared" si="13"/>
        <v>1</v>
      </c>
      <c r="AY10" s="13">
        <f t="shared" si="14"/>
        <v>5</v>
      </c>
      <c r="AZ10" s="13">
        <f t="shared" ca="1" si="15"/>
        <v>15</v>
      </c>
      <c r="BA10" s="21">
        <f t="shared" ca="1" si="16"/>
        <v>5</v>
      </c>
      <c r="BB10" s="6">
        <f t="shared" si="18"/>
        <v>1</v>
      </c>
      <c r="BC10" s="349">
        <f t="shared" si="17"/>
        <v>0</v>
      </c>
      <c r="BD10">
        <f t="shared" si="0"/>
        <v>0</v>
      </c>
      <c r="BE10">
        <f t="shared" si="0"/>
        <v>0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0</v>
      </c>
      <c r="BK10">
        <f t="shared" si="0"/>
        <v>0</v>
      </c>
      <c r="BL10">
        <f t="shared" si="0"/>
        <v>0</v>
      </c>
      <c r="BM10">
        <f t="shared" si="0"/>
        <v>0</v>
      </c>
      <c r="BN10">
        <f t="shared" si="0"/>
        <v>0</v>
      </c>
      <c r="BO10" s="349">
        <f t="shared" si="0"/>
        <v>0</v>
      </c>
      <c r="BP10">
        <f t="shared" si="0"/>
        <v>0</v>
      </c>
      <c r="BQ10">
        <f t="shared" si="0"/>
        <v>0</v>
      </c>
      <c r="BR10">
        <f t="shared" si="0"/>
        <v>0</v>
      </c>
      <c r="BS10">
        <f t="shared" si="0"/>
        <v>0</v>
      </c>
      <c r="BT10">
        <f t="shared" si="0"/>
        <v>0</v>
      </c>
      <c r="BU10">
        <f t="shared" si="0"/>
        <v>0</v>
      </c>
      <c r="BV10">
        <f t="shared" si="0"/>
        <v>0</v>
      </c>
      <c r="BW10">
        <f t="shared" si="0"/>
        <v>0</v>
      </c>
      <c r="BX10">
        <f t="shared" si="0"/>
        <v>0</v>
      </c>
      <c r="BY10">
        <f t="shared" si="0"/>
        <v>0</v>
      </c>
      <c r="BZ10" s="349">
        <f t="shared" si="0"/>
        <v>0</v>
      </c>
      <c r="CA10" s="73">
        <f t="shared" si="0"/>
        <v>0</v>
      </c>
      <c r="CB10">
        <f t="shared" si="0"/>
        <v>0</v>
      </c>
      <c r="CC10">
        <f t="shared" si="0"/>
        <v>0</v>
      </c>
      <c r="CD10">
        <f t="shared" si="1"/>
        <v>0</v>
      </c>
      <c r="CE10">
        <f t="shared" si="2"/>
        <v>0</v>
      </c>
      <c r="CF10">
        <f t="shared" si="3"/>
        <v>0</v>
      </c>
      <c r="CG10">
        <f t="shared" si="4"/>
        <v>0</v>
      </c>
      <c r="CH10">
        <f t="shared" si="5"/>
        <v>0</v>
      </c>
      <c r="CI10">
        <f t="shared" si="6"/>
        <v>0</v>
      </c>
      <c r="CJ10">
        <f t="shared" si="7"/>
        <v>0</v>
      </c>
      <c r="CK10">
        <f t="shared" si="8"/>
        <v>0</v>
      </c>
      <c r="CL10">
        <f t="shared" si="9"/>
        <v>0</v>
      </c>
    </row>
    <row r="11" spans="1:90" x14ac:dyDescent="0.25">
      <c r="A11" s="349"/>
      <c r="B11" s="313" t="s">
        <v>334</v>
      </c>
      <c r="C11" s="313">
        <v>0</v>
      </c>
      <c r="D11" s="21">
        <v>1</v>
      </c>
      <c r="E11" s="276" t="s">
        <v>367</v>
      </c>
      <c r="F11" s="276" t="s">
        <v>44</v>
      </c>
      <c r="G11" s="276" t="s">
        <v>112</v>
      </c>
      <c r="H11" s="6">
        <v>1</v>
      </c>
      <c r="I11" s="349"/>
      <c r="U11" s="349"/>
      <c r="AF11" s="349"/>
      <c r="AG11" s="73"/>
      <c r="AT11" s="73" t="str">
        <f t="shared" si="10"/>
        <v/>
      </c>
      <c r="AU11" s="276" t="s">
        <v>386</v>
      </c>
      <c r="AV11" s="6">
        <f t="shared" si="11"/>
        <v>-9.99</v>
      </c>
      <c r="AW11" s="313">
        <f t="shared" si="12"/>
        <v>0</v>
      </c>
      <c r="AX11" s="21">
        <f t="shared" si="13"/>
        <v>1</v>
      </c>
      <c r="AY11" s="13">
        <f t="shared" si="14"/>
        <v>5</v>
      </c>
      <c r="AZ11" s="13">
        <f t="shared" ca="1" si="15"/>
        <v>16</v>
      </c>
      <c r="BA11" s="21">
        <f t="shared" ca="1" si="16"/>
        <v>4</v>
      </c>
      <c r="BB11" s="6">
        <f t="shared" si="18"/>
        <v>1</v>
      </c>
      <c r="BC11" s="349">
        <f t="shared" si="17"/>
        <v>0</v>
      </c>
      <c r="BD11">
        <f t="shared" si="0"/>
        <v>0</v>
      </c>
      <c r="BE11">
        <f t="shared" si="0"/>
        <v>0</v>
      </c>
      <c r="BF11">
        <f t="shared" si="0"/>
        <v>0</v>
      </c>
      <c r="BG11">
        <f t="shared" si="0"/>
        <v>0</v>
      </c>
      <c r="BH11">
        <f t="shared" si="0"/>
        <v>0</v>
      </c>
      <c r="BI11">
        <f t="shared" si="0"/>
        <v>0</v>
      </c>
      <c r="BJ11">
        <f t="shared" si="0"/>
        <v>0</v>
      </c>
      <c r="BK11">
        <f t="shared" si="0"/>
        <v>0</v>
      </c>
      <c r="BL11">
        <f t="shared" si="0"/>
        <v>0</v>
      </c>
      <c r="BM11">
        <f t="shared" si="0"/>
        <v>0</v>
      </c>
      <c r="BN11">
        <f t="shared" si="0"/>
        <v>0</v>
      </c>
      <c r="BO11" s="349">
        <f t="shared" si="0"/>
        <v>0</v>
      </c>
      <c r="BP11">
        <f t="shared" si="0"/>
        <v>0</v>
      </c>
      <c r="BQ11">
        <f t="shared" si="0"/>
        <v>0</v>
      </c>
      <c r="BR11">
        <f t="shared" si="0"/>
        <v>0</v>
      </c>
      <c r="BS11">
        <f t="shared" si="0"/>
        <v>0</v>
      </c>
      <c r="BT11">
        <f t="shared" si="0"/>
        <v>0</v>
      </c>
      <c r="BU11">
        <f t="shared" si="0"/>
        <v>0</v>
      </c>
      <c r="BV11">
        <f t="shared" si="0"/>
        <v>0</v>
      </c>
      <c r="BW11">
        <f t="shared" si="0"/>
        <v>0</v>
      </c>
      <c r="BX11">
        <f t="shared" si="0"/>
        <v>0</v>
      </c>
      <c r="BY11">
        <f t="shared" si="0"/>
        <v>0</v>
      </c>
      <c r="BZ11" s="349">
        <f t="shared" si="0"/>
        <v>0</v>
      </c>
      <c r="CA11" s="73">
        <f t="shared" si="0"/>
        <v>0</v>
      </c>
      <c r="CB11">
        <f t="shared" si="0"/>
        <v>0</v>
      </c>
      <c r="CC11">
        <f t="shared" si="0"/>
        <v>0</v>
      </c>
      <c r="CD11">
        <f t="shared" si="1"/>
        <v>0</v>
      </c>
      <c r="CE11">
        <f t="shared" si="2"/>
        <v>0</v>
      </c>
      <c r="CF11">
        <f t="shared" si="3"/>
        <v>0</v>
      </c>
      <c r="CG11">
        <f t="shared" si="4"/>
        <v>0</v>
      </c>
      <c r="CH11">
        <f t="shared" si="5"/>
        <v>0</v>
      </c>
      <c r="CI11">
        <f t="shared" si="6"/>
        <v>0</v>
      </c>
      <c r="CJ11">
        <f t="shared" si="7"/>
        <v>0</v>
      </c>
      <c r="CK11">
        <f t="shared" si="8"/>
        <v>0</v>
      </c>
      <c r="CL11">
        <f t="shared" si="9"/>
        <v>0</v>
      </c>
    </row>
    <row r="12" spans="1:90" x14ac:dyDescent="0.25">
      <c r="A12" s="349"/>
      <c r="B12" s="313" t="s">
        <v>335</v>
      </c>
      <c r="C12" s="313">
        <v>0</v>
      </c>
      <c r="D12" s="21">
        <v>1</v>
      </c>
      <c r="E12" s="276" t="s">
        <v>367</v>
      </c>
      <c r="F12" s="276" t="s">
        <v>44</v>
      </c>
      <c r="G12" s="276" t="s">
        <v>323</v>
      </c>
      <c r="H12" s="6">
        <v>1</v>
      </c>
      <c r="I12" s="349"/>
      <c r="U12" s="349"/>
      <c r="AF12" s="349"/>
      <c r="AG12" s="73"/>
      <c r="AT12" s="73" t="str">
        <f t="shared" si="10"/>
        <v/>
      </c>
      <c r="AU12" s="276" t="s">
        <v>387</v>
      </c>
      <c r="AV12" s="6">
        <f t="shared" si="11"/>
        <v>-9.99</v>
      </c>
      <c r="AW12" s="313">
        <f t="shared" si="12"/>
        <v>0</v>
      </c>
      <c r="AX12" s="21">
        <f t="shared" si="13"/>
        <v>1</v>
      </c>
      <c r="AY12" s="13">
        <f t="shared" si="14"/>
        <v>5</v>
      </c>
      <c r="AZ12" s="13">
        <f t="shared" ca="1" si="15"/>
        <v>16</v>
      </c>
      <c r="BA12" s="21">
        <f t="shared" ca="1" si="16"/>
        <v>5</v>
      </c>
      <c r="BB12" s="6">
        <f t="shared" si="18"/>
        <v>1</v>
      </c>
      <c r="BC12" s="349">
        <f t="shared" si="17"/>
        <v>0</v>
      </c>
      <c r="BD12">
        <f t="shared" si="0"/>
        <v>0</v>
      </c>
      <c r="BE12">
        <f t="shared" si="0"/>
        <v>0</v>
      </c>
      <c r="BF12">
        <f t="shared" si="0"/>
        <v>0</v>
      </c>
      <c r="BG12">
        <f t="shared" si="0"/>
        <v>0</v>
      </c>
      <c r="BH12">
        <f t="shared" si="0"/>
        <v>0</v>
      </c>
      <c r="BI12">
        <f t="shared" si="0"/>
        <v>0</v>
      </c>
      <c r="BJ12">
        <f t="shared" si="0"/>
        <v>0</v>
      </c>
      <c r="BK12">
        <f t="shared" si="0"/>
        <v>0</v>
      </c>
      <c r="BL12">
        <f t="shared" si="0"/>
        <v>0</v>
      </c>
      <c r="BM12">
        <f t="shared" si="0"/>
        <v>0</v>
      </c>
      <c r="BN12">
        <f t="shared" si="0"/>
        <v>0</v>
      </c>
      <c r="BO12" s="349">
        <f t="shared" si="0"/>
        <v>0</v>
      </c>
      <c r="BP12">
        <f t="shared" si="0"/>
        <v>0</v>
      </c>
      <c r="BQ12">
        <f t="shared" si="0"/>
        <v>0</v>
      </c>
      <c r="BR12">
        <f t="shared" si="0"/>
        <v>0</v>
      </c>
      <c r="BS12">
        <f t="shared" si="0"/>
        <v>0</v>
      </c>
      <c r="BT12">
        <f t="shared" si="0"/>
        <v>0</v>
      </c>
      <c r="BU12">
        <f t="shared" si="0"/>
        <v>0</v>
      </c>
      <c r="BV12">
        <f t="shared" si="0"/>
        <v>0</v>
      </c>
      <c r="BW12">
        <f t="shared" si="0"/>
        <v>0</v>
      </c>
      <c r="BX12">
        <f t="shared" si="0"/>
        <v>0</v>
      </c>
      <c r="BY12">
        <f t="shared" si="0"/>
        <v>0</v>
      </c>
      <c r="BZ12" s="349">
        <f t="shared" si="0"/>
        <v>0</v>
      </c>
      <c r="CA12" s="73">
        <f t="shared" si="0"/>
        <v>0</v>
      </c>
      <c r="CB12">
        <f t="shared" si="0"/>
        <v>0</v>
      </c>
      <c r="CC12">
        <f t="shared" si="0"/>
        <v>0</v>
      </c>
      <c r="CD12">
        <f t="shared" si="1"/>
        <v>0</v>
      </c>
      <c r="CE12">
        <f t="shared" si="2"/>
        <v>0</v>
      </c>
      <c r="CF12">
        <f t="shared" si="3"/>
        <v>0</v>
      </c>
      <c r="CG12">
        <f t="shared" si="4"/>
        <v>0</v>
      </c>
      <c r="CH12">
        <f t="shared" si="5"/>
        <v>0</v>
      </c>
      <c r="CI12">
        <f t="shared" si="6"/>
        <v>0</v>
      </c>
      <c r="CJ12">
        <f t="shared" si="7"/>
        <v>0</v>
      </c>
      <c r="CK12">
        <f t="shared" si="8"/>
        <v>0</v>
      </c>
      <c r="CL12">
        <f t="shared" si="9"/>
        <v>0</v>
      </c>
    </row>
    <row r="13" spans="1:90" x14ac:dyDescent="0.25">
      <c r="A13" s="349"/>
      <c r="B13" s="313" t="s">
        <v>336</v>
      </c>
      <c r="C13" s="313">
        <v>1</v>
      </c>
      <c r="D13" s="21">
        <v>1</v>
      </c>
      <c r="E13" s="276" t="s">
        <v>367</v>
      </c>
      <c r="F13" s="276" t="s">
        <v>14</v>
      </c>
      <c r="G13" s="276" t="s">
        <v>393</v>
      </c>
      <c r="H13" s="6">
        <v>11</v>
      </c>
      <c r="I13" s="349"/>
      <c r="U13" s="349"/>
      <c r="AF13" s="349"/>
      <c r="AG13" s="73"/>
      <c r="AT13" s="73" t="str">
        <f t="shared" ref="AT13:AT45" si="19">IF(C13=0,"",E13&amp;"."&amp;F13&amp;"."&amp;G13)</f>
        <v>Fuel.DepoSort.LHV</v>
      </c>
      <c r="AU13" s="276" t="s">
        <v>388</v>
      </c>
      <c r="AV13" s="6">
        <f t="shared" si="11"/>
        <v>-9.99</v>
      </c>
      <c r="AW13" s="313">
        <f t="shared" si="12"/>
        <v>1</v>
      </c>
      <c r="AX13" s="21">
        <f t="shared" si="13"/>
        <v>1</v>
      </c>
      <c r="AY13" s="13">
        <f t="shared" si="14"/>
        <v>5</v>
      </c>
      <c r="AZ13" s="13">
        <f t="shared" ca="1" si="15"/>
        <v>1</v>
      </c>
      <c r="BA13" s="21">
        <f t="shared" ca="1" si="16"/>
        <v>15</v>
      </c>
      <c r="BB13" s="6">
        <f t="shared" si="18"/>
        <v>11</v>
      </c>
      <c r="BC13" s="349">
        <f t="shared" si="17"/>
        <v>0</v>
      </c>
      <c r="BD13">
        <f t="shared" si="0"/>
        <v>0</v>
      </c>
      <c r="BE13">
        <f t="shared" si="0"/>
        <v>0</v>
      </c>
      <c r="BF13">
        <f t="shared" si="0"/>
        <v>0</v>
      </c>
      <c r="BG13">
        <f t="shared" si="0"/>
        <v>0</v>
      </c>
      <c r="BH13">
        <f t="shared" si="0"/>
        <v>0</v>
      </c>
      <c r="BI13">
        <f t="shared" si="0"/>
        <v>0</v>
      </c>
      <c r="BJ13">
        <f t="shared" si="0"/>
        <v>0</v>
      </c>
      <c r="BK13">
        <f t="shared" si="0"/>
        <v>0</v>
      </c>
      <c r="BL13">
        <f t="shared" si="0"/>
        <v>0</v>
      </c>
      <c r="BM13">
        <f t="shared" si="0"/>
        <v>0</v>
      </c>
      <c r="BN13">
        <f t="shared" si="0"/>
        <v>0</v>
      </c>
      <c r="BO13" s="349">
        <f t="shared" si="0"/>
        <v>0</v>
      </c>
      <c r="BP13">
        <f t="shared" si="0"/>
        <v>0</v>
      </c>
      <c r="BQ13">
        <f t="shared" si="0"/>
        <v>0</v>
      </c>
      <c r="BR13">
        <f t="shared" si="0"/>
        <v>0</v>
      </c>
      <c r="BS13">
        <f t="shared" si="0"/>
        <v>0</v>
      </c>
      <c r="BT13">
        <f t="shared" si="0"/>
        <v>0</v>
      </c>
      <c r="BU13">
        <f t="shared" si="0"/>
        <v>0</v>
      </c>
      <c r="BV13">
        <f t="shared" si="0"/>
        <v>0</v>
      </c>
      <c r="BW13">
        <f t="shared" si="0"/>
        <v>0</v>
      </c>
      <c r="BX13">
        <f t="shared" si="0"/>
        <v>0</v>
      </c>
      <c r="BY13">
        <f t="shared" ref="BY13:BY45" si="20">AE13</f>
        <v>0</v>
      </c>
      <c r="BZ13" s="349">
        <f t="shared" ref="BZ13:BZ45" si="21">AF13</f>
        <v>0</v>
      </c>
      <c r="CA13" s="73">
        <f t="shared" ref="CA13:CA45" si="22">AG13</f>
        <v>0</v>
      </c>
      <c r="CB13">
        <f t="shared" ref="CB13:CB45" si="23">AH13</f>
        <v>0</v>
      </c>
      <c r="CC13">
        <f t="shared" ref="CC13:CC45" si="24">AI13</f>
        <v>0</v>
      </c>
      <c r="CD13">
        <f t="shared" si="1"/>
        <v>0</v>
      </c>
      <c r="CE13">
        <f t="shared" si="2"/>
        <v>0</v>
      </c>
      <c r="CF13">
        <f t="shared" si="3"/>
        <v>0</v>
      </c>
      <c r="CG13">
        <f t="shared" si="4"/>
        <v>0</v>
      </c>
      <c r="CH13">
        <f t="shared" si="5"/>
        <v>0</v>
      </c>
      <c r="CI13">
        <f t="shared" si="6"/>
        <v>0</v>
      </c>
      <c r="CJ13">
        <f t="shared" si="7"/>
        <v>0</v>
      </c>
      <c r="CK13">
        <f t="shared" si="8"/>
        <v>0</v>
      </c>
      <c r="CL13">
        <f t="shared" si="9"/>
        <v>0</v>
      </c>
    </row>
    <row r="14" spans="1:90" x14ac:dyDescent="0.25">
      <c r="A14" s="349"/>
      <c r="B14" s="313" t="s">
        <v>337</v>
      </c>
      <c r="C14" s="313">
        <v>1</v>
      </c>
      <c r="D14" s="21">
        <v>1</v>
      </c>
      <c r="E14" s="276" t="s">
        <v>367</v>
      </c>
      <c r="F14" s="276" t="s">
        <v>42</v>
      </c>
      <c r="G14" s="276" t="s">
        <v>393</v>
      </c>
      <c r="H14" s="6">
        <v>11</v>
      </c>
      <c r="I14" s="349"/>
      <c r="U14" s="349"/>
      <c r="AF14" s="349"/>
      <c r="AG14" s="73"/>
      <c r="AT14" s="73" t="str">
        <f t="shared" si="19"/>
        <v>Fuel.TyskRest.LHV</v>
      </c>
      <c r="AU14" s="276" t="s">
        <v>389</v>
      </c>
      <c r="AV14" s="6">
        <f t="shared" si="11"/>
        <v>-9.99</v>
      </c>
      <c r="AW14" s="313">
        <f t="shared" si="12"/>
        <v>1</v>
      </c>
      <c r="AX14" s="21">
        <f t="shared" si="13"/>
        <v>1</v>
      </c>
      <c r="AY14" s="13">
        <f t="shared" si="14"/>
        <v>5</v>
      </c>
      <c r="AZ14" s="13">
        <f t="shared" ca="1" si="15"/>
        <v>15</v>
      </c>
      <c r="BA14" s="21">
        <f t="shared" ca="1" si="16"/>
        <v>15</v>
      </c>
      <c r="BB14" s="6">
        <f t="shared" si="18"/>
        <v>11</v>
      </c>
      <c r="BC14" s="349">
        <f t="shared" si="17"/>
        <v>0</v>
      </c>
      <c r="BD14">
        <f t="shared" ref="BD14:BD45" si="25">J14</f>
        <v>0</v>
      </c>
      <c r="BE14">
        <f t="shared" ref="BE14:BE45" si="26">K14</f>
        <v>0</v>
      </c>
      <c r="BF14">
        <f t="shared" ref="BF14:BF45" si="27">L14</f>
        <v>0</v>
      </c>
      <c r="BG14">
        <f t="shared" ref="BG14:BG45" si="28">M14</f>
        <v>0</v>
      </c>
      <c r="BH14">
        <f t="shared" ref="BH14:BH45" si="29">N14</f>
        <v>0</v>
      </c>
      <c r="BI14">
        <f t="shared" ref="BI14:BI45" si="30">O14</f>
        <v>0</v>
      </c>
      <c r="BJ14">
        <f t="shared" ref="BJ14:BJ45" si="31">P14</f>
        <v>0</v>
      </c>
      <c r="BK14">
        <f t="shared" ref="BK14:BK45" si="32">Q14</f>
        <v>0</v>
      </c>
      <c r="BL14">
        <f t="shared" ref="BL14:BL45" si="33">R14</f>
        <v>0</v>
      </c>
      <c r="BM14">
        <f t="shared" ref="BM14:BM45" si="34">S14</f>
        <v>0</v>
      </c>
      <c r="BN14">
        <f t="shared" ref="BN14:BN45" si="35">T14</f>
        <v>0</v>
      </c>
      <c r="BO14" s="349">
        <f t="shared" ref="BO14:BO45" si="36">U14</f>
        <v>0</v>
      </c>
      <c r="BP14">
        <f t="shared" ref="BP14:BP45" si="37">V14</f>
        <v>0</v>
      </c>
      <c r="BQ14">
        <f t="shared" ref="BQ14:BQ45" si="38">W14</f>
        <v>0</v>
      </c>
      <c r="BR14">
        <f t="shared" ref="BR14:BR45" si="39">X14</f>
        <v>0</v>
      </c>
      <c r="BS14">
        <f t="shared" ref="BS14:BS45" si="40">Y14</f>
        <v>0</v>
      </c>
      <c r="BT14">
        <f t="shared" ref="BT14:BT45" si="41">Z14</f>
        <v>0</v>
      </c>
      <c r="BU14">
        <f t="shared" ref="BU14:BU45" si="42">AA14</f>
        <v>0</v>
      </c>
      <c r="BV14">
        <f t="shared" ref="BV14:BV45" si="43">AB14</f>
        <v>0</v>
      </c>
      <c r="BW14">
        <f t="shared" ref="BW14:BW45" si="44">AC14</f>
        <v>0</v>
      </c>
      <c r="BX14">
        <f t="shared" ref="BX14:BX45" si="45">AD14</f>
        <v>0</v>
      </c>
      <c r="BY14">
        <f t="shared" si="20"/>
        <v>0</v>
      </c>
      <c r="BZ14" s="349">
        <f t="shared" si="21"/>
        <v>0</v>
      </c>
      <c r="CA14" s="73">
        <f t="shared" si="22"/>
        <v>0</v>
      </c>
      <c r="CB14">
        <f t="shared" si="23"/>
        <v>0</v>
      </c>
      <c r="CC14">
        <f t="shared" si="24"/>
        <v>0</v>
      </c>
      <c r="CD14">
        <f t="shared" si="1"/>
        <v>0</v>
      </c>
      <c r="CE14">
        <f t="shared" si="2"/>
        <v>0</v>
      </c>
      <c r="CF14">
        <f t="shared" si="3"/>
        <v>0</v>
      </c>
      <c r="CG14">
        <f t="shared" si="4"/>
        <v>0</v>
      </c>
      <c r="CH14">
        <f t="shared" si="5"/>
        <v>0</v>
      </c>
      <c r="CI14">
        <f t="shared" si="6"/>
        <v>0</v>
      </c>
      <c r="CJ14">
        <f t="shared" si="7"/>
        <v>0</v>
      </c>
      <c r="CK14">
        <f t="shared" si="8"/>
        <v>0</v>
      </c>
      <c r="CL14">
        <f t="shared" si="9"/>
        <v>0</v>
      </c>
    </row>
    <row r="15" spans="1:90" x14ac:dyDescent="0.25">
      <c r="A15" s="349"/>
      <c r="B15" s="313" t="s">
        <v>338</v>
      </c>
      <c r="C15" s="313">
        <v>1</v>
      </c>
      <c r="D15" s="21">
        <v>1</v>
      </c>
      <c r="E15" s="276" t="s">
        <v>367</v>
      </c>
      <c r="F15" s="276" t="s">
        <v>44</v>
      </c>
      <c r="G15" s="276" t="s">
        <v>393</v>
      </c>
      <c r="H15" s="6">
        <v>11</v>
      </c>
      <c r="I15" s="349"/>
      <c r="U15" s="349"/>
      <c r="AF15" s="349"/>
      <c r="AG15" s="73"/>
      <c r="AT15" s="73" t="str">
        <f t="shared" si="19"/>
        <v>Fuel.PolskRest.LHV</v>
      </c>
      <c r="AU15" s="276" t="s">
        <v>390</v>
      </c>
      <c r="AV15" s="6">
        <f t="shared" si="11"/>
        <v>-9.99</v>
      </c>
      <c r="AW15" s="313">
        <f t="shared" si="12"/>
        <v>1</v>
      </c>
      <c r="AX15" s="21">
        <f t="shared" si="13"/>
        <v>1</v>
      </c>
      <c r="AY15" s="13">
        <f t="shared" si="14"/>
        <v>5</v>
      </c>
      <c r="AZ15" s="13">
        <f t="shared" ca="1" si="15"/>
        <v>16</v>
      </c>
      <c r="BA15" s="21">
        <f t="shared" ca="1" si="16"/>
        <v>15</v>
      </c>
      <c r="BB15" s="6">
        <f t="shared" si="18"/>
        <v>11</v>
      </c>
      <c r="BC15" s="349">
        <f t="shared" si="17"/>
        <v>0</v>
      </c>
      <c r="BD15">
        <f t="shared" si="25"/>
        <v>0</v>
      </c>
      <c r="BE15">
        <f t="shared" si="26"/>
        <v>0</v>
      </c>
      <c r="BF15">
        <f t="shared" si="27"/>
        <v>0</v>
      </c>
      <c r="BG15">
        <f t="shared" si="28"/>
        <v>0</v>
      </c>
      <c r="BH15">
        <f t="shared" si="29"/>
        <v>0</v>
      </c>
      <c r="BI15">
        <f t="shared" si="30"/>
        <v>0</v>
      </c>
      <c r="BJ15">
        <f t="shared" si="31"/>
        <v>0</v>
      </c>
      <c r="BK15">
        <f t="shared" si="32"/>
        <v>0</v>
      </c>
      <c r="BL15">
        <f t="shared" si="33"/>
        <v>0</v>
      </c>
      <c r="BM15">
        <f t="shared" si="34"/>
        <v>0</v>
      </c>
      <c r="BN15">
        <f t="shared" si="35"/>
        <v>0</v>
      </c>
      <c r="BO15" s="349">
        <f t="shared" si="36"/>
        <v>0</v>
      </c>
      <c r="BP15">
        <f t="shared" si="37"/>
        <v>0</v>
      </c>
      <c r="BQ15">
        <f t="shared" si="38"/>
        <v>0</v>
      </c>
      <c r="BR15">
        <f t="shared" si="39"/>
        <v>0</v>
      </c>
      <c r="BS15">
        <f t="shared" si="40"/>
        <v>0</v>
      </c>
      <c r="BT15">
        <f t="shared" si="41"/>
        <v>0</v>
      </c>
      <c r="BU15">
        <f t="shared" si="42"/>
        <v>0</v>
      </c>
      <c r="BV15">
        <f t="shared" si="43"/>
        <v>0</v>
      </c>
      <c r="BW15">
        <f t="shared" si="44"/>
        <v>0</v>
      </c>
      <c r="BX15">
        <f t="shared" si="45"/>
        <v>0</v>
      </c>
      <c r="BY15">
        <f t="shared" si="20"/>
        <v>0</v>
      </c>
      <c r="BZ15" s="349">
        <f t="shared" si="21"/>
        <v>0</v>
      </c>
      <c r="CA15" s="73">
        <f t="shared" si="22"/>
        <v>0</v>
      </c>
      <c r="CB15">
        <f t="shared" si="23"/>
        <v>0</v>
      </c>
      <c r="CC15">
        <f t="shared" si="24"/>
        <v>0</v>
      </c>
      <c r="CD15">
        <f t="shared" si="1"/>
        <v>0</v>
      </c>
      <c r="CE15">
        <f t="shared" si="2"/>
        <v>0</v>
      </c>
      <c r="CF15">
        <f t="shared" si="3"/>
        <v>0</v>
      </c>
      <c r="CG15">
        <f t="shared" si="4"/>
        <v>0</v>
      </c>
      <c r="CH15">
        <f t="shared" si="5"/>
        <v>0</v>
      </c>
      <c r="CI15">
        <f t="shared" si="6"/>
        <v>0</v>
      </c>
      <c r="CJ15">
        <f t="shared" si="7"/>
        <v>0</v>
      </c>
      <c r="CK15">
        <f t="shared" si="8"/>
        <v>0</v>
      </c>
      <c r="CL15">
        <f t="shared" si="9"/>
        <v>0</v>
      </c>
    </row>
    <row r="16" spans="1:90" x14ac:dyDescent="0.25">
      <c r="A16" s="349"/>
      <c r="B16" s="313" t="s">
        <v>339</v>
      </c>
      <c r="C16" s="313">
        <v>1</v>
      </c>
      <c r="D16" s="6">
        <v>2</v>
      </c>
      <c r="E16" s="276" t="s">
        <v>367</v>
      </c>
      <c r="F16" s="276" t="s">
        <v>14</v>
      </c>
      <c r="G16" s="276" t="s">
        <v>393</v>
      </c>
      <c r="H16" s="6">
        <v>11.5</v>
      </c>
      <c r="I16" s="349"/>
      <c r="U16" s="349"/>
      <c r="AF16" s="349"/>
      <c r="AG16" s="73"/>
      <c r="AT16" s="73" t="str">
        <f t="shared" si="19"/>
        <v>Fuel.DepoSort.LHV</v>
      </c>
      <c r="AU16" s="276" t="s">
        <v>391</v>
      </c>
      <c r="AV16" s="6">
        <f t="shared" si="11"/>
        <v>-9.99</v>
      </c>
      <c r="AW16" s="313">
        <f t="shared" si="12"/>
        <v>1</v>
      </c>
      <c r="AX16" s="6">
        <f t="shared" si="13"/>
        <v>2</v>
      </c>
      <c r="AY16" s="13">
        <f t="shared" si="14"/>
        <v>5</v>
      </c>
      <c r="AZ16" s="13">
        <f t="shared" ca="1" si="15"/>
        <v>1</v>
      </c>
      <c r="BA16" s="6">
        <f t="shared" ca="1" si="16"/>
        <v>15</v>
      </c>
      <c r="BB16" s="6">
        <f t="shared" si="18"/>
        <v>11.5</v>
      </c>
      <c r="BC16" s="349">
        <f t="shared" si="17"/>
        <v>0</v>
      </c>
      <c r="BD16">
        <f t="shared" si="25"/>
        <v>0</v>
      </c>
      <c r="BE16">
        <f t="shared" si="26"/>
        <v>0</v>
      </c>
      <c r="BF16">
        <f t="shared" si="27"/>
        <v>0</v>
      </c>
      <c r="BG16">
        <f t="shared" si="28"/>
        <v>0</v>
      </c>
      <c r="BH16">
        <f t="shared" si="29"/>
        <v>0</v>
      </c>
      <c r="BI16">
        <f t="shared" si="30"/>
        <v>0</v>
      </c>
      <c r="BJ16">
        <f t="shared" si="31"/>
        <v>0</v>
      </c>
      <c r="BK16">
        <f t="shared" si="32"/>
        <v>0</v>
      </c>
      <c r="BL16">
        <f t="shared" si="33"/>
        <v>0</v>
      </c>
      <c r="BM16">
        <f t="shared" si="34"/>
        <v>0</v>
      </c>
      <c r="BN16">
        <f t="shared" si="35"/>
        <v>0</v>
      </c>
      <c r="BO16" s="349">
        <f t="shared" si="36"/>
        <v>0</v>
      </c>
      <c r="BP16">
        <f t="shared" si="37"/>
        <v>0</v>
      </c>
      <c r="BQ16">
        <f t="shared" si="38"/>
        <v>0</v>
      </c>
      <c r="BR16">
        <f t="shared" si="39"/>
        <v>0</v>
      </c>
      <c r="BS16">
        <f t="shared" si="40"/>
        <v>0</v>
      </c>
      <c r="BT16">
        <f t="shared" si="41"/>
        <v>0</v>
      </c>
      <c r="BU16">
        <f t="shared" si="42"/>
        <v>0</v>
      </c>
      <c r="BV16">
        <f t="shared" si="43"/>
        <v>0</v>
      </c>
      <c r="BW16">
        <f t="shared" si="44"/>
        <v>0</v>
      </c>
      <c r="BX16">
        <f t="shared" si="45"/>
        <v>0</v>
      </c>
      <c r="BY16">
        <f t="shared" si="20"/>
        <v>0</v>
      </c>
      <c r="BZ16" s="349">
        <f t="shared" si="21"/>
        <v>0</v>
      </c>
      <c r="CA16" s="73">
        <f t="shared" si="22"/>
        <v>0</v>
      </c>
      <c r="CB16">
        <f t="shared" si="23"/>
        <v>0</v>
      </c>
      <c r="CC16">
        <f t="shared" si="24"/>
        <v>0</v>
      </c>
      <c r="CD16">
        <f t="shared" si="1"/>
        <v>0</v>
      </c>
      <c r="CE16">
        <f t="shared" si="2"/>
        <v>0</v>
      </c>
      <c r="CF16">
        <f t="shared" si="3"/>
        <v>0</v>
      </c>
      <c r="CG16">
        <f t="shared" si="4"/>
        <v>0</v>
      </c>
      <c r="CH16">
        <f t="shared" si="5"/>
        <v>0</v>
      </c>
      <c r="CI16">
        <f t="shared" si="6"/>
        <v>0</v>
      </c>
      <c r="CJ16">
        <f t="shared" si="7"/>
        <v>0</v>
      </c>
      <c r="CK16">
        <f t="shared" si="8"/>
        <v>0</v>
      </c>
      <c r="CL16">
        <f t="shared" si="9"/>
        <v>0</v>
      </c>
    </row>
    <row r="17" spans="1:90" x14ac:dyDescent="0.25">
      <c r="A17" s="349"/>
      <c r="B17" s="313" t="s">
        <v>340</v>
      </c>
      <c r="C17" s="313">
        <v>1</v>
      </c>
      <c r="D17" s="6">
        <v>2</v>
      </c>
      <c r="E17" s="276" t="s">
        <v>367</v>
      </c>
      <c r="F17" s="276" t="s">
        <v>42</v>
      </c>
      <c r="G17" s="276" t="s">
        <v>393</v>
      </c>
      <c r="H17" s="6">
        <v>11.5</v>
      </c>
      <c r="I17" s="349"/>
      <c r="U17" s="349"/>
      <c r="AF17" s="349"/>
      <c r="AG17" s="73"/>
      <c r="AT17" s="73" t="str">
        <f t="shared" si="19"/>
        <v>Fuel.TyskRest.LHV</v>
      </c>
      <c r="AU17" s="276" t="s">
        <v>392</v>
      </c>
      <c r="AV17" s="6">
        <f t="shared" si="11"/>
        <v>-9.99</v>
      </c>
      <c r="AW17" s="313">
        <f t="shared" si="12"/>
        <v>1</v>
      </c>
      <c r="AX17" s="6">
        <f t="shared" si="13"/>
        <v>2</v>
      </c>
      <c r="AY17" s="13">
        <f t="shared" si="14"/>
        <v>5</v>
      </c>
      <c r="AZ17" s="13">
        <f t="shared" ca="1" si="15"/>
        <v>15</v>
      </c>
      <c r="BA17" s="6">
        <f t="shared" ca="1" si="16"/>
        <v>15</v>
      </c>
      <c r="BB17" s="6">
        <f t="shared" si="18"/>
        <v>11.5</v>
      </c>
      <c r="BC17" s="349">
        <f t="shared" si="17"/>
        <v>0</v>
      </c>
      <c r="BD17">
        <f t="shared" si="25"/>
        <v>0</v>
      </c>
      <c r="BE17">
        <f t="shared" si="26"/>
        <v>0</v>
      </c>
      <c r="BF17">
        <f t="shared" si="27"/>
        <v>0</v>
      </c>
      <c r="BG17">
        <f t="shared" si="28"/>
        <v>0</v>
      </c>
      <c r="BH17">
        <f t="shared" si="29"/>
        <v>0</v>
      </c>
      <c r="BI17">
        <f t="shared" si="30"/>
        <v>0</v>
      </c>
      <c r="BJ17">
        <f t="shared" si="31"/>
        <v>0</v>
      </c>
      <c r="BK17">
        <f t="shared" si="32"/>
        <v>0</v>
      </c>
      <c r="BL17">
        <f t="shared" si="33"/>
        <v>0</v>
      </c>
      <c r="BM17">
        <f t="shared" si="34"/>
        <v>0</v>
      </c>
      <c r="BN17">
        <f t="shared" si="35"/>
        <v>0</v>
      </c>
      <c r="BO17" s="349">
        <f t="shared" si="36"/>
        <v>0</v>
      </c>
      <c r="BP17">
        <f t="shared" si="37"/>
        <v>0</v>
      </c>
      <c r="BQ17">
        <f t="shared" si="38"/>
        <v>0</v>
      </c>
      <c r="BR17">
        <f t="shared" si="39"/>
        <v>0</v>
      </c>
      <c r="BS17">
        <f t="shared" si="40"/>
        <v>0</v>
      </c>
      <c r="BT17">
        <f t="shared" si="41"/>
        <v>0</v>
      </c>
      <c r="BU17">
        <f t="shared" si="42"/>
        <v>0</v>
      </c>
      <c r="BV17">
        <f t="shared" si="43"/>
        <v>0</v>
      </c>
      <c r="BW17">
        <f t="shared" si="44"/>
        <v>0</v>
      </c>
      <c r="BX17">
        <f t="shared" si="45"/>
        <v>0</v>
      </c>
      <c r="BY17">
        <f t="shared" si="20"/>
        <v>0</v>
      </c>
      <c r="BZ17" s="349">
        <f t="shared" si="21"/>
        <v>0</v>
      </c>
      <c r="CA17" s="73">
        <f t="shared" si="22"/>
        <v>0</v>
      </c>
      <c r="CB17">
        <f t="shared" si="23"/>
        <v>0</v>
      </c>
      <c r="CC17">
        <f t="shared" si="24"/>
        <v>0</v>
      </c>
      <c r="CD17">
        <f t="shared" si="1"/>
        <v>0</v>
      </c>
      <c r="CE17">
        <f t="shared" si="2"/>
        <v>0</v>
      </c>
      <c r="CF17">
        <f t="shared" si="3"/>
        <v>0</v>
      </c>
      <c r="CG17">
        <f t="shared" si="4"/>
        <v>0</v>
      </c>
      <c r="CH17">
        <f t="shared" si="5"/>
        <v>0</v>
      </c>
      <c r="CI17">
        <f t="shared" si="6"/>
        <v>0</v>
      </c>
      <c r="CJ17">
        <f t="shared" si="7"/>
        <v>0</v>
      </c>
      <c r="CK17">
        <f t="shared" si="8"/>
        <v>0</v>
      </c>
      <c r="CL17">
        <f t="shared" si="9"/>
        <v>0</v>
      </c>
    </row>
    <row r="18" spans="1:90" x14ac:dyDescent="0.25">
      <c r="A18" s="349"/>
      <c r="B18" s="313" t="s">
        <v>341</v>
      </c>
      <c r="C18" s="313">
        <v>1</v>
      </c>
      <c r="D18" s="6">
        <v>2</v>
      </c>
      <c r="E18" s="276" t="s">
        <v>367</v>
      </c>
      <c r="F18" s="276" t="s">
        <v>44</v>
      </c>
      <c r="G18" s="276" t="s">
        <v>393</v>
      </c>
      <c r="H18" s="6">
        <v>11.5</v>
      </c>
      <c r="I18" s="349"/>
      <c r="U18" s="349"/>
      <c r="AF18" s="349"/>
      <c r="AG18" s="73"/>
      <c r="AT18" s="73" t="str">
        <f t="shared" si="19"/>
        <v>Fuel.PolskRest.LHV</v>
      </c>
      <c r="AU18" s="276" t="s">
        <v>394</v>
      </c>
      <c r="AV18" s="6">
        <f t="shared" si="11"/>
        <v>-9.99</v>
      </c>
      <c r="AW18" s="6">
        <f t="shared" si="12"/>
        <v>1</v>
      </c>
      <c r="AX18" s="6">
        <f t="shared" si="13"/>
        <v>2</v>
      </c>
      <c r="AY18" s="6">
        <f t="shared" si="14"/>
        <v>5</v>
      </c>
      <c r="AZ18" s="6">
        <f t="shared" ca="1" si="15"/>
        <v>16</v>
      </c>
      <c r="BA18" s="6">
        <f t="shared" ca="1" si="16"/>
        <v>15</v>
      </c>
      <c r="BB18" s="6">
        <f t="shared" si="18"/>
        <v>11.5</v>
      </c>
      <c r="BC18" s="349">
        <f t="shared" si="17"/>
        <v>0</v>
      </c>
      <c r="BD18">
        <f t="shared" si="25"/>
        <v>0</v>
      </c>
      <c r="BE18">
        <f t="shared" si="26"/>
        <v>0</v>
      </c>
      <c r="BF18">
        <f t="shared" si="27"/>
        <v>0</v>
      </c>
      <c r="BG18">
        <f t="shared" si="28"/>
        <v>0</v>
      </c>
      <c r="BH18">
        <f t="shared" si="29"/>
        <v>0</v>
      </c>
      <c r="BI18">
        <f t="shared" si="30"/>
        <v>0</v>
      </c>
      <c r="BJ18">
        <f t="shared" si="31"/>
        <v>0</v>
      </c>
      <c r="BK18">
        <f t="shared" si="32"/>
        <v>0</v>
      </c>
      <c r="BL18">
        <f t="shared" si="33"/>
        <v>0</v>
      </c>
      <c r="BM18">
        <f t="shared" si="34"/>
        <v>0</v>
      </c>
      <c r="BN18">
        <f t="shared" si="35"/>
        <v>0</v>
      </c>
      <c r="BO18" s="349">
        <f t="shared" si="36"/>
        <v>0</v>
      </c>
      <c r="BP18">
        <f t="shared" si="37"/>
        <v>0</v>
      </c>
      <c r="BQ18">
        <f t="shared" si="38"/>
        <v>0</v>
      </c>
      <c r="BR18">
        <f t="shared" si="39"/>
        <v>0</v>
      </c>
      <c r="BS18">
        <f t="shared" si="40"/>
        <v>0</v>
      </c>
      <c r="BT18">
        <f t="shared" si="41"/>
        <v>0</v>
      </c>
      <c r="BU18">
        <f t="shared" si="42"/>
        <v>0</v>
      </c>
      <c r="BV18">
        <f t="shared" si="43"/>
        <v>0</v>
      </c>
      <c r="BW18">
        <f t="shared" si="44"/>
        <v>0</v>
      </c>
      <c r="BX18">
        <f t="shared" si="45"/>
        <v>0</v>
      </c>
      <c r="BY18">
        <f t="shared" si="20"/>
        <v>0</v>
      </c>
      <c r="BZ18" s="349">
        <f t="shared" si="21"/>
        <v>0</v>
      </c>
      <c r="CA18" s="73">
        <f t="shared" si="22"/>
        <v>0</v>
      </c>
      <c r="CB18">
        <f t="shared" si="23"/>
        <v>0</v>
      </c>
      <c r="CC18">
        <f t="shared" si="24"/>
        <v>0</v>
      </c>
      <c r="CD18">
        <f t="shared" si="1"/>
        <v>0</v>
      </c>
      <c r="CE18">
        <f t="shared" si="2"/>
        <v>0</v>
      </c>
      <c r="CF18">
        <f t="shared" si="3"/>
        <v>0</v>
      </c>
      <c r="CG18">
        <f t="shared" si="4"/>
        <v>0</v>
      </c>
      <c r="CH18">
        <f t="shared" si="5"/>
        <v>0</v>
      </c>
      <c r="CI18">
        <f t="shared" si="6"/>
        <v>0</v>
      </c>
      <c r="CJ18">
        <f t="shared" si="7"/>
        <v>0</v>
      </c>
      <c r="CK18">
        <f t="shared" si="8"/>
        <v>0</v>
      </c>
      <c r="CL18">
        <f t="shared" si="9"/>
        <v>0</v>
      </c>
    </row>
    <row r="19" spans="1:90" x14ac:dyDescent="0.25">
      <c r="A19" s="349"/>
      <c r="B19" s="313" t="s">
        <v>342</v>
      </c>
      <c r="C19" s="313">
        <v>1</v>
      </c>
      <c r="D19" s="6">
        <v>3</v>
      </c>
      <c r="E19" s="276" t="s">
        <v>367</v>
      </c>
      <c r="F19" s="276" t="s">
        <v>14</v>
      </c>
      <c r="G19" s="276" t="s">
        <v>393</v>
      </c>
      <c r="H19" s="6">
        <v>12</v>
      </c>
      <c r="I19" s="349"/>
      <c r="U19" s="349"/>
      <c r="AF19" s="349"/>
      <c r="AG19" s="73"/>
      <c r="AT19" s="73" t="str">
        <f t="shared" si="19"/>
        <v>Fuel.DepoSort.LHV</v>
      </c>
      <c r="AU19" s="276" t="s">
        <v>395</v>
      </c>
      <c r="AV19" s="6">
        <f t="shared" si="11"/>
        <v>-9.99</v>
      </c>
      <c r="AW19" s="6">
        <f t="shared" si="12"/>
        <v>1</v>
      </c>
      <c r="AX19" s="6">
        <f t="shared" si="13"/>
        <v>3</v>
      </c>
      <c r="AY19" s="6">
        <f t="shared" si="14"/>
        <v>5</v>
      </c>
      <c r="AZ19" s="6">
        <f t="shared" ca="1" si="15"/>
        <v>1</v>
      </c>
      <c r="BA19" s="6">
        <f t="shared" ca="1" si="16"/>
        <v>15</v>
      </c>
      <c r="BB19" s="6">
        <f t="shared" si="18"/>
        <v>12</v>
      </c>
      <c r="BC19" s="349">
        <f t="shared" si="17"/>
        <v>0</v>
      </c>
      <c r="BD19">
        <f t="shared" si="25"/>
        <v>0</v>
      </c>
      <c r="BE19">
        <f t="shared" si="26"/>
        <v>0</v>
      </c>
      <c r="BF19">
        <f t="shared" si="27"/>
        <v>0</v>
      </c>
      <c r="BG19">
        <f t="shared" si="28"/>
        <v>0</v>
      </c>
      <c r="BH19">
        <f t="shared" si="29"/>
        <v>0</v>
      </c>
      <c r="BI19">
        <f t="shared" si="30"/>
        <v>0</v>
      </c>
      <c r="BJ19">
        <f t="shared" si="31"/>
        <v>0</v>
      </c>
      <c r="BK19">
        <f t="shared" si="32"/>
        <v>0</v>
      </c>
      <c r="BL19">
        <f t="shared" si="33"/>
        <v>0</v>
      </c>
      <c r="BM19">
        <f t="shared" si="34"/>
        <v>0</v>
      </c>
      <c r="BN19">
        <f t="shared" si="35"/>
        <v>0</v>
      </c>
      <c r="BO19" s="349">
        <f t="shared" si="36"/>
        <v>0</v>
      </c>
      <c r="BP19">
        <f t="shared" si="37"/>
        <v>0</v>
      </c>
      <c r="BQ19">
        <f t="shared" si="38"/>
        <v>0</v>
      </c>
      <c r="BR19">
        <f t="shared" si="39"/>
        <v>0</v>
      </c>
      <c r="BS19">
        <f t="shared" si="40"/>
        <v>0</v>
      </c>
      <c r="BT19">
        <f t="shared" si="41"/>
        <v>0</v>
      </c>
      <c r="BU19">
        <f t="shared" si="42"/>
        <v>0</v>
      </c>
      <c r="BV19">
        <f t="shared" si="43"/>
        <v>0</v>
      </c>
      <c r="BW19">
        <f t="shared" si="44"/>
        <v>0</v>
      </c>
      <c r="BX19">
        <f t="shared" si="45"/>
        <v>0</v>
      </c>
      <c r="BY19">
        <f t="shared" si="20"/>
        <v>0</v>
      </c>
      <c r="BZ19" s="349">
        <f t="shared" si="21"/>
        <v>0</v>
      </c>
      <c r="CA19" s="73">
        <f t="shared" si="22"/>
        <v>0</v>
      </c>
      <c r="CB19">
        <f t="shared" si="23"/>
        <v>0</v>
      </c>
      <c r="CC19">
        <f t="shared" si="24"/>
        <v>0</v>
      </c>
      <c r="CD19">
        <f t="shared" si="1"/>
        <v>0</v>
      </c>
      <c r="CE19">
        <f t="shared" si="2"/>
        <v>0</v>
      </c>
      <c r="CF19">
        <f t="shared" si="3"/>
        <v>0</v>
      </c>
      <c r="CG19">
        <f t="shared" si="4"/>
        <v>0</v>
      </c>
      <c r="CH19">
        <f t="shared" si="5"/>
        <v>0</v>
      </c>
      <c r="CI19">
        <f t="shared" si="6"/>
        <v>0</v>
      </c>
      <c r="CJ19">
        <f t="shared" si="7"/>
        <v>0</v>
      </c>
      <c r="CK19">
        <f t="shared" si="8"/>
        <v>0</v>
      </c>
      <c r="CL19">
        <f t="shared" si="9"/>
        <v>0</v>
      </c>
    </row>
    <row r="20" spans="1:90" x14ac:dyDescent="0.25">
      <c r="A20" s="349"/>
      <c r="B20" s="313" t="s">
        <v>343</v>
      </c>
      <c r="C20" s="313">
        <v>1</v>
      </c>
      <c r="D20" s="6">
        <v>3</v>
      </c>
      <c r="E20" s="276" t="s">
        <v>367</v>
      </c>
      <c r="F20" s="276" t="s">
        <v>42</v>
      </c>
      <c r="G20" s="276" t="s">
        <v>393</v>
      </c>
      <c r="H20" s="6">
        <v>12</v>
      </c>
      <c r="I20" s="349"/>
      <c r="U20" s="349"/>
      <c r="AF20" s="349"/>
      <c r="AG20" s="73"/>
      <c r="AT20" s="73" t="str">
        <f t="shared" si="19"/>
        <v>Fuel.TyskRest.LHV</v>
      </c>
      <c r="AU20" s="276" t="s">
        <v>396</v>
      </c>
      <c r="AV20" s="6">
        <f t="shared" si="11"/>
        <v>-9.99</v>
      </c>
      <c r="AW20" s="6">
        <f t="shared" si="12"/>
        <v>1</v>
      </c>
      <c r="AX20" s="6">
        <f t="shared" si="13"/>
        <v>3</v>
      </c>
      <c r="AY20" s="6">
        <f t="shared" si="14"/>
        <v>5</v>
      </c>
      <c r="AZ20" s="6">
        <f t="shared" ca="1" si="15"/>
        <v>15</v>
      </c>
      <c r="BA20" s="6">
        <f t="shared" ca="1" si="16"/>
        <v>15</v>
      </c>
      <c r="BB20" s="6">
        <f t="shared" si="18"/>
        <v>12</v>
      </c>
      <c r="BC20" s="349">
        <f t="shared" si="17"/>
        <v>0</v>
      </c>
      <c r="BD20">
        <f t="shared" si="25"/>
        <v>0</v>
      </c>
      <c r="BE20">
        <f t="shared" si="26"/>
        <v>0</v>
      </c>
      <c r="BF20">
        <f t="shared" si="27"/>
        <v>0</v>
      </c>
      <c r="BG20">
        <f t="shared" si="28"/>
        <v>0</v>
      </c>
      <c r="BH20">
        <f t="shared" si="29"/>
        <v>0</v>
      </c>
      <c r="BI20">
        <f t="shared" si="30"/>
        <v>0</v>
      </c>
      <c r="BJ20">
        <f t="shared" si="31"/>
        <v>0</v>
      </c>
      <c r="BK20">
        <f t="shared" si="32"/>
        <v>0</v>
      </c>
      <c r="BL20">
        <f t="shared" si="33"/>
        <v>0</v>
      </c>
      <c r="BM20">
        <f t="shared" si="34"/>
        <v>0</v>
      </c>
      <c r="BN20">
        <f t="shared" si="35"/>
        <v>0</v>
      </c>
      <c r="BO20" s="349">
        <f t="shared" si="36"/>
        <v>0</v>
      </c>
      <c r="BP20">
        <f t="shared" si="37"/>
        <v>0</v>
      </c>
      <c r="BQ20">
        <f t="shared" si="38"/>
        <v>0</v>
      </c>
      <c r="BR20">
        <f t="shared" si="39"/>
        <v>0</v>
      </c>
      <c r="BS20">
        <f t="shared" si="40"/>
        <v>0</v>
      </c>
      <c r="BT20">
        <f t="shared" si="41"/>
        <v>0</v>
      </c>
      <c r="BU20">
        <f t="shared" si="42"/>
        <v>0</v>
      </c>
      <c r="BV20">
        <f t="shared" si="43"/>
        <v>0</v>
      </c>
      <c r="BW20">
        <f t="shared" si="44"/>
        <v>0</v>
      </c>
      <c r="BX20">
        <f t="shared" si="45"/>
        <v>0</v>
      </c>
      <c r="BY20">
        <f t="shared" si="20"/>
        <v>0</v>
      </c>
      <c r="BZ20" s="349">
        <f t="shared" si="21"/>
        <v>0</v>
      </c>
      <c r="CA20" s="73">
        <f t="shared" si="22"/>
        <v>0</v>
      </c>
      <c r="CB20">
        <f t="shared" si="23"/>
        <v>0</v>
      </c>
      <c r="CC20">
        <f t="shared" si="24"/>
        <v>0</v>
      </c>
      <c r="CD20">
        <f t="shared" si="1"/>
        <v>0</v>
      </c>
      <c r="CE20">
        <f t="shared" si="2"/>
        <v>0</v>
      </c>
      <c r="CF20">
        <f t="shared" si="3"/>
        <v>0</v>
      </c>
      <c r="CG20">
        <f t="shared" si="4"/>
        <v>0</v>
      </c>
      <c r="CH20">
        <f t="shared" si="5"/>
        <v>0</v>
      </c>
      <c r="CI20">
        <f t="shared" si="6"/>
        <v>0</v>
      </c>
      <c r="CJ20">
        <f t="shared" si="7"/>
        <v>0</v>
      </c>
      <c r="CK20">
        <f t="shared" si="8"/>
        <v>0</v>
      </c>
      <c r="CL20">
        <f t="shared" si="9"/>
        <v>0</v>
      </c>
    </row>
    <row r="21" spans="1:90" x14ac:dyDescent="0.25">
      <c r="A21" s="349"/>
      <c r="B21" s="313" t="s">
        <v>344</v>
      </c>
      <c r="C21" s="313">
        <v>1</v>
      </c>
      <c r="D21" s="6">
        <v>3</v>
      </c>
      <c r="E21" s="276" t="s">
        <v>367</v>
      </c>
      <c r="F21" s="276" t="s">
        <v>44</v>
      </c>
      <c r="G21" s="276" t="s">
        <v>393</v>
      </c>
      <c r="H21" s="6">
        <v>12</v>
      </c>
      <c r="I21" s="349"/>
      <c r="U21" s="349"/>
      <c r="AF21" s="349"/>
      <c r="AG21" s="73"/>
      <c r="AT21" s="73" t="str">
        <f t="shared" si="19"/>
        <v>Fuel.PolskRest.LHV</v>
      </c>
      <c r="AU21" s="276" t="s">
        <v>397</v>
      </c>
      <c r="AV21" s="6">
        <f t="shared" si="11"/>
        <v>-9.99</v>
      </c>
      <c r="AW21" s="6">
        <f t="shared" si="12"/>
        <v>1</v>
      </c>
      <c r="AX21" s="6">
        <f t="shared" si="13"/>
        <v>3</v>
      </c>
      <c r="AY21" s="6">
        <f t="shared" si="14"/>
        <v>5</v>
      </c>
      <c r="AZ21" s="6">
        <f t="shared" ca="1" si="15"/>
        <v>16</v>
      </c>
      <c r="BA21" s="6">
        <f t="shared" ca="1" si="16"/>
        <v>15</v>
      </c>
      <c r="BB21" s="6">
        <f t="shared" si="18"/>
        <v>12</v>
      </c>
      <c r="BC21" s="349">
        <f t="shared" si="17"/>
        <v>0</v>
      </c>
      <c r="BD21">
        <f t="shared" si="25"/>
        <v>0</v>
      </c>
      <c r="BE21">
        <f t="shared" si="26"/>
        <v>0</v>
      </c>
      <c r="BF21">
        <f t="shared" si="27"/>
        <v>0</v>
      </c>
      <c r="BG21">
        <f t="shared" si="28"/>
        <v>0</v>
      </c>
      <c r="BH21">
        <f t="shared" si="29"/>
        <v>0</v>
      </c>
      <c r="BI21">
        <f t="shared" si="30"/>
        <v>0</v>
      </c>
      <c r="BJ21">
        <f t="shared" si="31"/>
        <v>0</v>
      </c>
      <c r="BK21">
        <f t="shared" si="32"/>
        <v>0</v>
      </c>
      <c r="BL21">
        <f t="shared" si="33"/>
        <v>0</v>
      </c>
      <c r="BM21">
        <f t="shared" si="34"/>
        <v>0</v>
      </c>
      <c r="BN21">
        <f t="shared" si="35"/>
        <v>0</v>
      </c>
      <c r="BO21" s="349">
        <f t="shared" si="36"/>
        <v>0</v>
      </c>
      <c r="BP21">
        <f t="shared" si="37"/>
        <v>0</v>
      </c>
      <c r="BQ21">
        <f t="shared" si="38"/>
        <v>0</v>
      </c>
      <c r="BR21">
        <f t="shared" si="39"/>
        <v>0</v>
      </c>
      <c r="BS21">
        <f t="shared" si="40"/>
        <v>0</v>
      </c>
      <c r="BT21">
        <f t="shared" si="41"/>
        <v>0</v>
      </c>
      <c r="BU21">
        <f t="shared" si="42"/>
        <v>0</v>
      </c>
      <c r="BV21">
        <f t="shared" si="43"/>
        <v>0</v>
      </c>
      <c r="BW21">
        <f t="shared" si="44"/>
        <v>0</v>
      </c>
      <c r="BX21">
        <f t="shared" si="45"/>
        <v>0</v>
      </c>
      <c r="BY21">
        <f t="shared" si="20"/>
        <v>0</v>
      </c>
      <c r="BZ21" s="349">
        <f t="shared" si="21"/>
        <v>0</v>
      </c>
      <c r="CA21" s="73">
        <f t="shared" si="22"/>
        <v>0</v>
      </c>
      <c r="CB21">
        <f t="shared" si="23"/>
        <v>0</v>
      </c>
      <c r="CC21">
        <f t="shared" si="24"/>
        <v>0</v>
      </c>
      <c r="CD21">
        <f t="shared" si="1"/>
        <v>0</v>
      </c>
      <c r="CE21">
        <f t="shared" si="2"/>
        <v>0</v>
      </c>
      <c r="CF21">
        <f t="shared" si="3"/>
        <v>0</v>
      </c>
      <c r="CG21">
        <f t="shared" si="4"/>
        <v>0</v>
      </c>
      <c r="CH21">
        <f t="shared" si="5"/>
        <v>0</v>
      </c>
      <c r="CI21">
        <f t="shared" si="6"/>
        <v>0</v>
      </c>
      <c r="CJ21">
        <f t="shared" si="7"/>
        <v>0</v>
      </c>
      <c r="CK21">
        <f t="shared" si="8"/>
        <v>0</v>
      </c>
      <c r="CL21">
        <f t="shared" si="9"/>
        <v>0</v>
      </c>
    </row>
    <row r="22" spans="1:90" x14ac:dyDescent="0.25">
      <c r="A22" s="349"/>
      <c r="B22" s="313" t="s">
        <v>345</v>
      </c>
      <c r="C22" s="313">
        <v>0</v>
      </c>
      <c r="D22" s="6"/>
      <c r="E22" s="276"/>
      <c r="F22" s="276"/>
      <c r="G22" s="276"/>
      <c r="H22" s="6"/>
      <c r="I22" s="349"/>
      <c r="U22" s="349"/>
      <c r="AF22" s="349"/>
      <c r="AG22" s="73"/>
      <c r="AT22" s="73" t="str">
        <f t="shared" si="19"/>
        <v/>
      </c>
      <c r="AU22" s="276" t="s">
        <v>407</v>
      </c>
      <c r="AV22" s="6">
        <f t="shared" si="11"/>
        <v>-9.99</v>
      </c>
      <c r="AW22" s="6">
        <f t="shared" ref="AW22:AW45" si="46">C22</f>
        <v>0</v>
      </c>
      <c r="AX22" s="6">
        <f t="shared" ref="AX22:AX45" si="47">D22</f>
        <v>0</v>
      </c>
      <c r="AY22" s="6" t="str">
        <f t="shared" ref="AY22:AY45" si="48">IFERROR(MATCH(E22,listRoot,0),IF(C22=0,"",-1))</f>
        <v/>
      </c>
      <c r="AZ22" s="6" t="str">
        <f t="shared" ref="AZ22:AZ45" ca="1" si="49">_xlfn.LET(_xlpm.ran,OFFSET(OfzNiveau2,AY22,1,1,COLUMNS(arrNiv2)),IFERROR(MATCH(F22,_xlpm.ran,0),IF(C22=0,"",-1)))</f>
        <v/>
      </c>
      <c r="BA22" s="6" t="str">
        <f t="shared" ref="BA22:BA45" ca="1" si="50">_xlfn.LET(_xlpm.ran,OFFSET(OfzNiveau3,AY22,1,1,COLUMNS(arrNiv3)),IFERROR(MATCH(G22,_xlpm.ran,0),IF(C22=0,"",-1)))</f>
        <v/>
      </c>
      <c r="BB22" s="6">
        <f t="shared" si="18"/>
        <v>0</v>
      </c>
      <c r="BC22" s="349">
        <f t="shared" si="17"/>
        <v>0</v>
      </c>
      <c r="BD22">
        <f t="shared" si="25"/>
        <v>0</v>
      </c>
      <c r="BE22">
        <f t="shared" si="26"/>
        <v>0</v>
      </c>
      <c r="BF22">
        <f t="shared" si="27"/>
        <v>0</v>
      </c>
      <c r="BG22">
        <f t="shared" si="28"/>
        <v>0</v>
      </c>
      <c r="BH22">
        <f t="shared" si="29"/>
        <v>0</v>
      </c>
      <c r="BI22">
        <f t="shared" si="30"/>
        <v>0</v>
      </c>
      <c r="BJ22">
        <f t="shared" si="31"/>
        <v>0</v>
      </c>
      <c r="BK22">
        <f t="shared" si="32"/>
        <v>0</v>
      </c>
      <c r="BL22">
        <f t="shared" si="33"/>
        <v>0</v>
      </c>
      <c r="BM22">
        <f t="shared" si="34"/>
        <v>0</v>
      </c>
      <c r="BN22">
        <f t="shared" si="35"/>
        <v>0</v>
      </c>
      <c r="BO22" s="349">
        <f t="shared" si="36"/>
        <v>0</v>
      </c>
      <c r="BP22">
        <f t="shared" si="37"/>
        <v>0</v>
      </c>
      <c r="BQ22">
        <f t="shared" si="38"/>
        <v>0</v>
      </c>
      <c r="BR22">
        <f t="shared" si="39"/>
        <v>0</v>
      </c>
      <c r="BS22">
        <f t="shared" si="40"/>
        <v>0</v>
      </c>
      <c r="BT22">
        <f t="shared" si="41"/>
        <v>0</v>
      </c>
      <c r="BU22">
        <f t="shared" si="42"/>
        <v>0</v>
      </c>
      <c r="BV22">
        <f t="shared" si="43"/>
        <v>0</v>
      </c>
      <c r="BW22">
        <f t="shared" si="44"/>
        <v>0</v>
      </c>
      <c r="BX22">
        <f t="shared" si="45"/>
        <v>0</v>
      </c>
      <c r="BY22">
        <f t="shared" si="20"/>
        <v>0</v>
      </c>
      <c r="BZ22" s="349">
        <f t="shared" si="21"/>
        <v>0</v>
      </c>
      <c r="CA22" s="73">
        <f t="shared" si="22"/>
        <v>0</v>
      </c>
      <c r="CB22">
        <f t="shared" si="23"/>
        <v>0</v>
      </c>
      <c r="CC22">
        <f t="shared" si="24"/>
        <v>0</v>
      </c>
      <c r="CD22">
        <f t="shared" si="1"/>
        <v>0</v>
      </c>
      <c r="CE22">
        <f t="shared" si="2"/>
        <v>0</v>
      </c>
      <c r="CF22">
        <f t="shared" si="3"/>
        <v>0</v>
      </c>
      <c r="CG22">
        <f t="shared" si="4"/>
        <v>0</v>
      </c>
      <c r="CH22">
        <f t="shared" si="5"/>
        <v>0</v>
      </c>
      <c r="CI22">
        <f t="shared" si="6"/>
        <v>0</v>
      </c>
      <c r="CJ22">
        <f t="shared" si="7"/>
        <v>0</v>
      </c>
      <c r="CK22">
        <f t="shared" si="8"/>
        <v>0</v>
      </c>
      <c r="CL22">
        <f t="shared" si="9"/>
        <v>0</v>
      </c>
    </row>
    <row r="23" spans="1:90" x14ac:dyDescent="0.25">
      <c r="A23" s="349"/>
      <c r="B23" s="313" t="s">
        <v>346</v>
      </c>
      <c r="C23" s="313">
        <v>0</v>
      </c>
      <c r="D23" s="6"/>
      <c r="E23" s="276"/>
      <c r="F23" s="276"/>
      <c r="G23" s="276"/>
      <c r="H23" s="6"/>
      <c r="I23" s="349"/>
      <c r="U23" s="349"/>
      <c r="AF23" s="349"/>
      <c r="AG23" s="73"/>
      <c r="AT23" s="73" t="str">
        <f t="shared" si="19"/>
        <v/>
      </c>
      <c r="AU23" s="276" t="s">
        <v>408</v>
      </c>
      <c r="AV23" s="6">
        <f t="shared" si="11"/>
        <v>-9.99</v>
      </c>
      <c r="AW23" s="6">
        <f t="shared" si="46"/>
        <v>0</v>
      </c>
      <c r="AX23" s="6">
        <f t="shared" si="47"/>
        <v>0</v>
      </c>
      <c r="AY23" s="6" t="str">
        <f t="shared" si="48"/>
        <v/>
      </c>
      <c r="AZ23" s="6" t="str">
        <f t="shared" ca="1" si="49"/>
        <v/>
      </c>
      <c r="BA23" s="6" t="str">
        <f t="shared" ca="1" si="50"/>
        <v/>
      </c>
      <c r="BB23" s="6">
        <f t="shared" si="18"/>
        <v>0</v>
      </c>
      <c r="BC23" s="349">
        <f t="shared" si="17"/>
        <v>0</v>
      </c>
      <c r="BD23">
        <f t="shared" si="25"/>
        <v>0</v>
      </c>
      <c r="BE23">
        <f t="shared" si="26"/>
        <v>0</v>
      </c>
      <c r="BF23">
        <f t="shared" si="27"/>
        <v>0</v>
      </c>
      <c r="BG23">
        <f t="shared" si="28"/>
        <v>0</v>
      </c>
      <c r="BH23">
        <f t="shared" si="29"/>
        <v>0</v>
      </c>
      <c r="BI23">
        <f t="shared" si="30"/>
        <v>0</v>
      </c>
      <c r="BJ23">
        <f t="shared" si="31"/>
        <v>0</v>
      </c>
      <c r="BK23">
        <f t="shared" si="32"/>
        <v>0</v>
      </c>
      <c r="BL23">
        <f t="shared" si="33"/>
        <v>0</v>
      </c>
      <c r="BM23">
        <f t="shared" si="34"/>
        <v>0</v>
      </c>
      <c r="BN23">
        <f t="shared" si="35"/>
        <v>0</v>
      </c>
      <c r="BO23" s="349">
        <f t="shared" si="36"/>
        <v>0</v>
      </c>
      <c r="BP23">
        <f t="shared" si="37"/>
        <v>0</v>
      </c>
      <c r="BQ23">
        <f t="shared" si="38"/>
        <v>0</v>
      </c>
      <c r="BR23">
        <f t="shared" si="39"/>
        <v>0</v>
      </c>
      <c r="BS23">
        <f t="shared" si="40"/>
        <v>0</v>
      </c>
      <c r="BT23">
        <f t="shared" si="41"/>
        <v>0</v>
      </c>
      <c r="BU23">
        <f t="shared" si="42"/>
        <v>0</v>
      </c>
      <c r="BV23">
        <f t="shared" si="43"/>
        <v>0</v>
      </c>
      <c r="BW23">
        <f t="shared" si="44"/>
        <v>0</v>
      </c>
      <c r="BX23">
        <f t="shared" si="45"/>
        <v>0</v>
      </c>
      <c r="BY23">
        <f t="shared" si="20"/>
        <v>0</v>
      </c>
      <c r="BZ23" s="349">
        <f t="shared" si="21"/>
        <v>0</v>
      </c>
      <c r="CA23" s="73">
        <f t="shared" si="22"/>
        <v>0</v>
      </c>
      <c r="CB23">
        <f t="shared" si="23"/>
        <v>0</v>
      </c>
      <c r="CC23">
        <f t="shared" si="24"/>
        <v>0</v>
      </c>
      <c r="CD23">
        <f t="shared" si="1"/>
        <v>0</v>
      </c>
      <c r="CE23">
        <f t="shared" si="2"/>
        <v>0</v>
      </c>
      <c r="CF23">
        <f t="shared" si="3"/>
        <v>0</v>
      </c>
      <c r="CG23">
        <f t="shared" si="4"/>
        <v>0</v>
      </c>
      <c r="CH23">
        <f t="shared" si="5"/>
        <v>0</v>
      </c>
      <c r="CI23">
        <f t="shared" si="6"/>
        <v>0</v>
      </c>
      <c r="CJ23">
        <f t="shared" si="7"/>
        <v>0</v>
      </c>
      <c r="CK23">
        <f t="shared" si="8"/>
        <v>0</v>
      </c>
      <c r="CL23">
        <f t="shared" si="9"/>
        <v>0</v>
      </c>
    </row>
    <row r="24" spans="1:90" x14ac:dyDescent="0.25">
      <c r="A24" s="349"/>
      <c r="B24" s="313" t="s">
        <v>347</v>
      </c>
      <c r="C24" s="313">
        <v>0</v>
      </c>
      <c r="D24" s="6"/>
      <c r="E24" s="276"/>
      <c r="F24" s="276"/>
      <c r="G24" s="276"/>
      <c r="H24" s="6"/>
      <c r="I24" s="349"/>
      <c r="U24" s="349"/>
      <c r="AF24" s="349"/>
      <c r="AG24" s="73"/>
      <c r="AT24" s="73" t="str">
        <f t="shared" si="19"/>
        <v/>
      </c>
      <c r="AU24" s="276" t="s">
        <v>409</v>
      </c>
      <c r="AV24" s="6">
        <f t="shared" si="11"/>
        <v>-9.99</v>
      </c>
      <c r="AW24" s="6">
        <f t="shared" si="46"/>
        <v>0</v>
      </c>
      <c r="AX24" s="6">
        <f t="shared" si="47"/>
        <v>0</v>
      </c>
      <c r="AY24" s="6" t="str">
        <f t="shared" si="48"/>
        <v/>
      </c>
      <c r="AZ24" s="6" t="str">
        <f t="shared" ca="1" si="49"/>
        <v/>
      </c>
      <c r="BA24" s="6" t="str">
        <f t="shared" ca="1" si="50"/>
        <v/>
      </c>
      <c r="BB24" s="6">
        <f t="shared" si="18"/>
        <v>0</v>
      </c>
      <c r="BC24" s="349">
        <f t="shared" si="17"/>
        <v>0</v>
      </c>
      <c r="BD24">
        <f t="shared" si="25"/>
        <v>0</v>
      </c>
      <c r="BE24">
        <f t="shared" si="26"/>
        <v>0</v>
      </c>
      <c r="BF24">
        <f t="shared" si="27"/>
        <v>0</v>
      </c>
      <c r="BG24">
        <f t="shared" si="28"/>
        <v>0</v>
      </c>
      <c r="BH24">
        <f t="shared" si="29"/>
        <v>0</v>
      </c>
      <c r="BI24">
        <f t="shared" si="30"/>
        <v>0</v>
      </c>
      <c r="BJ24">
        <f t="shared" si="31"/>
        <v>0</v>
      </c>
      <c r="BK24">
        <f t="shared" si="32"/>
        <v>0</v>
      </c>
      <c r="BL24">
        <f t="shared" si="33"/>
        <v>0</v>
      </c>
      <c r="BM24">
        <f t="shared" si="34"/>
        <v>0</v>
      </c>
      <c r="BN24">
        <f t="shared" si="35"/>
        <v>0</v>
      </c>
      <c r="BO24" s="349">
        <f t="shared" si="36"/>
        <v>0</v>
      </c>
      <c r="BP24">
        <f t="shared" si="37"/>
        <v>0</v>
      </c>
      <c r="BQ24">
        <f t="shared" si="38"/>
        <v>0</v>
      </c>
      <c r="BR24">
        <f t="shared" si="39"/>
        <v>0</v>
      </c>
      <c r="BS24">
        <f t="shared" si="40"/>
        <v>0</v>
      </c>
      <c r="BT24">
        <f t="shared" si="41"/>
        <v>0</v>
      </c>
      <c r="BU24">
        <f t="shared" si="42"/>
        <v>0</v>
      </c>
      <c r="BV24">
        <f t="shared" si="43"/>
        <v>0</v>
      </c>
      <c r="BW24">
        <f t="shared" si="44"/>
        <v>0</v>
      </c>
      <c r="BX24">
        <f t="shared" si="45"/>
        <v>0</v>
      </c>
      <c r="BY24">
        <f t="shared" si="20"/>
        <v>0</v>
      </c>
      <c r="BZ24" s="349">
        <f t="shared" si="21"/>
        <v>0</v>
      </c>
      <c r="CA24" s="73">
        <f t="shared" si="22"/>
        <v>0</v>
      </c>
      <c r="CB24">
        <f t="shared" si="23"/>
        <v>0</v>
      </c>
      <c r="CC24">
        <f t="shared" si="24"/>
        <v>0</v>
      </c>
      <c r="CD24">
        <f t="shared" si="1"/>
        <v>0</v>
      </c>
      <c r="CE24">
        <f t="shared" si="2"/>
        <v>0</v>
      </c>
      <c r="CF24">
        <f t="shared" si="3"/>
        <v>0</v>
      </c>
      <c r="CG24">
        <f t="shared" si="4"/>
        <v>0</v>
      </c>
      <c r="CH24">
        <f t="shared" si="5"/>
        <v>0</v>
      </c>
      <c r="CI24">
        <f t="shared" si="6"/>
        <v>0</v>
      </c>
      <c r="CJ24">
        <f t="shared" si="7"/>
        <v>0</v>
      </c>
      <c r="CK24">
        <f t="shared" si="8"/>
        <v>0</v>
      </c>
      <c r="CL24">
        <f t="shared" si="9"/>
        <v>0</v>
      </c>
    </row>
    <row r="25" spans="1:90" x14ac:dyDescent="0.25">
      <c r="A25" s="349"/>
      <c r="B25" s="313" t="s">
        <v>348</v>
      </c>
      <c r="C25" s="313">
        <v>0</v>
      </c>
      <c r="D25" s="6"/>
      <c r="E25" s="276"/>
      <c r="F25" s="276"/>
      <c r="G25" s="276"/>
      <c r="H25" s="6"/>
      <c r="I25" s="349"/>
      <c r="U25" s="349"/>
      <c r="AF25" s="349"/>
      <c r="AG25" s="73"/>
      <c r="AT25" s="73" t="str">
        <f t="shared" si="19"/>
        <v/>
      </c>
      <c r="AU25" s="276" t="s">
        <v>410</v>
      </c>
      <c r="AV25" s="6">
        <f t="shared" si="11"/>
        <v>-9.99</v>
      </c>
      <c r="AW25" s="6">
        <f t="shared" si="46"/>
        <v>0</v>
      </c>
      <c r="AX25" s="6">
        <f t="shared" si="47"/>
        <v>0</v>
      </c>
      <c r="AY25" s="6" t="str">
        <f t="shared" si="48"/>
        <v/>
      </c>
      <c r="AZ25" s="6" t="str">
        <f t="shared" ca="1" si="49"/>
        <v/>
      </c>
      <c r="BA25" s="6" t="str">
        <f t="shared" ca="1" si="50"/>
        <v/>
      </c>
      <c r="BB25" s="6">
        <f t="shared" si="18"/>
        <v>0</v>
      </c>
      <c r="BC25" s="349">
        <f t="shared" si="17"/>
        <v>0</v>
      </c>
      <c r="BD25">
        <f t="shared" si="25"/>
        <v>0</v>
      </c>
      <c r="BE25">
        <f t="shared" si="26"/>
        <v>0</v>
      </c>
      <c r="BF25">
        <f t="shared" si="27"/>
        <v>0</v>
      </c>
      <c r="BG25">
        <f t="shared" si="28"/>
        <v>0</v>
      </c>
      <c r="BH25">
        <f t="shared" si="29"/>
        <v>0</v>
      </c>
      <c r="BI25">
        <f t="shared" si="30"/>
        <v>0</v>
      </c>
      <c r="BJ25">
        <f t="shared" si="31"/>
        <v>0</v>
      </c>
      <c r="BK25">
        <f t="shared" si="32"/>
        <v>0</v>
      </c>
      <c r="BL25">
        <f t="shared" si="33"/>
        <v>0</v>
      </c>
      <c r="BM25">
        <f t="shared" si="34"/>
        <v>0</v>
      </c>
      <c r="BN25">
        <f t="shared" si="35"/>
        <v>0</v>
      </c>
      <c r="BO25" s="349">
        <f t="shared" si="36"/>
        <v>0</v>
      </c>
      <c r="BP25">
        <f t="shared" si="37"/>
        <v>0</v>
      </c>
      <c r="BQ25">
        <f t="shared" si="38"/>
        <v>0</v>
      </c>
      <c r="BR25">
        <f t="shared" si="39"/>
        <v>0</v>
      </c>
      <c r="BS25">
        <f t="shared" si="40"/>
        <v>0</v>
      </c>
      <c r="BT25">
        <f t="shared" si="41"/>
        <v>0</v>
      </c>
      <c r="BU25">
        <f t="shared" si="42"/>
        <v>0</v>
      </c>
      <c r="BV25">
        <f t="shared" si="43"/>
        <v>0</v>
      </c>
      <c r="BW25">
        <f t="shared" si="44"/>
        <v>0</v>
      </c>
      <c r="BX25">
        <f t="shared" si="45"/>
        <v>0</v>
      </c>
      <c r="BY25">
        <f t="shared" si="20"/>
        <v>0</v>
      </c>
      <c r="BZ25" s="349">
        <f t="shared" si="21"/>
        <v>0</v>
      </c>
      <c r="CA25" s="73">
        <f t="shared" si="22"/>
        <v>0</v>
      </c>
      <c r="CB25">
        <f t="shared" si="23"/>
        <v>0</v>
      </c>
      <c r="CC25">
        <f t="shared" si="24"/>
        <v>0</v>
      </c>
      <c r="CD25">
        <f t="shared" si="1"/>
        <v>0</v>
      </c>
      <c r="CE25">
        <f t="shared" si="2"/>
        <v>0</v>
      </c>
      <c r="CF25">
        <f t="shared" si="3"/>
        <v>0</v>
      </c>
      <c r="CG25">
        <f t="shared" si="4"/>
        <v>0</v>
      </c>
      <c r="CH25">
        <f t="shared" si="5"/>
        <v>0</v>
      </c>
      <c r="CI25">
        <f t="shared" si="6"/>
        <v>0</v>
      </c>
      <c r="CJ25">
        <f t="shared" si="7"/>
        <v>0</v>
      </c>
      <c r="CK25">
        <f t="shared" si="8"/>
        <v>0</v>
      </c>
      <c r="CL25">
        <f t="shared" si="9"/>
        <v>0</v>
      </c>
    </row>
    <row r="26" spans="1:90" x14ac:dyDescent="0.25">
      <c r="A26" s="349"/>
      <c r="B26" s="313" t="s">
        <v>349</v>
      </c>
      <c r="C26">
        <v>0</v>
      </c>
      <c r="D26" s="6"/>
      <c r="H26" s="6">
        <f t="shared" ref="H26:H45" si="51">NaN</f>
        <v>-9.99</v>
      </c>
      <c r="I26" s="349"/>
      <c r="U26" s="349"/>
      <c r="AF26" s="349"/>
      <c r="AG26" s="73"/>
      <c r="AT26" s="73" t="str">
        <f t="shared" si="19"/>
        <v/>
      </c>
      <c r="AU26" s="276" t="s">
        <v>411</v>
      </c>
      <c r="AV26" s="6">
        <f t="shared" si="11"/>
        <v>-9.99</v>
      </c>
      <c r="AW26" s="6">
        <f t="shared" si="46"/>
        <v>0</v>
      </c>
      <c r="AX26" s="6">
        <f t="shared" si="47"/>
        <v>0</v>
      </c>
      <c r="AY26" s="6" t="str">
        <f t="shared" si="48"/>
        <v/>
      </c>
      <c r="AZ26" s="6" t="str">
        <f t="shared" ca="1" si="49"/>
        <v/>
      </c>
      <c r="BA26" s="6" t="str">
        <f t="shared" ca="1" si="50"/>
        <v/>
      </c>
      <c r="BB26" s="6">
        <f t="shared" si="18"/>
        <v>-9.99</v>
      </c>
      <c r="BC26" s="349">
        <f t="shared" si="17"/>
        <v>0</v>
      </c>
      <c r="BD26">
        <f t="shared" si="25"/>
        <v>0</v>
      </c>
      <c r="BE26">
        <f t="shared" si="26"/>
        <v>0</v>
      </c>
      <c r="BF26">
        <f t="shared" si="27"/>
        <v>0</v>
      </c>
      <c r="BG26">
        <f t="shared" si="28"/>
        <v>0</v>
      </c>
      <c r="BH26">
        <f t="shared" si="29"/>
        <v>0</v>
      </c>
      <c r="BI26">
        <f t="shared" si="30"/>
        <v>0</v>
      </c>
      <c r="BJ26">
        <f t="shared" si="31"/>
        <v>0</v>
      </c>
      <c r="BK26">
        <f t="shared" si="32"/>
        <v>0</v>
      </c>
      <c r="BL26">
        <f t="shared" si="33"/>
        <v>0</v>
      </c>
      <c r="BM26">
        <f t="shared" si="34"/>
        <v>0</v>
      </c>
      <c r="BN26">
        <f t="shared" si="35"/>
        <v>0</v>
      </c>
      <c r="BO26" s="349">
        <f t="shared" si="36"/>
        <v>0</v>
      </c>
      <c r="BP26">
        <f t="shared" si="37"/>
        <v>0</v>
      </c>
      <c r="BQ26">
        <f t="shared" si="38"/>
        <v>0</v>
      </c>
      <c r="BR26">
        <f t="shared" si="39"/>
        <v>0</v>
      </c>
      <c r="BS26">
        <f t="shared" si="40"/>
        <v>0</v>
      </c>
      <c r="BT26">
        <f t="shared" si="41"/>
        <v>0</v>
      </c>
      <c r="BU26">
        <f t="shared" si="42"/>
        <v>0</v>
      </c>
      <c r="BV26">
        <f t="shared" si="43"/>
        <v>0</v>
      </c>
      <c r="BW26">
        <f t="shared" si="44"/>
        <v>0</v>
      </c>
      <c r="BX26">
        <f t="shared" si="45"/>
        <v>0</v>
      </c>
      <c r="BY26">
        <f t="shared" si="20"/>
        <v>0</v>
      </c>
      <c r="BZ26" s="349">
        <f t="shared" si="21"/>
        <v>0</v>
      </c>
      <c r="CA26" s="73">
        <f t="shared" si="22"/>
        <v>0</v>
      </c>
      <c r="CB26">
        <f t="shared" si="23"/>
        <v>0</v>
      </c>
      <c r="CC26">
        <f t="shared" si="24"/>
        <v>0</v>
      </c>
      <c r="CD26">
        <f t="shared" si="1"/>
        <v>0</v>
      </c>
      <c r="CE26">
        <f t="shared" si="2"/>
        <v>0</v>
      </c>
      <c r="CF26">
        <f t="shared" si="3"/>
        <v>0</v>
      </c>
      <c r="CG26">
        <f t="shared" si="4"/>
        <v>0</v>
      </c>
      <c r="CH26">
        <f t="shared" si="5"/>
        <v>0</v>
      </c>
      <c r="CI26">
        <f t="shared" si="6"/>
        <v>0</v>
      </c>
      <c r="CJ26">
        <f t="shared" si="7"/>
        <v>0</v>
      </c>
      <c r="CK26">
        <f t="shared" si="8"/>
        <v>0</v>
      </c>
      <c r="CL26">
        <f t="shared" si="9"/>
        <v>0</v>
      </c>
    </row>
    <row r="27" spans="1:90" x14ac:dyDescent="0.25">
      <c r="A27" s="349"/>
      <c r="B27" s="313" t="s">
        <v>350</v>
      </c>
      <c r="D27" s="6"/>
      <c r="H27" s="6">
        <f t="shared" si="51"/>
        <v>-9.99</v>
      </c>
      <c r="I27" s="349"/>
      <c r="U27" s="349"/>
      <c r="AF27" s="349"/>
      <c r="AG27" s="73"/>
      <c r="AT27" s="73" t="str">
        <f t="shared" si="19"/>
        <v/>
      </c>
      <c r="AU27" s="276" t="s">
        <v>412</v>
      </c>
      <c r="AV27" s="6">
        <f t="shared" si="11"/>
        <v>-9.99</v>
      </c>
      <c r="AW27" s="6">
        <f t="shared" si="46"/>
        <v>0</v>
      </c>
      <c r="AX27" s="6">
        <f t="shared" si="47"/>
        <v>0</v>
      </c>
      <c r="AY27" s="6" t="str">
        <f t="shared" si="48"/>
        <v/>
      </c>
      <c r="AZ27" s="6" t="str">
        <f t="shared" ca="1" si="49"/>
        <v/>
      </c>
      <c r="BA27" s="6" t="str">
        <f t="shared" ca="1" si="50"/>
        <v/>
      </c>
      <c r="BB27" s="6">
        <f t="shared" si="18"/>
        <v>-9.99</v>
      </c>
      <c r="BC27" s="349">
        <f t="shared" si="17"/>
        <v>0</v>
      </c>
      <c r="BD27">
        <f t="shared" si="25"/>
        <v>0</v>
      </c>
      <c r="BE27">
        <f t="shared" si="26"/>
        <v>0</v>
      </c>
      <c r="BF27">
        <f t="shared" si="27"/>
        <v>0</v>
      </c>
      <c r="BG27">
        <f t="shared" si="28"/>
        <v>0</v>
      </c>
      <c r="BH27">
        <f t="shared" si="29"/>
        <v>0</v>
      </c>
      <c r="BI27">
        <f t="shared" si="30"/>
        <v>0</v>
      </c>
      <c r="BJ27">
        <f t="shared" si="31"/>
        <v>0</v>
      </c>
      <c r="BK27">
        <f t="shared" si="32"/>
        <v>0</v>
      </c>
      <c r="BL27">
        <f t="shared" si="33"/>
        <v>0</v>
      </c>
      <c r="BM27">
        <f t="shared" si="34"/>
        <v>0</v>
      </c>
      <c r="BN27">
        <f t="shared" si="35"/>
        <v>0</v>
      </c>
      <c r="BO27" s="349">
        <f t="shared" si="36"/>
        <v>0</v>
      </c>
      <c r="BP27">
        <f t="shared" si="37"/>
        <v>0</v>
      </c>
      <c r="BQ27">
        <f t="shared" si="38"/>
        <v>0</v>
      </c>
      <c r="BR27">
        <f t="shared" si="39"/>
        <v>0</v>
      </c>
      <c r="BS27">
        <f t="shared" si="40"/>
        <v>0</v>
      </c>
      <c r="BT27">
        <f t="shared" si="41"/>
        <v>0</v>
      </c>
      <c r="BU27">
        <f t="shared" si="42"/>
        <v>0</v>
      </c>
      <c r="BV27">
        <f t="shared" si="43"/>
        <v>0</v>
      </c>
      <c r="BW27">
        <f t="shared" si="44"/>
        <v>0</v>
      </c>
      <c r="BX27">
        <f t="shared" si="45"/>
        <v>0</v>
      </c>
      <c r="BY27">
        <f t="shared" si="20"/>
        <v>0</v>
      </c>
      <c r="BZ27" s="349">
        <f t="shared" si="21"/>
        <v>0</v>
      </c>
      <c r="CA27" s="73">
        <f t="shared" si="22"/>
        <v>0</v>
      </c>
      <c r="CB27">
        <f t="shared" si="23"/>
        <v>0</v>
      </c>
      <c r="CC27">
        <f t="shared" si="24"/>
        <v>0</v>
      </c>
      <c r="CD27">
        <f t="shared" si="1"/>
        <v>0</v>
      </c>
      <c r="CE27">
        <f t="shared" si="2"/>
        <v>0</v>
      </c>
      <c r="CF27">
        <f t="shared" si="3"/>
        <v>0</v>
      </c>
      <c r="CG27">
        <f t="shared" si="4"/>
        <v>0</v>
      </c>
      <c r="CH27">
        <f t="shared" si="5"/>
        <v>0</v>
      </c>
      <c r="CI27">
        <f t="shared" si="6"/>
        <v>0</v>
      </c>
      <c r="CJ27">
        <f t="shared" si="7"/>
        <v>0</v>
      </c>
      <c r="CK27">
        <f t="shared" si="8"/>
        <v>0</v>
      </c>
      <c r="CL27">
        <f t="shared" si="9"/>
        <v>0</v>
      </c>
    </row>
    <row r="28" spans="1:90" x14ac:dyDescent="0.25">
      <c r="A28" s="349"/>
      <c r="B28" s="313" t="s">
        <v>351</v>
      </c>
      <c r="D28" s="6"/>
      <c r="H28" s="6">
        <f t="shared" si="51"/>
        <v>-9.99</v>
      </c>
      <c r="I28" s="349"/>
      <c r="U28" s="349"/>
      <c r="AF28" s="349"/>
      <c r="AG28" s="73"/>
      <c r="AT28" s="73" t="str">
        <f t="shared" si="19"/>
        <v/>
      </c>
      <c r="AU28" s="276" t="s">
        <v>413</v>
      </c>
      <c r="AV28" s="6">
        <f t="shared" si="11"/>
        <v>-9.99</v>
      </c>
      <c r="AW28" s="6">
        <f t="shared" si="46"/>
        <v>0</v>
      </c>
      <c r="AX28" s="6">
        <f t="shared" si="47"/>
        <v>0</v>
      </c>
      <c r="AY28" s="6" t="str">
        <f t="shared" si="48"/>
        <v/>
      </c>
      <c r="AZ28" s="6" t="str">
        <f t="shared" ca="1" si="49"/>
        <v/>
      </c>
      <c r="BA28" s="6" t="str">
        <f t="shared" ca="1" si="50"/>
        <v/>
      </c>
      <c r="BB28" s="6">
        <f t="shared" si="18"/>
        <v>-9.99</v>
      </c>
      <c r="BC28" s="349">
        <f t="shared" si="17"/>
        <v>0</v>
      </c>
      <c r="BD28">
        <f t="shared" si="25"/>
        <v>0</v>
      </c>
      <c r="BE28">
        <f t="shared" si="26"/>
        <v>0</v>
      </c>
      <c r="BF28">
        <f t="shared" si="27"/>
        <v>0</v>
      </c>
      <c r="BG28">
        <f t="shared" si="28"/>
        <v>0</v>
      </c>
      <c r="BH28">
        <f t="shared" si="29"/>
        <v>0</v>
      </c>
      <c r="BI28">
        <f t="shared" si="30"/>
        <v>0</v>
      </c>
      <c r="BJ28">
        <f t="shared" si="31"/>
        <v>0</v>
      </c>
      <c r="BK28">
        <f t="shared" si="32"/>
        <v>0</v>
      </c>
      <c r="BL28">
        <f t="shared" si="33"/>
        <v>0</v>
      </c>
      <c r="BM28">
        <f t="shared" si="34"/>
        <v>0</v>
      </c>
      <c r="BN28">
        <f t="shared" si="35"/>
        <v>0</v>
      </c>
      <c r="BO28" s="349">
        <f t="shared" si="36"/>
        <v>0</v>
      </c>
      <c r="BP28">
        <f t="shared" si="37"/>
        <v>0</v>
      </c>
      <c r="BQ28">
        <f t="shared" si="38"/>
        <v>0</v>
      </c>
      <c r="BR28">
        <f t="shared" si="39"/>
        <v>0</v>
      </c>
      <c r="BS28">
        <f t="shared" si="40"/>
        <v>0</v>
      </c>
      <c r="BT28">
        <f t="shared" si="41"/>
        <v>0</v>
      </c>
      <c r="BU28">
        <f t="shared" si="42"/>
        <v>0</v>
      </c>
      <c r="BV28">
        <f t="shared" si="43"/>
        <v>0</v>
      </c>
      <c r="BW28">
        <f t="shared" si="44"/>
        <v>0</v>
      </c>
      <c r="BX28">
        <f t="shared" si="45"/>
        <v>0</v>
      </c>
      <c r="BY28">
        <f t="shared" si="20"/>
        <v>0</v>
      </c>
      <c r="BZ28" s="349">
        <f t="shared" si="21"/>
        <v>0</v>
      </c>
      <c r="CA28" s="73">
        <f t="shared" si="22"/>
        <v>0</v>
      </c>
      <c r="CB28">
        <f t="shared" si="23"/>
        <v>0</v>
      </c>
      <c r="CC28">
        <f t="shared" si="24"/>
        <v>0</v>
      </c>
      <c r="CD28">
        <f t="shared" si="1"/>
        <v>0</v>
      </c>
      <c r="CE28">
        <f t="shared" si="2"/>
        <v>0</v>
      </c>
      <c r="CF28">
        <f t="shared" si="3"/>
        <v>0</v>
      </c>
      <c r="CG28">
        <f t="shared" si="4"/>
        <v>0</v>
      </c>
      <c r="CH28">
        <f t="shared" si="5"/>
        <v>0</v>
      </c>
      <c r="CI28">
        <f t="shared" si="6"/>
        <v>0</v>
      </c>
      <c r="CJ28">
        <f t="shared" si="7"/>
        <v>0</v>
      </c>
      <c r="CK28">
        <f t="shared" si="8"/>
        <v>0</v>
      </c>
      <c r="CL28">
        <f t="shared" si="9"/>
        <v>0</v>
      </c>
    </row>
    <row r="29" spans="1:90" x14ac:dyDescent="0.25">
      <c r="A29" s="349"/>
      <c r="B29" s="313" t="s">
        <v>352</v>
      </c>
      <c r="D29" s="6"/>
      <c r="H29" s="6">
        <f t="shared" si="51"/>
        <v>-9.99</v>
      </c>
      <c r="I29" s="349"/>
      <c r="U29" s="349"/>
      <c r="AF29" s="349"/>
      <c r="AG29" s="73"/>
      <c r="AT29" s="73" t="str">
        <f t="shared" si="19"/>
        <v/>
      </c>
      <c r="AU29" s="276" t="s">
        <v>414</v>
      </c>
      <c r="AV29" s="6">
        <f t="shared" si="11"/>
        <v>-9.99</v>
      </c>
      <c r="AW29" s="6">
        <f t="shared" si="46"/>
        <v>0</v>
      </c>
      <c r="AX29" s="6">
        <f t="shared" si="47"/>
        <v>0</v>
      </c>
      <c r="AY29" s="6" t="str">
        <f t="shared" si="48"/>
        <v/>
      </c>
      <c r="AZ29" s="6" t="str">
        <f t="shared" ca="1" si="49"/>
        <v/>
      </c>
      <c r="BA29" s="6" t="str">
        <f t="shared" ca="1" si="50"/>
        <v/>
      </c>
      <c r="BB29" s="6">
        <f t="shared" si="18"/>
        <v>-9.99</v>
      </c>
      <c r="BC29" s="349">
        <f t="shared" si="17"/>
        <v>0</v>
      </c>
      <c r="BD29">
        <f t="shared" si="25"/>
        <v>0</v>
      </c>
      <c r="BE29">
        <f t="shared" si="26"/>
        <v>0</v>
      </c>
      <c r="BF29">
        <f t="shared" si="27"/>
        <v>0</v>
      </c>
      <c r="BG29">
        <f t="shared" si="28"/>
        <v>0</v>
      </c>
      <c r="BH29">
        <f t="shared" si="29"/>
        <v>0</v>
      </c>
      <c r="BI29">
        <f t="shared" si="30"/>
        <v>0</v>
      </c>
      <c r="BJ29">
        <f t="shared" si="31"/>
        <v>0</v>
      </c>
      <c r="BK29">
        <f t="shared" si="32"/>
        <v>0</v>
      </c>
      <c r="BL29">
        <f t="shared" si="33"/>
        <v>0</v>
      </c>
      <c r="BM29">
        <f t="shared" si="34"/>
        <v>0</v>
      </c>
      <c r="BN29">
        <f t="shared" si="35"/>
        <v>0</v>
      </c>
      <c r="BO29" s="349">
        <f t="shared" si="36"/>
        <v>0</v>
      </c>
      <c r="BP29">
        <f t="shared" si="37"/>
        <v>0</v>
      </c>
      <c r="BQ29">
        <f t="shared" si="38"/>
        <v>0</v>
      </c>
      <c r="BR29">
        <f t="shared" si="39"/>
        <v>0</v>
      </c>
      <c r="BS29">
        <f t="shared" si="40"/>
        <v>0</v>
      </c>
      <c r="BT29">
        <f t="shared" si="41"/>
        <v>0</v>
      </c>
      <c r="BU29">
        <f t="shared" si="42"/>
        <v>0</v>
      </c>
      <c r="BV29">
        <f t="shared" si="43"/>
        <v>0</v>
      </c>
      <c r="BW29">
        <f t="shared" si="44"/>
        <v>0</v>
      </c>
      <c r="BX29">
        <f t="shared" si="45"/>
        <v>0</v>
      </c>
      <c r="BY29">
        <f t="shared" si="20"/>
        <v>0</v>
      </c>
      <c r="BZ29" s="349">
        <f t="shared" si="21"/>
        <v>0</v>
      </c>
      <c r="CA29" s="73">
        <f t="shared" si="22"/>
        <v>0</v>
      </c>
      <c r="CB29">
        <f t="shared" si="23"/>
        <v>0</v>
      </c>
      <c r="CC29">
        <f t="shared" si="24"/>
        <v>0</v>
      </c>
      <c r="CD29">
        <f t="shared" si="1"/>
        <v>0</v>
      </c>
      <c r="CE29">
        <f t="shared" si="2"/>
        <v>0</v>
      </c>
      <c r="CF29">
        <f t="shared" si="3"/>
        <v>0</v>
      </c>
      <c r="CG29">
        <f t="shared" si="4"/>
        <v>0</v>
      </c>
      <c r="CH29">
        <f t="shared" si="5"/>
        <v>0</v>
      </c>
      <c r="CI29">
        <f t="shared" si="6"/>
        <v>0</v>
      </c>
      <c r="CJ29">
        <f t="shared" si="7"/>
        <v>0</v>
      </c>
      <c r="CK29">
        <f t="shared" si="8"/>
        <v>0</v>
      </c>
      <c r="CL29">
        <f t="shared" si="9"/>
        <v>0</v>
      </c>
    </row>
    <row r="30" spans="1:90" x14ac:dyDescent="0.25">
      <c r="A30" s="349"/>
      <c r="B30" s="313" t="s">
        <v>353</v>
      </c>
      <c r="D30" s="6"/>
      <c r="H30" s="6">
        <f t="shared" si="51"/>
        <v>-9.99</v>
      </c>
      <c r="I30" s="349"/>
      <c r="U30" s="349"/>
      <c r="AF30" s="349"/>
      <c r="AG30" s="73"/>
      <c r="AT30" s="73" t="str">
        <f t="shared" si="19"/>
        <v/>
      </c>
      <c r="AU30" s="276" t="s">
        <v>415</v>
      </c>
      <c r="AV30" s="6">
        <f t="shared" si="11"/>
        <v>-9.99</v>
      </c>
      <c r="AW30" s="6">
        <f t="shared" si="46"/>
        <v>0</v>
      </c>
      <c r="AX30" s="6">
        <f t="shared" si="47"/>
        <v>0</v>
      </c>
      <c r="AY30" s="6" t="str">
        <f t="shared" si="48"/>
        <v/>
      </c>
      <c r="AZ30" s="6" t="str">
        <f t="shared" ca="1" si="49"/>
        <v/>
      </c>
      <c r="BA30" s="6" t="str">
        <f t="shared" ca="1" si="50"/>
        <v/>
      </c>
      <c r="BB30" s="6">
        <f t="shared" si="18"/>
        <v>-9.99</v>
      </c>
      <c r="BC30" s="349">
        <f t="shared" si="17"/>
        <v>0</v>
      </c>
      <c r="BD30">
        <f t="shared" si="25"/>
        <v>0</v>
      </c>
      <c r="BE30">
        <f t="shared" si="26"/>
        <v>0</v>
      </c>
      <c r="BF30">
        <f t="shared" si="27"/>
        <v>0</v>
      </c>
      <c r="BG30">
        <f t="shared" si="28"/>
        <v>0</v>
      </c>
      <c r="BH30">
        <f t="shared" si="29"/>
        <v>0</v>
      </c>
      <c r="BI30">
        <f t="shared" si="30"/>
        <v>0</v>
      </c>
      <c r="BJ30">
        <f t="shared" si="31"/>
        <v>0</v>
      </c>
      <c r="BK30">
        <f t="shared" si="32"/>
        <v>0</v>
      </c>
      <c r="BL30">
        <f t="shared" si="33"/>
        <v>0</v>
      </c>
      <c r="BM30">
        <f t="shared" si="34"/>
        <v>0</v>
      </c>
      <c r="BN30">
        <f t="shared" si="35"/>
        <v>0</v>
      </c>
      <c r="BO30" s="349">
        <f t="shared" si="36"/>
        <v>0</v>
      </c>
      <c r="BP30">
        <f t="shared" si="37"/>
        <v>0</v>
      </c>
      <c r="BQ30">
        <f t="shared" si="38"/>
        <v>0</v>
      </c>
      <c r="BR30">
        <f t="shared" si="39"/>
        <v>0</v>
      </c>
      <c r="BS30">
        <f t="shared" si="40"/>
        <v>0</v>
      </c>
      <c r="BT30">
        <f t="shared" si="41"/>
        <v>0</v>
      </c>
      <c r="BU30">
        <f t="shared" si="42"/>
        <v>0</v>
      </c>
      <c r="BV30">
        <f t="shared" si="43"/>
        <v>0</v>
      </c>
      <c r="BW30">
        <f t="shared" si="44"/>
        <v>0</v>
      </c>
      <c r="BX30">
        <f t="shared" si="45"/>
        <v>0</v>
      </c>
      <c r="BY30">
        <f t="shared" si="20"/>
        <v>0</v>
      </c>
      <c r="BZ30" s="349">
        <f t="shared" si="21"/>
        <v>0</v>
      </c>
      <c r="CA30" s="73">
        <f t="shared" si="22"/>
        <v>0</v>
      </c>
      <c r="CB30">
        <f t="shared" si="23"/>
        <v>0</v>
      </c>
      <c r="CC30">
        <f t="shared" si="24"/>
        <v>0</v>
      </c>
      <c r="CD30">
        <f t="shared" si="1"/>
        <v>0</v>
      </c>
      <c r="CE30">
        <f t="shared" si="2"/>
        <v>0</v>
      </c>
      <c r="CF30">
        <f t="shared" si="3"/>
        <v>0</v>
      </c>
      <c r="CG30">
        <f t="shared" si="4"/>
        <v>0</v>
      </c>
      <c r="CH30">
        <f t="shared" si="5"/>
        <v>0</v>
      </c>
      <c r="CI30">
        <f t="shared" si="6"/>
        <v>0</v>
      </c>
      <c r="CJ30">
        <f t="shared" si="7"/>
        <v>0</v>
      </c>
      <c r="CK30">
        <f t="shared" si="8"/>
        <v>0</v>
      </c>
      <c r="CL30">
        <f t="shared" si="9"/>
        <v>0</v>
      </c>
    </row>
    <row r="31" spans="1:90" x14ac:dyDescent="0.25">
      <c r="A31" s="349"/>
      <c r="B31" s="313" t="s">
        <v>354</v>
      </c>
      <c r="D31" s="6"/>
      <c r="H31" s="6">
        <f t="shared" si="51"/>
        <v>-9.99</v>
      </c>
      <c r="I31" s="349"/>
      <c r="U31" s="349"/>
      <c r="AF31" s="349"/>
      <c r="AG31" s="73"/>
      <c r="AT31" s="73" t="str">
        <f t="shared" si="19"/>
        <v/>
      </c>
      <c r="AU31" s="276" t="s">
        <v>416</v>
      </c>
      <c r="AV31" s="6">
        <f t="shared" si="11"/>
        <v>-9.99</v>
      </c>
      <c r="AW31" s="6">
        <f t="shared" si="46"/>
        <v>0</v>
      </c>
      <c r="AX31" s="6">
        <f t="shared" si="47"/>
        <v>0</v>
      </c>
      <c r="AY31" s="6" t="str">
        <f t="shared" si="48"/>
        <v/>
      </c>
      <c r="AZ31" s="6" t="str">
        <f t="shared" ca="1" si="49"/>
        <v/>
      </c>
      <c r="BA31" s="6" t="str">
        <f t="shared" ca="1" si="50"/>
        <v/>
      </c>
      <c r="BB31" s="6">
        <f t="shared" si="18"/>
        <v>-9.99</v>
      </c>
      <c r="BC31" s="349">
        <f t="shared" si="17"/>
        <v>0</v>
      </c>
      <c r="BD31">
        <f t="shared" si="25"/>
        <v>0</v>
      </c>
      <c r="BE31">
        <f t="shared" si="26"/>
        <v>0</v>
      </c>
      <c r="BF31">
        <f t="shared" si="27"/>
        <v>0</v>
      </c>
      <c r="BG31">
        <f t="shared" si="28"/>
        <v>0</v>
      </c>
      <c r="BH31">
        <f t="shared" si="29"/>
        <v>0</v>
      </c>
      <c r="BI31">
        <f t="shared" si="30"/>
        <v>0</v>
      </c>
      <c r="BJ31">
        <f t="shared" si="31"/>
        <v>0</v>
      </c>
      <c r="BK31">
        <f t="shared" si="32"/>
        <v>0</v>
      </c>
      <c r="BL31">
        <f t="shared" si="33"/>
        <v>0</v>
      </c>
      <c r="BM31">
        <f t="shared" si="34"/>
        <v>0</v>
      </c>
      <c r="BN31">
        <f t="shared" si="35"/>
        <v>0</v>
      </c>
      <c r="BO31" s="349">
        <f t="shared" si="36"/>
        <v>0</v>
      </c>
      <c r="BP31">
        <f t="shared" si="37"/>
        <v>0</v>
      </c>
      <c r="BQ31">
        <f t="shared" si="38"/>
        <v>0</v>
      </c>
      <c r="BR31">
        <f t="shared" si="39"/>
        <v>0</v>
      </c>
      <c r="BS31">
        <f t="shared" si="40"/>
        <v>0</v>
      </c>
      <c r="BT31">
        <f t="shared" si="41"/>
        <v>0</v>
      </c>
      <c r="BU31">
        <f t="shared" si="42"/>
        <v>0</v>
      </c>
      <c r="BV31">
        <f t="shared" si="43"/>
        <v>0</v>
      </c>
      <c r="BW31">
        <f t="shared" si="44"/>
        <v>0</v>
      </c>
      <c r="BX31">
        <f t="shared" si="45"/>
        <v>0</v>
      </c>
      <c r="BY31">
        <f t="shared" si="20"/>
        <v>0</v>
      </c>
      <c r="BZ31" s="349">
        <f t="shared" si="21"/>
        <v>0</v>
      </c>
      <c r="CA31" s="73">
        <f t="shared" si="22"/>
        <v>0</v>
      </c>
      <c r="CB31">
        <f t="shared" si="23"/>
        <v>0</v>
      </c>
      <c r="CC31">
        <f t="shared" si="24"/>
        <v>0</v>
      </c>
      <c r="CD31">
        <f t="shared" si="1"/>
        <v>0</v>
      </c>
      <c r="CE31">
        <f t="shared" si="2"/>
        <v>0</v>
      </c>
      <c r="CF31">
        <f t="shared" si="3"/>
        <v>0</v>
      </c>
      <c r="CG31">
        <f t="shared" si="4"/>
        <v>0</v>
      </c>
      <c r="CH31">
        <f t="shared" si="5"/>
        <v>0</v>
      </c>
      <c r="CI31">
        <f t="shared" si="6"/>
        <v>0</v>
      </c>
      <c r="CJ31">
        <f t="shared" si="7"/>
        <v>0</v>
      </c>
      <c r="CK31">
        <f t="shared" si="8"/>
        <v>0</v>
      </c>
      <c r="CL31">
        <f t="shared" si="9"/>
        <v>0</v>
      </c>
    </row>
    <row r="32" spans="1:90" x14ac:dyDescent="0.25">
      <c r="A32" s="349"/>
      <c r="B32" s="313" t="s">
        <v>355</v>
      </c>
      <c r="D32" s="6"/>
      <c r="H32" s="6">
        <f t="shared" si="51"/>
        <v>-9.99</v>
      </c>
      <c r="I32" s="349"/>
      <c r="U32" s="349"/>
      <c r="AF32" s="349"/>
      <c r="AG32" s="73"/>
      <c r="AT32" s="73" t="str">
        <f t="shared" si="19"/>
        <v/>
      </c>
      <c r="AU32" s="276" t="s">
        <v>417</v>
      </c>
      <c r="AV32" s="6">
        <f t="shared" si="11"/>
        <v>-9.99</v>
      </c>
      <c r="AW32" s="6">
        <f t="shared" si="46"/>
        <v>0</v>
      </c>
      <c r="AX32" s="6">
        <f t="shared" si="47"/>
        <v>0</v>
      </c>
      <c r="AY32" s="6" t="str">
        <f t="shared" si="48"/>
        <v/>
      </c>
      <c r="AZ32" s="6" t="str">
        <f t="shared" ca="1" si="49"/>
        <v/>
      </c>
      <c r="BA32" s="6" t="str">
        <f t="shared" ca="1" si="50"/>
        <v/>
      </c>
      <c r="BB32" s="6">
        <f t="shared" si="18"/>
        <v>-9.99</v>
      </c>
      <c r="BC32" s="349">
        <f t="shared" si="17"/>
        <v>0</v>
      </c>
      <c r="BD32">
        <f t="shared" si="25"/>
        <v>0</v>
      </c>
      <c r="BE32">
        <f t="shared" si="26"/>
        <v>0</v>
      </c>
      <c r="BF32">
        <f t="shared" si="27"/>
        <v>0</v>
      </c>
      <c r="BG32">
        <f t="shared" si="28"/>
        <v>0</v>
      </c>
      <c r="BH32">
        <f t="shared" si="29"/>
        <v>0</v>
      </c>
      <c r="BI32">
        <f t="shared" si="30"/>
        <v>0</v>
      </c>
      <c r="BJ32">
        <f t="shared" si="31"/>
        <v>0</v>
      </c>
      <c r="BK32">
        <f t="shared" si="32"/>
        <v>0</v>
      </c>
      <c r="BL32">
        <f t="shared" si="33"/>
        <v>0</v>
      </c>
      <c r="BM32">
        <f t="shared" si="34"/>
        <v>0</v>
      </c>
      <c r="BN32">
        <f t="shared" si="35"/>
        <v>0</v>
      </c>
      <c r="BO32" s="349">
        <f t="shared" si="36"/>
        <v>0</v>
      </c>
      <c r="BP32">
        <f t="shared" si="37"/>
        <v>0</v>
      </c>
      <c r="BQ32">
        <f t="shared" si="38"/>
        <v>0</v>
      </c>
      <c r="BR32">
        <f t="shared" si="39"/>
        <v>0</v>
      </c>
      <c r="BS32">
        <f t="shared" si="40"/>
        <v>0</v>
      </c>
      <c r="BT32">
        <f t="shared" si="41"/>
        <v>0</v>
      </c>
      <c r="BU32">
        <f t="shared" si="42"/>
        <v>0</v>
      </c>
      <c r="BV32">
        <f t="shared" si="43"/>
        <v>0</v>
      </c>
      <c r="BW32">
        <f t="shared" si="44"/>
        <v>0</v>
      </c>
      <c r="BX32">
        <f t="shared" si="45"/>
        <v>0</v>
      </c>
      <c r="BY32">
        <f t="shared" si="20"/>
        <v>0</v>
      </c>
      <c r="BZ32" s="349">
        <f t="shared" si="21"/>
        <v>0</v>
      </c>
      <c r="CA32" s="73">
        <f t="shared" si="22"/>
        <v>0</v>
      </c>
      <c r="CB32">
        <f t="shared" si="23"/>
        <v>0</v>
      </c>
      <c r="CC32">
        <f t="shared" si="24"/>
        <v>0</v>
      </c>
      <c r="CD32">
        <f t="shared" si="1"/>
        <v>0</v>
      </c>
      <c r="CE32">
        <f t="shared" si="2"/>
        <v>0</v>
      </c>
      <c r="CF32">
        <f t="shared" si="3"/>
        <v>0</v>
      </c>
      <c r="CG32">
        <f t="shared" si="4"/>
        <v>0</v>
      </c>
      <c r="CH32">
        <f t="shared" si="5"/>
        <v>0</v>
      </c>
      <c r="CI32">
        <f t="shared" si="6"/>
        <v>0</v>
      </c>
      <c r="CJ32">
        <f t="shared" si="7"/>
        <v>0</v>
      </c>
      <c r="CK32">
        <f t="shared" si="8"/>
        <v>0</v>
      </c>
      <c r="CL32">
        <f t="shared" si="9"/>
        <v>0</v>
      </c>
    </row>
    <row r="33" spans="1:90" x14ac:dyDescent="0.25">
      <c r="A33" s="349"/>
      <c r="B33" s="313" t="s">
        <v>356</v>
      </c>
      <c r="D33" s="6"/>
      <c r="H33" s="6">
        <f t="shared" si="51"/>
        <v>-9.99</v>
      </c>
      <c r="I33" s="349"/>
      <c r="U33" s="349"/>
      <c r="AF33" s="349"/>
      <c r="AG33" s="73"/>
      <c r="AT33" s="73" t="str">
        <f t="shared" si="19"/>
        <v/>
      </c>
      <c r="AU33" s="276" t="s">
        <v>418</v>
      </c>
      <c r="AV33" s="6">
        <f t="shared" si="11"/>
        <v>-9.99</v>
      </c>
      <c r="AW33" s="6">
        <f t="shared" si="46"/>
        <v>0</v>
      </c>
      <c r="AX33" s="6">
        <f t="shared" si="47"/>
        <v>0</v>
      </c>
      <c r="AY33" s="6" t="str">
        <f t="shared" si="48"/>
        <v/>
      </c>
      <c r="AZ33" s="6" t="str">
        <f t="shared" ca="1" si="49"/>
        <v/>
      </c>
      <c r="BA33" s="6" t="str">
        <f t="shared" ca="1" si="50"/>
        <v/>
      </c>
      <c r="BB33" s="6">
        <f t="shared" si="18"/>
        <v>-9.99</v>
      </c>
      <c r="BC33" s="349">
        <f t="shared" si="17"/>
        <v>0</v>
      </c>
      <c r="BD33">
        <f t="shared" si="25"/>
        <v>0</v>
      </c>
      <c r="BE33">
        <f t="shared" si="26"/>
        <v>0</v>
      </c>
      <c r="BF33">
        <f t="shared" si="27"/>
        <v>0</v>
      </c>
      <c r="BG33">
        <f t="shared" si="28"/>
        <v>0</v>
      </c>
      <c r="BH33">
        <f t="shared" si="29"/>
        <v>0</v>
      </c>
      <c r="BI33">
        <f t="shared" si="30"/>
        <v>0</v>
      </c>
      <c r="BJ33">
        <f t="shared" si="31"/>
        <v>0</v>
      </c>
      <c r="BK33">
        <f t="shared" si="32"/>
        <v>0</v>
      </c>
      <c r="BL33">
        <f t="shared" si="33"/>
        <v>0</v>
      </c>
      <c r="BM33">
        <f t="shared" si="34"/>
        <v>0</v>
      </c>
      <c r="BN33">
        <f t="shared" si="35"/>
        <v>0</v>
      </c>
      <c r="BO33" s="349">
        <f t="shared" si="36"/>
        <v>0</v>
      </c>
      <c r="BP33">
        <f t="shared" si="37"/>
        <v>0</v>
      </c>
      <c r="BQ33">
        <f t="shared" si="38"/>
        <v>0</v>
      </c>
      <c r="BR33">
        <f t="shared" si="39"/>
        <v>0</v>
      </c>
      <c r="BS33">
        <f t="shared" si="40"/>
        <v>0</v>
      </c>
      <c r="BT33">
        <f t="shared" si="41"/>
        <v>0</v>
      </c>
      <c r="BU33">
        <f t="shared" si="42"/>
        <v>0</v>
      </c>
      <c r="BV33">
        <f t="shared" si="43"/>
        <v>0</v>
      </c>
      <c r="BW33">
        <f t="shared" si="44"/>
        <v>0</v>
      </c>
      <c r="BX33">
        <f t="shared" si="45"/>
        <v>0</v>
      </c>
      <c r="BY33">
        <f t="shared" si="20"/>
        <v>0</v>
      </c>
      <c r="BZ33" s="349">
        <f t="shared" si="21"/>
        <v>0</v>
      </c>
      <c r="CA33" s="73">
        <f t="shared" si="22"/>
        <v>0</v>
      </c>
      <c r="CB33">
        <f t="shared" si="23"/>
        <v>0</v>
      </c>
      <c r="CC33">
        <f t="shared" si="24"/>
        <v>0</v>
      </c>
      <c r="CD33">
        <f t="shared" si="1"/>
        <v>0</v>
      </c>
      <c r="CE33">
        <f t="shared" si="2"/>
        <v>0</v>
      </c>
      <c r="CF33">
        <f t="shared" si="3"/>
        <v>0</v>
      </c>
      <c r="CG33">
        <f t="shared" si="4"/>
        <v>0</v>
      </c>
      <c r="CH33">
        <f t="shared" si="5"/>
        <v>0</v>
      </c>
      <c r="CI33">
        <f t="shared" si="6"/>
        <v>0</v>
      </c>
      <c r="CJ33">
        <f t="shared" si="7"/>
        <v>0</v>
      </c>
      <c r="CK33">
        <f t="shared" si="8"/>
        <v>0</v>
      </c>
      <c r="CL33">
        <f t="shared" si="9"/>
        <v>0</v>
      </c>
    </row>
    <row r="34" spans="1:90" x14ac:dyDescent="0.25">
      <c r="A34" s="349"/>
      <c r="B34" s="313" t="s">
        <v>357</v>
      </c>
      <c r="D34" s="6"/>
      <c r="H34" s="6">
        <f t="shared" si="51"/>
        <v>-9.99</v>
      </c>
      <c r="I34" s="349"/>
      <c r="U34" s="349"/>
      <c r="AF34" s="349"/>
      <c r="AG34" s="73"/>
      <c r="AT34" s="73" t="str">
        <f t="shared" si="19"/>
        <v/>
      </c>
      <c r="AU34" s="276" t="s">
        <v>419</v>
      </c>
      <c r="AV34" s="6">
        <f t="shared" si="11"/>
        <v>-9.99</v>
      </c>
      <c r="AW34" s="6">
        <f t="shared" si="46"/>
        <v>0</v>
      </c>
      <c r="AX34" s="6">
        <f t="shared" si="47"/>
        <v>0</v>
      </c>
      <c r="AY34" s="6" t="str">
        <f t="shared" si="48"/>
        <v/>
      </c>
      <c r="AZ34" s="6" t="str">
        <f t="shared" ca="1" si="49"/>
        <v/>
      </c>
      <c r="BA34" s="6" t="str">
        <f t="shared" ca="1" si="50"/>
        <v/>
      </c>
      <c r="BB34" s="6">
        <f t="shared" si="18"/>
        <v>-9.99</v>
      </c>
      <c r="BC34" s="349">
        <f t="shared" si="17"/>
        <v>0</v>
      </c>
      <c r="BD34">
        <f t="shared" si="25"/>
        <v>0</v>
      </c>
      <c r="BE34">
        <f t="shared" si="26"/>
        <v>0</v>
      </c>
      <c r="BF34">
        <f t="shared" si="27"/>
        <v>0</v>
      </c>
      <c r="BG34">
        <f t="shared" si="28"/>
        <v>0</v>
      </c>
      <c r="BH34">
        <f t="shared" si="29"/>
        <v>0</v>
      </c>
      <c r="BI34">
        <f t="shared" si="30"/>
        <v>0</v>
      </c>
      <c r="BJ34">
        <f t="shared" si="31"/>
        <v>0</v>
      </c>
      <c r="BK34">
        <f t="shared" si="32"/>
        <v>0</v>
      </c>
      <c r="BL34">
        <f t="shared" si="33"/>
        <v>0</v>
      </c>
      <c r="BM34">
        <f t="shared" si="34"/>
        <v>0</v>
      </c>
      <c r="BN34">
        <f t="shared" si="35"/>
        <v>0</v>
      </c>
      <c r="BO34" s="349">
        <f t="shared" si="36"/>
        <v>0</v>
      </c>
      <c r="BP34">
        <f t="shared" si="37"/>
        <v>0</v>
      </c>
      <c r="BQ34">
        <f t="shared" si="38"/>
        <v>0</v>
      </c>
      <c r="BR34">
        <f t="shared" si="39"/>
        <v>0</v>
      </c>
      <c r="BS34">
        <f t="shared" si="40"/>
        <v>0</v>
      </c>
      <c r="BT34">
        <f t="shared" si="41"/>
        <v>0</v>
      </c>
      <c r="BU34">
        <f t="shared" si="42"/>
        <v>0</v>
      </c>
      <c r="BV34">
        <f t="shared" si="43"/>
        <v>0</v>
      </c>
      <c r="BW34">
        <f t="shared" si="44"/>
        <v>0</v>
      </c>
      <c r="BX34">
        <f t="shared" si="45"/>
        <v>0</v>
      </c>
      <c r="BY34">
        <f t="shared" si="20"/>
        <v>0</v>
      </c>
      <c r="BZ34" s="349">
        <f t="shared" si="21"/>
        <v>0</v>
      </c>
      <c r="CA34" s="73">
        <f t="shared" si="22"/>
        <v>0</v>
      </c>
      <c r="CB34">
        <f t="shared" si="23"/>
        <v>0</v>
      </c>
      <c r="CC34">
        <f t="shared" si="24"/>
        <v>0</v>
      </c>
      <c r="CD34">
        <f t="shared" si="1"/>
        <v>0</v>
      </c>
      <c r="CE34">
        <f t="shared" si="2"/>
        <v>0</v>
      </c>
      <c r="CF34">
        <f t="shared" si="3"/>
        <v>0</v>
      </c>
      <c r="CG34">
        <f t="shared" si="4"/>
        <v>0</v>
      </c>
      <c r="CH34">
        <f t="shared" si="5"/>
        <v>0</v>
      </c>
      <c r="CI34">
        <f t="shared" si="6"/>
        <v>0</v>
      </c>
      <c r="CJ34">
        <f t="shared" si="7"/>
        <v>0</v>
      </c>
      <c r="CK34">
        <f t="shared" si="8"/>
        <v>0</v>
      </c>
      <c r="CL34">
        <f t="shared" si="9"/>
        <v>0</v>
      </c>
    </row>
    <row r="35" spans="1:90" x14ac:dyDescent="0.25">
      <c r="A35" s="349"/>
      <c r="B35" s="313" t="s">
        <v>358</v>
      </c>
      <c r="D35" s="6"/>
      <c r="H35" s="6">
        <f t="shared" si="51"/>
        <v>-9.99</v>
      </c>
      <c r="I35" s="349"/>
      <c r="U35" s="349"/>
      <c r="AF35" s="349"/>
      <c r="AG35" s="73"/>
      <c r="AT35" s="73" t="str">
        <f t="shared" si="19"/>
        <v/>
      </c>
      <c r="AU35" s="276" t="s">
        <v>420</v>
      </c>
      <c r="AV35" s="6">
        <f t="shared" si="11"/>
        <v>-9.99</v>
      </c>
      <c r="AW35" s="6">
        <f t="shared" si="46"/>
        <v>0</v>
      </c>
      <c r="AX35" s="6">
        <f t="shared" si="47"/>
        <v>0</v>
      </c>
      <c r="AY35" s="6" t="str">
        <f t="shared" si="48"/>
        <v/>
      </c>
      <c r="AZ35" s="6" t="str">
        <f t="shared" ca="1" si="49"/>
        <v/>
      </c>
      <c r="BA35" s="6" t="str">
        <f t="shared" ca="1" si="50"/>
        <v/>
      </c>
      <c r="BB35" s="6">
        <f t="shared" si="18"/>
        <v>-9.99</v>
      </c>
      <c r="BC35" s="349">
        <f t="shared" si="17"/>
        <v>0</v>
      </c>
      <c r="BD35">
        <f t="shared" si="25"/>
        <v>0</v>
      </c>
      <c r="BE35">
        <f t="shared" si="26"/>
        <v>0</v>
      </c>
      <c r="BF35">
        <f t="shared" si="27"/>
        <v>0</v>
      </c>
      <c r="BG35">
        <f t="shared" si="28"/>
        <v>0</v>
      </c>
      <c r="BH35">
        <f t="shared" si="29"/>
        <v>0</v>
      </c>
      <c r="BI35">
        <f t="shared" si="30"/>
        <v>0</v>
      </c>
      <c r="BJ35">
        <f t="shared" si="31"/>
        <v>0</v>
      </c>
      <c r="BK35">
        <f t="shared" si="32"/>
        <v>0</v>
      </c>
      <c r="BL35">
        <f t="shared" si="33"/>
        <v>0</v>
      </c>
      <c r="BM35">
        <f t="shared" si="34"/>
        <v>0</v>
      </c>
      <c r="BN35">
        <f t="shared" si="35"/>
        <v>0</v>
      </c>
      <c r="BO35" s="349">
        <f t="shared" si="36"/>
        <v>0</v>
      </c>
      <c r="BP35">
        <f t="shared" si="37"/>
        <v>0</v>
      </c>
      <c r="BQ35">
        <f t="shared" si="38"/>
        <v>0</v>
      </c>
      <c r="BR35">
        <f t="shared" si="39"/>
        <v>0</v>
      </c>
      <c r="BS35">
        <f t="shared" si="40"/>
        <v>0</v>
      </c>
      <c r="BT35">
        <f t="shared" si="41"/>
        <v>0</v>
      </c>
      <c r="BU35">
        <f t="shared" si="42"/>
        <v>0</v>
      </c>
      <c r="BV35">
        <f t="shared" si="43"/>
        <v>0</v>
      </c>
      <c r="BW35">
        <f t="shared" si="44"/>
        <v>0</v>
      </c>
      <c r="BX35">
        <f t="shared" si="45"/>
        <v>0</v>
      </c>
      <c r="BY35">
        <f t="shared" si="20"/>
        <v>0</v>
      </c>
      <c r="BZ35" s="349">
        <f t="shared" si="21"/>
        <v>0</v>
      </c>
      <c r="CA35" s="73">
        <f t="shared" si="22"/>
        <v>0</v>
      </c>
      <c r="CB35">
        <f t="shared" si="23"/>
        <v>0</v>
      </c>
      <c r="CC35">
        <f t="shared" si="24"/>
        <v>0</v>
      </c>
      <c r="CD35">
        <f t="shared" si="1"/>
        <v>0</v>
      </c>
      <c r="CE35">
        <f t="shared" si="2"/>
        <v>0</v>
      </c>
      <c r="CF35">
        <f t="shared" si="3"/>
        <v>0</v>
      </c>
      <c r="CG35">
        <f t="shared" si="4"/>
        <v>0</v>
      </c>
      <c r="CH35">
        <f t="shared" si="5"/>
        <v>0</v>
      </c>
      <c r="CI35">
        <f t="shared" si="6"/>
        <v>0</v>
      </c>
      <c r="CJ35">
        <f t="shared" si="7"/>
        <v>0</v>
      </c>
      <c r="CK35">
        <f t="shared" si="8"/>
        <v>0</v>
      </c>
      <c r="CL35">
        <f t="shared" si="9"/>
        <v>0</v>
      </c>
    </row>
    <row r="36" spans="1:90" x14ac:dyDescent="0.25">
      <c r="A36" s="349"/>
      <c r="B36" s="313" t="s">
        <v>359</v>
      </c>
      <c r="D36" s="6"/>
      <c r="H36" s="6">
        <f t="shared" si="51"/>
        <v>-9.99</v>
      </c>
      <c r="I36" s="349"/>
      <c r="U36" s="349"/>
      <c r="AF36" s="349"/>
      <c r="AG36" s="73"/>
      <c r="AT36" s="73" t="str">
        <f t="shared" si="19"/>
        <v/>
      </c>
      <c r="AU36" s="276" t="s">
        <v>421</v>
      </c>
      <c r="AV36" s="6">
        <f t="shared" si="11"/>
        <v>-9.99</v>
      </c>
      <c r="AW36" s="6">
        <f t="shared" si="46"/>
        <v>0</v>
      </c>
      <c r="AX36" s="6">
        <f t="shared" si="47"/>
        <v>0</v>
      </c>
      <c r="AY36" s="6" t="str">
        <f t="shared" si="48"/>
        <v/>
      </c>
      <c r="AZ36" s="6" t="str">
        <f t="shared" ca="1" si="49"/>
        <v/>
      </c>
      <c r="BA36" s="6" t="str">
        <f t="shared" ca="1" si="50"/>
        <v/>
      </c>
      <c r="BB36" s="6">
        <f t="shared" si="18"/>
        <v>-9.99</v>
      </c>
      <c r="BC36" s="349">
        <f t="shared" si="17"/>
        <v>0</v>
      </c>
      <c r="BD36">
        <f t="shared" si="25"/>
        <v>0</v>
      </c>
      <c r="BE36">
        <f t="shared" si="26"/>
        <v>0</v>
      </c>
      <c r="BF36">
        <f t="shared" si="27"/>
        <v>0</v>
      </c>
      <c r="BG36">
        <f t="shared" si="28"/>
        <v>0</v>
      </c>
      <c r="BH36">
        <f t="shared" si="29"/>
        <v>0</v>
      </c>
      <c r="BI36">
        <f t="shared" si="30"/>
        <v>0</v>
      </c>
      <c r="BJ36">
        <f t="shared" si="31"/>
        <v>0</v>
      </c>
      <c r="BK36">
        <f t="shared" si="32"/>
        <v>0</v>
      </c>
      <c r="BL36">
        <f t="shared" si="33"/>
        <v>0</v>
      </c>
      <c r="BM36">
        <f t="shared" si="34"/>
        <v>0</v>
      </c>
      <c r="BN36">
        <f t="shared" si="35"/>
        <v>0</v>
      </c>
      <c r="BO36" s="349">
        <f t="shared" si="36"/>
        <v>0</v>
      </c>
      <c r="BP36">
        <f t="shared" si="37"/>
        <v>0</v>
      </c>
      <c r="BQ36">
        <f t="shared" si="38"/>
        <v>0</v>
      </c>
      <c r="BR36">
        <f t="shared" si="39"/>
        <v>0</v>
      </c>
      <c r="BS36">
        <f t="shared" si="40"/>
        <v>0</v>
      </c>
      <c r="BT36">
        <f t="shared" si="41"/>
        <v>0</v>
      </c>
      <c r="BU36">
        <f t="shared" si="42"/>
        <v>0</v>
      </c>
      <c r="BV36">
        <f t="shared" si="43"/>
        <v>0</v>
      </c>
      <c r="BW36">
        <f t="shared" si="44"/>
        <v>0</v>
      </c>
      <c r="BX36">
        <f t="shared" si="45"/>
        <v>0</v>
      </c>
      <c r="BY36">
        <f t="shared" si="20"/>
        <v>0</v>
      </c>
      <c r="BZ36" s="349">
        <f t="shared" si="21"/>
        <v>0</v>
      </c>
      <c r="CA36" s="73">
        <f t="shared" si="22"/>
        <v>0</v>
      </c>
      <c r="CB36">
        <f t="shared" si="23"/>
        <v>0</v>
      </c>
      <c r="CC36">
        <f t="shared" si="24"/>
        <v>0</v>
      </c>
      <c r="CD36">
        <f t="shared" si="1"/>
        <v>0</v>
      </c>
      <c r="CE36">
        <f t="shared" si="2"/>
        <v>0</v>
      </c>
      <c r="CF36">
        <f t="shared" si="3"/>
        <v>0</v>
      </c>
      <c r="CG36">
        <f t="shared" si="4"/>
        <v>0</v>
      </c>
      <c r="CH36">
        <f t="shared" si="5"/>
        <v>0</v>
      </c>
      <c r="CI36">
        <f t="shared" si="6"/>
        <v>0</v>
      </c>
      <c r="CJ36">
        <f t="shared" si="7"/>
        <v>0</v>
      </c>
      <c r="CK36">
        <f t="shared" si="8"/>
        <v>0</v>
      </c>
      <c r="CL36">
        <f t="shared" si="9"/>
        <v>0</v>
      </c>
    </row>
    <row r="37" spans="1:90" x14ac:dyDescent="0.25">
      <c r="A37" s="349"/>
      <c r="B37" s="313" t="s">
        <v>360</v>
      </c>
      <c r="D37" s="6"/>
      <c r="H37" s="6">
        <f t="shared" si="51"/>
        <v>-9.99</v>
      </c>
      <c r="I37" s="349"/>
      <c r="U37" s="349"/>
      <c r="AF37" s="349"/>
      <c r="AG37" s="73"/>
      <c r="AT37" s="73" t="str">
        <f t="shared" si="19"/>
        <v/>
      </c>
      <c r="AU37" s="276" t="s">
        <v>422</v>
      </c>
      <c r="AV37" s="6">
        <f t="shared" si="11"/>
        <v>-9.99</v>
      </c>
      <c r="AW37" s="6">
        <f t="shared" si="46"/>
        <v>0</v>
      </c>
      <c r="AX37" s="6">
        <f t="shared" si="47"/>
        <v>0</v>
      </c>
      <c r="AY37" s="6" t="str">
        <f t="shared" si="48"/>
        <v/>
      </c>
      <c r="AZ37" s="6" t="str">
        <f t="shared" ca="1" si="49"/>
        <v/>
      </c>
      <c r="BA37" s="6" t="str">
        <f t="shared" ca="1" si="50"/>
        <v/>
      </c>
      <c r="BB37" s="6">
        <f t="shared" si="18"/>
        <v>-9.99</v>
      </c>
      <c r="BC37" s="349">
        <f t="shared" si="17"/>
        <v>0</v>
      </c>
      <c r="BD37">
        <f t="shared" si="25"/>
        <v>0</v>
      </c>
      <c r="BE37">
        <f t="shared" si="26"/>
        <v>0</v>
      </c>
      <c r="BF37">
        <f t="shared" si="27"/>
        <v>0</v>
      </c>
      <c r="BG37">
        <f t="shared" si="28"/>
        <v>0</v>
      </c>
      <c r="BH37">
        <f t="shared" si="29"/>
        <v>0</v>
      </c>
      <c r="BI37">
        <f t="shared" si="30"/>
        <v>0</v>
      </c>
      <c r="BJ37">
        <f t="shared" si="31"/>
        <v>0</v>
      </c>
      <c r="BK37">
        <f t="shared" si="32"/>
        <v>0</v>
      </c>
      <c r="BL37">
        <f t="shared" si="33"/>
        <v>0</v>
      </c>
      <c r="BM37">
        <f t="shared" si="34"/>
        <v>0</v>
      </c>
      <c r="BN37">
        <f t="shared" si="35"/>
        <v>0</v>
      </c>
      <c r="BO37" s="349">
        <f t="shared" si="36"/>
        <v>0</v>
      </c>
      <c r="BP37">
        <f t="shared" si="37"/>
        <v>0</v>
      </c>
      <c r="BQ37">
        <f t="shared" si="38"/>
        <v>0</v>
      </c>
      <c r="BR37">
        <f t="shared" si="39"/>
        <v>0</v>
      </c>
      <c r="BS37">
        <f t="shared" si="40"/>
        <v>0</v>
      </c>
      <c r="BT37">
        <f t="shared" si="41"/>
        <v>0</v>
      </c>
      <c r="BU37">
        <f t="shared" si="42"/>
        <v>0</v>
      </c>
      <c r="BV37">
        <f t="shared" si="43"/>
        <v>0</v>
      </c>
      <c r="BW37">
        <f t="shared" si="44"/>
        <v>0</v>
      </c>
      <c r="BX37">
        <f t="shared" si="45"/>
        <v>0</v>
      </c>
      <c r="BY37">
        <f t="shared" si="20"/>
        <v>0</v>
      </c>
      <c r="BZ37" s="349">
        <f t="shared" si="21"/>
        <v>0</v>
      </c>
      <c r="CA37" s="73">
        <f t="shared" si="22"/>
        <v>0</v>
      </c>
      <c r="CB37">
        <f t="shared" si="23"/>
        <v>0</v>
      </c>
      <c r="CC37">
        <f t="shared" si="24"/>
        <v>0</v>
      </c>
      <c r="CD37">
        <f t="shared" si="1"/>
        <v>0</v>
      </c>
      <c r="CE37">
        <f t="shared" si="2"/>
        <v>0</v>
      </c>
      <c r="CF37">
        <f t="shared" si="3"/>
        <v>0</v>
      </c>
      <c r="CG37">
        <f t="shared" si="4"/>
        <v>0</v>
      </c>
      <c r="CH37">
        <f t="shared" si="5"/>
        <v>0</v>
      </c>
      <c r="CI37">
        <f t="shared" si="6"/>
        <v>0</v>
      </c>
      <c r="CJ37">
        <f t="shared" si="7"/>
        <v>0</v>
      </c>
      <c r="CK37">
        <f t="shared" si="8"/>
        <v>0</v>
      </c>
      <c r="CL37">
        <f t="shared" si="9"/>
        <v>0</v>
      </c>
    </row>
    <row r="38" spans="1:90" x14ac:dyDescent="0.25">
      <c r="A38" s="349"/>
      <c r="B38" s="313" t="s">
        <v>361</v>
      </c>
      <c r="D38" s="6"/>
      <c r="H38" s="6">
        <f t="shared" si="51"/>
        <v>-9.99</v>
      </c>
      <c r="I38" s="349"/>
      <c r="U38" s="349"/>
      <c r="AF38" s="349"/>
      <c r="AG38" s="73"/>
      <c r="AT38" s="73" t="str">
        <f t="shared" si="19"/>
        <v/>
      </c>
      <c r="AU38" s="276" t="s">
        <v>423</v>
      </c>
      <c r="AV38" s="6">
        <f t="shared" si="11"/>
        <v>-9.99</v>
      </c>
      <c r="AW38" s="6">
        <f t="shared" si="46"/>
        <v>0</v>
      </c>
      <c r="AX38" s="6">
        <f t="shared" si="47"/>
        <v>0</v>
      </c>
      <c r="AY38" s="6" t="str">
        <f t="shared" si="48"/>
        <v/>
      </c>
      <c r="AZ38" s="6" t="str">
        <f t="shared" ca="1" si="49"/>
        <v/>
      </c>
      <c r="BA38" s="6" t="str">
        <f t="shared" ca="1" si="50"/>
        <v/>
      </c>
      <c r="BB38" s="6">
        <f t="shared" si="18"/>
        <v>-9.99</v>
      </c>
      <c r="BC38" s="349">
        <f t="shared" si="17"/>
        <v>0</v>
      </c>
      <c r="BD38">
        <f t="shared" si="25"/>
        <v>0</v>
      </c>
      <c r="BE38">
        <f t="shared" si="26"/>
        <v>0</v>
      </c>
      <c r="BF38">
        <f t="shared" si="27"/>
        <v>0</v>
      </c>
      <c r="BG38">
        <f t="shared" si="28"/>
        <v>0</v>
      </c>
      <c r="BH38">
        <f t="shared" si="29"/>
        <v>0</v>
      </c>
      <c r="BI38">
        <f t="shared" si="30"/>
        <v>0</v>
      </c>
      <c r="BJ38">
        <f t="shared" si="31"/>
        <v>0</v>
      </c>
      <c r="BK38">
        <f t="shared" si="32"/>
        <v>0</v>
      </c>
      <c r="BL38">
        <f t="shared" si="33"/>
        <v>0</v>
      </c>
      <c r="BM38">
        <f t="shared" si="34"/>
        <v>0</v>
      </c>
      <c r="BN38">
        <f t="shared" si="35"/>
        <v>0</v>
      </c>
      <c r="BO38" s="349">
        <f t="shared" si="36"/>
        <v>0</v>
      </c>
      <c r="BP38">
        <f t="shared" si="37"/>
        <v>0</v>
      </c>
      <c r="BQ38">
        <f t="shared" si="38"/>
        <v>0</v>
      </c>
      <c r="BR38">
        <f t="shared" si="39"/>
        <v>0</v>
      </c>
      <c r="BS38">
        <f t="shared" si="40"/>
        <v>0</v>
      </c>
      <c r="BT38">
        <f t="shared" si="41"/>
        <v>0</v>
      </c>
      <c r="BU38">
        <f t="shared" si="42"/>
        <v>0</v>
      </c>
      <c r="BV38">
        <f t="shared" si="43"/>
        <v>0</v>
      </c>
      <c r="BW38">
        <f t="shared" si="44"/>
        <v>0</v>
      </c>
      <c r="BX38">
        <f t="shared" si="45"/>
        <v>0</v>
      </c>
      <c r="BY38">
        <f t="shared" si="20"/>
        <v>0</v>
      </c>
      <c r="BZ38" s="349">
        <f t="shared" si="21"/>
        <v>0</v>
      </c>
      <c r="CA38" s="73">
        <f t="shared" si="22"/>
        <v>0</v>
      </c>
      <c r="CB38">
        <f t="shared" si="23"/>
        <v>0</v>
      </c>
      <c r="CC38">
        <f t="shared" si="24"/>
        <v>0</v>
      </c>
      <c r="CD38">
        <f t="shared" si="1"/>
        <v>0</v>
      </c>
      <c r="CE38">
        <f t="shared" si="2"/>
        <v>0</v>
      </c>
      <c r="CF38">
        <f t="shared" si="3"/>
        <v>0</v>
      </c>
      <c r="CG38">
        <f t="shared" si="4"/>
        <v>0</v>
      </c>
      <c r="CH38">
        <f t="shared" si="5"/>
        <v>0</v>
      </c>
      <c r="CI38">
        <f t="shared" si="6"/>
        <v>0</v>
      </c>
      <c r="CJ38">
        <f t="shared" si="7"/>
        <v>0</v>
      </c>
      <c r="CK38">
        <f t="shared" si="8"/>
        <v>0</v>
      </c>
      <c r="CL38">
        <f t="shared" si="9"/>
        <v>0</v>
      </c>
    </row>
    <row r="39" spans="1:90" x14ac:dyDescent="0.25">
      <c r="A39" s="349"/>
      <c r="B39" s="313" t="s">
        <v>362</v>
      </c>
      <c r="D39" s="6"/>
      <c r="H39" s="6">
        <f t="shared" si="51"/>
        <v>-9.99</v>
      </c>
      <c r="I39" s="349"/>
      <c r="U39" s="349"/>
      <c r="AF39" s="349"/>
      <c r="AG39" s="73"/>
      <c r="AT39" s="73" t="str">
        <f t="shared" si="19"/>
        <v/>
      </c>
      <c r="AU39" s="276" t="s">
        <v>424</v>
      </c>
      <c r="AV39" s="6">
        <f t="shared" si="11"/>
        <v>-9.99</v>
      </c>
      <c r="AW39" s="6">
        <f t="shared" si="46"/>
        <v>0</v>
      </c>
      <c r="AX39" s="6">
        <f t="shared" si="47"/>
        <v>0</v>
      </c>
      <c r="AY39" s="6" t="str">
        <f t="shared" si="48"/>
        <v/>
      </c>
      <c r="AZ39" s="6" t="str">
        <f t="shared" ca="1" si="49"/>
        <v/>
      </c>
      <c r="BA39" s="6" t="str">
        <f t="shared" ca="1" si="50"/>
        <v/>
      </c>
      <c r="BB39" s="6">
        <f t="shared" si="18"/>
        <v>-9.99</v>
      </c>
      <c r="BC39" s="349">
        <f t="shared" si="17"/>
        <v>0</v>
      </c>
      <c r="BD39">
        <f t="shared" si="25"/>
        <v>0</v>
      </c>
      <c r="BE39">
        <f t="shared" si="26"/>
        <v>0</v>
      </c>
      <c r="BF39">
        <f t="shared" si="27"/>
        <v>0</v>
      </c>
      <c r="BG39">
        <f t="shared" si="28"/>
        <v>0</v>
      </c>
      <c r="BH39">
        <f t="shared" si="29"/>
        <v>0</v>
      </c>
      <c r="BI39">
        <f t="shared" si="30"/>
        <v>0</v>
      </c>
      <c r="BJ39">
        <f t="shared" si="31"/>
        <v>0</v>
      </c>
      <c r="BK39">
        <f t="shared" si="32"/>
        <v>0</v>
      </c>
      <c r="BL39">
        <f t="shared" si="33"/>
        <v>0</v>
      </c>
      <c r="BM39">
        <f t="shared" si="34"/>
        <v>0</v>
      </c>
      <c r="BN39">
        <f t="shared" si="35"/>
        <v>0</v>
      </c>
      <c r="BO39" s="349">
        <f t="shared" si="36"/>
        <v>0</v>
      </c>
      <c r="BP39">
        <f t="shared" si="37"/>
        <v>0</v>
      </c>
      <c r="BQ39">
        <f t="shared" si="38"/>
        <v>0</v>
      </c>
      <c r="BR39">
        <f t="shared" si="39"/>
        <v>0</v>
      </c>
      <c r="BS39">
        <f t="shared" si="40"/>
        <v>0</v>
      </c>
      <c r="BT39">
        <f t="shared" si="41"/>
        <v>0</v>
      </c>
      <c r="BU39">
        <f t="shared" si="42"/>
        <v>0</v>
      </c>
      <c r="BV39">
        <f t="shared" si="43"/>
        <v>0</v>
      </c>
      <c r="BW39">
        <f t="shared" si="44"/>
        <v>0</v>
      </c>
      <c r="BX39">
        <f t="shared" si="45"/>
        <v>0</v>
      </c>
      <c r="BY39">
        <f t="shared" si="20"/>
        <v>0</v>
      </c>
      <c r="BZ39" s="349">
        <f t="shared" si="21"/>
        <v>0</v>
      </c>
      <c r="CA39" s="73">
        <f t="shared" si="22"/>
        <v>0</v>
      </c>
      <c r="CB39">
        <f t="shared" si="23"/>
        <v>0</v>
      </c>
      <c r="CC39">
        <f t="shared" si="24"/>
        <v>0</v>
      </c>
      <c r="CD39">
        <f t="shared" si="1"/>
        <v>0</v>
      </c>
      <c r="CE39">
        <f t="shared" si="2"/>
        <v>0</v>
      </c>
      <c r="CF39">
        <f t="shared" si="3"/>
        <v>0</v>
      </c>
      <c r="CG39">
        <f t="shared" si="4"/>
        <v>0</v>
      </c>
      <c r="CH39">
        <f t="shared" si="5"/>
        <v>0</v>
      </c>
      <c r="CI39">
        <f t="shared" si="6"/>
        <v>0</v>
      </c>
      <c r="CJ39">
        <f t="shared" si="7"/>
        <v>0</v>
      </c>
      <c r="CK39">
        <f t="shared" si="8"/>
        <v>0</v>
      </c>
      <c r="CL39">
        <f t="shared" si="9"/>
        <v>0</v>
      </c>
    </row>
    <row r="40" spans="1:90" x14ac:dyDescent="0.25">
      <c r="A40" s="349"/>
      <c r="B40" s="313" t="s">
        <v>363</v>
      </c>
      <c r="D40" s="6"/>
      <c r="H40" s="6">
        <f t="shared" si="51"/>
        <v>-9.99</v>
      </c>
      <c r="I40" s="349"/>
      <c r="U40" s="349"/>
      <c r="AF40" s="349"/>
      <c r="AG40" s="73"/>
      <c r="AT40" s="73" t="str">
        <f t="shared" si="19"/>
        <v/>
      </c>
      <c r="AU40" s="276" t="s">
        <v>425</v>
      </c>
      <c r="AV40" s="6">
        <f t="shared" si="11"/>
        <v>-9.99</v>
      </c>
      <c r="AW40" s="6">
        <f t="shared" si="46"/>
        <v>0</v>
      </c>
      <c r="AX40" s="6">
        <f t="shared" si="47"/>
        <v>0</v>
      </c>
      <c r="AY40" s="6" t="str">
        <f t="shared" si="48"/>
        <v/>
      </c>
      <c r="AZ40" s="6" t="str">
        <f t="shared" ca="1" si="49"/>
        <v/>
      </c>
      <c r="BA40" s="6" t="str">
        <f t="shared" ca="1" si="50"/>
        <v/>
      </c>
      <c r="BB40" s="6">
        <f t="shared" si="18"/>
        <v>-9.99</v>
      </c>
      <c r="BC40" s="349">
        <f t="shared" si="17"/>
        <v>0</v>
      </c>
      <c r="BD40">
        <f t="shared" si="25"/>
        <v>0</v>
      </c>
      <c r="BE40">
        <f t="shared" si="26"/>
        <v>0</v>
      </c>
      <c r="BF40">
        <f t="shared" si="27"/>
        <v>0</v>
      </c>
      <c r="BG40">
        <f t="shared" si="28"/>
        <v>0</v>
      </c>
      <c r="BH40">
        <f t="shared" si="29"/>
        <v>0</v>
      </c>
      <c r="BI40">
        <f t="shared" si="30"/>
        <v>0</v>
      </c>
      <c r="BJ40">
        <f t="shared" si="31"/>
        <v>0</v>
      </c>
      <c r="BK40">
        <f t="shared" si="32"/>
        <v>0</v>
      </c>
      <c r="BL40">
        <f t="shared" si="33"/>
        <v>0</v>
      </c>
      <c r="BM40">
        <f t="shared" si="34"/>
        <v>0</v>
      </c>
      <c r="BN40">
        <f t="shared" si="35"/>
        <v>0</v>
      </c>
      <c r="BO40" s="349">
        <f t="shared" si="36"/>
        <v>0</v>
      </c>
      <c r="BP40">
        <f t="shared" si="37"/>
        <v>0</v>
      </c>
      <c r="BQ40">
        <f t="shared" si="38"/>
        <v>0</v>
      </c>
      <c r="BR40">
        <f t="shared" si="39"/>
        <v>0</v>
      </c>
      <c r="BS40">
        <f t="shared" si="40"/>
        <v>0</v>
      </c>
      <c r="BT40">
        <f t="shared" si="41"/>
        <v>0</v>
      </c>
      <c r="BU40">
        <f t="shared" si="42"/>
        <v>0</v>
      </c>
      <c r="BV40">
        <f t="shared" si="43"/>
        <v>0</v>
      </c>
      <c r="BW40">
        <f t="shared" si="44"/>
        <v>0</v>
      </c>
      <c r="BX40">
        <f t="shared" si="45"/>
        <v>0</v>
      </c>
      <c r="BY40">
        <f t="shared" si="20"/>
        <v>0</v>
      </c>
      <c r="BZ40" s="349">
        <f t="shared" si="21"/>
        <v>0</v>
      </c>
      <c r="CA40" s="73">
        <f t="shared" si="22"/>
        <v>0</v>
      </c>
      <c r="CB40">
        <f t="shared" si="23"/>
        <v>0</v>
      </c>
      <c r="CC40">
        <f t="shared" si="24"/>
        <v>0</v>
      </c>
      <c r="CD40">
        <f t="shared" si="1"/>
        <v>0</v>
      </c>
      <c r="CE40">
        <f t="shared" si="2"/>
        <v>0</v>
      </c>
      <c r="CF40">
        <f t="shared" si="3"/>
        <v>0</v>
      </c>
      <c r="CG40">
        <f t="shared" si="4"/>
        <v>0</v>
      </c>
      <c r="CH40">
        <f t="shared" si="5"/>
        <v>0</v>
      </c>
      <c r="CI40">
        <f t="shared" si="6"/>
        <v>0</v>
      </c>
      <c r="CJ40">
        <f t="shared" si="7"/>
        <v>0</v>
      </c>
      <c r="CK40">
        <f t="shared" si="8"/>
        <v>0</v>
      </c>
      <c r="CL40">
        <f t="shared" si="9"/>
        <v>0</v>
      </c>
    </row>
    <row r="41" spans="1:90" x14ac:dyDescent="0.25">
      <c r="A41" s="349"/>
      <c r="B41" s="313" t="s">
        <v>364</v>
      </c>
      <c r="D41" s="6"/>
      <c r="H41" s="6">
        <f t="shared" si="51"/>
        <v>-9.99</v>
      </c>
      <c r="I41" s="349"/>
      <c r="U41" s="349"/>
      <c r="AF41" s="349"/>
      <c r="AG41" s="73"/>
      <c r="AT41" s="73" t="str">
        <f t="shared" si="19"/>
        <v/>
      </c>
      <c r="AU41" s="276" t="s">
        <v>426</v>
      </c>
      <c r="AV41" s="6">
        <f t="shared" si="11"/>
        <v>-9.99</v>
      </c>
      <c r="AW41" s="6">
        <f t="shared" si="46"/>
        <v>0</v>
      </c>
      <c r="AX41" s="6">
        <f t="shared" si="47"/>
        <v>0</v>
      </c>
      <c r="AY41" s="6" t="str">
        <f t="shared" si="48"/>
        <v/>
      </c>
      <c r="AZ41" s="6" t="str">
        <f t="shared" ca="1" si="49"/>
        <v/>
      </c>
      <c r="BA41" s="6" t="str">
        <f t="shared" ca="1" si="50"/>
        <v/>
      </c>
      <c r="BB41" s="6">
        <f t="shared" si="18"/>
        <v>-9.99</v>
      </c>
      <c r="BC41" s="349">
        <f t="shared" si="17"/>
        <v>0</v>
      </c>
      <c r="BD41">
        <f t="shared" si="25"/>
        <v>0</v>
      </c>
      <c r="BE41">
        <f t="shared" si="26"/>
        <v>0</v>
      </c>
      <c r="BF41">
        <f t="shared" si="27"/>
        <v>0</v>
      </c>
      <c r="BG41">
        <f t="shared" si="28"/>
        <v>0</v>
      </c>
      <c r="BH41">
        <f t="shared" si="29"/>
        <v>0</v>
      </c>
      <c r="BI41">
        <f t="shared" si="30"/>
        <v>0</v>
      </c>
      <c r="BJ41">
        <f t="shared" si="31"/>
        <v>0</v>
      </c>
      <c r="BK41">
        <f t="shared" si="32"/>
        <v>0</v>
      </c>
      <c r="BL41">
        <f t="shared" si="33"/>
        <v>0</v>
      </c>
      <c r="BM41">
        <f t="shared" si="34"/>
        <v>0</v>
      </c>
      <c r="BN41">
        <f t="shared" si="35"/>
        <v>0</v>
      </c>
      <c r="BO41" s="349">
        <f t="shared" si="36"/>
        <v>0</v>
      </c>
      <c r="BP41">
        <f t="shared" si="37"/>
        <v>0</v>
      </c>
      <c r="BQ41">
        <f t="shared" si="38"/>
        <v>0</v>
      </c>
      <c r="BR41">
        <f t="shared" si="39"/>
        <v>0</v>
      </c>
      <c r="BS41">
        <f t="shared" si="40"/>
        <v>0</v>
      </c>
      <c r="BT41">
        <f t="shared" si="41"/>
        <v>0</v>
      </c>
      <c r="BU41">
        <f t="shared" si="42"/>
        <v>0</v>
      </c>
      <c r="BV41">
        <f t="shared" si="43"/>
        <v>0</v>
      </c>
      <c r="BW41">
        <f t="shared" si="44"/>
        <v>0</v>
      </c>
      <c r="BX41">
        <f t="shared" si="45"/>
        <v>0</v>
      </c>
      <c r="BY41">
        <f t="shared" si="20"/>
        <v>0</v>
      </c>
      <c r="BZ41" s="349">
        <f t="shared" si="21"/>
        <v>0</v>
      </c>
      <c r="CA41" s="73">
        <f t="shared" si="22"/>
        <v>0</v>
      </c>
      <c r="CB41">
        <f t="shared" si="23"/>
        <v>0</v>
      </c>
      <c r="CC41">
        <f t="shared" si="24"/>
        <v>0</v>
      </c>
      <c r="CD41">
        <f t="shared" si="1"/>
        <v>0</v>
      </c>
      <c r="CE41">
        <f t="shared" si="2"/>
        <v>0</v>
      </c>
      <c r="CF41">
        <f t="shared" si="3"/>
        <v>0</v>
      </c>
      <c r="CG41">
        <f t="shared" si="4"/>
        <v>0</v>
      </c>
      <c r="CH41">
        <f t="shared" si="5"/>
        <v>0</v>
      </c>
      <c r="CI41">
        <f t="shared" si="6"/>
        <v>0</v>
      </c>
      <c r="CJ41">
        <f t="shared" si="7"/>
        <v>0</v>
      </c>
      <c r="CK41">
        <f t="shared" si="8"/>
        <v>0</v>
      </c>
      <c r="CL41">
        <f t="shared" si="9"/>
        <v>0</v>
      </c>
    </row>
    <row r="42" spans="1:90" x14ac:dyDescent="0.25">
      <c r="A42" s="349"/>
      <c r="B42" s="313" t="s">
        <v>365</v>
      </c>
      <c r="D42" s="6"/>
      <c r="H42" s="6">
        <f t="shared" si="51"/>
        <v>-9.99</v>
      </c>
      <c r="I42" s="349"/>
      <c r="U42" s="349"/>
      <c r="AF42" s="349"/>
      <c r="AG42" s="73"/>
      <c r="AT42" s="73" t="str">
        <f t="shared" si="19"/>
        <v/>
      </c>
      <c r="AU42" s="276" t="s">
        <v>427</v>
      </c>
      <c r="AV42" s="6">
        <f t="shared" si="11"/>
        <v>-9.99</v>
      </c>
      <c r="AW42" s="6">
        <f t="shared" si="46"/>
        <v>0</v>
      </c>
      <c r="AX42" s="6">
        <f t="shared" si="47"/>
        <v>0</v>
      </c>
      <c r="AY42" s="6" t="str">
        <f t="shared" si="48"/>
        <v/>
      </c>
      <c r="AZ42" s="6" t="str">
        <f t="shared" ca="1" si="49"/>
        <v/>
      </c>
      <c r="BA42" s="6" t="str">
        <f t="shared" ca="1" si="50"/>
        <v/>
      </c>
      <c r="BB42" s="6">
        <f t="shared" si="18"/>
        <v>-9.99</v>
      </c>
      <c r="BC42" s="349">
        <f t="shared" si="17"/>
        <v>0</v>
      </c>
      <c r="BD42">
        <f t="shared" si="25"/>
        <v>0</v>
      </c>
      <c r="BE42">
        <f t="shared" si="26"/>
        <v>0</v>
      </c>
      <c r="BF42">
        <f t="shared" si="27"/>
        <v>0</v>
      </c>
      <c r="BG42">
        <f t="shared" si="28"/>
        <v>0</v>
      </c>
      <c r="BH42">
        <f t="shared" si="29"/>
        <v>0</v>
      </c>
      <c r="BI42">
        <f t="shared" si="30"/>
        <v>0</v>
      </c>
      <c r="BJ42">
        <f t="shared" si="31"/>
        <v>0</v>
      </c>
      <c r="BK42">
        <f t="shared" si="32"/>
        <v>0</v>
      </c>
      <c r="BL42">
        <f t="shared" si="33"/>
        <v>0</v>
      </c>
      <c r="BM42">
        <f t="shared" si="34"/>
        <v>0</v>
      </c>
      <c r="BN42">
        <f t="shared" si="35"/>
        <v>0</v>
      </c>
      <c r="BO42" s="349">
        <f t="shared" si="36"/>
        <v>0</v>
      </c>
      <c r="BP42">
        <f t="shared" si="37"/>
        <v>0</v>
      </c>
      <c r="BQ42">
        <f t="shared" si="38"/>
        <v>0</v>
      </c>
      <c r="BR42">
        <f t="shared" si="39"/>
        <v>0</v>
      </c>
      <c r="BS42">
        <f t="shared" si="40"/>
        <v>0</v>
      </c>
      <c r="BT42">
        <f t="shared" si="41"/>
        <v>0</v>
      </c>
      <c r="BU42">
        <f t="shared" si="42"/>
        <v>0</v>
      </c>
      <c r="BV42">
        <f t="shared" si="43"/>
        <v>0</v>
      </c>
      <c r="BW42">
        <f t="shared" si="44"/>
        <v>0</v>
      </c>
      <c r="BX42">
        <f t="shared" si="45"/>
        <v>0</v>
      </c>
      <c r="BY42">
        <f t="shared" si="20"/>
        <v>0</v>
      </c>
      <c r="BZ42" s="349">
        <f t="shared" si="21"/>
        <v>0</v>
      </c>
      <c r="CA42" s="73">
        <f t="shared" si="22"/>
        <v>0</v>
      </c>
      <c r="CB42">
        <f t="shared" si="23"/>
        <v>0</v>
      </c>
      <c r="CC42">
        <f t="shared" si="24"/>
        <v>0</v>
      </c>
      <c r="CD42">
        <f t="shared" si="1"/>
        <v>0</v>
      </c>
      <c r="CE42">
        <f t="shared" si="2"/>
        <v>0</v>
      </c>
      <c r="CF42">
        <f t="shared" si="3"/>
        <v>0</v>
      </c>
      <c r="CG42">
        <f t="shared" si="4"/>
        <v>0</v>
      </c>
      <c r="CH42">
        <f t="shared" si="5"/>
        <v>0</v>
      </c>
      <c r="CI42">
        <f t="shared" si="6"/>
        <v>0</v>
      </c>
      <c r="CJ42">
        <f t="shared" si="7"/>
        <v>0</v>
      </c>
      <c r="CK42">
        <f t="shared" si="8"/>
        <v>0</v>
      </c>
      <c r="CL42">
        <f t="shared" si="9"/>
        <v>0</v>
      </c>
    </row>
    <row r="43" spans="1:90" x14ac:dyDescent="0.25">
      <c r="A43" s="349"/>
      <c r="B43" s="313" t="s">
        <v>404</v>
      </c>
      <c r="D43" s="6"/>
      <c r="H43" s="6">
        <f t="shared" si="51"/>
        <v>-9.99</v>
      </c>
      <c r="I43" s="349"/>
      <c r="U43" s="349"/>
      <c r="AF43" s="349"/>
      <c r="AG43" s="73"/>
      <c r="AT43" s="73" t="str">
        <f t="shared" si="19"/>
        <v/>
      </c>
      <c r="AU43" s="276" t="s">
        <v>428</v>
      </c>
      <c r="AV43" s="6">
        <f t="shared" si="11"/>
        <v>-9.99</v>
      </c>
      <c r="AW43" s="6">
        <f t="shared" si="46"/>
        <v>0</v>
      </c>
      <c r="AX43" s="6">
        <f t="shared" si="47"/>
        <v>0</v>
      </c>
      <c r="AY43" s="6" t="str">
        <f t="shared" si="48"/>
        <v/>
      </c>
      <c r="AZ43" s="6" t="str">
        <f t="shared" ca="1" si="49"/>
        <v/>
      </c>
      <c r="BA43" s="6" t="str">
        <f t="shared" ca="1" si="50"/>
        <v/>
      </c>
      <c r="BB43" s="6">
        <f t="shared" si="18"/>
        <v>-9.99</v>
      </c>
      <c r="BC43" s="349">
        <f t="shared" si="17"/>
        <v>0</v>
      </c>
      <c r="BD43">
        <f t="shared" si="25"/>
        <v>0</v>
      </c>
      <c r="BE43">
        <f t="shared" si="26"/>
        <v>0</v>
      </c>
      <c r="BF43">
        <f t="shared" si="27"/>
        <v>0</v>
      </c>
      <c r="BG43">
        <f t="shared" si="28"/>
        <v>0</v>
      </c>
      <c r="BH43">
        <f t="shared" si="29"/>
        <v>0</v>
      </c>
      <c r="BI43">
        <f t="shared" si="30"/>
        <v>0</v>
      </c>
      <c r="BJ43">
        <f t="shared" si="31"/>
        <v>0</v>
      </c>
      <c r="BK43">
        <f t="shared" si="32"/>
        <v>0</v>
      </c>
      <c r="BL43">
        <f t="shared" si="33"/>
        <v>0</v>
      </c>
      <c r="BM43">
        <f t="shared" si="34"/>
        <v>0</v>
      </c>
      <c r="BN43">
        <f t="shared" si="35"/>
        <v>0</v>
      </c>
      <c r="BO43" s="349">
        <f t="shared" si="36"/>
        <v>0</v>
      </c>
      <c r="BP43">
        <f t="shared" si="37"/>
        <v>0</v>
      </c>
      <c r="BQ43">
        <f t="shared" si="38"/>
        <v>0</v>
      </c>
      <c r="BR43">
        <f t="shared" si="39"/>
        <v>0</v>
      </c>
      <c r="BS43">
        <f t="shared" si="40"/>
        <v>0</v>
      </c>
      <c r="BT43">
        <f t="shared" si="41"/>
        <v>0</v>
      </c>
      <c r="BU43">
        <f t="shared" si="42"/>
        <v>0</v>
      </c>
      <c r="BV43">
        <f t="shared" si="43"/>
        <v>0</v>
      </c>
      <c r="BW43">
        <f t="shared" si="44"/>
        <v>0</v>
      </c>
      <c r="BX43">
        <f t="shared" si="45"/>
        <v>0</v>
      </c>
      <c r="BY43">
        <f t="shared" si="20"/>
        <v>0</v>
      </c>
      <c r="BZ43" s="349">
        <f t="shared" si="21"/>
        <v>0</v>
      </c>
      <c r="CA43" s="73">
        <f t="shared" si="22"/>
        <v>0</v>
      </c>
      <c r="CB43">
        <f t="shared" si="23"/>
        <v>0</v>
      </c>
      <c r="CC43">
        <f t="shared" si="24"/>
        <v>0</v>
      </c>
      <c r="CD43">
        <f t="shared" si="1"/>
        <v>0</v>
      </c>
      <c r="CE43">
        <f t="shared" si="2"/>
        <v>0</v>
      </c>
      <c r="CF43">
        <f t="shared" si="3"/>
        <v>0</v>
      </c>
      <c r="CG43">
        <f t="shared" si="4"/>
        <v>0</v>
      </c>
      <c r="CH43">
        <f t="shared" si="5"/>
        <v>0</v>
      </c>
      <c r="CI43">
        <f t="shared" si="6"/>
        <v>0</v>
      </c>
      <c r="CJ43">
        <f t="shared" si="7"/>
        <v>0</v>
      </c>
      <c r="CK43">
        <f t="shared" si="8"/>
        <v>0</v>
      </c>
      <c r="CL43">
        <f t="shared" si="9"/>
        <v>0</v>
      </c>
    </row>
    <row r="44" spans="1:90" x14ac:dyDescent="0.25">
      <c r="A44" s="349"/>
      <c r="B44" s="313" t="s">
        <v>405</v>
      </c>
      <c r="D44" s="6"/>
      <c r="H44" s="6">
        <f t="shared" si="51"/>
        <v>-9.99</v>
      </c>
      <c r="I44" s="349"/>
      <c r="U44" s="349"/>
      <c r="AF44" s="349"/>
      <c r="AG44" s="73"/>
      <c r="AT44" s="73" t="str">
        <f t="shared" si="19"/>
        <v/>
      </c>
      <c r="AU44" s="276" t="s">
        <v>429</v>
      </c>
      <c r="AV44" s="6">
        <f t="shared" si="11"/>
        <v>-9.99</v>
      </c>
      <c r="AW44" s="6">
        <f t="shared" si="46"/>
        <v>0</v>
      </c>
      <c r="AX44" s="6">
        <f t="shared" si="47"/>
        <v>0</v>
      </c>
      <c r="AY44" s="6" t="str">
        <f t="shared" si="48"/>
        <v/>
      </c>
      <c r="AZ44" s="6" t="str">
        <f t="shared" ca="1" si="49"/>
        <v/>
      </c>
      <c r="BA44" s="6" t="str">
        <f t="shared" ca="1" si="50"/>
        <v/>
      </c>
      <c r="BB44" s="6">
        <f t="shared" si="18"/>
        <v>-9.99</v>
      </c>
      <c r="BC44" s="349">
        <f t="shared" si="17"/>
        <v>0</v>
      </c>
      <c r="BD44">
        <f t="shared" si="25"/>
        <v>0</v>
      </c>
      <c r="BE44">
        <f t="shared" si="26"/>
        <v>0</v>
      </c>
      <c r="BF44">
        <f t="shared" si="27"/>
        <v>0</v>
      </c>
      <c r="BG44">
        <f t="shared" si="28"/>
        <v>0</v>
      </c>
      <c r="BH44">
        <f t="shared" si="29"/>
        <v>0</v>
      </c>
      <c r="BI44">
        <f t="shared" si="30"/>
        <v>0</v>
      </c>
      <c r="BJ44">
        <f t="shared" si="31"/>
        <v>0</v>
      </c>
      <c r="BK44">
        <f t="shared" si="32"/>
        <v>0</v>
      </c>
      <c r="BL44">
        <f t="shared" si="33"/>
        <v>0</v>
      </c>
      <c r="BM44">
        <f t="shared" si="34"/>
        <v>0</v>
      </c>
      <c r="BN44">
        <f t="shared" si="35"/>
        <v>0</v>
      </c>
      <c r="BO44" s="349">
        <f t="shared" si="36"/>
        <v>0</v>
      </c>
      <c r="BP44">
        <f t="shared" si="37"/>
        <v>0</v>
      </c>
      <c r="BQ44">
        <f t="shared" si="38"/>
        <v>0</v>
      </c>
      <c r="BR44">
        <f t="shared" si="39"/>
        <v>0</v>
      </c>
      <c r="BS44">
        <f t="shared" si="40"/>
        <v>0</v>
      </c>
      <c r="BT44">
        <f t="shared" si="41"/>
        <v>0</v>
      </c>
      <c r="BU44">
        <f t="shared" si="42"/>
        <v>0</v>
      </c>
      <c r="BV44">
        <f t="shared" si="43"/>
        <v>0</v>
      </c>
      <c r="BW44">
        <f t="shared" si="44"/>
        <v>0</v>
      </c>
      <c r="BX44">
        <f t="shared" si="45"/>
        <v>0</v>
      </c>
      <c r="BY44">
        <f t="shared" si="20"/>
        <v>0</v>
      </c>
      <c r="BZ44" s="349">
        <f t="shared" si="21"/>
        <v>0</v>
      </c>
      <c r="CA44" s="73">
        <f t="shared" si="22"/>
        <v>0</v>
      </c>
      <c r="CB44">
        <f t="shared" si="23"/>
        <v>0</v>
      </c>
      <c r="CC44">
        <f t="shared" si="24"/>
        <v>0</v>
      </c>
      <c r="CD44">
        <f t="shared" si="1"/>
        <v>0</v>
      </c>
      <c r="CE44">
        <f t="shared" si="2"/>
        <v>0</v>
      </c>
      <c r="CF44">
        <f t="shared" si="3"/>
        <v>0</v>
      </c>
      <c r="CG44">
        <f t="shared" si="4"/>
        <v>0</v>
      </c>
      <c r="CH44">
        <f t="shared" si="5"/>
        <v>0</v>
      </c>
      <c r="CI44">
        <f t="shared" si="6"/>
        <v>0</v>
      </c>
      <c r="CJ44">
        <f t="shared" si="7"/>
        <v>0</v>
      </c>
      <c r="CK44">
        <f t="shared" si="8"/>
        <v>0</v>
      </c>
      <c r="CL44">
        <f t="shared" si="9"/>
        <v>0</v>
      </c>
    </row>
    <row r="45" spans="1:90" x14ac:dyDescent="0.25">
      <c r="A45" s="349"/>
      <c r="B45" s="313" t="s">
        <v>406</v>
      </c>
      <c r="D45" s="6"/>
      <c r="H45" s="6">
        <f t="shared" si="51"/>
        <v>-9.99</v>
      </c>
      <c r="I45" s="349"/>
      <c r="U45" s="349"/>
      <c r="AF45" s="349"/>
      <c r="AG45" s="73"/>
      <c r="AT45" s="73" t="str">
        <f t="shared" si="19"/>
        <v/>
      </c>
      <c r="AU45" s="276" t="s">
        <v>430</v>
      </c>
      <c r="AV45" s="6">
        <f t="shared" si="11"/>
        <v>-9.99</v>
      </c>
      <c r="AW45" s="6">
        <f t="shared" si="46"/>
        <v>0</v>
      </c>
      <c r="AX45" s="6">
        <f t="shared" si="47"/>
        <v>0</v>
      </c>
      <c r="AY45" s="6" t="str">
        <f t="shared" si="48"/>
        <v/>
      </c>
      <c r="AZ45" s="6" t="str">
        <f t="shared" ca="1" si="49"/>
        <v/>
      </c>
      <c r="BA45" s="6" t="str">
        <f t="shared" ca="1" si="50"/>
        <v/>
      </c>
      <c r="BB45" s="6">
        <f t="shared" si="18"/>
        <v>-9.99</v>
      </c>
      <c r="BC45" s="349">
        <f t="shared" si="17"/>
        <v>0</v>
      </c>
      <c r="BD45">
        <f t="shared" si="25"/>
        <v>0</v>
      </c>
      <c r="BE45">
        <f t="shared" si="26"/>
        <v>0</v>
      </c>
      <c r="BF45">
        <f t="shared" si="27"/>
        <v>0</v>
      </c>
      <c r="BG45">
        <f t="shared" si="28"/>
        <v>0</v>
      </c>
      <c r="BH45">
        <f t="shared" si="29"/>
        <v>0</v>
      </c>
      <c r="BI45">
        <f t="shared" si="30"/>
        <v>0</v>
      </c>
      <c r="BJ45">
        <f t="shared" si="31"/>
        <v>0</v>
      </c>
      <c r="BK45">
        <f t="shared" si="32"/>
        <v>0</v>
      </c>
      <c r="BL45">
        <f t="shared" si="33"/>
        <v>0</v>
      </c>
      <c r="BM45">
        <f t="shared" si="34"/>
        <v>0</v>
      </c>
      <c r="BN45">
        <f t="shared" si="35"/>
        <v>0</v>
      </c>
      <c r="BO45" s="349">
        <f t="shared" si="36"/>
        <v>0</v>
      </c>
      <c r="BP45">
        <f t="shared" si="37"/>
        <v>0</v>
      </c>
      <c r="BQ45">
        <f t="shared" si="38"/>
        <v>0</v>
      </c>
      <c r="BR45">
        <f t="shared" si="39"/>
        <v>0</v>
      </c>
      <c r="BS45">
        <f t="shared" si="40"/>
        <v>0</v>
      </c>
      <c r="BT45">
        <f t="shared" si="41"/>
        <v>0</v>
      </c>
      <c r="BU45">
        <f t="shared" si="42"/>
        <v>0</v>
      </c>
      <c r="BV45">
        <f t="shared" si="43"/>
        <v>0</v>
      </c>
      <c r="BW45">
        <f t="shared" si="44"/>
        <v>0</v>
      </c>
      <c r="BX45">
        <f t="shared" si="45"/>
        <v>0</v>
      </c>
      <c r="BY45">
        <f t="shared" si="20"/>
        <v>0</v>
      </c>
      <c r="BZ45" s="349">
        <f t="shared" si="21"/>
        <v>0</v>
      </c>
      <c r="CA45" s="73">
        <f t="shared" si="22"/>
        <v>0</v>
      </c>
      <c r="CB45">
        <f t="shared" si="23"/>
        <v>0</v>
      </c>
      <c r="CC45">
        <f t="shared" si="24"/>
        <v>0</v>
      </c>
      <c r="CD45">
        <f t="shared" si="1"/>
        <v>0</v>
      </c>
      <c r="CE45">
        <f t="shared" si="2"/>
        <v>0</v>
      </c>
      <c r="CF45">
        <f t="shared" si="3"/>
        <v>0</v>
      </c>
      <c r="CG45">
        <f t="shared" si="4"/>
        <v>0</v>
      </c>
      <c r="CH45">
        <f t="shared" si="5"/>
        <v>0</v>
      </c>
      <c r="CI45">
        <f t="shared" si="6"/>
        <v>0</v>
      </c>
      <c r="CJ45">
        <f t="shared" si="7"/>
        <v>0</v>
      </c>
      <c r="CK45">
        <f t="shared" si="8"/>
        <v>0</v>
      </c>
      <c r="CL45">
        <f t="shared" si="9"/>
        <v>0</v>
      </c>
    </row>
  </sheetData>
  <phoneticPr fontId="16" type="noConversion"/>
  <conditionalFormatting sqref="H26:AR45 U6:AR25 H6:H25">
    <cfRule type="cellIs" dxfId="49" priority="35" operator="equal">
      <formula>NaN</formula>
    </cfRule>
  </conditionalFormatting>
  <conditionalFormatting sqref="B6:C13 C14:C42 B14:B45">
    <cfRule type="cellIs" dxfId="48" priority="34" operator="equal">
      <formula>0</formula>
    </cfRule>
  </conditionalFormatting>
  <conditionalFormatting sqref="D6:D42">
    <cfRule type="colorScale" priority="3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47" priority="27" operator="greaterThan">
      <formula>0.5</formula>
    </cfRule>
  </conditionalFormatting>
  <conditionalFormatting sqref="AW6:AW17">
    <cfRule type="cellIs" dxfId="46" priority="26" operator="equal">
      <formula>NaN</formula>
    </cfRule>
  </conditionalFormatting>
  <conditionalFormatting sqref="AW6:AW42">
    <cfRule type="cellIs" dxfId="45" priority="25" operator="equal">
      <formula>0</formula>
    </cfRule>
  </conditionalFormatting>
  <conditionalFormatting sqref="AW6:AW42">
    <cfRule type="cellIs" dxfId="44" priority="24" operator="greaterThan">
      <formula>0.5</formula>
    </cfRule>
  </conditionalFormatting>
  <conditionalFormatting sqref="AY6:AY42">
    <cfRule type="colorScale" priority="23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2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olorScale" priority="2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6:AX42">
    <cfRule type="colorScale" priority="1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3" priority="15" operator="equal">
      <formula>0</formula>
    </cfRule>
  </conditionalFormatting>
  <conditionalFormatting sqref="D43:D45">
    <cfRule type="colorScale" priority="14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43:C45">
    <cfRule type="cellIs" dxfId="42" priority="13" operator="greaterThan">
      <formula>0.5</formula>
    </cfRule>
  </conditionalFormatting>
  <conditionalFormatting sqref="AW43:AW45">
    <cfRule type="cellIs" dxfId="41" priority="12" operator="equal">
      <formula>0</formula>
    </cfRule>
  </conditionalFormatting>
  <conditionalFormatting sqref="AW43:AW45">
    <cfRule type="cellIs" dxfId="40" priority="11" operator="greaterThan">
      <formula>0.5</formula>
    </cfRule>
  </conditionalFormatting>
  <conditionalFormatting sqref="AY43:AY45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43:AZ45">
    <cfRule type="colorScale" priority="9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43:BA45">
    <cfRule type="colorScale" priority="8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X43:AX45">
    <cfRule type="colorScale" priority="6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B6:CL45">
    <cfRule type="cellIs" dxfId="39" priority="4" operator="equal">
      <formula>NaN</formula>
    </cfRule>
  </conditionalFormatting>
  <conditionalFormatting sqref="BB43:BB45">
    <cfRule type="cellIs" dxfId="38" priority="3" operator="equal">
      <formula>NaN</formula>
    </cfRule>
  </conditionalFormatting>
  <conditionalFormatting sqref="H6:H45">
    <cfRule type="expression" dxfId="37" priority="2">
      <formula>AND(C6&lt;&gt;0,H6=NaN,COUNT(I6:AR6)=0)</formula>
    </cfRule>
  </conditionalFormatting>
  <conditionalFormatting sqref="I6:T25">
    <cfRule type="cellIs" dxfId="36" priority="1" operator="equal">
      <formula>NotANumber</formula>
    </cfRule>
  </conditionalFormatting>
  <dataValidations count="3">
    <dataValidation type="list" allowBlank="1" showInputMessage="1" showErrorMessage="1" sqref="E6:E25" xr:uid="{A9FCC619-382C-4830-92AC-C0A64B1D9CD8}">
      <formula1>listRoot</formula1>
    </dataValidation>
    <dataValidation type="list" allowBlank="1" showInputMessage="1" showErrorMessage="1" sqref="G6:G25" xr:uid="{76D54708-D431-4854-827D-05ADC2256475}">
      <formula1>DropDownScen3</formula1>
    </dataValidation>
    <dataValidation type="list" allowBlank="1" showInputMessage="1" showErrorMessage="1" sqref="F6:F25" xr:uid="{47A71BFF-44AF-435F-B95B-3A1A2E14A9EB}">
      <formula1>DropDownScen2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DA189D2C-031A-415D-B1D9-CD8E78FFE5A9}">
            <xm:f>OR(I4&lt;DataU!$D$6,I4&gt;DataU!$E$6)</xm:f>
            <x14:dxf>
              <font>
                <color theme="0" tint="-0.24994659260841701"/>
              </font>
            </x14:dxf>
          </x14:cfRule>
          <xm:sqref>I4:AR4</xm:sqref>
        </x14:conditionalFormatting>
        <x14:conditionalFormatting xmlns:xm="http://schemas.microsoft.com/office/excel/2006/main">
          <x14:cfRule type="expression" priority="5" id="{1BE8F8FE-BBBB-4865-AE95-30B0462964D5}">
            <xm:f>OR(BC4&lt;DataU!$D$6,BC4&gt;DataU!$E$6)</xm:f>
            <x14:dxf>
              <font>
                <color theme="0" tint="-0.24994659260841701"/>
              </font>
            </x14:dxf>
          </x14:cfRule>
          <xm:sqref>BC4:CL4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negative="1" xr2:uid="{C2A4A99A-CEF6-46C4-9CE0-EB1A280E4C55}">
          <x14:colorSeries rgb="FF376092"/>
          <x14:colorNegative rgb="FFFF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Scen!I6:AR6</xm:f>
              <xm:sqref>A6</xm:sqref>
            </x14:sparkline>
            <x14:sparkline>
              <xm:f>Scen!I7:AR7</xm:f>
              <xm:sqref>A7</xm:sqref>
            </x14:sparkline>
            <x14:sparkline>
              <xm:f>Scen!I8:AR8</xm:f>
              <xm:sqref>A8</xm:sqref>
            </x14:sparkline>
            <x14:sparkline>
              <xm:f>Scen!I9:AR9</xm:f>
              <xm:sqref>A9</xm:sqref>
            </x14:sparkline>
            <x14:sparkline>
              <xm:f>Scen!I10:AR10</xm:f>
              <xm:sqref>A10</xm:sqref>
            </x14:sparkline>
            <x14:sparkline>
              <xm:f>Scen!I11:AR11</xm:f>
              <xm:sqref>A11</xm:sqref>
            </x14:sparkline>
            <x14:sparkline>
              <xm:f>Scen!I12:AR12</xm:f>
              <xm:sqref>A12</xm:sqref>
            </x14:sparkline>
            <x14:sparkline>
              <xm:f>Scen!I13:AR13</xm:f>
              <xm:sqref>A13</xm:sqref>
            </x14:sparkline>
            <x14:sparkline>
              <xm:f>Scen!I14:AR14</xm:f>
              <xm:sqref>A14</xm:sqref>
            </x14:sparkline>
            <x14:sparkline>
              <xm:f>Scen!I15:AR15</xm:f>
              <xm:sqref>A15</xm:sqref>
            </x14:sparkline>
            <x14:sparkline>
              <xm:f>Scen!I16:AR16</xm:f>
              <xm:sqref>A16</xm:sqref>
            </x14:sparkline>
            <x14:sparkline>
              <xm:f>Scen!I17:AR17</xm:f>
              <xm:sqref>A17</xm:sqref>
            </x14:sparkline>
            <x14:sparkline>
              <xm:f>Scen!I18:AR18</xm:f>
              <xm:sqref>A18</xm:sqref>
            </x14:sparkline>
            <x14:sparkline>
              <xm:f>Scen!I19:AR19</xm:f>
              <xm:sqref>A19</xm:sqref>
            </x14:sparkline>
            <x14:sparkline>
              <xm:f>Scen!I20:AR20</xm:f>
              <xm:sqref>A20</xm:sqref>
            </x14:sparkline>
            <x14:sparkline>
              <xm:f>Scen!I21:AR21</xm:f>
              <xm:sqref>A21</xm:sqref>
            </x14:sparkline>
            <x14:sparkline>
              <xm:f>Scen!I22:AR22</xm:f>
              <xm:sqref>A22</xm:sqref>
            </x14:sparkline>
            <x14:sparkline>
              <xm:f>Scen!I23:AR23</xm:f>
              <xm:sqref>A23</xm:sqref>
            </x14:sparkline>
            <x14:sparkline>
              <xm:f>Scen!I24:AR24</xm:f>
              <xm:sqref>A24</xm:sqref>
            </x14:sparkline>
            <x14:sparkline>
              <xm:f>Scen!I25:AR25</xm:f>
              <xm:sqref>A25</xm:sqref>
            </x14:sparkline>
            <x14:sparkline>
              <xm:f>Scen!I26:AR26</xm:f>
              <xm:sqref>A26</xm:sqref>
            </x14:sparkline>
            <x14:sparkline>
              <xm:f>Scen!I27:AR27</xm:f>
              <xm:sqref>A27</xm:sqref>
            </x14:sparkline>
            <x14:sparkline>
              <xm:f>Scen!I28:AR28</xm:f>
              <xm:sqref>A28</xm:sqref>
            </x14:sparkline>
            <x14:sparkline>
              <xm:f>Scen!I29:AR29</xm:f>
              <xm:sqref>A29</xm:sqref>
            </x14:sparkline>
            <x14:sparkline>
              <xm:f>Scen!I30:AR30</xm:f>
              <xm:sqref>A30</xm:sqref>
            </x14:sparkline>
            <x14:sparkline>
              <xm:f>Scen!I31:AR31</xm:f>
              <xm:sqref>A31</xm:sqref>
            </x14:sparkline>
            <x14:sparkline>
              <xm:f>Scen!I32:AR32</xm:f>
              <xm:sqref>A32</xm:sqref>
            </x14:sparkline>
            <x14:sparkline>
              <xm:f>Scen!I33:AR33</xm:f>
              <xm:sqref>A33</xm:sqref>
            </x14:sparkline>
            <x14:sparkline>
              <xm:f>Scen!I34:AR34</xm:f>
              <xm:sqref>A34</xm:sqref>
            </x14:sparkline>
            <x14:sparkline>
              <xm:f>Scen!I35:AR35</xm:f>
              <xm:sqref>A35</xm:sqref>
            </x14:sparkline>
            <x14:sparkline>
              <xm:f>Scen!I36:AR36</xm:f>
              <xm:sqref>A36</xm:sqref>
            </x14:sparkline>
            <x14:sparkline>
              <xm:f>Scen!I37:AR37</xm:f>
              <xm:sqref>A37</xm:sqref>
            </x14:sparkline>
            <x14:sparkline>
              <xm:f>Scen!I38:AR38</xm:f>
              <xm:sqref>A38</xm:sqref>
            </x14:sparkline>
            <x14:sparkline>
              <xm:f>Scen!I39:AR39</xm:f>
              <xm:sqref>A39</xm:sqref>
            </x14:sparkline>
            <x14:sparkline>
              <xm:f>Scen!I40:AR40</xm:f>
              <xm:sqref>A40</xm:sqref>
            </x14:sparkline>
            <x14:sparkline>
              <xm:f>Scen!I41:AR41</xm:f>
              <xm:sqref>A41</xm:sqref>
            </x14:sparkline>
            <x14:sparkline>
              <xm:f>Scen!I42:AR42</xm:f>
              <xm:sqref>A42</xm:sqref>
            </x14:sparkline>
            <x14:sparkline>
              <xm:f>Scen!I43:AR43</xm:f>
              <xm:sqref>A43</xm:sqref>
            </x14:sparkline>
            <x14:sparkline>
              <xm:f>Scen!I44:AR44</xm:f>
              <xm:sqref>A44</xm:sqref>
            </x14:sparkline>
            <x14:sparkline>
              <xm:f>Scen!I45:AR45</xm:f>
              <xm:sqref>A45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 codeName="Sheet6">
    <tabColor theme="9" tint="0.59999389629810485"/>
  </sheetPr>
  <dimension ref="B2:K20"/>
  <sheetViews>
    <sheetView tabSelected="1" zoomScale="85" zoomScaleNormal="85" workbookViewId="0">
      <selection activeCell="D11" sqref="D11"/>
    </sheetView>
  </sheetViews>
  <sheetFormatPr defaultRowHeight="15" x14ac:dyDescent="0.25"/>
  <cols>
    <col min="1" max="1" width="3.85546875" customWidth="1"/>
    <col min="2" max="2" width="20.5703125" bestFit="1" customWidth="1"/>
    <col min="4" max="4" width="126.85546875" customWidth="1"/>
    <col min="9" max="9" width="18.85546875" bestFit="1" customWidth="1"/>
    <col min="10" max="10" width="6.42578125" bestFit="1" customWidth="1"/>
    <col min="11" max="11" width="53.140625" customWidth="1"/>
  </cols>
  <sheetData>
    <row r="2" spans="2:11" x14ac:dyDescent="0.25">
      <c r="I2" t="s">
        <v>436</v>
      </c>
    </row>
    <row r="3" spans="2:11" x14ac:dyDescent="0.25">
      <c r="B3" s="329" t="s">
        <v>325</v>
      </c>
      <c r="C3" s="330" t="s">
        <v>89</v>
      </c>
      <c r="D3" s="331" t="s">
        <v>223</v>
      </c>
      <c r="I3" s="329" t="s">
        <v>433</v>
      </c>
      <c r="J3" s="330" t="s">
        <v>89</v>
      </c>
      <c r="K3" s="331" t="s">
        <v>223</v>
      </c>
    </row>
    <row r="4" spans="2:11" x14ac:dyDescent="0.25">
      <c r="B4" s="317" t="s">
        <v>316</v>
      </c>
      <c r="C4" s="105">
        <v>0</v>
      </c>
      <c r="D4" s="319" t="s">
        <v>317</v>
      </c>
      <c r="I4" s="317" t="s">
        <v>434</v>
      </c>
      <c r="J4" s="105">
        <v>-9.99</v>
      </c>
      <c r="K4" s="319" t="s">
        <v>435</v>
      </c>
    </row>
    <row r="5" spans="2:11" x14ac:dyDescent="0.25">
      <c r="B5" s="317" t="s">
        <v>218</v>
      </c>
      <c r="C5" s="306">
        <v>0</v>
      </c>
      <c r="D5" s="319" t="s">
        <v>219</v>
      </c>
      <c r="I5" s="317"/>
      <c r="J5" s="306"/>
      <c r="K5" s="319"/>
    </row>
    <row r="6" spans="2:11" x14ac:dyDescent="0.25">
      <c r="B6" s="317" t="s">
        <v>222</v>
      </c>
      <c r="C6" s="306">
        <v>0</v>
      </c>
      <c r="D6" s="319" t="s">
        <v>322</v>
      </c>
      <c r="I6" s="317"/>
      <c r="J6" s="306"/>
      <c r="K6" s="319"/>
    </row>
    <row r="7" spans="2:11" x14ac:dyDescent="0.25">
      <c r="B7" s="317" t="s">
        <v>320</v>
      </c>
      <c r="C7" s="306">
        <v>1</v>
      </c>
      <c r="D7" s="320" t="s">
        <v>321</v>
      </c>
      <c r="I7" s="317"/>
      <c r="J7" s="306"/>
      <c r="K7" s="320"/>
    </row>
    <row r="8" spans="2:11" x14ac:dyDescent="0.25">
      <c r="B8" s="321" t="s">
        <v>263</v>
      </c>
      <c r="C8" s="322">
        <v>0</v>
      </c>
      <c r="D8" s="323" t="s">
        <v>264</v>
      </c>
      <c r="I8" s="321"/>
      <c r="J8" s="322"/>
      <c r="K8" s="323"/>
    </row>
    <row r="9" spans="2:11" x14ac:dyDescent="0.25">
      <c r="B9" s="317" t="s">
        <v>470</v>
      </c>
      <c r="C9" s="105">
        <v>0</v>
      </c>
      <c r="D9" s="320" t="s">
        <v>318</v>
      </c>
      <c r="I9" s="317"/>
      <c r="J9" s="105"/>
      <c r="K9" s="320"/>
    </row>
    <row r="10" spans="2:11" x14ac:dyDescent="0.25">
      <c r="B10" s="317" t="s">
        <v>469</v>
      </c>
      <c r="C10" s="105">
        <v>0</v>
      </c>
      <c r="D10" s="320" t="s">
        <v>465</v>
      </c>
      <c r="I10" s="317"/>
      <c r="J10" s="308"/>
      <c r="K10" s="319"/>
    </row>
    <row r="11" spans="2:11" x14ac:dyDescent="0.25">
      <c r="B11" s="317" t="s">
        <v>480</v>
      </c>
      <c r="C11" s="105">
        <v>0</v>
      </c>
      <c r="D11" s="319" t="s">
        <v>481</v>
      </c>
      <c r="I11" s="317"/>
      <c r="J11" s="308"/>
      <c r="K11" s="319"/>
    </row>
    <row r="12" spans="2:11" x14ac:dyDescent="0.25">
      <c r="B12" s="317" t="s">
        <v>82</v>
      </c>
      <c r="C12" s="308">
        <v>0.1</v>
      </c>
      <c r="D12" s="319"/>
      <c r="I12" s="317"/>
      <c r="J12" s="309"/>
      <c r="K12" s="319"/>
    </row>
    <row r="13" spans="2:11" x14ac:dyDescent="0.25">
      <c r="B13" s="317" t="s">
        <v>220</v>
      </c>
      <c r="C13" s="308">
        <v>7.0000000000000007E-2</v>
      </c>
      <c r="D13" s="319" t="s">
        <v>221</v>
      </c>
      <c r="I13" s="317"/>
      <c r="J13" s="310"/>
      <c r="K13" s="319"/>
    </row>
    <row r="14" spans="2:11" x14ac:dyDescent="0.25">
      <c r="B14" s="317" t="s">
        <v>91</v>
      </c>
      <c r="C14" s="309">
        <v>0</v>
      </c>
      <c r="D14" s="319" t="s">
        <v>241</v>
      </c>
      <c r="I14" s="317"/>
      <c r="J14" s="73"/>
      <c r="K14" s="307"/>
    </row>
    <row r="15" spans="2:11" x14ac:dyDescent="0.25">
      <c r="B15" s="317" t="s">
        <v>311</v>
      </c>
      <c r="C15" s="310">
        <v>25</v>
      </c>
      <c r="D15" s="319" t="s">
        <v>313</v>
      </c>
      <c r="I15" s="317"/>
      <c r="J15" s="73"/>
      <c r="K15" s="307"/>
    </row>
    <row r="16" spans="2:11" x14ac:dyDescent="0.25">
      <c r="B16" s="317"/>
      <c r="C16" s="73"/>
      <c r="D16" s="307"/>
      <c r="I16" s="317"/>
      <c r="J16" s="73"/>
      <c r="K16" s="307"/>
    </row>
    <row r="17" spans="2:11" x14ac:dyDescent="0.25">
      <c r="B17" s="317"/>
      <c r="C17" s="73"/>
      <c r="D17" s="307"/>
      <c r="I17" s="317"/>
      <c r="J17" s="73"/>
      <c r="K17" s="307"/>
    </row>
    <row r="18" spans="2:11" x14ac:dyDescent="0.25">
      <c r="B18" s="317"/>
      <c r="C18" s="73"/>
      <c r="D18" s="307"/>
      <c r="I18" s="317"/>
      <c r="J18" s="73"/>
      <c r="K18" s="307"/>
    </row>
    <row r="19" spans="2:11" x14ac:dyDescent="0.25">
      <c r="B19" s="317"/>
      <c r="C19" s="73"/>
      <c r="D19" s="307"/>
      <c r="I19" s="317"/>
      <c r="J19" s="73"/>
      <c r="K19" s="307"/>
    </row>
    <row r="20" spans="2:11" x14ac:dyDescent="0.25">
      <c r="B20" s="318"/>
      <c r="C20" s="311"/>
      <c r="D20" s="312"/>
      <c r="I20" s="318"/>
      <c r="J20" s="311"/>
      <c r="K20" s="312"/>
    </row>
  </sheetData>
  <conditionalFormatting sqref="C4:C11">
    <cfRule type="cellIs" dxfId="33" priority="2" operator="greaterThan">
      <formula>0</formula>
    </cfRule>
  </conditionalFormatting>
  <conditionalFormatting sqref="J4:J9">
    <cfRule type="cellIs" dxfId="32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 tint="0.59999389629810485"/>
  </sheetPr>
  <dimension ref="A1:AI65"/>
  <sheetViews>
    <sheetView topLeftCell="A16" zoomScale="85" zoomScaleNormal="85" workbookViewId="0"/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1" customFormat="1" ht="18.75" x14ac:dyDescent="0.3">
      <c r="A1" s="113" t="s">
        <v>200</v>
      </c>
      <c r="B1" s="109"/>
      <c r="C1" s="109"/>
      <c r="D1" s="109"/>
      <c r="E1" s="109"/>
      <c r="F1" s="110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</row>
    <row r="2" spans="1:29" x14ac:dyDescent="0.25">
      <c r="L2" s="16"/>
      <c r="Q2"/>
    </row>
    <row r="3" spans="1:29" x14ac:dyDescent="0.25">
      <c r="A3" s="70"/>
      <c r="B3" s="71" t="s">
        <v>185</v>
      </c>
      <c r="C3" s="71" t="s">
        <v>186</v>
      </c>
      <c r="D3" s="71" t="s">
        <v>187</v>
      </c>
      <c r="E3" s="72" t="s">
        <v>188</v>
      </c>
      <c r="K3" s="4"/>
      <c r="L3" s="16"/>
      <c r="Q3"/>
    </row>
    <row r="4" spans="1:29" x14ac:dyDescent="0.25">
      <c r="A4" s="74" t="s">
        <v>177</v>
      </c>
      <c r="B4" s="223">
        <v>2021</v>
      </c>
      <c r="C4" s="223">
        <v>2023</v>
      </c>
      <c r="D4" s="224">
        <v>2021</v>
      </c>
      <c r="E4" s="224">
        <v>2021</v>
      </c>
      <c r="F4" s="6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16"/>
      <c r="P4" s="273"/>
      <c r="Q4"/>
    </row>
    <row r="5" spans="1:29" ht="18" x14ac:dyDescent="0.25">
      <c r="A5" s="74" t="s">
        <v>193</v>
      </c>
      <c r="B5" s="73"/>
      <c r="C5" s="73"/>
      <c r="D5" s="225">
        <v>1</v>
      </c>
      <c r="E5" s="226">
        <v>12</v>
      </c>
      <c r="F5" s="65"/>
      <c r="G5" s="64"/>
      <c r="K5" s="364"/>
      <c r="L5" s="365"/>
      <c r="M5" s="365"/>
      <c r="P5" s="272"/>
      <c r="Q5"/>
    </row>
    <row r="6" spans="1:29" x14ac:dyDescent="0.25">
      <c r="A6" s="75" t="s">
        <v>194</v>
      </c>
      <c r="B6" s="85">
        <f>DATE(B4,1,1)</f>
        <v>44197</v>
      </c>
      <c r="C6" s="85">
        <f>DATE(C4,1,1)</f>
        <v>44927</v>
      </c>
      <c r="D6" s="85">
        <f>DATE(D4,D5,1)</f>
        <v>44197</v>
      </c>
      <c r="E6" s="86">
        <f>DATE(E4,E5,1)</f>
        <v>44531</v>
      </c>
      <c r="K6" s="300"/>
      <c r="L6" s="366"/>
      <c r="M6" s="366"/>
    </row>
    <row r="7" spans="1:29" x14ac:dyDescent="0.25">
      <c r="A7" s="76"/>
      <c r="B7" s="77"/>
      <c r="C7" s="77"/>
      <c r="D7" s="77"/>
      <c r="E7" s="77"/>
    </row>
    <row r="8" spans="1:29" s="111" customFormat="1" ht="18.75" x14ac:dyDescent="0.3">
      <c r="A8" s="113" t="s">
        <v>110</v>
      </c>
      <c r="B8" s="109"/>
      <c r="C8" s="109"/>
      <c r="D8" s="109"/>
      <c r="E8" s="109"/>
      <c r="F8" s="110"/>
      <c r="G8" s="110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  <c r="X8" s="109"/>
      <c r="Y8" s="109"/>
      <c r="Z8" s="109"/>
      <c r="AA8" s="109"/>
      <c r="AB8" s="109"/>
      <c r="AC8" s="109"/>
    </row>
    <row r="9" spans="1:29" x14ac:dyDescent="0.25">
      <c r="L9" s="78"/>
      <c r="R9" s="16"/>
      <c r="S9" s="16"/>
      <c r="T9" s="16"/>
    </row>
    <row r="10" spans="1:29" x14ac:dyDescent="0.25">
      <c r="B10" s="1"/>
      <c r="C10" s="13" t="s">
        <v>68</v>
      </c>
      <c r="E10" s="14" t="s">
        <v>58</v>
      </c>
      <c r="F10" s="14" t="s">
        <v>58</v>
      </c>
      <c r="G10" s="14"/>
      <c r="H10" s="13" t="s">
        <v>73</v>
      </c>
      <c r="I10" s="14" t="s">
        <v>57</v>
      </c>
      <c r="J10" s="14" t="s">
        <v>57</v>
      </c>
      <c r="K10" s="15" t="s">
        <v>57</v>
      </c>
      <c r="L10" s="15"/>
      <c r="M10" s="14"/>
      <c r="N10" s="14" t="s">
        <v>56</v>
      </c>
      <c r="O10" s="296" t="s">
        <v>306</v>
      </c>
      <c r="P10" s="14"/>
      <c r="Q10"/>
      <c r="R10" s="17" t="s">
        <v>217</v>
      </c>
      <c r="T10" s="17"/>
      <c r="U10" s="6"/>
      <c r="V10" s="6" t="s">
        <v>66</v>
      </c>
      <c r="W10" s="6" t="s">
        <v>66</v>
      </c>
      <c r="X10" s="6" t="s">
        <v>230</v>
      </c>
      <c r="Y10" s="6" t="s">
        <v>231</v>
      </c>
      <c r="Z10" s="6" t="s">
        <v>59</v>
      </c>
      <c r="AA10" s="6" t="s">
        <v>59</v>
      </c>
      <c r="AB10" s="6" t="s">
        <v>232</v>
      </c>
      <c r="AC10" s="6" t="s">
        <v>217</v>
      </c>
    </row>
    <row r="11" spans="1:29" x14ac:dyDescent="0.25">
      <c r="A11" s="114" t="s">
        <v>234</v>
      </c>
      <c r="B11" s="115" t="s">
        <v>184</v>
      </c>
      <c r="C11" s="115" t="s">
        <v>247</v>
      </c>
      <c r="D11" s="115" t="s">
        <v>248</v>
      </c>
      <c r="E11" s="115" t="s">
        <v>83</v>
      </c>
      <c r="F11" s="115" t="s">
        <v>307</v>
      </c>
      <c r="G11" s="115" t="s">
        <v>309</v>
      </c>
      <c r="H11" s="115" t="s">
        <v>310</v>
      </c>
      <c r="I11" s="115" t="s">
        <v>315</v>
      </c>
      <c r="J11" s="115" t="s">
        <v>249</v>
      </c>
      <c r="K11" s="165" t="s">
        <v>314</v>
      </c>
      <c r="L11" s="165" t="s">
        <v>301</v>
      </c>
      <c r="M11" s="115" t="s">
        <v>250</v>
      </c>
      <c r="N11" s="115" t="s">
        <v>308</v>
      </c>
      <c r="O11" s="115" t="s">
        <v>305</v>
      </c>
      <c r="P11" s="14"/>
      <c r="Q11" s="268" t="s">
        <v>235</v>
      </c>
      <c r="R11" s="115" t="s">
        <v>184</v>
      </c>
      <c r="S11" s="115" t="s">
        <v>251</v>
      </c>
      <c r="T11" s="333" t="s">
        <v>324</v>
      </c>
      <c r="U11" s="115" t="s">
        <v>226</v>
      </c>
      <c r="V11" s="115" t="s">
        <v>227</v>
      </c>
      <c r="W11" s="115" t="s">
        <v>237</v>
      </c>
      <c r="X11" s="115" t="s">
        <v>228</v>
      </c>
      <c r="Y11" s="115" t="s">
        <v>233</v>
      </c>
      <c r="Z11" s="165" t="s">
        <v>236</v>
      </c>
      <c r="AA11" s="115" t="s">
        <v>261</v>
      </c>
      <c r="AB11" s="164" t="s">
        <v>229</v>
      </c>
      <c r="AC11" s="164" t="s">
        <v>262</v>
      </c>
    </row>
    <row r="12" spans="1:29" x14ac:dyDescent="0.25">
      <c r="A12" s="7" t="s">
        <v>77</v>
      </c>
      <c r="B12" s="368">
        <v>1</v>
      </c>
      <c r="C12" s="6">
        <v>1</v>
      </c>
      <c r="D12" s="205">
        <v>0</v>
      </c>
      <c r="E12" s="208">
        <v>8.5</v>
      </c>
      <c r="F12" s="208">
        <v>14.5</v>
      </c>
      <c r="G12" s="208">
        <v>2.2000000000000002</v>
      </c>
      <c r="H12" s="261">
        <f>I12/E12*3.6/M12</f>
        <v>4.7672149428491775</v>
      </c>
      <c r="I12" s="210">
        <v>9.5</v>
      </c>
      <c r="J12" s="286">
        <v>2</v>
      </c>
      <c r="M12" s="298">
        <v>0.84399999999999997</v>
      </c>
      <c r="N12" s="208">
        <v>30</v>
      </c>
      <c r="O12" s="208">
        <v>0.01</v>
      </c>
      <c r="P12" s="4"/>
      <c r="Q12" s="269" t="s">
        <v>224</v>
      </c>
      <c r="R12" s="237">
        <v>0</v>
      </c>
      <c r="S12" s="212">
        <v>1</v>
      </c>
      <c r="T12" s="339">
        <v>0</v>
      </c>
      <c r="U12" s="212">
        <v>0</v>
      </c>
      <c r="V12" s="213">
        <v>2000</v>
      </c>
      <c r="W12" s="213">
        <v>2000</v>
      </c>
      <c r="X12" s="212">
        <v>0</v>
      </c>
      <c r="Y12" s="212">
        <v>1</v>
      </c>
      <c r="Z12" s="212">
        <v>1</v>
      </c>
      <c r="AA12" s="212">
        <v>6</v>
      </c>
      <c r="AB12" s="212">
        <v>12</v>
      </c>
      <c r="AC12" s="214">
        <v>1</v>
      </c>
    </row>
    <row r="13" spans="1:29" x14ac:dyDescent="0.25">
      <c r="A13" s="7" t="s">
        <v>78</v>
      </c>
      <c r="B13" s="369">
        <v>1</v>
      </c>
      <c r="C13" s="6">
        <v>1</v>
      </c>
      <c r="D13" s="206">
        <v>10</v>
      </c>
      <c r="E13" s="209">
        <v>8.5</v>
      </c>
      <c r="F13" s="209">
        <v>14.5</v>
      </c>
      <c r="G13" s="209">
        <v>6.3</v>
      </c>
      <c r="H13" s="261">
        <v>12.4</v>
      </c>
      <c r="I13" s="211">
        <v>22.5</v>
      </c>
      <c r="J13" s="284">
        <v>5.5</v>
      </c>
      <c r="K13" s="284">
        <v>8</v>
      </c>
      <c r="L13" s="363">
        <v>0.22470000000000001</v>
      </c>
      <c r="M13" s="299">
        <v>0.65600000000000003</v>
      </c>
      <c r="N13" s="209">
        <v>50</v>
      </c>
      <c r="O13" s="209">
        <v>0.01</v>
      </c>
      <c r="P13" s="4"/>
      <c r="Q13" s="270" t="s">
        <v>225</v>
      </c>
      <c r="R13" s="238">
        <v>0</v>
      </c>
      <c r="S13" s="216">
        <v>1</v>
      </c>
      <c r="T13" s="340">
        <v>0</v>
      </c>
      <c r="U13" s="216">
        <v>0</v>
      </c>
      <c r="V13" s="217">
        <v>10000</v>
      </c>
      <c r="W13" s="217">
        <v>2000</v>
      </c>
      <c r="X13" s="216">
        <v>0</v>
      </c>
      <c r="Y13" s="216">
        <v>10</v>
      </c>
      <c r="Z13" s="216">
        <v>30</v>
      </c>
      <c r="AA13" s="216">
        <v>0</v>
      </c>
      <c r="AB13" s="216">
        <v>12</v>
      </c>
      <c r="AC13" s="218">
        <v>1</v>
      </c>
    </row>
    <row r="14" spans="1:29" x14ac:dyDescent="0.25">
      <c r="A14" s="7" t="s">
        <v>198</v>
      </c>
      <c r="B14" s="369">
        <v>1</v>
      </c>
      <c r="C14" s="6">
        <v>2</v>
      </c>
      <c r="D14" s="206">
        <v>0</v>
      </c>
      <c r="E14" s="81"/>
      <c r="F14" s="297"/>
      <c r="G14" s="297"/>
      <c r="H14" s="82"/>
      <c r="I14" s="211">
        <v>10.5</v>
      </c>
      <c r="J14" s="285">
        <v>0</v>
      </c>
      <c r="K14" s="81"/>
      <c r="L14" s="297"/>
      <c r="M14" s="303">
        <v>0.85</v>
      </c>
      <c r="N14" s="209">
        <v>25</v>
      </c>
      <c r="O14" s="209">
        <v>0.01</v>
      </c>
      <c r="P14" s="4"/>
      <c r="Q14" s="270"/>
      <c r="R14" s="215">
        <v>0</v>
      </c>
      <c r="S14" s="216"/>
      <c r="T14" s="340"/>
      <c r="U14" s="216"/>
      <c r="V14" s="217"/>
      <c r="W14" s="217"/>
      <c r="X14" s="216"/>
      <c r="Y14" s="216"/>
      <c r="Z14" s="216"/>
      <c r="AA14" s="216"/>
      <c r="AB14" s="216"/>
      <c r="AC14" s="218"/>
    </row>
    <row r="15" spans="1:29" x14ac:dyDescent="0.25">
      <c r="A15" s="7" t="s">
        <v>199</v>
      </c>
      <c r="B15" s="369">
        <v>1</v>
      </c>
      <c r="C15" s="6">
        <v>3</v>
      </c>
      <c r="D15" s="206">
        <v>9</v>
      </c>
      <c r="E15" s="83"/>
      <c r="F15" s="73"/>
      <c r="G15" s="73"/>
      <c r="H15" s="84"/>
      <c r="I15" s="211">
        <v>8</v>
      </c>
      <c r="J15" s="285">
        <v>0</v>
      </c>
      <c r="K15" s="83"/>
      <c r="L15" s="73"/>
      <c r="M15" s="303">
        <v>1</v>
      </c>
      <c r="N15" s="209">
        <v>5</v>
      </c>
      <c r="O15" s="209">
        <v>0.01</v>
      </c>
      <c r="P15" s="4"/>
      <c r="Q15" s="270"/>
      <c r="R15" s="215"/>
      <c r="S15" s="216"/>
      <c r="T15" s="340"/>
      <c r="U15" s="216"/>
      <c r="V15" s="217"/>
      <c r="W15" s="217"/>
      <c r="X15" s="216"/>
      <c r="Y15" s="216"/>
      <c r="Z15" s="216"/>
      <c r="AA15" s="216"/>
      <c r="AB15" s="216"/>
      <c r="AC15" s="218"/>
    </row>
    <row r="16" spans="1:29" x14ac:dyDescent="0.25">
      <c r="A16" s="7" t="s">
        <v>80</v>
      </c>
      <c r="B16" s="369">
        <v>1</v>
      </c>
      <c r="C16" s="6">
        <v>4</v>
      </c>
      <c r="D16" s="207"/>
      <c r="E16" s="73"/>
      <c r="F16" s="73"/>
      <c r="G16" s="73"/>
      <c r="H16" s="73"/>
      <c r="I16" s="211">
        <v>15</v>
      </c>
      <c r="J16" s="285">
        <v>0</v>
      </c>
      <c r="K16" s="83"/>
      <c r="L16" s="73"/>
      <c r="M16" s="303">
        <v>1</v>
      </c>
      <c r="N16" s="209">
        <v>10</v>
      </c>
      <c r="O16" s="209">
        <v>0.01</v>
      </c>
      <c r="P16" s="4"/>
      <c r="Q16" s="270"/>
      <c r="R16" s="215"/>
      <c r="S16" s="216"/>
      <c r="T16" s="340"/>
      <c r="U16" s="216"/>
      <c r="V16" s="217"/>
      <c r="W16" s="217"/>
      <c r="X16" s="216"/>
      <c r="Y16" s="216"/>
      <c r="Z16" s="216"/>
      <c r="AA16" s="216"/>
      <c r="AB16" s="216"/>
      <c r="AC16" s="218"/>
    </row>
    <row r="17" spans="1:35" x14ac:dyDescent="0.25">
      <c r="A17" s="7" t="s">
        <v>246</v>
      </c>
      <c r="B17" s="369">
        <v>1</v>
      </c>
      <c r="C17" s="6">
        <v>5</v>
      </c>
      <c r="D17" s="206">
        <v>0</v>
      </c>
      <c r="E17" s="83"/>
      <c r="F17" s="73"/>
      <c r="G17" s="73"/>
      <c r="H17" s="84"/>
      <c r="I17" s="211">
        <v>100</v>
      </c>
      <c r="J17" s="285">
        <v>0</v>
      </c>
      <c r="K17" s="83"/>
      <c r="L17" s="73"/>
      <c r="M17" s="303">
        <v>1</v>
      </c>
      <c r="N17" s="209">
        <v>10</v>
      </c>
      <c r="O17" s="209">
        <v>0.01</v>
      </c>
      <c r="P17" s="4"/>
      <c r="Q17" s="271"/>
      <c r="R17" s="219"/>
      <c r="S17" s="220"/>
      <c r="T17" s="341"/>
      <c r="U17" s="220"/>
      <c r="V17" s="221"/>
      <c r="W17" s="221"/>
      <c r="X17" s="220"/>
      <c r="Y17" s="220"/>
      <c r="Z17" s="220"/>
      <c r="AA17" s="220"/>
      <c r="AB17" s="220"/>
      <c r="AC17" s="222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1" customFormat="1" ht="18.75" x14ac:dyDescent="0.3">
      <c r="A19" s="113" t="s">
        <v>215</v>
      </c>
      <c r="B19" s="109"/>
      <c r="C19" s="109"/>
      <c r="D19" s="109"/>
      <c r="E19" s="109"/>
      <c r="F19" s="110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09"/>
      <c r="AA19" s="109"/>
      <c r="AB19" s="109"/>
      <c r="AC19" s="109"/>
    </row>
    <row r="20" spans="1:35" x14ac:dyDescent="0.25">
      <c r="A20" s="23"/>
      <c r="B20" s="23"/>
      <c r="C20" s="23"/>
      <c r="D20" s="23"/>
      <c r="M20" s="6"/>
      <c r="N20" s="6" t="s">
        <v>60</v>
      </c>
      <c r="O20" s="6" t="s">
        <v>60</v>
      </c>
      <c r="P20" s="6" t="s">
        <v>63</v>
      </c>
      <c r="Q20" s="6" t="s">
        <v>217</v>
      </c>
      <c r="R20" s="6" t="s">
        <v>97</v>
      </c>
      <c r="S20" s="6" t="s">
        <v>216</v>
      </c>
      <c r="T20" s="6" t="s">
        <v>54</v>
      </c>
      <c r="U20" s="22" t="s">
        <v>100</v>
      </c>
      <c r="V20" s="22" t="s">
        <v>266</v>
      </c>
      <c r="W20" s="22" t="s">
        <v>266</v>
      </c>
      <c r="X20" s="22" t="s">
        <v>265</v>
      </c>
      <c r="Y20" s="22" t="s">
        <v>204</v>
      </c>
      <c r="Z20" s="22" t="s">
        <v>54</v>
      </c>
      <c r="AA20" s="22" t="s">
        <v>54</v>
      </c>
      <c r="AB20" s="22" t="s">
        <v>205</v>
      </c>
      <c r="AC20" s="22" t="s">
        <v>205</v>
      </c>
    </row>
    <row r="21" spans="1:35" x14ac:dyDescent="0.25">
      <c r="A21" s="373" t="s">
        <v>108</v>
      </c>
      <c r="B21" s="374"/>
      <c r="C21" s="374"/>
      <c r="D21" s="374"/>
      <c r="E21" s="374"/>
      <c r="F21" s="375"/>
      <c r="G21" s="373" t="s">
        <v>99</v>
      </c>
      <c r="H21" s="374"/>
      <c r="I21" s="374"/>
      <c r="J21" s="374"/>
      <c r="K21" s="374"/>
      <c r="L21" s="374"/>
      <c r="M21" s="375"/>
      <c r="N21" s="370" t="s">
        <v>190</v>
      </c>
      <c r="O21" s="372"/>
      <c r="P21" s="324" t="s">
        <v>189</v>
      </c>
      <c r="Q21" s="325"/>
      <c r="R21" s="326"/>
      <c r="S21" s="370" t="s">
        <v>210</v>
      </c>
      <c r="T21" s="371"/>
      <c r="U21" s="371"/>
      <c r="V21" s="371"/>
      <c r="W21" s="371"/>
      <c r="X21" s="371"/>
      <c r="Y21" s="371"/>
      <c r="Z21" s="372"/>
      <c r="AA21" s="370" t="s">
        <v>211</v>
      </c>
      <c r="AB21" s="371"/>
      <c r="AC21" s="372"/>
      <c r="AD21" s="17"/>
      <c r="AE21" s="17"/>
      <c r="AF21" s="17"/>
      <c r="AG21" s="17"/>
      <c r="AH21" s="17"/>
    </row>
    <row r="22" spans="1:35" x14ac:dyDescent="0.25">
      <c r="A22" s="332" t="s">
        <v>96</v>
      </c>
      <c r="B22" s="332" t="s">
        <v>95</v>
      </c>
      <c r="C22" s="332" t="s">
        <v>94</v>
      </c>
      <c r="D22" s="115"/>
      <c r="E22" s="115" t="s">
        <v>184</v>
      </c>
      <c r="F22" s="115" t="s">
        <v>140</v>
      </c>
      <c r="G22" s="115" t="str" cm="1">
        <f t="array" ref="G22:K22">TRANSPOSE(A12:A16)</f>
        <v>Ovn2</v>
      </c>
      <c r="H22" s="115" t="str">
        <v>Ovn3</v>
      </c>
      <c r="I22" s="115" t="str">
        <v>FlisK</v>
      </c>
      <c r="J22" s="115" t="str">
        <v>NS</v>
      </c>
      <c r="K22" s="115" t="str">
        <v>Cooler</v>
      </c>
      <c r="L22" s="115" t="s">
        <v>246</v>
      </c>
      <c r="M22" s="115" t="s">
        <v>326</v>
      </c>
      <c r="N22" s="115" t="s">
        <v>181</v>
      </c>
      <c r="O22" s="115" t="s">
        <v>61</v>
      </c>
      <c r="P22" s="333" t="s">
        <v>62</v>
      </c>
      <c r="Q22" s="165" t="s">
        <v>312</v>
      </c>
      <c r="R22" s="115" t="s">
        <v>98</v>
      </c>
      <c r="S22" s="115" t="s">
        <v>178</v>
      </c>
      <c r="T22" s="115" t="s">
        <v>179</v>
      </c>
      <c r="U22" s="115" t="s">
        <v>180</v>
      </c>
      <c r="V22" s="115" t="s">
        <v>191</v>
      </c>
      <c r="W22" s="115" t="s">
        <v>268</v>
      </c>
      <c r="X22" s="115" t="s">
        <v>267</v>
      </c>
      <c r="Y22" s="115" t="s">
        <v>208</v>
      </c>
      <c r="Z22" s="115" t="s">
        <v>209</v>
      </c>
      <c r="AA22" s="115" t="s">
        <v>206</v>
      </c>
      <c r="AB22" s="115" t="s">
        <v>192</v>
      </c>
      <c r="AC22" s="115" t="s">
        <v>207</v>
      </c>
      <c r="AD22" s="12"/>
      <c r="AE22" s="87" t="s">
        <v>178</v>
      </c>
      <c r="AF22" s="18"/>
      <c r="AG22" s="18"/>
      <c r="AH22" s="18"/>
      <c r="AI22" s="18"/>
    </row>
    <row r="23" spans="1:35" x14ac:dyDescent="0.25">
      <c r="A23" s="88">
        <f t="shared" ref="A23:A58" si="0">$B$4+INT((ROW(A23)-ROW($A$23))/12)</f>
        <v>2021</v>
      </c>
      <c r="B23" s="88">
        <f>MOD(ROW(B23)-ROW(B$23),12)+1</f>
        <v>1</v>
      </c>
      <c r="C23" s="89">
        <f t="shared" ref="C23:C58" si="1">DATE($A23,B23,1)</f>
        <v>44197</v>
      </c>
      <c r="D23" s="90" t="s">
        <v>141</v>
      </c>
      <c r="E23" s="156">
        <f t="shared" ref="E23:E58" si="2">_xlfn.LET(_xlpm.d,DATE(A23,B23,1),IF(AND(_xlpm.d&gt;=PerStart,_xlpm.d&lt;=PerSlut),1,0))</f>
        <v>1</v>
      </c>
      <c r="F23" s="88">
        <f t="shared" ref="F23:F57" si="3">IF(B23=12,31,_xlfn.DAYS(C24,C23))</f>
        <v>31</v>
      </c>
      <c r="G23" s="227">
        <f t="shared" ref="G23:G28" si="4">$F23</f>
        <v>31</v>
      </c>
      <c r="H23" s="227">
        <f t="shared" ref="H23:I38" si="5">$F23</f>
        <v>31</v>
      </c>
      <c r="I23" s="227">
        <f t="shared" si="5"/>
        <v>31</v>
      </c>
      <c r="J23" s="163">
        <f t="shared" ref="J23:J58" si="6">O23/$I$15/24</f>
        <v>20.833333333333332</v>
      </c>
      <c r="K23" s="227">
        <f>$F23</f>
        <v>31</v>
      </c>
      <c r="L23" s="227">
        <f>$F23</f>
        <v>31</v>
      </c>
      <c r="M23" s="163">
        <f>IF(H23&lt;F23,H23,F23)</f>
        <v>31</v>
      </c>
      <c r="N23" s="287">
        <v>35300</v>
      </c>
      <c r="O23" s="287">
        <v>4000</v>
      </c>
      <c r="P23" s="327">
        <v>4076.9</v>
      </c>
      <c r="Q23" s="156">
        <v>1</v>
      </c>
      <c r="R23" s="288">
        <v>378.33708333333323</v>
      </c>
      <c r="S23" s="229">
        <f>55*7.45</f>
        <v>409.75</v>
      </c>
      <c r="T23" s="291">
        <v>25.8</v>
      </c>
      <c r="U23" s="291">
        <v>31.8</v>
      </c>
      <c r="V23" s="291">
        <v>37</v>
      </c>
      <c r="W23" s="291">
        <v>37</v>
      </c>
      <c r="X23" s="291">
        <v>178.5</v>
      </c>
      <c r="Y23" s="291">
        <v>5.3</v>
      </c>
      <c r="Z23" s="231">
        <f>0.5</f>
        <v>0.5</v>
      </c>
      <c r="AA23" s="232">
        <v>62.37</v>
      </c>
      <c r="AB23" s="231">
        <f>0.565/0.83*1000</f>
        <v>680.72289156626493</v>
      </c>
      <c r="AC23" s="231">
        <f>0.009/0.83*1000</f>
        <v>10.843373493975903</v>
      </c>
      <c r="AD23" s="9">
        <v>378.33708333333323</v>
      </c>
      <c r="AE23" s="229">
        <v>265.64662500000003</v>
      </c>
      <c r="AF23" s="16"/>
      <c r="AG23" s="16"/>
      <c r="AH23" s="16"/>
      <c r="AI23" s="16"/>
    </row>
    <row r="24" spans="1:35" x14ac:dyDescent="0.25">
      <c r="A24" s="88">
        <f t="shared" si="0"/>
        <v>2021</v>
      </c>
      <c r="B24" s="88">
        <f t="shared" ref="B24:B34" si="7">MOD(ROW(B24)-ROW(B$23),12)+1</f>
        <v>2</v>
      </c>
      <c r="C24" s="89">
        <f t="shared" si="1"/>
        <v>44228</v>
      </c>
      <c r="D24" s="90" t="s">
        <v>142</v>
      </c>
      <c r="E24" s="155">
        <f t="shared" si="2"/>
        <v>1</v>
      </c>
      <c r="F24" s="88">
        <f t="shared" si="3"/>
        <v>28</v>
      </c>
      <c r="G24" s="227">
        <f t="shared" si="4"/>
        <v>28</v>
      </c>
      <c r="H24" s="227">
        <f t="shared" si="5"/>
        <v>28</v>
      </c>
      <c r="I24" s="227">
        <f t="shared" si="5"/>
        <v>28</v>
      </c>
      <c r="J24" s="161">
        <f t="shared" si="6"/>
        <v>0</v>
      </c>
      <c r="K24" s="227">
        <f t="shared" ref="K24:L39" si="8">$F24</f>
        <v>28</v>
      </c>
      <c r="L24" s="227">
        <f t="shared" si="8"/>
        <v>28</v>
      </c>
      <c r="M24" s="161">
        <f>IF(H24&lt;F24,H24,F24)</f>
        <v>28</v>
      </c>
      <c r="N24" s="287">
        <v>32000</v>
      </c>
      <c r="O24" s="287">
        <v>0</v>
      </c>
      <c r="P24" s="327">
        <v>4120.58</v>
      </c>
      <c r="Q24" s="155">
        <v>0</v>
      </c>
      <c r="R24" s="288">
        <v>356.0961527777776</v>
      </c>
      <c r="S24" s="229">
        <f t="shared" ref="S24:S34" si="9">55*7.45</f>
        <v>409.75</v>
      </c>
      <c r="T24" s="291">
        <v>25.8</v>
      </c>
      <c r="U24" s="291">
        <v>31.8</v>
      </c>
      <c r="V24" s="291">
        <v>37</v>
      </c>
      <c r="W24" s="291">
        <v>37</v>
      </c>
      <c r="X24" s="291">
        <v>178.5</v>
      </c>
      <c r="Y24" s="291">
        <v>5.3</v>
      </c>
      <c r="Z24" s="231">
        <f t="shared" ref="Z24:Z58" si="10">0.5</f>
        <v>0.5</v>
      </c>
      <c r="AA24" s="232">
        <v>62.37</v>
      </c>
      <c r="AB24" s="231">
        <f t="shared" ref="AB24:AB58" si="11">0.565/0.83*1000</f>
        <v>680.72289156626493</v>
      </c>
      <c r="AC24" s="231">
        <f t="shared" ref="AC24:AC58" si="12">0.009/0.83*1000</f>
        <v>10.843373493975903</v>
      </c>
      <c r="AD24" s="9">
        <v>356.0961527777776</v>
      </c>
      <c r="AE24" s="229">
        <v>298.42762500000003</v>
      </c>
      <c r="AF24" s="16"/>
      <c r="AG24" s="16"/>
      <c r="AH24" s="16"/>
      <c r="AI24" s="16"/>
    </row>
    <row r="25" spans="1:35" x14ac:dyDescent="0.25">
      <c r="A25" s="88">
        <f t="shared" si="0"/>
        <v>2021</v>
      </c>
      <c r="B25" s="88">
        <f t="shared" si="7"/>
        <v>3</v>
      </c>
      <c r="C25" s="89">
        <f t="shared" si="1"/>
        <v>44256</v>
      </c>
      <c r="D25" s="90" t="s">
        <v>143</v>
      </c>
      <c r="E25" s="155">
        <f t="shared" si="2"/>
        <v>1</v>
      </c>
      <c r="F25" s="88">
        <f t="shared" si="3"/>
        <v>31</v>
      </c>
      <c r="G25" s="227">
        <f t="shared" si="4"/>
        <v>31</v>
      </c>
      <c r="H25" s="227">
        <f t="shared" si="5"/>
        <v>31</v>
      </c>
      <c r="I25" s="227">
        <f t="shared" si="5"/>
        <v>31</v>
      </c>
      <c r="J25" s="161">
        <f t="shared" si="6"/>
        <v>0</v>
      </c>
      <c r="K25" s="227">
        <f t="shared" si="8"/>
        <v>31</v>
      </c>
      <c r="L25" s="227">
        <f t="shared" si="8"/>
        <v>31</v>
      </c>
      <c r="M25" s="161">
        <f>IF(H25&lt;F25,H25,F25)</f>
        <v>31</v>
      </c>
      <c r="N25" s="287">
        <v>29500</v>
      </c>
      <c r="O25" s="287">
        <v>0</v>
      </c>
      <c r="P25" s="327">
        <v>4939.28</v>
      </c>
      <c r="Q25" s="155">
        <v>1</v>
      </c>
      <c r="R25" s="288">
        <v>347.18100806451616</v>
      </c>
      <c r="S25" s="229">
        <f t="shared" si="9"/>
        <v>409.75</v>
      </c>
      <c r="T25" s="291">
        <v>25.8</v>
      </c>
      <c r="U25" s="291">
        <v>31.8</v>
      </c>
      <c r="V25" s="291">
        <v>37</v>
      </c>
      <c r="W25" s="291">
        <v>37</v>
      </c>
      <c r="X25" s="291">
        <v>178.5</v>
      </c>
      <c r="Y25" s="291">
        <v>5.3</v>
      </c>
      <c r="Z25" s="231">
        <f t="shared" si="10"/>
        <v>0.5</v>
      </c>
      <c r="AA25" s="232">
        <v>62.37</v>
      </c>
      <c r="AB25" s="231">
        <f t="shared" si="11"/>
        <v>680.72289156626493</v>
      </c>
      <c r="AC25" s="231">
        <f t="shared" si="12"/>
        <v>10.843373493975903</v>
      </c>
      <c r="AD25" s="9">
        <v>347.18100806451616</v>
      </c>
      <c r="AE25" s="229">
        <v>334.72087500000004</v>
      </c>
      <c r="AF25" s="16"/>
      <c r="AG25" s="16"/>
      <c r="AH25" s="16"/>
      <c r="AI25" s="16"/>
    </row>
    <row r="26" spans="1:35" x14ac:dyDescent="0.25">
      <c r="A26" s="88">
        <f t="shared" si="0"/>
        <v>2021</v>
      </c>
      <c r="B26" s="88">
        <f t="shared" si="7"/>
        <v>4</v>
      </c>
      <c r="C26" s="89">
        <f t="shared" si="1"/>
        <v>44287</v>
      </c>
      <c r="D26" s="90" t="s">
        <v>144</v>
      </c>
      <c r="E26" s="155">
        <f t="shared" si="2"/>
        <v>1</v>
      </c>
      <c r="F26" s="88">
        <f t="shared" si="3"/>
        <v>30</v>
      </c>
      <c r="G26" s="227">
        <f t="shared" si="4"/>
        <v>30</v>
      </c>
      <c r="H26" s="227">
        <f t="shared" si="5"/>
        <v>30</v>
      </c>
      <c r="I26" s="227">
        <f t="shared" si="5"/>
        <v>30</v>
      </c>
      <c r="J26" s="161">
        <f t="shared" si="6"/>
        <v>0</v>
      </c>
      <c r="K26" s="227">
        <f t="shared" si="8"/>
        <v>30</v>
      </c>
      <c r="L26" s="227">
        <f t="shared" si="8"/>
        <v>30</v>
      </c>
      <c r="M26" s="161">
        <f>IF(H26&lt;F26,H26,F26)</f>
        <v>30</v>
      </c>
      <c r="N26" s="287">
        <v>20000</v>
      </c>
      <c r="O26" s="287">
        <v>0</v>
      </c>
      <c r="P26" s="327">
        <v>4131.42</v>
      </c>
      <c r="Q26" s="155">
        <v>1</v>
      </c>
      <c r="R26" s="288">
        <v>356.0961527777776</v>
      </c>
      <c r="S26" s="229">
        <f t="shared" si="9"/>
        <v>409.75</v>
      </c>
      <c r="T26" s="291">
        <v>25.8</v>
      </c>
      <c r="U26" s="291">
        <v>31.8</v>
      </c>
      <c r="V26" s="291">
        <v>37</v>
      </c>
      <c r="W26" s="291">
        <v>37</v>
      </c>
      <c r="X26" s="291">
        <v>178.5</v>
      </c>
      <c r="Y26" s="291">
        <v>5.3</v>
      </c>
      <c r="Z26" s="231">
        <f t="shared" si="10"/>
        <v>0.5</v>
      </c>
      <c r="AA26" s="232">
        <v>62.37</v>
      </c>
      <c r="AB26" s="231">
        <f t="shared" si="11"/>
        <v>680.72289156626493</v>
      </c>
      <c r="AC26" s="231">
        <f t="shared" si="12"/>
        <v>10.843373493975903</v>
      </c>
      <c r="AD26" s="9">
        <v>356.0961527777776</v>
      </c>
      <c r="AE26" s="229">
        <v>369.84337500000004</v>
      </c>
      <c r="AF26" s="16"/>
      <c r="AG26" s="16"/>
      <c r="AH26" s="16"/>
      <c r="AI26" s="16"/>
    </row>
    <row r="27" spans="1:35" x14ac:dyDescent="0.25">
      <c r="A27" s="88">
        <f t="shared" si="0"/>
        <v>2021</v>
      </c>
      <c r="B27" s="88">
        <f t="shared" si="7"/>
        <v>5</v>
      </c>
      <c r="C27" s="89">
        <f t="shared" si="1"/>
        <v>44317</v>
      </c>
      <c r="D27" s="90" t="s">
        <v>145</v>
      </c>
      <c r="E27" s="155">
        <f t="shared" si="2"/>
        <v>1</v>
      </c>
      <c r="F27" s="88">
        <f t="shared" si="3"/>
        <v>31</v>
      </c>
      <c r="G27" s="227">
        <f t="shared" si="4"/>
        <v>31</v>
      </c>
      <c r="H27" s="227">
        <f t="shared" si="5"/>
        <v>31</v>
      </c>
      <c r="I27" s="227">
        <f t="shared" si="5"/>
        <v>31</v>
      </c>
      <c r="J27" s="161">
        <f t="shared" si="6"/>
        <v>0</v>
      </c>
      <c r="K27" s="227">
        <f t="shared" si="8"/>
        <v>31</v>
      </c>
      <c r="L27" s="227">
        <f t="shared" si="8"/>
        <v>31</v>
      </c>
      <c r="M27" s="161">
        <f>IF(H27&lt;F27,H27,F27)</f>
        <v>31</v>
      </c>
      <c r="N27" s="287">
        <v>13000</v>
      </c>
      <c r="O27" s="287">
        <v>0</v>
      </c>
      <c r="P27" s="327">
        <v>2587.7199999999998</v>
      </c>
      <c r="Q27" s="155">
        <v>1</v>
      </c>
      <c r="R27" s="288">
        <v>410.46177419354831</v>
      </c>
      <c r="S27" s="229">
        <f t="shared" si="9"/>
        <v>409.75</v>
      </c>
      <c r="T27" s="291">
        <v>25.8</v>
      </c>
      <c r="U27" s="291">
        <v>31.8</v>
      </c>
      <c r="V27" s="291">
        <v>37</v>
      </c>
      <c r="W27" s="291">
        <v>37</v>
      </c>
      <c r="X27" s="291">
        <v>178.5</v>
      </c>
      <c r="Y27" s="291">
        <v>5.3</v>
      </c>
      <c r="Z27" s="231">
        <f t="shared" si="10"/>
        <v>0.5</v>
      </c>
      <c r="AA27" s="232">
        <v>62.37</v>
      </c>
      <c r="AB27" s="231">
        <f t="shared" si="11"/>
        <v>680.72289156626493</v>
      </c>
      <c r="AC27" s="231">
        <f t="shared" si="12"/>
        <v>10.843373493975903</v>
      </c>
      <c r="AD27" s="9">
        <v>410.46177419354831</v>
      </c>
      <c r="AE27" s="229">
        <v>406.13662500000004</v>
      </c>
      <c r="AF27" s="16"/>
      <c r="AG27" s="16"/>
      <c r="AH27" s="16"/>
      <c r="AI27" s="16"/>
    </row>
    <row r="28" spans="1:35" x14ac:dyDescent="0.25">
      <c r="A28" s="88">
        <f t="shared" si="0"/>
        <v>2021</v>
      </c>
      <c r="B28" s="88">
        <f t="shared" si="7"/>
        <v>6</v>
      </c>
      <c r="C28" s="89">
        <f t="shared" si="1"/>
        <v>44348</v>
      </c>
      <c r="D28" s="90" t="s">
        <v>146</v>
      </c>
      <c r="E28" s="155">
        <f t="shared" si="2"/>
        <v>1</v>
      </c>
      <c r="F28" s="88">
        <f t="shared" si="3"/>
        <v>30</v>
      </c>
      <c r="G28" s="227">
        <f t="shared" si="4"/>
        <v>30</v>
      </c>
      <c r="H28" s="227">
        <v>5</v>
      </c>
      <c r="I28" s="227">
        <f t="shared" si="5"/>
        <v>30</v>
      </c>
      <c r="J28" s="161">
        <f t="shared" si="6"/>
        <v>0</v>
      </c>
      <c r="K28" s="227">
        <f t="shared" si="8"/>
        <v>30</v>
      </c>
      <c r="L28" s="227">
        <f t="shared" si="8"/>
        <v>30</v>
      </c>
      <c r="M28" s="161">
        <f>P28/7.5/24</f>
        <v>3.5676666666666663</v>
      </c>
      <c r="N28" s="287">
        <v>7500</v>
      </c>
      <c r="O28" s="287">
        <v>0</v>
      </c>
      <c r="P28" s="327">
        <v>642.17999999999995</v>
      </c>
      <c r="Q28" s="155">
        <v>1</v>
      </c>
      <c r="R28" s="288">
        <v>547.42162499999972</v>
      </c>
      <c r="S28" s="229">
        <f t="shared" si="9"/>
        <v>409.75</v>
      </c>
      <c r="T28" s="291">
        <v>25.8</v>
      </c>
      <c r="U28" s="291">
        <v>31.8</v>
      </c>
      <c r="V28" s="291">
        <v>37</v>
      </c>
      <c r="W28" s="291">
        <v>37</v>
      </c>
      <c r="X28" s="291">
        <v>178.5</v>
      </c>
      <c r="Y28" s="291">
        <v>5.3</v>
      </c>
      <c r="Z28" s="231">
        <f t="shared" si="10"/>
        <v>0.5</v>
      </c>
      <c r="AA28" s="232">
        <v>62.37</v>
      </c>
      <c r="AB28" s="231">
        <f t="shared" si="11"/>
        <v>680.72289156626493</v>
      </c>
      <c r="AC28" s="231">
        <f t="shared" si="12"/>
        <v>10.843373493975903</v>
      </c>
      <c r="AD28" s="9">
        <v>547.42162499999972</v>
      </c>
      <c r="AE28" s="229">
        <v>441.25912500000004</v>
      </c>
      <c r="AF28" s="16"/>
      <c r="AG28" s="16"/>
      <c r="AH28" s="16"/>
      <c r="AI28" s="16"/>
    </row>
    <row r="29" spans="1:35" x14ac:dyDescent="0.25">
      <c r="A29" s="88">
        <f t="shared" si="0"/>
        <v>2021</v>
      </c>
      <c r="B29" s="88">
        <f t="shared" si="7"/>
        <v>7</v>
      </c>
      <c r="C29" s="89">
        <f t="shared" si="1"/>
        <v>44378</v>
      </c>
      <c r="D29" s="90" t="s">
        <v>147</v>
      </c>
      <c r="E29" s="155">
        <f t="shared" si="2"/>
        <v>1</v>
      </c>
      <c r="F29" s="88">
        <f t="shared" si="3"/>
        <v>31</v>
      </c>
      <c r="G29" s="227">
        <f>F29-3*7</f>
        <v>10</v>
      </c>
      <c r="H29" s="227">
        <f t="shared" si="5"/>
        <v>31</v>
      </c>
      <c r="I29" s="227">
        <f t="shared" si="5"/>
        <v>31</v>
      </c>
      <c r="J29" s="161">
        <f t="shared" si="6"/>
        <v>0</v>
      </c>
      <c r="K29" s="227">
        <f t="shared" si="8"/>
        <v>31</v>
      </c>
      <c r="L29" s="227">
        <f t="shared" si="8"/>
        <v>31</v>
      </c>
      <c r="M29" s="161">
        <f>P29/7.5/24</f>
        <v>0.43333333333333335</v>
      </c>
      <c r="N29" s="287">
        <v>7500</v>
      </c>
      <c r="O29" s="287">
        <v>0</v>
      </c>
      <c r="P29" s="327">
        <v>78</v>
      </c>
      <c r="Q29" s="155">
        <v>1</v>
      </c>
      <c r="R29" s="288">
        <v>605.37407258064457</v>
      </c>
      <c r="S29" s="229">
        <f t="shared" si="9"/>
        <v>409.75</v>
      </c>
      <c r="T29" s="291">
        <v>25.8</v>
      </c>
      <c r="U29" s="291">
        <v>31.8</v>
      </c>
      <c r="V29" s="291">
        <v>37</v>
      </c>
      <c r="W29" s="291">
        <v>37</v>
      </c>
      <c r="X29" s="291">
        <v>178.5</v>
      </c>
      <c r="Y29" s="291">
        <v>5.3</v>
      </c>
      <c r="Z29" s="231">
        <f t="shared" si="10"/>
        <v>0.5</v>
      </c>
      <c r="AA29" s="232">
        <v>62.37</v>
      </c>
      <c r="AB29" s="231">
        <f t="shared" si="11"/>
        <v>680.72289156626493</v>
      </c>
      <c r="AC29" s="231">
        <f t="shared" si="12"/>
        <v>10.843373493975903</v>
      </c>
      <c r="AD29" s="9">
        <v>605.37407258064457</v>
      </c>
      <c r="AE29" s="229">
        <v>477.55237500000004</v>
      </c>
      <c r="AF29" s="16"/>
      <c r="AG29" s="16"/>
      <c r="AH29" s="16"/>
      <c r="AI29" s="16"/>
    </row>
    <row r="30" spans="1:35" x14ac:dyDescent="0.25">
      <c r="A30" s="88">
        <f t="shared" si="0"/>
        <v>2021</v>
      </c>
      <c r="B30" s="88">
        <f t="shared" si="7"/>
        <v>8</v>
      </c>
      <c r="C30" s="89">
        <f t="shared" si="1"/>
        <v>44409</v>
      </c>
      <c r="D30" s="90" t="s">
        <v>148</v>
      </c>
      <c r="E30" s="155">
        <f t="shared" si="2"/>
        <v>1</v>
      </c>
      <c r="F30" s="88">
        <f t="shared" si="3"/>
        <v>31</v>
      </c>
      <c r="G30" s="227">
        <f>F30-3*7</f>
        <v>10</v>
      </c>
      <c r="H30" s="227">
        <f t="shared" si="5"/>
        <v>31</v>
      </c>
      <c r="I30" s="227">
        <f t="shared" si="5"/>
        <v>31</v>
      </c>
      <c r="J30" s="161">
        <f t="shared" si="6"/>
        <v>0</v>
      </c>
      <c r="K30" s="227">
        <f t="shared" si="8"/>
        <v>31</v>
      </c>
      <c r="L30" s="227">
        <f t="shared" si="8"/>
        <v>31</v>
      </c>
      <c r="M30" s="161">
        <f>P30/7.5/24</f>
        <v>1.4472222222222222</v>
      </c>
      <c r="N30" s="287">
        <v>7000</v>
      </c>
      <c r="O30" s="287">
        <v>0</v>
      </c>
      <c r="P30" s="327">
        <v>260.5</v>
      </c>
      <c r="Q30" s="155">
        <v>1</v>
      </c>
      <c r="R30" s="288">
        <v>627.85237903225811</v>
      </c>
      <c r="S30" s="229">
        <f t="shared" si="9"/>
        <v>409.75</v>
      </c>
      <c r="T30" s="291">
        <v>25.8</v>
      </c>
      <c r="U30" s="291">
        <v>31.8</v>
      </c>
      <c r="V30" s="291">
        <v>37</v>
      </c>
      <c r="W30" s="291">
        <v>37</v>
      </c>
      <c r="X30" s="291">
        <v>178.5</v>
      </c>
      <c r="Y30" s="291">
        <v>5.3</v>
      </c>
      <c r="Z30" s="231">
        <f t="shared" si="10"/>
        <v>0.5</v>
      </c>
      <c r="AA30" s="232">
        <v>62.37</v>
      </c>
      <c r="AB30" s="231">
        <f t="shared" si="11"/>
        <v>680.72289156626493</v>
      </c>
      <c r="AC30" s="231">
        <f t="shared" si="12"/>
        <v>10.843373493975903</v>
      </c>
      <c r="AD30" s="9">
        <v>627.85237903225811</v>
      </c>
      <c r="AE30" s="229">
        <v>513.84562500000004</v>
      </c>
      <c r="AF30" s="16"/>
      <c r="AG30" s="16"/>
      <c r="AH30" s="16"/>
      <c r="AI30" s="16"/>
    </row>
    <row r="31" spans="1:35" x14ac:dyDescent="0.25">
      <c r="A31" s="88">
        <f t="shared" si="0"/>
        <v>2021</v>
      </c>
      <c r="B31" s="88">
        <f t="shared" si="7"/>
        <v>9</v>
      </c>
      <c r="C31" s="89">
        <f t="shared" si="1"/>
        <v>44440</v>
      </c>
      <c r="D31" s="90" t="s">
        <v>149</v>
      </c>
      <c r="E31" s="155">
        <f t="shared" si="2"/>
        <v>1</v>
      </c>
      <c r="F31" s="88">
        <f t="shared" si="3"/>
        <v>30</v>
      </c>
      <c r="G31" s="227">
        <f>$F31</f>
        <v>30</v>
      </c>
      <c r="H31" s="227">
        <f t="shared" si="5"/>
        <v>30</v>
      </c>
      <c r="I31" s="227">
        <f t="shared" si="5"/>
        <v>30</v>
      </c>
      <c r="J31" s="161">
        <f t="shared" si="6"/>
        <v>0</v>
      </c>
      <c r="K31" s="227">
        <f t="shared" si="8"/>
        <v>30</v>
      </c>
      <c r="L31" s="227">
        <f t="shared" si="8"/>
        <v>30</v>
      </c>
      <c r="M31" s="161">
        <f>IF(H31&lt;F31,H31,F31)</f>
        <v>30</v>
      </c>
      <c r="N31" s="287">
        <v>8000</v>
      </c>
      <c r="O31" s="287">
        <v>0</v>
      </c>
      <c r="P31" s="327">
        <v>4821.5600000000004</v>
      </c>
      <c r="Q31" s="155">
        <v>1</v>
      </c>
      <c r="R31" s="288">
        <v>920.7574305555554</v>
      </c>
      <c r="S31" s="229">
        <f t="shared" si="9"/>
        <v>409.75</v>
      </c>
      <c r="T31" s="291">
        <v>25.8</v>
      </c>
      <c r="U31" s="291">
        <v>31.8</v>
      </c>
      <c r="V31" s="291">
        <v>37</v>
      </c>
      <c r="W31" s="291">
        <v>37</v>
      </c>
      <c r="X31" s="291">
        <v>178.5</v>
      </c>
      <c r="Y31" s="291">
        <v>5.3</v>
      </c>
      <c r="Z31" s="231">
        <f t="shared" si="10"/>
        <v>0.5</v>
      </c>
      <c r="AA31" s="232">
        <v>62.37</v>
      </c>
      <c r="AB31" s="231">
        <f t="shared" si="11"/>
        <v>680.72289156626493</v>
      </c>
      <c r="AC31" s="231">
        <f t="shared" si="12"/>
        <v>10.843373493975903</v>
      </c>
      <c r="AD31" s="9">
        <v>920.7574305555554</v>
      </c>
      <c r="AE31" s="229">
        <v>548.9681250000001</v>
      </c>
      <c r="AF31" s="16"/>
      <c r="AG31" s="16"/>
      <c r="AH31" s="16"/>
      <c r="AI31" s="16"/>
    </row>
    <row r="32" spans="1:35" x14ac:dyDescent="0.25">
      <c r="A32" s="88">
        <f t="shared" si="0"/>
        <v>2021</v>
      </c>
      <c r="B32" s="88">
        <f t="shared" si="7"/>
        <v>10</v>
      </c>
      <c r="C32" s="89">
        <f t="shared" si="1"/>
        <v>44470</v>
      </c>
      <c r="D32" s="90" t="s">
        <v>150</v>
      </c>
      <c r="E32" s="155">
        <f t="shared" si="2"/>
        <v>1</v>
      </c>
      <c r="F32" s="88">
        <f t="shared" si="3"/>
        <v>31</v>
      </c>
      <c r="G32" s="227">
        <f>$F32</f>
        <v>31</v>
      </c>
      <c r="H32" s="227">
        <f t="shared" si="5"/>
        <v>31</v>
      </c>
      <c r="I32" s="227">
        <f t="shared" si="5"/>
        <v>31</v>
      </c>
      <c r="J32" s="161">
        <f t="shared" si="6"/>
        <v>0</v>
      </c>
      <c r="K32" s="227">
        <f t="shared" si="8"/>
        <v>31</v>
      </c>
      <c r="L32" s="227">
        <f t="shared" si="8"/>
        <v>31</v>
      </c>
      <c r="M32" s="161">
        <f t="shared" ref="M32:M58" si="13">IF(H32&lt;F32,H32,F32)</f>
        <v>31</v>
      </c>
      <c r="N32" s="287">
        <v>19700</v>
      </c>
      <c r="O32" s="287">
        <v>0</v>
      </c>
      <c r="P32" s="327">
        <v>4868.74</v>
      </c>
      <c r="Q32" s="155">
        <v>1</v>
      </c>
      <c r="R32" s="288">
        <v>794.33760752688215</v>
      </c>
      <c r="S32" s="229">
        <f t="shared" si="9"/>
        <v>409.75</v>
      </c>
      <c r="T32" s="291">
        <v>25.8</v>
      </c>
      <c r="U32" s="291">
        <v>31.8</v>
      </c>
      <c r="V32" s="291">
        <v>37</v>
      </c>
      <c r="W32" s="291">
        <v>37</v>
      </c>
      <c r="X32" s="291">
        <v>178.5</v>
      </c>
      <c r="Y32" s="291">
        <v>5.3</v>
      </c>
      <c r="Z32" s="231">
        <f t="shared" si="10"/>
        <v>0.5</v>
      </c>
      <c r="AA32" s="232">
        <v>62.37</v>
      </c>
      <c r="AB32" s="231">
        <f t="shared" si="11"/>
        <v>680.72289156626493</v>
      </c>
      <c r="AC32" s="231">
        <f t="shared" si="12"/>
        <v>10.843373493975903</v>
      </c>
      <c r="AD32" s="9">
        <v>794.33760752688215</v>
      </c>
      <c r="AE32" s="229">
        <v>585.26137500000004</v>
      </c>
      <c r="AF32" s="16"/>
      <c r="AG32" s="16"/>
      <c r="AH32" s="16"/>
      <c r="AI32" s="16"/>
    </row>
    <row r="33" spans="1:35" x14ac:dyDescent="0.25">
      <c r="A33" s="88">
        <f t="shared" si="0"/>
        <v>2021</v>
      </c>
      <c r="B33" s="88">
        <f t="shared" si="7"/>
        <v>11</v>
      </c>
      <c r="C33" s="89">
        <f t="shared" si="1"/>
        <v>44501</v>
      </c>
      <c r="D33" s="90" t="s">
        <v>151</v>
      </c>
      <c r="E33" s="155">
        <f t="shared" si="2"/>
        <v>1</v>
      </c>
      <c r="F33" s="88">
        <f t="shared" si="3"/>
        <v>30</v>
      </c>
      <c r="G33" s="227">
        <f>$F33</f>
        <v>30</v>
      </c>
      <c r="H33" s="227">
        <f t="shared" si="5"/>
        <v>30</v>
      </c>
      <c r="I33" s="227">
        <f t="shared" si="5"/>
        <v>30</v>
      </c>
      <c r="J33" s="161">
        <f t="shared" si="6"/>
        <v>0</v>
      </c>
      <c r="K33" s="227">
        <f t="shared" si="8"/>
        <v>30</v>
      </c>
      <c r="L33" s="227">
        <f t="shared" si="8"/>
        <v>30</v>
      </c>
      <c r="M33" s="161">
        <f t="shared" si="13"/>
        <v>30</v>
      </c>
      <c r="N33" s="287">
        <v>27500</v>
      </c>
      <c r="O33" s="287">
        <v>0</v>
      </c>
      <c r="P33" s="327">
        <v>5228.4799999999996</v>
      </c>
      <c r="Q33" s="155">
        <v>1</v>
      </c>
      <c r="R33" s="288">
        <v>1014.278430555556</v>
      </c>
      <c r="S33" s="229">
        <f t="shared" si="9"/>
        <v>409.75</v>
      </c>
      <c r="T33" s="291">
        <v>25.8</v>
      </c>
      <c r="U33" s="291">
        <v>31.8</v>
      </c>
      <c r="V33" s="291">
        <v>37</v>
      </c>
      <c r="W33" s="291">
        <v>37</v>
      </c>
      <c r="X33" s="291">
        <v>178.5</v>
      </c>
      <c r="Y33" s="291">
        <v>5.3</v>
      </c>
      <c r="Z33" s="231">
        <f t="shared" si="10"/>
        <v>0.5</v>
      </c>
      <c r="AA33" s="232">
        <v>62.37</v>
      </c>
      <c r="AB33" s="231">
        <f t="shared" si="11"/>
        <v>680.72289156626493</v>
      </c>
      <c r="AC33" s="231">
        <f t="shared" si="12"/>
        <v>10.843373493975903</v>
      </c>
      <c r="AD33" s="9">
        <v>1014.278430555556</v>
      </c>
      <c r="AE33" s="229">
        <v>620.38387499999999</v>
      </c>
      <c r="AF33" s="16"/>
      <c r="AG33" s="16"/>
      <c r="AH33" s="16"/>
      <c r="AI33" s="16"/>
    </row>
    <row r="34" spans="1:35" x14ac:dyDescent="0.25">
      <c r="A34" s="91">
        <f t="shared" si="0"/>
        <v>2021</v>
      </c>
      <c r="B34" s="91">
        <f t="shared" si="7"/>
        <v>12</v>
      </c>
      <c r="C34" s="92">
        <f t="shared" si="1"/>
        <v>44531</v>
      </c>
      <c r="D34" s="93" t="s">
        <v>152</v>
      </c>
      <c r="E34" s="157">
        <f t="shared" si="2"/>
        <v>1</v>
      </c>
      <c r="F34" s="91">
        <f t="shared" si="3"/>
        <v>31</v>
      </c>
      <c r="G34" s="228">
        <f>$F34</f>
        <v>31</v>
      </c>
      <c r="H34" s="228">
        <f t="shared" si="5"/>
        <v>31</v>
      </c>
      <c r="I34" s="228">
        <f t="shared" si="5"/>
        <v>31</v>
      </c>
      <c r="J34" s="162">
        <f t="shared" si="6"/>
        <v>29.166666666666668</v>
      </c>
      <c r="K34" s="228">
        <f t="shared" si="8"/>
        <v>31</v>
      </c>
      <c r="L34" s="228">
        <f t="shared" si="8"/>
        <v>31</v>
      </c>
      <c r="M34" s="162">
        <f t="shared" si="13"/>
        <v>31</v>
      </c>
      <c r="N34" s="289">
        <v>33000</v>
      </c>
      <c r="O34" s="289">
        <v>5600</v>
      </c>
      <c r="P34" s="328">
        <f>31/30*P33</f>
        <v>5402.7626666666665</v>
      </c>
      <c r="Q34" s="157">
        <v>1</v>
      </c>
      <c r="R34" s="290">
        <v>1420.7891397849471</v>
      </c>
      <c r="S34" s="233">
        <f t="shared" si="9"/>
        <v>409.75</v>
      </c>
      <c r="T34" s="292">
        <v>25.8</v>
      </c>
      <c r="U34" s="292">
        <v>31.8</v>
      </c>
      <c r="V34" s="292">
        <v>37</v>
      </c>
      <c r="W34" s="292">
        <v>37</v>
      </c>
      <c r="X34" s="292">
        <v>178.5</v>
      </c>
      <c r="Y34" s="292">
        <v>5.3</v>
      </c>
      <c r="Z34" s="235">
        <f t="shared" si="10"/>
        <v>0.5</v>
      </c>
      <c r="AA34" s="236">
        <v>62.37</v>
      </c>
      <c r="AB34" s="235">
        <f t="shared" si="11"/>
        <v>680.72289156626493</v>
      </c>
      <c r="AC34" s="235">
        <f t="shared" si="12"/>
        <v>10.843373493975903</v>
      </c>
      <c r="AD34" s="9">
        <v>1420.7891397849471</v>
      </c>
      <c r="AE34" s="233">
        <v>656.67712499999993</v>
      </c>
      <c r="AF34" s="16"/>
      <c r="AG34" s="16"/>
      <c r="AH34" s="16"/>
      <c r="AI34" s="16"/>
    </row>
    <row r="35" spans="1:35" x14ac:dyDescent="0.25">
      <c r="A35" s="88">
        <f t="shared" si="0"/>
        <v>2022</v>
      </c>
      <c r="B35" s="88">
        <f>MOD(ROW(B35)-ROW(B$23),12)+1</f>
        <v>1</v>
      </c>
      <c r="C35" s="89">
        <f t="shared" si="1"/>
        <v>44562</v>
      </c>
      <c r="D35" s="90" t="s">
        <v>153</v>
      </c>
      <c r="E35" s="158">
        <f t="shared" si="2"/>
        <v>0</v>
      </c>
      <c r="F35" s="88">
        <f t="shared" si="3"/>
        <v>31</v>
      </c>
      <c r="G35" s="227">
        <f t="shared" ref="G35:I58" si="14">$F35</f>
        <v>31</v>
      </c>
      <c r="H35" s="227">
        <f t="shared" si="5"/>
        <v>31</v>
      </c>
      <c r="I35" s="227">
        <f t="shared" si="5"/>
        <v>31</v>
      </c>
      <c r="J35" s="163">
        <f t="shared" si="6"/>
        <v>20.833333333333332</v>
      </c>
      <c r="K35" s="227">
        <f t="shared" si="8"/>
        <v>31</v>
      </c>
      <c r="L35" s="227">
        <f t="shared" si="8"/>
        <v>31</v>
      </c>
      <c r="M35" s="163">
        <f t="shared" si="13"/>
        <v>31</v>
      </c>
      <c r="N35" s="229">
        <v>35300</v>
      </c>
      <c r="O35" s="229">
        <v>4000</v>
      </c>
      <c r="P35" s="302">
        <f t="shared" ref="P35:P47" si="15">8*H35*24</f>
        <v>5952</v>
      </c>
      <c r="Q35" s="158">
        <v>1</v>
      </c>
      <c r="R35" s="229">
        <v>400</v>
      </c>
      <c r="S35" s="229">
        <f>85*7.45</f>
        <v>633.25</v>
      </c>
      <c r="T35" s="230">
        <v>26</v>
      </c>
      <c r="U35" s="230">
        <v>31.8</v>
      </c>
      <c r="V35" s="230">
        <v>37</v>
      </c>
      <c r="W35" s="230">
        <v>42.5</v>
      </c>
      <c r="X35" s="231">
        <v>179.2</v>
      </c>
      <c r="Y35" s="231">
        <v>5.3</v>
      </c>
      <c r="Z35" s="231">
        <f t="shared" si="10"/>
        <v>0.5</v>
      </c>
      <c r="AA35" s="232">
        <v>62.37</v>
      </c>
      <c r="AB35" s="231">
        <f t="shared" si="11"/>
        <v>680.72289156626493</v>
      </c>
      <c r="AC35" s="231">
        <f t="shared" si="12"/>
        <v>10.843373493975903</v>
      </c>
      <c r="AE35" s="229">
        <f>AE34+0.1561*7.5*$F35</f>
        <v>692.97037499999988</v>
      </c>
    </row>
    <row r="36" spans="1:35" x14ac:dyDescent="0.25">
      <c r="A36" s="88">
        <f t="shared" si="0"/>
        <v>2022</v>
      </c>
      <c r="B36" s="88">
        <f t="shared" ref="B36:B58" si="16">MOD(ROW(B36)-ROW(B$23),12)+1</f>
        <v>2</v>
      </c>
      <c r="C36" s="89">
        <f t="shared" si="1"/>
        <v>44593</v>
      </c>
      <c r="D36" s="90" t="s">
        <v>154</v>
      </c>
      <c r="E36" s="159">
        <f t="shared" si="2"/>
        <v>0</v>
      </c>
      <c r="F36" s="88">
        <f t="shared" si="3"/>
        <v>28</v>
      </c>
      <c r="G36" s="227">
        <f t="shared" si="14"/>
        <v>28</v>
      </c>
      <c r="H36" s="227">
        <f t="shared" si="5"/>
        <v>28</v>
      </c>
      <c r="I36" s="227">
        <f t="shared" si="5"/>
        <v>28</v>
      </c>
      <c r="J36" s="161">
        <f t="shared" si="6"/>
        <v>0</v>
      </c>
      <c r="K36" s="227">
        <f t="shared" si="8"/>
        <v>28</v>
      </c>
      <c r="L36" s="227">
        <f t="shared" si="8"/>
        <v>28</v>
      </c>
      <c r="M36" s="161">
        <f t="shared" si="13"/>
        <v>28</v>
      </c>
      <c r="N36" s="229">
        <v>32000</v>
      </c>
      <c r="O36" s="229">
        <v>0</v>
      </c>
      <c r="P36" s="302">
        <f t="shared" si="15"/>
        <v>5376</v>
      </c>
      <c r="Q36" s="159">
        <v>1</v>
      </c>
      <c r="R36" s="229">
        <v>400</v>
      </c>
      <c r="S36" s="229">
        <f t="shared" ref="S36:S46" si="17">85*7.45</f>
        <v>633.25</v>
      </c>
      <c r="T36" s="230">
        <v>26</v>
      </c>
      <c r="U36" s="230">
        <v>31.8</v>
      </c>
      <c r="V36" s="230">
        <v>37</v>
      </c>
      <c r="W36" s="230">
        <v>42.5</v>
      </c>
      <c r="X36" s="231">
        <v>179.2</v>
      </c>
      <c r="Y36" s="231">
        <v>5.3</v>
      </c>
      <c r="Z36" s="231">
        <f t="shared" si="10"/>
        <v>0.5</v>
      </c>
      <c r="AA36" s="232">
        <v>62.37</v>
      </c>
      <c r="AB36" s="231">
        <f t="shared" si="11"/>
        <v>680.72289156626493</v>
      </c>
      <c r="AC36" s="231">
        <f t="shared" si="12"/>
        <v>10.843373493975903</v>
      </c>
      <c r="AE36" s="229">
        <f t="shared" ref="AE36:AE58" si="18">AE35+0.1561*7.5*$F36</f>
        <v>725.75137499999983</v>
      </c>
    </row>
    <row r="37" spans="1:35" x14ac:dyDescent="0.25">
      <c r="A37" s="88">
        <f t="shared" si="0"/>
        <v>2022</v>
      </c>
      <c r="B37" s="88">
        <f t="shared" si="16"/>
        <v>3</v>
      </c>
      <c r="C37" s="89">
        <f t="shared" si="1"/>
        <v>44621</v>
      </c>
      <c r="D37" s="90" t="s">
        <v>155</v>
      </c>
      <c r="E37" s="159">
        <f t="shared" si="2"/>
        <v>0</v>
      </c>
      <c r="F37" s="88">
        <f t="shared" si="3"/>
        <v>31</v>
      </c>
      <c r="G37" s="227">
        <f t="shared" si="14"/>
        <v>31</v>
      </c>
      <c r="H37" s="227">
        <f t="shared" si="5"/>
        <v>31</v>
      </c>
      <c r="I37" s="227">
        <f t="shared" si="5"/>
        <v>31</v>
      </c>
      <c r="J37" s="161">
        <f t="shared" si="6"/>
        <v>0</v>
      </c>
      <c r="K37" s="227">
        <f t="shared" si="8"/>
        <v>31</v>
      </c>
      <c r="L37" s="227">
        <f t="shared" si="8"/>
        <v>31</v>
      </c>
      <c r="M37" s="161">
        <f t="shared" si="13"/>
        <v>31</v>
      </c>
      <c r="N37" s="229">
        <v>29500</v>
      </c>
      <c r="O37" s="229">
        <v>0</v>
      </c>
      <c r="P37" s="302">
        <f t="shared" si="15"/>
        <v>5952</v>
      </c>
      <c r="Q37" s="159">
        <v>1</v>
      </c>
      <c r="R37" s="229">
        <v>400</v>
      </c>
      <c r="S37" s="229">
        <f t="shared" si="17"/>
        <v>633.25</v>
      </c>
      <c r="T37" s="230">
        <v>26</v>
      </c>
      <c r="U37" s="230">
        <v>31.8</v>
      </c>
      <c r="V37" s="230">
        <v>37</v>
      </c>
      <c r="W37" s="230">
        <v>42.5</v>
      </c>
      <c r="X37" s="231">
        <v>179.2</v>
      </c>
      <c r="Y37" s="231">
        <v>5.3</v>
      </c>
      <c r="Z37" s="231">
        <f t="shared" si="10"/>
        <v>0.5</v>
      </c>
      <c r="AA37" s="232">
        <v>62.37</v>
      </c>
      <c r="AB37" s="231">
        <f t="shared" si="11"/>
        <v>680.72289156626493</v>
      </c>
      <c r="AC37" s="231">
        <f t="shared" si="12"/>
        <v>10.843373493975903</v>
      </c>
      <c r="AE37" s="229">
        <f t="shared" si="18"/>
        <v>762.04462499999977</v>
      </c>
    </row>
    <row r="38" spans="1:35" x14ac:dyDescent="0.25">
      <c r="A38" s="88">
        <f t="shared" si="0"/>
        <v>2022</v>
      </c>
      <c r="B38" s="88">
        <f t="shared" si="16"/>
        <v>4</v>
      </c>
      <c r="C38" s="89">
        <f t="shared" si="1"/>
        <v>44652</v>
      </c>
      <c r="D38" s="90" t="s">
        <v>156</v>
      </c>
      <c r="E38" s="159">
        <f t="shared" si="2"/>
        <v>0</v>
      </c>
      <c r="F38" s="88">
        <f t="shared" si="3"/>
        <v>30</v>
      </c>
      <c r="G38" s="227">
        <f t="shared" si="14"/>
        <v>30</v>
      </c>
      <c r="H38" s="227">
        <f t="shared" si="5"/>
        <v>30</v>
      </c>
      <c r="I38" s="227">
        <f t="shared" si="5"/>
        <v>30</v>
      </c>
      <c r="J38" s="161">
        <f t="shared" si="6"/>
        <v>0</v>
      </c>
      <c r="K38" s="227">
        <f t="shared" si="8"/>
        <v>30</v>
      </c>
      <c r="L38" s="227">
        <f t="shared" si="8"/>
        <v>30</v>
      </c>
      <c r="M38" s="161">
        <f t="shared" si="13"/>
        <v>30</v>
      </c>
      <c r="N38" s="229">
        <v>20000</v>
      </c>
      <c r="O38" s="229">
        <v>0</v>
      </c>
      <c r="P38" s="302">
        <f t="shared" si="15"/>
        <v>5760</v>
      </c>
      <c r="Q38" s="159">
        <v>1</v>
      </c>
      <c r="R38" s="229">
        <v>400</v>
      </c>
      <c r="S38" s="229">
        <f t="shared" si="17"/>
        <v>633.25</v>
      </c>
      <c r="T38" s="230">
        <v>26</v>
      </c>
      <c r="U38" s="230">
        <v>31.8</v>
      </c>
      <c r="V38" s="230">
        <v>37</v>
      </c>
      <c r="W38" s="230">
        <v>42.5</v>
      </c>
      <c r="X38" s="231">
        <v>179.2</v>
      </c>
      <c r="Y38" s="231">
        <v>5.3</v>
      </c>
      <c r="Z38" s="231">
        <f t="shared" si="10"/>
        <v>0.5</v>
      </c>
      <c r="AA38" s="232">
        <v>62.37</v>
      </c>
      <c r="AB38" s="231">
        <f t="shared" si="11"/>
        <v>680.72289156626493</v>
      </c>
      <c r="AC38" s="231">
        <f t="shared" si="12"/>
        <v>10.843373493975903</v>
      </c>
      <c r="AE38" s="229">
        <f t="shared" si="18"/>
        <v>797.16712499999971</v>
      </c>
    </row>
    <row r="39" spans="1:35" x14ac:dyDescent="0.25">
      <c r="A39" s="88">
        <f t="shared" si="0"/>
        <v>2022</v>
      </c>
      <c r="B39" s="88">
        <f t="shared" si="16"/>
        <v>5</v>
      </c>
      <c r="C39" s="89">
        <f t="shared" si="1"/>
        <v>44682</v>
      </c>
      <c r="D39" s="90" t="s">
        <v>157</v>
      </c>
      <c r="E39" s="159">
        <f t="shared" si="2"/>
        <v>0</v>
      </c>
      <c r="F39" s="88">
        <f t="shared" si="3"/>
        <v>31</v>
      </c>
      <c r="G39" s="227">
        <f t="shared" si="14"/>
        <v>31</v>
      </c>
      <c r="H39" s="227">
        <f t="shared" si="14"/>
        <v>31</v>
      </c>
      <c r="I39" s="227">
        <f t="shared" si="14"/>
        <v>31</v>
      </c>
      <c r="J39" s="161">
        <f t="shared" si="6"/>
        <v>0</v>
      </c>
      <c r="K39" s="227">
        <f t="shared" si="8"/>
        <v>31</v>
      </c>
      <c r="L39" s="227">
        <f t="shared" si="8"/>
        <v>31</v>
      </c>
      <c r="M39" s="161">
        <f t="shared" si="13"/>
        <v>31</v>
      </c>
      <c r="N39" s="229">
        <v>13000</v>
      </c>
      <c r="O39" s="229">
        <v>0</v>
      </c>
      <c r="P39" s="302">
        <f t="shared" si="15"/>
        <v>5952</v>
      </c>
      <c r="Q39" s="159">
        <v>1</v>
      </c>
      <c r="R39" s="229">
        <v>400</v>
      </c>
      <c r="S39" s="229">
        <f t="shared" si="17"/>
        <v>633.25</v>
      </c>
      <c r="T39" s="230">
        <v>26</v>
      </c>
      <c r="U39" s="230">
        <v>31.8</v>
      </c>
      <c r="V39" s="230">
        <v>37</v>
      </c>
      <c r="W39" s="230">
        <v>42.5</v>
      </c>
      <c r="X39" s="231">
        <v>179.2</v>
      </c>
      <c r="Y39" s="231">
        <v>5.3</v>
      </c>
      <c r="Z39" s="231">
        <f t="shared" si="10"/>
        <v>0.5</v>
      </c>
      <c r="AA39" s="232">
        <v>62.37</v>
      </c>
      <c r="AB39" s="231">
        <f t="shared" si="11"/>
        <v>680.72289156626493</v>
      </c>
      <c r="AC39" s="231">
        <f t="shared" si="12"/>
        <v>10.843373493975903</v>
      </c>
      <c r="AE39" s="229">
        <f t="shared" si="18"/>
        <v>833.46037499999966</v>
      </c>
    </row>
    <row r="40" spans="1:35" x14ac:dyDescent="0.25">
      <c r="A40" s="88">
        <f t="shared" si="0"/>
        <v>2022</v>
      </c>
      <c r="B40" s="88">
        <f t="shared" si="16"/>
        <v>6</v>
      </c>
      <c r="C40" s="89">
        <f t="shared" si="1"/>
        <v>44713</v>
      </c>
      <c r="D40" s="90" t="s">
        <v>158</v>
      </c>
      <c r="E40" s="159">
        <f t="shared" si="2"/>
        <v>0</v>
      </c>
      <c r="F40" s="88">
        <f t="shared" si="3"/>
        <v>30</v>
      </c>
      <c r="G40" s="227">
        <f t="shared" si="14"/>
        <v>30</v>
      </c>
      <c r="H40" s="227">
        <f>F40-4*7</f>
        <v>2</v>
      </c>
      <c r="I40" s="227">
        <f t="shared" si="14"/>
        <v>30</v>
      </c>
      <c r="J40" s="161">
        <f t="shared" si="6"/>
        <v>0</v>
      </c>
      <c r="K40" s="227">
        <f t="shared" ref="K40:L58" si="19">$F40</f>
        <v>30</v>
      </c>
      <c r="L40" s="227">
        <f t="shared" si="19"/>
        <v>30</v>
      </c>
      <c r="M40" s="161">
        <f t="shared" si="13"/>
        <v>2</v>
      </c>
      <c r="N40" s="229">
        <v>7500</v>
      </c>
      <c r="O40" s="229">
        <v>0</v>
      </c>
      <c r="P40" s="302">
        <f t="shared" si="15"/>
        <v>384</v>
      </c>
      <c r="Q40" s="159">
        <v>1</v>
      </c>
      <c r="R40" s="229">
        <v>400</v>
      </c>
      <c r="S40" s="229">
        <f t="shared" si="17"/>
        <v>633.25</v>
      </c>
      <c r="T40" s="230">
        <v>26</v>
      </c>
      <c r="U40" s="230">
        <v>31.8</v>
      </c>
      <c r="V40" s="230">
        <v>37</v>
      </c>
      <c r="W40" s="230">
        <v>42.5</v>
      </c>
      <c r="X40" s="231">
        <v>179.2</v>
      </c>
      <c r="Y40" s="231">
        <v>5.3</v>
      </c>
      <c r="Z40" s="231">
        <f t="shared" si="10"/>
        <v>0.5</v>
      </c>
      <c r="AA40" s="232">
        <v>62.37</v>
      </c>
      <c r="AB40" s="231">
        <f t="shared" si="11"/>
        <v>680.72289156626493</v>
      </c>
      <c r="AC40" s="231">
        <f t="shared" si="12"/>
        <v>10.843373493975903</v>
      </c>
      <c r="AE40" s="229">
        <f t="shared" si="18"/>
        <v>868.5828749999996</v>
      </c>
    </row>
    <row r="41" spans="1:35" x14ac:dyDescent="0.25">
      <c r="A41" s="88">
        <f t="shared" si="0"/>
        <v>2022</v>
      </c>
      <c r="B41" s="88">
        <f t="shared" si="16"/>
        <v>7</v>
      </c>
      <c r="C41" s="89">
        <f t="shared" si="1"/>
        <v>44743</v>
      </c>
      <c r="D41" s="90" t="s">
        <v>159</v>
      </c>
      <c r="E41" s="159">
        <f t="shared" si="2"/>
        <v>0</v>
      </c>
      <c r="F41" s="88">
        <f t="shared" si="3"/>
        <v>31</v>
      </c>
      <c r="G41" s="227">
        <f>F41-4*7</f>
        <v>3</v>
      </c>
      <c r="H41" s="227">
        <f t="shared" si="14"/>
        <v>31</v>
      </c>
      <c r="I41" s="227">
        <f t="shared" si="14"/>
        <v>31</v>
      </c>
      <c r="J41" s="161">
        <f t="shared" si="6"/>
        <v>0</v>
      </c>
      <c r="K41" s="227">
        <f t="shared" si="19"/>
        <v>31</v>
      </c>
      <c r="L41" s="227">
        <f t="shared" si="19"/>
        <v>31</v>
      </c>
      <c r="M41" s="161">
        <f t="shared" si="13"/>
        <v>31</v>
      </c>
      <c r="N41" s="229">
        <v>7500</v>
      </c>
      <c r="O41" s="229">
        <v>0</v>
      </c>
      <c r="P41" s="302">
        <f t="shared" si="15"/>
        <v>5952</v>
      </c>
      <c r="Q41" s="159">
        <v>1</v>
      </c>
      <c r="R41" s="229">
        <v>400</v>
      </c>
      <c r="S41" s="229">
        <f t="shared" si="17"/>
        <v>633.25</v>
      </c>
      <c r="T41" s="230">
        <v>26</v>
      </c>
      <c r="U41" s="230">
        <v>31.8</v>
      </c>
      <c r="V41" s="230">
        <v>37</v>
      </c>
      <c r="W41" s="230">
        <v>42.5</v>
      </c>
      <c r="X41" s="231">
        <v>179.2</v>
      </c>
      <c r="Y41" s="231">
        <v>5.3</v>
      </c>
      <c r="Z41" s="231">
        <f t="shared" si="10"/>
        <v>0.5</v>
      </c>
      <c r="AA41" s="232">
        <v>62.37</v>
      </c>
      <c r="AB41" s="231">
        <f t="shared" si="11"/>
        <v>680.72289156626493</v>
      </c>
      <c r="AC41" s="231">
        <f t="shared" si="12"/>
        <v>10.843373493975903</v>
      </c>
      <c r="AE41" s="229">
        <f t="shared" si="18"/>
        <v>904.87612499999955</v>
      </c>
    </row>
    <row r="42" spans="1:35" x14ac:dyDescent="0.25">
      <c r="A42" s="88">
        <f t="shared" si="0"/>
        <v>2022</v>
      </c>
      <c r="B42" s="88">
        <f t="shared" si="16"/>
        <v>8</v>
      </c>
      <c r="C42" s="89">
        <f t="shared" si="1"/>
        <v>44774</v>
      </c>
      <c r="D42" s="90" t="s">
        <v>160</v>
      </c>
      <c r="E42" s="159">
        <f t="shared" si="2"/>
        <v>0</v>
      </c>
      <c r="F42" s="88">
        <f t="shared" si="3"/>
        <v>31</v>
      </c>
      <c r="G42" s="227">
        <f t="shared" ref="G42:G54" si="20">$F42</f>
        <v>31</v>
      </c>
      <c r="H42" s="227">
        <f t="shared" si="14"/>
        <v>31</v>
      </c>
      <c r="I42" s="227">
        <f t="shared" si="14"/>
        <v>31</v>
      </c>
      <c r="J42" s="161">
        <f t="shared" si="6"/>
        <v>0</v>
      </c>
      <c r="K42" s="227">
        <f t="shared" si="19"/>
        <v>31</v>
      </c>
      <c r="L42" s="227">
        <f t="shared" si="19"/>
        <v>31</v>
      </c>
      <c r="M42" s="161">
        <f t="shared" si="13"/>
        <v>31</v>
      </c>
      <c r="N42" s="229">
        <v>7000</v>
      </c>
      <c r="O42" s="229">
        <v>0</v>
      </c>
      <c r="P42" s="302">
        <f t="shared" si="15"/>
        <v>5952</v>
      </c>
      <c r="Q42" s="159">
        <v>1</v>
      </c>
      <c r="R42" s="229">
        <v>400</v>
      </c>
      <c r="S42" s="229">
        <f t="shared" si="17"/>
        <v>633.25</v>
      </c>
      <c r="T42" s="230">
        <v>26</v>
      </c>
      <c r="U42" s="230">
        <v>31.8</v>
      </c>
      <c r="V42" s="230">
        <v>37</v>
      </c>
      <c r="W42" s="230">
        <v>42.5</v>
      </c>
      <c r="X42" s="231">
        <v>179.2</v>
      </c>
      <c r="Y42" s="231">
        <v>5.3</v>
      </c>
      <c r="Z42" s="231">
        <f t="shared" si="10"/>
        <v>0.5</v>
      </c>
      <c r="AA42" s="232">
        <v>62.37</v>
      </c>
      <c r="AB42" s="231">
        <f t="shared" si="11"/>
        <v>680.72289156626493</v>
      </c>
      <c r="AC42" s="231">
        <f t="shared" si="12"/>
        <v>10.843373493975903</v>
      </c>
      <c r="AE42" s="229">
        <f t="shared" si="18"/>
        <v>941.16937499999949</v>
      </c>
    </row>
    <row r="43" spans="1:35" x14ac:dyDescent="0.25">
      <c r="A43" s="88">
        <f t="shared" si="0"/>
        <v>2022</v>
      </c>
      <c r="B43" s="88">
        <f t="shared" si="16"/>
        <v>9</v>
      </c>
      <c r="C43" s="89">
        <f t="shared" si="1"/>
        <v>44805</v>
      </c>
      <c r="D43" s="90" t="s">
        <v>161</v>
      </c>
      <c r="E43" s="159">
        <f t="shared" si="2"/>
        <v>0</v>
      </c>
      <c r="F43" s="88">
        <f t="shared" si="3"/>
        <v>30</v>
      </c>
      <c r="G43" s="227">
        <f t="shared" si="20"/>
        <v>30</v>
      </c>
      <c r="H43" s="227">
        <f t="shared" si="14"/>
        <v>30</v>
      </c>
      <c r="I43" s="227">
        <f t="shared" si="14"/>
        <v>30</v>
      </c>
      <c r="J43" s="161">
        <f t="shared" si="6"/>
        <v>0</v>
      </c>
      <c r="K43" s="227">
        <f t="shared" si="19"/>
        <v>30</v>
      </c>
      <c r="L43" s="227">
        <f t="shared" si="19"/>
        <v>30</v>
      </c>
      <c r="M43" s="161">
        <f t="shared" si="13"/>
        <v>30</v>
      </c>
      <c r="N43" s="229">
        <v>8000</v>
      </c>
      <c r="O43" s="229">
        <v>0</v>
      </c>
      <c r="P43" s="302">
        <f t="shared" si="15"/>
        <v>5760</v>
      </c>
      <c r="Q43" s="159">
        <v>1</v>
      </c>
      <c r="R43" s="229">
        <v>400</v>
      </c>
      <c r="S43" s="229">
        <f t="shared" si="17"/>
        <v>633.25</v>
      </c>
      <c r="T43" s="230">
        <v>26</v>
      </c>
      <c r="U43" s="230">
        <v>31.8</v>
      </c>
      <c r="V43" s="230">
        <v>37</v>
      </c>
      <c r="W43" s="230">
        <v>42.5</v>
      </c>
      <c r="X43" s="231">
        <v>179.2</v>
      </c>
      <c r="Y43" s="231">
        <v>5.3</v>
      </c>
      <c r="Z43" s="231">
        <f t="shared" si="10"/>
        <v>0.5</v>
      </c>
      <c r="AA43" s="232">
        <v>62.37</v>
      </c>
      <c r="AB43" s="231">
        <f t="shared" si="11"/>
        <v>680.72289156626493</v>
      </c>
      <c r="AC43" s="231">
        <f t="shared" si="12"/>
        <v>10.843373493975903</v>
      </c>
      <c r="AE43" s="229">
        <f t="shared" si="18"/>
        <v>976.29187499999944</v>
      </c>
    </row>
    <row r="44" spans="1:35" x14ac:dyDescent="0.25">
      <c r="A44" s="88">
        <f t="shared" si="0"/>
        <v>2022</v>
      </c>
      <c r="B44" s="88">
        <f t="shared" si="16"/>
        <v>10</v>
      </c>
      <c r="C44" s="89">
        <f t="shared" si="1"/>
        <v>44835</v>
      </c>
      <c r="D44" s="90" t="s">
        <v>162</v>
      </c>
      <c r="E44" s="159">
        <f t="shared" si="2"/>
        <v>0</v>
      </c>
      <c r="F44" s="88">
        <f t="shared" si="3"/>
        <v>31</v>
      </c>
      <c r="G44" s="227">
        <f t="shared" si="20"/>
        <v>31</v>
      </c>
      <c r="H44" s="227">
        <f t="shared" si="14"/>
        <v>31</v>
      </c>
      <c r="I44" s="227">
        <f t="shared" si="14"/>
        <v>31</v>
      </c>
      <c r="J44" s="161">
        <f t="shared" si="6"/>
        <v>0</v>
      </c>
      <c r="K44" s="227">
        <f t="shared" si="19"/>
        <v>31</v>
      </c>
      <c r="L44" s="227">
        <f t="shared" si="19"/>
        <v>31</v>
      </c>
      <c r="M44" s="161">
        <f t="shared" si="13"/>
        <v>31</v>
      </c>
      <c r="N44" s="229">
        <v>19700</v>
      </c>
      <c r="O44" s="229">
        <v>0</v>
      </c>
      <c r="P44" s="302">
        <f t="shared" si="15"/>
        <v>5952</v>
      </c>
      <c r="Q44" s="159">
        <v>1</v>
      </c>
      <c r="R44" s="229">
        <v>400</v>
      </c>
      <c r="S44" s="229">
        <f t="shared" si="17"/>
        <v>633.25</v>
      </c>
      <c r="T44" s="230">
        <v>26</v>
      </c>
      <c r="U44" s="230">
        <v>31.8</v>
      </c>
      <c r="V44" s="230">
        <v>37</v>
      </c>
      <c r="W44" s="230">
        <v>42.5</v>
      </c>
      <c r="X44" s="231">
        <v>179.2</v>
      </c>
      <c r="Y44" s="231">
        <v>5.3</v>
      </c>
      <c r="Z44" s="231">
        <f t="shared" si="10"/>
        <v>0.5</v>
      </c>
      <c r="AA44" s="232">
        <v>62.37</v>
      </c>
      <c r="AB44" s="231">
        <f t="shared" si="11"/>
        <v>680.72289156626493</v>
      </c>
      <c r="AC44" s="231">
        <f t="shared" si="12"/>
        <v>10.843373493975903</v>
      </c>
      <c r="AE44" s="229">
        <f t="shared" si="18"/>
        <v>1012.5851249999994</v>
      </c>
    </row>
    <row r="45" spans="1:35" x14ac:dyDescent="0.25">
      <c r="A45" s="88">
        <f t="shared" si="0"/>
        <v>2022</v>
      </c>
      <c r="B45" s="88">
        <f t="shared" si="16"/>
        <v>11</v>
      </c>
      <c r="C45" s="89">
        <f t="shared" si="1"/>
        <v>44866</v>
      </c>
      <c r="D45" s="90" t="s">
        <v>163</v>
      </c>
      <c r="E45" s="159">
        <f t="shared" si="2"/>
        <v>0</v>
      </c>
      <c r="F45" s="88">
        <f t="shared" si="3"/>
        <v>30</v>
      </c>
      <c r="G45" s="227">
        <f t="shared" si="20"/>
        <v>30</v>
      </c>
      <c r="H45" s="227">
        <f t="shared" si="14"/>
        <v>30</v>
      </c>
      <c r="I45" s="227">
        <f t="shared" si="14"/>
        <v>30</v>
      </c>
      <c r="J45" s="161">
        <f t="shared" si="6"/>
        <v>7.8125</v>
      </c>
      <c r="K45" s="227">
        <f t="shared" si="19"/>
        <v>30</v>
      </c>
      <c r="L45" s="227">
        <f t="shared" si="19"/>
        <v>30</v>
      </c>
      <c r="M45" s="161">
        <f t="shared" si="13"/>
        <v>30</v>
      </c>
      <c r="N45" s="229">
        <v>27500</v>
      </c>
      <c r="O45" s="229">
        <v>1500</v>
      </c>
      <c r="P45" s="302">
        <f t="shared" si="15"/>
        <v>5760</v>
      </c>
      <c r="Q45" s="159">
        <v>1</v>
      </c>
      <c r="R45" s="229">
        <v>400</v>
      </c>
      <c r="S45" s="229">
        <f t="shared" si="17"/>
        <v>633.25</v>
      </c>
      <c r="T45" s="230">
        <v>26</v>
      </c>
      <c r="U45" s="230">
        <v>31.8</v>
      </c>
      <c r="V45" s="230">
        <v>37</v>
      </c>
      <c r="W45" s="230">
        <v>42.5</v>
      </c>
      <c r="X45" s="231">
        <v>179.2</v>
      </c>
      <c r="Y45" s="231">
        <v>5.3</v>
      </c>
      <c r="Z45" s="231">
        <f t="shared" si="10"/>
        <v>0.5</v>
      </c>
      <c r="AA45" s="232">
        <v>62.37</v>
      </c>
      <c r="AB45" s="231">
        <f t="shared" si="11"/>
        <v>680.72289156626493</v>
      </c>
      <c r="AC45" s="231">
        <f t="shared" si="12"/>
        <v>10.843373493975903</v>
      </c>
      <c r="AE45" s="229">
        <f t="shared" si="18"/>
        <v>1047.7076249999993</v>
      </c>
    </row>
    <row r="46" spans="1:35" x14ac:dyDescent="0.25">
      <c r="A46" s="91">
        <f t="shared" si="0"/>
        <v>2022</v>
      </c>
      <c r="B46" s="91">
        <f t="shared" si="16"/>
        <v>12</v>
      </c>
      <c r="C46" s="92">
        <f t="shared" si="1"/>
        <v>44896</v>
      </c>
      <c r="D46" s="93" t="s">
        <v>164</v>
      </c>
      <c r="E46" s="160">
        <f t="shared" si="2"/>
        <v>0</v>
      </c>
      <c r="F46" s="91">
        <f t="shared" si="3"/>
        <v>31</v>
      </c>
      <c r="G46" s="228">
        <f t="shared" si="20"/>
        <v>31</v>
      </c>
      <c r="H46" s="228">
        <f t="shared" si="14"/>
        <v>31</v>
      </c>
      <c r="I46" s="228">
        <f t="shared" si="14"/>
        <v>31</v>
      </c>
      <c r="J46" s="162">
        <f t="shared" si="6"/>
        <v>29.166666666666668</v>
      </c>
      <c r="K46" s="228">
        <f t="shared" si="19"/>
        <v>31</v>
      </c>
      <c r="L46" s="228">
        <f t="shared" si="19"/>
        <v>31</v>
      </c>
      <c r="M46" s="162">
        <f t="shared" si="13"/>
        <v>31</v>
      </c>
      <c r="N46" s="233">
        <v>33000</v>
      </c>
      <c r="O46" s="233">
        <v>5600</v>
      </c>
      <c r="P46" s="301">
        <f t="shared" si="15"/>
        <v>5952</v>
      </c>
      <c r="Q46" s="160">
        <v>1</v>
      </c>
      <c r="R46" s="233">
        <v>400</v>
      </c>
      <c r="S46" s="233">
        <f t="shared" si="17"/>
        <v>633.25</v>
      </c>
      <c r="T46" s="234">
        <v>26</v>
      </c>
      <c r="U46" s="234">
        <v>31.8</v>
      </c>
      <c r="V46" s="234">
        <v>37</v>
      </c>
      <c r="W46" s="234">
        <v>42.5</v>
      </c>
      <c r="X46" s="235">
        <v>179.2</v>
      </c>
      <c r="Y46" s="235">
        <v>5.3</v>
      </c>
      <c r="Z46" s="235">
        <f t="shared" si="10"/>
        <v>0.5</v>
      </c>
      <c r="AA46" s="236">
        <v>62.37</v>
      </c>
      <c r="AB46" s="235">
        <f t="shared" si="11"/>
        <v>680.72289156626493</v>
      </c>
      <c r="AC46" s="235">
        <f t="shared" si="12"/>
        <v>10.843373493975903</v>
      </c>
      <c r="AE46" s="233">
        <f t="shared" si="18"/>
        <v>1084.0008749999993</v>
      </c>
    </row>
    <row r="47" spans="1:35" x14ac:dyDescent="0.25">
      <c r="A47" s="88">
        <f t="shared" si="0"/>
        <v>2023</v>
      </c>
      <c r="B47" s="88">
        <f t="shared" si="16"/>
        <v>1</v>
      </c>
      <c r="C47" s="89">
        <f t="shared" si="1"/>
        <v>44927</v>
      </c>
      <c r="D47" s="90" t="s">
        <v>165</v>
      </c>
      <c r="E47" s="158">
        <f t="shared" si="2"/>
        <v>0</v>
      </c>
      <c r="F47" s="88">
        <f t="shared" si="3"/>
        <v>31</v>
      </c>
      <c r="G47" s="227">
        <f t="shared" si="20"/>
        <v>31</v>
      </c>
      <c r="H47" s="227">
        <f t="shared" si="14"/>
        <v>31</v>
      </c>
      <c r="I47" s="227">
        <f t="shared" si="14"/>
        <v>31</v>
      </c>
      <c r="J47" s="163">
        <f t="shared" si="6"/>
        <v>20.833333333333332</v>
      </c>
      <c r="K47" s="227">
        <f t="shared" si="19"/>
        <v>31</v>
      </c>
      <c r="L47" s="227">
        <f t="shared" si="19"/>
        <v>31</v>
      </c>
      <c r="M47" s="163">
        <f t="shared" si="13"/>
        <v>31</v>
      </c>
      <c r="N47" s="229">
        <v>35300</v>
      </c>
      <c r="O47" s="229">
        <v>4000</v>
      </c>
      <c r="P47" s="302">
        <f t="shared" si="15"/>
        <v>5952</v>
      </c>
      <c r="Q47" s="158">
        <v>1</v>
      </c>
      <c r="R47" s="229">
        <v>400</v>
      </c>
      <c r="S47" s="229">
        <f t="shared" ref="S47:S58" si="21">S46+0.1561*7.5*$F47</f>
        <v>669.54324999999994</v>
      </c>
      <c r="T47" s="230">
        <v>26</v>
      </c>
      <c r="U47" s="230">
        <v>31.8</v>
      </c>
      <c r="V47" s="230">
        <v>37</v>
      </c>
      <c r="W47" s="230">
        <v>42.5</v>
      </c>
      <c r="X47" s="231">
        <v>179.2</v>
      </c>
      <c r="Y47" s="231">
        <f t="shared" ref="Y47:Y58" si="22">5.3*1.1</f>
        <v>5.83</v>
      </c>
      <c r="Z47" s="231">
        <f t="shared" si="10"/>
        <v>0.5</v>
      </c>
      <c r="AA47" s="232">
        <v>62.37</v>
      </c>
      <c r="AB47" s="231">
        <f t="shared" si="11"/>
        <v>680.72289156626493</v>
      </c>
      <c r="AC47" s="231">
        <f t="shared" si="12"/>
        <v>10.843373493975903</v>
      </c>
      <c r="AE47" s="229">
        <f t="shared" si="18"/>
        <v>1120.2941249999992</v>
      </c>
    </row>
    <row r="48" spans="1:35" x14ac:dyDescent="0.25">
      <c r="A48" s="88">
        <f t="shared" si="0"/>
        <v>2023</v>
      </c>
      <c r="B48" s="88">
        <f t="shared" si="16"/>
        <v>2</v>
      </c>
      <c r="C48" s="89">
        <f t="shared" si="1"/>
        <v>44958</v>
      </c>
      <c r="D48" s="90" t="s">
        <v>166</v>
      </c>
      <c r="E48" s="159">
        <f t="shared" si="2"/>
        <v>0</v>
      </c>
      <c r="F48" s="88">
        <f t="shared" si="3"/>
        <v>28</v>
      </c>
      <c r="G48" s="227">
        <f t="shared" si="20"/>
        <v>28</v>
      </c>
      <c r="H48" s="227">
        <f t="shared" si="14"/>
        <v>28</v>
      </c>
      <c r="I48" s="227">
        <f t="shared" si="14"/>
        <v>28</v>
      </c>
      <c r="J48" s="161">
        <f t="shared" si="6"/>
        <v>0</v>
      </c>
      <c r="K48" s="227">
        <f t="shared" si="19"/>
        <v>28</v>
      </c>
      <c r="L48" s="227">
        <f t="shared" si="19"/>
        <v>28</v>
      </c>
      <c r="M48" s="161">
        <f t="shared" si="13"/>
        <v>28</v>
      </c>
      <c r="N48" s="229">
        <v>32000</v>
      </c>
      <c r="O48" s="229">
        <v>0</v>
      </c>
      <c r="P48" s="302">
        <f t="shared" ref="P48:P58" si="23">8*H48*24</f>
        <v>5376</v>
      </c>
      <c r="Q48" s="159">
        <v>1</v>
      </c>
      <c r="R48" s="229">
        <v>400</v>
      </c>
      <c r="S48" s="229">
        <f t="shared" si="21"/>
        <v>702.32424999999989</v>
      </c>
      <c r="T48" s="230">
        <v>26</v>
      </c>
      <c r="U48" s="230">
        <v>31.8</v>
      </c>
      <c r="V48" s="230">
        <v>37</v>
      </c>
      <c r="W48" s="230">
        <v>42.5</v>
      </c>
      <c r="X48" s="231">
        <v>179.2</v>
      </c>
      <c r="Y48" s="231">
        <f t="shared" si="22"/>
        <v>5.83</v>
      </c>
      <c r="Z48" s="231">
        <f t="shared" si="10"/>
        <v>0.5</v>
      </c>
      <c r="AA48" s="232">
        <v>62.37</v>
      </c>
      <c r="AB48" s="231">
        <f t="shared" si="11"/>
        <v>680.72289156626493</v>
      </c>
      <c r="AC48" s="231">
        <f t="shared" si="12"/>
        <v>10.843373493975903</v>
      </c>
      <c r="AE48" s="229">
        <f t="shared" si="18"/>
        <v>1153.0751249999992</v>
      </c>
    </row>
    <row r="49" spans="1:31" x14ac:dyDescent="0.25">
      <c r="A49" s="88">
        <f t="shared" si="0"/>
        <v>2023</v>
      </c>
      <c r="B49" s="88">
        <f t="shared" si="16"/>
        <v>3</v>
      </c>
      <c r="C49" s="89">
        <f t="shared" si="1"/>
        <v>44986</v>
      </c>
      <c r="D49" s="90" t="s">
        <v>167</v>
      </c>
      <c r="E49" s="159">
        <f t="shared" si="2"/>
        <v>0</v>
      </c>
      <c r="F49" s="88">
        <f t="shared" si="3"/>
        <v>31</v>
      </c>
      <c r="G49" s="227">
        <f t="shared" si="20"/>
        <v>31</v>
      </c>
      <c r="H49" s="227">
        <f t="shared" si="14"/>
        <v>31</v>
      </c>
      <c r="I49" s="227">
        <f t="shared" si="14"/>
        <v>31</v>
      </c>
      <c r="J49" s="161">
        <f t="shared" si="6"/>
        <v>0</v>
      </c>
      <c r="K49" s="227">
        <f t="shared" si="19"/>
        <v>31</v>
      </c>
      <c r="L49" s="227">
        <f t="shared" si="19"/>
        <v>31</v>
      </c>
      <c r="M49" s="161">
        <f t="shared" si="13"/>
        <v>31</v>
      </c>
      <c r="N49" s="229">
        <v>29500</v>
      </c>
      <c r="O49" s="229">
        <v>0</v>
      </c>
      <c r="P49" s="302">
        <f t="shared" si="23"/>
        <v>5952</v>
      </c>
      <c r="Q49" s="159">
        <v>1</v>
      </c>
      <c r="R49" s="229">
        <v>400</v>
      </c>
      <c r="S49" s="229">
        <f t="shared" si="21"/>
        <v>738.61749999999984</v>
      </c>
      <c r="T49" s="230">
        <v>26</v>
      </c>
      <c r="U49" s="230">
        <v>31.8</v>
      </c>
      <c r="V49" s="230">
        <v>37</v>
      </c>
      <c r="W49" s="230">
        <v>42.5</v>
      </c>
      <c r="X49" s="231">
        <v>179.2</v>
      </c>
      <c r="Y49" s="231">
        <f t="shared" si="22"/>
        <v>5.83</v>
      </c>
      <c r="Z49" s="231">
        <f t="shared" si="10"/>
        <v>0.5</v>
      </c>
      <c r="AA49" s="232">
        <v>62.37</v>
      </c>
      <c r="AB49" s="231">
        <f t="shared" si="11"/>
        <v>680.72289156626493</v>
      </c>
      <c r="AC49" s="231">
        <f t="shared" si="12"/>
        <v>10.843373493975903</v>
      </c>
      <c r="AE49" s="229">
        <f t="shared" si="18"/>
        <v>1189.3683749999991</v>
      </c>
    </row>
    <row r="50" spans="1:31" x14ac:dyDescent="0.25">
      <c r="A50" s="88">
        <f t="shared" si="0"/>
        <v>2023</v>
      </c>
      <c r="B50" s="88">
        <f t="shared" si="16"/>
        <v>4</v>
      </c>
      <c r="C50" s="89">
        <f t="shared" si="1"/>
        <v>45017</v>
      </c>
      <c r="D50" s="90" t="s">
        <v>168</v>
      </c>
      <c r="E50" s="159">
        <f t="shared" si="2"/>
        <v>0</v>
      </c>
      <c r="F50" s="88">
        <f t="shared" si="3"/>
        <v>30</v>
      </c>
      <c r="G50" s="227">
        <f t="shared" si="20"/>
        <v>30</v>
      </c>
      <c r="H50" s="227">
        <f t="shared" si="14"/>
        <v>30</v>
      </c>
      <c r="I50" s="227">
        <f t="shared" si="14"/>
        <v>30</v>
      </c>
      <c r="J50" s="161">
        <f t="shared" si="6"/>
        <v>0</v>
      </c>
      <c r="K50" s="227">
        <f t="shared" si="19"/>
        <v>30</v>
      </c>
      <c r="L50" s="227">
        <f t="shared" si="19"/>
        <v>30</v>
      </c>
      <c r="M50" s="161">
        <f t="shared" si="13"/>
        <v>30</v>
      </c>
      <c r="N50" s="229">
        <v>20000</v>
      </c>
      <c r="O50" s="229">
        <v>0</v>
      </c>
      <c r="P50" s="302">
        <f t="shared" si="23"/>
        <v>5760</v>
      </c>
      <c r="Q50" s="159">
        <v>1</v>
      </c>
      <c r="R50" s="229">
        <v>400</v>
      </c>
      <c r="S50" s="229">
        <f t="shared" si="21"/>
        <v>773.73999999999978</v>
      </c>
      <c r="T50" s="230">
        <v>26</v>
      </c>
      <c r="U50" s="230">
        <v>31.8</v>
      </c>
      <c r="V50" s="230">
        <v>37</v>
      </c>
      <c r="W50" s="230">
        <v>42.5</v>
      </c>
      <c r="X50" s="231">
        <v>179.2</v>
      </c>
      <c r="Y50" s="231">
        <f t="shared" si="22"/>
        <v>5.83</v>
      </c>
      <c r="Z50" s="231">
        <f t="shared" si="10"/>
        <v>0.5</v>
      </c>
      <c r="AA50" s="232">
        <v>62.37</v>
      </c>
      <c r="AB50" s="231">
        <f t="shared" si="11"/>
        <v>680.72289156626493</v>
      </c>
      <c r="AC50" s="231">
        <f t="shared" si="12"/>
        <v>10.843373493975903</v>
      </c>
      <c r="AE50" s="229">
        <f t="shared" si="18"/>
        <v>1224.4908749999991</v>
      </c>
    </row>
    <row r="51" spans="1:31" x14ac:dyDescent="0.25">
      <c r="A51" s="88">
        <f t="shared" si="0"/>
        <v>2023</v>
      </c>
      <c r="B51" s="88">
        <f t="shared" si="16"/>
        <v>5</v>
      </c>
      <c r="C51" s="89">
        <f t="shared" si="1"/>
        <v>45047</v>
      </c>
      <c r="D51" s="90" t="s">
        <v>169</v>
      </c>
      <c r="E51" s="159">
        <f t="shared" si="2"/>
        <v>0</v>
      </c>
      <c r="F51" s="88">
        <f t="shared" si="3"/>
        <v>31</v>
      </c>
      <c r="G51" s="227">
        <f t="shared" si="20"/>
        <v>31</v>
      </c>
      <c r="H51" s="227">
        <f t="shared" si="14"/>
        <v>31</v>
      </c>
      <c r="I51" s="227">
        <f t="shared" si="14"/>
        <v>31</v>
      </c>
      <c r="J51" s="161">
        <f t="shared" si="6"/>
        <v>0</v>
      </c>
      <c r="K51" s="227">
        <f t="shared" si="19"/>
        <v>31</v>
      </c>
      <c r="L51" s="227">
        <f t="shared" si="19"/>
        <v>31</v>
      </c>
      <c r="M51" s="161">
        <f t="shared" si="13"/>
        <v>31</v>
      </c>
      <c r="N51" s="229">
        <v>13000</v>
      </c>
      <c r="O51" s="229">
        <v>0</v>
      </c>
      <c r="P51" s="302">
        <f t="shared" si="23"/>
        <v>5952</v>
      </c>
      <c r="Q51" s="159">
        <v>1</v>
      </c>
      <c r="R51" s="229">
        <v>400</v>
      </c>
      <c r="S51" s="229">
        <f t="shared" si="21"/>
        <v>810.03324999999973</v>
      </c>
      <c r="T51" s="230">
        <v>26</v>
      </c>
      <c r="U51" s="230">
        <v>31.8</v>
      </c>
      <c r="V51" s="230">
        <v>37</v>
      </c>
      <c r="W51" s="230">
        <v>42.5</v>
      </c>
      <c r="X51" s="231">
        <v>179.2</v>
      </c>
      <c r="Y51" s="231">
        <f t="shared" si="22"/>
        <v>5.83</v>
      </c>
      <c r="Z51" s="231">
        <f t="shared" si="10"/>
        <v>0.5</v>
      </c>
      <c r="AA51" s="232">
        <v>62.37</v>
      </c>
      <c r="AB51" s="231">
        <f t="shared" si="11"/>
        <v>680.72289156626493</v>
      </c>
      <c r="AC51" s="231">
        <f t="shared" si="12"/>
        <v>10.843373493975903</v>
      </c>
      <c r="AE51" s="229">
        <f t="shared" si="18"/>
        <v>1260.784124999999</v>
      </c>
    </row>
    <row r="52" spans="1:31" x14ac:dyDescent="0.25">
      <c r="A52" s="88">
        <f t="shared" si="0"/>
        <v>2023</v>
      </c>
      <c r="B52" s="88">
        <f t="shared" si="16"/>
        <v>6</v>
      </c>
      <c r="C52" s="89">
        <f t="shared" si="1"/>
        <v>45078</v>
      </c>
      <c r="D52" s="90" t="s">
        <v>170</v>
      </c>
      <c r="E52" s="159">
        <f t="shared" si="2"/>
        <v>0</v>
      </c>
      <c r="F52" s="88">
        <f t="shared" si="3"/>
        <v>30</v>
      </c>
      <c r="G52" s="227">
        <f t="shared" si="20"/>
        <v>30</v>
      </c>
      <c r="H52" s="227">
        <f>F52-4*7</f>
        <v>2</v>
      </c>
      <c r="I52" s="227">
        <f t="shared" si="14"/>
        <v>30</v>
      </c>
      <c r="J52" s="161">
        <f t="shared" si="6"/>
        <v>0</v>
      </c>
      <c r="K52" s="227">
        <f t="shared" si="19"/>
        <v>30</v>
      </c>
      <c r="L52" s="227">
        <f t="shared" si="19"/>
        <v>30</v>
      </c>
      <c r="M52" s="161">
        <f t="shared" si="13"/>
        <v>2</v>
      </c>
      <c r="N52" s="229">
        <v>7500</v>
      </c>
      <c r="O52" s="229">
        <v>0</v>
      </c>
      <c r="P52" s="302">
        <f t="shared" si="23"/>
        <v>384</v>
      </c>
      <c r="Q52" s="159">
        <v>1</v>
      </c>
      <c r="R52" s="229">
        <v>400</v>
      </c>
      <c r="S52" s="229">
        <f t="shared" si="21"/>
        <v>845.15574999999967</v>
      </c>
      <c r="T52" s="230">
        <v>26</v>
      </c>
      <c r="U52" s="230">
        <v>31.8</v>
      </c>
      <c r="V52" s="230">
        <v>37</v>
      </c>
      <c r="W52" s="230">
        <v>42.5</v>
      </c>
      <c r="X52" s="231">
        <v>179.2</v>
      </c>
      <c r="Y52" s="231">
        <f t="shared" si="22"/>
        <v>5.83</v>
      </c>
      <c r="Z52" s="231">
        <f t="shared" si="10"/>
        <v>0.5</v>
      </c>
      <c r="AA52" s="232">
        <v>62.37</v>
      </c>
      <c r="AB52" s="231">
        <f t="shared" si="11"/>
        <v>680.72289156626493</v>
      </c>
      <c r="AC52" s="231">
        <f t="shared" si="12"/>
        <v>10.843373493975903</v>
      </c>
      <c r="AE52" s="229">
        <f t="shared" si="18"/>
        <v>1295.9066249999989</v>
      </c>
    </row>
    <row r="53" spans="1:31" x14ac:dyDescent="0.25">
      <c r="A53" s="88">
        <f t="shared" si="0"/>
        <v>2023</v>
      </c>
      <c r="B53" s="88">
        <f t="shared" si="16"/>
        <v>7</v>
      </c>
      <c r="C53" s="89">
        <f t="shared" si="1"/>
        <v>45108</v>
      </c>
      <c r="D53" s="90" t="s">
        <v>171</v>
      </c>
      <c r="E53" s="159">
        <f t="shared" si="2"/>
        <v>0</v>
      </c>
      <c r="F53" s="88">
        <f t="shared" si="3"/>
        <v>31</v>
      </c>
      <c r="G53" s="227">
        <f>F53-4*7</f>
        <v>3</v>
      </c>
      <c r="H53" s="227">
        <f t="shared" si="14"/>
        <v>31</v>
      </c>
      <c r="I53" s="227">
        <f t="shared" si="14"/>
        <v>31</v>
      </c>
      <c r="J53" s="161">
        <f t="shared" si="6"/>
        <v>0</v>
      </c>
      <c r="K53" s="227">
        <f t="shared" si="19"/>
        <v>31</v>
      </c>
      <c r="L53" s="227">
        <f t="shared" si="19"/>
        <v>31</v>
      </c>
      <c r="M53" s="161">
        <f t="shared" si="13"/>
        <v>31</v>
      </c>
      <c r="N53" s="229">
        <v>7500</v>
      </c>
      <c r="O53" s="229">
        <v>0</v>
      </c>
      <c r="P53" s="302">
        <f t="shared" si="23"/>
        <v>5952</v>
      </c>
      <c r="Q53" s="159">
        <v>1</v>
      </c>
      <c r="R53" s="229">
        <v>400</v>
      </c>
      <c r="S53" s="229">
        <f t="shared" si="21"/>
        <v>881.44899999999961</v>
      </c>
      <c r="T53" s="230">
        <v>26</v>
      </c>
      <c r="U53" s="230">
        <v>31.8</v>
      </c>
      <c r="V53" s="230">
        <v>37</v>
      </c>
      <c r="W53" s="230">
        <v>42.5</v>
      </c>
      <c r="X53" s="231">
        <v>179.2</v>
      </c>
      <c r="Y53" s="231">
        <f t="shared" si="22"/>
        <v>5.83</v>
      </c>
      <c r="Z53" s="231">
        <f t="shared" si="10"/>
        <v>0.5</v>
      </c>
      <c r="AA53" s="232">
        <v>62.37</v>
      </c>
      <c r="AB53" s="231">
        <f t="shared" si="11"/>
        <v>680.72289156626493</v>
      </c>
      <c r="AC53" s="231">
        <f t="shared" si="12"/>
        <v>10.843373493975903</v>
      </c>
      <c r="AE53" s="229">
        <f t="shared" si="18"/>
        <v>1332.1998749999989</v>
      </c>
    </row>
    <row r="54" spans="1:31" x14ac:dyDescent="0.25">
      <c r="A54" s="88">
        <f t="shared" si="0"/>
        <v>2023</v>
      </c>
      <c r="B54" s="88">
        <f t="shared" si="16"/>
        <v>8</v>
      </c>
      <c r="C54" s="89">
        <f t="shared" si="1"/>
        <v>45139</v>
      </c>
      <c r="D54" s="90" t="s">
        <v>172</v>
      </c>
      <c r="E54" s="159">
        <f t="shared" si="2"/>
        <v>0</v>
      </c>
      <c r="F54" s="88">
        <f t="shared" si="3"/>
        <v>31</v>
      </c>
      <c r="G54" s="227">
        <f t="shared" si="20"/>
        <v>31</v>
      </c>
      <c r="H54" s="227">
        <f t="shared" si="14"/>
        <v>31</v>
      </c>
      <c r="I54" s="227">
        <f t="shared" si="14"/>
        <v>31</v>
      </c>
      <c r="J54" s="161">
        <f t="shared" si="6"/>
        <v>0</v>
      </c>
      <c r="K54" s="227">
        <f t="shared" si="19"/>
        <v>31</v>
      </c>
      <c r="L54" s="227">
        <f t="shared" si="19"/>
        <v>31</v>
      </c>
      <c r="M54" s="161">
        <f t="shared" si="13"/>
        <v>31</v>
      </c>
      <c r="N54" s="229">
        <v>7000</v>
      </c>
      <c r="O54" s="229">
        <v>0</v>
      </c>
      <c r="P54" s="302">
        <f t="shared" si="23"/>
        <v>5952</v>
      </c>
      <c r="Q54" s="159">
        <v>1</v>
      </c>
      <c r="R54" s="229">
        <v>400</v>
      </c>
      <c r="S54" s="229">
        <f t="shared" si="21"/>
        <v>917.74224999999956</v>
      </c>
      <c r="T54" s="230">
        <v>26</v>
      </c>
      <c r="U54" s="230">
        <v>31.8</v>
      </c>
      <c r="V54" s="230">
        <v>37</v>
      </c>
      <c r="W54" s="230">
        <v>42.5</v>
      </c>
      <c r="X54" s="231">
        <v>179.2</v>
      </c>
      <c r="Y54" s="231">
        <f t="shared" si="22"/>
        <v>5.83</v>
      </c>
      <c r="Z54" s="231">
        <f t="shared" si="10"/>
        <v>0.5</v>
      </c>
      <c r="AA54" s="232">
        <v>62.37</v>
      </c>
      <c r="AB54" s="231">
        <f t="shared" si="11"/>
        <v>680.72289156626493</v>
      </c>
      <c r="AC54" s="231">
        <f t="shared" si="12"/>
        <v>10.843373493975903</v>
      </c>
      <c r="AE54" s="229">
        <f t="shared" si="18"/>
        <v>1368.4931249999988</v>
      </c>
    </row>
    <row r="55" spans="1:31" x14ac:dyDescent="0.25">
      <c r="A55" s="88">
        <f t="shared" si="0"/>
        <v>2023</v>
      </c>
      <c r="B55" s="88">
        <f t="shared" si="16"/>
        <v>9</v>
      </c>
      <c r="C55" s="89">
        <f t="shared" si="1"/>
        <v>45170</v>
      </c>
      <c r="D55" s="90" t="s">
        <v>173</v>
      </c>
      <c r="E55" s="159">
        <f t="shared" si="2"/>
        <v>0</v>
      </c>
      <c r="F55" s="88">
        <f t="shared" si="3"/>
        <v>30</v>
      </c>
      <c r="G55" s="227">
        <f>$F55</f>
        <v>30</v>
      </c>
      <c r="H55" s="227">
        <f t="shared" si="14"/>
        <v>30</v>
      </c>
      <c r="I55" s="227">
        <f t="shared" si="14"/>
        <v>30</v>
      </c>
      <c r="J55" s="161">
        <f t="shared" si="6"/>
        <v>0</v>
      </c>
      <c r="K55" s="227">
        <f t="shared" si="19"/>
        <v>30</v>
      </c>
      <c r="L55" s="227">
        <f t="shared" si="19"/>
        <v>30</v>
      </c>
      <c r="M55" s="161">
        <f t="shared" si="13"/>
        <v>30</v>
      </c>
      <c r="N55" s="229">
        <v>8000</v>
      </c>
      <c r="O55" s="229">
        <v>0</v>
      </c>
      <c r="P55" s="302">
        <f t="shared" si="23"/>
        <v>5760</v>
      </c>
      <c r="Q55" s="159">
        <v>1</v>
      </c>
      <c r="R55" s="229">
        <v>400</v>
      </c>
      <c r="S55" s="229">
        <f t="shared" si="21"/>
        <v>952.8647499999995</v>
      </c>
      <c r="T55" s="230">
        <v>26</v>
      </c>
      <c r="U55" s="230">
        <v>31.8</v>
      </c>
      <c r="V55" s="230">
        <v>37</v>
      </c>
      <c r="W55" s="230">
        <v>42.5</v>
      </c>
      <c r="X55" s="231">
        <v>179.2</v>
      </c>
      <c r="Y55" s="231">
        <f t="shared" si="22"/>
        <v>5.83</v>
      </c>
      <c r="Z55" s="231">
        <f t="shared" si="10"/>
        <v>0.5</v>
      </c>
      <c r="AA55" s="232">
        <v>62.37</v>
      </c>
      <c r="AB55" s="231">
        <f t="shared" si="11"/>
        <v>680.72289156626493</v>
      </c>
      <c r="AC55" s="231">
        <f t="shared" si="12"/>
        <v>10.843373493975903</v>
      </c>
      <c r="AE55" s="229">
        <f t="shared" si="18"/>
        <v>1403.6156249999988</v>
      </c>
    </row>
    <row r="56" spans="1:31" x14ac:dyDescent="0.25">
      <c r="A56" s="88">
        <f t="shared" si="0"/>
        <v>2023</v>
      </c>
      <c r="B56" s="88">
        <f t="shared" si="16"/>
        <v>10</v>
      </c>
      <c r="C56" s="89">
        <f t="shared" si="1"/>
        <v>45200</v>
      </c>
      <c r="D56" s="90" t="s">
        <v>174</v>
      </c>
      <c r="E56" s="159">
        <f t="shared" si="2"/>
        <v>0</v>
      </c>
      <c r="F56" s="88">
        <f t="shared" si="3"/>
        <v>31</v>
      </c>
      <c r="G56" s="227">
        <f>$F56</f>
        <v>31</v>
      </c>
      <c r="H56" s="227">
        <f t="shared" si="14"/>
        <v>31</v>
      </c>
      <c r="I56" s="227">
        <f t="shared" si="14"/>
        <v>31</v>
      </c>
      <c r="J56" s="161">
        <f t="shared" si="6"/>
        <v>0</v>
      </c>
      <c r="K56" s="227">
        <f t="shared" si="19"/>
        <v>31</v>
      </c>
      <c r="L56" s="227">
        <f t="shared" si="19"/>
        <v>31</v>
      </c>
      <c r="M56" s="161">
        <f t="shared" si="13"/>
        <v>31</v>
      </c>
      <c r="N56" s="229">
        <v>19700</v>
      </c>
      <c r="O56" s="229">
        <v>0</v>
      </c>
      <c r="P56" s="302">
        <f t="shared" si="23"/>
        <v>5952</v>
      </c>
      <c r="Q56" s="159">
        <v>1</v>
      </c>
      <c r="R56" s="229">
        <v>400</v>
      </c>
      <c r="S56" s="229">
        <f t="shared" si="21"/>
        <v>989.15799999999945</v>
      </c>
      <c r="T56" s="230">
        <v>26</v>
      </c>
      <c r="U56" s="230">
        <v>31.8</v>
      </c>
      <c r="V56" s="230">
        <v>37</v>
      </c>
      <c r="W56" s="230">
        <v>42.5</v>
      </c>
      <c r="X56" s="231">
        <v>179.2</v>
      </c>
      <c r="Y56" s="231">
        <f t="shared" si="22"/>
        <v>5.83</v>
      </c>
      <c r="Z56" s="231">
        <f t="shared" si="10"/>
        <v>0.5</v>
      </c>
      <c r="AA56" s="232">
        <v>62.37</v>
      </c>
      <c r="AB56" s="231">
        <f t="shared" si="11"/>
        <v>680.72289156626493</v>
      </c>
      <c r="AC56" s="231">
        <f t="shared" si="12"/>
        <v>10.843373493975903</v>
      </c>
      <c r="AE56" s="229">
        <f t="shared" si="18"/>
        <v>1439.9088749999987</v>
      </c>
    </row>
    <row r="57" spans="1:31" x14ac:dyDescent="0.25">
      <c r="A57" s="88">
        <f t="shared" si="0"/>
        <v>2023</v>
      </c>
      <c r="B57" s="88">
        <f t="shared" si="16"/>
        <v>11</v>
      </c>
      <c r="C57" s="89">
        <f t="shared" si="1"/>
        <v>45231</v>
      </c>
      <c r="D57" s="90" t="s">
        <v>175</v>
      </c>
      <c r="E57" s="159">
        <f t="shared" si="2"/>
        <v>0</v>
      </c>
      <c r="F57" s="88">
        <f t="shared" si="3"/>
        <v>30</v>
      </c>
      <c r="G57" s="227">
        <f>$F57</f>
        <v>30</v>
      </c>
      <c r="H57" s="227">
        <f t="shared" si="14"/>
        <v>30</v>
      </c>
      <c r="I57" s="227">
        <f t="shared" si="14"/>
        <v>30</v>
      </c>
      <c r="J57" s="161">
        <f t="shared" si="6"/>
        <v>7.8125</v>
      </c>
      <c r="K57" s="227">
        <f t="shared" si="19"/>
        <v>30</v>
      </c>
      <c r="L57" s="227">
        <f t="shared" si="19"/>
        <v>30</v>
      </c>
      <c r="M57" s="161">
        <f t="shared" si="13"/>
        <v>30</v>
      </c>
      <c r="N57" s="229">
        <v>27500</v>
      </c>
      <c r="O57" s="229">
        <v>1500</v>
      </c>
      <c r="P57" s="302">
        <f t="shared" si="23"/>
        <v>5760</v>
      </c>
      <c r="Q57" s="159">
        <v>1</v>
      </c>
      <c r="R57" s="229">
        <v>400</v>
      </c>
      <c r="S57" s="229">
        <f t="shared" si="21"/>
        <v>1024.2804999999994</v>
      </c>
      <c r="T57" s="230">
        <v>26</v>
      </c>
      <c r="U57" s="230">
        <v>31.8</v>
      </c>
      <c r="V57" s="230">
        <v>37</v>
      </c>
      <c r="W57" s="230">
        <v>42.5</v>
      </c>
      <c r="X57" s="231">
        <v>179.2</v>
      </c>
      <c r="Y57" s="231">
        <f t="shared" si="22"/>
        <v>5.83</v>
      </c>
      <c r="Z57" s="231">
        <f t="shared" si="10"/>
        <v>0.5</v>
      </c>
      <c r="AA57" s="232">
        <v>62.37</v>
      </c>
      <c r="AB57" s="231">
        <f t="shared" si="11"/>
        <v>680.72289156626493</v>
      </c>
      <c r="AC57" s="231">
        <f t="shared" si="12"/>
        <v>10.843373493975903</v>
      </c>
      <c r="AE57" s="229">
        <f t="shared" si="18"/>
        <v>1475.0313749999987</v>
      </c>
    </row>
    <row r="58" spans="1:31" x14ac:dyDescent="0.25">
      <c r="A58" s="91">
        <f t="shared" si="0"/>
        <v>2023</v>
      </c>
      <c r="B58" s="91">
        <f t="shared" si="16"/>
        <v>12</v>
      </c>
      <c r="C58" s="92">
        <f t="shared" si="1"/>
        <v>45261</v>
      </c>
      <c r="D58" s="93" t="s">
        <v>176</v>
      </c>
      <c r="E58" s="160">
        <f t="shared" si="2"/>
        <v>0</v>
      </c>
      <c r="F58" s="91">
        <f>IF(B58=12,31,_xlfn.DAYS(D59,C58))</f>
        <v>31</v>
      </c>
      <c r="G58" s="228">
        <f>$F58</f>
        <v>31</v>
      </c>
      <c r="H58" s="228">
        <f t="shared" si="14"/>
        <v>31</v>
      </c>
      <c r="I58" s="228">
        <f t="shared" si="14"/>
        <v>31</v>
      </c>
      <c r="J58" s="162">
        <f t="shared" si="6"/>
        <v>29.166666666666668</v>
      </c>
      <c r="K58" s="228">
        <f t="shared" si="19"/>
        <v>31</v>
      </c>
      <c r="L58" s="228">
        <f t="shared" si="19"/>
        <v>31</v>
      </c>
      <c r="M58" s="162">
        <f t="shared" si="13"/>
        <v>31</v>
      </c>
      <c r="N58" s="233">
        <v>33000</v>
      </c>
      <c r="O58" s="233">
        <v>5600</v>
      </c>
      <c r="P58" s="301">
        <f t="shared" si="23"/>
        <v>5952</v>
      </c>
      <c r="Q58" s="160">
        <v>1</v>
      </c>
      <c r="R58" s="233">
        <v>400</v>
      </c>
      <c r="S58" s="233">
        <f t="shared" si="21"/>
        <v>1060.5737499999993</v>
      </c>
      <c r="T58" s="234">
        <v>26</v>
      </c>
      <c r="U58" s="234">
        <v>31.8</v>
      </c>
      <c r="V58" s="234">
        <v>37</v>
      </c>
      <c r="W58" s="234">
        <v>42.5</v>
      </c>
      <c r="X58" s="235">
        <v>179.2</v>
      </c>
      <c r="Y58" s="235">
        <f t="shared" si="22"/>
        <v>5.83</v>
      </c>
      <c r="Z58" s="235">
        <f t="shared" si="10"/>
        <v>0.5</v>
      </c>
      <c r="AA58" s="236">
        <v>62.37</v>
      </c>
      <c r="AB58" s="235">
        <f t="shared" si="11"/>
        <v>680.72289156626493</v>
      </c>
      <c r="AC58" s="235">
        <f t="shared" si="12"/>
        <v>10.843373493975903</v>
      </c>
      <c r="AE58" s="233">
        <f t="shared" si="18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31" priority="11" operator="notBetween">
      <formula>1</formula>
      <formula>12</formula>
    </cfRule>
  </conditionalFormatting>
  <conditionalFormatting sqref="E23:E58">
    <cfRule type="cellIs" dxfId="30" priority="10" operator="greaterThan">
      <formula>0</formula>
    </cfRule>
  </conditionalFormatting>
  <conditionalFormatting sqref="G4">
    <cfRule type="containsText" dxfId="29" priority="9" operator="containsText" text="FEJL">
      <formula>NOT(ISERROR(SEARCH("FEJL",G4)))</formula>
    </cfRule>
  </conditionalFormatting>
  <conditionalFormatting sqref="F4">
    <cfRule type="cellIs" dxfId="28" priority="7" operator="greaterThan">
      <formula>0</formula>
    </cfRule>
  </conditionalFormatting>
  <conditionalFormatting sqref="B12:B17">
    <cfRule type="cellIs" dxfId="27" priority="4" operator="greaterThan">
      <formula>0</formula>
    </cfRule>
  </conditionalFormatting>
  <conditionalFormatting sqref="R12:R17">
    <cfRule type="cellIs" dxfId="26" priority="2" operator="greaterThan">
      <formula>0</formula>
    </cfRule>
    <cfRule type="cellIs" dxfId="25" priority="3" operator="greaterThan">
      <formula>0</formula>
    </cfRule>
  </conditionalFormatting>
  <conditionalFormatting sqref="Q23:Q58">
    <cfRule type="cellIs" dxfId="24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 tint="0.59999389629810485"/>
  </sheetPr>
  <dimension ref="A1:AQ255"/>
  <sheetViews>
    <sheetView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H57" sqref="H57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3" s="111" customFormat="1" ht="18.75" x14ac:dyDescent="0.3">
      <c r="A1" s="109"/>
      <c r="B1" s="110" t="s">
        <v>109</v>
      </c>
      <c r="C1" s="109"/>
      <c r="D1" s="109"/>
      <c r="E1" s="110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</row>
    <row r="2" spans="1:43" hidden="1" outlineLevel="1" x14ac:dyDescent="0.25">
      <c r="D2" s="80"/>
      <c r="G2" s="80"/>
      <c r="H2" s="80"/>
      <c r="I2" s="11"/>
      <c r="J2" s="79"/>
      <c r="K2" s="79"/>
      <c r="L2" s="79"/>
      <c r="M2" s="398" t="s">
        <v>240</v>
      </c>
      <c r="N2" s="399"/>
      <c r="O2" s="379" t="s">
        <v>239</v>
      </c>
      <c r="P2" s="380"/>
      <c r="Q2" s="116"/>
      <c r="R2" s="116"/>
      <c r="S2" s="116"/>
      <c r="U2" s="376" t="s">
        <v>213</v>
      </c>
      <c r="V2" s="377"/>
      <c r="W2" s="378"/>
      <c r="Y2" s="16"/>
      <c r="AD2" s="9">
        <f>SUMIF(Y5:Y30,"=1",AD5:AD30)</f>
        <v>148732</v>
      </c>
      <c r="AH2"/>
      <c r="AQ2" s="6"/>
    </row>
    <row r="3" spans="1:43" hidden="1" outlineLevel="1" x14ac:dyDescent="0.25">
      <c r="C3" s="1"/>
      <c r="D3" s="6" t="s">
        <v>68</v>
      </c>
      <c r="E3" s="11" t="s">
        <v>238</v>
      </c>
      <c r="F3" s="6" t="s">
        <v>68</v>
      </c>
      <c r="G3" s="6" t="s">
        <v>68</v>
      </c>
      <c r="H3" s="6" t="s">
        <v>68</v>
      </c>
      <c r="I3" s="11" t="s">
        <v>68</v>
      </c>
      <c r="J3" s="6" t="s">
        <v>217</v>
      </c>
      <c r="K3" s="6" t="s">
        <v>217</v>
      </c>
      <c r="L3" s="6" t="s">
        <v>478</v>
      </c>
      <c r="M3" s="6" t="s">
        <v>64</v>
      </c>
      <c r="N3" s="6" t="s">
        <v>64</v>
      </c>
      <c r="O3" s="6" t="s">
        <v>66</v>
      </c>
      <c r="P3" s="6" t="s">
        <v>66</v>
      </c>
      <c r="Q3" s="6" t="s">
        <v>59</v>
      </c>
      <c r="R3" s="6" t="s">
        <v>58</v>
      </c>
      <c r="S3" s="6" t="s">
        <v>303</v>
      </c>
      <c r="T3" s="6" t="s">
        <v>100</v>
      </c>
      <c r="U3" s="104" t="s">
        <v>72</v>
      </c>
      <c r="V3" s="105" t="s">
        <v>71</v>
      </c>
      <c r="W3" s="166" t="s">
        <v>84</v>
      </c>
      <c r="Y3" s="16"/>
      <c r="AH3"/>
      <c r="AQ3" s="6"/>
    </row>
    <row r="4" spans="1:43" hidden="1" outlineLevel="1" x14ac:dyDescent="0.25">
      <c r="A4" s="94"/>
      <c r="B4" s="95" t="s">
        <v>0</v>
      </c>
      <c r="C4" s="96" t="s">
        <v>111</v>
      </c>
      <c r="D4" s="203" t="s">
        <v>184</v>
      </c>
      <c r="E4" s="204" t="s">
        <v>252</v>
      </c>
      <c r="F4" s="203" t="s">
        <v>88</v>
      </c>
      <c r="G4" s="203" t="s">
        <v>112</v>
      </c>
      <c r="H4" s="203" t="s">
        <v>323</v>
      </c>
      <c r="I4" s="204" t="s">
        <v>253</v>
      </c>
      <c r="J4" s="357" t="s">
        <v>242</v>
      </c>
      <c r="K4" s="357" t="s">
        <v>243</v>
      </c>
      <c r="L4" s="357" t="s">
        <v>477</v>
      </c>
      <c r="M4" s="357" t="s">
        <v>254</v>
      </c>
      <c r="N4" s="357" t="s">
        <v>255</v>
      </c>
      <c r="O4" s="203" t="s">
        <v>244</v>
      </c>
      <c r="P4" s="203" t="s">
        <v>245</v>
      </c>
      <c r="Q4" s="357" t="s">
        <v>256</v>
      </c>
      <c r="R4" s="357" t="s">
        <v>393</v>
      </c>
      <c r="S4" s="97" t="s">
        <v>304</v>
      </c>
      <c r="T4" s="358" t="s">
        <v>259</v>
      </c>
      <c r="U4" s="108" t="s">
        <v>214</v>
      </c>
      <c r="V4" s="97" t="s">
        <v>257</v>
      </c>
      <c r="W4" s="107" t="s">
        <v>302</v>
      </c>
      <c r="Y4" s="11" t="s">
        <v>184</v>
      </c>
      <c r="Z4" s="9" t="s">
        <v>88</v>
      </c>
      <c r="AA4" s="11" t="s">
        <v>112</v>
      </c>
      <c r="AB4" s="9" t="s">
        <v>113</v>
      </c>
      <c r="AD4" s="9" t="s">
        <v>260</v>
      </c>
      <c r="AE4" t="s">
        <v>449</v>
      </c>
      <c r="AH4"/>
      <c r="AQ4" s="6"/>
    </row>
    <row r="5" spans="1:43" hidden="1" outlineLevel="1" x14ac:dyDescent="0.25">
      <c r="A5" s="118"/>
      <c r="B5" s="119" t="s">
        <v>13</v>
      </c>
      <c r="C5" s="119" t="s">
        <v>14</v>
      </c>
      <c r="D5" s="167">
        <v>1</v>
      </c>
      <c r="E5" s="120">
        <v>1</v>
      </c>
      <c r="F5" s="167">
        <v>0</v>
      </c>
      <c r="G5" s="167">
        <v>0</v>
      </c>
      <c r="H5" s="167">
        <v>1</v>
      </c>
      <c r="I5" s="120">
        <v>1</v>
      </c>
      <c r="J5" s="176">
        <v>1</v>
      </c>
      <c r="K5" s="176">
        <v>1</v>
      </c>
      <c r="L5" s="400">
        <v>2.5</v>
      </c>
      <c r="M5" s="182">
        <v>12915.299999999997</v>
      </c>
      <c r="N5" s="182">
        <v>12915.299999999997</v>
      </c>
      <c r="O5" s="262">
        <f>IF($F5=0,-1,0)</f>
        <v>-1</v>
      </c>
      <c r="P5" s="262">
        <f>IF($F5=0,-1,0)</f>
        <v>-1</v>
      </c>
      <c r="Q5" s="182">
        <v>525</v>
      </c>
      <c r="R5" s="183">
        <v>10.5</v>
      </c>
      <c r="S5" s="183">
        <v>1.1000000000000001</v>
      </c>
      <c r="T5" s="184">
        <v>37</v>
      </c>
      <c r="U5" s="122">
        <f t="shared" ref="U5:U33" si="0">T5*R5/1000</f>
        <v>0.38850000000000001</v>
      </c>
      <c r="V5" s="121">
        <f t="shared" ref="V5:V33" si="1">Q5/R5</f>
        <v>50</v>
      </c>
      <c r="W5" s="123">
        <f>IF(D5=0,0,N5*R5)/3.6</f>
        <v>37669.624999999993</v>
      </c>
      <c r="Y5" s="11">
        <v>1</v>
      </c>
      <c r="Z5" s="117" t="b">
        <f>(F5&lt;&gt;0)</f>
        <v>0</v>
      </c>
      <c r="AA5" s="117" t="b">
        <f>(H5&lt;&gt;0)</f>
        <v>1</v>
      </c>
      <c r="AB5" s="117" t="b">
        <f>(I5&lt;&gt;0)</f>
        <v>1</v>
      </c>
      <c r="AD5" s="361">
        <v>9093</v>
      </c>
      <c r="AE5" s="361">
        <v>12915.299999999997</v>
      </c>
      <c r="AF5" s="362" t="str">
        <f>C5</f>
        <v>DepoSort</v>
      </c>
      <c r="AH5"/>
      <c r="AQ5" s="6"/>
    </row>
    <row r="6" spans="1:43" hidden="1" outlineLevel="1" x14ac:dyDescent="0.25">
      <c r="A6" s="124"/>
      <c r="B6" s="125" t="s">
        <v>15</v>
      </c>
      <c r="C6" s="125" t="s">
        <v>16</v>
      </c>
      <c r="D6" s="168">
        <v>0</v>
      </c>
      <c r="E6" s="126">
        <v>1</v>
      </c>
      <c r="F6" s="168">
        <v>0</v>
      </c>
      <c r="G6" s="168">
        <v>0</v>
      </c>
      <c r="H6" s="168">
        <v>1</v>
      </c>
      <c r="I6" s="126">
        <v>1</v>
      </c>
      <c r="J6" s="177">
        <v>1</v>
      </c>
      <c r="K6" s="177">
        <v>1</v>
      </c>
      <c r="L6" s="401" t="s">
        <v>479</v>
      </c>
      <c r="M6" s="185">
        <v>0</v>
      </c>
      <c r="N6" s="185">
        <v>0</v>
      </c>
      <c r="O6" s="263">
        <f t="shared" ref="O6:P30" si="2">IF($F6=0,-1,0)</f>
        <v>-1</v>
      </c>
      <c r="P6" s="263">
        <f t="shared" si="2"/>
        <v>-1</v>
      </c>
      <c r="Q6" s="185">
        <v>525</v>
      </c>
      <c r="R6" s="186">
        <v>10.5</v>
      </c>
      <c r="S6" s="186">
        <v>1.1000000000000001</v>
      </c>
      <c r="T6" s="187">
        <v>37</v>
      </c>
      <c r="U6" s="128">
        <f t="shared" si="0"/>
        <v>0.38850000000000001</v>
      </c>
      <c r="V6" s="127">
        <f t="shared" si="1"/>
        <v>50</v>
      </c>
      <c r="W6" s="129">
        <f>IF(D6=0,0,N6*R6)/3.6</f>
        <v>0</v>
      </c>
      <c r="Y6" s="11">
        <v>0</v>
      </c>
      <c r="Z6" s="117" t="b">
        <f>(F6&lt;&gt;0)</f>
        <v>0</v>
      </c>
      <c r="AA6" s="117" t="b">
        <f>(H6&lt;&gt;0)</f>
        <v>1</v>
      </c>
      <c r="AB6" s="117" t="b">
        <f>(I6&lt;&gt;0)</f>
        <v>1</v>
      </c>
      <c r="AD6" s="361">
        <v>0</v>
      </c>
      <c r="AE6" s="361">
        <v>0</v>
      </c>
      <c r="AF6" s="362" t="str">
        <f>C6</f>
        <v>DepoSmaat</v>
      </c>
      <c r="AH6"/>
      <c r="AQ6" s="6"/>
    </row>
    <row r="7" spans="1:43" hidden="1" outlineLevel="1" x14ac:dyDescent="0.25">
      <c r="A7" s="124"/>
      <c r="B7" s="125" t="s">
        <v>17</v>
      </c>
      <c r="C7" s="125" t="s">
        <v>18</v>
      </c>
      <c r="D7" s="168">
        <v>0</v>
      </c>
      <c r="E7" s="126">
        <v>1</v>
      </c>
      <c r="F7" s="168">
        <v>0</v>
      </c>
      <c r="G7" s="168">
        <v>0</v>
      </c>
      <c r="H7" s="168">
        <v>1</v>
      </c>
      <c r="I7" s="126">
        <v>1</v>
      </c>
      <c r="J7" s="177">
        <v>1</v>
      </c>
      <c r="K7" s="177">
        <v>1</v>
      </c>
      <c r="L7" s="401" t="s">
        <v>479</v>
      </c>
      <c r="M7" s="185">
        <v>0</v>
      </c>
      <c r="N7" s="185">
        <v>0</v>
      </c>
      <c r="O7" s="263">
        <f t="shared" si="2"/>
        <v>-1</v>
      </c>
      <c r="P7" s="263">
        <f t="shared" si="2"/>
        <v>-1</v>
      </c>
      <c r="Q7" s="185">
        <v>525</v>
      </c>
      <c r="R7" s="186">
        <v>10.5</v>
      </c>
      <c r="S7" s="186">
        <v>1.1000000000000001</v>
      </c>
      <c r="T7" s="187">
        <v>37</v>
      </c>
      <c r="U7" s="128">
        <f t="shared" si="0"/>
        <v>0.38850000000000001</v>
      </c>
      <c r="V7" s="127">
        <f t="shared" si="1"/>
        <v>50</v>
      </c>
      <c r="W7" s="129">
        <f>IF(D7=0,0,N7*R7)/3.6</f>
        <v>0</v>
      </c>
      <c r="Y7" s="11">
        <v>0</v>
      </c>
      <c r="Z7" s="117" t="b">
        <f>(F7&lt;&gt;0)</f>
        <v>0</v>
      </c>
      <c r="AA7" s="117" t="b">
        <f>(H7&lt;&gt;0)</f>
        <v>1</v>
      </c>
      <c r="AB7" s="117" t="b">
        <f>(I7&lt;&gt;0)</f>
        <v>1</v>
      </c>
      <c r="AD7" s="361">
        <v>0</v>
      </c>
      <c r="AE7" s="361">
        <v>0</v>
      </c>
      <c r="AF7" s="362" t="str">
        <f>C7</f>
        <v>DepoNedd</v>
      </c>
      <c r="AH7"/>
      <c r="AQ7" s="6"/>
    </row>
    <row r="8" spans="1:43" hidden="1" outlineLevel="1" x14ac:dyDescent="0.25">
      <c r="A8" s="124"/>
      <c r="B8" s="130" t="s">
        <v>19</v>
      </c>
      <c r="C8" s="130" t="s">
        <v>20</v>
      </c>
      <c r="D8" s="168">
        <v>1</v>
      </c>
      <c r="E8" s="126">
        <v>1</v>
      </c>
      <c r="F8" s="168">
        <v>0</v>
      </c>
      <c r="G8" s="168">
        <v>0</v>
      </c>
      <c r="H8" s="168">
        <v>0</v>
      </c>
      <c r="I8" s="126">
        <v>1</v>
      </c>
      <c r="J8" s="177">
        <v>1</v>
      </c>
      <c r="K8" s="177">
        <v>1</v>
      </c>
      <c r="L8" s="401">
        <v>0.1</v>
      </c>
      <c r="M8" s="185">
        <v>28766.78</v>
      </c>
      <c r="N8" s="185">
        <v>28766.78</v>
      </c>
      <c r="O8" s="263">
        <f t="shared" si="2"/>
        <v>-1</v>
      </c>
      <c r="P8" s="263">
        <f t="shared" si="2"/>
        <v>-1</v>
      </c>
      <c r="Q8" s="185">
        <v>525</v>
      </c>
      <c r="R8" s="186">
        <v>9.4</v>
      </c>
      <c r="S8" s="186">
        <v>1.1000000000000001</v>
      </c>
      <c r="T8" s="187">
        <v>37</v>
      </c>
      <c r="U8" s="128">
        <f t="shared" si="0"/>
        <v>0.3478</v>
      </c>
      <c r="V8" s="127">
        <f t="shared" si="1"/>
        <v>55.851063829787229</v>
      </c>
      <c r="W8" s="129">
        <f>IF(D8=0,0,N8*R8)/3.6</f>
        <v>75113.258888888886</v>
      </c>
      <c r="Y8" s="11">
        <v>1</v>
      </c>
      <c r="Z8" s="117" t="b">
        <f>(F8&lt;&gt;0)</f>
        <v>0</v>
      </c>
      <c r="AA8" s="117" t="b">
        <f>(H8&lt;&gt;0)</f>
        <v>0</v>
      </c>
      <c r="AB8" s="117" t="b">
        <f>(I8&lt;&gt;0)</f>
        <v>1</v>
      </c>
      <c r="AD8" s="361">
        <v>28869</v>
      </c>
      <c r="AE8" s="361">
        <v>28766.78</v>
      </c>
      <c r="AF8" s="362" t="str">
        <f>C8</f>
        <v>Dagren</v>
      </c>
      <c r="AH8"/>
      <c r="AQ8" s="6"/>
    </row>
    <row r="9" spans="1:43" hidden="1" outlineLevel="1" x14ac:dyDescent="0.25">
      <c r="A9" s="124"/>
      <c r="B9" s="130" t="s">
        <v>21</v>
      </c>
      <c r="C9" s="130" t="s">
        <v>22</v>
      </c>
      <c r="D9" s="168">
        <v>1</v>
      </c>
      <c r="E9" s="126">
        <v>1</v>
      </c>
      <c r="F9" s="168">
        <v>0</v>
      </c>
      <c r="G9" s="168">
        <v>0</v>
      </c>
      <c r="H9" s="168">
        <v>0</v>
      </c>
      <c r="I9" s="126">
        <v>1</v>
      </c>
      <c r="J9" s="177">
        <v>1</v>
      </c>
      <c r="K9" s="177">
        <v>1</v>
      </c>
      <c r="L9" s="401">
        <v>0.70490564593355709</v>
      </c>
      <c r="M9" s="185">
        <v>4232.4090000000006</v>
      </c>
      <c r="N9" s="185">
        <v>4232.4090000000006</v>
      </c>
      <c r="O9" s="263">
        <f t="shared" si="2"/>
        <v>-1</v>
      </c>
      <c r="P9" s="263">
        <f t="shared" si="2"/>
        <v>-1</v>
      </c>
      <c r="Q9" s="185">
        <v>525</v>
      </c>
      <c r="R9" s="186">
        <v>10.5</v>
      </c>
      <c r="S9" s="186">
        <v>1.1000000000000001</v>
      </c>
      <c r="T9" s="187">
        <v>37</v>
      </c>
      <c r="U9" s="128">
        <f t="shared" si="0"/>
        <v>0.38850000000000001</v>
      </c>
      <c r="V9" s="127">
        <f t="shared" si="1"/>
        <v>50</v>
      </c>
      <c r="W9" s="129">
        <f>IF(D9=0,0,N9*R9)/3.6</f>
        <v>12344.526250000001</v>
      </c>
      <c r="Y9" s="11">
        <v>1</v>
      </c>
      <c r="Z9" s="117" t="b">
        <f>(F9&lt;&gt;0)</f>
        <v>0</v>
      </c>
      <c r="AA9" s="117" t="b">
        <f>(H9&lt;&gt;0)</f>
        <v>0</v>
      </c>
      <c r="AB9" s="117" t="b">
        <f>(I9&lt;&gt;0)</f>
        <v>1</v>
      </c>
      <c r="AD9" s="361">
        <v>3500</v>
      </c>
      <c r="AE9" s="361">
        <v>4232.4090000000006</v>
      </c>
      <c r="AF9" s="362" t="str">
        <f>C9</f>
        <v>AndetBrand</v>
      </c>
      <c r="AH9"/>
      <c r="AQ9" s="6"/>
    </row>
    <row r="10" spans="1:43" hidden="1" outlineLevel="1" x14ac:dyDescent="0.25">
      <c r="A10" s="124"/>
      <c r="B10" s="130" t="s">
        <v>23</v>
      </c>
      <c r="C10" s="130" t="s">
        <v>24</v>
      </c>
      <c r="D10" s="168">
        <v>1</v>
      </c>
      <c r="E10" s="126">
        <v>1</v>
      </c>
      <c r="F10" s="168">
        <v>0</v>
      </c>
      <c r="G10" s="168">
        <v>0</v>
      </c>
      <c r="H10" s="168">
        <v>0</v>
      </c>
      <c r="I10" s="126">
        <v>1</v>
      </c>
      <c r="J10" s="177">
        <v>1</v>
      </c>
      <c r="K10" s="177">
        <v>1</v>
      </c>
      <c r="L10" s="401"/>
      <c r="M10" s="185">
        <v>33.35</v>
      </c>
      <c r="N10" s="185">
        <v>33.35</v>
      </c>
      <c r="O10" s="263">
        <f t="shared" si="2"/>
        <v>-1</v>
      </c>
      <c r="P10" s="263">
        <f t="shared" si="2"/>
        <v>-1</v>
      </c>
      <c r="Q10" s="185">
        <v>155</v>
      </c>
      <c r="R10" s="186">
        <v>14.5</v>
      </c>
      <c r="S10" s="186">
        <v>1.1000000000000001</v>
      </c>
      <c r="T10" s="187">
        <v>37</v>
      </c>
      <c r="U10" s="128">
        <f t="shared" si="0"/>
        <v>0.53649999999999998</v>
      </c>
      <c r="V10" s="127">
        <f t="shared" si="1"/>
        <v>10.689655172413794</v>
      </c>
      <c r="W10" s="129">
        <f>IF(D10=0,0,N10*R10)/3.6</f>
        <v>134.32638888888889</v>
      </c>
      <c r="Y10" s="11">
        <v>0</v>
      </c>
      <c r="Z10" s="117" t="b">
        <f>(F10&lt;&gt;0)</f>
        <v>0</v>
      </c>
      <c r="AA10" s="117" t="b">
        <f>(H10&lt;&gt;0)</f>
        <v>0</v>
      </c>
      <c r="AB10" s="117" t="b">
        <f>(I10&lt;&gt;0)</f>
        <v>1</v>
      </c>
      <c r="AD10" s="361">
        <v>0</v>
      </c>
      <c r="AE10" s="361">
        <v>33.35</v>
      </c>
      <c r="AF10" s="362" t="str">
        <f>C10</f>
        <v>Trae</v>
      </c>
      <c r="AH10"/>
      <c r="AQ10" s="6"/>
    </row>
    <row r="11" spans="1:43" hidden="1" outlineLevel="1" x14ac:dyDescent="0.25">
      <c r="A11" s="124"/>
      <c r="B11" s="130" t="s">
        <v>25</v>
      </c>
      <c r="C11" s="130" t="s">
        <v>26</v>
      </c>
      <c r="D11" s="168">
        <v>1</v>
      </c>
      <c r="E11" s="126">
        <v>1</v>
      </c>
      <c r="F11" s="168">
        <v>0</v>
      </c>
      <c r="G11" s="168">
        <v>0</v>
      </c>
      <c r="H11" s="168">
        <v>0</v>
      </c>
      <c r="I11" s="126">
        <v>1</v>
      </c>
      <c r="J11" s="177">
        <v>1</v>
      </c>
      <c r="K11" s="177">
        <v>1</v>
      </c>
      <c r="L11" s="401">
        <v>0.34767750327522634</v>
      </c>
      <c r="M11" s="185">
        <v>4289.78</v>
      </c>
      <c r="N11" s="185">
        <v>4289.78</v>
      </c>
      <c r="O11" s="263">
        <f t="shared" si="2"/>
        <v>-1</v>
      </c>
      <c r="P11" s="263">
        <f t="shared" si="2"/>
        <v>-1</v>
      </c>
      <c r="Q11" s="185">
        <v>525</v>
      </c>
      <c r="R11" s="186">
        <v>12</v>
      </c>
      <c r="S11" s="186">
        <v>1.1000000000000001</v>
      </c>
      <c r="T11" s="187">
        <v>37</v>
      </c>
      <c r="U11" s="128">
        <f t="shared" si="0"/>
        <v>0.44400000000000001</v>
      </c>
      <c r="V11" s="127">
        <f t="shared" si="1"/>
        <v>43.75</v>
      </c>
      <c r="W11" s="129">
        <f>IF(D11=0,0,N11*R11)/3.6</f>
        <v>14299.266666666666</v>
      </c>
      <c r="Y11" s="11">
        <v>0</v>
      </c>
      <c r="Z11" s="117" t="b">
        <f>(F11&lt;&gt;0)</f>
        <v>0</v>
      </c>
      <c r="AA11" s="117" t="b">
        <f>(H11&lt;&gt;0)</f>
        <v>0</v>
      </c>
      <c r="AB11" s="117" t="b">
        <f>(I11&lt;&gt;0)</f>
        <v>1</v>
      </c>
      <c r="AD11" s="361">
        <v>0</v>
      </c>
      <c r="AE11" s="361">
        <v>4289.78</v>
      </c>
      <c r="AF11" s="362" t="str">
        <f>C11</f>
        <v>DagrenRast</v>
      </c>
      <c r="AH11"/>
      <c r="AQ11" s="6"/>
    </row>
    <row r="12" spans="1:43" hidden="1" outlineLevel="1" x14ac:dyDescent="0.25">
      <c r="A12" s="124"/>
      <c r="B12" s="130" t="s">
        <v>27</v>
      </c>
      <c r="C12" s="130" t="s">
        <v>28</v>
      </c>
      <c r="D12" s="168">
        <v>1</v>
      </c>
      <c r="E12" s="126">
        <v>1</v>
      </c>
      <c r="F12" s="168">
        <v>0</v>
      </c>
      <c r="G12" s="168">
        <v>0</v>
      </c>
      <c r="H12" s="168">
        <v>0</v>
      </c>
      <c r="I12" s="126">
        <v>1</v>
      </c>
      <c r="J12" s="177">
        <v>1</v>
      </c>
      <c r="K12" s="177">
        <v>1</v>
      </c>
      <c r="L12" s="401">
        <v>1.1000000000000001</v>
      </c>
      <c r="M12" s="185">
        <v>106.89999999999998</v>
      </c>
      <c r="N12" s="185">
        <v>106.89999999999998</v>
      </c>
      <c r="O12" s="263">
        <f t="shared" si="2"/>
        <v>-1</v>
      </c>
      <c r="P12" s="263">
        <f t="shared" si="2"/>
        <v>-1</v>
      </c>
      <c r="Q12" s="185">
        <v>525</v>
      </c>
      <c r="R12" s="186">
        <v>9</v>
      </c>
      <c r="S12" s="186">
        <v>1.1000000000000001</v>
      </c>
      <c r="T12" s="187">
        <v>37</v>
      </c>
      <c r="U12" s="128">
        <f t="shared" si="0"/>
        <v>0.33300000000000002</v>
      </c>
      <c r="V12" s="127">
        <f t="shared" si="1"/>
        <v>58.333333333333336</v>
      </c>
      <c r="W12" s="129">
        <f>IF(D12=0,0,N12*R12)/3.6</f>
        <v>267.24999999999994</v>
      </c>
      <c r="Y12" s="11">
        <v>1</v>
      </c>
      <c r="Z12" s="117" t="b">
        <f>(F12&lt;&gt;0)</f>
        <v>0</v>
      </c>
      <c r="AA12" s="117" t="b">
        <f>(H12&lt;&gt;0)</f>
        <v>0</v>
      </c>
      <c r="AB12" s="117" t="b">
        <f>(I12&lt;&gt;0)</f>
        <v>1</v>
      </c>
      <c r="AD12" s="361">
        <v>7800</v>
      </c>
      <c r="AE12" s="361">
        <v>106.89999999999998</v>
      </c>
      <c r="AF12" s="362" t="str">
        <f>C12</f>
        <v>DagrenInst</v>
      </c>
      <c r="AH12"/>
      <c r="AQ12" s="6"/>
    </row>
    <row r="13" spans="1:43" hidden="1" outlineLevel="1" x14ac:dyDescent="0.25">
      <c r="A13" s="124"/>
      <c r="B13" s="130" t="s">
        <v>29</v>
      </c>
      <c r="C13" s="130" t="s">
        <v>30</v>
      </c>
      <c r="D13" s="168">
        <v>1</v>
      </c>
      <c r="E13" s="126">
        <v>1</v>
      </c>
      <c r="F13" s="168">
        <v>0</v>
      </c>
      <c r="G13" s="168">
        <v>0</v>
      </c>
      <c r="H13" s="168">
        <v>0</v>
      </c>
      <c r="I13" s="126">
        <v>1</v>
      </c>
      <c r="J13" s="177">
        <v>1</v>
      </c>
      <c r="K13" s="177">
        <v>1</v>
      </c>
      <c r="L13" s="401">
        <v>0.4</v>
      </c>
      <c r="M13" s="185">
        <v>4266.01</v>
      </c>
      <c r="N13" s="185">
        <v>4266.01</v>
      </c>
      <c r="O13" s="263">
        <f t="shared" si="2"/>
        <v>-1</v>
      </c>
      <c r="P13" s="263">
        <f t="shared" si="2"/>
        <v>-1</v>
      </c>
      <c r="Q13" s="185">
        <v>525</v>
      </c>
      <c r="R13" s="186">
        <v>11</v>
      </c>
      <c r="S13" s="186">
        <v>1.1000000000000001</v>
      </c>
      <c r="T13" s="187">
        <v>37</v>
      </c>
      <c r="U13" s="128">
        <f t="shared" si="0"/>
        <v>0.40699999999999997</v>
      </c>
      <c r="V13" s="127">
        <f t="shared" si="1"/>
        <v>47.727272727272727</v>
      </c>
      <c r="W13" s="129">
        <f>IF(D13=0,0,N13*R13)/3.6</f>
        <v>13035.030555555555</v>
      </c>
      <c r="Y13" s="11">
        <v>0</v>
      </c>
      <c r="Z13" s="117" t="b">
        <f>(F13&lt;&gt;0)</f>
        <v>0</v>
      </c>
      <c r="AA13" s="117" t="b">
        <f>(H13&lt;&gt;0)</f>
        <v>0</v>
      </c>
      <c r="AB13" s="117" t="b">
        <f>(I13&lt;&gt;0)</f>
        <v>1</v>
      </c>
      <c r="AD13" s="361">
        <v>0</v>
      </c>
      <c r="AE13" s="361">
        <v>4266.01</v>
      </c>
      <c r="AF13" s="362" t="str">
        <f>C13</f>
        <v>DagrenHandel</v>
      </c>
      <c r="AH13"/>
      <c r="AQ13" s="6"/>
    </row>
    <row r="14" spans="1:43" hidden="1" outlineLevel="1" x14ac:dyDescent="0.25">
      <c r="A14" s="124"/>
      <c r="B14" s="130" t="s">
        <v>31</v>
      </c>
      <c r="C14" s="130" t="s">
        <v>32</v>
      </c>
      <c r="D14" s="168">
        <v>1</v>
      </c>
      <c r="E14" s="126">
        <v>1</v>
      </c>
      <c r="F14" s="168">
        <v>0</v>
      </c>
      <c r="G14" s="168">
        <v>0</v>
      </c>
      <c r="H14" s="168">
        <v>0</v>
      </c>
      <c r="I14" s="126">
        <v>1</v>
      </c>
      <c r="J14" s="177">
        <v>1</v>
      </c>
      <c r="K14" s="177">
        <v>1</v>
      </c>
      <c r="L14" s="401">
        <v>0.7</v>
      </c>
      <c r="M14" s="185">
        <v>398.46</v>
      </c>
      <c r="N14" s="185">
        <v>398.46</v>
      </c>
      <c r="O14" s="263">
        <f t="shared" si="2"/>
        <v>-1</v>
      </c>
      <c r="P14" s="263">
        <f t="shared" si="2"/>
        <v>-1</v>
      </c>
      <c r="Q14" s="185">
        <v>525</v>
      </c>
      <c r="R14" s="186">
        <v>9.5</v>
      </c>
      <c r="S14" s="186">
        <v>1.1000000000000001</v>
      </c>
      <c r="T14" s="187">
        <v>37</v>
      </c>
      <c r="U14" s="128">
        <f t="shared" si="0"/>
        <v>0.35149999999999998</v>
      </c>
      <c r="V14" s="127">
        <f t="shared" si="1"/>
        <v>55.263157894736842</v>
      </c>
      <c r="W14" s="129">
        <f>IF(D14=0,0,N14*R14)/3.6</f>
        <v>1051.4916666666666</v>
      </c>
      <c r="Y14" s="11">
        <v>0</v>
      </c>
      <c r="Z14" s="117" t="b">
        <f>(F14&lt;&gt;0)</f>
        <v>0</v>
      </c>
      <c r="AA14" s="117" t="b">
        <f>(H14&lt;&gt;0)</f>
        <v>0</v>
      </c>
      <c r="AB14" s="117" t="b">
        <f>(I14&lt;&gt;0)</f>
        <v>1</v>
      </c>
      <c r="AD14" s="361">
        <v>0</v>
      </c>
      <c r="AE14" s="361">
        <v>398.46</v>
      </c>
      <c r="AF14" s="362" t="str">
        <f>C14</f>
        <v>DagrenRestau</v>
      </c>
      <c r="AH14"/>
      <c r="AQ14" s="6"/>
    </row>
    <row r="15" spans="1:43" hidden="1" outlineLevel="1" x14ac:dyDescent="0.25">
      <c r="A15" s="124"/>
      <c r="B15" s="130" t="s">
        <v>33</v>
      </c>
      <c r="C15" s="130" t="s">
        <v>34</v>
      </c>
      <c r="D15" s="168">
        <v>1</v>
      </c>
      <c r="E15" s="126">
        <v>1</v>
      </c>
      <c r="F15" s="168">
        <v>1</v>
      </c>
      <c r="G15" s="168">
        <v>0</v>
      </c>
      <c r="H15" s="168">
        <v>0</v>
      </c>
      <c r="I15" s="126">
        <v>1</v>
      </c>
      <c r="J15" s="177">
        <v>1</v>
      </c>
      <c r="K15" s="177">
        <v>1</v>
      </c>
      <c r="L15" s="401">
        <v>1.4</v>
      </c>
      <c r="M15" s="185">
        <v>6141.6699999999992</v>
      </c>
      <c r="N15" s="185">
        <v>6141.6699999999992</v>
      </c>
      <c r="O15" s="263">
        <v>0</v>
      </c>
      <c r="P15" s="263">
        <f t="shared" si="2"/>
        <v>0</v>
      </c>
      <c r="Q15" s="185">
        <v>525</v>
      </c>
      <c r="R15" s="186">
        <v>9</v>
      </c>
      <c r="S15" s="186">
        <v>1.1000000000000001</v>
      </c>
      <c r="T15" s="187">
        <v>37</v>
      </c>
      <c r="U15" s="128">
        <f t="shared" si="0"/>
        <v>0.33300000000000002</v>
      </c>
      <c r="V15" s="127">
        <f t="shared" si="1"/>
        <v>58.333333333333336</v>
      </c>
      <c r="W15" s="129">
        <f>IF(D15=0,0,N15*R15)/3.6</f>
        <v>15354.174999999997</v>
      </c>
      <c r="Y15" s="11">
        <v>1</v>
      </c>
      <c r="Z15" s="117" t="b">
        <f>(F15&lt;&gt;0)</f>
        <v>1</v>
      </c>
      <c r="AA15" s="117" t="b">
        <f>(H15&lt;&gt;0)</f>
        <v>0</v>
      </c>
      <c r="AB15" s="117" t="b">
        <f>(I15&lt;&gt;0)</f>
        <v>1</v>
      </c>
      <c r="AD15" s="361">
        <v>5200</v>
      </c>
      <c r="AE15" s="361">
        <v>6141.6699999999992</v>
      </c>
      <c r="AF15" s="362" t="str">
        <f>C15</f>
        <v>Erhverv</v>
      </c>
      <c r="AH15"/>
      <c r="AQ15" s="6"/>
    </row>
    <row r="16" spans="1:43" hidden="1" outlineLevel="1" x14ac:dyDescent="0.25">
      <c r="A16" s="124"/>
      <c r="B16" s="130" t="s">
        <v>35</v>
      </c>
      <c r="C16" s="130" t="s">
        <v>36</v>
      </c>
      <c r="D16" s="168">
        <v>1</v>
      </c>
      <c r="E16" s="126">
        <v>1</v>
      </c>
      <c r="F16" s="168">
        <v>0</v>
      </c>
      <c r="G16" s="168">
        <v>0</v>
      </c>
      <c r="H16" s="168">
        <v>0</v>
      </c>
      <c r="I16" s="126">
        <v>1</v>
      </c>
      <c r="J16" s="177">
        <v>1</v>
      </c>
      <c r="K16" s="177">
        <v>1</v>
      </c>
      <c r="L16" s="401"/>
      <c r="M16" s="185">
        <v>134.19</v>
      </c>
      <c r="N16" s="185">
        <v>134.19</v>
      </c>
      <c r="O16" s="263">
        <f t="shared" si="2"/>
        <v>-1</v>
      </c>
      <c r="P16" s="263">
        <f t="shared" si="2"/>
        <v>-1</v>
      </c>
      <c r="Q16" s="185">
        <v>785</v>
      </c>
      <c r="R16" s="186">
        <v>12</v>
      </c>
      <c r="S16" s="186">
        <v>1.1000000000000001</v>
      </c>
      <c r="T16" s="187">
        <v>37</v>
      </c>
      <c r="U16" s="128">
        <f t="shared" si="0"/>
        <v>0.44400000000000001</v>
      </c>
      <c r="V16" s="127">
        <f t="shared" si="1"/>
        <v>65.416666666666671</v>
      </c>
      <c r="W16" s="129">
        <f>IF(D16=0,0,N16*R16)/3.6</f>
        <v>447.29999999999995</v>
      </c>
      <c r="Y16" s="11">
        <v>1</v>
      </c>
      <c r="Z16" s="117" t="b">
        <f>(F16&lt;&gt;0)</f>
        <v>0</v>
      </c>
      <c r="AA16" s="117" t="b">
        <f>(H16&lt;&gt;0)</f>
        <v>0</v>
      </c>
      <c r="AB16" s="117" t="b">
        <f>(I16&lt;&gt;0)</f>
        <v>1</v>
      </c>
      <c r="AD16" s="361">
        <v>500</v>
      </c>
      <c r="AE16" s="361">
        <v>134.19</v>
      </c>
      <c r="AF16" s="362" t="str">
        <f>C16</f>
        <v>DagrenErhverv</v>
      </c>
      <c r="AH16"/>
      <c r="AQ16" s="6"/>
    </row>
    <row r="17" spans="1:43" hidden="1" outlineLevel="1" x14ac:dyDescent="0.25">
      <c r="A17" s="124"/>
      <c r="B17" s="125" t="s">
        <v>37</v>
      </c>
      <c r="C17" s="125" t="s">
        <v>38</v>
      </c>
      <c r="D17" s="168">
        <v>1</v>
      </c>
      <c r="E17" s="126">
        <v>1</v>
      </c>
      <c r="F17" s="168">
        <v>0</v>
      </c>
      <c r="G17" s="168">
        <v>0</v>
      </c>
      <c r="H17" s="168">
        <v>0</v>
      </c>
      <c r="I17" s="126">
        <v>1</v>
      </c>
      <c r="J17" s="177">
        <v>1</v>
      </c>
      <c r="K17" s="177">
        <v>1</v>
      </c>
      <c r="L17" s="401"/>
      <c r="M17" s="185">
        <v>57.78</v>
      </c>
      <c r="N17" s="185">
        <v>57.78</v>
      </c>
      <c r="O17" s="263">
        <f t="shared" si="2"/>
        <v>-1</v>
      </c>
      <c r="P17" s="263">
        <f t="shared" si="2"/>
        <v>-1</v>
      </c>
      <c r="Q17" s="185">
        <v>0</v>
      </c>
      <c r="R17" s="186">
        <v>10</v>
      </c>
      <c r="S17" s="186">
        <v>1.1000000000000001</v>
      </c>
      <c r="T17" s="187">
        <v>37</v>
      </c>
      <c r="U17" s="128">
        <f t="shared" si="0"/>
        <v>0.37</v>
      </c>
      <c r="V17" s="127">
        <f t="shared" si="1"/>
        <v>0</v>
      </c>
      <c r="W17" s="129">
        <f>IF(D17=0,0,N17*R17)/3.6</f>
        <v>160.49999999999997</v>
      </c>
      <c r="Y17" s="11">
        <v>0</v>
      </c>
      <c r="Z17" s="117" t="b">
        <f>(F17&lt;&gt;0)</f>
        <v>0</v>
      </c>
      <c r="AA17" s="117" t="b">
        <f>(H17&lt;&gt;0)</f>
        <v>0</v>
      </c>
      <c r="AB17" s="117" t="b">
        <f>(I17&lt;&gt;0)</f>
        <v>1</v>
      </c>
      <c r="AD17" s="361">
        <v>0</v>
      </c>
      <c r="AE17" s="361">
        <v>57.78</v>
      </c>
      <c r="AF17" s="362" t="str">
        <f>C17</f>
        <v>HandelKontor</v>
      </c>
      <c r="AH17"/>
      <c r="AQ17" s="6"/>
    </row>
    <row r="18" spans="1:43" hidden="1" outlineLevel="1" x14ac:dyDescent="0.25">
      <c r="A18" s="124"/>
      <c r="B18" s="130" t="s">
        <v>39</v>
      </c>
      <c r="C18" s="130" t="s">
        <v>40</v>
      </c>
      <c r="D18" s="168">
        <v>1</v>
      </c>
      <c r="E18" s="126">
        <v>1</v>
      </c>
      <c r="F18" s="168">
        <v>0</v>
      </c>
      <c r="G18" s="168">
        <v>0</v>
      </c>
      <c r="H18" s="168">
        <v>0</v>
      </c>
      <c r="I18" s="126">
        <v>1</v>
      </c>
      <c r="J18" s="177">
        <v>1</v>
      </c>
      <c r="K18" s="177">
        <v>1</v>
      </c>
      <c r="L18" s="401"/>
      <c r="M18" s="185">
        <v>12.89</v>
      </c>
      <c r="N18" s="185">
        <v>12.89</v>
      </c>
      <c r="O18" s="263">
        <f t="shared" si="2"/>
        <v>-1</v>
      </c>
      <c r="P18" s="263">
        <f t="shared" si="2"/>
        <v>-1</v>
      </c>
      <c r="Q18" s="185">
        <v>525</v>
      </c>
      <c r="R18" s="186">
        <v>11</v>
      </c>
      <c r="S18" s="186">
        <v>1.1000000000000001</v>
      </c>
      <c r="T18" s="187">
        <v>37</v>
      </c>
      <c r="U18" s="128">
        <f t="shared" si="0"/>
        <v>0.40699999999999997</v>
      </c>
      <c r="V18" s="127">
        <f t="shared" si="1"/>
        <v>47.727272727272727</v>
      </c>
      <c r="W18" s="129">
        <f>IF(D18=0,0,N18*R18)/3.6</f>
        <v>39.386111111111113</v>
      </c>
      <c r="Y18" s="11">
        <v>0</v>
      </c>
      <c r="Z18" s="117" t="b">
        <f>(F18&lt;&gt;0)</f>
        <v>0</v>
      </c>
      <c r="AA18" s="117" t="b">
        <f>(H18&lt;&gt;0)</f>
        <v>0</v>
      </c>
      <c r="AB18" s="117" t="b">
        <f>(I18&lt;&gt;0)</f>
        <v>1</v>
      </c>
      <c r="AD18" s="361">
        <v>0</v>
      </c>
      <c r="AE18" s="361">
        <v>12.89</v>
      </c>
      <c r="AF18" s="362" t="str">
        <f>C18</f>
        <v>Privat</v>
      </c>
      <c r="AH18"/>
      <c r="AQ18" s="6"/>
    </row>
    <row r="19" spans="1:43" hidden="1" outlineLevel="1" x14ac:dyDescent="0.25">
      <c r="A19" s="124"/>
      <c r="B19" s="130" t="s">
        <v>41</v>
      </c>
      <c r="C19" s="130" t="s">
        <v>42</v>
      </c>
      <c r="D19" s="168">
        <v>1</v>
      </c>
      <c r="E19" s="126">
        <v>1</v>
      </c>
      <c r="F19" s="168">
        <v>0</v>
      </c>
      <c r="G19" s="168">
        <v>0</v>
      </c>
      <c r="H19" s="168">
        <v>1</v>
      </c>
      <c r="I19" s="126">
        <v>1</v>
      </c>
      <c r="J19" s="177">
        <v>1</v>
      </c>
      <c r="K19" s="177">
        <v>1</v>
      </c>
      <c r="L19" s="401">
        <v>0.60347726106245225</v>
      </c>
      <c r="M19" s="185">
        <v>34233</v>
      </c>
      <c r="N19" s="185">
        <v>34233</v>
      </c>
      <c r="O19" s="263">
        <f t="shared" si="2"/>
        <v>-1</v>
      </c>
      <c r="P19" s="263">
        <f t="shared" si="2"/>
        <v>-1</v>
      </c>
      <c r="Q19" s="185">
        <v>400</v>
      </c>
      <c r="R19" s="186">
        <v>10.5</v>
      </c>
      <c r="S19" s="186">
        <v>1.1000000000000001</v>
      </c>
      <c r="T19" s="187">
        <v>37</v>
      </c>
      <c r="U19" s="128">
        <f t="shared" si="0"/>
        <v>0.38850000000000001</v>
      </c>
      <c r="V19" s="127">
        <f t="shared" si="1"/>
        <v>38.095238095238095</v>
      </c>
      <c r="W19" s="129">
        <f>IF(D19=0,0,N19*R19)/3.6</f>
        <v>99846.25</v>
      </c>
      <c r="Y19" s="11">
        <v>1</v>
      </c>
      <c r="Z19" s="117" t="b">
        <f>(F19&lt;&gt;0)</f>
        <v>0</v>
      </c>
      <c r="AA19" s="117" t="b">
        <f>(H19&lt;&gt;0)</f>
        <v>1</v>
      </c>
      <c r="AB19" s="117" t="b">
        <f>(I19&lt;&gt;0)</f>
        <v>1</v>
      </c>
      <c r="AD19" s="361">
        <v>40000</v>
      </c>
      <c r="AE19" s="361">
        <v>34232.69</v>
      </c>
      <c r="AF19" s="362" t="str">
        <f>C19</f>
        <v>TyskRest</v>
      </c>
      <c r="AH19"/>
      <c r="AQ19" s="6"/>
    </row>
    <row r="20" spans="1:43" hidden="1" outlineLevel="1" x14ac:dyDescent="0.25">
      <c r="A20" s="124"/>
      <c r="B20" s="130" t="s">
        <v>43</v>
      </c>
      <c r="C20" s="130" t="s">
        <v>44</v>
      </c>
      <c r="D20" s="168">
        <v>1</v>
      </c>
      <c r="E20" s="126">
        <v>1</v>
      </c>
      <c r="F20" s="168">
        <v>0</v>
      </c>
      <c r="G20" s="168">
        <v>0</v>
      </c>
      <c r="H20" s="168">
        <v>1</v>
      </c>
      <c r="I20" s="126">
        <v>1</v>
      </c>
      <c r="J20" s="177">
        <v>1</v>
      </c>
      <c r="K20" s="177">
        <v>1</v>
      </c>
      <c r="L20" s="401"/>
      <c r="M20" s="185">
        <v>154.09</v>
      </c>
      <c r="N20" s="185">
        <v>154.09</v>
      </c>
      <c r="O20" s="263">
        <f t="shared" si="2"/>
        <v>-1</v>
      </c>
      <c r="P20" s="263">
        <f t="shared" si="2"/>
        <v>-1</v>
      </c>
      <c r="Q20" s="185">
        <v>515</v>
      </c>
      <c r="R20" s="186">
        <v>10.5</v>
      </c>
      <c r="S20" s="186">
        <v>1.1000000000000001</v>
      </c>
      <c r="T20" s="187">
        <v>37</v>
      </c>
      <c r="U20" s="128">
        <f t="shared" si="0"/>
        <v>0.38850000000000001</v>
      </c>
      <c r="V20" s="127">
        <f t="shared" si="1"/>
        <v>49.047619047619051</v>
      </c>
      <c r="W20" s="129">
        <f>IF(D20=0,0,N20*R20)/3.6</f>
        <v>449.42916666666662</v>
      </c>
      <c r="Y20" s="11">
        <v>1</v>
      </c>
      <c r="Z20" s="117" t="b">
        <f>(F20&lt;&gt;0)</f>
        <v>0</v>
      </c>
      <c r="AA20" s="117" t="b">
        <f>(H20&lt;&gt;0)</f>
        <v>1</v>
      </c>
      <c r="AB20" s="117" t="b">
        <f>(I20&lt;&gt;0)</f>
        <v>1</v>
      </c>
      <c r="AD20" s="361">
        <v>2000</v>
      </c>
      <c r="AE20" s="361">
        <v>154.09</v>
      </c>
      <c r="AF20" s="362" t="str">
        <f>C20</f>
        <v>PolskRest</v>
      </c>
      <c r="AH20"/>
      <c r="AQ20" s="6"/>
    </row>
    <row r="21" spans="1:43" hidden="1" outlineLevel="1" x14ac:dyDescent="0.25">
      <c r="A21" s="124"/>
      <c r="B21" s="125" t="s">
        <v>45</v>
      </c>
      <c r="C21" s="125" t="s">
        <v>46</v>
      </c>
      <c r="D21" s="168">
        <v>0</v>
      </c>
      <c r="E21" s="126">
        <v>1</v>
      </c>
      <c r="F21" s="168">
        <v>1</v>
      </c>
      <c r="G21" s="168">
        <v>0</v>
      </c>
      <c r="H21" s="168">
        <v>0</v>
      </c>
      <c r="I21" s="126">
        <v>1</v>
      </c>
      <c r="J21" s="177">
        <v>1</v>
      </c>
      <c r="K21" s="177">
        <v>1</v>
      </c>
      <c r="L21" s="401" t="s">
        <v>479</v>
      </c>
      <c r="M21" s="185">
        <v>0</v>
      </c>
      <c r="N21" s="185">
        <v>0</v>
      </c>
      <c r="O21" s="263">
        <f t="shared" si="2"/>
        <v>0</v>
      </c>
      <c r="P21" s="263">
        <f t="shared" si="2"/>
        <v>0</v>
      </c>
      <c r="Q21" s="185">
        <v>0</v>
      </c>
      <c r="R21" s="186">
        <v>13</v>
      </c>
      <c r="S21" s="186">
        <v>1.1000000000000001</v>
      </c>
      <c r="T21" s="188">
        <v>37</v>
      </c>
      <c r="U21" s="131">
        <f t="shared" si="0"/>
        <v>0.48099999999999998</v>
      </c>
      <c r="V21" s="127">
        <f t="shared" si="1"/>
        <v>0</v>
      </c>
      <c r="W21" s="129">
        <f>IF(D21=0,0,N21*R21)/3.6</f>
        <v>0</v>
      </c>
      <c r="Y21" s="11">
        <v>0</v>
      </c>
      <c r="Z21" s="117" t="b">
        <f>(F21&lt;&gt;0)</f>
        <v>1</v>
      </c>
      <c r="AA21" s="117" t="b">
        <f>(H21&lt;&gt;0)</f>
        <v>0</v>
      </c>
      <c r="AB21" s="117" t="b">
        <f>(I21&lt;&gt;0)</f>
        <v>1</v>
      </c>
      <c r="AD21" s="361">
        <v>0</v>
      </c>
      <c r="AE21" s="361">
        <v>0</v>
      </c>
      <c r="AF21" s="362" t="str">
        <f>C21</f>
        <v>PcbTrae</v>
      </c>
      <c r="AH21"/>
      <c r="AQ21" s="6"/>
    </row>
    <row r="22" spans="1:43" hidden="1" outlineLevel="1" x14ac:dyDescent="0.25">
      <c r="A22" s="124"/>
      <c r="B22" s="125" t="s">
        <v>49</v>
      </c>
      <c r="C22" s="125" t="s">
        <v>50</v>
      </c>
      <c r="D22" s="168">
        <v>1</v>
      </c>
      <c r="E22" s="126">
        <v>1</v>
      </c>
      <c r="F22" s="168">
        <v>1</v>
      </c>
      <c r="G22" s="168">
        <v>0</v>
      </c>
      <c r="H22" s="168">
        <v>0</v>
      </c>
      <c r="I22" s="126">
        <v>1</v>
      </c>
      <c r="J22" s="177">
        <v>1</v>
      </c>
      <c r="K22" s="177">
        <v>1</v>
      </c>
      <c r="L22" s="401">
        <v>0.95</v>
      </c>
      <c r="M22" s="185">
        <v>1044.53</v>
      </c>
      <c r="N22" s="185">
        <v>1044.53</v>
      </c>
      <c r="O22" s="263">
        <f t="shared" si="2"/>
        <v>0</v>
      </c>
      <c r="P22" s="263">
        <f t="shared" si="2"/>
        <v>0</v>
      </c>
      <c r="Q22" s="185">
        <v>0</v>
      </c>
      <c r="R22" s="186">
        <v>14.5</v>
      </c>
      <c r="S22" s="186">
        <v>1.1000000000000001</v>
      </c>
      <c r="T22" s="188">
        <v>37</v>
      </c>
      <c r="U22" s="131">
        <f t="shared" si="0"/>
        <v>0.53649999999999998</v>
      </c>
      <c r="V22" s="127">
        <f t="shared" si="1"/>
        <v>0</v>
      </c>
      <c r="W22" s="129">
        <f>IF(D22=0,0,N22*R22)/3.6</f>
        <v>4207.1347222222221</v>
      </c>
      <c r="Y22" s="11">
        <v>1</v>
      </c>
      <c r="Z22" s="117" t="b">
        <f>(F22&lt;&gt;0)</f>
        <v>1</v>
      </c>
      <c r="AA22" s="117" t="b">
        <f>(H22&lt;&gt;0)</f>
        <v>0</v>
      </c>
      <c r="AB22" s="117" t="b">
        <f>(I22&lt;&gt;0)</f>
        <v>1</v>
      </c>
      <c r="AD22" s="361">
        <v>1500</v>
      </c>
      <c r="AE22" s="361">
        <v>1044.53</v>
      </c>
      <c r="AF22" s="362" t="str">
        <f>C22</f>
        <v>TraeRekv</v>
      </c>
      <c r="AH22"/>
      <c r="AQ22" s="6"/>
    </row>
    <row r="23" spans="1:43" hidden="1" outlineLevel="1" x14ac:dyDescent="0.25">
      <c r="A23" s="124"/>
      <c r="B23" s="130" t="s">
        <v>51</v>
      </c>
      <c r="C23" s="130" t="s">
        <v>52</v>
      </c>
      <c r="D23" s="168">
        <v>0</v>
      </c>
      <c r="E23" s="126">
        <v>1</v>
      </c>
      <c r="F23" s="168">
        <v>0</v>
      </c>
      <c r="G23" s="168">
        <v>0</v>
      </c>
      <c r="H23" s="168">
        <v>0</v>
      </c>
      <c r="I23" s="126">
        <v>1</v>
      </c>
      <c r="J23" s="177">
        <v>1</v>
      </c>
      <c r="K23" s="177">
        <v>1</v>
      </c>
      <c r="L23" s="401" t="s">
        <v>479</v>
      </c>
      <c r="M23" s="185">
        <v>0</v>
      </c>
      <c r="N23" s="185">
        <v>0</v>
      </c>
      <c r="O23" s="263">
        <f t="shared" si="2"/>
        <v>-1</v>
      </c>
      <c r="P23" s="263">
        <f t="shared" si="2"/>
        <v>-1</v>
      </c>
      <c r="Q23" s="185">
        <v>0</v>
      </c>
      <c r="R23" s="186">
        <v>14.7</v>
      </c>
      <c r="S23" s="186">
        <v>1.1000000000000001</v>
      </c>
      <c r="T23" s="188">
        <v>37</v>
      </c>
      <c r="U23" s="131">
        <f t="shared" si="0"/>
        <v>0.54389999999999994</v>
      </c>
      <c r="V23" s="127">
        <f t="shared" si="1"/>
        <v>0</v>
      </c>
      <c r="W23" s="129">
        <f>IF(D23=0,0,N23*R23)/3.6</f>
        <v>0</v>
      </c>
      <c r="Y23" s="11">
        <v>0</v>
      </c>
      <c r="Z23" s="117" t="b">
        <f>(F23&lt;&gt;0)</f>
        <v>0</v>
      </c>
      <c r="AA23" s="117" t="b">
        <f>(H23&lt;&gt;0)</f>
        <v>0</v>
      </c>
      <c r="AB23" s="117" t="b">
        <f>(I23&lt;&gt;0)</f>
        <v>1</v>
      </c>
      <c r="AD23" s="361">
        <v>0</v>
      </c>
      <c r="AE23" s="361">
        <v>0</v>
      </c>
      <c r="AF23" s="362" t="str">
        <f>C23</f>
        <v>Halm</v>
      </c>
      <c r="AH23"/>
      <c r="AQ23" s="6"/>
    </row>
    <row r="24" spans="1:43" hidden="1" outlineLevel="1" x14ac:dyDescent="0.25">
      <c r="A24" s="124"/>
      <c r="B24" s="130" t="s">
        <v>53</v>
      </c>
      <c r="C24" s="130" t="s">
        <v>55</v>
      </c>
      <c r="D24" s="168">
        <v>1</v>
      </c>
      <c r="E24" s="126">
        <v>1</v>
      </c>
      <c r="F24" s="168">
        <v>0</v>
      </c>
      <c r="G24" s="168">
        <v>0</v>
      </c>
      <c r="H24" s="168">
        <v>0</v>
      </c>
      <c r="I24" s="126">
        <v>1</v>
      </c>
      <c r="J24" s="177">
        <v>1</v>
      </c>
      <c r="K24" s="177">
        <v>1</v>
      </c>
      <c r="L24" s="401">
        <v>1</v>
      </c>
      <c r="M24" s="185">
        <v>113.93999999999998</v>
      </c>
      <c r="N24" s="185">
        <v>113.93999999999998</v>
      </c>
      <c r="O24" s="263">
        <f t="shared" si="2"/>
        <v>-1</v>
      </c>
      <c r="P24" s="263">
        <f t="shared" si="2"/>
        <v>-1</v>
      </c>
      <c r="Q24" s="185">
        <v>685</v>
      </c>
      <c r="R24" s="186">
        <v>14</v>
      </c>
      <c r="S24" s="186">
        <v>1.1000000000000001</v>
      </c>
      <c r="T24" s="188">
        <v>37</v>
      </c>
      <c r="U24" s="131">
        <f t="shared" si="0"/>
        <v>0.51800000000000002</v>
      </c>
      <c r="V24" s="127">
        <f t="shared" si="1"/>
        <v>48.928571428571431</v>
      </c>
      <c r="W24" s="129">
        <f>IF(D24=0,0,N24*R24)/3.6</f>
        <v>443.09999999999997</v>
      </c>
      <c r="Y24" s="11">
        <v>1</v>
      </c>
      <c r="Z24" s="117" t="b">
        <f>(F24&lt;&gt;0)</f>
        <v>0</v>
      </c>
      <c r="AA24" s="117" t="b">
        <f>(H24&lt;&gt;0)</f>
        <v>0</v>
      </c>
      <c r="AB24" s="117" t="b">
        <f>(I24&lt;&gt;0)</f>
        <v>1</v>
      </c>
      <c r="AD24" s="361">
        <v>120</v>
      </c>
      <c r="AE24" s="361">
        <v>113.93999999999998</v>
      </c>
      <c r="AF24" s="362" t="str">
        <f>C24</f>
        <v>Pulver</v>
      </c>
      <c r="AH24"/>
      <c r="AQ24" s="6"/>
    </row>
    <row r="25" spans="1:43" hidden="1" outlineLevel="1" x14ac:dyDescent="0.25">
      <c r="A25" s="132"/>
      <c r="B25" s="133" t="s">
        <v>47</v>
      </c>
      <c r="C25" s="133" t="s">
        <v>69</v>
      </c>
      <c r="D25" s="169">
        <v>1</v>
      </c>
      <c r="E25" s="134">
        <v>1</v>
      </c>
      <c r="F25" s="169">
        <v>1</v>
      </c>
      <c r="G25" s="169">
        <v>0</v>
      </c>
      <c r="H25" s="169">
        <v>0</v>
      </c>
      <c r="I25" s="134">
        <v>1</v>
      </c>
      <c r="J25" s="178">
        <v>1</v>
      </c>
      <c r="K25" s="178">
        <v>1</v>
      </c>
      <c r="L25" s="402">
        <v>1</v>
      </c>
      <c r="M25" s="189">
        <v>212.2</v>
      </c>
      <c r="N25" s="189">
        <v>212.2</v>
      </c>
      <c r="O25" s="264">
        <f t="shared" si="2"/>
        <v>0</v>
      </c>
      <c r="P25" s="264">
        <f t="shared" si="2"/>
        <v>0</v>
      </c>
      <c r="Q25" s="189">
        <v>155</v>
      </c>
      <c r="R25" s="190">
        <v>9</v>
      </c>
      <c r="S25" s="190">
        <v>1.1000000000000001</v>
      </c>
      <c r="T25" s="191">
        <v>0</v>
      </c>
      <c r="U25" s="136">
        <f t="shared" si="0"/>
        <v>0</v>
      </c>
      <c r="V25" s="135">
        <f t="shared" si="1"/>
        <v>17.222222222222221</v>
      </c>
      <c r="W25" s="137">
        <f>IF(D25=0,0,N25*R25)/3.6</f>
        <v>530.5</v>
      </c>
      <c r="Y25" s="11">
        <v>1</v>
      </c>
      <c r="Z25" s="117" t="b">
        <f>(F25&lt;&gt;0)</f>
        <v>1</v>
      </c>
      <c r="AA25" s="117" t="b">
        <f>(H25&lt;&gt;0)</f>
        <v>0</v>
      </c>
      <c r="AB25" s="117" t="b">
        <f>(I25&lt;&gt;0)</f>
        <v>1</v>
      </c>
      <c r="AD25" s="361">
        <v>150</v>
      </c>
      <c r="AE25" s="361">
        <v>212.2</v>
      </c>
      <c r="AF25" s="362" t="str">
        <f>C25</f>
        <v>FlisAffald</v>
      </c>
      <c r="AH25"/>
      <c r="AQ25" s="6"/>
    </row>
    <row r="26" spans="1:43" hidden="1" outlineLevel="1" x14ac:dyDescent="0.25">
      <c r="A26" s="138"/>
      <c r="B26" s="119" t="s">
        <v>183</v>
      </c>
      <c r="C26" s="119" t="s">
        <v>85</v>
      </c>
      <c r="D26" s="170">
        <v>0</v>
      </c>
      <c r="E26" s="120">
        <v>1</v>
      </c>
      <c r="F26" s="170">
        <v>1</v>
      </c>
      <c r="G26" s="170">
        <v>1</v>
      </c>
      <c r="H26" s="170">
        <v>1</v>
      </c>
      <c r="I26" s="120">
        <v>0</v>
      </c>
      <c r="J26" s="179">
        <v>1</v>
      </c>
      <c r="K26" s="179">
        <v>1</v>
      </c>
      <c r="L26" s="403"/>
      <c r="M26" s="192">
        <f>IF(G26=0,N26,0)</f>
        <v>0</v>
      </c>
      <c r="N26" s="192">
        <v>20000</v>
      </c>
      <c r="O26" s="265">
        <v>1</v>
      </c>
      <c r="P26" s="265">
        <f t="shared" si="2"/>
        <v>0</v>
      </c>
      <c r="Q26" s="192">
        <f>-35*R26</f>
        <v>-402.5</v>
      </c>
      <c r="R26" s="193">
        <v>11.5</v>
      </c>
      <c r="S26" s="193"/>
      <c r="T26" s="184">
        <v>0</v>
      </c>
      <c r="U26" s="122">
        <f t="shared" si="0"/>
        <v>0</v>
      </c>
      <c r="V26" s="139">
        <f t="shared" si="1"/>
        <v>-35</v>
      </c>
      <c r="W26" s="140">
        <f>IF(D26=0,0,N26*R26)/3.6</f>
        <v>0</v>
      </c>
      <c r="Y26" s="11">
        <v>1</v>
      </c>
      <c r="Z26" s="117" t="b">
        <f>(F26&lt;&gt;0)</f>
        <v>1</v>
      </c>
      <c r="AA26" s="117" t="b">
        <f>(H26&lt;&gt;0)</f>
        <v>1</v>
      </c>
      <c r="AB26" s="117" t="b">
        <f>(I26&lt;&gt;0)</f>
        <v>0</v>
      </c>
      <c r="AD26" s="361">
        <v>50000</v>
      </c>
      <c r="AE26" s="361"/>
      <c r="AF26" s="362" t="str">
        <f>C26</f>
        <v>NyAff1</v>
      </c>
      <c r="AH26"/>
      <c r="AQ26" s="6"/>
    </row>
    <row r="27" spans="1:43" hidden="1" outlineLevel="1" x14ac:dyDescent="0.25">
      <c r="A27" s="141"/>
      <c r="B27" s="130" t="s">
        <v>86</v>
      </c>
      <c r="C27" s="130" t="s">
        <v>87</v>
      </c>
      <c r="D27" s="171">
        <v>0</v>
      </c>
      <c r="E27" s="126">
        <v>1</v>
      </c>
      <c r="F27" s="171">
        <v>0</v>
      </c>
      <c r="G27" s="171">
        <v>1</v>
      </c>
      <c r="H27" s="171">
        <v>0</v>
      </c>
      <c r="I27" s="126">
        <v>1</v>
      </c>
      <c r="J27" s="180">
        <v>1</v>
      </c>
      <c r="K27" s="180">
        <v>1</v>
      </c>
      <c r="L27" s="404"/>
      <c r="M27" s="194">
        <f>IF(G27=0,N27,0)</f>
        <v>0</v>
      </c>
      <c r="N27" s="194">
        <v>10000</v>
      </c>
      <c r="O27" s="266">
        <f t="shared" si="2"/>
        <v>-1</v>
      </c>
      <c r="P27" s="266">
        <f t="shared" si="2"/>
        <v>-1</v>
      </c>
      <c r="Q27" s="194">
        <v>450</v>
      </c>
      <c r="R27" s="195">
        <v>10.5</v>
      </c>
      <c r="S27" s="195"/>
      <c r="T27" s="187">
        <v>37</v>
      </c>
      <c r="U27" s="128">
        <f t="shared" si="0"/>
        <v>0.38850000000000001</v>
      </c>
      <c r="V27" s="142">
        <f t="shared" si="1"/>
        <v>42.857142857142854</v>
      </c>
      <c r="W27" s="143">
        <f>IF(D27=0,0,N27*R27)/3.6</f>
        <v>0</v>
      </c>
      <c r="Y27" s="11">
        <v>0</v>
      </c>
      <c r="Z27" s="117" t="b">
        <f>(F27&lt;&gt;0)</f>
        <v>0</v>
      </c>
      <c r="AA27" s="117" t="b">
        <f>(H27&lt;&gt;0)</f>
        <v>0</v>
      </c>
      <c r="AB27" s="117" t="b">
        <f>(I27&lt;&gt;0)</f>
        <v>1</v>
      </c>
      <c r="AD27" s="361">
        <v>40000</v>
      </c>
      <c r="AE27" s="361"/>
      <c r="AF27" s="362" t="str">
        <f>C27</f>
        <v>NyAff2</v>
      </c>
      <c r="AH27"/>
      <c r="AQ27" s="6"/>
    </row>
    <row r="28" spans="1:43" hidden="1" outlineLevel="1" x14ac:dyDescent="0.25">
      <c r="A28" s="141"/>
      <c r="B28" s="130" t="s">
        <v>101</v>
      </c>
      <c r="C28" s="130" t="s">
        <v>102</v>
      </c>
      <c r="D28" s="171">
        <v>0</v>
      </c>
      <c r="E28" s="126">
        <v>1</v>
      </c>
      <c r="F28" s="171">
        <v>0</v>
      </c>
      <c r="G28" s="171">
        <v>1</v>
      </c>
      <c r="H28" s="171">
        <v>0</v>
      </c>
      <c r="I28" s="126">
        <v>1</v>
      </c>
      <c r="J28" s="180">
        <v>0</v>
      </c>
      <c r="K28" s="180">
        <v>1</v>
      </c>
      <c r="L28" s="404"/>
      <c r="M28" s="194">
        <f>IF(G28=0,N28,0)</f>
        <v>0</v>
      </c>
      <c r="N28" s="194">
        <v>10000</v>
      </c>
      <c r="O28" s="266">
        <f t="shared" si="2"/>
        <v>-1</v>
      </c>
      <c r="P28" s="266">
        <f t="shared" si="2"/>
        <v>-1</v>
      </c>
      <c r="Q28" s="194">
        <v>500</v>
      </c>
      <c r="R28" s="195">
        <v>9.5</v>
      </c>
      <c r="S28" s="195"/>
      <c r="T28" s="187">
        <v>37</v>
      </c>
      <c r="U28" s="128">
        <f t="shared" si="0"/>
        <v>0.35149999999999998</v>
      </c>
      <c r="V28" s="142">
        <f t="shared" si="1"/>
        <v>52.631578947368418</v>
      </c>
      <c r="W28" s="143">
        <f>IF(D28=0,0,N28*R28)/3.6</f>
        <v>0</v>
      </c>
      <c r="Y28" s="11">
        <v>0</v>
      </c>
      <c r="Z28" s="117" t="b">
        <f>(F28&lt;&gt;0)</f>
        <v>0</v>
      </c>
      <c r="AA28" s="117" t="b">
        <f>(H28&lt;&gt;0)</f>
        <v>0</v>
      </c>
      <c r="AB28" s="117" t="b">
        <f>(I28&lt;&gt;0)</f>
        <v>1</v>
      </c>
      <c r="AD28" s="361">
        <v>30000</v>
      </c>
      <c r="AE28" s="361"/>
      <c r="AF28" s="362" t="str">
        <f>C28</f>
        <v>NyAff3</v>
      </c>
      <c r="AH28"/>
      <c r="AQ28" s="6"/>
    </row>
    <row r="29" spans="1:43" hidden="1" outlineLevel="1" x14ac:dyDescent="0.25">
      <c r="A29" s="141"/>
      <c r="B29" s="130" t="s">
        <v>103</v>
      </c>
      <c r="C29" s="130" t="s">
        <v>104</v>
      </c>
      <c r="D29" s="171">
        <v>0</v>
      </c>
      <c r="E29" s="126">
        <v>1</v>
      </c>
      <c r="F29" s="171">
        <v>0</v>
      </c>
      <c r="G29" s="171">
        <v>1</v>
      </c>
      <c r="H29" s="171">
        <v>0</v>
      </c>
      <c r="I29" s="126">
        <v>1</v>
      </c>
      <c r="J29" s="180">
        <v>0</v>
      </c>
      <c r="K29" s="180">
        <v>1</v>
      </c>
      <c r="L29" s="404"/>
      <c r="M29" s="194">
        <f>IF(G29=0,N29,0)</f>
        <v>0</v>
      </c>
      <c r="N29" s="194">
        <v>10000</v>
      </c>
      <c r="O29" s="266">
        <f t="shared" si="2"/>
        <v>-1</v>
      </c>
      <c r="P29" s="266">
        <f t="shared" si="2"/>
        <v>-1</v>
      </c>
      <c r="Q29" s="194">
        <v>550</v>
      </c>
      <c r="R29" s="195">
        <v>8.5</v>
      </c>
      <c r="S29" s="195"/>
      <c r="T29" s="187">
        <v>37</v>
      </c>
      <c r="U29" s="128">
        <f t="shared" si="0"/>
        <v>0.3145</v>
      </c>
      <c r="V29" s="142">
        <f t="shared" si="1"/>
        <v>64.705882352941174</v>
      </c>
      <c r="W29" s="143">
        <f>IF(D29=0,0,N29*R29)/3.6</f>
        <v>0</v>
      </c>
      <c r="Y29" s="11">
        <v>0</v>
      </c>
      <c r="Z29" s="117" t="b">
        <f>(F29&lt;&gt;0)</f>
        <v>0</v>
      </c>
      <c r="AA29" s="117" t="b">
        <f>(H29&lt;&gt;0)</f>
        <v>0</v>
      </c>
      <c r="AB29" s="117" t="b">
        <f>(I29&lt;&gt;0)</f>
        <v>1</v>
      </c>
      <c r="AD29" s="361">
        <v>20000</v>
      </c>
      <c r="AE29" s="361"/>
      <c r="AF29" s="362" t="str">
        <f>C29</f>
        <v>NyAff4</v>
      </c>
      <c r="AH29"/>
      <c r="AQ29" s="6"/>
    </row>
    <row r="30" spans="1:43" hidden="1" outlineLevel="1" x14ac:dyDescent="0.25">
      <c r="A30" s="144"/>
      <c r="B30" s="133" t="s">
        <v>105</v>
      </c>
      <c r="C30" s="133" t="s">
        <v>106</v>
      </c>
      <c r="D30" s="172">
        <v>0</v>
      </c>
      <c r="E30" s="134">
        <v>1</v>
      </c>
      <c r="F30" s="172">
        <v>0</v>
      </c>
      <c r="G30" s="172">
        <v>1</v>
      </c>
      <c r="H30" s="172">
        <v>0</v>
      </c>
      <c r="I30" s="134">
        <v>1</v>
      </c>
      <c r="J30" s="181">
        <v>0</v>
      </c>
      <c r="K30" s="181">
        <v>1</v>
      </c>
      <c r="L30" s="405"/>
      <c r="M30" s="196">
        <f>IF(G30=0,N30,0)</f>
        <v>0</v>
      </c>
      <c r="N30" s="196">
        <v>10000</v>
      </c>
      <c r="O30" s="267">
        <f t="shared" si="2"/>
        <v>-1</v>
      </c>
      <c r="P30" s="267">
        <f t="shared" si="2"/>
        <v>-1</v>
      </c>
      <c r="Q30" s="196">
        <v>600</v>
      </c>
      <c r="R30" s="197">
        <v>7.5</v>
      </c>
      <c r="S30" s="197"/>
      <c r="T30" s="198">
        <v>37</v>
      </c>
      <c r="U30" s="146">
        <f t="shared" si="0"/>
        <v>0.27750000000000002</v>
      </c>
      <c r="V30" s="145">
        <f t="shared" si="1"/>
        <v>80</v>
      </c>
      <c r="W30" s="147">
        <f>IF(D30=0,0,N30*R30)/3.6</f>
        <v>0</v>
      </c>
      <c r="Y30" s="11">
        <v>0</v>
      </c>
      <c r="Z30" s="117" t="b">
        <f>(F30&lt;&gt;0)</f>
        <v>0</v>
      </c>
      <c r="AA30" s="117" t="b">
        <f>(H30&lt;&gt;0)</f>
        <v>0</v>
      </c>
      <c r="AB30" s="117" t="b">
        <f>(I30&lt;&gt;0)</f>
        <v>1</v>
      </c>
      <c r="AD30" s="361">
        <v>10000</v>
      </c>
      <c r="AE30" s="5"/>
      <c r="AF30" s="362" t="str">
        <f>C30</f>
        <v>NyAff5</v>
      </c>
      <c r="AH30"/>
      <c r="AQ30" s="6"/>
    </row>
    <row r="31" spans="1:43" hidden="1" outlineLevel="1" x14ac:dyDescent="0.25">
      <c r="A31" s="118"/>
      <c r="B31" s="119" t="s">
        <v>203</v>
      </c>
      <c r="C31" s="119" t="s">
        <v>48</v>
      </c>
      <c r="D31" s="167">
        <v>1</v>
      </c>
      <c r="E31" s="120">
        <v>2</v>
      </c>
      <c r="F31" s="173">
        <v>0</v>
      </c>
      <c r="G31" s="98">
        <v>1</v>
      </c>
      <c r="H31" s="98">
        <v>1</v>
      </c>
      <c r="I31" s="120">
        <v>0</v>
      </c>
      <c r="J31" s="154">
        <v>0</v>
      </c>
      <c r="K31" s="154">
        <v>0</v>
      </c>
      <c r="L31" s="154"/>
      <c r="M31" s="154">
        <v>0</v>
      </c>
      <c r="N31" s="99">
        <v>0</v>
      </c>
      <c r="O31" s="99">
        <v>-1</v>
      </c>
      <c r="P31" s="99">
        <v>-1</v>
      </c>
      <c r="Q31" s="182">
        <f>-50*R31</f>
        <v>-470</v>
      </c>
      <c r="R31" s="183">
        <v>9.4</v>
      </c>
      <c r="S31" s="342"/>
      <c r="T31" s="199">
        <v>0</v>
      </c>
      <c r="U31" s="148">
        <f t="shared" si="0"/>
        <v>0</v>
      </c>
      <c r="V31" s="121">
        <f t="shared" si="1"/>
        <v>-50</v>
      </c>
      <c r="W31" s="123">
        <f>IF(D31=0,0,N31*R31)/3.6</f>
        <v>0</v>
      </c>
      <c r="Y31" s="11">
        <v>1</v>
      </c>
      <c r="Z31" s="9"/>
      <c r="AA31" s="9"/>
      <c r="AB31" s="9"/>
      <c r="AD31" s="9"/>
      <c r="AH31"/>
      <c r="AQ31" s="6"/>
    </row>
    <row r="32" spans="1:43" hidden="1" outlineLevel="1" x14ac:dyDescent="0.25">
      <c r="A32" s="149"/>
      <c r="B32" s="130" t="s">
        <v>70</v>
      </c>
      <c r="C32" s="130" t="s">
        <v>65</v>
      </c>
      <c r="D32" s="168">
        <v>1</v>
      </c>
      <c r="E32" s="126">
        <v>3</v>
      </c>
      <c r="F32" s="174">
        <v>0</v>
      </c>
      <c r="G32" s="100">
        <v>1</v>
      </c>
      <c r="H32" s="100">
        <v>1</v>
      </c>
      <c r="I32" s="126">
        <v>0</v>
      </c>
      <c r="J32" s="100">
        <v>0</v>
      </c>
      <c r="K32" s="100">
        <v>0</v>
      </c>
      <c r="L32" s="100"/>
      <c r="M32" s="100">
        <v>0</v>
      </c>
      <c r="N32" s="101">
        <v>11000</v>
      </c>
      <c r="O32" s="101">
        <v>-1</v>
      </c>
      <c r="P32" s="101">
        <v>-1</v>
      </c>
      <c r="Q32" s="200">
        <f>-52.5*3.6</f>
        <v>-189</v>
      </c>
      <c r="R32" s="186">
        <v>3.6</v>
      </c>
      <c r="S32" s="186"/>
      <c r="T32" s="188">
        <v>0</v>
      </c>
      <c r="U32" s="131">
        <f t="shared" si="0"/>
        <v>0</v>
      </c>
      <c r="V32" s="127">
        <f t="shared" si="1"/>
        <v>-52.5</v>
      </c>
      <c r="W32" s="129">
        <f>IF(D32=0,0,N32*R32)/3.6</f>
        <v>11000</v>
      </c>
      <c r="Y32" s="11">
        <v>1</v>
      </c>
      <c r="Z32" s="9"/>
      <c r="AA32" s="9"/>
      <c r="AB32" s="9"/>
      <c r="AE32" s="9"/>
      <c r="AH32"/>
      <c r="AQ32" s="6"/>
    </row>
    <row r="33" spans="1:43" hidden="1" outlineLevel="1" x14ac:dyDescent="0.25">
      <c r="A33" s="150"/>
      <c r="B33" s="151" t="s">
        <v>76</v>
      </c>
      <c r="C33" s="151" t="s">
        <v>76</v>
      </c>
      <c r="D33" s="169">
        <v>1</v>
      </c>
      <c r="E33" s="134">
        <v>4</v>
      </c>
      <c r="F33" s="175">
        <v>0</v>
      </c>
      <c r="G33" s="152">
        <v>1</v>
      </c>
      <c r="H33" s="152">
        <v>1</v>
      </c>
      <c r="I33" s="134">
        <v>0</v>
      </c>
      <c r="J33" s="152">
        <v>0</v>
      </c>
      <c r="K33" s="152">
        <v>0</v>
      </c>
      <c r="L33" s="152"/>
      <c r="M33" s="152">
        <v>0</v>
      </c>
      <c r="N33" s="153">
        <v>20000</v>
      </c>
      <c r="O33" s="153">
        <v>-1</v>
      </c>
      <c r="P33" s="153">
        <v>-1</v>
      </c>
      <c r="Q33" s="201">
        <v>-5000</v>
      </c>
      <c r="R33" s="190">
        <v>44</v>
      </c>
      <c r="S33" s="190"/>
      <c r="T33" s="202">
        <f>3200/R33</f>
        <v>72.727272727272734</v>
      </c>
      <c r="U33" s="146">
        <f t="shared" si="0"/>
        <v>3.2000000000000006</v>
      </c>
      <c r="V33" s="135">
        <f t="shared" si="1"/>
        <v>-113.63636363636364</v>
      </c>
      <c r="W33" s="137">
        <f>IF(D33=0,0,N33*R33)/3.6</f>
        <v>244444.44444444444</v>
      </c>
      <c r="Y33" s="11">
        <v>1</v>
      </c>
      <c r="Z33" s="9"/>
      <c r="AA33" s="9"/>
      <c r="AB33" s="9"/>
      <c r="AH33"/>
      <c r="AQ33" s="6"/>
    </row>
    <row r="34" spans="1:43" collapsed="1" x14ac:dyDescent="0.25">
      <c r="A34" s="94"/>
      <c r="B34" s="102">
        <f>COUNTA(B5:B30)</f>
        <v>26</v>
      </c>
      <c r="C34" s="94"/>
      <c r="D34" s="360">
        <f>COUNTIF(D5:D30,"&gt;0")</f>
        <v>17</v>
      </c>
      <c r="E34" s="102"/>
      <c r="F34" s="102">
        <f>COUNTIF(F5:F33,"&gt;0")</f>
        <v>5</v>
      </c>
      <c r="G34" s="102">
        <f>COUNTIF(G5:G33,"&gt;0")</f>
        <v>8</v>
      </c>
      <c r="H34" s="102">
        <f>COUNTIF(H5:H33,"&gt;0")</f>
        <v>9</v>
      </c>
      <c r="I34" s="102">
        <f>COUNTIF(I5:I33,"&gt;0")</f>
        <v>25</v>
      </c>
      <c r="J34" s="94"/>
      <c r="K34" s="94"/>
      <c r="L34" s="94"/>
      <c r="M34" s="293">
        <f>SUMPRODUCT(D5:D30,M5:M30)</f>
        <v>97113.278999999995</v>
      </c>
      <c r="N34" s="293">
        <f>SUMPRODUCT(D5:D30,N5:N30)</f>
        <v>97113.278999999995</v>
      </c>
      <c r="O34" s="94"/>
      <c r="P34" s="94"/>
      <c r="Q34" s="94"/>
      <c r="R34" s="94"/>
      <c r="S34" s="94"/>
      <c r="T34" s="103"/>
      <c r="U34" s="106"/>
      <c r="V34" s="94"/>
      <c r="W34" s="293">
        <f>SUMPRODUCT(D5:D25,W5:W25)</f>
        <v>275392.55041666661</v>
      </c>
      <c r="X34" s="16">
        <f>W34/M34</f>
        <v>2.8357867559663661</v>
      </c>
      <c r="Y34" s="9">
        <f>X34*3.6</f>
        <v>10.208832321478917</v>
      </c>
      <c r="Z34" s="9"/>
      <c r="AA34" s="9"/>
      <c r="AH34"/>
      <c r="AP34" s="6"/>
    </row>
    <row r="35" spans="1:43" x14ac:dyDescent="0.25">
      <c r="O35" s="16"/>
      <c r="P35"/>
      <c r="AG35" s="6"/>
      <c r="AH35"/>
    </row>
    <row r="36" spans="1:43" s="111" customFormat="1" ht="18.75" x14ac:dyDescent="0.3">
      <c r="A36" s="109"/>
      <c r="B36" s="110" t="s">
        <v>182</v>
      </c>
      <c r="C36" s="109"/>
      <c r="D36" s="109"/>
      <c r="E36" s="109"/>
      <c r="F36" s="110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</row>
    <row r="37" spans="1:43" x14ac:dyDescent="0.25">
      <c r="B37" s="381">
        <f>IF(FixAffald2021&lt;&gt;0, Affald2021!C9, IF(AND($I5&lt;&gt;0,$H5=0),$N5/12,$N5))</f>
        <v>12915.299999999997</v>
      </c>
      <c r="C37" s="1" t="s">
        <v>116</v>
      </c>
      <c r="D37" s="32">
        <f t="shared" ref="D37:AM37" si="3">_xlfn.LET(_xlpm.d,D38,IF(AND(_xlpm.d&gt;=PerStart,_xlpm.d&lt;=PerSlut),1,0))</f>
        <v>1</v>
      </c>
      <c r="E37" s="24">
        <f t="shared" si="3"/>
        <v>1</v>
      </c>
      <c r="F37" s="24">
        <f t="shared" si="3"/>
        <v>1</v>
      </c>
      <c r="G37" s="24">
        <f t="shared" si="3"/>
        <v>1</v>
      </c>
      <c r="H37" s="24">
        <f t="shared" si="3"/>
        <v>1</v>
      </c>
      <c r="I37" s="24">
        <f t="shared" si="3"/>
        <v>1</v>
      </c>
      <c r="J37" s="24">
        <f t="shared" si="3"/>
        <v>1</v>
      </c>
      <c r="K37" s="24">
        <f t="shared" si="3"/>
        <v>1</v>
      </c>
      <c r="L37" s="24">
        <f t="shared" si="3"/>
        <v>1</v>
      </c>
      <c r="M37" s="24">
        <f t="shared" si="3"/>
        <v>1</v>
      </c>
      <c r="N37" s="24">
        <f t="shared" si="3"/>
        <v>1</v>
      </c>
      <c r="O37" s="24">
        <f t="shared" si="3"/>
        <v>1</v>
      </c>
      <c r="P37" s="32">
        <f t="shared" si="3"/>
        <v>0</v>
      </c>
      <c r="Q37" s="24">
        <f t="shared" si="3"/>
        <v>0</v>
      </c>
      <c r="R37" s="24">
        <f t="shared" si="3"/>
        <v>0</v>
      </c>
      <c r="S37" s="24">
        <f t="shared" si="3"/>
        <v>0</v>
      </c>
      <c r="T37" s="24">
        <f t="shared" si="3"/>
        <v>0</v>
      </c>
      <c r="U37" s="24">
        <f t="shared" si="3"/>
        <v>0</v>
      </c>
      <c r="V37" s="24">
        <f t="shared" si="3"/>
        <v>0</v>
      </c>
      <c r="W37" s="24">
        <f t="shared" si="3"/>
        <v>0</v>
      </c>
      <c r="X37" s="24">
        <f t="shared" si="3"/>
        <v>0</v>
      </c>
      <c r="Y37" s="24">
        <f t="shared" si="3"/>
        <v>0</v>
      </c>
      <c r="Z37" s="24">
        <f t="shared" si="3"/>
        <v>0</v>
      </c>
      <c r="AA37" s="24">
        <f t="shared" si="3"/>
        <v>0</v>
      </c>
      <c r="AB37" s="32">
        <f t="shared" si="3"/>
        <v>0</v>
      </c>
      <c r="AC37" s="24">
        <f t="shared" si="3"/>
        <v>0</v>
      </c>
      <c r="AD37" s="24">
        <f t="shared" si="3"/>
        <v>0</v>
      </c>
      <c r="AE37" s="24">
        <f t="shared" si="3"/>
        <v>0</v>
      </c>
      <c r="AF37" s="24">
        <f t="shared" si="3"/>
        <v>0</v>
      </c>
      <c r="AG37" s="24">
        <f t="shared" si="3"/>
        <v>0</v>
      </c>
      <c r="AH37" s="24">
        <f t="shared" si="3"/>
        <v>0</v>
      </c>
      <c r="AI37" s="24">
        <f t="shared" si="3"/>
        <v>0</v>
      </c>
      <c r="AJ37" s="24">
        <f t="shared" si="3"/>
        <v>0</v>
      </c>
      <c r="AK37" s="24">
        <f t="shared" si="3"/>
        <v>0</v>
      </c>
      <c r="AL37" s="24">
        <f t="shared" si="3"/>
        <v>0</v>
      </c>
      <c r="AM37" s="24">
        <f t="shared" si="3"/>
        <v>0</v>
      </c>
    </row>
    <row r="38" spans="1:43" x14ac:dyDescent="0.25">
      <c r="B38" s="381">
        <f>IF(OR($H5=0,AND($AB5,NOT($AA5))),$M5/12,0)</f>
        <v>0</v>
      </c>
      <c r="C38" s="21" t="s">
        <v>107</v>
      </c>
      <c r="D38" s="35" cm="1">
        <f t="array" ref="D38:AM38">TRANSPOSE(PeriodRange)</f>
        <v>44197</v>
      </c>
      <c r="E38" s="31">
        <v>44228</v>
      </c>
      <c r="F38" s="31">
        <v>44256</v>
      </c>
      <c r="G38" s="31">
        <v>44287</v>
      </c>
      <c r="H38" s="31">
        <v>44317</v>
      </c>
      <c r="I38" s="31">
        <v>44348</v>
      </c>
      <c r="J38" s="31">
        <v>44378</v>
      </c>
      <c r="K38" s="31">
        <v>44409</v>
      </c>
      <c r="L38" s="31">
        <v>44440</v>
      </c>
      <c r="M38" s="31">
        <v>44470</v>
      </c>
      <c r="N38" s="31">
        <v>44501</v>
      </c>
      <c r="O38" s="31">
        <v>44531</v>
      </c>
      <c r="P38" s="33">
        <v>44562</v>
      </c>
      <c r="Q38" s="31">
        <v>44593</v>
      </c>
      <c r="R38" s="31">
        <v>44621</v>
      </c>
      <c r="S38" s="31">
        <v>44652</v>
      </c>
      <c r="T38" s="31">
        <v>44682</v>
      </c>
      <c r="U38" s="31">
        <v>44713</v>
      </c>
      <c r="V38" s="31">
        <v>44743</v>
      </c>
      <c r="W38" s="31">
        <v>44774</v>
      </c>
      <c r="X38" s="31">
        <v>44805</v>
      </c>
      <c r="Y38" s="31">
        <v>44835</v>
      </c>
      <c r="Z38" s="31">
        <v>44866</v>
      </c>
      <c r="AA38" s="31">
        <v>44896</v>
      </c>
      <c r="AB38" s="35">
        <v>44927</v>
      </c>
      <c r="AC38" s="31">
        <v>44958</v>
      </c>
      <c r="AD38" s="31">
        <v>44986</v>
      </c>
      <c r="AE38" s="31">
        <v>45017</v>
      </c>
      <c r="AF38" s="31">
        <v>45047</v>
      </c>
      <c r="AG38" s="31">
        <v>45078</v>
      </c>
      <c r="AH38" s="31">
        <v>45108</v>
      </c>
      <c r="AI38" s="31">
        <v>45139</v>
      </c>
      <c r="AJ38" s="31">
        <v>45170</v>
      </c>
      <c r="AK38" s="31">
        <v>45200</v>
      </c>
      <c r="AL38" s="31">
        <v>45231</v>
      </c>
      <c r="AM38" s="31">
        <v>45261</v>
      </c>
    </row>
    <row r="39" spans="1:43" x14ac:dyDescent="0.25">
      <c r="B39" s="27" t="s">
        <v>74</v>
      </c>
      <c r="C39" s="21" t="s">
        <v>75</v>
      </c>
      <c r="D39" s="67" t="s">
        <v>141</v>
      </c>
      <c r="E39" s="68" t="s">
        <v>142</v>
      </c>
      <c r="F39" s="68" t="s">
        <v>143</v>
      </c>
      <c r="G39" s="68" t="s">
        <v>144</v>
      </c>
      <c r="H39" s="68" t="s">
        <v>145</v>
      </c>
      <c r="I39" s="68" t="s">
        <v>146</v>
      </c>
      <c r="J39" s="68" t="s">
        <v>147</v>
      </c>
      <c r="K39" s="68" t="s">
        <v>148</v>
      </c>
      <c r="L39" s="68" t="s">
        <v>149</v>
      </c>
      <c r="M39" s="68" t="s">
        <v>150</v>
      </c>
      <c r="N39" s="68" t="s">
        <v>151</v>
      </c>
      <c r="O39" s="68" t="s">
        <v>152</v>
      </c>
      <c r="P39" s="69" t="s">
        <v>153</v>
      </c>
      <c r="Q39" s="68" t="s">
        <v>154</v>
      </c>
      <c r="R39" s="68" t="s">
        <v>155</v>
      </c>
      <c r="S39" s="68" t="s">
        <v>156</v>
      </c>
      <c r="T39" s="68" t="s">
        <v>157</v>
      </c>
      <c r="U39" s="68" t="s">
        <v>158</v>
      </c>
      <c r="V39" s="68" t="s">
        <v>159</v>
      </c>
      <c r="W39" s="68" t="s">
        <v>160</v>
      </c>
      <c r="X39" s="68" t="s">
        <v>161</v>
      </c>
      <c r="Y39" s="68" t="s">
        <v>162</v>
      </c>
      <c r="Z39" s="68" t="s">
        <v>163</v>
      </c>
      <c r="AA39" s="68" t="s">
        <v>164</v>
      </c>
      <c r="AB39" s="67" t="s">
        <v>165</v>
      </c>
      <c r="AC39" s="68" t="s">
        <v>166</v>
      </c>
      <c r="AD39" s="68" t="s">
        <v>167</v>
      </c>
      <c r="AE39" s="68" t="s">
        <v>168</v>
      </c>
      <c r="AF39" s="68" t="s">
        <v>169</v>
      </c>
      <c r="AG39" s="68" t="s">
        <v>170</v>
      </c>
      <c r="AH39" s="68" t="s">
        <v>171</v>
      </c>
      <c r="AI39" s="68" t="s">
        <v>172</v>
      </c>
      <c r="AJ39" s="68" t="s">
        <v>173</v>
      </c>
      <c r="AK39" s="68" t="s">
        <v>174</v>
      </c>
      <c r="AL39" s="68" t="s">
        <v>175</v>
      </c>
      <c r="AM39" s="68" t="s">
        <v>176</v>
      </c>
    </row>
    <row r="40" spans="1:43" s="26" customFormat="1" ht="15.75" x14ac:dyDescent="0.25">
      <c r="A40" s="37" t="s">
        <v>400</v>
      </c>
      <c r="B40" s="41"/>
      <c r="C40" s="29"/>
      <c r="D40" s="34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4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4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43" s="248" customFormat="1" outlineLevel="1" x14ac:dyDescent="0.25">
      <c r="B41" s="248" t="str" cm="1">
        <f t="array" ref="B41:B66">Affaldsfraktioner</f>
        <v>DepoSort</v>
      </c>
      <c r="C41" s="22" t="s">
        <v>255</v>
      </c>
      <c r="D41" s="393">
        <f>IF(FixAffald2021&lt;&gt;0, Affald2021!C9, IF($I5&lt;&gt;0,$N5/12,$N5))</f>
        <v>1076.2749999999999</v>
      </c>
      <c r="E41" s="394">
        <f>IF(FixAffald2021&lt;&gt;0, Affald2021!D9, IF($I5&lt;&gt;0,$N5/12,$N5))</f>
        <v>1076.2749999999999</v>
      </c>
      <c r="F41" s="394">
        <f>IF(FixAffald2021&lt;&gt;0, Affald2021!E9, IF($I5&lt;&gt;0,$N5/12,$N5))</f>
        <v>1076.2749999999999</v>
      </c>
      <c r="G41" s="394">
        <f>IF(FixAffald2021&lt;&gt;0, Affald2021!F9, IF($I5&lt;&gt;0,$N5/12,$N5))</f>
        <v>1076.2749999999999</v>
      </c>
      <c r="H41" s="394">
        <f>IF(FixAffald2021&lt;&gt;0, Affald2021!G9, IF($I5&lt;&gt;0,$N5/12,$N5))</f>
        <v>1076.2749999999999</v>
      </c>
      <c r="I41" s="394">
        <f>IF(FixAffald2021&lt;&gt;0, Affald2021!H9, IF($I5&lt;&gt;0,$N5/12,$N5))</f>
        <v>1076.2749999999999</v>
      </c>
      <c r="J41" s="394">
        <f>IF(FixAffald2021&lt;&gt;0, Affald2021!I9, IF($I5&lt;&gt;0,$N5/12,$N5))</f>
        <v>1076.2749999999999</v>
      </c>
      <c r="K41" s="394">
        <f>IF(FixAffald2021&lt;&gt;0, Affald2021!J9, IF($I5&lt;&gt;0,$N5/12,$N5))</f>
        <v>1076.2749999999999</v>
      </c>
      <c r="L41" s="394">
        <f>IF(FixAffald2021&lt;&gt;0, Affald2021!K9, IF($I5&lt;&gt;0,$N5/12,$N5))</f>
        <v>1076.2749999999999</v>
      </c>
      <c r="M41" s="394">
        <f>IF(FixAffald2021&lt;&gt;0, Affald2021!L9, IF($I5&lt;&gt;0,$N5/12,$N5))</f>
        <v>1076.2749999999999</v>
      </c>
      <c r="N41" s="394">
        <f>IF(FixAffald2021&lt;&gt;0, Affald2021!M9, IF($I5&lt;&gt;0,$N5/12,$N5))</f>
        <v>1076.2749999999999</v>
      </c>
      <c r="O41" s="394">
        <f>IF(FixAffald2021&lt;&gt;0, Affald2021!N9, IF($I5&lt;&gt;0,$N5/12,$N5))</f>
        <v>1076.2749999999999</v>
      </c>
      <c r="P41" s="249">
        <f>IF($I5&lt;&gt;0,$N5/12,$N5)</f>
        <v>1076.2749999999999</v>
      </c>
      <c r="Q41" s="250">
        <f t="shared" ref="Q41:AM52" si="4">IF($I5&lt;&gt;0,$N5/12,$N5)</f>
        <v>1076.2749999999999</v>
      </c>
      <c r="R41" s="250">
        <f t="shared" si="4"/>
        <v>1076.2749999999999</v>
      </c>
      <c r="S41" s="250">
        <f t="shared" si="4"/>
        <v>1076.2749999999999</v>
      </c>
      <c r="T41" s="250">
        <f t="shared" si="4"/>
        <v>1076.2749999999999</v>
      </c>
      <c r="U41" s="250">
        <f t="shared" si="4"/>
        <v>1076.2749999999999</v>
      </c>
      <c r="V41" s="250">
        <f t="shared" si="4"/>
        <v>1076.2749999999999</v>
      </c>
      <c r="W41" s="250">
        <f t="shared" si="4"/>
        <v>1076.2749999999999</v>
      </c>
      <c r="X41" s="250">
        <f t="shared" si="4"/>
        <v>1076.2749999999999</v>
      </c>
      <c r="Y41" s="250">
        <f t="shared" si="4"/>
        <v>1076.2749999999999</v>
      </c>
      <c r="Z41" s="250">
        <f t="shared" si="4"/>
        <v>1076.2749999999999</v>
      </c>
      <c r="AA41" s="250">
        <f t="shared" si="4"/>
        <v>1076.2749999999999</v>
      </c>
      <c r="AB41" s="249">
        <f t="shared" si="4"/>
        <v>1076.2749999999999</v>
      </c>
      <c r="AC41" s="250">
        <f t="shared" si="4"/>
        <v>1076.2749999999999</v>
      </c>
      <c r="AD41" s="250">
        <f t="shared" si="4"/>
        <v>1076.2749999999999</v>
      </c>
      <c r="AE41" s="250">
        <f t="shared" si="4"/>
        <v>1076.2749999999999</v>
      </c>
      <c r="AF41" s="250">
        <f t="shared" si="4"/>
        <v>1076.2749999999999</v>
      </c>
      <c r="AG41" s="250">
        <f t="shared" si="4"/>
        <v>1076.2749999999999</v>
      </c>
      <c r="AH41" s="250">
        <f t="shared" si="4"/>
        <v>1076.2749999999999</v>
      </c>
      <c r="AI41" s="250">
        <f t="shared" si="4"/>
        <v>1076.2749999999999</v>
      </c>
      <c r="AJ41" s="250">
        <f t="shared" si="4"/>
        <v>1076.2749999999999</v>
      </c>
      <c r="AK41" s="250">
        <f t="shared" si="4"/>
        <v>1076.2749999999999</v>
      </c>
      <c r="AL41" s="250">
        <f t="shared" si="4"/>
        <v>1076.2749999999999</v>
      </c>
      <c r="AM41" s="250">
        <f t="shared" si="4"/>
        <v>1076.2749999999999</v>
      </c>
    </row>
    <row r="42" spans="1:43" s="248" customFormat="1" outlineLevel="1" x14ac:dyDescent="0.25">
      <c r="B42" s="248" t="str">
        <v>DepoSmaat</v>
      </c>
      <c r="C42" s="22" t="s">
        <v>255</v>
      </c>
      <c r="D42" s="393">
        <f>IF(FixAffald2021&lt;&gt;0, Affald2021!C10, IF($I6&lt;&gt;0,$N6/12,$N6))</f>
        <v>0</v>
      </c>
      <c r="E42" s="394">
        <f>IF(FixAffald2021&lt;&gt;0, Affald2021!D10, IF($I6&lt;&gt;0,$N6/12,$N6))</f>
        <v>0</v>
      </c>
      <c r="F42" s="394">
        <f>IF(FixAffald2021&lt;&gt;0, Affald2021!E10, IF($I6&lt;&gt;0,$N6/12,$N6))</f>
        <v>0</v>
      </c>
      <c r="G42" s="394">
        <f>IF(FixAffald2021&lt;&gt;0, Affald2021!F10, IF($I6&lt;&gt;0,$N6/12,$N6))</f>
        <v>0</v>
      </c>
      <c r="H42" s="394">
        <f>IF(FixAffald2021&lt;&gt;0, Affald2021!G10, IF($I6&lt;&gt;0,$N6/12,$N6))</f>
        <v>0</v>
      </c>
      <c r="I42" s="394">
        <f>IF(FixAffald2021&lt;&gt;0, Affald2021!H10, IF($I6&lt;&gt;0,$N6/12,$N6))</f>
        <v>0</v>
      </c>
      <c r="J42" s="394">
        <f>IF(FixAffald2021&lt;&gt;0, Affald2021!I10, IF($I6&lt;&gt;0,$N6/12,$N6))</f>
        <v>0</v>
      </c>
      <c r="K42" s="394">
        <f>IF(FixAffald2021&lt;&gt;0, Affald2021!J10, IF($I6&lt;&gt;0,$N6/12,$N6))</f>
        <v>0</v>
      </c>
      <c r="L42" s="394">
        <f>IF(FixAffald2021&lt;&gt;0, Affald2021!K10, IF($I6&lt;&gt;0,$N6/12,$N6))</f>
        <v>0</v>
      </c>
      <c r="M42" s="394">
        <f>IF(FixAffald2021&lt;&gt;0, Affald2021!L10, IF($I6&lt;&gt;0,$N6/12,$N6))</f>
        <v>0</v>
      </c>
      <c r="N42" s="394">
        <f>IF(FixAffald2021&lt;&gt;0, Affald2021!M10, IF($I6&lt;&gt;0,$N6/12,$N6))</f>
        <v>0</v>
      </c>
      <c r="O42" s="394">
        <f>IF(FixAffald2021&lt;&gt;0, Affald2021!N10, IF($I6&lt;&gt;0,$N6/12,$N6))</f>
        <v>0</v>
      </c>
      <c r="P42" s="249">
        <f t="shared" ref="P42:AE69" si="5">IF($I6&lt;&gt;0,$N6/12,$N6)</f>
        <v>0</v>
      </c>
      <c r="Q42" s="250">
        <f t="shared" si="5"/>
        <v>0</v>
      </c>
      <c r="R42" s="250">
        <f t="shared" si="5"/>
        <v>0</v>
      </c>
      <c r="S42" s="250">
        <f t="shared" si="5"/>
        <v>0</v>
      </c>
      <c r="T42" s="250">
        <f t="shared" si="5"/>
        <v>0</v>
      </c>
      <c r="U42" s="250">
        <f t="shared" si="5"/>
        <v>0</v>
      </c>
      <c r="V42" s="250">
        <f t="shared" si="5"/>
        <v>0</v>
      </c>
      <c r="W42" s="250">
        <f t="shared" si="5"/>
        <v>0</v>
      </c>
      <c r="X42" s="250">
        <f t="shared" si="5"/>
        <v>0</v>
      </c>
      <c r="Y42" s="250">
        <f t="shared" si="5"/>
        <v>0</v>
      </c>
      <c r="Z42" s="250">
        <f t="shared" si="5"/>
        <v>0</v>
      </c>
      <c r="AA42" s="250">
        <f t="shared" si="5"/>
        <v>0</v>
      </c>
      <c r="AB42" s="249">
        <f t="shared" si="5"/>
        <v>0</v>
      </c>
      <c r="AC42" s="250">
        <f t="shared" si="5"/>
        <v>0</v>
      </c>
      <c r="AD42" s="250">
        <f t="shared" si="5"/>
        <v>0</v>
      </c>
      <c r="AE42" s="250">
        <f t="shared" si="5"/>
        <v>0</v>
      </c>
      <c r="AF42" s="250">
        <f t="shared" si="4"/>
        <v>0</v>
      </c>
      <c r="AG42" s="250">
        <f t="shared" si="4"/>
        <v>0</v>
      </c>
      <c r="AH42" s="250">
        <f t="shared" si="4"/>
        <v>0</v>
      </c>
      <c r="AI42" s="250">
        <f t="shared" si="4"/>
        <v>0</v>
      </c>
      <c r="AJ42" s="250">
        <f t="shared" si="4"/>
        <v>0</v>
      </c>
      <c r="AK42" s="250">
        <f t="shared" si="4"/>
        <v>0</v>
      </c>
      <c r="AL42" s="250">
        <f t="shared" si="4"/>
        <v>0</v>
      </c>
      <c r="AM42" s="250">
        <f t="shared" si="4"/>
        <v>0</v>
      </c>
    </row>
    <row r="43" spans="1:43" s="248" customFormat="1" outlineLevel="1" x14ac:dyDescent="0.25">
      <c r="B43" s="248" t="str">
        <v>DepoNedd</v>
      </c>
      <c r="C43" s="22" t="s">
        <v>255</v>
      </c>
      <c r="D43" s="393">
        <f>IF(FixAffald2021&lt;&gt;0, Affald2021!C11, IF($I7&lt;&gt;0,$N7/12,$N7))</f>
        <v>0</v>
      </c>
      <c r="E43" s="394">
        <f>IF(FixAffald2021&lt;&gt;0, Affald2021!D11, IF($I7&lt;&gt;0,$N7/12,$N7))</f>
        <v>0</v>
      </c>
      <c r="F43" s="394">
        <f>IF(FixAffald2021&lt;&gt;0, Affald2021!E11, IF($I7&lt;&gt;0,$N7/12,$N7))</f>
        <v>0</v>
      </c>
      <c r="G43" s="394">
        <f>IF(FixAffald2021&lt;&gt;0, Affald2021!F11, IF($I7&lt;&gt;0,$N7/12,$N7))</f>
        <v>0</v>
      </c>
      <c r="H43" s="394">
        <f>IF(FixAffald2021&lt;&gt;0, Affald2021!G11, IF($I7&lt;&gt;0,$N7/12,$N7))</f>
        <v>0</v>
      </c>
      <c r="I43" s="394">
        <f>IF(FixAffald2021&lt;&gt;0, Affald2021!H11, IF($I7&lt;&gt;0,$N7/12,$N7))</f>
        <v>0</v>
      </c>
      <c r="J43" s="394">
        <f>IF(FixAffald2021&lt;&gt;0, Affald2021!I11, IF($I7&lt;&gt;0,$N7/12,$N7))</f>
        <v>0</v>
      </c>
      <c r="K43" s="394">
        <f>IF(FixAffald2021&lt;&gt;0, Affald2021!J11, IF($I7&lt;&gt;0,$N7/12,$N7))</f>
        <v>0</v>
      </c>
      <c r="L43" s="394">
        <f>IF(FixAffald2021&lt;&gt;0, Affald2021!K11, IF($I7&lt;&gt;0,$N7/12,$N7))</f>
        <v>0</v>
      </c>
      <c r="M43" s="394">
        <f>IF(FixAffald2021&lt;&gt;0, Affald2021!L11, IF($I7&lt;&gt;0,$N7/12,$N7))</f>
        <v>0</v>
      </c>
      <c r="N43" s="394">
        <f>IF(FixAffald2021&lt;&gt;0, Affald2021!M11, IF($I7&lt;&gt;0,$N7/12,$N7))</f>
        <v>0</v>
      </c>
      <c r="O43" s="394">
        <f>IF(FixAffald2021&lt;&gt;0, Affald2021!N11, IF($I7&lt;&gt;0,$N7/12,$N7))</f>
        <v>0</v>
      </c>
      <c r="P43" s="249">
        <f t="shared" si="5"/>
        <v>0</v>
      </c>
      <c r="Q43" s="250">
        <f t="shared" si="4"/>
        <v>0</v>
      </c>
      <c r="R43" s="250">
        <f t="shared" si="4"/>
        <v>0</v>
      </c>
      <c r="S43" s="250">
        <f t="shared" si="4"/>
        <v>0</v>
      </c>
      <c r="T43" s="250">
        <f t="shared" si="4"/>
        <v>0</v>
      </c>
      <c r="U43" s="250">
        <f t="shared" si="4"/>
        <v>0</v>
      </c>
      <c r="V43" s="250">
        <f t="shared" si="4"/>
        <v>0</v>
      </c>
      <c r="W43" s="250">
        <f t="shared" si="4"/>
        <v>0</v>
      </c>
      <c r="X43" s="250">
        <f t="shared" si="4"/>
        <v>0</v>
      </c>
      <c r="Y43" s="250">
        <f t="shared" si="4"/>
        <v>0</v>
      </c>
      <c r="Z43" s="250">
        <f t="shared" si="4"/>
        <v>0</v>
      </c>
      <c r="AA43" s="250">
        <f t="shared" si="4"/>
        <v>0</v>
      </c>
      <c r="AB43" s="249">
        <f t="shared" si="4"/>
        <v>0</v>
      </c>
      <c r="AC43" s="250">
        <f t="shared" si="4"/>
        <v>0</v>
      </c>
      <c r="AD43" s="250">
        <f t="shared" si="4"/>
        <v>0</v>
      </c>
      <c r="AE43" s="250">
        <f t="shared" si="4"/>
        <v>0</v>
      </c>
      <c r="AF43" s="250">
        <f t="shared" si="4"/>
        <v>0</v>
      </c>
      <c r="AG43" s="250">
        <f t="shared" si="4"/>
        <v>0</v>
      </c>
      <c r="AH43" s="250">
        <f t="shared" si="4"/>
        <v>0</v>
      </c>
      <c r="AI43" s="250">
        <f t="shared" si="4"/>
        <v>0</v>
      </c>
      <c r="AJ43" s="250">
        <f t="shared" si="4"/>
        <v>0</v>
      </c>
      <c r="AK43" s="250">
        <f t="shared" si="4"/>
        <v>0</v>
      </c>
      <c r="AL43" s="250">
        <f t="shared" si="4"/>
        <v>0</v>
      </c>
      <c r="AM43" s="250">
        <f t="shared" si="4"/>
        <v>0</v>
      </c>
    </row>
    <row r="44" spans="1:43" s="248" customFormat="1" outlineLevel="1" x14ac:dyDescent="0.25">
      <c r="B44" s="248" t="str">
        <v>Dagren</v>
      </c>
      <c r="C44" s="22" t="s">
        <v>255</v>
      </c>
      <c r="D44" s="393">
        <f>IF(FixAffald2021&lt;&gt;0, Affald2021!C12, IF($I8&lt;&gt;0,$N8/12,$N8))</f>
        <v>2397.2316666666666</v>
      </c>
      <c r="E44" s="394">
        <f>IF(FixAffald2021&lt;&gt;0, Affald2021!D12, IF($I8&lt;&gt;0,$N8/12,$N8))</f>
        <v>2397.2316666666666</v>
      </c>
      <c r="F44" s="394">
        <f>IF(FixAffald2021&lt;&gt;0, Affald2021!E12, IF($I8&lt;&gt;0,$N8/12,$N8))</f>
        <v>2397.2316666666666</v>
      </c>
      <c r="G44" s="394">
        <f>IF(FixAffald2021&lt;&gt;0, Affald2021!F12, IF($I8&lt;&gt;0,$N8/12,$N8))</f>
        <v>2397.2316666666666</v>
      </c>
      <c r="H44" s="394">
        <f>IF(FixAffald2021&lt;&gt;0, Affald2021!G12, IF($I8&lt;&gt;0,$N8/12,$N8))</f>
        <v>2397.2316666666666</v>
      </c>
      <c r="I44" s="394">
        <f>IF(FixAffald2021&lt;&gt;0, Affald2021!H12, IF($I8&lt;&gt;0,$N8/12,$N8))</f>
        <v>2397.2316666666666</v>
      </c>
      <c r="J44" s="394">
        <f>IF(FixAffald2021&lt;&gt;0, Affald2021!I12, IF($I8&lt;&gt;0,$N8/12,$N8))</f>
        <v>2397.2316666666666</v>
      </c>
      <c r="K44" s="394">
        <f>IF(FixAffald2021&lt;&gt;0, Affald2021!J12, IF($I8&lt;&gt;0,$N8/12,$N8))</f>
        <v>2397.2316666666666</v>
      </c>
      <c r="L44" s="394">
        <f>IF(FixAffald2021&lt;&gt;0, Affald2021!K12, IF($I8&lt;&gt;0,$N8/12,$N8))</f>
        <v>2397.2316666666666</v>
      </c>
      <c r="M44" s="394">
        <f>IF(FixAffald2021&lt;&gt;0, Affald2021!L12, IF($I8&lt;&gt;0,$N8/12,$N8))</f>
        <v>2397.2316666666666</v>
      </c>
      <c r="N44" s="394">
        <f>IF(FixAffald2021&lt;&gt;0, Affald2021!M12, IF($I8&lt;&gt;0,$N8/12,$N8))</f>
        <v>2397.2316666666666</v>
      </c>
      <c r="O44" s="394">
        <f>IF(FixAffald2021&lt;&gt;0, Affald2021!N12, IF($I8&lt;&gt;0,$N8/12,$N8))</f>
        <v>2397.2316666666666</v>
      </c>
      <c r="P44" s="249">
        <f t="shared" si="5"/>
        <v>2397.2316666666666</v>
      </c>
      <c r="Q44" s="250">
        <f t="shared" si="4"/>
        <v>2397.2316666666666</v>
      </c>
      <c r="R44" s="250">
        <f t="shared" si="4"/>
        <v>2397.2316666666666</v>
      </c>
      <c r="S44" s="250">
        <f t="shared" si="4"/>
        <v>2397.2316666666666</v>
      </c>
      <c r="T44" s="250">
        <f t="shared" si="4"/>
        <v>2397.2316666666666</v>
      </c>
      <c r="U44" s="250">
        <f t="shared" si="4"/>
        <v>2397.2316666666666</v>
      </c>
      <c r="V44" s="250">
        <f t="shared" si="4"/>
        <v>2397.2316666666666</v>
      </c>
      <c r="W44" s="250">
        <f t="shared" si="4"/>
        <v>2397.2316666666666</v>
      </c>
      <c r="X44" s="250">
        <f t="shared" si="4"/>
        <v>2397.2316666666666</v>
      </c>
      <c r="Y44" s="250">
        <f t="shared" si="4"/>
        <v>2397.2316666666666</v>
      </c>
      <c r="Z44" s="250">
        <f t="shared" si="4"/>
        <v>2397.2316666666666</v>
      </c>
      <c r="AA44" s="250">
        <f t="shared" si="4"/>
        <v>2397.2316666666666</v>
      </c>
      <c r="AB44" s="249">
        <f t="shared" si="4"/>
        <v>2397.2316666666666</v>
      </c>
      <c r="AC44" s="250">
        <f t="shared" si="4"/>
        <v>2397.2316666666666</v>
      </c>
      <c r="AD44" s="250">
        <f t="shared" si="4"/>
        <v>2397.2316666666666</v>
      </c>
      <c r="AE44" s="250">
        <f t="shared" si="4"/>
        <v>2397.2316666666666</v>
      </c>
      <c r="AF44" s="250">
        <f t="shared" si="4"/>
        <v>2397.2316666666666</v>
      </c>
      <c r="AG44" s="250">
        <f t="shared" si="4"/>
        <v>2397.2316666666666</v>
      </c>
      <c r="AH44" s="250">
        <f t="shared" si="4"/>
        <v>2397.2316666666666</v>
      </c>
      <c r="AI44" s="250">
        <f t="shared" si="4"/>
        <v>2397.2316666666666</v>
      </c>
      <c r="AJ44" s="250">
        <f t="shared" si="4"/>
        <v>2397.2316666666666</v>
      </c>
      <c r="AK44" s="250">
        <f t="shared" si="4"/>
        <v>2397.2316666666666</v>
      </c>
      <c r="AL44" s="250">
        <f t="shared" si="4"/>
        <v>2397.2316666666666</v>
      </c>
      <c r="AM44" s="250">
        <f t="shared" si="4"/>
        <v>2397.2316666666666</v>
      </c>
    </row>
    <row r="45" spans="1:43" s="248" customFormat="1" outlineLevel="1" x14ac:dyDescent="0.25">
      <c r="B45" s="248" t="str">
        <v>AndetBrand</v>
      </c>
      <c r="C45" s="22" t="s">
        <v>255</v>
      </c>
      <c r="D45" s="393">
        <f>IF(FixAffald2021&lt;&gt;0, Affald2021!C13, IF($I9&lt;&gt;0,$N9/12,$N9))</f>
        <v>352.70075000000003</v>
      </c>
      <c r="E45" s="394">
        <f>IF(FixAffald2021&lt;&gt;0, Affald2021!D13, IF($I9&lt;&gt;0,$N9/12,$N9))</f>
        <v>352.70075000000003</v>
      </c>
      <c r="F45" s="394">
        <f>IF(FixAffald2021&lt;&gt;0, Affald2021!E13, IF($I9&lt;&gt;0,$N9/12,$N9))</f>
        <v>352.70075000000003</v>
      </c>
      <c r="G45" s="394">
        <f>IF(FixAffald2021&lt;&gt;0, Affald2021!F13, IF($I9&lt;&gt;0,$N9/12,$N9))</f>
        <v>352.70075000000003</v>
      </c>
      <c r="H45" s="394">
        <f>IF(FixAffald2021&lt;&gt;0, Affald2021!G13, IF($I9&lt;&gt;0,$N9/12,$N9))</f>
        <v>352.70075000000003</v>
      </c>
      <c r="I45" s="394">
        <f>IF(FixAffald2021&lt;&gt;0, Affald2021!H13, IF($I9&lt;&gt;0,$N9/12,$N9))</f>
        <v>352.70075000000003</v>
      </c>
      <c r="J45" s="394">
        <f>IF(FixAffald2021&lt;&gt;0, Affald2021!I13, IF($I9&lt;&gt;0,$N9/12,$N9))</f>
        <v>352.70075000000003</v>
      </c>
      <c r="K45" s="394">
        <f>IF(FixAffald2021&lt;&gt;0, Affald2021!J13, IF($I9&lt;&gt;0,$N9/12,$N9))</f>
        <v>352.70075000000003</v>
      </c>
      <c r="L45" s="394">
        <f>IF(FixAffald2021&lt;&gt;0, Affald2021!K13, IF($I9&lt;&gt;0,$N9/12,$N9))</f>
        <v>352.70075000000003</v>
      </c>
      <c r="M45" s="394">
        <f>IF(FixAffald2021&lt;&gt;0, Affald2021!L13, IF($I9&lt;&gt;0,$N9/12,$N9))</f>
        <v>352.70075000000003</v>
      </c>
      <c r="N45" s="394">
        <f>IF(FixAffald2021&lt;&gt;0, Affald2021!M13, IF($I9&lt;&gt;0,$N9/12,$N9))</f>
        <v>352.70075000000003</v>
      </c>
      <c r="O45" s="394">
        <f>IF(FixAffald2021&lt;&gt;0, Affald2021!N13, IF($I9&lt;&gt;0,$N9/12,$N9))</f>
        <v>352.70075000000003</v>
      </c>
      <c r="P45" s="249">
        <f t="shared" si="5"/>
        <v>352.70075000000003</v>
      </c>
      <c r="Q45" s="250">
        <f t="shared" si="4"/>
        <v>352.70075000000003</v>
      </c>
      <c r="R45" s="250">
        <f t="shared" si="4"/>
        <v>352.70075000000003</v>
      </c>
      <c r="S45" s="250">
        <f t="shared" si="4"/>
        <v>352.70075000000003</v>
      </c>
      <c r="T45" s="250">
        <f t="shared" si="4"/>
        <v>352.70075000000003</v>
      </c>
      <c r="U45" s="250">
        <f t="shared" si="4"/>
        <v>352.70075000000003</v>
      </c>
      <c r="V45" s="250">
        <f t="shared" si="4"/>
        <v>352.70075000000003</v>
      </c>
      <c r="W45" s="250">
        <f t="shared" si="4"/>
        <v>352.70075000000003</v>
      </c>
      <c r="X45" s="250">
        <f t="shared" si="4"/>
        <v>352.70075000000003</v>
      </c>
      <c r="Y45" s="250">
        <f t="shared" si="4"/>
        <v>352.70075000000003</v>
      </c>
      <c r="Z45" s="250">
        <f t="shared" si="4"/>
        <v>352.70075000000003</v>
      </c>
      <c r="AA45" s="250">
        <f t="shared" si="4"/>
        <v>352.70075000000003</v>
      </c>
      <c r="AB45" s="249">
        <f t="shared" si="4"/>
        <v>352.70075000000003</v>
      </c>
      <c r="AC45" s="250">
        <f t="shared" si="4"/>
        <v>352.70075000000003</v>
      </c>
      <c r="AD45" s="250">
        <f t="shared" si="4"/>
        <v>352.70075000000003</v>
      </c>
      <c r="AE45" s="250">
        <f t="shared" si="4"/>
        <v>352.70075000000003</v>
      </c>
      <c r="AF45" s="250">
        <f t="shared" si="4"/>
        <v>352.70075000000003</v>
      </c>
      <c r="AG45" s="250">
        <f t="shared" si="4"/>
        <v>352.70075000000003</v>
      </c>
      <c r="AH45" s="250">
        <f t="shared" si="4"/>
        <v>352.70075000000003</v>
      </c>
      <c r="AI45" s="250">
        <f t="shared" si="4"/>
        <v>352.70075000000003</v>
      </c>
      <c r="AJ45" s="250">
        <f t="shared" si="4"/>
        <v>352.70075000000003</v>
      </c>
      <c r="AK45" s="250">
        <f t="shared" si="4"/>
        <v>352.70075000000003</v>
      </c>
      <c r="AL45" s="250">
        <f t="shared" si="4"/>
        <v>352.70075000000003</v>
      </c>
      <c r="AM45" s="250">
        <f t="shared" si="4"/>
        <v>352.70075000000003</v>
      </c>
    </row>
    <row r="46" spans="1:43" s="248" customFormat="1" outlineLevel="1" x14ac:dyDescent="0.25">
      <c r="B46" s="248" t="str">
        <v>Trae</v>
      </c>
      <c r="C46" s="22" t="s">
        <v>255</v>
      </c>
      <c r="D46" s="393">
        <f>IF(FixAffald2021&lt;&gt;0, Affald2021!C14, IF($I10&lt;&gt;0,$N10/12,$N10))</f>
        <v>2.7791666666666668</v>
      </c>
      <c r="E46" s="394">
        <f>IF(FixAffald2021&lt;&gt;0, Affald2021!D14, IF($I10&lt;&gt;0,$N10/12,$N10))</f>
        <v>2.7791666666666668</v>
      </c>
      <c r="F46" s="394">
        <f>IF(FixAffald2021&lt;&gt;0, Affald2021!E14, IF($I10&lt;&gt;0,$N10/12,$N10))</f>
        <v>2.7791666666666668</v>
      </c>
      <c r="G46" s="394">
        <f>IF(FixAffald2021&lt;&gt;0, Affald2021!F14, IF($I10&lt;&gt;0,$N10/12,$N10))</f>
        <v>2.7791666666666668</v>
      </c>
      <c r="H46" s="394">
        <f>IF(FixAffald2021&lt;&gt;0, Affald2021!G14, IF($I10&lt;&gt;0,$N10/12,$N10))</f>
        <v>2.7791666666666668</v>
      </c>
      <c r="I46" s="394">
        <f>IF(FixAffald2021&lt;&gt;0, Affald2021!H14, IF($I10&lt;&gt;0,$N10/12,$N10))</f>
        <v>2.7791666666666668</v>
      </c>
      <c r="J46" s="394">
        <f>IF(FixAffald2021&lt;&gt;0, Affald2021!I14, IF($I10&lt;&gt;0,$N10/12,$N10))</f>
        <v>2.7791666666666668</v>
      </c>
      <c r="K46" s="394">
        <f>IF(FixAffald2021&lt;&gt;0, Affald2021!J14, IF($I10&lt;&gt;0,$N10/12,$N10))</f>
        <v>2.7791666666666668</v>
      </c>
      <c r="L46" s="394">
        <f>IF(FixAffald2021&lt;&gt;0, Affald2021!K14, IF($I10&lt;&gt;0,$N10/12,$N10))</f>
        <v>2.7791666666666668</v>
      </c>
      <c r="M46" s="394">
        <f>IF(FixAffald2021&lt;&gt;0, Affald2021!L14, IF($I10&lt;&gt;0,$N10/12,$N10))</f>
        <v>2.7791666666666668</v>
      </c>
      <c r="N46" s="394">
        <f>IF(FixAffald2021&lt;&gt;0, Affald2021!M14, IF($I10&lt;&gt;0,$N10/12,$N10))</f>
        <v>2.7791666666666668</v>
      </c>
      <c r="O46" s="394">
        <f>IF(FixAffald2021&lt;&gt;0, Affald2021!N14, IF($I10&lt;&gt;0,$N10/12,$N10))</f>
        <v>2.7791666666666668</v>
      </c>
      <c r="P46" s="249">
        <f t="shared" si="5"/>
        <v>2.7791666666666668</v>
      </c>
      <c r="Q46" s="250">
        <f t="shared" si="4"/>
        <v>2.7791666666666668</v>
      </c>
      <c r="R46" s="250">
        <f t="shared" si="4"/>
        <v>2.7791666666666668</v>
      </c>
      <c r="S46" s="250">
        <f t="shared" si="4"/>
        <v>2.7791666666666668</v>
      </c>
      <c r="T46" s="250">
        <f t="shared" si="4"/>
        <v>2.7791666666666668</v>
      </c>
      <c r="U46" s="250">
        <f t="shared" si="4"/>
        <v>2.7791666666666668</v>
      </c>
      <c r="V46" s="250">
        <f t="shared" si="4"/>
        <v>2.7791666666666668</v>
      </c>
      <c r="W46" s="250">
        <f t="shared" si="4"/>
        <v>2.7791666666666668</v>
      </c>
      <c r="X46" s="250">
        <f t="shared" si="4"/>
        <v>2.7791666666666668</v>
      </c>
      <c r="Y46" s="250">
        <f t="shared" si="4"/>
        <v>2.7791666666666668</v>
      </c>
      <c r="Z46" s="250">
        <f t="shared" si="4"/>
        <v>2.7791666666666668</v>
      </c>
      <c r="AA46" s="250">
        <f t="shared" si="4"/>
        <v>2.7791666666666668</v>
      </c>
      <c r="AB46" s="249">
        <f t="shared" si="4"/>
        <v>2.7791666666666668</v>
      </c>
      <c r="AC46" s="250">
        <f t="shared" si="4"/>
        <v>2.7791666666666668</v>
      </c>
      <c r="AD46" s="250">
        <f t="shared" si="4"/>
        <v>2.7791666666666668</v>
      </c>
      <c r="AE46" s="250">
        <f t="shared" si="4"/>
        <v>2.7791666666666668</v>
      </c>
      <c r="AF46" s="250">
        <f t="shared" si="4"/>
        <v>2.7791666666666668</v>
      </c>
      <c r="AG46" s="250">
        <f t="shared" si="4"/>
        <v>2.7791666666666668</v>
      </c>
      <c r="AH46" s="250">
        <f t="shared" si="4"/>
        <v>2.7791666666666668</v>
      </c>
      <c r="AI46" s="250">
        <f t="shared" si="4"/>
        <v>2.7791666666666668</v>
      </c>
      <c r="AJ46" s="250">
        <f t="shared" si="4"/>
        <v>2.7791666666666668</v>
      </c>
      <c r="AK46" s="250">
        <f t="shared" si="4"/>
        <v>2.7791666666666668</v>
      </c>
      <c r="AL46" s="250">
        <f t="shared" si="4"/>
        <v>2.7791666666666668</v>
      </c>
      <c r="AM46" s="250">
        <f t="shared" si="4"/>
        <v>2.7791666666666668</v>
      </c>
    </row>
    <row r="47" spans="1:43" s="248" customFormat="1" outlineLevel="1" x14ac:dyDescent="0.25">
      <c r="B47" s="248" t="str">
        <v>DagrenRast</v>
      </c>
      <c r="C47" s="22" t="s">
        <v>255</v>
      </c>
      <c r="D47" s="393">
        <f>IF(FixAffald2021&lt;&gt;0, Affald2021!C15, IF($I11&lt;&gt;0,$N11/12,$N11))</f>
        <v>357.48166666666663</v>
      </c>
      <c r="E47" s="394">
        <f>IF(FixAffald2021&lt;&gt;0, Affald2021!D15, IF($I11&lt;&gt;0,$N11/12,$N11))</f>
        <v>357.48166666666663</v>
      </c>
      <c r="F47" s="394">
        <f>IF(FixAffald2021&lt;&gt;0, Affald2021!E15, IF($I11&lt;&gt;0,$N11/12,$N11))</f>
        <v>357.48166666666663</v>
      </c>
      <c r="G47" s="394">
        <f>IF(FixAffald2021&lt;&gt;0, Affald2021!F15, IF($I11&lt;&gt;0,$N11/12,$N11))</f>
        <v>357.48166666666663</v>
      </c>
      <c r="H47" s="394">
        <f>IF(FixAffald2021&lt;&gt;0, Affald2021!G15, IF($I11&lt;&gt;0,$N11/12,$N11))</f>
        <v>357.48166666666663</v>
      </c>
      <c r="I47" s="394">
        <f>IF(FixAffald2021&lt;&gt;0, Affald2021!H15, IF($I11&lt;&gt;0,$N11/12,$N11))</f>
        <v>357.48166666666663</v>
      </c>
      <c r="J47" s="394">
        <f>IF(FixAffald2021&lt;&gt;0, Affald2021!I15, IF($I11&lt;&gt;0,$N11/12,$N11))</f>
        <v>357.48166666666663</v>
      </c>
      <c r="K47" s="394">
        <f>IF(FixAffald2021&lt;&gt;0, Affald2021!J15, IF($I11&lt;&gt;0,$N11/12,$N11))</f>
        <v>357.48166666666663</v>
      </c>
      <c r="L47" s="394">
        <f>IF(FixAffald2021&lt;&gt;0, Affald2021!K15, IF($I11&lt;&gt;0,$N11/12,$N11))</f>
        <v>357.48166666666663</v>
      </c>
      <c r="M47" s="394">
        <f>IF(FixAffald2021&lt;&gt;0, Affald2021!L15, IF($I11&lt;&gt;0,$N11/12,$N11))</f>
        <v>357.48166666666663</v>
      </c>
      <c r="N47" s="394">
        <f>IF(FixAffald2021&lt;&gt;0, Affald2021!M15, IF($I11&lt;&gt;0,$N11/12,$N11))</f>
        <v>357.48166666666663</v>
      </c>
      <c r="O47" s="394">
        <f>IF(FixAffald2021&lt;&gt;0, Affald2021!N15, IF($I11&lt;&gt;0,$N11/12,$N11))</f>
        <v>357.48166666666663</v>
      </c>
      <c r="P47" s="249">
        <f t="shared" si="5"/>
        <v>357.48166666666663</v>
      </c>
      <c r="Q47" s="250">
        <f t="shared" si="4"/>
        <v>357.48166666666663</v>
      </c>
      <c r="R47" s="250">
        <f t="shared" si="4"/>
        <v>357.48166666666663</v>
      </c>
      <c r="S47" s="250">
        <f t="shared" si="4"/>
        <v>357.48166666666663</v>
      </c>
      <c r="T47" s="250">
        <f t="shared" si="4"/>
        <v>357.48166666666663</v>
      </c>
      <c r="U47" s="250">
        <f t="shared" si="4"/>
        <v>357.48166666666663</v>
      </c>
      <c r="V47" s="250">
        <f t="shared" si="4"/>
        <v>357.48166666666663</v>
      </c>
      <c r="W47" s="250">
        <f t="shared" si="4"/>
        <v>357.48166666666663</v>
      </c>
      <c r="X47" s="250">
        <f t="shared" si="4"/>
        <v>357.48166666666663</v>
      </c>
      <c r="Y47" s="250">
        <f t="shared" si="4"/>
        <v>357.48166666666663</v>
      </c>
      <c r="Z47" s="250">
        <f t="shared" si="4"/>
        <v>357.48166666666663</v>
      </c>
      <c r="AA47" s="250">
        <f t="shared" si="4"/>
        <v>357.48166666666663</v>
      </c>
      <c r="AB47" s="249">
        <f t="shared" si="4"/>
        <v>357.48166666666663</v>
      </c>
      <c r="AC47" s="250">
        <f t="shared" si="4"/>
        <v>357.48166666666663</v>
      </c>
      <c r="AD47" s="250">
        <f t="shared" si="4"/>
        <v>357.48166666666663</v>
      </c>
      <c r="AE47" s="250">
        <f t="shared" si="4"/>
        <v>357.48166666666663</v>
      </c>
      <c r="AF47" s="250">
        <f t="shared" si="4"/>
        <v>357.48166666666663</v>
      </c>
      <c r="AG47" s="250">
        <f t="shared" si="4"/>
        <v>357.48166666666663</v>
      </c>
      <c r="AH47" s="250">
        <f t="shared" si="4"/>
        <v>357.48166666666663</v>
      </c>
      <c r="AI47" s="250">
        <f t="shared" si="4"/>
        <v>357.48166666666663</v>
      </c>
      <c r="AJ47" s="250">
        <f t="shared" si="4"/>
        <v>357.48166666666663</v>
      </c>
      <c r="AK47" s="250">
        <f t="shared" si="4"/>
        <v>357.48166666666663</v>
      </c>
      <c r="AL47" s="250">
        <f t="shared" si="4"/>
        <v>357.48166666666663</v>
      </c>
      <c r="AM47" s="250">
        <f t="shared" si="4"/>
        <v>357.48166666666663</v>
      </c>
    </row>
    <row r="48" spans="1:43" s="248" customFormat="1" outlineLevel="1" x14ac:dyDescent="0.25">
      <c r="B48" s="248" t="str">
        <v>DagrenInst</v>
      </c>
      <c r="C48" s="22" t="s">
        <v>255</v>
      </c>
      <c r="D48" s="393">
        <f>IF(FixAffald2021&lt;&gt;0, Affald2021!C16, IF($I12&lt;&gt;0,$N12/12,$N12))</f>
        <v>8.9083333333333314</v>
      </c>
      <c r="E48" s="394">
        <f>IF(FixAffald2021&lt;&gt;0, Affald2021!D16, IF($I12&lt;&gt;0,$N12/12,$N12))</f>
        <v>8.9083333333333314</v>
      </c>
      <c r="F48" s="394">
        <f>IF(FixAffald2021&lt;&gt;0, Affald2021!E16, IF($I12&lt;&gt;0,$N12/12,$N12))</f>
        <v>8.9083333333333314</v>
      </c>
      <c r="G48" s="394">
        <f>IF(FixAffald2021&lt;&gt;0, Affald2021!F16, IF($I12&lt;&gt;0,$N12/12,$N12))</f>
        <v>8.9083333333333314</v>
      </c>
      <c r="H48" s="394">
        <f>IF(FixAffald2021&lt;&gt;0, Affald2021!G16, IF($I12&lt;&gt;0,$N12/12,$N12))</f>
        <v>8.9083333333333314</v>
      </c>
      <c r="I48" s="394">
        <f>IF(FixAffald2021&lt;&gt;0, Affald2021!H16, IF($I12&lt;&gt;0,$N12/12,$N12))</f>
        <v>8.9083333333333314</v>
      </c>
      <c r="J48" s="394">
        <f>IF(FixAffald2021&lt;&gt;0, Affald2021!I16, IF($I12&lt;&gt;0,$N12/12,$N12))</f>
        <v>8.9083333333333314</v>
      </c>
      <c r="K48" s="394">
        <f>IF(FixAffald2021&lt;&gt;0, Affald2021!J16, IF($I12&lt;&gt;0,$N12/12,$N12))</f>
        <v>8.9083333333333314</v>
      </c>
      <c r="L48" s="394">
        <f>IF(FixAffald2021&lt;&gt;0, Affald2021!K16, IF($I12&lt;&gt;0,$N12/12,$N12))</f>
        <v>8.9083333333333314</v>
      </c>
      <c r="M48" s="394">
        <f>IF(FixAffald2021&lt;&gt;0, Affald2021!L16, IF($I12&lt;&gt;0,$N12/12,$N12))</f>
        <v>8.9083333333333314</v>
      </c>
      <c r="N48" s="394">
        <f>IF(FixAffald2021&lt;&gt;0, Affald2021!M16, IF($I12&lt;&gt;0,$N12/12,$N12))</f>
        <v>8.9083333333333314</v>
      </c>
      <c r="O48" s="394">
        <f>IF(FixAffald2021&lt;&gt;0, Affald2021!N16, IF($I12&lt;&gt;0,$N12/12,$N12))</f>
        <v>8.9083333333333314</v>
      </c>
      <c r="P48" s="249">
        <f t="shared" si="5"/>
        <v>8.9083333333333314</v>
      </c>
      <c r="Q48" s="250">
        <f t="shared" si="4"/>
        <v>8.9083333333333314</v>
      </c>
      <c r="R48" s="250">
        <f t="shared" si="4"/>
        <v>8.9083333333333314</v>
      </c>
      <c r="S48" s="250">
        <f t="shared" si="4"/>
        <v>8.9083333333333314</v>
      </c>
      <c r="T48" s="250">
        <f t="shared" si="4"/>
        <v>8.9083333333333314</v>
      </c>
      <c r="U48" s="250">
        <f t="shared" si="4"/>
        <v>8.9083333333333314</v>
      </c>
      <c r="V48" s="250">
        <f t="shared" si="4"/>
        <v>8.9083333333333314</v>
      </c>
      <c r="W48" s="250">
        <f t="shared" si="4"/>
        <v>8.9083333333333314</v>
      </c>
      <c r="X48" s="250">
        <f t="shared" si="4"/>
        <v>8.9083333333333314</v>
      </c>
      <c r="Y48" s="250">
        <f t="shared" si="4"/>
        <v>8.9083333333333314</v>
      </c>
      <c r="Z48" s="250">
        <f t="shared" si="4"/>
        <v>8.9083333333333314</v>
      </c>
      <c r="AA48" s="250">
        <f t="shared" si="4"/>
        <v>8.9083333333333314</v>
      </c>
      <c r="AB48" s="249">
        <f t="shared" si="4"/>
        <v>8.9083333333333314</v>
      </c>
      <c r="AC48" s="250">
        <f t="shared" si="4"/>
        <v>8.9083333333333314</v>
      </c>
      <c r="AD48" s="250">
        <f t="shared" si="4"/>
        <v>8.9083333333333314</v>
      </c>
      <c r="AE48" s="250">
        <f t="shared" si="4"/>
        <v>8.9083333333333314</v>
      </c>
      <c r="AF48" s="250">
        <f t="shared" si="4"/>
        <v>8.9083333333333314</v>
      </c>
      <c r="AG48" s="250">
        <f t="shared" si="4"/>
        <v>8.9083333333333314</v>
      </c>
      <c r="AH48" s="250">
        <f t="shared" si="4"/>
        <v>8.9083333333333314</v>
      </c>
      <c r="AI48" s="250">
        <f t="shared" si="4"/>
        <v>8.9083333333333314</v>
      </c>
      <c r="AJ48" s="250">
        <f t="shared" si="4"/>
        <v>8.9083333333333314</v>
      </c>
      <c r="AK48" s="250">
        <f t="shared" si="4"/>
        <v>8.9083333333333314</v>
      </c>
      <c r="AL48" s="250">
        <f t="shared" si="4"/>
        <v>8.9083333333333314</v>
      </c>
      <c r="AM48" s="250">
        <f t="shared" si="4"/>
        <v>8.9083333333333314</v>
      </c>
    </row>
    <row r="49" spans="2:39" s="248" customFormat="1" outlineLevel="1" x14ac:dyDescent="0.25">
      <c r="B49" s="248" t="str">
        <v>DagrenHandel</v>
      </c>
      <c r="C49" s="22" t="s">
        <v>255</v>
      </c>
      <c r="D49" s="393">
        <f>IF(FixAffald2021&lt;&gt;0, Affald2021!C17, IF($I13&lt;&gt;0,$N13/12,$N13))</f>
        <v>355.50083333333333</v>
      </c>
      <c r="E49" s="394">
        <f>IF(FixAffald2021&lt;&gt;0, Affald2021!D17, IF($I13&lt;&gt;0,$N13/12,$N13))</f>
        <v>355.50083333333333</v>
      </c>
      <c r="F49" s="394">
        <f>IF(FixAffald2021&lt;&gt;0, Affald2021!E17, IF($I13&lt;&gt;0,$N13/12,$N13))</f>
        <v>355.50083333333333</v>
      </c>
      <c r="G49" s="394">
        <f>IF(FixAffald2021&lt;&gt;0, Affald2021!F17, IF($I13&lt;&gt;0,$N13/12,$N13))</f>
        <v>355.50083333333333</v>
      </c>
      <c r="H49" s="394">
        <f>IF(FixAffald2021&lt;&gt;0, Affald2021!G17, IF($I13&lt;&gt;0,$N13/12,$N13))</f>
        <v>355.50083333333333</v>
      </c>
      <c r="I49" s="394">
        <f>IF(FixAffald2021&lt;&gt;0, Affald2021!H17, IF($I13&lt;&gt;0,$N13/12,$N13))</f>
        <v>355.50083333333333</v>
      </c>
      <c r="J49" s="394">
        <f>IF(FixAffald2021&lt;&gt;0, Affald2021!I17, IF($I13&lt;&gt;0,$N13/12,$N13))</f>
        <v>355.50083333333333</v>
      </c>
      <c r="K49" s="394">
        <f>IF(FixAffald2021&lt;&gt;0, Affald2021!J17, IF($I13&lt;&gt;0,$N13/12,$N13))</f>
        <v>355.50083333333333</v>
      </c>
      <c r="L49" s="394">
        <f>IF(FixAffald2021&lt;&gt;0, Affald2021!K17, IF($I13&lt;&gt;0,$N13/12,$N13))</f>
        <v>355.50083333333333</v>
      </c>
      <c r="M49" s="394">
        <f>IF(FixAffald2021&lt;&gt;0, Affald2021!L17, IF($I13&lt;&gt;0,$N13/12,$N13))</f>
        <v>355.50083333333333</v>
      </c>
      <c r="N49" s="394">
        <f>IF(FixAffald2021&lt;&gt;0, Affald2021!M17, IF($I13&lt;&gt;0,$N13/12,$N13))</f>
        <v>355.50083333333333</v>
      </c>
      <c r="O49" s="394">
        <f>IF(FixAffald2021&lt;&gt;0, Affald2021!N17, IF($I13&lt;&gt;0,$N13/12,$N13))</f>
        <v>355.50083333333333</v>
      </c>
      <c r="P49" s="249">
        <f t="shared" si="5"/>
        <v>355.50083333333333</v>
      </c>
      <c r="Q49" s="250">
        <f t="shared" si="4"/>
        <v>355.50083333333333</v>
      </c>
      <c r="R49" s="250">
        <f t="shared" si="4"/>
        <v>355.50083333333333</v>
      </c>
      <c r="S49" s="250">
        <f t="shared" si="4"/>
        <v>355.50083333333333</v>
      </c>
      <c r="T49" s="250">
        <f t="shared" si="4"/>
        <v>355.50083333333333</v>
      </c>
      <c r="U49" s="250">
        <f t="shared" si="4"/>
        <v>355.50083333333333</v>
      </c>
      <c r="V49" s="250">
        <f t="shared" si="4"/>
        <v>355.50083333333333</v>
      </c>
      <c r="W49" s="250">
        <f t="shared" si="4"/>
        <v>355.50083333333333</v>
      </c>
      <c r="X49" s="250">
        <f t="shared" si="4"/>
        <v>355.50083333333333</v>
      </c>
      <c r="Y49" s="250">
        <f t="shared" si="4"/>
        <v>355.50083333333333</v>
      </c>
      <c r="Z49" s="250">
        <f t="shared" si="4"/>
        <v>355.50083333333333</v>
      </c>
      <c r="AA49" s="250">
        <f t="shared" si="4"/>
        <v>355.50083333333333</v>
      </c>
      <c r="AB49" s="249">
        <f t="shared" si="4"/>
        <v>355.50083333333333</v>
      </c>
      <c r="AC49" s="250">
        <f t="shared" si="4"/>
        <v>355.50083333333333</v>
      </c>
      <c r="AD49" s="250">
        <f t="shared" si="4"/>
        <v>355.50083333333333</v>
      </c>
      <c r="AE49" s="250">
        <f t="shared" si="4"/>
        <v>355.50083333333333</v>
      </c>
      <c r="AF49" s="250">
        <f t="shared" si="4"/>
        <v>355.50083333333333</v>
      </c>
      <c r="AG49" s="250">
        <f t="shared" si="4"/>
        <v>355.50083333333333</v>
      </c>
      <c r="AH49" s="250">
        <f t="shared" si="4"/>
        <v>355.50083333333333</v>
      </c>
      <c r="AI49" s="250">
        <f t="shared" si="4"/>
        <v>355.50083333333333</v>
      </c>
      <c r="AJ49" s="250">
        <f t="shared" si="4"/>
        <v>355.50083333333333</v>
      </c>
      <c r="AK49" s="250">
        <f t="shared" si="4"/>
        <v>355.50083333333333</v>
      </c>
      <c r="AL49" s="250">
        <f t="shared" si="4"/>
        <v>355.50083333333333</v>
      </c>
      <c r="AM49" s="250">
        <f t="shared" si="4"/>
        <v>355.50083333333333</v>
      </c>
    </row>
    <row r="50" spans="2:39" s="248" customFormat="1" outlineLevel="1" x14ac:dyDescent="0.25">
      <c r="B50" s="248" t="str">
        <v>DagrenRestau</v>
      </c>
      <c r="C50" s="22" t="s">
        <v>255</v>
      </c>
      <c r="D50" s="393">
        <f>IF(FixAffald2021&lt;&gt;0, Affald2021!C18, IF($I14&lt;&gt;0,$N14/12,$N14))</f>
        <v>33.204999999999998</v>
      </c>
      <c r="E50" s="394">
        <f>IF(FixAffald2021&lt;&gt;0, Affald2021!D18, IF($I14&lt;&gt;0,$N14/12,$N14))</f>
        <v>33.204999999999998</v>
      </c>
      <c r="F50" s="394">
        <f>IF(FixAffald2021&lt;&gt;0, Affald2021!E18, IF($I14&lt;&gt;0,$N14/12,$N14))</f>
        <v>33.204999999999998</v>
      </c>
      <c r="G50" s="394">
        <f>IF(FixAffald2021&lt;&gt;0, Affald2021!F18, IF($I14&lt;&gt;0,$N14/12,$N14))</f>
        <v>33.204999999999998</v>
      </c>
      <c r="H50" s="394">
        <f>IF(FixAffald2021&lt;&gt;0, Affald2021!G18, IF($I14&lt;&gt;0,$N14/12,$N14))</f>
        <v>33.204999999999998</v>
      </c>
      <c r="I50" s="394">
        <f>IF(FixAffald2021&lt;&gt;0, Affald2021!H18, IF($I14&lt;&gt;0,$N14/12,$N14))</f>
        <v>33.204999999999998</v>
      </c>
      <c r="J50" s="394">
        <f>IF(FixAffald2021&lt;&gt;0, Affald2021!I18, IF($I14&lt;&gt;0,$N14/12,$N14))</f>
        <v>33.204999999999998</v>
      </c>
      <c r="K50" s="394">
        <f>IF(FixAffald2021&lt;&gt;0, Affald2021!J18, IF($I14&lt;&gt;0,$N14/12,$N14))</f>
        <v>33.204999999999998</v>
      </c>
      <c r="L50" s="394">
        <f>IF(FixAffald2021&lt;&gt;0, Affald2021!K18, IF($I14&lt;&gt;0,$N14/12,$N14))</f>
        <v>33.204999999999998</v>
      </c>
      <c r="M50" s="394">
        <f>IF(FixAffald2021&lt;&gt;0, Affald2021!L18, IF($I14&lt;&gt;0,$N14/12,$N14))</f>
        <v>33.204999999999998</v>
      </c>
      <c r="N50" s="394">
        <f>IF(FixAffald2021&lt;&gt;0, Affald2021!M18, IF($I14&lt;&gt;0,$N14/12,$N14))</f>
        <v>33.204999999999998</v>
      </c>
      <c r="O50" s="394">
        <f>IF(FixAffald2021&lt;&gt;0, Affald2021!N18, IF($I14&lt;&gt;0,$N14/12,$N14))</f>
        <v>33.204999999999998</v>
      </c>
      <c r="P50" s="249">
        <f t="shared" si="5"/>
        <v>33.204999999999998</v>
      </c>
      <c r="Q50" s="250">
        <f t="shared" si="4"/>
        <v>33.204999999999998</v>
      </c>
      <c r="R50" s="250">
        <f t="shared" si="4"/>
        <v>33.204999999999998</v>
      </c>
      <c r="S50" s="250">
        <f t="shared" si="4"/>
        <v>33.204999999999998</v>
      </c>
      <c r="T50" s="250">
        <f t="shared" si="4"/>
        <v>33.204999999999998</v>
      </c>
      <c r="U50" s="250">
        <f t="shared" si="4"/>
        <v>33.204999999999998</v>
      </c>
      <c r="V50" s="250">
        <f t="shared" si="4"/>
        <v>33.204999999999998</v>
      </c>
      <c r="W50" s="250">
        <f t="shared" si="4"/>
        <v>33.204999999999998</v>
      </c>
      <c r="X50" s="250">
        <f t="shared" si="4"/>
        <v>33.204999999999998</v>
      </c>
      <c r="Y50" s="250">
        <f t="shared" si="4"/>
        <v>33.204999999999998</v>
      </c>
      <c r="Z50" s="250">
        <f t="shared" si="4"/>
        <v>33.204999999999998</v>
      </c>
      <c r="AA50" s="250">
        <f t="shared" si="4"/>
        <v>33.204999999999998</v>
      </c>
      <c r="AB50" s="249">
        <f t="shared" si="4"/>
        <v>33.204999999999998</v>
      </c>
      <c r="AC50" s="250">
        <f t="shared" si="4"/>
        <v>33.204999999999998</v>
      </c>
      <c r="AD50" s="250">
        <f t="shared" si="4"/>
        <v>33.204999999999998</v>
      </c>
      <c r="AE50" s="250">
        <f t="shared" si="4"/>
        <v>33.204999999999998</v>
      </c>
      <c r="AF50" s="250">
        <f t="shared" si="4"/>
        <v>33.204999999999998</v>
      </c>
      <c r="AG50" s="250">
        <f t="shared" si="4"/>
        <v>33.204999999999998</v>
      </c>
      <c r="AH50" s="250">
        <f t="shared" si="4"/>
        <v>33.204999999999998</v>
      </c>
      <c r="AI50" s="250">
        <f t="shared" si="4"/>
        <v>33.204999999999998</v>
      </c>
      <c r="AJ50" s="250">
        <f t="shared" si="4"/>
        <v>33.204999999999998</v>
      </c>
      <c r="AK50" s="250">
        <f t="shared" si="4"/>
        <v>33.204999999999998</v>
      </c>
      <c r="AL50" s="250">
        <f t="shared" si="4"/>
        <v>33.204999999999998</v>
      </c>
      <c r="AM50" s="250">
        <f t="shared" si="4"/>
        <v>33.204999999999998</v>
      </c>
    </row>
    <row r="51" spans="2:39" s="248" customFormat="1" outlineLevel="1" x14ac:dyDescent="0.25">
      <c r="B51" s="248" t="str">
        <v>Erhverv</v>
      </c>
      <c r="C51" s="22" t="s">
        <v>255</v>
      </c>
      <c r="D51" s="393">
        <f>IF(FixAffald2021&lt;&gt;0, Affald2021!C19, IF($I15&lt;&gt;0,$N15/12,$N15))</f>
        <v>511.80583333333328</v>
      </c>
      <c r="E51" s="394">
        <f>IF(FixAffald2021&lt;&gt;0, Affald2021!D19, IF($I15&lt;&gt;0,$N15/12,$N15))</f>
        <v>511.80583333333328</v>
      </c>
      <c r="F51" s="394">
        <f>IF(FixAffald2021&lt;&gt;0, Affald2021!E19, IF($I15&lt;&gt;0,$N15/12,$N15))</f>
        <v>511.80583333333328</v>
      </c>
      <c r="G51" s="394">
        <f>IF(FixAffald2021&lt;&gt;0, Affald2021!F19, IF($I15&lt;&gt;0,$N15/12,$N15))</f>
        <v>511.80583333333328</v>
      </c>
      <c r="H51" s="394">
        <f>IF(FixAffald2021&lt;&gt;0, Affald2021!G19, IF($I15&lt;&gt;0,$N15/12,$N15))</f>
        <v>511.80583333333328</v>
      </c>
      <c r="I51" s="394">
        <f>IF(FixAffald2021&lt;&gt;0, Affald2021!H19, IF($I15&lt;&gt;0,$N15/12,$N15))</f>
        <v>511.80583333333328</v>
      </c>
      <c r="J51" s="394">
        <f>IF(FixAffald2021&lt;&gt;0, Affald2021!I19, IF($I15&lt;&gt;0,$N15/12,$N15))</f>
        <v>511.80583333333328</v>
      </c>
      <c r="K51" s="394">
        <f>IF(FixAffald2021&lt;&gt;0, Affald2021!J19, IF($I15&lt;&gt;0,$N15/12,$N15))</f>
        <v>511.80583333333328</v>
      </c>
      <c r="L51" s="394">
        <f>IF(FixAffald2021&lt;&gt;0, Affald2021!K19, IF($I15&lt;&gt;0,$N15/12,$N15))</f>
        <v>511.80583333333328</v>
      </c>
      <c r="M51" s="394">
        <f>IF(FixAffald2021&lt;&gt;0, Affald2021!L19, IF($I15&lt;&gt;0,$N15/12,$N15))</f>
        <v>511.80583333333328</v>
      </c>
      <c r="N51" s="394">
        <f>IF(FixAffald2021&lt;&gt;0, Affald2021!M19, IF($I15&lt;&gt;0,$N15/12,$N15))</f>
        <v>511.80583333333328</v>
      </c>
      <c r="O51" s="394">
        <f>IF(FixAffald2021&lt;&gt;0, Affald2021!N19, IF($I15&lt;&gt;0,$N15/12,$N15))</f>
        <v>511.80583333333328</v>
      </c>
      <c r="P51" s="249">
        <f t="shared" si="5"/>
        <v>511.80583333333328</v>
      </c>
      <c r="Q51" s="250">
        <f t="shared" si="4"/>
        <v>511.80583333333328</v>
      </c>
      <c r="R51" s="250">
        <f t="shared" si="4"/>
        <v>511.80583333333328</v>
      </c>
      <c r="S51" s="250">
        <f t="shared" si="4"/>
        <v>511.80583333333328</v>
      </c>
      <c r="T51" s="250">
        <f t="shared" si="4"/>
        <v>511.80583333333328</v>
      </c>
      <c r="U51" s="250">
        <f t="shared" si="4"/>
        <v>511.80583333333328</v>
      </c>
      <c r="V51" s="250">
        <f t="shared" si="4"/>
        <v>511.80583333333328</v>
      </c>
      <c r="W51" s="250">
        <f t="shared" si="4"/>
        <v>511.80583333333328</v>
      </c>
      <c r="X51" s="250">
        <f t="shared" si="4"/>
        <v>511.80583333333328</v>
      </c>
      <c r="Y51" s="250">
        <f t="shared" si="4"/>
        <v>511.80583333333328</v>
      </c>
      <c r="Z51" s="250">
        <f t="shared" si="4"/>
        <v>511.80583333333328</v>
      </c>
      <c r="AA51" s="250">
        <f t="shared" si="4"/>
        <v>511.80583333333328</v>
      </c>
      <c r="AB51" s="249">
        <f t="shared" si="4"/>
        <v>511.80583333333328</v>
      </c>
      <c r="AC51" s="250">
        <f t="shared" si="4"/>
        <v>511.80583333333328</v>
      </c>
      <c r="AD51" s="250">
        <f t="shared" si="4"/>
        <v>511.80583333333328</v>
      </c>
      <c r="AE51" s="250">
        <f t="shared" si="4"/>
        <v>511.80583333333328</v>
      </c>
      <c r="AF51" s="250">
        <f t="shared" si="4"/>
        <v>511.80583333333328</v>
      </c>
      <c r="AG51" s="250">
        <f t="shared" si="4"/>
        <v>511.80583333333328</v>
      </c>
      <c r="AH51" s="250">
        <f t="shared" si="4"/>
        <v>511.80583333333328</v>
      </c>
      <c r="AI51" s="250">
        <f t="shared" si="4"/>
        <v>511.80583333333328</v>
      </c>
      <c r="AJ51" s="250">
        <f t="shared" si="4"/>
        <v>511.80583333333328</v>
      </c>
      <c r="AK51" s="250">
        <f t="shared" si="4"/>
        <v>511.80583333333328</v>
      </c>
      <c r="AL51" s="250">
        <f t="shared" si="4"/>
        <v>511.80583333333328</v>
      </c>
      <c r="AM51" s="250">
        <f t="shared" si="4"/>
        <v>511.80583333333328</v>
      </c>
    </row>
    <row r="52" spans="2:39" s="248" customFormat="1" outlineLevel="1" x14ac:dyDescent="0.25">
      <c r="B52" s="248" t="str">
        <v>DagrenErhverv</v>
      </c>
      <c r="C52" s="22" t="s">
        <v>255</v>
      </c>
      <c r="D52" s="393">
        <f>IF(FixAffald2021&lt;&gt;0, Affald2021!C20, IF($I16&lt;&gt;0,$N16/12,$N16))</f>
        <v>11.182499999999999</v>
      </c>
      <c r="E52" s="394">
        <f>IF(FixAffald2021&lt;&gt;0, Affald2021!D20, IF($I16&lt;&gt;0,$N16/12,$N16))</f>
        <v>11.182499999999999</v>
      </c>
      <c r="F52" s="394">
        <f>IF(FixAffald2021&lt;&gt;0, Affald2021!E20, IF($I16&lt;&gt;0,$N16/12,$N16))</f>
        <v>11.182499999999999</v>
      </c>
      <c r="G52" s="394">
        <f>IF(FixAffald2021&lt;&gt;0, Affald2021!F20, IF($I16&lt;&gt;0,$N16/12,$N16))</f>
        <v>11.182499999999999</v>
      </c>
      <c r="H52" s="394">
        <f>IF(FixAffald2021&lt;&gt;0, Affald2021!G20, IF($I16&lt;&gt;0,$N16/12,$N16))</f>
        <v>11.182499999999999</v>
      </c>
      <c r="I52" s="394">
        <f>IF(FixAffald2021&lt;&gt;0, Affald2021!H20, IF($I16&lt;&gt;0,$N16/12,$N16))</f>
        <v>11.182499999999999</v>
      </c>
      <c r="J52" s="394">
        <f>IF(FixAffald2021&lt;&gt;0, Affald2021!I20, IF($I16&lt;&gt;0,$N16/12,$N16))</f>
        <v>11.182499999999999</v>
      </c>
      <c r="K52" s="394">
        <f>IF(FixAffald2021&lt;&gt;0, Affald2021!J20, IF($I16&lt;&gt;0,$N16/12,$N16))</f>
        <v>11.182499999999999</v>
      </c>
      <c r="L52" s="394">
        <f>IF(FixAffald2021&lt;&gt;0, Affald2021!K20, IF($I16&lt;&gt;0,$N16/12,$N16))</f>
        <v>11.182499999999999</v>
      </c>
      <c r="M52" s="394">
        <f>IF(FixAffald2021&lt;&gt;0, Affald2021!L20, IF($I16&lt;&gt;0,$N16/12,$N16))</f>
        <v>11.182499999999999</v>
      </c>
      <c r="N52" s="394">
        <f>IF(FixAffald2021&lt;&gt;0, Affald2021!M20, IF($I16&lt;&gt;0,$N16/12,$N16))</f>
        <v>11.182499999999999</v>
      </c>
      <c r="O52" s="394">
        <f>IF(FixAffald2021&lt;&gt;0, Affald2021!N20, IF($I16&lt;&gt;0,$N16/12,$N16))</f>
        <v>11.182499999999999</v>
      </c>
      <c r="P52" s="249">
        <f t="shared" si="5"/>
        <v>11.182499999999999</v>
      </c>
      <c r="Q52" s="250">
        <f t="shared" si="4"/>
        <v>11.182499999999999</v>
      </c>
      <c r="R52" s="250">
        <f t="shared" si="4"/>
        <v>11.182499999999999</v>
      </c>
      <c r="S52" s="250">
        <f t="shared" si="4"/>
        <v>11.182499999999999</v>
      </c>
      <c r="T52" s="250">
        <f t="shared" si="4"/>
        <v>11.182499999999999</v>
      </c>
      <c r="U52" s="250">
        <f t="shared" si="4"/>
        <v>11.182499999999999</v>
      </c>
      <c r="V52" s="250">
        <f t="shared" si="4"/>
        <v>11.182499999999999</v>
      </c>
      <c r="W52" s="250">
        <f t="shared" si="4"/>
        <v>11.182499999999999</v>
      </c>
      <c r="X52" s="250">
        <f t="shared" si="4"/>
        <v>11.182499999999999</v>
      </c>
      <c r="Y52" s="250">
        <f t="shared" si="4"/>
        <v>11.182499999999999</v>
      </c>
      <c r="Z52" s="250">
        <f t="shared" si="4"/>
        <v>11.182499999999999</v>
      </c>
      <c r="AA52" s="250">
        <f t="shared" si="4"/>
        <v>11.182499999999999</v>
      </c>
      <c r="AB52" s="249">
        <f t="shared" si="4"/>
        <v>11.182499999999999</v>
      </c>
      <c r="AC52" s="250">
        <f t="shared" si="4"/>
        <v>11.182499999999999</v>
      </c>
      <c r="AD52" s="250">
        <f t="shared" si="4"/>
        <v>11.182499999999999</v>
      </c>
      <c r="AE52" s="250">
        <f t="shared" si="4"/>
        <v>11.182499999999999</v>
      </c>
      <c r="AF52" s="250">
        <f t="shared" si="4"/>
        <v>11.182499999999999</v>
      </c>
      <c r="AG52" s="250">
        <f t="shared" si="4"/>
        <v>11.182499999999999</v>
      </c>
      <c r="AH52" s="250">
        <f t="shared" ref="Q52:AM63" si="6">IF($I16&lt;&gt;0,$N16/12,$N16)</f>
        <v>11.182499999999999</v>
      </c>
      <c r="AI52" s="250">
        <f t="shared" si="6"/>
        <v>11.182499999999999</v>
      </c>
      <c r="AJ52" s="250">
        <f t="shared" si="6"/>
        <v>11.182499999999999</v>
      </c>
      <c r="AK52" s="250">
        <f t="shared" si="6"/>
        <v>11.182499999999999</v>
      </c>
      <c r="AL52" s="250">
        <f t="shared" si="6"/>
        <v>11.182499999999999</v>
      </c>
      <c r="AM52" s="250">
        <f t="shared" si="6"/>
        <v>11.182499999999999</v>
      </c>
    </row>
    <row r="53" spans="2:39" s="248" customFormat="1" outlineLevel="1" x14ac:dyDescent="0.25">
      <c r="B53" s="248" t="str">
        <v>HandelKontor</v>
      </c>
      <c r="C53" s="22" t="s">
        <v>255</v>
      </c>
      <c r="D53" s="393">
        <f>IF(FixAffald2021&lt;&gt;0, Affald2021!C21, IF($I17&lt;&gt;0,$N17/12,$N17))</f>
        <v>4.8150000000000004</v>
      </c>
      <c r="E53" s="394">
        <f>IF(FixAffald2021&lt;&gt;0, Affald2021!D21, IF($I17&lt;&gt;0,$N17/12,$N17))</f>
        <v>4.8150000000000004</v>
      </c>
      <c r="F53" s="394">
        <f>IF(FixAffald2021&lt;&gt;0, Affald2021!E21, IF($I17&lt;&gt;0,$N17/12,$N17))</f>
        <v>4.8150000000000004</v>
      </c>
      <c r="G53" s="394">
        <f>IF(FixAffald2021&lt;&gt;0, Affald2021!F21, IF($I17&lt;&gt;0,$N17/12,$N17))</f>
        <v>4.8150000000000004</v>
      </c>
      <c r="H53" s="394">
        <f>IF(FixAffald2021&lt;&gt;0, Affald2021!G21, IF($I17&lt;&gt;0,$N17/12,$N17))</f>
        <v>4.8150000000000004</v>
      </c>
      <c r="I53" s="394">
        <f>IF(FixAffald2021&lt;&gt;0, Affald2021!H21, IF($I17&lt;&gt;0,$N17/12,$N17))</f>
        <v>4.8150000000000004</v>
      </c>
      <c r="J53" s="394">
        <f>IF(FixAffald2021&lt;&gt;0, Affald2021!I21, IF($I17&lt;&gt;0,$N17/12,$N17))</f>
        <v>4.8150000000000004</v>
      </c>
      <c r="K53" s="394">
        <f>IF(FixAffald2021&lt;&gt;0, Affald2021!J21, IF($I17&lt;&gt;0,$N17/12,$N17))</f>
        <v>4.8150000000000004</v>
      </c>
      <c r="L53" s="394">
        <f>IF(FixAffald2021&lt;&gt;0, Affald2021!K21, IF($I17&lt;&gt;0,$N17/12,$N17))</f>
        <v>4.8150000000000004</v>
      </c>
      <c r="M53" s="394">
        <f>IF(FixAffald2021&lt;&gt;0, Affald2021!L21, IF($I17&lt;&gt;0,$N17/12,$N17))</f>
        <v>4.8150000000000004</v>
      </c>
      <c r="N53" s="394">
        <f>IF(FixAffald2021&lt;&gt;0, Affald2021!M21, IF($I17&lt;&gt;0,$N17/12,$N17))</f>
        <v>4.8150000000000004</v>
      </c>
      <c r="O53" s="394">
        <f>IF(FixAffald2021&lt;&gt;0, Affald2021!N21, IF($I17&lt;&gt;0,$N17/12,$N17))</f>
        <v>4.8150000000000004</v>
      </c>
      <c r="P53" s="249">
        <f t="shared" si="5"/>
        <v>4.8150000000000004</v>
      </c>
      <c r="Q53" s="250">
        <f t="shared" si="6"/>
        <v>4.8150000000000004</v>
      </c>
      <c r="R53" s="250">
        <f t="shared" si="6"/>
        <v>4.8150000000000004</v>
      </c>
      <c r="S53" s="250">
        <f t="shared" si="6"/>
        <v>4.8150000000000004</v>
      </c>
      <c r="T53" s="250">
        <f t="shared" si="6"/>
        <v>4.8150000000000004</v>
      </c>
      <c r="U53" s="250">
        <f t="shared" si="6"/>
        <v>4.8150000000000004</v>
      </c>
      <c r="V53" s="250">
        <f t="shared" si="6"/>
        <v>4.8150000000000004</v>
      </c>
      <c r="W53" s="250">
        <f t="shared" si="6"/>
        <v>4.8150000000000004</v>
      </c>
      <c r="X53" s="250">
        <f t="shared" si="6"/>
        <v>4.8150000000000004</v>
      </c>
      <c r="Y53" s="250">
        <f t="shared" si="6"/>
        <v>4.8150000000000004</v>
      </c>
      <c r="Z53" s="250">
        <f t="shared" si="6"/>
        <v>4.8150000000000004</v>
      </c>
      <c r="AA53" s="250">
        <f t="shared" si="6"/>
        <v>4.8150000000000004</v>
      </c>
      <c r="AB53" s="249">
        <f t="shared" si="6"/>
        <v>4.8150000000000004</v>
      </c>
      <c r="AC53" s="250">
        <f t="shared" si="6"/>
        <v>4.8150000000000004</v>
      </c>
      <c r="AD53" s="250">
        <f t="shared" si="6"/>
        <v>4.8150000000000004</v>
      </c>
      <c r="AE53" s="250">
        <f t="shared" si="6"/>
        <v>4.8150000000000004</v>
      </c>
      <c r="AF53" s="250">
        <f t="shared" si="6"/>
        <v>4.8150000000000004</v>
      </c>
      <c r="AG53" s="250">
        <f t="shared" si="6"/>
        <v>4.8150000000000004</v>
      </c>
      <c r="AH53" s="250">
        <f t="shared" si="6"/>
        <v>4.8150000000000004</v>
      </c>
      <c r="AI53" s="250">
        <f t="shared" si="6"/>
        <v>4.8150000000000004</v>
      </c>
      <c r="AJ53" s="250">
        <f t="shared" si="6"/>
        <v>4.8150000000000004</v>
      </c>
      <c r="AK53" s="250">
        <f t="shared" si="6"/>
        <v>4.8150000000000004</v>
      </c>
      <c r="AL53" s="250">
        <f t="shared" si="6"/>
        <v>4.8150000000000004</v>
      </c>
      <c r="AM53" s="250">
        <f t="shared" si="6"/>
        <v>4.8150000000000004</v>
      </c>
    </row>
    <row r="54" spans="2:39" s="248" customFormat="1" outlineLevel="1" x14ac:dyDescent="0.25">
      <c r="B54" s="248" t="str">
        <v>Privat</v>
      </c>
      <c r="C54" s="22" t="s">
        <v>255</v>
      </c>
      <c r="D54" s="393">
        <f>IF(FixAffald2021&lt;&gt;0, Affald2021!C22, IF($I18&lt;&gt;0,$N18/12,$N18))</f>
        <v>1.0741666666666667</v>
      </c>
      <c r="E54" s="394">
        <f>IF(FixAffald2021&lt;&gt;0, Affald2021!D22, IF($I18&lt;&gt;0,$N18/12,$N18))</f>
        <v>1.0741666666666667</v>
      </c>
      <c r="F54" s="394">
        <f>IF(FixAffald2021&lt;&gt;0, Affald2021!E22, IF($I18&lt;&gt;0,$N18/12,$N18))</f>
        <v>1.0741666666666667</v>
      </c>
      <c r="G54" s="394">
        <f>IF(FixAffald2021&lt;&gt;0, Affald2021!F22, IF($I18&lt;&gt;0,$N18/12,$N18))</f>
        <v>1.0741666666666667</v>
      </c>
      <c r="H54" s="394">
        <f>IF(FixAffald2021&lt;&gt;0, Affald2021!G22, IF($I18&lt;&gt;0,$N18/12,$N18))</f>
        <v>1.0741666666666667</v>
      </c>
      <c r="I54" s="394">
        <f>IF(FixAffald2021&lt;&gt;0, Affald2021!H22, IF($I18&lt;&gt;0,$N18/12,$N18))</f>
        <v>1.0741666666666667</v>
      </c>
      <c r="J54" s="394">
        <f>IF(FixAffald2021&lt;&gt;0, Affald2021!I22, IF($I18&lt;&gt;0,$N18/12,$N18))</f>
        <v>1.0741666666666667</v>
      </c>
      <c r="K54" s="394">
        <f>IF(FixAffald2021&lt;&gt;0, Affald2021!J22, IF($I18&lt;&gt;0,$N18/12,$N18))</f>
        <v>1.0741666666666667</v>
      </c>
      <c r="L54" s="394">
        <f>IF(FixAffald2021&lt;&gt;0, Affald2021!K22, IF($I18&lt;&gt;0,$N18/12,$N18))</f>
        <v>1.0741666666666667</v>
      </c>
      <c r="M54" s="394">
        <f>IF(FixAffald2021&lt;&gt;0, Affald2021!L22, IF($I18&lt;&gt;0,$N18/12,$N18))</f>
        <v>1.0741666666666667</v>
      </c>
      <c r="N54" s="394">
        <f>IF(FixAffald2021&lt;&gt;0, Affald2021!M22, IF($I18&lt;&gt;0,$N18/12,$N18))</f>
        <v>1.0741666666666667</v>
      </c>
      <c r="O54" s="394">
        <f>IF(FixAffald2021&lt;&gt;0, Affald2021!N22, IF($I18&lt;&gt;0,$N18/12,$N18))</f>
        <v>1.0741666666666667</v>
      </c>
      <c r="P54" s="249">
        <f t="shared" si="5"/>
        <v>1.0741666666666667</v>
      </c>
      <c r="Q54" s="250">
        <f t="shared" si="6"/>
        <v>1.0741666666666667</v>
      </c>
      <c r="R54" s="250">
        <f t="shared" si="6"/>
        <v>1.0741666666666667</v>
      </c>
      <c r="S54" s="250">
        <f t="shared" si="6"/>
        <v>1.0741666666666667</v>
      </c>
      <c r="T54" s="250">
        <f t="shared" si="6"/>
        <v>1.0741666666666667</v>
      </c>
      <c r="U54" s="250">
        <f t="shared" si="6"/>
        <v>1.0741666666666667</v>
      </c>
      <c r="V54" s="250">
        <f t="shared" si="6"/>
        <v>1.0741666666666667</v>
      </c>
      <c r="W54" s="250">
        <f t="shared" si="6"/>
        <v>1.0741666666666667</v>
      </c>
      <c r="X54" s="250">
        <f t="shared" si="6"/>
        <v>1.0741666666666667</v>
      </c>
      <c r="Y54" s="250">
        <f t="shared" si="6"/>
        <v>1.0741666666666667</v>
      </c>
      <c r="Z54" s="250">
        <f t="shared" si="6"/>
        <v>1.0741666666666667</v>
      </c>
      <c r="AA54" s="250">
        <f t="shared" si="6"/>
        <v>1.0741666666666667</v>
      </c>
      <c r="AB54" s="249">
        <f t="shared" si="6"/>
        <v>1.0741666666666667</v>
      </c>
      <c r="AC54" s="250">
        <f t="shared" si="6"/>
        <v>1.0741666666666667</v>
      </c>
      <c r="AD54" s="250">
        <f t="shared" si="6"/>
        <v>1.0741666666666667</v>
      </c>
      <c r="AE54" s="250">
        <f t="shared" si="6"/>
        <v>1.0741666666666667</v>
      </c>
      <c r="AF54" s="250">
        <f t="shared" si="6"/>
        <v>1.0741666666666667</v>
      </c>
      <c r="AG54" s="250">
        <f t="shared" si="6"/>
        <v>1.0741666666666667</v>
      </c>
      <c r="AH54" s="250">
        <f t="shared" si="6"/>
        <v>1.0741666666666667</v>
      </c>
      <c r="AI54" s="250">
        <f t="shared" si="6"/>
        <v>1.0741666666666667</v>
      </c>
      <c r="AJ54" s="250">
        <f t="shared" si="6"/>
        <v>1.0741666666666667</v>
      </c>
      <c r="AK54" s="250">
        <f t="shared" si="6"/>
        <v>1.0741666666666667</v>
      </c>
      <c r="AL54" s="250">
        <f t="shared" si="6"/>
        <v>1.0741666666666667</v>
      </c>
      <c r="AM54" s="250">
        <f t="shared" si="6"/>
        <v>1.0741666666666667</v>
      </c>
    </row>
    <row r="55" spans="2:39" s="248" customFormat="1" outlineLevel="1" x14ac:dyDescent="0.25">
      <c r="B55" s="248" t="str">
        <v>TyskRest</v>
      </c>
      <c r="C55" s="22" t="s">
        <v>255</v>
      </c>
      <c r="D55" s="393">
        <f>IF(FixAffald2021&lt;&gt;0, Affald2021!C23, IF($I19&lt;&gt;0,$N19/12,$N19))</f>
        <v>2852.75</v>
      </c>
      <c r="E55" s="394">
        <f>IF(FixAffald2021&lt;&gt;0, Affald2021!D23, IF($I19&lt;&gt;0,$N19/12,$N19))</f>
        <v>2852.75</v>
      </c>
      <c r="F55" s="394">
        <f>IF(FixAffald2021&lt;&gt;0, Affald2021!E23, IF($I19&lt;&gt;0,$N19/12,$N19))</f>
        <v>2852.75</v>
      </c>
      <c r="G55" s="394">
        <f>IF(FixAffald2021&lt;&gt;0, Affald2021!F23, IF($I19&lt;&gt;0,$N19/12,$N19))</f>
        <v>2852.75</v>
      </c>
      <c r="H55" s="394">
        <f>IF(FixAffald2021&lt;&gt;0, Affald2021!G23, IF($I19&lt;&gt;0,$N19/12,$N19))</f>
        <v>2852.75</v>
      </c>
      <c r="I55" s="394">
        <f>IF(FixAffald2021&lt;&gt;0, Affald2021!H23, IF($I19&lt;&gt;0,$N19/12,$N19))</f>
        <v>2852.75</v>
      </c>
      <c r="J55" s="394">
        <f>IF(FixAffald2021&lt;&gt;0, Affald2021!I23, IF($I19&lt;&gt;0,$N19/12,$N19))</f>
        <v>2852.75</v>
      </c>
      <c r="K55" s="394">
        <f>IF(FixAffald2021&lt;&gt;0, Affald2021!J23, IF($I19&lt;&gt;0,$N19/12,$N19))</f>
        <v>2852.75</v>
      </c>
      <c r="L55" s="394">
        <f>IF(FixAffald2021&lt;&gt;0, Affald2021!K23, IF($I19&lt;&gt;0,$N19/12,$N19))</f>
        <v>2852.75</v>
      </c>
      <c r="M55" s="394">
        <f>IF(FixAffald2021&lt;&gt;0, Affald2021!L23, IF($I19&lt;&gt;0,$N19/12,$N19))</f>
        <v>2852.75</v>
      </c>
      <c r="N55" s="394">
        <f>IF(FixAffald2021&lt;&gt;0, Affald2021!M23, IF($I19&lt;&gt;0,$N19/12,$N19))</f>
        <v>2852.75</v>
      </c>
      <c r="O55" s="394">
        <f>IF(FixAffald2021&lt;&gt;0, Affald2021!N23, IF($I19&lt;&gt;0,$N19/12,$N19))</f>
        <v>2852.75</v>
      </c>
      <c r="P55" s="249">
        <f t="shared" si="5"/>
        <v>2852.75</v>
      </c>
      <c r="Q55" s="250">
        <f t="shared" si="6"/>
        <v>2852.75</v>
      </c>
      <c r="R55" s="250">
        <f t="shared" si="6"/>
        <v>2852.75</v>
      </c>
      <c r="S55" s="250">
        <f t="shared" si="6"/>
        <v>2852.75</v>
      </c>
      <c r="T55" s="250">
        <f t="shared" si="6"/>
        <v>2852.75</v>
      </c>
      <c r="U55" s="250">
        <f t="shared" si="6"/>
        <v>2852.75</v>
      </c>
      <c r="V55" s="250">
        <f t="shared" si="6"/>
        <v>2852.75</v>
      </c>
      <c r="W55" s="250">
        <f t="shared" si="6"/>
        <v>2852.75</v>
      </c>
      <c r="X55" s="250">
        <f t="shared" si="6"/>
        <v>2852.75</v>
      </c>
      <c r="Y55" s="250">
        <f t="shared" si="6"/>
        <v>2852.75</v>
      </c>
      <c r="Z55" s="250">
        <f t="shared" si="6"/>
        <v>2852.75</v>
      </c>
      <c r="AA55" s="250">
        <f t="shared" si="6"/>
        <v>2852.75</v>
      </c>
      <c r="AB55" s="249">
        <f t="shared" si="6"/>
        <v>2852.75</v>
      </c>
      <c r="AC55" s="250">
        <f t="shared" si="6"/>
        <v>2852.75</v>
      </c>
      <c r="AD55" s="250">
        <f t="shared" si="6"/>
        <v>2852.75</v>
      </c>
      <c r="AE55" s="250">
        <f t="shared" si="6"/>
        <v>2852.75</v>
      </c>
      <c r="AF55" s="250">
        <f t="shared" si="6"/>
        <v>2852.75</v>
      </c>
      <c r="AG55" s="250">
        <f t="shared" si="6"/>
        <v>2852.75</v>
      </c>
      <c r="AH55" s="250">
        <f t="shared" si="6"/>
        <v>2852.75</v>
      </c>
      <c r="AI55" s="250">
        <f t="shared" si="6"/>
        <v>2852.75</v>
      </c>
      <c r="AJ55" s="250">
        <f t="shared" si="6"/>
        <v>2852.75</v>
      </c>
      <c r="AK55" s="250">
        <f t="shared" si="6"/>
        <v>2852.75</v>
      </c>
      <c r="AL55" s="250">
        <f t="shared" si="6"/>
        <v>2852.75</v>
      </c>
      <c r="AM55" s="250">
        <f t="shared" si="6"/>
        <v>2852.75</v>
      </c>
    </row>
    <row r="56" spans="2:39" s="248" customFormat="1" outlineLevel="1" x14ac:dyDescent="0.25">
      <c r="B56" s="248" t="str">
        <v>PolskRest</v>
      </c>
      <c r="C56" s="22" t="s">
        <v>255</v>
      </c>
      <c r="D56" s="393">
        <f>IF(FixAffald2021&lt;&gt;0, Affald2021!C24, IF($I20&lt;&gt;0,$N20/12,$N20))</f>
        <v>12.840833333333334</v>
      </c>
      <c r="E56" s="394">
        <f>IF(FixAffald2021&lt;&gt;0, Affald2021!D24, IF($I20&lt;&gt;0,$N20/12,$N20))</f>
        <v>12.840833333333334</v>
      </c>
      <c r="F56" s="394">
        <f>IF(FixAffald2021&lt;&gt;0, Affald2021!E24, IF($I20&lt;&gt;0,$N20/12,$N20))</f>
        <v>12.840833333333334</v>
      </c>
      <c r="G56" s="394">
        <f>IF(FixAffald2021&lt;&gt;0, Affald2021!F24, IF($I20&lt;&gt;0,$N20/12,$N20))</f>
        <v>12.840833333333334</v>
      </c>
      <c r="H56" s="394">
        <f>IF(FixAffald2021&lt;&gt;0, Affald2021!G24, IF($I20&lt;&gt;0,$N20/12,$N20))</f>
        <v>12.840833333333334</v>
      </c>
      <c r="I56" s="394">
        <f>IF(FixAffald2021&lt;&gt;0, Affald2021!H24, IF($I20&lt;&gt;0,$N20/12,$N20))</f>
        <v>12.840833333333334</v>
      </c>
      <c r="J56" s="394">
        <f>IF(FixAffald2021&lt;&gt;0, Affald2021!I24, IF($I20&lt;&gt;0,$N20/12,$N20))</f>
        <v>12.840833333333334</v>
      </c>
      <c r="K56" s="394">
        <f>IF(FixAffald2021&lt;&gt;0, Affald2021!J24, IF($I20&lt;&gt;0,$N20/12,$N20))</f>
        <v>12.840833333333334</v>
      </c>
      <c r="L56" s="394">
        <f>IF(FixAffald2021&lt;&gt;0, Affald2021!K24, IF($I20&lt;&gt;0,$N20/12,$N20))</f>
        <v>12.840833333333334</v>
      </c>
      <c r="M56" s="394">
        <f>IF(FixAffald2021&lt;&gt;0, Affald2021!L24, IF($I20&lt;&gt;0,$N20/12,$N20))</f>
        <v>12.840833333333334</v>
      </c>
      <c r="N56" s="394">
        <f>IF(FixAffald2021&lt;&gt;0, Affald2021!M24, IF($I20&lt;&gt;0,$N20/12,$N20))</f>
        <v>12.840833333333334</v>
      </c>
      <c r="O56" s="394">
        <f>IF(FixAffald2021&lt;&gt;0, Affald2021!N24, IF($I20&lt;&gt;0,$N20/12,$N20))</f>
        <v>12.840833333333334</v>
      </c>
      <c r="P56" s="249">
        <f t="shared" si="5"/>
        <v>12.840833333333334</v>
      </c>
      <c r="Q56" s="250">
        <f t="shared" si="6"/>
        <v>12.840833333333334</v>
      </c>
      <c r="R56" s="250">
        <f t="shared" si="6"/>
        <v>12.840833333333334</v>
      </c>
      <c r="S56" s="250">
        <f t="shared" si="6"/>
        <v>12.840833333333334</v>
      </c>
      <c r="T56" s="250">
        <f t="shared" si="6"/>
        <v>12.840833333333334</v>
      </c>
      <c r="U56" s="250">
        <f t="shared" si="6"/>
        <v>12.840833333333334</v>
      </c>
      <c r="V56" s="250">
        <f t="shared" si="6"/>
        <v>12.840833333333334</v>
      </c>
      <c r="W56" s="250">
        <f t="shared" si="6"/>
        <v>12.840833333333334</v>
      </c>
      <c r="X56" s="250">
        <f t="shared" si="6"/>
        <v>12.840833333333334</v>
      </c>
      <c r="Y56" s="250">
        <f t="shared" si="6"/>
        <v>12.840833333333334</v>
      </c>
      <c r="Z56" s="250">
        <f t="shared" si="6"/>
        <v>12.840833333333334</v>
      </c>
      <c r="AA56" s="250">
        <f t="shared" si="6"/>
        <v>12.840833333333334</v>
      </c>
      <c r="AB56" s="249">
        <f t="shared" si="6"/>
        <v>12.840833333333334</v>
      </c>
      <c r="AC56" s="250">
        <f t="shared" si="6"/>
        <v>12.840833333333334</v>
      </c>
      <c r="AD56" s="250">
        <f t="shared" si="6"/>
        <v>12.840833333333334</v>
      </c>
      <c r="AE56" s="250">
        <f t="shared" si="6"/>
        <v>12.840833333333334</v>
      </c>
      <c r="AF56" s="250">
        <f t="shared" si="6"/>
        <v>12.840833333333334</v>
      </c>
      <c r="AG56" s="250">
        <f t="shared" si="6"/>
        <v>12.840833333333334</v>
      </c>
      <c r="AH56" s="250">
        <f t="shared" si="6"/>
        <v>12.840833333333334</v>
      </c>
      <c r="AI56" s="250">
        <f t="shared" si="6"/>
        <v>12.840833333333334</v>
      </c>
      <c r="AJ56" s="250">
        <f t="shared" si="6"/>
        <v>12.840833333333334</v>
      </c>
      <c r="AK56" s="250">
        <f t="shared" si="6"/>
        <v>12.840833333333334</v>
      </c>
      <c r="AL56" s="250">
        <f t="shared" si="6"/>
        <v>12.840833333333334</v>
      </c>
      <c r="AM56" s="250">
        <f t="shared" si="6"/>
        <v>12.840833333333334</v>
      </c>
    </row>
    <row r="57" spans="2:39" s="248" customFormat="1" outlineLevel="1" x14ac:dyDescent="0.25">
      <c r="B57" s="248" t="str">
        <v>PcbTrae</v>
      </c>
      <c r="C57" s="22" t="s">
        <v>255</v>
      </c>
      <c r="D57" s="393">
        <f>IF(FixAffald2021&lt;&gt;0, Affald2021!C25, IF($I21&lt;&gt;0,$N21/12,$N21))</f>
        <v>0</v>
      </c>
      <c r="E57" s="394">
        <f>IF(FixAffald2021&lt;&gt;0, Affald2021!D25, IF($I21&lt;&gt;0,$N21/12,$N21))</f>
        <v>0</v>
      </c>
      <c r="F57" s="394">
        <f>IF(FixAffald2021&lt;&gt;0, Affald2021!E25, IF($I21&lt;&gt;0,$N21/12,$N21))</f>
        <v>0</v>
      </c>
      <c r="G57" s="394">
        <f>IF(FixAffald2021&lt;&gt;0, Affald2021!F25, IF($I21&lt;&gt;0,$N21/12,$N21))</f>
        <v>0</v>
      </c>
      <c r="H57" s="394">
        <f>IF(FixAffald2021&lt;&gt;0, Affald2021!G25, IF($I21&lt;&gt;0,$N21/12,$N21))</f>
        <v>0</v>
      </c>
      <c r="I57" s="394">
        <f>IF(FixAffald2021&lt;&gt;0, Affald2021!H25, IF($I21&lt;&gt;0,$N21/12,$N21))</f>
        <v>0</v>
      </c>
      <c r="J57" s="394">
        <f>IF(FixAffald2021&lt;&gt;0, Affald2021!I25, IF($I21&lt;&gt;0,$N21/12,$N21))</f>
        <v>0</v>
      </c>
      <c r="K57" s="394">
        <f>IF(FixAffald2021&lt;&gt;0, Affald2021!J25, IF($I21&lt;&gt;0,$N21/12,$N21))</f>
        <v>0</v>
      </c>
      <c r="L57" s="394">
        <f>IF(FixAffald2021&lt;&gt;0, Affald2021!K25, IF($I21&lt;&gt;0,$N21/12,$N21))</f>
        <v>0</v>
      </c>
      <c r="M57" s="394">
        <f>IF(FixAffald2021&lt;&gt;0, Affald2021!L25, IF($I21&lt;&gt;0,$N21/12,$N21))</f>
        <v>0</v>
      </c>
      <c r="N57" s="394">
        <f>IF(FixAffald2021&lt;&gt;0, Affald2021!M25, IF($I21&lt;&gt;0,$N21/12,$N21))</f>
        <v>0</v>
      </c>
      <c r="O57" s="394">
        <f>IF(FixAffald2021&lt;&gt;0, Affald2021!N25, IF($I21&lt;&gt;0,$N21/12,$N21))</f>
        <v>0</v>
      </c>
      <c r="P57" s="249">
        <f t="shared" si="5"/>
        <v>0</v>
      </c>
      <c r="Q57" s="250">
        <f t="shared" si="6"/>
        <v>0</v>
      </c>
      <c r="R57" s="250">
        <f t="shared" si="6"/>
        <v>0</v>
      </c>
      <c r="S57" s="250">
        <f t="shared" si="6"/>
        <v>0</v>
      </c>
      <c r="T57" s="250">
        <f t="shared" si="6"/>
        <v>0</v>
      </c>
      <c r="U57" s="250">
        <f t="shared" si="6"/>
        <v>0</v>
      </c>
      <c r="V57" s="250">
        <f t="shared" si="6"/>
        <v>0</v>
      </c>
      <c r="W57" s="250">
        <f t="shared" si="6"/>
        <v>0</v>
      </c>
      <c r="X57" s="250">
        <f t="shared" si="6"/>
        <v>0</v>
      </c>
      <c r="Y57" s="250">
        <f t="shared" si="6"/>
        <v>0</v>
      </c>
      <c r="Z57" s="250">
        <f t="shared" si="6"/>
        <v>0</v>
      </c>
      <c r="AA57" s="250">
        <f t="shared" si="6"/>
        <v>0</v>
      </c>
      <c r="AB57" s="249">
        <f t="shared" si="6"/>
        <v>0</v>
      </c>
      <c r="AC57" s="250">
        <f t="shared" si="6"/>
        <v>0</v>
      </c>
      <c r="AD57" s="250">
        <f t="shared" si="6"/>
        <v>0</v>
      </c>
      <c r="AE57" s="250">
        <f t="shared" si="6"/>
        <v>0</v>
      </c>
      <c r="AF57" s="250">
        <f t="shared" si="6"/>
        <v>0</v>
      </c>
      <c r="AG57" s="250">
        <f t="shared" si="6"/>
        <v>0</v>
      </c>
      <c r="AH57" s="250">
        <f t="shared" si="6"/>
        <v>0</v>
      </c>
      <c r="AI57" s="250">
        <f t="shared" si="6"/>
        <v>0</v>
      </c>
      <c r="AJ57" s="250">
        <f t="shared" si="6"/>
        <v>0</v>
      </c>
      <c r="AK57" s="250">
        <f t="shared" si="6"/>
        <v>0</v>
      </c>
      <c r="AL57" s="250">
        <f t="shared" si="6"/>
        <v>0</v>
      </c>
      <c r="AM57" s="250">
        <f t="shared" si="6"/>
        <v>0</v>
      </c>
    </row>
    <row r="58" spans="2:39" s="248" customFormat="1" outlineLevel="1" x14ac:dyDescent="0.25">
      <c r="B58" s="248" t="str">
        <v>TraeRekv</v>
      </c>
      <c r="C58" s="22" t="s">
        <v>255</v>
      </c>
      <c r="D58" s="393">
        <f>IF(FixAffald2021&lt;&gt;0, Affald2021!C26, IF($I22&lt;&gt;0,$N22/12,$N22))</f>
        <v>87.044166666666669</v>
      </c>
      <c r="E58" s="394">
        <f>IF(FixAffald2021&lt;&gt;0, Affald2021!D26, IF($I22&lt;&gt;0,$N22/12,$N22))</f>
        <v>87.044166666666669</v>
      </c>
      <c r="F58" s="394">
        <f>IF(FixAffald2021&lt;&gt;0, Affald2021!E26, IF($I22&lt;&gt;0,$N22/12,$N22))</f>
        <v>87.044166666666669</v>
      </c>
      <c r="G58" s="394">
        <f>IF(FixAffald2021&lt;&gt;0, Affald2021!F26, IF($I22&lt;&gt;0,$N22/12,$N22))</f>
        <v>87.044166666666669</v>
      </c>
      <c r="H58" s="394">
        <f>IF(FixAffald2021&lt;&gt;0, Affald2021!G26, IF($I22&lt;&gt;0,$N22/12,$N22))</f>
        <v>87.044166666666669</v>
      </c>
      <c r="I58" s="394">
        <f>IF(FixAffald2021&lt;&gt;0, Affald2021!H26, IF($I22&lt;&gt;0,$N22/12,$N22))</f>
        <v>87.044166666666669</v>
      </c>
      <c r="J58" s="394">
        <f>IF(FixAffald2021&lt;&gt;0, Affald2021!I26, IF($I22&lt;&gt;0,$N22/12,$N22))</f>
        <v>87.044166666666669</v>
      </c>
      <c r="K58" s="394">
        <f>IF(FixAffald2021&lt;&gt;0, Affald2021!J26, IF($I22&lt;&gt;0,$N22/12,$N22))</f>
        <v>87.044166666666669</v>
      </c>
      <c r="L58" s="394">
        <f>IF(FixAffald2021&lt;&gt;0, Affald2021!K26, IF($I22&lt;&gt;0,$N22/12,$N22))</f>
        <v>87.044166666666669</v>
      </c>
      <c r="M58" s="394">
        <f>IF(FixAffald2021&lt;&gt;0, Affald2021!L26, IF($I22&lt;&gt;0,$N22/12,$N22))</f>
        <v>87.044166666666669</v>
      </c>
      <c r="N58" s="394">
        <f>IF(FixAffald2021&lt;&gt;0, Affald2021!M26, IF($I22&lt;&gt;0,$N22/12,$N22))</f>
        <v>87.044166666666669</v>
      </c>
      <c r="O58" s="394">
        <f>IF(FixAffald2021&lt;&gt;0, Affald2021!N26, IF($I22&lt;&gt;0,$N22/12,$N22))</f>
        <v>87.044166666666669</v>
      </c>
      <c r="P58" s="249">
        <f t="shared" si="5"/>
        <v>87.044166666666669</v>
      </c>
      <c r="Q58" s="250">
        <f t="shared" si="6"/>
        <v>87.044166666666669</v>
      </c>
      <c r="R58" s="250">
        <f t="shared" si="6"/>
        <v>87.044166666666669</v>
      </c>
      <c r="S58" s="250">
        <f t="shared" si="6"/>
        <v>87.044166666666669</v>
      </c>
      <c r="T58" s="250">
        <f t="shared" si="6"/>
        <v>87.044166666666669</v>
      </c>
      <c r="U58" s="250">
        <f t="shared" si="6"/>
        <v>87.044166666666669</v>
      </c>
      <c r="V58" s="250">
        <f t="shared" si="6"/>
        <v>87.044166666666669</v>
      </c>
      <c r="W58" s="250">
        <f t="shared" si="6"/>
        <v>87.044166666666669</v>
      </c>
      <c r="X58" s="250">
        <f t="shared" si="6"/>
        <v>87.044166666666669</v>
      </c>
      <c r="Y58" s="250">
        <f t="shared" si="6"/>
        <v>87.044166666666669</v>
      </c>
      <c r="Z58" s="250">
        <f t="shared" si="6"/>
        <v>87.044166666666669</v>
      </c>
      <c r="AA58" s="250">
        <f t="shared" si="6"/>
        <v>87.044166666666669</v>
      </c>
      <c r="AB58" s="249">
        <f t="shared" si="6"/>
        <v>87.044166666666669</v>
      </c>
      <c r="AC58" s="250">
        <f t="shared" si="6"/>
        <v>87.044166666666669</v>
      </c>
      <c r="AD58" s="250">
        <f t="shared" si="6"/>
        <v>87.044166666666669</v>
      </c>
      <c r="AE58" s="250">
        <f t="shared" si="6"/>
        <v>87.044166666666669</v>
      </c>
      <c r="AF58" s="250">
        <f t="shared" si="6"/>
        <v>87.044166666666669</v>
      </c>
      <c r="AG58" s="250">
        <f t="shared" si="6"/>
        <v>87.044166666666669</v>
      </c>
      <c r="AH58" s="250">
        <f t="shared" si="6"/>
        <v>87.044166666666669</v>
      </c>
      <c r="AI58" s="250">
        <f t="shared" si="6"/>
        <v>87.044166666666669</v>
      </c>
      <c r="AJ58" s="250">
        <f t="shared" si="6"/>
        <v>87.044166666666669</v>
      </c>
      <c r="AK58" s="250">
        <f t="shared" si="6"/>
        <v>87.044166666666669</v>
      </c>
      <c r="AL58" s="250">
        <f t="shared" si="6"/>
        <v>87.044166666666669</v>
      </c>
      <c r="AM58" s="250">
        <f t="shared" si="6"/>
        <v>87.044166666666669</v>
      </c>
    </row>
    <row r="59" spans="2:39" s="248" customFormat="1" outlineLevel="1" x14ac:dyDescent="0.25">
      <c r="B59" s="248" t="str">
        <v>Halm</v>
      </c>
      <c r="C59" s="22" t="s">
        <v>255</v>
      </c>
      <c r="D59" s="393">
        <f>IF(FixAffald2021&lt;&gt;0, Affald2021!C27, IF($I23&lt;&gt;0,$N23/12,$N23))</f>
        <v>0</v>
      </c>
      <c r="E59" s="394">
        <f>IF(FixAffald2021&lt;&gt;0, Affald2021!D27, IF($I23&lt;&gt;0,$N23/12,$N23))</f>
        <v>0</v>
      </c>
      <c r="F59" s="394">
        <f>IF(FixAffald2021&lt;&gt;0, Affald2021!E27, IF($I23&lt;&gt;0,$N23/12,$N23))</f>
        <v>0</v>
      </c>
      <c r="G59" s="394">
        <f>IF(FixAffald2021&lt;&gt;0, Affald2021!F27, IF($I23&lt;&gt;0,$N23/12,$N23))</f>
        <v>0</v>
      </c>
      <c r="H59" s="394">
        <f>IF(FixAffald2021&lt;&gt;0, Affald2021!G27, IF($I23&lt;&gt;0,$N23/12,$N23))</f>
        <v>0</v>
      </c>
      <c r="I59" s="394">
        <f>IF(FixAffald2021&lt;&gt;0, Affald2021!H27, IF($I23&lt;&gt;0,$N23/12,$N23))</f>
        <v>0</v>
      </c>
      <c r="J59" s="394">
        <f>IF(FixAffald2021&lt;&gt;0, Affald2021!I27, IF($I23&lt;&gt;0,$N23/12,$N23))</f>
        <v>0</v>
      </c>
      <c r="K59" s="394">
        <f>IF(FixAffald2021&lt;&gt;0, Affald2021!J27, IF($I23&lt;&gt;0,$N23/12,$N23))</f>
        <v>0</v>
      </c>
      <c r="L59" s="394">
        <f>IF(FixAffald2021&lt;&gt;0, Affald2021!K27, IF($I23&lt;&gt;0,$N23/12,$N23))</f>
        <v>0</v>
      </c>
      <c r="M59" s="394">
        <f>IF(FixAffald2021&lt;&gt;0, Affald2021!L27, IF($I23&lt;&gt;0,$N23/12,$N23))</f>
        <v>0</v>
      </c>
      <c r="N59" s="394">
        <f>IF(FixAffald2021&lt;&gt;0, Affald2021!M27, IF($I23&lt;&gt;0,$N23/12,$N23))</f>
        <v>0</v>
      </c>
      <c r="O59" s="394">
        <f>IF(FixAffald2021&lt;&gt;0, Affald2021!N27, IF($I23&lt;&gt;0,$N23/12,$N23))</f>
        <v>0</v>
      </c>
      <c r="P59" s="249">
        <f t="shared" si="5"/>
        <v>0</v>
      </c>
      <c r="Q59" s="250">
        <f t="shared" si="6"/>
        <v>0</v>
      </c>
      <c r="R59" s="250">
        <f t="shared" si="6"/>
        <v>0</v>
      </c>
      <c r="S59" s="250">
        <f t="shared" si="6"/>
        <v>0</v>
      </c>
      <c r="T59" s="250">
        <f t="shared" si="6"/>
        <v>0</v>
      </c>
      <c r="U59" s="250">
        <f t="shared" si="6"/>
        <v>0</v>
      </c>
      <c r="V59" s="250">
        <f t="shared" si="6"/>
        <v>0</v>
      </c>
      <c r="W59" s="250">
        <f t="shared" si="6"/>
        <v>0</v>
      </c>
      <c r="X59" s="250">
        <f t="shared" si="6"/>
        <v>0</v>
      </c>
      <c r="Y59" s="250">
        <f t="shared" si="6"/>
        <v>0</v>
      </c>
      <c r="Z59" s="250">
        <f t="shared" si="6"/>
        <v>0</v>
      </c>
      <c r="AA59" s="250">
        <f t="shared" si="6"/>
        <v>0</v>
      </c>
      <c r="AB59" s="249">
        <f t="shared" si="6"/>
        <v>0</v>
      </c>
      <c r="AC59" s="250">
        <f t="shared" si="6"/>
        <v>0</v>
      </c>
      <c r="AD59" s="250">
        <f t="shared" si="6"/>
        <v>0</v>
      </c>
      <c r="AE59" s="250">
        <f t="shared" si="6"/>
        <v>0</v>
      </c>
      <c r="AF59" s="250">
        <f t="shared" si="6"/>
        <v>0</v>
      </c>
      <c r="AG59" s="250">
        <f t="shared" si="6"/>
        <v>0</v>
      </c>
      <c r="AH59" s="250">
        <f t="shared" si="6"/>
        <v>0</v>
      </c>
      <c r="AI59" s="250">
        <f t="shared" si="6"/>
        <v>0</v>
      </c>
      <c r="AJ59" s="250">
        <f t="shared" si="6"/>
        <v>0</v>
      </c>
      <c r="AK59" s="250">
        <f t="shared" si="6"/>
        <v>0</v>
      </c>
      <c r="AL59" s="250">
        <f t="shared" si="6"/>
        <v>0</v>
      </c>
      <c r="AM59" s="250">
        <f t="shared" si="6"/>
        <v>0</v>
      </c>
    </row>
    <row r="60" spans="2:39" s="248" customFormat="1" outlineLevel="1" x14ac:dyDescent="0.25">
      <c r="B60" s="248" t="str">
        <v>Pulver</v>
      </c>
      <c r="C60" s="22" t="s">
        <v>255</v>
      </c>
      <c r="D60" s="393">
        <f>IF(FixAffald2021&lt;&gt;0, Affald2021!C28, IF($I24&lt;&gt;0,$N24/12,$N24))</f>
        <v>9.4949999999999992</v>
      </c>
      <c r="E60" s="394">
        <f>IF(FixAffald2021&lt;&gt;0, Affald2021!D28, IF($I24&lt;&gt;0,$N24/12,$N24))</f>
        <v>9.4949999999999992</v>
      </c>
      <c r="F60" s="394">
        <f>IF(FixAffald2021&lt;&gt;0, Affald2021!E28, IF($I24&lt;&gt;0,$N24/12,$N24))</f>
        <v>9.4949999999999992</v>
      </c>
      <c r="G60" s="394">
        <f>IF(FixAffald2021&lt;&gt;0, Affald2021!F28, IF($I24&lt;&gt;0,$N24/12,$N24))</f>
        <v>9.4949999999999992</v>
      </c>
      <c r="H60" s="394">
        <f>IF(FixAffald2021&lt;&gt;0, Affald2021!G28, IF($I24&lt;&gt;0,$N24/12,$N24))</f>
        <v>9.4949999999999992</v>
      </c>
      <c r="I60" s="394">
        <f>IF(FixAffald2021&lt;&gt;0, Affald2021!H28, IF($I24&lt;&gt;0,$N24/12,$N24))</f>
        <v>9.4949999999999992</v>
      </c>
      <c r="J60" s="394">
        <f>IF(FixAffald2021&lt;&gt;0, Affald2021!I28, IF($I24&lt;&gt;0,$N24/12,$N24))</f>
        <v>9.4949999999999992</v>
      </c>
      <c r="K60" s="394">
        <f>IF(FixAffald2021&lt;&gt;0, Affald2021!J28, IF($I24&lt;&gt;0,$N24/12,$N24))</f>
        <v>9.4949999999999992</v>
      </c>
      <c r="L60" s="394">
        <f>IF(FixAffald2021&lt;&gt;0, Affald2021!K28, IF($I24&lt;&gt;0,$N24/12,$N24))</f>
        <v>9.4949999999999992</v>
      </c>
      <c r="M60" s="394">
        <f>IF(FixAffald2021&lt;&gt;0, Affald2021!L28, IF($I24&lt;&gt;0,$N24/12,$N24))</f>
        <v>9.4949999999999992</v>
      </c>
      <c r="N60" s="394">
        <f>IF(FixAffald2021&lt;&gt;0, Affald2021!M28, IF($I24&lt;&gt;0,$N24/12,$N24))</f>
        <v>9.4949999999999992</v>
      </c>
      <c r="O60" s="394">
        <f>IF(FixAffald2021&lt;&gt;0, Affald2021!N28, IF($I24&lt;&gt;0,$N24/12,$N24))</f>
        <v>9.4949999999999992</v>
      </c>
      <c r="P60" s="249">
        <f t="shared" si="5"/>
        <v>9.4949999999999992</v>
      </c>
      <c r="Q60" s="250">
        <f t="shared" si="6"/>
        <v>9.4949999999999992</v>
      </c>
      <c r="R60" s="250">
        <f t="shared" si="6"/>
        <v>9.4949999999999992</v>
      </c>
      <c r="S60" s="250">
        <f t="shared" si="6"/>
        <v>9.4949999999999992</v>
      </c>
      <c r="T60" s="250">
        <f t="shared" si="6"/>
        <v>9.4949999999999992</v>
      </c>
      <c r="U60" s="250">
        <f t="shared" si="6"/>
        <v>9.4949999999999992</v>
      </c>
      <c r="V60" s="250">
        <f t="shared" si="6"/>
        <v>9.4949999999999992</v>
      </c>
      <c r="W60" s="250">
        <f t="shared" si="6"/>
        <v>9.4949999999999992</v>
      </c>
      <c r="X60" s="250">
        <f t="shared" si="6"/>
        <v>9.4949999999999992</v>
      </c>
      <c r="Y60" s="250">
        <f t="shared" si="6"/>
        <v>9.4949999999999992</v>
      </c>
      <c r="Z60" s="250">
        <f t="shared" si="6"/>
        <v>9.4949999999999992</v>
      </c>
      <c r="AA60" s="250">
        <f t="shared" si="6"/>
        <v>9.4949999999999992</v>
      </c>
      <c r="AB60" s="249">
        <f t="shared" si="6"/>
        <v>9.4949999999999992</v>
      </c>
      <c r="AC60" s="250">
        <f t="shared" si="6"/>
        <v>9.4949999999999992</v>
      </c>
      <c r="AD60" s="250">
        <f t="shared" si="6"/>
        <v>9.4949999999999992</v>
      </c>
      <c r="AE60" s="250">
        <f t="shared" si="6"/>
        <v>9.4949999999999992</v>
      </c>
      <c r="AF60" s="250">
        <f t="shared" si="6"/>
        <v>9.4949999999999992</v>
      </c>
      <c r="AG60" s="250">
        <f t="shared" si="6"/>
        <v>9.4949999999999992</v>
      </c>
      <c r="AH60" s="250">
        <f t="shared" si="6"/>
        <v>9.4949999999999992</v>
      </c>
      <c r="AI60" s="250">
        <f t="shared" si="6"/>
        <v>9.4949999999999992</v>
      </c>
      <c r="AJ60" s="250">
        <f t="shared" si="6"/>
        <v>9.4949999999999992</v>
      </c>
      <c r="AK60" s="250">
        <f t="shared" si="6"/>
        <v>9.4949999999999992</v>
      </c>
      <c r="AL60" s="250">
        <f t="shared" si="6"/>
        <v>9.4949999999999992</v>
      </c>
      <c r="AM60" s="250">
        <f t="shared" si="6"/>
        <v>9.4949999999999992</v>
      </c>
    </row>
    <row r="61" spans="2:39" s="248" customFormat="1" outlineLevel="1" x14ac:dyDescent="0.25">
      <c r="B61" s="248" t="str">
        <v>FlisAffald</v>
      </c>
      <c r="C61" s="22" t="s">
        <v>255</v>
      </c>
      <c r="D61" s="393">
        <f>IF(FixAffald2021&lt;&gt;0, Affald2021!C29, IF($I25&lt;&gt;0,$N25/12,$N25))</f>
        <v>17.683333333333334</v>
      </c>
      <c r="E61" s="394">
        <f>IF(FixAffald2021&lt;&gt;0, Affald2021!D29, IF($I25&lt;&gt;0,$N25/12,$N25))</f>
        <v>17.683333333333334</v>
      </c>
      <c r="F61" s="394">
        <f>IF(FixAffald2021&lt;&gt;0, Affald2021!E29, IF($I25&lt;&gt;0,$N25/12,$N25))</f>
        <v>17.683333333333334</v>
      </c>
      <c r="G61" s="394">
        <f>IF(FixAffald2021&lt;&gt;0, Affald2021!F29, IF($I25&lt;&gt;0,$N25/12,$N25))</f>
        <v>17.683333333333334</v>
      </c>
      <c r="H61" s="394">
        <f>IF(FixAffald2021&lt;&gt;0, Affald2021!G29, IF($I25&lt;&gt;0,$N25/12,$N25))</f>
        <v>17.683333333333334</v>
      </c>
      <c r="I61" s="394">
        <f>IF(FixAffald2021&lt;&gt;0, Affald2021!H29, IF($I25&lt;&gt;0,$N25/12,$N25))</f>
        <v>17.683333333333334</v>
      </c>
      <c r="J61" s="394">
        <f>IF(FixAffald2021&lt;&gt;0, Affald2021!I29, IF($I25&lt;&gt;0,$N25/12,$N25))</f>
        <v>17.683333333333334</v>
      </c>
      <c r="K61" s="394">
        <f>IF(FixAffald2021&lt;&gt;0, Affald2021!J29, IF($I25&lt;&gt;0,$N25/12,$N25))</f>
        <v>17.683333333333334</v>
      </c>
      <c r="L61" s="394">
        <f>IF(FixAffald2021&lt;&gt;0, Affald2021!K29, IF($I25&lt;&gt;0,$N25/12,$N25))</f>
        <v>17.683333333333334</v>
      </c>
      <c r="M61" s="394">
        <f>IF(FixAffald2021&lt;&gt;0, Affald2021!L29, IF($I25&lt;&gt;0,$N25/12,$N25))</f>
        <v>17.683333333333334</v>
      </c>
      <c r="N61" s="394">
        <f>IF(FixAffald2021&lt;&gt;0, Affald2021!M29, IF($I25&lt;&gt;0,$N25/12,$N25))</f>
        <v>17.683333333333334</v>
      </c>
      <c r="O61" s="394">
        <f>IF(FixAffald2021&lt;&gt;0, Affald2021!N29, IF($I25&lt;&gt;0,$N25/12,$N25))</f>
        <v>17.683333333333334</v>
      </c>
      <c r="P61" s="249">
        <f t="shared" si="5"/>
        <v>17.683333333333334</v>
      </c>
      <c r="Q61" s="250">
        <f t="shared" si="6"/>
        <v>17.683333333333334</v>
      </c>
      <c r="R61" s="250">
        <f t="shared" si="6"/>
        <v>17.683333333333334</v>
      </c>
      <c r="S61" s="250">
        <f t="shared" si="6"/>
        <v>17.683333333333334</v>
      </c>
      <c r="T61" s="250">
        <f t="shared" si="6"/>
        <v>17.683333333333334</v>
      </c>
      <c r="U61" s="250">
        <f t="shared" si="6"/>
        <v>17.683333333333334</v>
      </c>
      <c r="V61" s="250">
        <f t="shared" si="6"/>
        <v>17.683333333333334</v>
      </c>
      <c r="W61" s="250">
        <f t="shared" si="6"/>
        <v>17.683333333333334</v>
      </c>
      <c r="X61" s="250">
        <f t="shared" si="6"/>
        <v>17.683333333333334</v>
      </c>
      <c r="Y61" s="250">
        <f t="shared" si="6"/>
        <v>17.683333333333334</v>
      </c>
      <c r="Z61" s="250">
        <f t="shared" si="6"/>
        <v>17.683333333333334</v>
      </c>
      <c r="AA61" s="250">
        <f t="shared" si="6"/>
        <v>17.683333333333334</v>
      </c>
      <c r="AB61" s="249">
        <f t="shared" si="6"/>
        <v>17.683333333333334</v>
      </c>
      <c r="AC61" s="250">
        <f t="shared" si="6"/>
        <v>17.683333333333334</v>
      </c>
      <c r="AD61" s="250">
        <f t="shared" si="6"/>
        <v>17.683333333333334</v>
      </c>
      <c r="AE61" s="250">
        <f t="shared" si="6"/>
        <v>17.683333333333334</v>
      </c>
      <c r="AF61" s="250">
        <f t="shared" si="6"/>
        <v>17.683333333333334</v>
      </c>
      <c r="AG61" s="250">
        <f t="shared" si="6"/>
        <v>17.683333333333334</v>
      </c>
      <c r="AH61" s="250">
        <f t="shared" si="6"/>
        <v>17.683333333333334</v>
      </c>
      <c r="AI61" s="250">
        <f t="shared" si="6"/>
        <v>17.683333333333334</v>
      </c>
      <c r="AJ61" s="250">
        <f t="shared" si="6"/>
        <v>17.683333333333334</v>
      </c>
      <c r="AK61" s="250">
        <f t="shared" si="6"/>
        <v>17.683333333333334</v>
      </c>
      <c r="AL61" s="250">
        <f t="shared" si="6"/>
        <v>17.683333333333334</v>
      </c>
      <c r="AM61" s="250">
        <f t="shared" si="6"/>
        <v>17.683333333333334</v>
      </c>
    </row>
    <row r="62" spans="2:39" s="248" customFormat="1" outlineLevel="1" x14ac:dyDescent="0.25">
      <c r="B62" s="248" t="str">
        <v>NyAff1</v>
      </c>
      <c r="C62" s="22" t="s">
        <v>255</v>
      </c>
      <c r="D62" s="249">
        <f>IF(FixAffald2021&lt;&gt;0, Affald2021!C30, IF($I26&lt;&gt;0,$N26/12,$N26))</f>
        <v>20000</v>
      </c>
      <c r="E62" s="250">
        <f>IF(FixAffald2021&lt;&gt;0, Affald2021!D30, IF($I26&lt;&gt;0,$N26/12,$N26))</f>
        <v>20000</v>
      </c>
      <c r="F62" s="250">
        <f>IF(FixAffald2021&lt;&gt;0, Affald2021!E30, IF($I26&lt;&gt;0,$N26/12,$N26))</f>
        <v>20000</v>
      </c>
      <c r="G62" s="250">
        <f>IF(FixAffald2021&lt;&gt;0, Affald2021!F30, IF($I26&lt;&gt;0,$N26/12,$N26))</f>
        <v>20000</v>
      </c>
      <c r="H62" s="250">
        <f>IF(FixAffald2021&lt;&gt;0, Affald2021!G30, IF($I26&lt;&gt;0,$N26/12,$N26))</f>
        <v>20000</v>
      </c>
      <c r="I62" s="250">
        <f>IF(FixAffald2021&lt;&gt;0, Affald2021!H30, IF($I26&lt;&gt;0,$N26/12,$N26))</f>
        <v>20000</v>
      </c>
      <c r="J62" s="250">
        <f>IF(FixAffald2021&lt;&gt;0, Affald2021!I30, IF($I26&lt;&gt;0,$N26/12,$N26))</f>
        <v>20000</v>
      </c>
      <c r="K62" s="250">
        <f>IF(FixAffald2021&lt;&gt;0, Affald2021!J30, IF($I26&lt;&gt;0,$N26/12,$N26))</f>
        <v>20000</v>
      </c>
      <c r="L62" s="250">
        <f>IF(FixAffald2021&lt;&gt;0, Affald2021!K30, IF($I26&lt;&gt;0,$N26/12,$N26))</f>
        <v>20000</v>
      </c>
      <c r="M62" s="250">
        <f>IF(FixAffald2021&lt;&gt;0, Affald2021!L30, IF($I26&lt;&gt;0,$N26/12,$N26))</f>
        <v>20000</v>
      </c>
      <c r="N62" s="250">
        <f>IF(FixAffald2021&lt;&gt;0, Affald2021!M30, IF($I26&lt;&gt;0,$N26/12,$N26))</f>
        <v>20000</v>
      </c>
      <c r="O62" s="250">
        <f>IF(FixAffald2021&lt;&gt;0, Affald2021!N30, IF($I26&lt;&gt;0,$N26/12,$N26))</f>
        <v>20000</v>
      </c>
      <c r="P62" s="249">
        <f t="shared" si="5"/>
        <v>20000</v>
      </c>
      <c r="Q62" s="250">
        <f t="shared" si="6"/>
        <v>20000</v>
      </c>
      <c r="R62" s="250">
        <f t="shared" si="6"/>
        <v>20000</v>
      </c>
      <c r="S62" s="250">
        <f t="shared" si="6"/>
        <v>20000</v>
      </c>
      <c r="T62" s="250">
        <f t="shared" si="6"/>
        <v>20000</v>
      </c>
      <c r="U62" s="250">
        <f t="shared" si="6"/>
        <v>20000</v>
      </c>
      <c r="V62" s="250">
        <f t="shared" si="6"/>
        <v>20000</v>
      </c>
      <c r="W62" s="250">
        <f t="shared" si="6"/>
        <v>20000</v>
      </c>
      <c r="X62" s="250">
        <f t="shared" si="6"/>
        <v>20000</v>
      </c>
      <c r="Y62" s="250">
        <f t="shared" si="6"/>
        <v>20000</v>
      </c>
      <c r="Z62" s="250">
        <f t="shared" si="6"/>
        <v>20000</v>
      </c>
      <c r="AA62" s="250">
        <f t="shared" si="6"/>
        <v>20000</v>
      </c>
      <c r="AB62" s="249">
        <f t="shared" si="6"/>
        <v>20000</v>
      </c>
      <c r="AC62" s="250">
        <f t="shared" si="6"/>
        <v>20000</v>
      </c>
      <c r="AD62" s="250">
        <f t="shared" si="6"/>
        <v>20000</v>
      </c>
      <c r="AE62" s="250">
        <f t="shared" si="6"/>
        <v>20000</v>
      </c>
      <c r="AF62" s="250">
        <f t="shared" si="6"/>
        <v>20000</v>
      </c>
      <c r="AG62" s="250">
        <f t="shared" si="6"/>
        <v>20000</v>
      </c>
      <c r="AH62" s="250">
        <f t="shared" si="6"/>
        <v>20000</v>
      </c>
      <c r="AI62" s="250">
        <f t="shared" si="6"/>
        <v>20000</v>
      </c>
      <c r="AJ62" s="250">
        <f t="shared" si="6"/>
        <v>20000</v>
      </c>
      <c r="AK62" s="250">
        <f t="shared" si="6"/>
        <v>20000</v>
      </c>
      <c r="AL62" s="250">
        <f t="shared" si="6"/>
        <v>20000</v>
      </c>
      <c r="AM62" s="250">
        <f t="shared" si="6"/>
        <v>20000</v>
      </c>
    </row>
    <row r="63" spans="2:39" s="248" customFormat="1" outlineLevel="1" x14ac:dyDescent="0.25">
      <c r="B63" s="248" t="str">
        <v>NyAff2</v>
      </c>
      <c r="C63" s="22" t="s">
        <v>255</v>
      </c>
      <c r="D63" s="249">
        <f>IF(FixAffald2021&lt;&gt;0, Affald2021!C31, IF($I27&lt;&gt;0,$N27/12,$N27))</f>
        <v>833.33333333333337</v>
      </c>
      <c r="E63" s="250">
        <f>IF(FixAffald2021&lt;&gt;0, Affald2021!D31, IF($I27&lt;&gt;0,$N27/12,$N27))</f>
        <v>833.33333333333337</v>
      </c>
      <c r="F63" s="250">
        <f>IF(FixAffald2021&lt;&gt;0, Affald2021!E31, IF($I27&lt;&gt;0,$N27/12,$N27))</f>
        <v>833.33333333333337</v>
      </c>
      <c r="G63" s="250">
        <f>IF(FixAffald2021&lt;&gt;0, Affald2021!F31, IF($I27&lt;&gt;0,$N27/12,$N27))</f>
        <v>833.33333333333337</v>
      </c>
      <c r="H63" s="250">
        <f>IF(FixAffald2021&lt;&gt;0, Affald2021!G31, IF($I27&lt;&gt;0,$N27/12,$N27))</f>
        <v>833.33333333333337</v>
      </c>
      <c r="I63" s="250">
        <f>IF(FixAffald2021&lt;&gt;0, Affald2021!H31, IF($I27&lt;&gt;0,$N27/12,$N27))</f>
        <v>833.33333333333337</v>
      </c>
      <c r="J63" s="250">
        <f>IF(FixAffald2021&lt;&gt;0, Affald2021!I31, IF($I27&lt;&gt;0,$N27/12,$N27))</f>
        <v>833.33333333333337</v>
      </c>
      <c r="K63" s="250">
        <f>IF(FixAffald2021&lt;&gt;0, Affald2021!J31, IF($I27&lt;&gt;0,$N27/12,$N27))</f>
        <v>833.33333333333337</v>
      </c>
      <c r="L63" s="250">
        <f>IF(FixAffald2021&lt;&gt;0, Affald2021!K31, IF($I27&lt;&gt;0,$N27/12,$N27))</f>
        <v>833.33333333333337</v>
      </c>
      <c r="M63" s="250">
        <f>IF(FixAffald2021&lt;&gt;0, Affald2021!L31, IF($I27&lt;&gt;0,$N27/12,$N27))</f>
        <v>833.33333333333337</v>
      </c>
      <c r="N63" s="250">
        <f>IF(FixAffald2021&lt;&gt;0, Affald2021!M31, IF($I27&lt;&gt;0,$N27/12,$N27))</f>
        <v>833.33333333333337</v>
      </c>
      <c r="O63" s="250">
        <f>IF(FixAffald2021&lt;&gt;0, Affald2021!N31, IF($I27&lt;&gt;0,$N27/12,$N27))</f>
        <v>833.33333333333337</v>
      </c>
      <c r="P63" s="249">
        <f t="shared" si="5"/>
        <v>833.33333333333337</v>
      </c>
      <c r="Q63" s="250">
        <f t="shared" si="6"/>
        <v>833.33333333333337</v>
      </c>
      <c r="R63" s="250">
        <f t="shared" si="6"/>
        <v>833.33333333333337</v>
      </c>
      <c r="S63" s="250">
        <f t="shared" si="6"/>
        <v>833.33333333333337</v>
      </c>
      <c r="T63" s="250">
        <f t="shared" si="6"/>
        <v>833.33333333333337</v>
      </c>
      <c r="U63" s="250">
        <f t="shared" si="6"/>
        <v>833.33333333333337</v>
      </c>
      <c r="V63" s="250">
        <f t="shared" si="6"/>
        <v>833.33333333333337</v>
      </c>
      <c r="W63" s="250">
        <f t="shared" si="6"/>
        <v>833.33333333333337</v>
      </c>
      <c r="X63" s="250">
        <f t="shared" si="6"/>
        <v>833.33333333333337</v>
      </c>
      <c r="Y63" s="250">
        <f t="shared" si="6"/>
        <v>833.33333333333337</v>
      </c>
      <c r="Z63" s="250">
        <f t="shared" si="6"/>
        <v>833.33333333333337</v>
      </c>
      <c r="AA63" s="250">
        <f t="shared" si="6"/>
        <v>833.33333333333337</v>
      </c>
      <c r="AB63" s="249">
        <f t="shared" si="6"/>
        <v>833.33333333333337</v>
      </c>
      <c r="AC63" s="250">
        <f t="shared" si="6"/>
        <v>833.33333333333337</v>
      </c>
      <c r="AD63" s="250">
        <f t="shared" si="6"/>
        <v>833.33333333333337</v>
      </c>
      <c r="AE63" s="250">
        <f t="shared" si="6"/>
        <v>833.33333333333337</v>
      </c>
      <c r="AF63" s="250">
        <f t="shared" si="6"/>
        <v>833.33333333333337</v>
      </c>
      <c r="AG63" s="250">
        <f t="shared" si="6"/>
        <v>833.33333333333337</v>
      </c>
      <c r="AH63" s="250">
        <f t="shared" si="6"/>
        <v>833.33333333333337</v>
      </c>
      <c r="AI63" s="250">
        <f t="shared" si="6"/>
        <v>833.33333333333337</v>
      </c>
      <c r="AJ63" s="250">
        <f t="shared" ref="Q63:AM69" si="7">IF($I27&lt;&gt;0,$N27/12,$N27)</f>
        <v>833.33333333333337</v>
      </c>
      <c r="AK63" s="250">
        <f t="shared" si="7"/>
        <v>833.33333333333337</v>
      </c>
      <c r="AL63" s="250">
        <f t="shared" si="7"/>
        <v>833.33333333333337</v>
      </c>
      <c r="AM63" s="250">
        <f t="shared" si="7"/>
        <v>833.33333333333337</v>
      </c>
    </row>
    <row r="64" spans="2:39" s="248" customFormat="1" outlineLevel="1" x14ac:dyDescent="0.25">
      <c r="B64" s="248" t="str">
        <v>NyAff3</v>
      </c>
      <c r="C64" s="22" t="s">
        <v>255</v>
      </c>
      <c r="D64" s="249">
        <f>IF(FixAffald2021&lt;&gt;0, Affald2021!C32, IF($I28&lt;&gt;0,$N28/12,$N28))</f>
        <v>833.33333333333337</v>
      </c>
      <c r="E64" s="250">
        <f>IF(FixAffald2021&lt;&gt;0, Affald2021!D32, IF($I28&lt;&gt;0,$N28/12,$N28))</f>
        <v>833.33333333333337</v>
      </c>
      <c r="F64" s="250">
        <f>IF(FixAffald2021&lt;&gt;0, Affald2021!E32, IF($I28&lt;&gt;0,$N28/12,$N28))</f>
        <v>833.33333333333337</v>
      </c>
      <c r="G64" s="250">
        <f>IF(FixAffald2021&lt;&gt;0, Affald2021!F32, IF($I28&lt;&gt;0,$N28/12,$N28))</f>
        <v>833.33333333333337</v>
      </c>
      <c r="H64" s="250">
        <f>IF(FixAffald2021&lt;&gt;0, Affald2021!G32, IF($I28&lt;&gt;0,$N28/12,$N28))</f>
        <v>833.33333333333337</v>
      </c>
      <c r="I64" s="250">
        <f>IF(FixAffald2021&lt;&gt;0, Affald2021!H32, IF($I28&lt;&gt;0,$N28/12,$N28))</f>
        <v>833.33333333333337</v>
      </c>
      <c r="J64" s="250">
        <f>IF(FixAffald2021&lt;&gt;0, Affald2021!I32, IF($I28&lt;&gt;0,$N28/12,$N28))</f>
        <v>833.33333333333337</v>
      </c>
      <c r="K64" s="250">
        <f>IF(FixAffald2021&lt;&gt;0, Affald2021!J32, IF($I28&lt;&gt;0,$N28/12,$N28))</f>
        <v>833.33333333333337</v>
      </c>
      <c r="L64" s="250">
        <f>IF(FixAffald2021&lt;&gt;0, Affald2021!K32, IF($I28&lt;&gt;0,$N28/12,$N28))</f>
        <v>833.33333333333337</v>
      </c>
      <c r="M64" s="250">
        <f>IF(FixAffald2021&lt;&gt;0, Affald2021!L32, IF($I28&lt;&gt;0,$N28/12,$N28))</f>
        <v>833.33333333333337</v>
      </c>
      <c r="N64" s="250">
        <f>IF(FixAffald2021&lt;&gt;0, Affald2021!M32, IF($I28&lt;&gt;0,$N28/12,$N28))</f>
        <v>833.33333333333337</v>
      </c>
      <c r="O64" s="250">
        <f>IF(FixAffald2021&lt;&gt;0, Affald2021!N32, IF($I28&lt;&gt;0,$N28/12,$N28))</f>
        <v>833.33333333333337</v>
      </c>
      <c r="P64" s="249">
        <f t="shared" si="5"/>
        <v>833.33333333333337</v>
      </c>
      <c r="Q64" s="250">
        <f t="shared" si="7"/>
        <v>833.33333333333337</v>
      </c>
      <c r="R64" s="250">
        <f t="shared" si="7"/>
        <v>833.33333333333337</v>
      </c>
      <c r="S64" s="250">
        <f t="shared" si="7"/>
        <v>833.33333333333337</v>
      </c>
      <c r="T64" s="250">
        <f t="shared" si="7"/>
        <v>833.33333333333337</v>
      </c>
      <c r="U64" s="250">
        <f t="shared" si="7"/>
        <v>833.33333333333337</v>
      </c>
      <c r="V64" s="250">
        <f t="shared" si="7"/>
        <v>833.33333333333337</v>
      </c>
      <c r="W64" s="250">
        <f t="shared" si="7"/>
        <v>833.33333333333337</v>
      </c>
      <c r="X64" s="250">
        <f t="shared" si="7"/>
        <v>833.33333333333337</v>
      </c>
      <c r="Y64" s="250">
        <f t="shared" si="7"/>
        <v>833.33333333333337</v>
      </c>
      <c r="Z64" s="250">
        <f t="shared" si="7"/>
        <v>833.33333333333337</v>
      </c>
      <c r="AA64" s="250">
        <f t="shared" si="7"/>
        <v>833.33333333333337</v>
      </c>
      <c r="AB64" s="249">
        <f t="shared" si="7"/>
        <v>833.33333333333337</v>
      </c>
      <c r="AC64" s="250">
        <f t="shared" si="7"/>
        <v>833.33333333333337</v>
      </c>
      <c r="AD64" s="250">
        <f t="shared" si="7"/>
        <v>833.33333333333337</v>
      </c>
      <c r="AE64" s="250">
        <f t="shared" si="7"/>
        <v>833.33333333333337</v>
      </c>
      <c r="AF64" s="250">
        <f t="shared" si="7"/>
        <v>833.33333333333337</v>
      </c>
      <c r="AG64" s="250">
        <f t="shared" si="7"/>
        <v>833.33333333333337</v>
      </c>
      <c r="AH64" s="250">
        <f t="shared" si="7"/>
        <v>833.33333333333337</v>
      </c>
      <c r="AI64" s="250">
        <f t="shared" si="7"/>
        <v>833.33333333333337</v>
      </c>
      <c r="AJ64" s="250">
        <f t="shared" si="7"/>
        <v>833.33333333333337</v>
      </c>
      <c r="AK64" s="250">
        <f t="shared" si="7"/>
        <v>833.33333333333337</v>
      </c>
      <c r="AL64" s="250">
        <f t="shared" si="7"/>
        <v>833.33333333333337</v>
      </c>
      <c r="AM64" s="250">
        <f t="shared" si="7"/>
        <v>833.33333333333337</v>
      </c>
    </row>
    <row r="65" spans="1:39" s="248" customFormat="1" outlineLevel="1" x14ac:dyDescent="0.25">
      <c r="B65" s="248" t="str">
        <v>NyAff4</v>
      </c>
      <c r="C65" s="22" t="s">
        <v>255</v>
      </c>
      <c r="D65" s="249">
        <f>IF(FixAffald2021&lt;&gt;0, Affald2021!C33, IF($I29&lt;&gt;0,$N29/12,$N29))</f>
        <v>833.33333333333337</v>
      </c>
      <c r="E65" s="250">
        <f>IF(FixAffald2021&lt;&gt;0, Affald2021!D33, IF($I29&lt;&gt;0,$N29/12,$N29))</f>
        <v>833.33333333333337</v>
      </c>
      <c r="F65" s="250">
        <f>IF(FixAffald2021&lt;&gt;0, Affald2021!E33, IF($I29&lt;&gt;0,$N29/12,$N29))</f>
        <v>833.33333333333337</v>
      </c>
      <c r="G65" s="250">
        <f>IF(FixAffald2021&lt;&gt;0, Affald2021!F33, IF($I29&lt;&gt;0,$N29/12,$N29))</f>
        <v>833.33333333333337</v>
      </c>
      <c r="H65" s="250">
        <f>IF(FixAffald2021&lt;&gt;0, Affald2021!G33, IF($I29&lt;&gt;0,$N29/12,$N29))</f>
        <v>833.33333333333337</v>
      </c>
      <c r="I65" s="250">
        <f>IF(FixAffald2021&lt;&gt;0, Affald2021!H33, IF($I29&lt;&gt;0,$N29/12,$N29))</f>
        <v>833.33333333333337</v>
      </c>
      <c r="J65" s="250">
        <f>IF(FixAffald2021&lt;&gt;0, Affald2021!I33, IF($I29&lt;&gt;0,$N29/12,$N29))</f>
        <v>833.33333333333337</v>
      </c>
      <c r="K65" s="250">
        <f>IF(FixAffald2021&lt;&gt;0, Affald2021!J33, IF($I29&lt;&gt;0,$N29/12,$N29))</f>
        <v>833.33333333333337</v>
      </c>
      <c r="L65" s="250">
        <f>IF(FixAffald2021&lt;&gt;0, Affald2021!K33, IF($I29&lt;&gt;0,$N29/12,$N29))</f>
        <v>833.33333333333337</v>
      </c>
      <c r="M65" s="250">
        <f>IF(FixAffald2021&lt;&gt;0, Affald2021!L33, IF($I29&lt;&gt;0,$N29/12,$N29))</f>
        <v>833.33333333333337</v>
      </c>
      <c r="N65" s="250">
        <f>IF(FixAffald2021&lt;&gt;0, Affald2021!M33, IF($I29&lt;&gt;0,$N29/12,$N29))</f>
        <v>833.33333333333337</v>
      </c>
      <c r="O65" s="250">
        <f>IF(FixAffald2021&lt;&gt;0, Affald2021!N33, IF($I29&lt;&gt;0,$N29/12,$N29))</f>
        <v>833.33333333333337</v>
      </c>
      <c r="P65" s="249">
        <f t="shared" si="5"/>
        <v>833.33333333333337</v>
      </c>
      <c r="Q65" s="250">
        <f t="shared" si="7"/>
        <v>833.33333333333337</v>
      </c>
      <c r="R65" s="250">
        <f t="shared" si="7"/>
        <v>833.33333333333337</v>
      </c>
      <c r="S65" s="250">
        <f t="shared" si="7"/>
        <v>833.33333333333337</v>
      </c>
      <c r="T65" s="250">
        <f t="shared" si="7"/>
        <v>833.33333333333337</v>
      </c>
      <c r="U65" s="250">
        <f t="shared" si="7"/>
        <v>833.33333333333337</v>
      </c>
      <c r="V65" s="250">
        <f t="shared" si="7"/>
        <v>833.33333333333337</v>
      </c>
      <c r="W65" s="250">
        <f t="shared" si="7"/>
        <v>833.33333333333337</v>
      </c>
      <c r="X65" s="250">
        <f t="shared" si="7"/>
        <v>833.33333333333337</v>
      </c>
      <c r="Y65" s="250">
        <f t="shared" si="7"/>
        <v>833.33333333333337</v>
      </c>
      <c r="Z65" s="250">
        <f t="shared" si="7"/>
        <v>833.33333333333337</v>
      </c>
      <c r="AA65" s="250">
        <f t="shared" si="7"/>
        <v>833.33333333333337</v>
      </c>
      <c r="AB65" s="249">
        <f t="shared" si="7"/>
        <v>833.33333333333337</v>
      </c>
      <c r="AC65" s="250">
        <f t="shared" si="7"/>
        <v>833.33333333333337</v>
      </c>
      <c r="AD65" s="250">
        <f t="shared" si="7"/>
        <v>833.33333333333337</v>
      </c>
      <c r="AE65" s="250">
        <f t="shared" si="7"/>
        <v>833.33333333333337</v>
      </c>
      <c r="AF65" s="250">
        <f t="shared" si="7"/>
        <v>833.33333333333337</v>
      </c>
      <c r="AG65" s="250">
        <f t="shared" si="7"/>
        <v>833.33333333333337</v>
      </c>
      <c r="AH65" s="250">
        <f t="shared" si="7"/>
        <v>833.33333333333337</v>
      </c>
      <c r="AI65" s="250">
        <f t="shared" si="7"/>
        <v>833.33333333333337</v>
      </c>
      <c r="AJ65" s="250">
        <f t="shared" si="7"/>
        <v>833.33333333333337</v>
      </c>
      <c r="AK65" s="250">
        <f t="shared" si="7"/>
        <v>833.33333333333337</v>
      </c>
      <c r="AL65" s="250">
        <f t="shared" si="7"/>
        <v>833.33333333333337</v>
      </c>
      <c r="AM65" s="250">
        <f t="shared" si="7"/>
        <v>833.33333333333337</v>
      </c>
    </row>
    <row r="66" spans="1:39" s="248" customFormat="1" outlineLevel="1" x14ac:dyDescent="0.25">
      <c r="B66" s="248" t="str">
        <v>NyAff5</v>
      </c>
      <c r="C66" s="22" t="s">
        <v>255</v>
      </c>
      <c r="D66" s="249">
        <f>IF(FixAffald2021&lt;&gt;0, Affald2021!C34, IF($I30&lt;&gt;0,$N30/12,$N30))</f>
        <v>833.33333333333337</v>
      </c>
      <c r="E66" s="250">
        <f>IF(FixAffald2021&lt;&gt;0, Affald2021!D34, IF($I30&lt;&gt;0,$N30/12,$N30))</f>
        <v>833.33333333333337</v>
      </c>
      <c r="F66" s="250">
        <f>IF(FixAffald2021&lt;&gt;0, Affald2021!E34, IF($I30&lt;&gt;0,$N30/12,$N30))</f>
        <v>833.33333333333337</v>
      </c>
      <c r="G66" s="250">
        <f>IF(FixAffald2021&lt;&gt;0, Affald2021!F34, IF($I30&lt;&gt;0,$N30/12,$N30))</f>
        <v>833.33333333333337</v>
      </c>
      <c r="H66" s="250">
        <f>IF(FixAffald2021&lt;&gt;0, Affald2021!G34, IF($I30&lt;&gt;0,$N30/12,$N30))</f>
        <v>833.33333333333337</v>
      </c>
      <c r="I66" s="250">
        <f>IF(FixAffald2021&lt;&gt;0, Affald2021!H34, IF($I30&lt;&gt;0,$N30/12,$N30))</f>
        <v>833.33333333333337</v>
      </c>
      <c r="J66" s="250">
        <f>IF(FixAffald2021&lt;&gt;0, Affald2021!I34, IF($I30&lt;&gt;0,$N30/12,$N30))</f>
        <v>833.33333333333337</v>
      </c>
      <c r="K66" s="250">
        <f>IF(FixAffald2021&lt;&gt;0, Affald2021!J34, IF($I30&lt;&gt;0,$N30/12,$N30))</f>
        <v>833.33333333333337</v>
      </c>
      <c r="L66" s="250">
        <f>IF(FixAffald2021&lt;&gt;0, Affald2021!K34, IF($I30&lt;&gt;0,$N30/12,$N30))</f>
        <v>833.33333333333337</v>
      </c>
      <c r="M66" s="250">
        <f>IF(FixAffald2021&lt;&gt;0, Affald2021!L34, IF($I30&lt;&gt;0,$N30/12,$N30))</f>
        <v>833.33333333333337</v>
      </c>
      <c r="N66" s="250">
        <f>IF(FixAffald2021&lt;&gt;0, Affald2021!M34, IF($I30&lt;&gt;0,$N30/12,$N30))</f>
        <v>833.33333333333337</v>
      </c>
      <c r="O66" s="250">
        <f>IF(FixAffald2021&lt;&gt;0, Affald2021!N34, IF($I30&lt;&gt;0,$N30/12,$N30))</f>
        <v>833.33333333333337</v>
      </c>
      <c r="P66" s="249">
        <f t="shared" si="5"/>
        <v>833.33333333333337</v>
      </c>
      <c r="Q66" s="250">
        <f t="shared" si="7"/>
        <v>833.33333333333337</v>
      </c>
      <c r="R66" s="250">
        <f t="shared" si="7"/>
        <v>833.33333333333337</v>
      </c>
      <c r="S66" s="250">
        <f t="shared" si="7"/>
        <v>833.33333333333337</v>
      </c>
      <c r="T66" s="250">
        <f t="shared" si="7"/>
        <v>833.33333333333337</v>
      </c>
      <c r="U66" s="250">
        <f t="shared" si="7"/>
        <v>833.33333333333337</v>
      </c>
      <c r="V66" s="250">
        <f t="shared" si="7"/>
        <v>833.33333333333337</v>
      </c>
      <c r="W66" s="250">
        <f t="shared" si="7"/>
        <v>833.33333333333337</v>
      </c>
      <c r="X66" s="250">
        <f t="shared" si="7"/>
        <v>833.33333333333337</v>
      </c>
      <c r="Y66" s="250">
        <f t="shared" si="7"/>
        <v>833.33333333333337</v>
      </c>
      <c r="Z66" s="250">
        <f t="shared" si="7"/>
        <v>833.33333333333337</v>
      </c>
      <c r="AA66" s="250">
        <f t="shared" si="7"/>
        <v>833.33333333333337</v>
      </c>
      <c r="AB66" s="249">
        <f t="shared" si="7"/>
        <v>833.33333333333337</v>
      </c>
      <c r="AC66" s="250">
        <f t="shared" si="7"/>
        <v>833.33333333333337</v>
      </c>
      <c r="AD66" s="250">
        <f t="shared" si="7"/>
        <v>833.33333333333337</v>
      </c>
      <c r="AE66" s="250">
        <f t="shared" si="7"/>
        <v>833.33333333333337</v>
      </c>
      <c r="AF66" s="250">
        <f t="shared" si="7"/>
        <v>833.33333333333337</v>
      </c>
      <c r="AG66" s="250">
        <f t="shared" si="7"/>
        <v>833.33333333333337</v>
      </c>
      <c r="AH66" s="250">
        <f t="shared" si="7"/>
        <v>833.33333333333337</v>
      </c>
      <c r="AI66" s="250">
        <f t="shared" si="7"/>
        <v>833.33333333333337</v>
      </c>
      <c r="AJ66" s="250">
        <f t="shared" si="7"/>
        <v>833.33333333333337</v>
      </c>
      <c r="AK66" s="250">
        <f t="shared" si="7"/>
        <v>833.33333333333337</v>
      </c>
      <c r="AL66" s="250">
        <f t="shared" si="7"/>
        <v>833.33333333333337</v>
      </c>
      <c r="AM66" s="250">
        <f t="shared" si="7"/>
        <v>833.33333333333337</v>
      </c>
    </row>
    <row r="67" spans="1:39" outlineLevel="1" x14ac:dyDescent="0.25">
      <c r="A67" s="294"/>
      <c r="B67" t="str" cm="1">
        <f t="array" ref="B67:B69">ØvrigeBrændsler</f>
        <v>Flis</v>
      </c>
      <c r="C67" s="22" t="s">
        <v>255</v>
      </c>
      <c r="D67" s="249">
        <f>IF(FixAffald2021&lt;&gt;0, Affald2021!C35, IF($I31&lt;&gt;0,$N31/12,$N31))</f>
        <v>0</v>
      </c>
      <c r="E67" s="250">
        <f>IF(FixAffald2021&lt;&gt;0, Affald2021!D35, IF($I31&lt;&gt;0,$N31/12,$N31))</f>
        <v>0</v>
      </c>
      <c r="F67" s="250">
        <f>IF(FixAffald2021&lt;&gt;0, Affald2021!E35, IF($I31&lt;&gt;0,$N31/12,$N31))</f>
        <v>0</v>
      </c>
      <c r="G67" s="250">
        <f>IF(FixAffald2021&lt;&gt;0, Affald2021!F35, IF($I31&lt;&gt;0,$N31/12,$N31))</f>
        <v>0</v>
      </c>
      <c r="H67" s="250">
        <f>IF(FixAffald2021&lt;&gt;0, Affald2021!G35, IF($I31&lt;&gt;0,$N31/12,$N31))</f>
        <v>0</v>
      </c>
      <c r="I67" s="250">
        <f>IF(FixAffald2021&lt;&gt;0, Affald2021!H35, IF($I31&lt;&gt;0,$N31/12,$N31))</f>
        <v>0</v>
      </c>
      <c r="J67" s="250">
        <f>IF(FixAffald2021&lt;&gt;0, Affald2021!I35, IF($I31&lt;&gt;0,$N31/12,$N31))</f>
        <v>0</v>
      </c>
      <c r="K67" s="250">
        <f>IF(FixAffald2021&lt;&gt;0, Affald2021!J35, IF($I31&lt;&gt;0,$N31/12,$N31))</f>
        <v>0</v>
      </c>
      <c r="L67" s="250">
        <f>IF(FixAffald2021&lt;&gt;0, Affald2021!K35, IF($I31&lt;&gt;0,$N31/12,$N31))</f>
        <v>0</v>
      </c>
      <c r="M67" s="250">
        <f>IF(FixAffald2021&lt;&gt;0, Affald2021!L35, IF($I31&lt;&gt;0,$N31/12,$N31))</f>
        <v>0</v>
      </c>
      <c r="N67" s="250">
        <f>IF(FixAffald2021&lt;&gt;0, Affald2021!M35, IF($I31&lt;&gt;0,$N31/12,$N31))</f>
        <v>0</v>
      </c>
      <c r="O67" s="250">
        <f>IF(FixAffald2021&lt;&gt;0, Affald2021!N35, IF($I31&lt;&gt;0,$N31/12,$N31))</f>
        <v>0</v>
      </c>
      <c r="P67" s="249">
        <f t="shared" si="5"/>
        <v>0</v>
      </c>
      <c r="Q67" s="250">
        <f t="shared" si="7"/>
        <v>0</v>
      </c>
      <c r="R67" s="250">
        <f t="shared" si="7"/>
        <v>0</v>
      </c>
      <c r="S67" s="250">
        <f t="shared" si="7"/>
        <v>0</v>
      </c>
      <c r="T67" s="250">
        <f t="shared" si="7"/>
        <v>0</v>
      </c>
      <c r="U67" s="250">
        <f t="shared" si="7"/>
        <v>0</v>
      </c>
      <c r="V67" s="250">
        <f t="shared" si="7"/>
        <v>0</v>
      </c>
      <c r="W67" s="250">
        <f t="shared" si="7"/>
        <v>0</v>
      </c>
      <c r="X67" s="250">
        <f t="shared" si="7"/>
        <v>0</v>
      </c>
      <c r="Y67" s="250">
        <f t="shared" si="7"/>
        <v>0</v>
      </c>
      <c r="Z67" s="250">
        <f t="shared" si="7"/>
        <v>0</v>
      </c>
      <c r="AA67" s="250">
        <f t="shared" si="7"/>
        <v>0</v>
      </c>
      <c r="AB67" s="249">
        <f t="shared" si="7"/>
        <v>0</v>
      </c>
      <c r="AC67" s="250">
        <f t="shared" si="7"/>
        <v>0</v>
      </c>
      <c r="AD67" s="250">
        <f t="shared" si="7"/>
        <v>0</v>
      </c>
      <c r="AE67" s="250">
        <f t="shared" si="7"/>
        <v>0</v>
      </c>
      <c r="AF67" s="250">
        <f t="shared" si="7"/>
        <v>0</v>
      </c>
      <c r="AG67" s="250">
        <f t="shared" si="7"/>
        <v>0</v>
      </c>
      <c r="AH67" s="250">
        <f t="shared" si="7"/>
        <v>0</v>
      </c>
      <c r="AI67" s="250">
        <f t="shared" si="7"/>
        <v>0</v>
      </c>
      <c r="AJ67" s="250">
        <f t="shared" si="7"/>
        <v>0</v>
      </c>
      <c r="AK67" s="250">
        <f t="shared" si="7"/>
        <v>0</v>
      </c>
      <c r="AL67" s="250">
        <f t="shared" si="7"/>
        <v>0</v>
      </c>
      <c r="AM67" s="250">
        <f t="shared" si="7"/>
        <v>0</v>
      </c>
    </row>
    <row r="68" spans="1:39" outlineLevel="1" x14ac:dyDescent="0.25">
      <c r="A68" s="295"/>
      <c r="B68" t="str">
        <v>NSvarme</v>
      </c>
      <c r="C68" s="22" t="s">
        <v>255</v>
      </c>
      <c r="D68" s="249">
        <f>IF(FixAffald2021&lt;&gt;0, Affald2021!C36, IF($I32&lt;&gt;0,$N32/12,$N32))</f>
        <v>11000</v>
      </c>
      <c r="E68" s="250">
        <f>IF(FixAffald2021&lt;&gt;0, Affald2021!D36, IF($I32&lt;&gt;0,$N32/12,$N32))</f>
        <v>11000</v>
      </c>
      <c r="F68" s="250">
        <f>IF(FixAffald2021&lt;&gt;0, Affald2021!E36, IF($I32&lt;&gt;0,$N32/12,$N32))</f>
        <v>11000</v>
      </c>
      <c r="G68" s="250">
        <f>IF(FixAffald2021&lt;&gt;0, Affald2021!F36, IF($I32&lt;&gt;0,$N32/12,$N32))</f>
        <v>11000</v>
      </c>
      <c r="H68" s="250">
        <f>IF(FixAffald2021&lt;&gt;0, Affald2021!G36, IF($I32&lt;&gt;0,$N32/12,$N32))</f>
        <v>11000</v>
      </c>
      <c r="I68" s="250">
        <f>IF(FixAffald2021&lt;&gt;0, Affald2021!H36, IF($I32&lt;&gt;0,$N32/12,$N32))</f>
        <v>11000</v>
      </c>
      <c r="J68" s="250">
        <f>IF(FixAffald2021&lt;&gt;0, Affald2021!I36, IF($I32&lt;&gt;0,$N32/12,$N32))</f>
        <v>11000</v>
      </c>
      <c r="K68" s="250">
        <f>IF(FixAffald2021&lt;&gt;0, Affald2021!J36, IF($I32&lt;&gt;0,$N32/12,$N32))</f>
        <v>11000</v>
      </c>
      <c r="L68" s="250">
        <f>IF(FixAffald2021&lt;&gt;0, Affald2021!K36, IF($I32&lt;&gt;0,$N32/12,$N32))</f>
        <v>11000</v>
      </c>
      <c r="M68" s="250">
        <f>IF(FixAffald2021&lt;&gt;0, Affald2021!L36, IF($I32&lt;&gt;0,$N32/12,$N32))</f>
        <v>11000</v>
      </c>
      <c r="N68" s="250">
        <f>IF(FixAffald2021&lt;&gt;0, Affald2021!M36, IF($I32&lt;&gt;0,$N32/12,$N32))</f>
        <v>11000</v>
      </c>
      <c r="O68" s="250">
        <f>IF(FixAffald2021&lt;&gt;0, Affald2021!N36, IF($I32&lt;&gt;0,$N32/12,$N32))</f>
        <v>11000</v>
      </c>
      <c r="P68" s="249">
        <f t="shared" si="5"/>
        <v>11000</v>
      </c>
      <c r="Q68" s="250">
        <f t="shared" si="7"/>
        <v>11000</v>
      </c>
      <c r="R68" s="250">
        <f t="shared" si="7"/>
        <v>11000</v>
      </c>
      <c r="S68" s="250">
        <f t="shared" si="7"/>
        <v>11000</v>
      </c>
      <c r="T68" s="250">
        <f t="shared" si="7"/>
        <v>11000</v>
      </c>
      <c r="U68" s="250">
        <f t="shared" si="7"/>
        <v>11000</v>
      </c>
      <c r="V68" s="250">
        <f t="shared" si="7"/>
        <v>11000</v>
      </c>
      <c r="W68" s="250">
        <f t="shared" si="7"/>
        <v>11000</v>
      </c>
      <c r="X68" s="250">
        <f t="shared" si="7"/>
        <v>11000</v>
      </c>
      <c r="Y68" s="250">
        <f t="shared" si="7"/>
        <v>11000</v>
      </c>
      <c r="Z68" s="250">
        <f t="shared" si="7"/>
        <v>11000</v>
      </c>
      <c r="AA68" s="250">
        <f t="shared" si="7"/>
        <v>11000</v>
      </c>
      <c r="AB68" s="249">
        <f t="shared" si="7"/>
        <v>11000</v>
      </c>
      <c r="AC68" s="250">
        <f t="shared" si="7"/>
        <v>11000</v>
      </c>
      <c r="AD68" s="250">
        <f t="shared" si="7"/>
        <v>11000</v>
      </c>
      <c r="AE68" s="250">
        <f t="shared" si="7"/>
        <v>11000</v>
      </c>
      <c r="AF68" s="250">
        <f t="shared" si="7"/>
        <v>11000</v>
      </c>
      <c r="AG68" s="250">
        <f t="shared" si="7"/>
        <v>11000</v>
      </c>
      <c r="AH68" s="250">
        <f t="shared" si="7"/>
        <v>11000</v>
      </c>
      <c r="AI68" s="250">
        <f t="shared" si="7"/>
        <v>11000</v>
      </c>
      <c r="AJ68" s="250">
        <f t="shared" si="7"/>
        <v>11000</v>
      </c>
      <c r="AK68" s="250">
        <f t="shared" si="7"/>
        <v>11000</v>
      </c>
      <c r="AL68" s="250">
        <f t="shared" si="7"/>
        <v>11000</v>
      </c>
      <c r="AM68" s="250">
        <f t="shared" si="7"/>
        <v>11000</v>
      </c>
    </row>
    <row r="69" spans="1:39" outlineLevel="1" x14ac:dyDescent="0.25">
      <c r="A69" s="295"/>
      <c r="B69" t="str">
        <v>PeakFuel</v>
      </c>
      <c r="C69" s="22" t="s">
        <v>255</v>
      </c>
      <c r="D69" s="249">
        <f>IF(FixAffald2021&lt;&gt;0, Affald2021!C37, IF($I33&lt;&gt;0,$N33/12,$N33))</f>
        <v>20000</v>
      </c>
      <c r="E69" s="250">
        <f>IF(FixAffald2021&lt;&gt;0, Affald2021!D37, IF($I33&lt;&gt;0,$N33/12,$N33))</f>
        <v>20000</v>
      </c>
      <c r="F69" s="250">
        <f>IF(FixAffald2021&lt;&gt;0, Affald2021!E37, IF($I33&lt;&gt;0,$N33/12,$N33))</f>
        <v>20000</v>
      </c>
      <c r="G69" s="250">
        <f>IF(FixAffald2021&lt;&gt;0, Affald2021!F37, IF($I33&lt;&gt;0,$N33/12,$N33))</f>
        <v>20000</v>
      </c>
      <c r="H69" s="250">
        <f>IF(FixAffald2021&lt;&gt;0, Affald2021!G37, IF($I33&lt;&gt;0,$N33/12,$N33))</f>
        <v>20000</v>
      </c>
      <c r="I69" s="250">
        <f>IF(FixAffald2021&lt;&gt;0, Affald2021!H37, IF($I33&lt;&gt;0,$N33/12,$N33))</f>
        <v>20000</v>
      </c>
      <c r="J69" s="250">
        <f>IF(FixAffald2021&lt;&gt;0, Affald2021!I37, IF($I33&lt;&gt;0,$N33/12,$N33))</f>
        <v>20000</v>
      </c>
      <c r="K69" s="250">
        <f>IF(FixAffald2021&lt;&gt;0, Affald2021!J37, IF($I33&lt;&gt;0,$N33/12,$N33))</f>
        <v>20000</v>
      </c>
      <c r="L69" s="250">
        <f>IF(FixAffald2021&lt;&gt;0, Affald2021!K37, IF($I33&lt;&gt;0,$N33/12,$N33))</f>
        <v>20000</v>
      </c>
      <c r="M69" s="250">
        <f>IF(FixAffald2021&lt;&gt;0, Affald2021!L37, IF($I33&lt;&gt;0,$N33/12,$N33))</f>
        <v>20000</v>
      </c>
      <c r="N69" s="250">
        <f>IF(FixAffald2021&lt;&gt;0, Affald2021!M37, IF($I33&lt;&gt;0,$N33/12,$N33))</f>
        <v>20000</v>
      </c>
      <c r="O69" s="250">
        <f>IF(FixAffald2021&lt;&gt;0, Affald2021!N37, IF($I33&lt;&gt;0,$N33/12,$N33))</f>
        <v>20000</v>
      </c>
      <c r="P69" s="249">
        <f t="shared" si="5"/>
        <v>20000</v>
      </c>
      <c r="Q69" s="250">
        <f t="shared" si="7"/>
        <v>20000</v>
      </c>
      <c r="R69" s="250">
        <f t="shared" si="7"/>
        <v>20000</v>
      </c>
      <c r="S69" s="250">
        <f t="shared" si="7"/>
        <v>20000</v>
      </c>
      <c r="T69" s="250">
        <f t="shared" si="7"/>
        <v>20000</v>
      </c>
      <c r="U69" s="250">
        <f t="shared" si="7"/>
        <v>20000</v>
      </c>
      <c r="V69" s="250">
        <f t="shared" si="7"/>
        <v>20000</v>
      </c>
      <c r="W69" s="250">
        <f t="shared" si="7"/>
        <v>20000</v>
      </c>
      <c r="X69" s="250">
        <f t="shared" si="7"/>
        <v>20000</v>
      </c>
      <c r="Y69" s="250">
        <f t="shared" si="7"/>
        <v>20000</v>
      </c>
      <c r="Z69" s="250">
        <f t="shared" si="7"/>
        <v>20000</v>
      </c>
      <c r="AA69" s="250">
        <f t="shared" si="7"/>
        <v>20000</v>
      </c>
      <c r="AB69" s="249">
        <f t="shared" si="7"/>
        <v>20000</v>
      </c>
      <c r="AC69" s="250">
        <f t="shared" si="7"/>
        <v>20000</v>
      </c>
      <c r="AD69" s="250">
        <f t="shared" si="7"/>
        <v>20000</v>
      </c>
      <c r="AE69" s="250">
        <f t="shared" si="7"/>
        <v>20000</v>
      </c>
      <c r="AF69" s="250">
        <f t="shared" si="7"/>
        <v>20000</v>
      </c>
      <c r="AG69" s="250">
        <f t="shared" si="7"/>
        <v>20000</v>
      </c>
      <c r="AH69" s="250">
        <f t="shared" si="7"/>
        <v>20000</v>
      </c>
      <c r="AI69" s="250">
        <f t="shared" si="7"/>
        <v>20000</v>
      </c>
      <c r="AJ69" s="250">
        <f t="shared" si="7"/>
        <v>20000</v>
      </c>
      <c r="AK69" s="250">
        <f t="shared" si="7"/>
        <v>20000</v>
      </c>
      <c r="AL69" s="250">
        <f t="shared" si="7"/>
        <v>20000</v>
      </c>
      <c r="AM69" s="250">
        <f t="shared" si="7"/>
        <v>20000</v>
      </c>
    </row>
    <row r="70" spans="1:39" s="26" customFormat="1" ht="15.75" x14ac:dyDescent="0.25">
      <c r="A70" s="37" t="s">
        <v>401</v>
      </c>
      <c r="B70" s="29"/>
      <c r="C70" s="29"/>
      <c r="D70" s="34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4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4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s="239" customFormat="1" outlineLevel="1" x14ac:dyDescent="0.25">
      <c r="B71" s="239" t="str" cm="1">
        <f t="array" ref="B71:B96">Affaldsfraktioner</f>
        <v>DepoSort</v>
      </c>
      <c r="C71" s="240" t="s">
        <v>254</v>
      </c>
      <c r="D71" s="391">
        <f>IF(FixAffald2021&lt;&gt;0,Affald2021!C9,IF(AND($I5&lt;&gt;0,$G5=0),$M5/12,0))</f>
        <v>1076.2749999999999</v>
      </c>
      <c r="E71" s="392">
        <f>IF(FixAffald2021&lt;&gt;0,Affald2021!D9,IF(AND($I5&lt;&gt;0,$G5=0),$M5/12,0))</f>
        <v>1076.2749999999999</v>
      </c>
      <c r="F71" s="392">
        <f>IF(FixAffald2021&lt;&gt;0,Affald2021!E9,IF(AND($I5&lt;&gt;0,$G5=0),$M5/12,0))</f>
        <v>1076.2749999999999</v>
      </c>
      <c r="G71" s="392">
        <f>IF(FixAffald2021&lt;&gt;0,Affald2021!F9,IF(AND($I5&lt;&gt;0,$G5=0),$M5/12,0))</f>
        <v>1076.2749999999999</v>
      </c>
      <c r="H71" s="392">
        <f>IF(FixAffald2021&lt;&gt;0,Affald2021!G9,IF(AND($I5&lt;&gt;0,$G5=0),$M5/12,0))</f>
        <v>1076.2749999999999</v>
      </c>
      <c r="I71" s="392">
        <f>IF(FixAffald2021&lt;&gt;0,Affald2021!H9,IF(AND($I5&lt;&gt;0,$G5=0),$M5/12,0))</f>
        <v>1076.2749999999999</v>
      </c>
      <c r="J71" s="392">
        <f>IF(FixAffald2021&lt;&gt;0,Affald2021!I9,IF(AND($I5&lt;&gt;0,$G5=0),$M5/12,0))</f>
        <v>1076.2749999999999</v>
      </c>
      <c r="K71" s="392">
        <f>IF(FixAffald2021&lt;&gt;0,Affald2021!J9,IF(AND($I5&lt;&gt;0,$G5=0),$M5/12,0))</f>
        <v>1076.2749999999999</v>
      </c>
      <c r="L71" s="392">
        <f>IF(FixAffald2021&lt;&gt;0,Affald2021!K9,IF(AND($I5&lt;&gt;0,$G5=0),$M5/12,0))</f>
        <v>1076.2749999999999</v>
      </c>
      <c r="M71" s="392">
        <f>IF(FixAffald2021&lt;&gt;0,Affald2021!L9,IF(AND($I5&lt;&gt;0,$G5=0),$M5/12,0))</f>
        <v>1076.2749999999999</v>
      </c>
      <c r="N71" s="392">
        <f>IF(FixAffald2021&lt;&gt;0,Affald2021!M9,IF(AND($I5&lt;&gt;0,$G5=0),$M5/12,0))</f>
        <v>1076.2749999999999</v>
      </c>
      <c r="O71" s="392">
        <f>IF(FixAffald2021&lt;&gt;0,Affald2021!N9,IF(AND($I5&lt;&gt;0,$G5=0),$M5/12,0))</f>
        <v>1076.2749999999999</v>
      </c>
      <c r="P71" s="241">
        <f>IF(AND($I5&lt;&gt;0,$G5=0),$M5/12,0)</f>
        <v>1076.2749999999999</v>
      </c>
      <c r="Q71" s="242">
        <f t="shared" ref="Q71:AM82" si="8">IF(AND($I5&lt;&gt;0,$G5=0),$M5/12,0)</f>
        <v>1076.2749999999999</v>
      </c>
      <c r="R71" s="242">
        <f t="shared" si="8"/>
        <v>1076.2749999999999</v>
      </c>
      <c r="S71" s="242">
        <f t="shared" si="8"/>
        <v>1076.2749999999999</v>
      </c>
      <c r="T71" s="242">
        <f t="shared" si="8"/>
        <v>1076.2749999999999</v>
      </c>
      <c r="U71" s="242">
        <f t="shared" si="8"/>
        <v>1076.2749999999999</v>
      </c>
      <c r="V71" s="242">
        <f t="shared" si="8"/>
        <v>1076.2749999999999</v>
      </c>
      <c r="W71" s="242">
        <f t="shared" si="8"/>
        <v>1076.2749999999999</v>
      </c>
      <c r="X71" s="242">
        <f t="shared" si="8"/>
        <v>1076.2749999999999</v>
      </c>
      <c r="Y71" s="242">
        <f t="shared" si="8"/>
        <v>1076.2749999999999</v>
      </c>
      <c r="Z71" s="242">
        <f t="shared" si="8"/>
        <v>1076.2749999999999</v>
      </c>
      <c r="AA71" s="242">
        <f t="shared" si="8"/>
        <v>1076.2749999999999</v>
      </c>
      <c r="AB71" s="241">
        <f t="shared" si="8"/>
        <v>1076.2749999999999</v>
      </c>
      <c r="AC71" s="242">
        <f t="shared" si="8"/>
        <v>1076.2749999999999</v>
      </c>
      <c r="AD71" s="242">
        <f t="shared" si="8"/>
        <v>1076.2749999999999</v>
      </c>
      <c r="AE71" s="242">
        <f t="shared" si="8"/>
        <v>1076.2749999999999</v>
      </c>
      <c r="AF71" s="242">
        <f t="shared" si="8"/>
        <v>1076.2749999999999</v>
      </c>
      <c r="AG71" s="242">
        <f t="shared" si="8"/>
        <v>1076.2749999999999</v>
      </c>
      <c r="AH71" s="242">
        <f t="shared" si="8"/>
        <v>1076.2749999999999</v>
      </c>
      <c r="AI71" s="242">
        <f t="shared" si="8"/>
        <v>1076.2749999999999</v>
      </c>
      <c r="AJ71" s="242">
        <f t="shared" si="8"/>
        <v>1076.2749999999999</v>
      </c>
      <c r="AK71" s="242">
        <f t="shared" si="8"/>
        <v>1076.2749999999999</v>
      </c>
      <c r="AL71" s="242">
        <f t="shared" si="8"/>
        <v>1076.2749999999999</v>
      </c>
      <c r="AM71" s="242">
        <f t="shared" si="8"/>
        <v>1076.2749999999999</v>
      </c>
    </row>
    <row r="72" spans="1:39" s="239" customFormat="1" outlineLevel="1" x14ac:dyDescent="0.25">
      <c r="B72" s="239" t="str">
        <v>DepoSmaat</v>
      </c>
      <c r="C72" s="240" t="s">
        <v>254</v>
      </c>
      <c r="D72" s="391">
        <f>IF(FixAffald2021&lt;&gt;0,Affald2021!C10,IF(AND($I6&lt;&gt;0,$G6=0),$M6/12,0))</f>
        <v>0</v>
      </c>
      <c r="E72" s="392">
        <f>IF(FixAffald2021&lt;&gt;0,Affald2021!D10,IF(AND($I6&lt;&gt;0,$G6=0),$M6/12,0))</f>
        <v>0</v>
      </c>
      <c r="F72" s="392">
        <f>IF(FixAffald2021&lt;&gt;0,Affald2021!E10,IF(AND($I6&lt;&gt;0,$G6=0),$M6/12,0))</f>
        <v>0</v>
      </c>
      <c r="G72" s="392">
        <f>IF(FixAffald2021&lt;&gt;0,Affald2021!F10,IF(AND($I6&lt;&gt;0,$G6=0),$M6/12,0))</f>
        <v>0</v>
      </c>
      <c r="H72" s="392">
        <f>IF(FixAffald2021&lt;&gt;0,Affald2021!G10,IF(AND($I6&lt;&gt;0,$G6=0),$M6/12,0))</f>
        <v>0</v>
      </c>
      <c r="I72" s="392">
        <f>IF(FixAffald2021&lt;&gt;0,Affald2021!H10,IF(AND($I6&lt;&gt;0,$G6=0),$M6/12,0))</f>
        <v>0</v>
      </c>
      <c r="J72" s="392">
        <f>IF(FixAffald2021&lt;&gt;0,Affald2021!I10,IF(AND($I6&lt;&gt;0,$G6=0),$M6/12,0))</f>
        <v>0</v>
      </c>
      <c r="K72" s="392">
        <f>IF(FixAffald2021&lt;&gt;0,Affald2021!J10,IF(AND($I6&lt;&gt;0,$G6=0),$M6/12,0))</f>
        <v>0</v>
      </c>
      <c r="L72" s="392">
        <f>IF(FixAffald2021&lt;&gt;0,Affald2021!K10,IF(AND($I6&lt;&gt;0,$G6=0),$M6/12,0))</f>
        <v>0</v>
      </c>
      <c r="M72" s="392">
        <f>IF(FixAffald2021&lt;&gt;0,Affald2021!L10,IF(AND($I6&lt;&gt;0,$G6=0),$M6/12,0))</f>
        <v>0</v>
      </c>
      <c r="N72" s="392">
        <f>IF(FixAffald2021&lt;&gt;0,Affald2021!M10,IF(AND($I6&lt;&gt;0,$G6=0),$M6/12,0))</f>
        <v>0</v>
      </c>
      <c r="O72" s="392">
        <f>IF(FixAffald2021&lt;&gt;0,Affald2021!N10,IF(AND($I6&lt;&gt;0,$G6=0),$M6/12,0))</f>
        <v>0</v>
      </c>
      <c r="P72" s="241">
        <f t="shared" ref="P72:AE99" si="9">IF(AND($I6&lt;&gt;0,$G6=0),$M6/12,0)</f>
        <v>0</v>
      </c>
      <c r="Q72" s="242">
        <f t="shared" si="9"/>
        <v>0</v>
      </c>
      <c r="R72" s="242">
        <f t="shared" si="9"/>
        <v>0</v>
      </c>
      <c r="S72" s="242">
        <f t="shared" si="9"/>
        <v>0</v>
      </c>
      <c r="T72" s="242">
        <f t="shared" si="9"/>
        <v>0</v>
      </c>
      <c r="U72" s="242">
        <f t="shared" si="9"/>
        <v>0</v>
      </c>
      <c r="V72" s="242">
        <f t="shared" si="9"/>
        <v>0</v>
      </c>
      <c r="W72" s="242">
        <f t="shared" si="9"/>
        <v>0</v>
      </c>
      <c r="X72" s="242">
        <f t="shared" si="9"/>
        <v>0</v>
      </c>
      <c r="Y72" s="242">
        <f t="shared" si="9"/>
        <v>0</v>
      </c>
      <c r="Z72" s="242">
        <f t="shared" si="9"/>
        <v>0</v>
      </c>
      <c r="AA72" s="242">
        <f t="shared" si="9"/>
        <v>0</v>
      </c>
      <c r="AB72" s="241">
        <f t="shared" si="9"/>
        <v>0</v>
      </c>
      <c r="AC72" s="242">
        <f t="shared" si="9"/>
        <v>0</v>
      </c>
      <c r="AD72" s="242">
        <f t="shared" si="9"/>
        <v>0</v>
      </c>
      <c r="AE72" s="242">
        <f t="shared" si="9"/>
        <v>0</v>
      </c>
      <c r="AF72" s="242">
        <f t="shared" si="8"/>
        <v>0</v>
      </c>
      <c r="AG72" s="242">
        <f t="shared" si="8"/>
        <v>0</v>
      </c>
      <c r="AH72" s="242">
        <f t="shared" si="8"/>
        <v>0</v>
      </c>
      <c r="AI72" s="242">
        <f t="shared" si="8"/>
        <v>0</v>
      </c>
      <c r="AJ72" s="242">
        <f t="shared" si="8"/>
        <v>0</v>
      </c>
      <c r="AK72" s="242">
        <f t="shared" si="8"/>
        <v>0</v>
      </c>
      <c r="AL72" s="242">
        <f t="shared" si="8"/>
        <v>0</v>
      </c>
      <c r="AM72" s="242">
        <f t="shared" si="8"/>
        <v>0</v>
      </c>
    </row>
    <row r="73" spans="1:39" s="239" customFormat="1" outlineLevel="1" x14ac:dyDescent="0.25">
      <c r="B73" s="239" t="str">
        <v>DepoNedd</v>
      </c>
      <c r="C73" s="240" t="s">
        <v>254</v>
      </c>
      <c r="D73" s="391">
        <f>IF(FixAffald2021&lt;&gt;0,Affald2021!C11,IF(AND($I7&lt;&gt;0,$G7=0),$M7/12,0))</f>
        <v>0</v>
      </c>
      <c r="E73" s="392">
        <f>IF(FixAffald2021&lt;&gt;0,Affald2021!D11,IF(AND($I7&lt;&gt;0,$G7=0),$M7/12,0))</f>
        <v>0</v>
      </c>
      <c r="F73" s="392">
        <f>IF(FixAffald2021&lt;&gt;0,Affald2021!E11,IF(AND($I7&lt;&gt;0,$G7=0),$M7/12,0))</f>
        <v>0</v>
      </c>
      <c r="G73" s="392">
        <f>IF(FixAffald2021&lt;&gt;0,Affald2021!F11,IF(AND($I7&lt;&gt;0,$G7=0),$M7/12,0))</f>
        <v>0</v>
      </c>
      <c r="H73" s="392">
        <f>IF(FixAffald2021&lt;&gt;0,Affald2021!G11,IF(AND($I7&lt;&gt;0,$G7=0),$M7/12,0))</f>
        <v>0</v>
      </c>
      <c r="I73" s="392">
        <f>IF(FixAffald2021&lt;&gt;0,Affald2021!H11,IF(AND($I7&lt;&gt;0,$G7=0),$M7/12,0))</f>
        <v>0</v>
      </c>
      <c r="J73" s="392">
        <f>IF(FixAffald2021&lt;&gt;0,Affald2021!I11,IF(AND($I7&lt;&gt;0,$G7=0),$M7/12,0))</f>
        <v>0</v>
      </c>
      <c r="K73" s="392">
        <f>IF(FixAffald2021&lt;&gt;0,Affald2021!J11,IF(AND($I7&lt;&gt;0,$G7=0),$M7/12,0))</f>
        <v>0</v>
      </c>
      <c r="L73" s="392">
        <f>IF(FixAffald2021&lt;&gt;0,Affald2021!K11,IF(AND($I7&lt;&gt;0,$G7=0),$M7/12,0))</f>
        <v>0</v>
      </c>
      <c r="M73" s="392">
        <f>IF(FixAffald2021&lt;&gt;0,Affald2021!L11,IF(AND($I7&lt;&gt;0,$G7=0),$M7/12,0))</f>
        <v>0</v>
      </c>
      <c r="N73" s="392">
        <f>IF(FixAffald2021&lt;&gt;0,Affald2021!M11,IF(AND($I7&lt;&gt;0,$G7=0),$M7/12,0))</f>
        <v>0</v>
      </c>
      <c r="O73" s="392">
        <f>IF(FixAffald2021&lt;&gt;0,Affald2021!N11,IF(AND($I7&lt;&gt;0,$G7=0),$M7/12,0))</f>
        <v>0</v>
      </c>
      <c r="P73" s="241">
        <f t="shared" si="9"/>
        <v>0</v>
      </c>
      <c r="Q73" s="242">
        <f t="shared" si="8"/>
        <v>0</v>
      </c>
      <c r="R73" s="242">
        <f t="shared" si="8"/>
        <v>0</v>
      </c>
      <c r="S73" s="242">
        <f t="shared" si="8"/>
        <v>0</v>
      </c>
      <c r="T73" s="242">
        <f t="shared" si="8"/>
        <v>0</v>
      </c>
      <c r="U73" s="242">
        <f t="shared" si="8"/>
        <v>0</v>
      </c>
      <c r="V73" s="242">
        <f t="shared" si="8"/>
        <v>0</v>
      </c>
      <c r="W73" s="242">
        <f t="shared" si="8"/>
        <v>0</v>
      </c>
      <c r="X73" s="242">
        <f t="shared" si="8"/>
        <v>0</v>
      </c>
      <c r="Y73" s="242">
        <f t="shared" si="8"/>
        <v>0</v>
      </c>
      <c r="Z73" s="242">
        <f t="shared" si="8"/>
        <v>0</v>
      </c>
      <c r="AA73" s="242">
        <f t="shared" si="8"/>
        <v>0</v>
      </c>
      <c r="AB73" s="241">
        <f t="shared" si="8"/>
        <v>0</v>
      </c>
      <c r="AC73" s="242">
        <f t="shared" si="8"/>
        <v>0</v>
      </c>
      <c r="AD73" s="242">
        <f t="shared" si="8"/>
        <v>0</v>
      </c>
      <c r="AE73" s="242">
        <f t="shared" si="8"/>
        <v>0</v>
      </c>
      <c r="AF73" s="242">
        <f t="shared" si="8"/>
        <v>0</v>
      </c>
      <c r="AG73" s="242">
        <f t="shared" si="8"/>
        <v>0</v>
      </c>
      <c r="AH73" s="242">
        <f t="shared" si="8"/>
        <v>0</v>
      </c>
      <c r="AI73" s="242">
        <f t="shared" si="8"/>
        <v>0</v>
      </c>
      <c r="AJ73" s="242">
        <f t="shared" si="8"/>
        <v>0</v>
      </c>
      <c r="AK73" s="242">
        <f t="shared" si="8"/>
        <v>0</v>
      </c>
      <c r="AL73" s="242">
        <f t="shared" si="8"/>
        <v>0</v>
      </c>
      <c r="AM73" s="242">
        <f t="shared" si="8"/>
        <v>0</v>
      </c>
    </row>
    <row r="74" spans="1:39" s="239" customFormat="1" outlineLevel="1" x14ac:dyDescent="0.25">
      <c r="B74" s="239" t="str">
        <v>Dagren</v>
      </c>
      <c r="C74" s="240" t="s">
        <v>254</v>
      </c>
      <c r="D74" s="391">
        <f>IF(FixAffald2021&lt;&gt;0,Affald2021!C12,IF(AND($I8&lt;&gt;0,$G8=0),$M8/12,0))</f>
        <v>2397.2316666666666</v>
      </c>
      <c r="E74" s="392">
        <f>IF(FixAffald2021&lt;&gt;0,Affald2021!D12,IF(AND($I8&lt;&gt;0,$G8=0),$M8/12,0))</f>
        <v>2397.2316666666666</v>
      </c>
      <c r="F74" s="392">
        <f>IF(FixAffald2021&lt;&gt;0,Affald2021!E12,IF(AND($I8&lt;&gt;0,$G8=0),$M8/12,0))</f>
        <v>2397.2316666666666</v>
      </c>
      <c r="G74" s="392">
        <f>IF(FixAffald2021&lt;&gt;0,Affald2021!F12,IF(AND($I8&lt;&gt;0,$G8=0),$M8/12,0))</f>
        <v>2397.2316666666666</v>
      </c>
      <c r="H74" s="392">
        <f>IF(FixAffald2021&lt;&gt;0,Affald2021!G12,IF(AND($I8&lt;&gt;0,$G8=0),$M8/12,0))</f>
        <v>2397.2316666666666</v>
      </c>
      <c r="I74" s="392">
        <f>IF(FixAffald2021&lt;&gt;0,Affald2021!H12,IF(AND($I8&lt;&gt;0,$G8=0),$M8/12,0))</f>
        <v>2397.2316666666666</v>
      </c>
      <c r="J74" s="392">
        <f>IF(FixAffald2021&lt;&gt;0,Affald2021!I12,IF(AND($I8&lt;&gt;0,$G8=0),$M8/12,0))</f>
        <v>2397.2316666666666</v>
      </c>
      <c r="K74" s="392">
        <f>IF(FixAffald2021&lt;&gt;0,Affald2021!J12,IF(AND($I8&lt;&gt;0,$G8=0),$M8/12,0))</f>
        <v>2397.2316666666666</v>
      </c>
      <c r="L74" s="392">
        <f>IF(FixAffald2021&lt;&gt;0,Affald2021!K12,IF(AND($I8&lt;&gt;0,$G8=0),$M8/12,0))</f>
        <v>2397.2316666666666</v>
      </c>
      <c r="M74" s="392">
        <f>IF(FixAffald2021&lt;&gt;0,Affald2021!L12,IF(AND($I8&lt;&gt;0,$G8=0),$M8/12,0))</f>
        <v>2397.2316666666666</v>
      </c>
      <c r="N74" s="392">
        <f>IF(FixAffald2021&lt;&gt;0,Affald2021!M12,IF(AND($I8&lt;&gt;0,$G8=0),$M8/12,0))</f>
        <v>2397.2316666666666</v>
      </c>
      <c r="O74" s="392">
        <f>IF(FixAffald2021&lt;&gt;0,Affald2021!N12,IF(AND($I8&lt;&gt;0,$G8=0),$M8/12,0))</f>
        <v>2397.2316666666666</v>
      </c>
      <c r="P74" s="241">
        <f t="shared" si="9"/>
        <v>2397.2316666666666</v>
      </c>
      <c r="Q74" s="242">
        <f t="shared" si="8"/>
        <v>2397.2316666666666</v>
      </c>
      <c r="R74" s="242">
        <f t="shared" si="8"/>
        <v>2397.2316666666666</v>
      </c>
      <c r="S74" s="242">
        <f t="shared" si="8"/>
        <v>2397.2316666666666</v>
      </c>
      <c r="T74" s="242">
        <f t="shared" si="8"/>
        <v>2397.2316666666666</v>
      </c>
      <c r="U74" s="242">
        <f t="shared" si="8"/>
        <v>2397.2316666666666</v>
      </c>
      <c r="V74" s="242">
        <f t="shared" si="8"/>
        <v>2397.2316666666666</v>
      </c>
      <c r="W74" s="242">
        <f t="shared" si="8"/>
        <v>2397.2316666666666</v>
      </c>
      <c r="X74" s="242">
        <f t="shared" si="8"/>
        <v>2397.2316666666666</v>
      </c>
      <c r="Y74" s="242">
        <f t="shared" si="8"/>
        <v>2397.2316666666666</v>
      </c>
      <c r="Z74" s="242">
        <f t="shared" si="8"/>
        <v>2397.2316666666666</v>
      </c>
      <c r="AA74" s="242">
        <f t="shared" si="8"/>
        <v>2397.2316666666666</v>
      </c>
      <c r="AB74" s="241">
        <f t="shared" si="8"/>
        <v>2397.2316666666666</v>
      </c>
      <c r="AC74" s="242">
        <f t="shared" si="8"/>
        <v>2397.2316666666666</v>
      </c>
      <c r="AD74" s="242">
        <f t="shared" si="8"/>
        <v>2397.2316666666666</v>
      </c>
      <c r="AE74" s="242">
        <f t="shared" si="8"/>
        <v>2397.2316666666666</v>
      </c>
      <c r="AF74" s="242">
        <f t="shared" si="8"/>
        <v>2397.2316666666666</v>
      </c>
      <c r="AG74" s="242">
        <f t="shared" si="8"/>
        <v>2397.2316666666666</v>
      </c>
      <c r="AH74" s="242">
        <f t="shared" si="8"/>
        <v>2397.2316666666666</v>
      </c>
      <c r="AI74" s="242">
        <f t="shared" si="8"/>
        <v>2397.2316666666666</v>
      </c>
      <c r="AJ74" s="242">
        <f t="shared" si="8"/>
        <v>2397.2316666666666</v>
      </c>
      <c r="AK74" s="242">
        <f t="shared" si="8"/>
        <v>2397.2316666666666</v>
      </c>
      <c r="AL74" s="242">
        <f t="shared" si="8"/>
        <v>2397.2316666666666</v>
      </c>
      <c r="AM74" s="242">
        <f t="shared" si="8"/>
        <v>2397.2316666666666</v>
      </c>
    </row>
    <row r="75" spans="1:39" s="239" customFormat="1" outlineLevel="1" x14ac:dyDescent="0.25">
      <c r="B75" s="239" t="str">
        <v>AndetBrand</v>
      </c>
      <c r="C75" s="240" t="s">
        <v>254</v>
      </c>
      <c r="D75" s="391">
        <f>IF(FixAffald2021&lt;&gt;0,Affald2021!C13,IF(AND($I9&lt;&gt;0,$G9=0),$M9/12,0))</f>
        <v>352.70075000000003</v>
      </c>
      <c r="E75" s="392">
        <f>IF(FixAffald2021&lt;&gt;0,Affald2021!D13,IF(AND($I9&lt;&gt;0,$G9=0),$M9/12,0))</f>
        <v>352.70075000000003</v>
      </c>
      <c r="F75" s="392">
        <f>IF(FixAffald2021&lt;&gt;0,Affald2021!E13,IF(AND($I9&lt;&gt;0,$G9=0),$M9/12,0))</f>
        <v>352.70075000000003</v>
      </c>
      <c r="G75" s="392">
        <f>IF(FixAffald2021&lt;&gt;0,Affald2021!F13,IF(AND($I9&lt;&gt;0,$G9=0),$M9/12,0))</f>
        <v>352.70075000000003</v>
      </c>
      <c r="H75" s="392">
        <f>IF(FixAffald2021&lt;&gt;0,Affald2021!G13,IF(AND($I9&lt;&gt;0,$G9=0),$M9/12,0))</f>
        <v>352.70075000000003</v>
      </c>
      <c r="I75" s="392">
        <f>IF(FixAffald2021&lt;&gt;0,Affald2021!H13,IF(AND($I9&lt;&gt;0,$G9=0),$M9/12,0))</f>
        <v>352.70075000000003</v>
      </c>
      <c r="J75" s="392">
        <f>IF(FixAffald2021&lt;&gt;0,Affald2021!I13,IF(AND($I9&lt;&gt;0,$G9=0),$M9/12,0))</f>
        <v>352.70075000000003</v>
      </c>
      <c r="K75" s="392">
        <f>IF(FixAffald2021&lt;&gt;0,Affald2021!J13,IF(AND($I9&lt;&gt;0,$G9=0),$M9/12,0))</f>
        <v>352.70075000000003</v>
      </c>
      <c r="L75" s="392">
        <f>IF(FixAffald2021&lt;&gt;0,Affald2021!K13,IF(AND($I9&lt;&gt;0,$G9=0),$M9/12,0))</f>
        <v>352.70075000000003</v>
      </c>
      <c r="M75" s="392">
        <f>IF(FixAffald2021&lt;&gt;0,Affald2021!L13,IF(AND($I9&lt;&gt;0,$G9=0),$M9/12,0))</f>
        <v>352.70075000000003</v>
      </c>
      <c r="N75" s="392">
        <f>IF(FixAffald2021&lt;&gt;0,Affald2021!M13,IF(AND($I9&lt;&gt;0,$G9=0),$M9/12,0))</f>
        <v>352.70075000000003</v>
      </c>
      <c r="O75" s="392">
        <f>IF(FixAffald2021&lt;&gt;0,Affald2021!N13,IF(AND($I9&lt;&gt;0,$G9=0),$M9/12,0))</f>
        <v>352.70075000000003</v>
      </c>
      <c r="P75" s="241">
        <f t="shared" si="9"/>
        <v>352.70075000000003</v>
      </c>
      <c r="Q75" s="242">
        <f t="shared" si="8"/>
        <v>352.70075000000003</v>
      </c>
      <c r="R75" s="242">
        <f t="shared" si="8"/>
        <v>352.70075000000003</v>
      </c>
      <c r="S75" s="242">
        <f t="shared" si="8"/>
        <v>352.70075000000003</v>
      </c>
      <c r="T75" s="242">
        <f t="shared" si="8"/>
        <v>352.70075000000003</v>
      </c>
      <c r="U75" s="242">
        <f t="shared" si="8"/>
        <v>352.70075000000003</v>
      </c>
      <c r="V75" s="242">
        <f t="shared" si="8"/>
        <v>352.70075000000003</v>
      </c>
      <c r="W75" s="242">
        <f t="shared" si="8"/>
        <v>352.70075000000003</v>
      </c>
      <c r="X75" s="242">
        <f t="shared" si="8"/>
        <v>352.70075000000003</v>
      </c>
      <c r="Y75" s="242">
        <f t="shared" si="8"/>
        <v>352.70075000000003</v>
      </c>
      <c r="Z75" s="242">
        <f t="shared" si="8"/>
        <v>352.70075000000003</v>
      </c>
      <c r="AA75" s="242">
        <f t="shared" si="8"/>
        <v>352.70075000000003</v>
      </c>
      <c r="AB75" s="241">
        <f t="shared" si="8"/>
        <v>352.70075000000003</v>
      </c>
      <c r="AC75" s="242">
        <f t="shared" si="8"/>
        <v>352.70075000000003</v>
      </c>
      <c r="AD75" s="242">
        <f t="shared" si="8"/>
        <v>352.70075000000003</v>
      </c>
      <c r="AE75" s="242">
        <f t="shared" si="8"/>
        <v>352.70075000000003</v>
      </c>
      <c r="AF75" s="242">
        <f t="shared" si="8"/>
        <v>352.70075000000003</v>
      </c>
      <c r="AG75" s="242">
        <f t="shared" si="8"/>
        <v>352.70075000000003</v>
      </c>
      <c r="AH75" s="242">
        <f t="shared" si="8"/>
        <v>352.70075000000003</v>
      </c>
      <c r="AI75" s="242">
        <f t="shared" si="8"/>
        <v>352.70075000000003</v>
      </c>
      <c r="AJ75" s="242">
        <f t="shared" si="8"/>
        <v>352.70075000000003</v>
      </c>
      <c r="AK75" s="242">
        <f t="shared" si="8"/>
        <v>352.70075000000003</v>
      </c>
      <c r="AL75" s="242">
        <f t="shared" si="8"/>
        <v>352.70075000000003</v>
      </c>
      <c r="AM75" s="242">
        <f t="shared" si="8"/>
        <v>352.70075000000003</v>
      </c>
    </row>
    <row r="76" spans="1:39" s="239" customFormat="1" outlineLevel="1" x14ac:dyDescent="0.25">
      <c r="B76" s="239" t="str">
        <v>Trae</v>
      </c>
      <c r="C76" s="240" t="s">
        <v>254</v>
      </c>
      <c r="D76" s="391">
        <f>IF(FixAffald2021&lt;&gt;0,Affald2021!C14,IF(AND($I10&lt;&gt;0,$G10=0),$M10/12,0))</f>
        <v>2.7791666666666668</v>
      </c>
      <c r="E76" s="392">
        <f>IF(FixAffald2021&lt;&gt;0,Affald2021!D14,IF(AND($I10&lt;&gt;0,$G10=0),$M10/12,0))</f>
        <v>2.7791666666666668</v>
      </c>
      <c r="F76" s="392">
        <f>IF(FixAffald2021&lt;&gt;0,Affald2021!E14,IF(AND($I10&lt;&gt;0,$G10=0),$M10/12,0))</f>
        <v>2.7791666666666668</v>
      </c>
      <c r="G76" s="392">
        <f>IF(FixAffald2021&lt;&gt;0,Affald2021!F14,IF(AND($I10&lt;&gt;0,$G10=0),$M10/12,0))</f>
        <v>2.7791666666666668</v>
      </c>
      <c r="H76" s="392">
        <f>IF(FixAffald2021&lt;&gt;0,Affald2021!G14,IF(AND($I10&lt;&gt;0,$G10=0),$M10/12,0))</f>
        <v>2.7791666666666668</v>
      </c>
      <c r="I76" s="392">
        <f>IF(FixAffald2021&lt;&gt;0,Affald2021!H14,IF(AND($I10&lt;&gt;0,$G10=0),$M10/12,0))</f>
        <v>2.7791666666666668</v>
      </c>
      <c r="J76" s="392">
        <f>IF(FixAffald2021&lt;&gt;0,Affald2021!I14,IF(AND($I10&lt;&gt;0,$G10=0),$M10/12,0))</f>
        <v>2.7791666666666668</v>
      </c>
      <c r="K76" s="392">
        <f>IF(FixAffald2021&lt;&gt;0,Affald2021!J14,IF(AND($I10&lt;&gt;0,$G10=0),$M10/12,0))</f>
        <v>2.7791666666666668</v>
      </c>
      <c r="L76" s="392">
        <f>IF(FixAffald2021&lt;&gt;0,Affald2021!K14,IF(AND($I10&lt;&gt;0,$G10=0),$M10/12,0))</f>
        <v>2.7791666666666668</v>
      </c>
      <c r="M76" s="392">
        <f>IF(FixAffald2021&lt;&gt;0,Affald2021!L14,IF(AND($I10&lt;&gt;0,$G10=0),$M10/12,0))</f>
        <v>2.7791666666666668</v>
      </c>
      <c r="N76" s="392">
        <f>IF(FixAffald2021&lt;&gt;0,Affald2021!M14,IF(AND($I10&lt;&gt;0,$G10=0),$M10/12,0))</f>
        <v>2.7791666666666668</v>
      </c>
      <c r="O76" s="392">
        <f>IF(FixAffald2021&lt;&gt;0,Affald2021!N14,IF(AND($I10&lt;&gt;0,$G10=0),$M10/12,0))</f>
        <v>2.7791666666666668</v>
      </c>
      <c r="P76" s="241">
        <f t="shared" si="9"/>
        <v>2.7791666666666668</v>
      </c>
      <c r="Q76" s="242">
        <f t="shared" si="8"/>
        <v>2.7791666666666668</v>
      </c>
      <c r="R76" s="242">
        <f t="shared" si="8"/>
        <v>2.7791666666666668</v>
      </c>
      <c r="S76" s="242">
        <f t="shared" si="8"/>
        <v>2.7791666666666668</v>
      </c>
      <c r="T76" s="242">
        <f t="shared" si="8"/>
        <v>2.7791666666666668</v>
      </c>
      <c r="U76" s="242">
        <f t="shared" si="8"/>
        <v>2.7791666666666668</v>
      </c>
      <c r="V76" s="242">
        <f t="shared" si="8"/>
        <v>2.7791666666666668</v>
      </c>
      <c r="W76" s="242">
        <f t="shared" si="8"/>
        <v>2.7791666666666668</v>
      </c>
      <c r="X76" s="242">
        <f t="shared" si="8"/>
        <v>2.7791666666666668</v>
      </c>
      <c r="Y76" s="242">
        <f t="shared" si="8"/>
        <v>2.7791666666666668</v>
      </c>
      <c r="Z76" s="242">
        <f t="shared" si="8"/>
        <v>2.7791666666666668</v>
      </c>
      <c r="AA76" s="242">
        <f t="shared" si="8"/>
        <v>2.7791666666666668</v>
      </c>
      <c r="AB76" s="241">
        <f t="shared" si="8"/>
        <v>2.7791666666666668</v>
      </c>
      <c r="AC76" s="242">
        <f t="shared" si="8"/>
        <v>2.7791666666666668</v>
      </c>
      <c r="AD76" s="242">
        <f t="shared" si="8"/>
        <v>2.7791666666666668</v>
      </c>
      <c r="AE76" s="242">
        <f t="shared" si="8"/>
        <v>2.7791666666666668</v>
      </c>
      <c r="AF76" s="242">
        <f t="shared" si="8"/>
        <v>2.7791666666666668</v>
      </c>
      <c r="AG76" s="242">
        <f t="shared" si="8"/>
        <v>2.7791666666666668</v>
      </c>
      <c r="AH76" s="242">
        <f t="shared" si="8"/>
        <v>2.7791666666666668</v>
      </c>
      <c r="AI76" s="242">
        <f t="shared" si="8"/>
        <v>2.7791666666666668</v>
      </c>
      <c r="AJ76" s="242">
        <f t="shared" si="8"/>
        <v>2.7791666666666668</v>
      </c>
      <c r="AK76" s="242">
        <f t="shared" si="8"/>
        <v>2.7791666666666668</v>
      </c>
      <c r="AL76" s="242">
        <f t="shared" si="8"/>
        <v>2.7791666666666668</v>
      </c>
      <c r="AM76" s="242">
        <f t="shared" si="8"/>
        <v>2.7791666666666668</v>
      </c>
    </row>
    <row r="77" spans="1:39" s="239" customFormat="1" outlineLevel="1" x14ac:dyDescent="0.25">
      <c r="B77" s="239" t="str">
        <v>DagrenRast</v>
      </c>
      <c r="C77" s="240" t="s">
        <v>254</v>
      </c>
      <c r="D77" s="391">
        <f>IF(FixAffald2021&lt;&gt;0,Affald2021!C15,IF(AND($I11&lt;&gt;0,$G11=0),$M11/12,0))</f>
        <v>357.48166666666663</v>
      </c>
      <c r="E77" s="392">
        <f>IF(FixAffald2021&lt;&gt;0,Affald2021!D15,IF(AND($I11&lt;&gt;0,$G11=0),$M11/12,0))</f>
        <v>357.48166666666663</v>
      </c>
      <c r="F77" s="392">
        <f>IF(FixAffald2021&lt;&gt;0,Affald2021!E15,IF(AND($I11&lt;&gt;0,$G11=0),$M11/12,0))</f>
        <v>357.48166666666663</v>
      </c>
      <c r="G77" s="392">
        <f>IF(FixAffald2021&lt;&gt;0,Affald2021!F15,IF(AND($I11&lt;&gt;0,$G11=0),$M11/12,0))</f>
        <v>357.48166666666663</v>
      </c>
      <c r="H77" s="392">
        <f>IF(FixAffald2021&lt;&gt;0,Affald2021!G15,IF(AND($I11&lt;&gt;0,$G11=0),$M11/12,0))</f>
        <v>357.48166666666663</v>
      </c>
      <c r="I77" s="392">
        <f>IF(FixAffald2021&lt;&gt;0,Affald2021!H15,IF(AND($I11&lt;&gt;0,$G11=0),$M11/12,0))</f>
        <v>357.48166666666663</v>
      </c>
      <c r="J77" s="392">
        <f>IF(FixAffald2021&lt;&gt;0,Affald2021!I15,IF(AND($I11&lt;&gt;0,$G11=0),$M11/12,0))</f>
        <v>357.48166666666663</v>
      </c>
      <c r="K77" s="392">
        <f>IF(FixAffald2021&lt;&gt;0,Affald2021!J15,IF(AND($I11&lt;&gt;0,$G11=0),$M11/12,0))</f>
        <v>357.48166666666663</v>
      </c>
      <c r="L77" s="392">
        <f>IF(FixAffald2021&lt;&gt;0,Affald2021!K15,IF(AND($I11&lt;&gt;0,$G11=0),$M11/12,0))</f>
        <v>357.48166666666663</v>
      </c>
      <c r="M77" s="392">
        <f>IF(FixAffald2021&lt;&gt;0,Affald2021!L15,IF(AND($I11&lt;&gt;0,$G11=0),$M11/12,0))</f>
        <v>357.48166666666663</v>
      </c>
      <c r="N77" s="392">
        <f>IF(FixAffald2021&lt;&gt;0,Affald2021!M15,IF(AND($I11&lt;&gt;0,$G11=0),$M11/12,0))</f>
        <v>357.48166666666663</v>
      </c>
      <c r="O77" s="392">
        <f>IF(FixAffald2021&lt;&gt;0,Affald2021!N15,IF(AND($I11&lt;&gt;0,$G11=0),$M11/12,0))</f>
        <v>357.48166666666663</v>
      </c>
      <c r="P77" s="241">
        <f t="shared" si="9"/>
        <v>357.48166666666663</v>
      </c>
      <c r="Q77" s="242">
        <f t="shared" si="8"/>
        <v>357.48166666666663</v>
      </c>
      <c r="R77" s="242">
        <f t="shared" si="8"/>
        <v>357.48166666666663</v>
      </c>
      <c r="S77" s="242">
        <f t="shared" si="8"/>
        <v>357.48166666666663</v>
      </c>
      <c r="T77" s="242">
        <f t="shared" si="8"/>
        <v>357.48166666666663</v>
      </c>
      <c r="U77" s="242">
        <f t="shared" si="8"/>
        <v>357.48166666666663</v>
      </c>
      <c r="V77" s="242">
        <f t="shared" si="8"/>
        <v>357.48166666666663</v>
      </c>
      <c r="W77" s="242">
        <f t="shared" si="8"/>
        <v>357.48166666666663</v>
      </c>
      <c r="X77" s="242">
        <f t="shared" si="8"/>
        <v>357.48166666666663</v>
      </c>
      <c r="Y77" s="242">
        <f t="shared" si="8"/>
        <v>357.48166666666663</v>
      </c>
      <c r="Z77" s="242">
        <f t="shared" si="8"/>
        <v>357.48166666666663</v>
      </c>
      <c r="AA77" s="242">
        <f t="shared" si="8"/>
        <v>357.48166666666663</v>
      </c>
      <c r="AB77" s="241">
        <f t="shared" si="8"/>
        <v>357.48166666666663</v>
      </c>
      <c r="AC77" s="242">
        <f t="shared" si="8"/>
        <v>357.48166666666663</v>
      </c>
      <c r="AD77" s="242">
        <f t="shared" si="8"/>
        <v>357.48166666666663</v>
      </c>
      <c r="AE77" s="242">
        <f t="shared" si="8"/>
        <v>357.48166666666663</v>
      </c>
      <c r="AF77" s="242">
        <f t="shared" si="8"/>
        <v>357.48166666666663</v>
      </c>
      <c r="AG77" s="242">
        <f t="shared" si="8"/>
        <v>357.48166666666663</v>
      </c>
      <c r="AH77" s="242">
        <f t="shared" si="8"/>
        <v>357.48166666666663</v>
      </c>
      <c r="AI77" s="242">
        <f t="shared" si="8"/>
        <v>357.48166666666663</v>
      </c>
      <c r="AJ77" s="242">
        <f t="shared" si="8"/>
        <v>357.48166666666663</v>
      </c>
      <c r="AK77" s="242">
        <f t="shared" si="8"/>
        <v>357.48166666666663</v>
      </c>
      <c r="AL77" s="242">
        <f t="shared" si="8"/>
        <v>357.48166666666663</v>
      </c>
      <c r="AM77" s="242">
        <f t="shared" si="8"/>
        <v>357.48166666666663</v>
      </c>
    </row>
    <row r="78" spans="1:39" s="239" customFormat="1" outlineLevel="1" x14ac:dyDescent="0.25">
      <c r="B78" s="239" t="str">
        <v>DagrenInst</v>
      </c>
      <c r="C78" s="240" t="s">
        <v>254</v>
      </c>
      <c r="D78" s="391">
        <f>IF(FixAffald2021&lt;&gt;0,Affald2021!C16,IF(AND($I12&lt;&gt;0,$G12=0),$M12/12,0))</f>
        <v>8.9083333333333314</v>
      </c>
      <c r="E78" s="392">
        <f>IF(FixAffald2021&lt;&gt;0,Affald2021!D16,IF(AND($I12&lt;&gt;0,$G12=0),$M12/12,0))</f>
        <v>8.9083333333333314</v>
      </c>
      <c r="F78" s="392">
        <f>IF(FixAffald2021&lt;&gt;0,Affald2021!E16,IF(AND($I12&lt;&gt;0,$G12=0),$M12/12,0))</f>
        <v>8.9083333333333314</v>
      </c>
      <c r="G78" s="392">
        <f>IF(FixAffald2021&lt;&gt;0,Affald2021!F16,IF(AND($I12&lt;&gt;0,$G12=0),$M12/12,0))</f>
        <v>8.9083333333333314</v>
      </c>
      <c r="H78" s="392">
        <f>IF(FixAffald2021&lt;&gt;0,Affald2021!G16,IF(AND($I12&lt;&gt;0,$G12=0),$M12/12,0))</f>
        <v>8.9083333333333314</v>
      </c>
      <c r="I78" s="392">
        <f>IF(FixAffald2021&lt;&gt;0,Affald2021!H16,IF(AND($I12&lt;&gt;0,$G12=0),$M12/12,0))</f>
        <v>8.9083333333333314</v>
      </c>
      <c r="J78" s="392">
        <f>IF(FixAffald2021&lt;&gt;0,Affald2021!I16,IF(AND($I12&lt;&gt;0,$G12=0),$M12/12,0))</f>
        <v>8.9083333333333314</v>
      </c>
      <c r="K78" s="392">
        <f>IF(FixAffald2021&lt;&gt;0,Affald2021!J16,IF(AND($I12&lt;&gt;0,$G12=0),$M12/12,0))</f>
        <v>8.9083333333333314</v>
      </c>
      <c r="L78" s="392">
        <f>IF(FixAffald2021&lt;&gt;0,Affald2021!K16,IF(AND($I12&lt;&gt;0,$G12=0),$M12/12,0))</f>
        <v>8.9083333333333314</v>
      </c>
      <c r="M78" s="392">
        <f>IF(FixAffald2021&lt;&gt;0,Affald2021!L16,IF(AND($I12&lt;&gt;0,$G12=0),$M12/12,0))</f>
        <v>8.9083333333333314</v>
      </c>
      <c r="N78" s="392">
        <f>IF(FixAffald2021&lt;&gt;0,Affald2021!M16,IF(AND($I12&lt;&gt;0,$G12=0),$M12/12,0))</f>
        <v>8.9083333333333314</v>
      </c>
      <c r="O78" s="392">
        <f>IF(FixAffald2021&lt;&gt;0,Affald2021!N16,IF(AND($I12&lt;&gt;0,$G12=0),$M12/12,0))</f>
        <v>8.9083333333333314</v>
      </c>
      <c r="P78" s="241">
        <f t="shared" si="9"/>
        <v>8.9083333333333314</v>
      </c>
      <c r="Q78" s="242">
        <f t="shared" si="8"/>
        <v>8.9083333333333314</v>
      </c>
      <c r="R78" s="242">
        <f t="shared" si="8"/>
        <v>8.9083333333333314</v>
      </c>
      <c r="S78" s="242">
        <f t="shared" si="8"/>
        <v>8.9083333333333314</v>
      </c>
      <c r="T78" s="242">
        <f t="shared" si="8"/>
        <v>8.9083333333333314</v>
      </c>
      <c r="U78" s="242">
        <f t="shared" si="8"/>
        <v>8.9083333333333314</v>
      </c>
      <c r="V78" s="242">
        <f t="shared" si="8"/>
        <v>8.9083333333333314</v>
      </c>
      <c r="W78" s="242">
        <f t="shared" si="8"/>
        <v>8.9083333333333314</v>
      </c>
      <c r="X78" s="242">
        <f t="shared" si="8"/>
        <v>8.9083333333333314</v>
      </c>
      <c r="Y78" s="242">
        <f t="shared" si="8"/>
        <v>8.9083333333333314</v>
      </c>
      <c r="Z78" s="242">
        <f t="shared" si="8"/>
        <v>8.9083333333333314</v>
      </c>
      <c r="AA78" s="242">
        <f t="shared" si="8"/>
        <v>8.9083333333333314</v>
      </c>
      <c r="AB78" s="241">
        <f t="shared" si="8"/>
        <v>8.9083333333333314</v>
      </c>
      <c r="AC78" s="242">
        <f t="shared" si="8"/>
        <v>8.9083333333333314</v>
      </c>
      <c r="AD78" s="242">
        <f t="shared" si="8"/>
        <v>8.9083333333333314</v>
      </c>
      <c r="AE78" s="242">
        <f t="shared" si="8"/>
        <v>8.9083333333333314</v>
      </c>
      <c r="AF78" s="242">
        <f t="shared" si="8"/>
        <v>8.9083333333333314</v>
      </c>
      <c r="AG78" s="242">
        <f t="shared" si="8"/>
        <v>8.9083333333333314</v>
      </c>
      <c r="AH78" s="242">
        <f t="shared" si="8"/>
        <v>8.9083333333333314</v>
      </c>
      <c r="AI78" s="242">
        <f t="shared" si="8"/>
        <v>8.9083333333333314</v>
      </c>
      <c r="AJ78" s="242">
        <f t="shared" si="8"/>
        <v>8.9083333333333314</v>
      </c>
      <c r="AK78" s="242">
        <f t="shared" si="8"/>
        <v>8.9083333333333314</v>
      </c>
      <c r="AL78" s="242">
        <f t="shared" si="8"/>
        <v>8.9083333333333314</v>
      </c>
      <c r="AM78" s="242">
        <f t="shared" si="8"/>
        <v>8.9083333333333314</v>
      </c>
    </row>
    <row r="79" spans="1:39" s="239" customFormat="1" outlineLevel="1" x14ac:dyDescent="0.25">
      <c r="B79" s="239" t="str">
        <v>DagrenHandel</v>
      </c>
      <c r="C79" s="240" t="s">
        <v>254</v>
      </c>
      <c r="D79" s="391">
        <f>IF(FixAffald2021&lt;&gt;0,Affald2021!C17,IF(AND($I13&lt;&gt;0,$G13=0),$M13/12,0))</f>
        <v>355.50083333333333</v>
      </c>
      <c r="E79" s="392">
        <f>IF(FixAffald2021&lt;&gt;0,Affald2021!D17,IF(AND($I13&lt;&gt;0,$G13=0),$M13/12,0))</f>
        <v>355.50083333333333</v>
      </c>
      <c r="F79" s="392">
        <f>IF(FixAffald2021&lt;&gt;0,Affald2021!E17,IF(AND($I13&lt;&gt;0,$G13=0),$M13/12,0))</f>
        <v>355.50083333333333</v>
      </c>
      <c r="G79" s="392">
        <f>IF(FixAffald2021&lt;&gt;0,Affald2021!F17,IF(AND($I13&lt;&gt;0,$G13=0),$M13/12,0))</f>
        <v>355.50083333333333</v>
      </c>
      <c r="H79" s="392">
        <f>IF(FixAffald2021&lt;&gt;0,Affald2021!G17,IF(AND($I13&lt;&gt;0,$G13=0),$M13/12,0))</f>
        <v>355.50083333333333</v>
      </c>
      <c r="I79" s="392">
        <f>IF(FixAffald2021&lt;&gt;0,Affald2021!H17,IF(AND($I13&lt;&gt;0,$G13=0),$M13/12,0))</f>
        <v>355.50083333333333</v>
      </c>
      <c r="J79" s="392">
        <f>IF(FixAffald2021&lt;&gt;0,Affald2021!I17,IF(AND($I13&lt;&gt;0,$G13=0),$M13/12,0))</f>
        <v>355.50083333333333</v>
      </c>
      <c r="K79" s="392">
        <f>IF(FixAffald2021&lt;&gt;0,Affald2021!J17,IF(AND($I13&lt;&gt;0,$G13=0),$M13/12,0))</f>
        <v>355.50083333333333</v>
      </c>
      <c r="L79" s="392">
        <f>IF(FixAffald2021&lt;&gt;0,Affald2021!K17,IF(AND($I13&lt;&gt;0,$G13=0),$M13/12,0))</f>
        <v>355.50083333333333</v>
      </c>
      <c r="M79" s="392">
        <f>IF(FixAffald2021&lt;&gt;0,Affald2021!L17,IF(AND($I13&lt;&gt;0,$G13=0),$M13/12,0))</f>
        <v>355.50083333333333</v>
      </c>
      <c r="N79" s="392">
        <f>IF(FixAffald2021&lt;&gt;0,Affald2021!M17,IF(AND($I13&lt;&gt;0,$G13=0),$M13/12,0))</f>
        <v>355.50083333333333</v>
      </c>
      <c r="O79" s="392">
        <f>IF(FixAffald2021&lt;&gt;0,Affald2021!N17,IF(AND($I13&lt;&gt;0,$G13=0),$M13/12,0))</f>
        <v>355.50083333333333</v>
      </c>
      <c r="P79" s="241">
        <f t="shared" si="9"/>
        <v>355.50083333333333</v>
      </c>
      <c r="Q79" s="242">
        <f t="shared" si="8"/>
        <v>355.50083333333333</v>
      </c>
      <c r="R79" s="242">
        <f t="shared" si="8"/>
        <v>355.50083333333333</v>
      </c>
      <c r="S79" s="242">
        <f t="shared" si="8"/>
        <v>355.50083333333333</v>
      </c>
      <c r="T79" s="242">
        <f t="shared" si="8"/>
        <v>355.50083333333333</v>
      </c>
      <c r="U79" s="242">
        <f t="shared" si="8"/>
        <v>355.50083333333333</v>
      </c>
      <c r="V79" s="242">
        <f t="shared" si="8"/>
        <v>355.50083333333333</v>
      </c>
      <c r="W79" s="242">
        <f t="shared" si="8"/>
        <v>355.50083333333333</v>
      </c>
      <c r="X79" s="242">
        <f t="shared" si="8"/>
        <v>355.50083333333333</v>
      </c>
      <c r="Y79" s="242">
        <f t="shared" si="8"/>
        <v>355.50083333333333</v>
      </c>
      <c r="Z79" s="242">
        <f t="shared" si="8"/>
        <v>355.50083333333333</v>
      </c>
      <c r="AA79" s="242">
        <f t="shared" si="8"/>
        <v>355.50083333333333</v>
      </c>
      <c r="AB79" s="241">
        <f t="shared" si="8"/>
        <v>355.50083333333333</v>
      </c>
      <c r="AC79" s="242">
        <f t="shared" si="8"/>
        <v>355.50083333333333</v>
      </c>
      <c r="AD79" s="242">
        <f t="shared" si="8"/>
        <v>355.50083333333333</v>
      </c>
      <c r="AE79" s="242">
        <f t="shared" si="8"/>
        <v>355.50083333333333</v>
      </c>
      <c r="AF79" s="242">
        <f t="shared" si="8"/>
        <v>355.50083333333333</v>
      </c>
      <c r="AG79" s="242">
        <f t="shared" si="8"/>
        <v>355.50083333333333</v>
      </c>
      <c r="AH79" s="242">
        <f t="shared" si="8"/>
        <v>355.50083333333333</v>
      </c>
      <c r="AI79" s="242">
        <f t="shared" si="8"/>
        <v>355.50083333333333</v>
      </c>
      <c r="AJ79" s="242">
        <f t="shared" si="8"/>
        <v>355.50083333333333</v>
      </c>
      <c r="AK79" s="242">
        <f t="shared" si="8"/>
        <v>355.50083333333333</v>
      </c>
      <c r="AL79" s="242">
        <f t="shared" si="8"/>
        <v>355.50083333333333</v>
      </c>
      <c r="AM79" s="242">
        <f t="shared" si="8"/>
        <v>355.50083333333333</v>
      </c>
    </row>
    <row r="80" spans="1:39" s="239" customFormat="1" outlineLevel="1" x14ac:dyDescent="0.25">
      <c r="B80" s="239" t="str">
        <v>DagrenRestau</v>
      </c>
      <c r="C80" s="240" t="s">
        <v>254</v>
      </c>
      <c r="D80" s="391">
        <f>IF(FixAffald2021&lt;&gt;0,Affald2021!C18,IF(AND($I14&lt;&gt;0,$G14=0),$M14/12,0))</f>
        <v>33.204999999999998</v>
      </c>
      <c r="E80" s="392">
        <f>IF(FixAffald2021&lt;&gt;0,Affald2021!D18,IF(AND($I14&lt;&gt;0,$G14=0),$M14/12,0))</f>
        <v>33.204999999999998</v>
      </c>
      <c r="F80" s="392">
        <f>IF(FixAffald2021&lt;&gt;0,Affald2021!E18,IF(AND($I14&lt;&gt;0,$G14=0),$M14/12,0))</f>
        <v>33.204999999999998</v>
      </c>
      <c r="G80" s="392">
        <f>IF(FixAffald2021&lt;&gt;0,Affald2021!F18,IF(AND($I14&lt;&gt;0,$G14=0),$M14/12,0))</f>
        <v>33.204999999999998</v>
      </c>
      <c r="H80" s="392">
        <f>IF(FixAffald2021&lt;&gt;0,Affald2021!G18,IF(AND($I14&lt;&gt;0,$G14=0),$M14/12,0))</f>
        <v>33.204999999999998</v>
      </c>
      <c r="I80" s="392">
        <f>IF(FixAffald2021&lt;&gt;0,Affald2021!H18,IF(AND($I14&lt;&gt;0,$G14=0),$M14/12,0))</f>
        <v>33.204999999999998</v>
      </c>
      <c r="J80" s="392">
        <f>IF(FixAffald2021&lt;&gt;0,Affald2021!I18,IF(AND($I14&lt;&gt;0,$G14=0),$M14/12,0))</f>
        <v>33.204999999999998</v>
      </c>
      <c r="K80" s="392">
        <f>IF(FixAffald2021&lt;&gt;0,Affald2021!J18,IF(AND($I14&lt;&gt;0,$G14=0),$M14/12,0))</f>
        <v>33.204999999999998</v>
      </c>
      <c r="L80" s="392">
        <f>IF(FixAffald2021&lt;&gt;0,Affald2021!K18,IF(AND($I14&lt;&gt;0,$G14=0),$M14/12,0))</f>
        <v>33.204999999999998</v>
      </c>
      <c r="M80" s="392">
        <f>IF(FixAffald2021&lt;&gt;0,Affald2021!L18,IF(AND($I14&lt;&gt;0,$G14=0),$M14/12,0))</f>
        <v>33.204999999999998</v>
      </c>
      <c r="N80" s="392">
        <f>IF(FixAffald2021&lt;&gt;0,Affald2021!M18,IF(AND($I14&lt;&gt;0,$G14=0),$M14/12,0))</f>
        <v>33.204999999999998</v>
      </c>
      <c r="O80" s="392">
        <f>IF(FixAffald2021&lt;&gt;0,Affald2021!N18,IF(AND($I14&lt;&gt;0,$G14=0),$M14/12,0))</f>
        <v>33.204999999999998</v>
      </c>
      <c r="P80" s="241">
        <f t="shared" si="9"/>
        <v>33.204999999999998</v>
      </c>
      <c r="Q80" s="242">
        <f t="shared" si="8"/>
        <v>33.204999999999998</v>
      </c>
      <c r="R80" s="242">
        <f t="shared" si="8"/>
        <v>33.204999999999998</v>
      </c>
      <c r="S80" s="242">
        <f t="shared" si="8"/>
        <v>33.204999999999998</v>
      </c>
      <c r="T80" s="242">
        <f t="shared" si="8"/>
        <v>33.204999999999998</v>
      </c>
      <c r="U80" s="242">
        <f t="shared" si="8"/>
        <v>33.204999999999998</v>
      </c>
      <c r="V80" s="242">
        <f t="shared" si="8"/>
        <v>33.204999999999998</v>
      </c>
      <c r="W80" s="242">
        <f t="shared" si="8"/>
        <v>33.204999999999998</v>
      </c>
      <c r="X80" s="242">
        <f t="shared" si="8"/>
        <v>33.204999999999998</v>
      </c>
      <c r="Y80" s="242">
        <f t="shared" si="8"/>
        <v>33.204999999999998</v>
      </c>
      <c r="Z80" s="242">
        <f t="shared" si="8"/>
        <v>33.204999999999998</v>
      </c>
      <c r="AA80" s="242">
        <f t="shared" si="8"/>
        <v>33.204999999999998</v>
      </c>
      <c r="AB80" s="241">
        <f t="shared" si="8"/>
        <v>33.204999999999998</v>
      </c>
      <c r="AC80" s="242">
        <f t="shared" si="8"/>
        <v>33.204999999999998</v>
      </c>
      <c r="AD80" s="242">
        <f t="shared" si="8"/>
        <v>33.204999999999998</v>
      </c>
      <c r="AE80" s="242">
        <f t="shared" si="8"/>
        <v>33.204999999999998</v>
      </c>
      <c r="AF80" s="242">
        <f t="shared" si="8"/>
        <v>33.204999999999998</v>
      </c>
      <c r="AG80" s="242">
        <f t="shared" si="8"/>
        <v>33.204999999999998</v>
      </c>
      <c r="AH80" s="242">
        <f t="shared" si="8"/>
        <v>33.204999999999998</v>
      </c>
      <c r="AI80" s="242">
        <f t="shared" si="8"/>
        <v>33.204999999999998</v>
      </c>
      <c r="AJ80" s="242">
        <f t="shared" si="8"/>
        <v>33.204999999999998</v>
      </c>
      <c r="AK80" s="242">
        <f t="shared" si="8"/>
        <v>33.204999999999998</v>
      </c>
      <c r="AL80" s="242">
        <f t="shared" si="8"/>
        <v>33.204999999999998</v>
      </c>
      <c r="AM80" s="242">
        <f t="shared" si="8"/>
        <v>33.204999999999998</v>
      </c>
    </row>
    <row r="81" spans="2:39" s="239" customFormat="1" outlineLevel="1" x14ac:dyDescent="0.25">
      <c r="B81" s="239" t="str">
        <v>Erhverv</v>
      </c>
      <c r="C81" s="240" t="s">
        <v>254</v>
      </c>
      <c r="D81" s="391">
        <f>IF(FixAffald2021&lt;&gt;0,Affald2021!C19,IF(AND($I15&lt;&gt;0,$G15=0),$M15/12,0))</f>
        <v>511.80583333333328</v>
      </c>
      <c r="E81" s="392">
        <f>IF(FixAffald2021&lt;&gt;0,Affald2021!D19,IF(AND($I15&lt;&gt;0,$G15=0),$M15/12,0))</f>
        <v>511.80583333333328</v>
      </c>
      <c r="F81" s="392">
        <f>IF(FixAffald2021&lt;&gt;0,Affald2021!E19,IF(AND($I15&lt;&gt;0,$G15=0),$M15/12,0))</f>
        <v>511.80583333333328</v>
      </c>
      <c r="G81" s="392">
        <f>IF(FixAffald2021&lt;&gt;0,Affald2021!F19,IF(AND($I15&lt;&gt;0,$G15=0),$M15/12,0))</f>
        <v>511.80583333333328</v>
      </c>
      <c r="H81" s="392">
        <f>IF(FixAffald2021&lt;&gt;0,Affald2021!G19,IF(AND($I15&lt;&gt;0,$G15=0),$M15/12,0))</f>
        <v>511.80583333333328</v>
      </c>
      <c r="I81" s="392">
        <f>IF(FixAffald2021&lt;&gt;0,Affald2021!H19,IF(AND($I15&lt;&gt;0,$G15=0),$M15/12,0))</f>
        <v>511.80583333333328</v>
      </c>
      <c r="J81" s="392">
        <f>IF(FixAffald2021&lt;&gt;0,Affald2021!I19,IF(AND($I15&lt;&gt;0,$G15=0),$M15/12,0))</f>
        <v>511.80583333333328</v>
      </c>
      <c r="K81" s="392">
        <f>IF(FixAffald2021&lt;&gt;0,Affald2021!J19,IF(AND($I15&lt;&gt;0,$G15=0),$M15/12,0))</f>
        <v>511.80583333333328</v>
      </c>
      <c r="L81" s="392">
        <f>IF(FixAffald2021&lt;&gt;0,Affald2021!K19,IF(AND($I15&lt;&gt;0,$G15=0),$M15/12,0))</f>
        <v>511.80583333333328</v>
      </c>
      <c r="M81" s="392">
        <f>IF(FixAffald2021&lt;&gt;0,Affald2021!L19,IF(AND($I15&lt;&gt;0,$G15=0),$M15/12,0))</f>
        <v>511.80583333333328</v>
      </c>
      <c r="N81" s="392">
        <f>IF(FixAffald2021&lt;&gt;0,Affald2021!M19,IF(AND($I15&lt;&gt;0,$G15=0),$M15/12,0))</f>
        <v>511.80583333333328</v>
      </c>
      <c r="O81" s="392">
        <f>IF(FixAffald2021&lt;&gt;0,Affald2021!N19,IF(AND($I15&lt;&gt;0,$G15=0),$M15/12,0))</f>
        <v>511.80583333333328</v>
      </c>
      <c r="P81" s="241">
        <f t="shared" si="9"/>
        <v>511.80583333333328</v>
      </c>
      <c r="Q81" s="242">
        <f t="shared" si="8"/>
        <v>511.80583333333328</v>
      </c>
      <c r="R81" s="242">
        <f t="shared" si="8"/>
        <v>511.80583333333328</v>
      </c>
      <c r="S81" s="242">
        <f t="shared" si="8"/>
        <v>511.80583333333328</v>
      </c>
      <c r="T81" s="242">
        <f t="shared" si="8"/>
        <v>511.80583333333328</v>
      </c>
      <c r="U81" s="242">
        <f t="shared" si="8"/>
        <v>511.80583333333328</v>
      </c>
      <c r="V81" s="242">
        <f t="shared" si="8"/>
        <v>511.80583333333328</v>
      </c>
      <c r="W81" s="242">
        <f t="shared" si="8"/>
        <v>511.80583333333328</v>
      </c>
      <c r="X81" s="242">
        <f t="shared" si="8"/>
        <v>511.80583333333328</v>
      </c>
      <c r="Y81" s="242">
        <f t="shared" si="8"/>
        <v>511.80583333333328</v>
      </c>
      <c r="Z81" s="242">
        <f t="shared" si="8"/>
        <v>511.80583333333328</v>
      </c>
      <c r="AA81" s="242">
        <f t="shared" si="8"/>
        <v>511.80583333333328</v>
      </c>
      <c r="AB81" s="241">
        <f t="shared" si="8"/>
        <v>511.80583333333328</v>
      </c>
      <c r="AC81" s="242">
        <f t="shared" si="8"/>
        <v>511.80583333333328</v>
      </c>
      <c r="AD81" s="242">
        <f t="shared" si="8"/>
        <v>511.80583333333328</v>
      </c>
      <c r="AE81" s="242">
        <f t="shared" si="8"/>
        <v>511.80583333333328</v>
      </c>
      <c r="AF81" s="242">
        <f t="shared" si="8"/>
        <v>511.80583333333328</v>
      </c>
      <c r="AG81" s="242">
        <f t="shared" si="8"/>
        <v>511.80583333333328</v>
      </c>
      <c r="AH81" s="242">
        <f t="shared" si="8"/>
        <v>511.80583333333328</v>
      </c>
      <c r="AI81" s="242">
        <f t="shared" si="8"/>
        <v>511.80583333333328</v>
      </c>
      <c r="AJ81" s="242">
        <f t="shared" si="8"/>
        <v>511.80583333333328</v>
      </c>
      <c r="AK81" s="242">
        <f t="shared" si="8"/>
        <v>511.80583333333328</v>
      </c>
      <c r="AL81" s="242">
        <f t="shared" si="8"/>
        <v>511.80583333333328</v>
      </c>
      <c r="AM81" s="242">
        <f t="shared" si="8"/>
        <v>511.80583333333328</v>
      </c>
    </row>
    <row r="82" spans="2:39" s="239" customFormat="1" outlineLevel="1" x14ac:dyDescent="0.25">
      <c r="B82" s="239" t="str">
        <v>DagrenErhverv</v>
      </c>
      <c r="C82" s="240" t="s">
        <v>254</v>
      </c>
      <c r="D82" s="391">
        <f>IF(FixAffald2021&lt;&gt;0,Affald2021!C20,IF(AND($I16&lt;&gt;0,$G16=0),$M16/12,0))</f>
        <v>11.182499999999999</v>
      </c>
      <c r="E82" s="392">
        <f>IF(FixAffald2021&lt;&gt;0,Affald2021!D20,IF(AND($I16&lt;&gt;0,$G16=0),$M16/12,0))</f>
        <v>11.182499999999999</v>
      </c>
      <c r="F82" s="392">
        <f>IF(FixAffald2021&lt;&gt;0,Affald2021!E20,IF(AND($I16&lt;&gt;0,$G16=0),$M16/12,0))</f>
        <v>11.182499999999999</v>
      </c>
      <c r="G82" s="392">
        <f>IF(FixAffald2021&lt;&gt;0,Affald2021!F20,IF(AND($I16&lt;&gt;0,$G16=0),$M16/12,0))</f>
        <v>11.182499999999999</v>
      </c>
      <c r="H82" s="392">
        <f>IF(FixAffald2021&lt;&gt;0,Affald2021!G20,IF(AND($I16&lt;&gt;0,$G16=0),$M16/12,0))</f>
        <v>11.182499999999999</v>
      </c>
      <c r="I82" s="392">
        <f>IF(FixAffald2021&lt;&gt;0,Affald2021!H20,IF(AND($I16&lt;&gt;0,$G16=0),$M16/12,0))</f>
        <v>11.182499999999999</v>
      </c>
      <c r="J82" s="392">
        <f>IF(FixAffald2021&lt;&gt;0,Affald2021!I20,IF(AND($I16&lt;&gt;0,$G16=0),$M16/12,0))</f>
        <v>11.182499999999999</v>
      </c>
      <c r="K82" s="392">
        <f>IF(FixAffald2021&lt;&gt;0,Affald2021!J20,IF(AND($I16&lt;&gt;0,$G16=0),$M16/12,0))</f>
        <v>11.182499999999999</v>
      </c>
      <c r="L82" s="392">
        <f>IF(FixAffald2021&lt;&gt;0,Affald2021!K20,IF(AND($I16&lt;&gt;0,$G16=0),$M16/12,0))</f>
        <v>11.182499999999999</v>
      </c>
      <c r="M82" s="392">
        <f>IF(FixAffald2021&lt;&gt;0,Affald2021!L20,IF(AND($I16&lt;&gt;0,$G16=0),$M16/12,0))</f>
        <v>11.182499999999999</v>
      </c>
      <c r="N82" s="392">
        <f>IF(FixAffald2021&lt;&gt;0,Affald2021!M20,IF(AND($I16&lt;&gt;0,$G16=0),$M16/12,0))</f>
        <v>11.182499999999999</v>
      </c>
      <c r="O82" s="392">
        <f>IF(FixAffald2021&lt;&gt;0,Affald2021!N20,IF(AND($I16&lt;&gt;0,$G16=0),$M16/12,0))</f>
        <v>11.182499999999999</v>
      </c>
      <c r="P82" s="241">
        <f t="shared" si="9"/>
        <v>11.182499999999999</v>
      </c>
      <c r="Q82" s="242">
        <f t="shared" si="8"/>
        <v>11.182499999999999</v>
      </c>
      <c r="R82" s="242">
        <f t="shared" si="8"/>
        <v>11.182499999999999</v>
      </c>
      <c r="S82" s="242">
        <f t="shared" si="8"/>
        <v>11.182499999999999</v>
      </c>
      <c r="T82" s="242">
        <f t="shared" si="8"/>
        <v>11.182499999999999</v>
      </c>
      <c r="U82" s="242">
        <f t="shared" si="8"/>
        <v>11.182499999999999</v>
      </c>
      <c r="V82" s="242">
        <f t="shared" si="8"/>
        <v>11.182499999999999</v>
      </c>
      <c r="W82" s="242">
        <f t="shared" si="8"/>
        <v>11.182499999999999</v>
      </c>
      <c r="X82" s="242">
        <f t="shared" si="8"/>
        <v>11.182499999999999</v>
      </c>
      <c r="Y82" s="242">
        <f t="shared" si="8"/>
        <v>11.182499999999999</v>
      </c>
      <c r="Z82" s="242">
        <f t="shared" si="8"/>
        <v>11.182499999999999</v>
      </c>
      <c r="AA82" s="242">
        <f t="shared" si="8"/>
        <v>11.182499999999999</v>
      </c>
      <c r="AB82" s="241">
        <f t="shared" si="8"/>
        <v>11.182499999999999</v>
      </c>
      <c r="AC82" s="242">
        <f t="shared" si="8"/>
        <v>11.182499999999999</v>
      </c>
      <c r="AD82" s="242">
        <f t="shared" si="8"/>
        <v>11.182499999999999</v>
      </c>
      <c r="AE82" s="242">
        <f t="shared" si="8"/>
        <v>11.182499999999999</v>
      </c>
      <c r="AF82" s="242">
        <f t="shared" si="8"/>
        <v>11.182499999999999</v>
      </c>
      <c r="AG82" s="242">
        <f t="shared" si="8"/>
        <v>11.182499999999999</v>
      </c>
      <c r="AH82" s="242">
        <f t="shared" ref="Q82:AM93" si="10">IF(AND($I16&lt;&gt;0,$G16=0),$M16/12,0)</f>
        <v>11.182499999999999</v>
      </c>
      <c r="AI82" s="242">
        <f t="shared" si="10"/>
        <v>11.182499999999999</v>
      </c>
      <c r="AJ82" s="242">
        <f t="shared" si="10"/>
        <v>11.182499999999999</v>
      </c>
      <c r="AK82" s="242">
        <f t="shared" si="10"/>
        <v>11.182499999999999</v>
      </c>
      <c r="AL82" s="242">
        <f t="shared" si="10"/>
        <v>11.182499999999999</v>
      </c>
      <c r="AM82" s="242">
        <f t="shared" si="10"/>
        <v>11.182499999999999</v>
      </c>
    </row>
    <row r="83" spans="2:39" s="239" customFormat="1" outlineLevel="1" x14ac:dyDescent="0.25">
      <c r="B83" s="239" t="str">
        <v>HandelKontor</v>
      </c>
      <c r="C83" s="240" t="s">
        <v>254</v>
      </c>
      <c r="D83" s="391">
        <f>IF(FixAffald2021&lt;&gt;0,Affald2021!C21,IF(AND($I17&lt;&gt;0,$G17=0),$M17/12,0))</f>
        <v>4.8150000000000004</v>
      </c>
      <c r="E83" s="392">
        <f>IF(FixAffald2021&lt;&gt;0,Affald2021!D21,IF(AND($I17&lt;&gt;0,$G17=0),$M17/12,0))</f>
        <v>4.8150000000000004</v>
      </c>
      <c r="F83" s="392">
        <f>IF(FixAffald2021&lt;&gt;0,Affald2021!E21,IF(AND($I17&lt;&gt;0,$G17=0),$M17/12,0))</f>
        <v>4.8150000000000004</v>
      </c>
      <c r="G83" s="392">
        <f>IF(FixAffald2021&lt;&gt;0,Affald2021!F21,IF(AND($I17&lt;&gt;0,$G17=0),$M17/12,0))</f>
        <v>4.8150000000000004</v>
      </c>
      <c r="H83" s="392">
        <f>IF(FixAffald2021&lt;&gt;0,Affald2021!G21,IF(AND($I17&lt;&gt;0,$G17=0),$M17/12,0))</f>
        <v>4.8150000000000004</v>
      </c>
      <c r="I83" s="392">
        <f>IF(FixAffald2021&lt;&gt;0,Affald2021!H21,IF(AND($I17&lt;&gt;0,$G17=0),$M17/12,0))</f>
        <v>4.8150000000000004</v>
      </c>
      <c r="J83" s="392">
        <f>IF(FixAffald2021&lt;&gt;0,Affald2021!I21,IF(AND($I17&lt;&gt;0,$G17=0),$M17/12,0))</f>
        <v>4.8150000000000004</v>
      </c>
      <c r="K83" s="392">
        <f>IF(FixAffald2021&lt;&gt;0,Affald2021!J21,IF(AND($I17&lt;&gt;0,$G17=0),$M17/12,0))</f>
        <v>4.8150000000000004</v>
      </c>
      <c r="L83" s="392">
        <f>IF(FixAffald2021&lt;&gt;0,Affald2021!K21,IF(AND($I17&lt;&gt;0,$G17=0),$M17/12,0))</f>
        <v>4.8150000000000004</v>
      </c>
      <c r="M83" s="392">
        <f>IF(FixAffald2021&lt;&gt;0,Affald2021!L21,IF(AND($I17&lt;&gt;0,$G17=0),$M17/12,0))</f>
        <v>4.8150000000000004</v>
      </c>
      <c r="N83" s="392">
        <f>IF(FixAffald2021&lt;&gt;0,Affald2021!M21,IF(AND($I17&lt;&gt;0,$G17=0),$M17/12,0))</f>
        <v>4.8150000000000004</v>
      </c>
      <c r="O83" s="392">
        <f>IF(FixAffald2021&lt;&gt;0,Affald2021!N21,IF(AND($I17&lt;&gt;0,$G17=0),$M17/12,0))</f>
        <v>4.8150000000000004</v>
      </c>
      <c r="P83" s="241">
        <f t="shared" si="9"/>
        <v>4.8150000000000004</v>
      </c>
      <c r="Q83" s="242">
        <f t="shared" si="10"/>
        <v>4.8150000000000004</v>
      </c>
      <c r="R83" s="242">
        <f t="shared" si="10"/>
        <v>4.8150000000000004</v>
      </c>
      <c r="S83" s="242">
        <f t="shared" si="10"/>
        <v>4.8150000000000004</v>
      </c>
      <c r="T83" s="242">
        <f t="shared" si="10"/>
        <v>4.8150000000000004</v>
      </c>
      <c r="U83" s="242">
        <f t="shared" si="10"/>
        <v>4.8150000000000004</v>
      </c>
      <c r="V83" s="242">
        <f t="shared" si="10"/>
        <v>4.8150000000000004</v>
      </c>
      <c r="W83" s="242">
        <f t="shared" si="10"/>
        <v>4.8150000000000004</v>
      </c>
      <c r="X83" s="242">
        <f t="shared" si="10"/>
        <v>4.8150000000000004</v>
      </c>
      <c r="Y83" s="242">
        <f t="shared" si="10"/>
        <v>4.8150000000000004</v>
      </c>
      <c r="Z83" s="242">
        <f t="shared" si="10"/>
        <v>4.8150000000000004</v>
      </c>
      <c r="AA83" s="242">
        <f t="shared" si="10"/>
        <v>4.8150000000000004</v>
      </c>
      <c r="AB83" s="241">
        <f t="shared" si="10"/>
        <v>4.8150000000000004</v>
      </c>
      <c r="AC83" s="242">
        <f t="shared" si="10"/>
        <v>4.8150000000000004</v>
      </c>
      <c r="AD83" s="242">
        <f t="shared" si="10"/>
        <v>4.8150000000000004</v>
      </c>
      <c r="AE83" s="242">
        <f t="shared" si="10"/>
        <v>4.8150000000000004</v>
      </c>
      <c r="AF83" s="242">
        <f t="shared" si="10"/>
        <v>4.8150000000000004</v>
      </c>
      <c r="AG83" s="242">
        <f t="shared" si="10"/>
        <v>4.8150000000000004</v>
      </c>
      <c r="AH83" s="242">
        <f t="shared" si="10"/>
        <v>4.8150000000000004</v>
      </c>
      <c r="AI83" s="242">
        <f t="shared" si="10"/>
        <v>4.8150000000000004</v>
      </c>
      <c r="AJ83" s="242">
        <f t="shared" si="10"/>
        <v>4.8150000000000004</v>
      </c>
      <c r="AK83" s="242">
        <f t="shared" si="10"/>
        <v>4.8150000000000004</v>
      </c>
      <c r="AL83" s="242">
        <f t="shared" si="10"/>
        <v>4.8150000000000004</v>
      </c>
      <c r="AM83" s="242">
        <f t="shared" si="10"/>
        <v>4.8150000000000004</v>
      </c>
    </row>
    <row r="84" spans="2:39" s="239" customFormat="1" outlineLevel="1" x14ac:dyDescent="0.25">
      <c r="B84" s="239" t="str">
        <v>Privat</v>
      </c>
      <c r="C84" s="240" t="s">
        <v>254</v>
      </c>
      <c r="D84" s="391">
        <f>IF(FixAffald2021&lt;&gt;0,Affald2021!C22,IF(AND($I18&lt;&gt;0,$G18=0),$M18/12,0))</f>
        <v>1.0741666666666667</v>
      </c>
      <c r="E84" s="392">
        <f>IF(FixAffald2021&lt;&gt;0,Affald2021!D22,IF(AND($I18&lt;&gt;0,$G18=0),$M18/12,0))</f>
        <v>1.0741666666666667</v>
      </c>
      <c r="F84" s="392">
        <f>IF(FixAffald2021&lt;&gt;0,Affald2021!E22,IF(AND($I18&lt;&gt;0,$G18=0),$M18/12,0))</f>
        <v>1.0741666666666667</v>
      </c>
      <c r="G84" s="392">
        <f>IF(FixAffald2021&lt;&gt;0,Affald2021!F22,IF(AND($I18&lt;&gt;0,$G18=0),$M18/12,0))</f>
        <v>1.0741666666666667</v>
      </c>
      <c r="H84" s="392">
        <f>IF(FixAffald2021&lt;&gt;0,Affald2021!G22,IF(AND($I18&lt;&gt;0,$G18=0),$M18/12,0))</f>
        <v>1.0741666666666667</v>
      </c>
      <c r="I84" s="392">
        <f>IF(FixAffald2021&lt;&gt;0,Affald2021!H22,IF(AND($I18&lt;&gt;0,$G18=0),$M18/12,0))</f>
        <v>1.0741666666666667</v>
      </c>
      <c r="J84" s="392">
        <f>IF(FixAffald2021&lt;&gt;0,Affald2021!I22,IF(AND($I18&lt;&gt;0,$G18=0),$M18/12,0))</f>
        <v>1.0741666666666667</v>
      </c>
      <c r="K84" s="392">
        <f>IF(FixAffald2021&lt;&gt;0,Affald2021!J22,IF(AND($I18&lt;&gt;0,$G18=0),$M18/12,0))</f>
        <v>1.0741666666666667</v>
      </c>
      <c r="L84" s="392">
        <f>IF(FixAffald2021&lt;&gt;0,Affald2021!K22,IF(AND($I18&lt;&gt;0,$G18=0),$M18/12,0))</f>
        <v>1.0741666666666667</v>
      </c>
      <c r="M84" s="392">
        <f>IF(FixAffald2021&lt;&gt;0,Affald2021!L22,IF(AND($I18&lt;&gt;0,$G18=0),$M18/12,0))</f>
        <v>1.0741666666666667</v>
      </c>
      <c r="N84" s="392">
        <f>IF(FixAffald2021&lt;&gt;0,Affald2021!M22,IF(AND($I18&lt;&gt;0,$G18=0),$M18/12,0))</f>
        <v>1.0741666666666667</v>
      </c>
      <c r="O84" s="392">
        <f>IF(FixAffald2021&lt;&gt;0,Affald2021!N22,IF(AND($I18&lt;&gt;0,$G18=0),$M18/12,0))</f>
        <v>1.0741666666666667</v>
      </c>
      <c r="P84" s="241">
        <f t="shared" si="9"/>
        <v>1.0741666666666667</v>
      </c>
      <c r="Q84" s="242">
        <f t="shared" si="10"/>
        <v>1.0741666666666667</v>
      </c>
      <c r="R84" s="242">
        <f t="shared" si="10"/>
        <v>1.0741666666666667</v>
      </c>
      <c r="S84" s="242">
        <f t="shared" si="10"/>
        <v>1.0741666666666667</v>
      </c>
      <c r="T84" s="242">
        <f t="shared" si="10"/>
        <v>1.0741666666666667</v>
      </c>
      <c r="U84" s="242">
        <f t="shared" si="10"/>
        <v>1.0741666666666667</v>
      </c>
      <c r="V84" s="242">
        <f t="shared" si="10"/>
        <v>1.0741666666666667</v>
      </c>
      <c r="W84" s="242">
        <f t="shared" si="10"/>
        <v>1.0741666666666667</v>
      </c>
      <c r="X84" s="242">
        <f t="shared" si="10"/>
        <v>1.0741666666666667</v>
      </c>
      <c r="Y84" s="242">
        <f t="shared" si="10"/>
        <v>1.0741666666666667</v>
      </c>
      <c r="Z84" s="242">
        <f t="shared" si="10"/>
        <v>1.0741666666666667</v>
      </c>
      <c r="AA84" s="242">
        <f t="shared" si="10"/>
        <v>1.0741666666666667</v>
      </c>
      <c r="AB84" s="241">
        <f t="shared" si="10"/>
        <v>1.0741666666666667</v>
      </c>
      <c r="AC84" s="242">
        <f t="shared" si="10"/>
        <v>1.0741666666666667</v>
      </c>
      <c r="AD84" s="242">
        <f t="shared" si="10"/>
        <v>1.0741666666666667</v>
      </c>
      <c r="AE84" s="242">
        <f t="shared" si="10"/>
        <v>1.0741666666666667</v>
      </c>
      <c r="AF84" s="242">
        <f t="shared" si="10"/>
        <v>1.0741666666666667</v>
      </c>
      <c r="AG84" s="242">
        <f t="shared" si="10"/>
        <v>1.0741666666666667</v>
      </c>
      <c r="AH84" s="242">
        <f t="shared" si="10"/>
        <v>1.0741666666666667</v>
      </c>
      <c r="AI84" s="242">
        <f t="shared" si="10"/>
        <v>1.0741666666666667</v>
      </c>
      <c r="AJ84" s="242">
        <f t="shared" si="10"/>
        <v>1.0741666666666667</v>
      </c>
      <c r="AK84" s="242">
        <f t="shared" si="10"/>
        <v>1.0741666666666667</v>
      </c>
      <c r="AL84" s="242">
        <f t="shared" si="10"/>
        <v>1.0741666666666667</v>
      </c>
      <c r="AM84" s="242">
        <f t="shared" si="10"/>
        <v>1.0741666666666667</v>
      </c>
    </row>
    <row r="85" spans="2:39" s="239" customFormat="1" outlineLevel="1" x14ac:dyDescent="0.25">
      <c r="B85" s="239" t="str">
        <v>TyskRest</v>
      </c>
      <c r="C85" s="240" t="s">
        <v>254</v>
      </c>
      <c r="D85" s="391">
        <f>IF(FixAffald2021&lt;&gt;0,Affald2021!C23,IF(AND($I19&lt;&gt;0,$G19=0),$M19/12,0))</f>
        <v>2852.75</v>
      </c>
      <c r="E85" s="392">
        <f>IF(FixAffald2021&lt;&gt;0,Affald2021!D23,IF(AND($I19&lt;&gt;0,$G19=0),$M19/12,0))</f>
        <v>2852.75</v>
      </c>
      <c r="F85" s="392">
        <f>IF(FixAffald2021&lt;&gt;0,Affald2021!E23,IF(AND($I19&lt;&gt;0,$G19=0),$M19/12,0))</f>
        <v>2852.75</v>
      </c>
      <c r="G85" s="392">
        <f>IF(FixAffald2021&lt;&gt;0,Affald2021!F23,IF(AND($I19&lt;&gt;0,$G19=0),$M19/12,0))</f>
        <v>2852.75</v>
      </c>
      <c r="H85" s="392">
        <f>IF(FixAffald2021&lt;&gt;0,Affald2021!G23,IF(AND($I19&lt;&gt;0,$G19=0),$M19/12,0))</f>
        <v>2852.75</v>
      </c>
      <c r="I85" s="392">
        <f>IF(FixAffald2021&lt;&gt;0,Affald2021!H23,IF(AND($I19&lt;&gt;0,$G19=0),$M19/12,0))</f>
        <v>2852.75</v>
      </c>
      <c r="J85" s="392">
        <f>IF(FixAffald2021&lt;&gt;0,Affald2021!I23,IF(AND($I19&lt;&gt;0,$G19=0),$M19/12,0))</f>
        <v>2852.75</v>
      </c>
      <c r="K85" s="392">
        <f>IF(FixAffald2021&lt;&gt;0,Affald2021!J23,IF(AND($I19&lt;&gt;0,$G19=0),$M19/12,0))</f>
        <v>2852.75</v>
      </c>
      <c r="L85" s="392">
        <f>IF(FixAffald2021&lt;&gt;0,Affald2021!K23,IF(AND($I19&lt;&gt;0,$G19=0),$M19/12,0))</f>
        <v>2852.75</v>
      </c>
      <c r="M85" s="392">
        <f>IF(FixAffald2021&lt;&gt;0,Affald2021!L23,IF(AND($I19&lt;&gt;0,$G19=0),$M19/12,0))</f>
        <v>2852.75</v>
      </c>
      <c r="N85" s="392">
        <f>IF(FixAffald2021&lt;&gt;0,Affald2021!M23,IF(AND($I19&lt;&gt;0,$G19=0),$M19/12,0))</f>
        <v>2852.75</v>
      </c>
      <c r="O85" s="392">
        <f>IF(FixAffald2021&lt;&gt;0,Affald2021!N23,IF(AND($I19&lt;&gt;0,$G19=0),$M19/12,0))</f>
        <v>2852.75</v>
      </c>
      <c r="P85" s="241">
        <f t="shared" si="9"/>
        <v>2852.75</v>
      </c>
      <c r="Q85" s="242">
        <f t="shared" si="10"/>
        <v>2852.75</v>
      </c>
      <c r="R85" s="242">
        <f t="shared" si="10"/>
        <v>2852.75</v>
      </c>
      <c r="S85" s="242">
        <f t="shared" si="10"/>
        <v>2852.75</v>
      </c>
      <c r="T85" s="242">
        <f t="shared" si="10"/>
        <v>2852.75</v>
      </c>
      <c r="U85" s="242">
        <f t="shared" si="10"/>
        <v>2852.75</v>
      </c>
      <c r="V85" s="242">
        <f t="shared" si="10"/>
        <v>2852.75</v>
      </c>
      <c r="W85" s="242">
        <f t="shared" si="10"/>
        <v>2852.75</v>
      </c>
      <c r="X85" s="242">
        <f t="shared" si="10"/>
        <v>2852.75</v>
      </c>
      <c r="Y85" s="242">
        <f t="shared" si="10"/>
        <v>2852.75</v>
      </c>
      <c r="Z85" s="242">
        <f t="shared" si="10"/>
        <v>2852.75</v>
      </c>
      <c r="AA85" s="242">
        <f t="shared" si="10"/>
        <v>2852.75</v>
      </c>
      <c r="AB85" s="241">
        <f t="shared" si="10"/>
        <v>2852.75</v>
      </c>
      <c r="AC85" s="242">
        <f t="shared" si="10"/>
        <v>2852.75</v>
      </c>
      <c r="AD85" s="242">
        <f t="shared" si="10"/>
        <v>2852.75</v>
      </c>
      <c r="AE85" s="242">
        <f t="shared" si="10"/>
        <v>2852.75</v>
      </c>
      <c r="AF85" s="242">
        <f t="shared" si="10"/>
        <v>2852.75</v>
      </c>
      <c r="AG85" s="242">
        <f t="shared" si="10"/>
        <v>2852.75</v>
      </c>
      <c r="AH85" s="242">
        <f t="shared" si="10"/>
        <v>2852.75</v>
      </c>
      <c r="AI85" s="242">
        <f t="shared" si="10"/>
        <v>2852.75</v>
      </c>
      <c r="AJ85" s="242">
        <f t="shared" si="10"/>
        <v>2852.75</v>
      </c>
      <c r="AK85" s="242">
        <f t="shared" si="10"/>
        <v>2852.75</v>
      </c>
      <c r="AL85" s="242">
        <f t="shared" si="10"/>
        <v>2852.75</v>
      </c>
      <c r="AM85" s="242">
        <f t="shared" si="10"/>
        <v>2852.75</v>
      </c>
    </row>
    <row r="86" spans="2:39" s="239" customFormat="1" outlineLevel="1" x14ac:dyDescent="0.25">
      <c r="B86" s="239" t="str">
        <v>PolskRest</v>
      </c>
      <c r="C86" s="240" t="s">
        <v>254</v>
      </c>
      <c r="D86" s="391">
        <f>IF(FixAffald2021&lt;&gt;0,Affald2021!C24,IF(AND($I20&lt;&gt;0,$G20=0),$M20/12,0))</f>
        <v>12.840833333333334</v>
      </c>
      <c r="E86" s="392">
        <f>IF(FixAffald2021&lt;&gt;0,Affald2021!D24,IF(AND($I20&lt;&gt;0,$G20=0),$M20/12,0))</f>
        <v>12.840833333333334</v>
      </c>
      <c r="F86" s="392">
        <f>IF(FixAffald2021&lt;&gt;0,Affald2021!E24,IF(AND($I20&lt;&gt;0,$G20=0),$M20/12,0))</f>
        <v>12.840833333333334</v>
      </c>
      <c r="G86" s="392">
        <f>IF(FixAffald2021&lt;&gt;0,Affald2021!F24,IF(AND($I20&lt;&gt;0,$G20=0),$M20/12,0))</f>
        <v>12.840833333333334</v>
      </c>
      <c r="H86" s="392">
        <f>IF(FixAffald2021&lt;&gt;0,Affald2021!G24,IF(AND($I20&lt;&gt;0,$G20=0),$M20/12,0))</f>
        <v>12.840833333333334</v>
      </c>
      <c r="I86" s="392">
        <f>IF(FixAffald2021&lt;&gt;0,Affald2021!H24,IF(AND($I20&lt;&gt;0,$G20=0),$M20/12,0))</f>
        <v>12.840833333333334</v>
      </c>
      <c r="J86" s="392">
        <f>IF(FixAffald2021&lt;&gt;0,Affald2021!I24,IF(AND($I20&lt;&gt;0,$G20=0),$M20/12,0))</f>
        <v>12.840833333333334</v>
      </c>
      <c r="K86" s="392">
        <f>IF(FixAffald2021&lt;&gt;0,Affald2021!J24,IF(AND($I20&lt;&gt;0,$G20=0),$M20/12,0))</f>
        <v>12.840833333333334</v>
      </c>
      <c r="L86" s="392">
        <f>IF(FixAffald2021&lt;&gt;0,Affald2021!K24,IF(AND($I20&lt;&gt;0,$G20=0),$M20/12,0))</f>
        <v>12.840833333333334</v>
      </c>
      <c r="M86" s="392">
        <f>IF(FixAffald2021&lt;&gt;0,Affald2021!L24,IF(AND($I20&lt;&gt;0,$G20=0),$M20/12,0))</f>
        <v>12.840833333333334</v>
      </c>
      <c r="N86" s="392">
        <f>IF(FixAffald2021&lt;&gt;0,Affald2021!M24,IF(AND($I20&lt;&gt;0,$G20=0),$M20/12,0))</f>
        <v>12.840833333333334</v>
      </c>
      <c r="O86" s="392">
        <f>IF(FixAffald2021&lt;&gt;0,Affald2021!N24,IF(AND($I20&lt;&gt;0,$G20=0),$M20/12,0))</f>
        <v>12.840833333333334</v>
      </c>
      <c r="P86" s="241">
        <f t="shared" si="9"/>
        <v>12.840833333333334</v>
      </c>
      <c r="Q86" s="242">
        <f t="shared" si="10"/>
        <v>12.840833333333334</v>
      </c>
      <c r="R86" s="242">
        <f t="shared" si="10"/>
        <v>12.840833333333334</v>
      </c>
      <c r="S86" s="242">
        <f t="shared" si="10"/>
        <v>12.840833333333334</v>
      </c>
      <c r="T86" s="242">
        <f t="shared" si="10"/>
        <v>12.840833333333334</v>
      </c>
      <c r="U86" s="242">
        <f t="shared" si="10"/>
        <v>12.840833333333334</v>
      </c>
      <c r="V86" s="242">
        <f t="shared" si="10"/>
        <v>12.840833333333334</v>
      </c>
      <c r="W86" s="242">
        <f t="shared" si="10"/>
        <v>12.840833333333334</v>
      </c>
      <c r="X86" s="242">
        <f t="shared" si="10"/>
        <v>12.840833333333334</v>
      </c>
      <c r="Y86" s="242">
        <f t="shared" si="10"/>
        <v>12.840833333333334</v>
      </c>
      <c r="Z86" s="242">
        <f t="shared" si="10"/>
        <v>12.840833333333334</v>
      </c>
      <c r="AA86" s="242">
        <f t="shared" si="10"/>
        <v>12.840833333333334</v>
      </c>
      <c r="AB86" s="241">
        <f t="shared" si="10"/>
        <v>12.840833333333334</v>
      </c>
      <c r="AC86" s="242">
        <f t="shared" si="10"/>
        <v>12.840833333333334</v>
      </c>
      <c r="AD86" s="242">
        <f t="shared" si="10"/>
        <v>12.840833333333334</v>
      </c>
      <c r="AE86" s="242">
        <f t="shared" si="10"/>
        <v>12.840833333333334</v>
      </c>
      <c r="AF86" s="242">
        <f t="shared" si="10"/>
        <v>12.840833333333334</v>
      </c>
      <c r="AG86" s="242">
        <f t="shared" si="10"/>
        <v>12.840833333333334</v>
      </c>
      <c r="AH86" s="242">
        <f t="shared" si="10"/>
        <v>12.840833333333334</v>
      </c>
      <c r="AI86" s="242">
        <f t="shared" si="10"/>
        <v>12.840833333333334</v>
      </c>
      <c r="AJ86" s="242">
        <f t="shared" si="10"/>
        <v>12.840833333333334</v>
      </c>
      <c r="AK86" s="242">
        <f t="shared" si="10"/>
        <v>12.840833333333334</v>
      </c>
      <c r="AL86" s="242">
        <f t="shared" si="10"/>
        <v>12.840833333333334</v>
      </c>
      <c r="AM86" s="242">
        <f t="shared" si="10"/>
        <v>12.840833333333334</v>
      </c>
    </row>
    <row r="87" spans="2:39" s="239" customFormat="1" outlineLevel="1" x14ac:dyDescent="0.25">
      <c r="B87" s="239" t="str">
        <v>PcbTrae</v>
      </c>
      <c r="C87" s="240" t="s">
        <v>254</v>
      </c>
      <c r="D87" s="391">
        <f>IF(FixAffald2021&lt;&gt;0,Affald2021!C25,IF(AND($I21&lt;&gt;0,$G21=0),$M21/12,0))</f>
        <v>0</v>
      </c>
      <c r="E87" s="392">
        <f>IF(FixAffald2021&lt;&gt;0,Affald2021!D25,IF(AND($I21&lt;&gt;0,$G21=0),$M21/12,0))</f>
        <v>0</v>
      </c>
      <c r="F87" s="392">
        <f>IF(FixAffald2021&lt;&gt;0,Affald2021!E25,IF(AND($I21&lt;&gt;0,$G21=0),$M21/12,0))</f>
        <v>0</v>
      </c>
      <c r="G87" s="392">
        <f>IF(FixAffald2021&lt;&gt;0,Affald2021!F25,IF(AND($I21&lt;&gt;0,$G21=0),$M21/12,0))</f>
        <v>0</v>
      </c>
      <c r="H87" s="392">
        <f>IF(FixAffald2021&lt;&gt;0,Affald2021!G25,IF(AND($I21&lt;&gt;0,$G21=0),$M21/12,0))</f>
        <v>0</v>
      </c>
      <c r="I87" s="392">
        <f>IF(FixAffald2021&lt;&gt;0,Affald2021!H25,IF(AND($I21&lt;&gt;0,$G21=0),$M21/12,0))</f>
        <v>0</v>
      </c>
      <c r="J87" s="392">
        <f>IF(FixAffald2021&lt;&gt;0,Affald2021!I25,IF(AND($I21&lt;&gt;0,$G21=0),$M21/12,0))</f>
        <v>0</v>
      </c>
      <c r="K87" s="392">
        <f>IF(FixAffald2021&lt;&gt;0,Affald2021!J25,IF(AND($I21&lt;&gt;0,$G21=0),$M21/12,0))</f>
        <v>0</v>
      </c>
      <c r="L87" s="392">
        <f>IF(FixAffald2021&lt;&gt;0,Affald2021!K25,IF(AND($I21&lt;&gt;0,$G21=0),$M21/12,0))</f>
        <v>0</v>
      </c>
      <c r="M87" s="392">
        <f>IF(FixAffald2021&lt;&gt;0,Affald2021!L25,IF(AND($I21&lt;&gt;0,$G21=0),$M21/12,0))</f>
        <v>0</v>
      </c>
      <c r="N87" s="392">
        <f>IF(FixAffald2021&lt;&gt;0,Affald2021!M25,IF(AND($I21&lt;&gt;0,$G21=0),$M21/12,0))</f>
        <v>0</v>
      </c>
      <c r="O87" s="392">
        <f>IF(FixAffald2021&lt;&gt;0,Affald2021!N25,IF(AND($I21&lt;&gt;0,$G21=0),$M21/12,0))</f>
        <v>0</v>
      </c>
      <c r="P87" s="241">
        <f t="shared" si="9"/>
        <v>0</v>
      </c>
      <c r="Q87" s="242">
        <f t="shared" si="10"/>
        <v>0</v>
      </c>
      <c r="R87" s="242">
        <f t="shared" si="10"/>
        <v>0</v>
      </c>
      <c r="S87" s="242">
        <f t="shared" si="10"/>
        <v>0</v>
      </c>
      <c r="T87" s="242">
        <f t="shared" si="10"/>
        <v>0</v>
      </c>
      <c r="U87" s="242">
        <f t="shared" si="10"/>
        <v>0</v>
      </c>
      <c r="V87" s="242">
        <f t="shared" si="10"/>
        <v>0</v>
      </c>
      <c r="W87" s="242">
        <f t="shared" si="10"/>
        <v>0</v>
      </c>
      <c r="X87" s="242">
        <f t="shared" si="10"/>
        <v>0</v>
      </c>
      <c r="Y87" s="242">
        <f t="shared" si="10"/>
        <v>0</v>
      </c>
      <c r="Z87" s="242">
        <f t="shared" si="10"/>
        <v>0</v>
      </c>
      <c r="AA87" s="242">
        <f t="shared" si="10"/>
        <v>0</v>
      </c>
      <c r="AB87" s="241">
        <f t="shared" si="10"/>
        <v>0</v>
      </c>
      <c r="AC87" s="242">
        <f t="shared" si="10"/>
        <v>0</v>
      </c>
      <c r="AD87" s="242">
        <f t="shared" si="10"/>
        <v>0</v>
      </c>
      <c r="AE87" s="242">
        <f t="shared" si="10"/>
        <v>0</v>
      </c>
      <c r="AF87" s="242">
        <f t="shared" si="10"/>
        <v>0</v>
      </c>
      <c r="AG87" s="242">
        <f t="shared" si="10"/>
        <v>0</v>
      </c>
      <c r="AH87" s="242">
        <f t="shared" si="10"/>
        <v>0</v>
      </c>
      <c r="AI87" s="242">
        <f t="shared" si="10"/>
        <v>0</v>
      </c>
      <c r="AJ87" s="242">
        <f t="shared" si="10"/>
        <v>0</v>
      </c>
      <c r="AK87" s="242">
        <f t="shared" si="10"/>
        <v>0</v>
      </c>
      <c r="AL87" s="242">
        <f t="shared" si="10"/>
        <v>0</v>
      </c>
      <c r="AM87" s="242">
        <f t="shared" si="10"/>
        <v>0</v>
      </c>
    </row>
    <row r="88" spans="2:39" s="239" customFormat="1" outlineLevel="1" x14ac:dyDescent="0.25">
      <c r="B88" s="239" t="str">
        <v>TraeRekv</v>
      </c>
      <c r="C88" s="240" t="s">
        <v>254</v>
      </c>
      <c r="D88" s="391">
        <f>IF(FixAffald2021&lt;&gt;0,Affald2021!C26,IF(AND($I22&lt;&gt;0,$G22=0),$M22/12,0))</f>
        <v>87.044166666666669</v>
      </c>
      <c r="E88" s="392">
        <f>IF(FixAffald2021&lt;&gt;0,Affald2021!D26,IF(AND($I22&lt;&gt;0,$G22=0),$M22/12,0))</f>
        <v>87.044166666666669</v>
      </c>
      <c r="F88" s="392">
        <f>IF(FixAffald2021&lt;&gt;0,Affald2021!E26,IF(AND($I22&lt;&gt;0,$G22=0),$M22/12,0))</f>
        <v>87.044166666666669</v>
      </c>
      <c r="G88" s="392">
        <f>IF(FixAffald2021&lt;&gt;0,Affald2021!F26,IF(AND($I22&lt;&gt;0,$G22=0),$M22/12,0))</f>
        <v>87.044166666666669</v>
      </c>
      <c r="H88" s="392">
        <f>IF(FixAffald2021&lt;&gt;0,Affald2021!G26,IF(AND($I22&lt;&gt;0,$G22=0),$M22/12,0))</f>
        <v>87.044166666666669</v>
      </c>
      <c r="I88" s="392">
        <f>IF(FixAffald2021&lt;&gt;0,Affald2021!H26,IF(AND($I22&lt;&gt;0,$G22=0),$M22/12,0))</f>
        <v>87.044166666666669</v>
      </c>
      <c r="J88" s="392">
        <f>IF(FixAffald2021&lt;&gt;0,Affald2021!I26,IF(AND($I22&lt;&gt;0,$G22=0),$M22/12,0))</f>
        <v>87.044166666666669</v>
      </c>
      <c r="K88" s="392">
        <f>IF(FixAffald2021&lt;&gt;0,Affald2021!J26,IF(AND($I22&lt;&gt;0,$G22=0),$M22/12,0))</f>
        <v>87.044166666666669</v>
      </c>
      <c r="L88" s="392">
        <f>IF(FixAffald2021&lt;&gt;0,Affald2021!K26,IF(AND($I22&lt;&gt;0,$G22=0),$M22/12,0))</f>
        <v>87.044166666666669</v>
      </c>
      <c r="M88" s="392">
        <f>IF(FixAffald2021&lt;&gt;0,Affald2021!L26,IF(AND($I22&lt;&gt;0,$G22=0),$M22/12,0))</f>
        <v>87.044166666666669</v>
      </c>
      <c r="N88" s="392">
        <f>IF(FixAffald2021&lt;&gt;0,Affald2021!M26,IF(AND($I22&lt;&gt;0,$G22=0),$M22/12,0))</f>
        <v>87.044166666666669</v>
      </c>
      <c r="O88" s="392">
        <f>IF(FixAffald2021&lt;&gt;0,Affald2021!N26,IF(AND($I22&lt;&gt;0,$G22=0),$M22/12,0))</f>
        <v>87.044166666666669</v>
      </c>
      <c r="P88" s="241">
        <f t="shared" si="9"/>
        <v>87.044166666666669</v>
      </c>
      <c r="Q88" s="242">
        <f t="shared" si="10"/>
        <v>87.044166666666669</v>
      </c>
      <c r="R88" s="242">
        <f t="shared" si="10"/>
        <v>87.044166666666669</v>
      </c>
      <c r="S88" s="242">
        <f t="shared" si="10"/>
        <v>87.044166666666669</v>
      </c>
      <c r="T88" s="242">
        <f t="shared" si="10"/>
        <v>87.044166666666669</v>
      </c>
      <c r="U88" s="242">
        <f t="shared" si="10"/>
        <v>87.044166666666669</v>
      </c>
      <c r="V88" s="242">
        <f t="shared" si="10"/>
        <v>87.044166666666669</v>
      </c>
      <c r="W88" s="242">
        <f t="shared" si="10"/>
        <v>87.044166666666669</v>
      </c>
      <c r="X88" s="242">
        <f t="shared" si="10"/>
        <v>87.044166666666669</v>
      </c>
      <c r="Y88" s="242">
        <f t="shared" si="10"/>
        <v>87.044166666666669</v>
      </c>
      <c r="Z88" s="242">
        <f t="shared" si="10"/>
        <v>87.044166666666669</v>
      </c>
      <c r="AA88" s="242">
        <f t="shared" si="10"/>
        <v>87.044166666666669</v>
      </c>
      <c r="AB88" s="241">
        <f t="shared" si="10"/>
        <v>87.044166666666669</v>
      </c>
      <c r="AC88" s="242">
        <f t="shared" si="10"/>
        <v>87.044166666666669</v>
      </c>
      <c r="AD88" s="242">
        <f t="shared" si="10"/>
        <v>87.044166666666669</v>
      </c>
      <c r="AE88" s="242">
        <f t="shared" si="10"/>
        <v>87.044166666666669</v>
      </c>
      <c r="AF88" s="242">
        <f t="shared" si="10"/>
        <v>87.044166666666669</v>
      </c>
      <c r="AG88" s="242">
        <f t="shared" si="10"/>
        <v>87.044166666666669</v>
      </c>
      <c r="AH88" s="242">
        <f t="shared" si="10"/>
        <v>87.044166666666669</v>
      </c>
      <c r="AI88" s="242">
        <f t="shared" si="10"/>
        <v>87.044166666666669</v>
      </c>
      <c r="AJ88" s="242">
        <f t="shared" si="10"/>
        <v>87.044166666666669</v>
      </c>
      <c r="AK88" s="242">
        <f t="shared" si="10"/>
        <v>87.044166666666669</v>
      </c>
      <c r="AL88" s="242">
        <f t="shared" si="10"/>
        <v>87.044166666666669</v>
      </c>
      <c r="AM88" s="242">
        <f t="shared" si="10"/>
        <v>87.044166666666669</v>
      </c>
    </row>
    <row r="89" spans="2:39" s="239" customFormat="1" outlineLevel="1" x14ac:dyDescent="0.25">
      <c r="B89" s="239" t="str">
        <v>Halm</v>
      </c>
      <c r="C89" s="240" t="s">
        <v>254</v>
      </c>
      <c r="D89" s="391">
        <f>IF(FixAffald2021&lt;&gt;0,Affald2021!C27,IF(AND($I23&lt;&gt;0,$G23=0),$M23/12,0))</f>
        <v>0</v>
      </c>
      <c r="E89" s="392">
        <f>IF(FixAffald2021&lt;&gt;0,Affald2021!D27,IF(AND($I23&lt;&gt;0,$G23=0),$M23/12,0))</f>
        <v>0</v>
      </c>
      <c r="F89" s="392">
        <f>IF(FixAffald2021&lt;&gt;0,Affald2021!E27,IF(AND($I23&lt;&gt;0,$G23=0),$M23/12,0))</f>
        <v>0</v>
      </c>
      <c r="G89" s="392">
        <f>IF(FixAffald2021&lt;&gt;0,Affald2021!F27,IF(AND($I23&lt;&gt;0,$G23=0),$M23/12,0))</f>
        <v>0</v>
      </c>
      <c r="H89" s="392">
        <f>IF(FixAffald2021&lt;&gt;0,Affald2021!G27,IF(AND($I23&lt;&gt;0,$G23=0),$M23/12,0))</f>
        <v>0</v>
      </c>
      <c r="I89" s="392">
        <f>IF(FixAffald2021&lt;&gt;0,Affald2021!H27,IF(AND($I23&lt;&gt;0,$G23=0),$M23/12,0))</f>
        <v>0</v>
      </c>
      <c r="J89" s="392">
        <f>IF(FixAffald2021&lt;&gt;0,Affald2021!I27,IF(AND($I23&lt;&gt;0,$G23=0),$M23/12,0))</f>
        <v>0</v>
      </c>
      <c r="K89" s="392">
        <f>IF(FixAffald2021&lt;&gt;0,Affald2021!J27,IF(AND($I23&lt;&gt;0,$G23=0),$M23/12,0))</f>
        <v>0</v>
      </c>
      <c r="L89" s="392">
        <f>IF(FixAffald2021&lt;&gt;0,Affald2021!K27,IF(AND($I23&lt;&gt;0,$G23=0),$M23/12,0))</f>
        <v>0</v>
      </c>
      <c r="M89" s="392">
        <f>IF(FixAffald2021&lt;&gt;0,Affald2021!L27,IF(AND($I23&lt;&gt;0,$G23=0),$M23/12,0))</f>
        <v>0</v>
      </c>
      <c r="N89" s="392">
        <f>IF(FixAffald2021&lt;&gt;0,Affald2021!M27,IF(AND($I23&lt;&gt;0,$G23=0),$M23/12,0))</f>
        <v>0</v>
      </c>
      <c r="O89" s="392">
        <f>IF(FixAffald2021&lt;&gt;0,Affald2021!N27,IF(AND($I23&lt;&gt;0,$G23=0),$M23/12,0))</f>
        <v>0</v>
      </c>
      <c r="P89" s="241">
        <f t="shared" si="9"/>
        <v>0</v>
      </c>
      <c r="Q89" s="242">
        <f t="shared" si="10"/>
        <v>0</v>
      </c>
      <c r="R89" s="242">
        <f t="shared" si="10"/>
        <v>0</v>
      </c>
      <c r="S89" s="242">
        <f t="shared" si="10"/>
        <v>0</v>
      </c>
      <c r="T89" s="242">
        <f t="shared" si="10"/>
        <v>0</v>
      </c>
      <c r="U89" s="242">
        <f t="shared" si="10"/>
        <v>0</v>
      </c>
      <c r="V89" s="242">
        <f t="shared" si="10"/>
        <v>0</v>
      </c>
      <c r="W89" s="242">
        <f t="shared" si="10"/>
        <v>0</v>
      </c>
      <c r="X89" s="242">
        <f t="shared" si="10"/>
        <v>0</v>
      </c>
      <c r="Y89" s="242">
        <f t="shared" si="10"/>
        <v>0</v>
      </c>
      <c r="Z89" s="242">
        <f t="shared" si="10"/>
        <v>0</v>
      </c>
      <c r="AA89" s="242">
        <f t="shared" si="10"/>
        <v>0</v>
      </c>
      <c r="AB89" s="241">
        <f t="shared" si="10"/>
        <v>0</v>
      </c>
      <c r="AC89" s="242">
        <f t="shared" si="10"/>
        <v>0</v>
      </c>
      <c r="AD89" s="242">
        <f t="shared" si="10"/>
        <v>0</v>
      </c>
      <c r="AE89" s="242">
        <f t="shared" si="10"/>
        <v>0</v>
      </c>
      <c r="AF89" s="242">
        <f t="shared" si="10"/>
        <v>0</v>
      </c>
      <c r="AG89" s="242">
        <f t="shared" si="10"/>
        <v>0</v>
      </c>
      <c r="AH89" s="242">
        <f t="shared" si="10"/>
        <v>0</v>
      </c>
      <c r="AI89" s="242">
        <f t="shared" si="10"/>
        <v>0</v>
      </c>
      <c r="AJ89" s="242">
        <f t="shared" si="10"/>
        <v>0</v>
      </c>
      <c r="AK89" s="242">
        <f t="shared" si="10"/>
        <v>0</v>
      </c>
      <c r="AL89" s="242">
        <f t="shared" si="10"/>
        <v>0</v>
      </c>
      <c r="AM89" s="242">
        <f t="shared" si="10"/>
        <v>0</v>
      </c>
    </row>
    <row r="90" spans="2:39" s="239" customFormat="1" outlineLevel="1" x14ac:dyDescent="0.25">
      <c r="B90" s="239" t="str">
        <v>Pulver</v>
      </c>
      <c r="C90" s="240" t="s">
        <v>254</v>
      </c>
      <c r="D90" s="391">
        <f>IF(FixAffald2021&lt;&gt;0,Affald2021!C28,IF(AND($I24&lt;&gt;0,$G24=0),$M24/12,0))</f>
        <v>9.4949999999999992</v>
      </c>
      <c r="E90" s="392">
        <f>IF(FixAffald2021&lt;&gt;0,Affald2021!D28,IF(AND($I24&lt;&gt;0,$G24=0),$M24/12,0))</f>
        <v>9.4949999999999992</v>
      </c>
      <c r="F90" s="392">
        <f>IF(FixAffald2021&lt;&gt;0,Affald2021!E28,IF(AND($I24&lt;&gt;0,$G24=0),$M24/12,0))</f>
        <v>9.4949999999999992</v>
      </c>
      <c r="G90" s="392">
        <f>IF(FixAffald2021&lt;&gt;0,Affald2021!F28,IF(AND($I24&lt;&gt;0,$G24=0),$M24/12,0))</f>
        <v>9.4949999999999992</v>
      </c>
      <c r="H90" s="392">
        <f>IF(FixAffald2021&lt;&gt;0,Affald2021!G28,IF(AND($I24&lt;&gt;0,$G24=0),$M24/12,0))</f>
        <v>9.4949999999999992</v>
      </c>
      <c r="I90" s="392">
        <f>IF(FixAffald2021&lt;&gt;0,Affald2021!H28,IF(AND($I24&lt;&gt;0,$G24=0),$M24/12,0))</f>
        <v>9.4949999999999992</v>
      </c>
      <c r="J90" s="392">
        <f>IF(FixAffald2021&lt;&gt;0,Affald2021!I28,IF(AND($I24&lt;&gt;0,$G24=0),$M24/12,0))</f>
        <v>9.4949999999999992</v>
      </c>
      <c r="K90" s="392">
        <f>IF(FixAffald2021&lt;&gt;0,Affald2021!J28,IF(AND($I24&lt;&gt;0,$G24=0),$M24/12,0))</f>
        <v>9.4949999999999992</v>
      </c>
      <c r="L90" s="392">
        <f>IF(FixAffald2021&lt;&gt;0,Affald2021!K28,IF(AND($I24&lt;&gt;0,$G24=0),$M24/12,0))</f>
        <v>9.4949999999999992</v>
      </c>
      <c r="M90" s="392">
        <f>IF(FixAffald2021&lt;&gt;0,Affald2021!L28,IF(AND($I24&lt;&gt;0,$G24=0),$M24/12,0))</f>
        <v>9.4949999999999992</v>
      </c>
      <c r="N90" s="392">
        <f>IF(FixAffald2021&lt;&gt;0,Affald2021!M28,IF(AND($I24&lt;&gt;0,$G24=0),$M24/12,0))</f>
        <v>9.4949999999999992</v>
      </c>
      <c r="O90" s="392">
        <f>IF(FixAffald2021&lt;&gt;0,Affald2021!N28,IF(AND($I24&lt;&gt;0,$G24=0),$M24/12,0))</f>
        <v>9.4949999999999992</v>
      </c>
      <c r="P90" s="241">
        <f t="shared" si="9"/>
        <v>9.4949999999999992</v>
      </c>
      <c r="Q90" s="242">
        <f t="shared" si="10"/>
        <v>9.4949999999999992</v>
      </c>
      <c r="R90" s="242">
        <f t="shared" si="10"/>
        <v>9.4949999999999992</v>
      </c>
      <c r="S90" s="242">
        <f t="shared" si="10"/>
        <v>9.4949999999999992</v>
      </c>
      <c r="T90" s="242">
        <f t="shared" si="10"/>
        <v>9.4949999999999992</v>
      </c>
      <c r="U90" s="242">
        <f t="shared" si="10"/>
        <v>9.4949999999999992</v>
      </c>
      <c r="V90" s="242">
        <f t="shared" si="10"/>
        <v>9.4949999999999992</v>
      </c>
      <c r="W90" s="242">
        <f t="shared" si="10"/>
        <v>9.4949999999999992</v>
      </c>
      <c r="X90" s="242">
        <f t="shared" si="10"/>
        <v>9.4949999999999992</v>
      </c>
      <c r="Y90" s="242">
        <f t="shared" si="10"/>
        <v>9.4949999999999992</v>
      </c>
      <c r="Z90" s="242">
        <f t="shared" si="10"/>
        <v>9.4949999999999992</v>
      </c>
      <c r="AA90" s="242">
        <f t="shared" si="10"/>
        <v>9.4949999999999992</v>
      </c>
      <c r="AB90" s="241">
        <f t="shared" si="10"/>
        <v>9.4949999999999992</v>
      </c>
      <c r="AC90" s="242">
        <f t="shared" si="10"/>
        <v>9.4949999999999992</v>
      </c>
      <c r="AD90" s="242">
        <f t="shared" si="10"/>
        <v>9.4949999999999992</v>
      </c>
      <c r="AE90" s="242">
        <f t="shared" si="10"/>
        <v>9.4949999999999992</v>
      </c>
      <c r="AF90" s="242">
        <f t="shared" si="10"/>
        <v>9.4949999999999992</v>
      </c>
      <c r="AG90" s="242">
        <f t="shared" si="10"/>
        <v>9.4949999999999992</v>
      </c>
      <c r="AH90" s="242">
        <f t="shared" si="10"/>
        <v>9.4949999999999992</v>
      </c>
      <c r="AI90" s="242">
        <f t="shared" si="10"/>
        <v>9.4949999999999992</v>
      </c>
      <c r="AJ90" s="242">
        <f t="shared" si="10"/>
        <v>9.4949999999999992</v>
      </c>
      <c r="AK90" s="242">
        <f t="shared" si="10"/>
        <v>9.4949999999999992</v>
      </c>
      <c r="AL90" s="242">
        <f t="shared" si="10"/>
        <v>9.4949999999999992</v>
      </c>
      <c r="AM90" s="242">
        <f t="shared" si="10"/>
        <v>9.4949999999999992</v>
      </c>
    </row>
    <row r="91" spans="2:39" s="239" customFormat="1" outlineLevel="1" x14ac:dyDescent="0.25">
      <c r="B91" s="239" t="str">
        <v>FlisAffald</v>
      </c>
      <c r="C91" s="240" t="s">
        <v>254</v>
      </c>
      <c r="D91" s="391">
        <f>IF(FixAffald2021&lt;&gt;0,Affald2021!C29,IF(AND($I25&lt;&gt;0,$G25=0),$M25/12,0))</f>
        <v>17.683333333333334</v>
      </c>
      <c r="E91" s="392">
        <f>IF(FixAffald2021&lt;&gt;0,Affald2021!D29,IF(AND($I25&lt;&gt;0,$G25=0),$M25/12,0))</f>
        <v>17.683333333333334</v>
      </c>
      <c r="F91" s="392">
        <f>IF(FixAffald2021&lt;&gt;0,Affald2021!E29,IF(AND($I25&lt;&gt;0,$G25=0),$M25/12,0))</f>
        <v>17.683333333333334</v>
      </c>
      <c r="G91" s="392">
        <f>IF(FixAffald2021&lt;&gt;0,Affald2021!F29,IF(AND($I25&lt;&gt;0,$G25=0),$M25/12,0))</f>
        <v>17.683333333333334</v>
      </c>
      <c r="H91" s="392">
        <f>IF(FixAffald2021&lt;&gt;0,Affald2021!G29,IF(AND($I25&lt;&gt;0,$G25=0),$M25/12,0))</f>
        <v>17.683333333333334</v>
      </c>
      <c r="I91" s="392">
        <f>IF(FixAffald2021&lt;&gt;0,Affald2021!H29,IF(AND($I25&lt;&gt;0,$G25=0),$M25/12,0))</f>
        <v>17.683333333333334</v>
      </c>
      <c r="J91" s="392">
        <f>IF(FixAffald2021&lt;&gt;0,Affald2021!I29,IF(AND($I25&lt;&gt;0,$G25=0),$M25/12,0))</f>
        <v>17.683333333333334</v>
      </c>
      <c r="K91" s="392">
        <f>IF(FixAffald2021&lt;&gt;0,Affald2021!J29,IF(AND($I25&lt;&gt;0,$G25=0),$M25/12,0))</f>
        <v>17.683333333333334</v>
      </c>
      <c r="L91" s="392">
        <f>IF(FixAffald2021&lt;&gt;0,Affald2021!K29,IF(AND($I25&lt;&gt;0,$G25=0),$M25/12,0))</f>
        <v>17.683333333333334</v>
      </c>
      <c r="M91" s="392">
        <f>IF(FixAffald2021&lt;&gt;0,Affald2021!L29,IF(AND($I25&lt;&gt;0,$G25=0),$M25/12,0))</f>
        <v>17.683333333333334</v>
      </c>
      <c r="N91" s="392">
        <f>IF(FixAffald2021&lt;&gt;0,Affald2021!M29,IF(AND($I25&lt;&gt;0,$G25=0),$M25/12,0))</f>
        <v>17.683333333333334</v>
      </c>
      <c r="O91" s="392">
        <f>IF(FixAffald2021&lt;&gt;0,Affald2021!N29,IF(AND($I25&lt;&gt;0,$G25=0),$M25/12,0))</f>
        <v>17.683333333333334</v>
      </c>
      <c r="P91" s="241">
        <f t="shared" si="9"/>
        <v>17.683333333333334</v>
      </c>
      <c r="Q91" s="242">
        <f t="shared" si="10"/>
        <v>17.683333333333334</v>
      </c>
      <c r="R91" s="242">
        <f t="shared" si="10"/>
        <v>17.683333333333334</v>
      </c>
      <c r="S91" s="242">
        <f t="shared" si="10"/>
        <v>17.683333333333334</v>
      </c>
      <c r="T91" s="242">
        <f t="shared" si="10"/>
        <v>17.683333333333334</v>
      </c>
      <c r="U91" s="242">
        <f t="shared" si="10"/>
        <v>17.683333333333334</v>
      </c>
      <c r="V91" s="242">
        <f t="shared" si="10"/>
        <v>17.683333333333334</v>
      </c>
      <c r="W91" s="242">
        <f t="shared" si="10"/>
        <v>17.683333333333334</v>
      </c>
      <c r="X91" s="242">
        <f t="shared" si="10"/>
        <v>17.683333333333334</v>
      </c>
      <c r="Y91" s="242">
        <f t="shared" si="10"/>
        <v>17.683333333333334</v>
      </c>
      <c r="Z91" s="242">
        <f t="shared" si="10"/>
        <v>17.683333333333334</v>
      </c>
      <c r="AA91" s="242">
        <f t="shared" si="10"/>
        <v>17.683333333333334</v>
      </c>
      <c r="AB91" s="241">
        <f t="shared" si="10"/>
        <v>17.683333333333334</v>
      </c>
      <c r="AC91" s="242">
        <f t="shared" si="10"/>
        <v>17.683333333333334</v>
      </c>
      <c r="AD91" s="242">
        <f t="shared" si="10"/>
        <v>17.683333333333334</v>
      </c>
      <c r="AE91" s="242">
        <f t="shared" si="10"/>
        <v>17.683333333333334</v>
      </c>
      <c r="AF91" s="242">
        <f t="shared" si="10"/>
        <v>17.683333333333334</v>
      </c>
      <c r="AG91" s="242">
        <f t="shared" si="10"/>
        <v>17.683333333333334</v>
      </c>
      <c r="AH91" s="242">
        <f t="shared" si="10"/>
        <v>17.683333333333334</v>
      </c>
      <c r="AI91" s="242">
        <f t="shared" si="10"/>
        <v>17.683333333333334</v>
      </c>
      <c r="AJ91" s="242">
        <f t="shared" si="10"/>
        <v>17.683333333333334</v>
      </c>
      <c r="AK91" s="242">
        <f t="shared" si="10"/>
        <v>17.683333333333334</v>
      </c>
      <c r="AL91" s="242">
        <f t="shared" si="10"/>
        <v>17.683333333333334</v>
      </c>
      <c r="AM91" s="242">
        <f t="shared" si="10"/>
        <v>17.683333333333334</v>
      </c>
    </row>
    <row r="92" spans="2:39" s="239" customFormat="1" outlineLevel="1" x14ac:dyDescent="0.25">
      <c r="B92" s="239" t="str">
        <v>NyAff1</v>
      </c>
      <c r="C92" s="240" t="s">
        <v>254</v>
      </c>
      <c r="D92" s="241">
        <f>IF(FixAffald2021&lt;&gt;0,Affald2021!C30,IF(AND($I26&lt;&gt;0,$G26=0),$M26/12,0))</f>
        <v>0</v>
      </c>
      <c r="E92" s="242">
        <f>IF(FixAffald2021&lt;&gt;0,Affald2021!D30,IF(AND($I26&lt;&gt;0,$G26=0),$M26/12,0))</f>
        <v>0</v>
      </c>
      <c r="F92" s="242">
        <f>IF(FixAffald2021&lt;&gt;0,Affald2021!E30,IF(AND($I26&lt;&gt;0,$G26=0),$M26/12,0))</f>
        <v>0</v>
      </c>
      <c r="G92" s="242">
        <f>IF(FixAffald2021&lt;&gt;0,Affald2021!F30,IF(AND($I26&lt;&gt;0,$G26=0),$M26/12,0))</f>
        <v>0</v>
      </c>
      <c r="H92" s="242">
        <f>IF(FixAffald2021&lt;&gt;0,Affald2021!G30,IF(AND($I26&lt;&gt;0,$G26=0),$M26/12,0))</f>
        <v>0</v>
      </c>
      <c r="I92" s="242">
        <f>IF(FixAffald2021&lt;&gt;0,Affald2021!H30,IF(AND($I26&lt;&gt;0,$G26=0),$M26/12,0))</f>
        <v>0</v>
      </c>
      <c r="J92" s="242">
        <f>IF(FixAffald2021&lt;&gt;0,Affald2021!I30,IF(AND($I26&lt;&gt;0,$G26=0),$M26/12,0))</f>
        <v>0</v>
      </c>
      <c r="K92" s="242">
        <f>IF(FixAffald2021&lt;&gt;0,Affald2021!J30,IF(AND($I26&lt;&gt;0,$G26=0),$M26/12,0))</f>
        <v>0</v>
      </c>
      <c r="L92" s="242">
        <f>IF(FixAffald2021&lt;&gt;0,Affald2021!K30,IF(AND($I26&lt;&gt;0,$G26=0),$M26/12,0))</f>
        <v>0</v>
      </c>
      <c r="M92" s="242">
        <f>IF(FixAffald2021&lt;&gt;0,Affald2021!L30,IF(AND($I26&lt;&gt;0,$G26=0),$M26/12,0))</f>
        <v>0</v>
      </c>
      <c r="N92" s="242">
        <f>IF(FixAffald2021&lt;&gt;0,Affald2021!M30,IF(AND($I26&lt;&gt;0,$G26=0),$M26/12,0))</f>
        <v>0</v>
      </c>
      <c r="O92" s="242">
        <f>IF(FixAffald2021&lt;&gt;0,Affald2021!N30,IF(AND($I26&lt;&gt;0,$G26=0),$M26/12,0))</f>
        <v>0</v>
      </c>
      <c r="P92" s="241">
        <f t="shared" si="9"/>
        <v>0</v>
      </c>
      <c r="Q92" s="242">
        <f t="shared" si="10"/>
        <v>0</v>
      </c>
      <c r="R92" s="242">
        <f t="shared" si="10"/>
        <v>0</v>
      </c>
      <c r="S92" s="242">
        <f t="shared" si="10"/>
        <v>0</v>
      </c>
      <c r="T92" s="242">
        <f t="shared" si="10"/>
        <v>0</v>
      </c>
      <c r="U92" s="242">
        <f t="shared" si="10"/>
        <v>0</v>
      </c>
      <c r="V92" s="242">
        <f t="shared" si="10"/>
        <v>0</v>
      </c>
      <c r="W92" s="242">
        <f t="shared" si="10"/>
        <v>0</v>
      </c>
      <c r="X92" s="242">
        <f t="shared" si="10"/>
        <v>0</v>
      </c>
      <c r="Y92" s="242">
        <f t="shared" si="10"/>
        <v>0</v>
      </c>
      <c r="Z92" s="242">
        <f t="shared" si="10"/>
        <v>0</v>
      </c>
      <c r="AA92" s="242">
        <f t="shared" si="10"/>
        <v>0</v>
      </c>
      <c r="AB92" s="241">
        <f t="shared" si="10"/>
        <v>0</v>
      </c>
      <c r="AC92" s="242">
        <f t="shared" si="10"/>
        <v>0</v>
      </c>
      <c r="AD92" s="242">
        <f t="shared" si="10"/>
        <v>0</v>
      </c>
      <c r="AE92" s="242">
        <f t="shared" si="10"/>
        <v>0</v>
      </c>
      <c r="AF92" s="242">
        <f t="shared" si="10"/>
        <v>0</v>
      </c>
      <c r="AG92" s="242">
        <f t="shared" si="10"/>
        <v>0</v>
      </c>
      <c r="AH92" s="242">
        <f t="shared" si="10"/>
        <v>0</v>
      </c>
      <c r="AI92" s="242">
        <f t="shared" si="10"/>
        <v>0</v>
      </c>
      <c r="AJ92" s="242">
        <f t="shared" si="10"/>
        <v>0</v>
      </c>
      <c r="AK92" s="242">
        <f t="shared" si="10"/>
        <v>0</v>
      </c>
      <c r="AL92" s="242">
        <f t="shared" si="10"/>
        <v>0</v>
      </c>
      <c r="AM92" s="242">
        <f t="shared" si="10"/>
        <v>0</v>
      </c>
    </row>
    <row r="93" spans="2:39" s="239" customFormat="1" outlineLevel="1" x14ac:dyDescent="0.25">
      <c r="B93" s="239" t="str">
        <v>NyAff2</v>
      </c>
      <c r="C93" s="240" t="s">
        <v>254</v>
      </c>
      <c r="D93" s="241">
        <f>IF(FixAffald2021&lt;&gt;0,Affald2021!C31,IF(AND($I27&lt;&gt;0,$G27=0),$M27/12,0))</f>
        <v>0</v>
      </c>
      <c r="E93" s="242">
        <f>IF(FixAffald2021&lt;&gt;0,Affald2021!D31,IF(AND($I27&lt;&gt;0,$G27=0),$M27/12,0))</f>
        <v>0</v>
      </c>
      <c r="F93" s="242">
        <f>IF(FixAffald2021&lt;&gt;0,Affald2021!E31,IF(AND($I27&lt;&gt;0,$G27=0),$M27/12,0))</f>
        <v>0</v>
      </c>
      <c r="G93" s="242">
        <f>IF(FixAffald2021&lt;&gt;0,Affald2021!F31,IF(AND($I27&lt;&gt;0,$G27=0),$M27/12,0))</f>
        <v>0</v>
      </c>
      <c r="H93" s="242">
        <f>IF(FixAffald2021&lt;&gt;0,Affald2021!G31,IF(AND($I27&lt;&gt;0,$G27=0),$M27/12,0))</f>
        <v>0</v>
      </c>
      <c r="I93" s="242">
        <f>IF(FixAffald2021&lt;&gt;0,Affald2021!H31,IF(AND($I27&lt;&gt;0,$G27=0),$M27/12,0))</f>
        <v>0</v>
      </c>
      <c r="J93" s="242">
        <f>IF(FixAffald2021&lt;&gt;0,Affald2021!I31,IF(AND($I27&lt;&gt;0,$G27=0),$M27/12,0))</f>
        <v>0</v>
      </c>
      <c r="K93" s="242">
        <f>IF(FixAffald2021&lt;&gt;0,Affald2021!J31,IF(AND($I27&lt;&gt;0,$G27=0),$M27/12,0))</f>
        <v>0</v>
      </c>
      <c r="L93" s="242">
        <f>IF(FixAffald2021&lt;&gt;0,Affald2021!K31,IF(AND($I27&lt;&gt;0,$G27=0),$M27/12,0))</f>
        <v>0</v>
      </c>
      <c r="M93" s="242">
        <f>IF(FixAffald2021&lt;&gt;0,Affald2021!L31,IF(AND($I27&lt;&gt;0,$G27=0),$M27/12,0))</f>
        <v>0</v>
      </c>
      <c r="N93" s="242">
        <f>IF(FixAffald2021&lt;&gt;0,Affald2021!M31,IF(AND($I27&lt;&gt;0,$G27=0),$M27/12,0))</f>
        <v>0</v>
      </c>
      <c r="O93" s="242">
        <f>IF(FixAffald2021&lt;&gt;0,Affald2021!N31,IF(AND($I27&lt;&gt;0,$G27=0),$M27/12,0))</f>
        <v>0</v>
      </c>
      <c r="P93" s="241">
        <f t="shared" si="9"/>
        <v>0</v>
      </c>
      <c r="Q93" s="242">
        <f t="shared" si="10"/>
        <v>0</v>
      </c>
      <c r="R93" s="242">
        <f t="shared" si="10"/>
        <v>0</v>
      </c>
      <c r="S93" s="242">
        <f t="shared" si="10"/>
        <v>0</v>
      </c>
      <c r="T93" s="242">
        <f t="shared" si="10"/>
        <v>0</v>
      </c>
      <c r="U93" s="242">
        <f t="shared" si="10"/>
        <v>0</v>
      </c>
      <c r="V93" s="242">
        <f t="shared" si="10"/>
        <v>0</v>
      </c>
      <c r="W93" s="242">
        <f t="shared" si="10"/>
        <v>0</v>
      </c>
      <c r="X93" s="242">
        <f t="shared" si="10"/>
        <v>0</v>
      </c>
      <c r="Y93" s="242">
        <f t="shared" si="10"/>
        <v>0</v>
      </c>
      <c r="Z93" s="242">
        <f t="shared" si="10"/>
        <v>0</v>
      </c>
      <c r="AA93" s="242">
        <f t="shared" si="10"/>
        <v>0</v>
      </c>
      <c r="AB93" s="241">
        <f t="shared" si="10"/>
        <v>0</v>
      </c>
      <c r="AC93" s="242">
        <f t="shared" si="10"/>
        <v>0</v>
      </c>
      <c r="AD93" s="242">
        <f t="shared" si="10"/>
        <v>0</v>
      </c>
      <c r="AE93" s="242">
        <f t="shared" si="10"/>
        <v>0</v>
      </c>
      <c r="AF93" s="242">
        <f t="shared" si="10"/>
        <v>0</v>
      </c>
      <c r="AG93" s="242">
        <f t="shared" si="10"/>
        <v>0</v>
      </c>
      <c r="AH93" s="242">
        <f t="shared" si="10"/>
        <v>0</v>
      </c>
      <c r="AI93" s="242">
        <f t="shared" si="10"/>
        <v>0</v>
      </c>
      <c r="AJ93" s="242">
        <f t="shared" ref="Q93:AM99" si="11">IF(AND($I27&lt;&gt;0,$G27=0),$M27/12,0)</f>
        <v>0</v>
      </c>
      <c r="AK93" s="242">
        <f t="shared" si="11"/>
        <v>0</v>
      </c>
      <c r="AL93" s="242">
        <f t="shared" si="11"/>
        <v>0</v>
      </c>
      <c r="AM93" s="242">
        <f t="shared" si="11"/>
        <v>0</v>
      </c>
    </row>
    <row r="94" spans="2:39" s="239" customFormat="1" outlineLevel="1" x14ac:dyDescent="0.25">
      <c r="B94" s="239" t="str">
        <v>NyAff3</v>
      </c>
      <c r="C94" s="240" t="s">
        <v>254</v>
      </c>
      <c r="D94" s="241">
        <f>IF(FixAffald2021&lt;&gt;0,Affald2021!C32,IF(AND($I28&lt;&gt;0,$G28=0),$M28/12,0))</f>
        <v>0</v>
      </c>
      <c r="E94" s="242">
        <f>IF(FixAffald2021&lt;&gt;0,Affald2021!D32,IF(AND($I28&lt;&gt;0,$G28=0),$M28/12,0))</f>
        <v>0</v>
      </c>
      <c r="F94" s="242">
        <f>IF(FixAffald2021&lt;&gt;0,Affald2021!E32,IF(AND($I28&lt;&gt;0,$G28=0),$M28/12,0))</f>
        <v>0</v>
      </c>
      <c r="G94" s="242">
        <f>IF(FixAffald2021&lt;&gt;0,Affald2021!F32,IF(AND($I28&lt;&gt;0,$G28=0),$M28/12,0))</f>
        <v>0</v>
      </c>
      <c r="H94" s="242">
        <f>IF(FixAffald2021&lt;&gt;0,Affald2021!G32,IF(AND($I28&lt;&gt;0,$G28=0),$M28/12,0))</f>
        <v>0</v>
      </c>
      <c r="I94" s="242">
        <f>IF(FixAffald2021&lt;&gt;0,Affald2021!H32,IF(AND($I28&lt;&gt;0,$G28=0),$M28/12,0))</f>
        <v>0</v>
      </c>
      <c r="J94" s="242">
        <f>IF(FixAffald2021&lt;&gt;0,Affald2021!I32,IF(AND($I28&lt;&gt;0,$G28=0),$M28/12,0))</f>
        <v>0</v>
      </c>
      <c r="K94" s="242">
        <f>IF(FixAffald2021&lt;&gt;0,Affald2021!J32,IF(AND($I28&lt;&gt;0,$G28=0),$M28/12,0))</f>
        <v>0</v>
      </c>
      <c r="L94" s="242">
        <f>IF(FixAffald2021&lt;&gt;0,Affald2021!K32,IF(AND($I28&lt;&gt;0,$G28=0),$M28/12,0))</f>
        <v>0</v>
      </c>
      <c r="M94" s="242">
        <f>IF(FixAffald2021&lt;&gt;0,Affald2021!L32,IF(AND($I28&lt;&gt;0,$G28=0),$M28/12,0))</f>
        <v>0</v>
      </c>
      <c r="N94" s="242">
        <f>IF(FixAffald2021&lt;&gt;0,Affald2021!M32,IF(AND($I28&lt;&gt;0,$G28=0),$M28/12,0))</f>
        <v>0</v>
      </c>
      <c r="O94" s="242">
        <f>IF(FixAffald2021&lt;&gt;0,Affald2021!N32,IF(AND($I28&lt;&gt;0,$G28=0),$M28/12,0))</f>
        <v>0</v>
      </c>
      <c r="P94" s="241">
        <f t="shared" si="9"/>
        <v>0</v>
      </c>
      <c r="Q94" s="242">
        <f t="shared" si="11"/>
        <v>0</v>
      </c>
      <c r="R94" s="242">
        <f t="shared" si="11"/>
        <v>0</v>
      </c>
      <c r="S94" s="242">
        <f t="shared" si="11"/>
        <v>0</v>
      </c>
      <c r="T94" s="242">
        <f t="shared" si="11"/>
        <v>0</v>
      </c>
      <c r="U94" s="242">
        <f t="shared" si="11"/>
        <v>0</v>
      </c>
      <c r="V94" s="242">
        <f t="shared" si="11"/>
        <v>0</v>
      </c>
      <c r="W94" s="242">
        <f t="shared" si="11"/>
        <v>0</v>
      </c>
      <c r="X94" s="242">
        <f t="shared" si="11"/>
        <v>0</v>
      </c>
      <c r="Y94" s="242">
        <f t="shared" si="11"/>
        <v>0</v>
      </c>
      <c r="Z94" s="242">
        <f t="shared" si="11"/>
        <v>0</v>
      </c>
      <c r="AA94" s="242">
        <f t="shared" si="11"/>
        <v>0</v>
      </c>
      <c r="AB94" s="241">
        <f t="shared" si="11"/>
        <v>0</v>
      </c>
      <c r="AC94" s="242">
        <f t="shared" si="11"/>
        <v>0</v>
      </c>
      <c r="AD94" s="242">
        <f t="shared" si="11"/>
        <v>0</v>
      </c>
      <c r="AE94" s="242">
        <f t="shared" si="11"/>
        <v>0</v>
      </c>
      <c r="AF94" s="242">
        <f t="shared" si="11"/>
        <v>0</v>
      </c>
      <c r="AG94" s="242">
        <f t="shared" si="11"/>
        <v>0</v>
      </c>
      <c r="AH94" s="242">
        <f t="shared" si="11"/>
        <v>0</v>
      </c>
      <c r="AI94" s="242">
        <f t="shared" si="11"/>
        <v>0</v>
      </c>
      <c r="AJ94" s="242">
        <f t="shared" si="11"/>
        <v>0</v>
      </c>
      <c r="AK94" s="242">
        <f t="shared" si="11"/>
        <v>0</v>
      </c>
      <c r="AL94" s="242">
        <f t="shared" si="11"/>
        <v>0</v>
      </c>
      <c r="AM94" s="242">
        <f t="shared" si="11"/>
        <v>0</v>
      </c>
    </row>
    <row r="95" spans="2:39" s="239" customFormat="1" outlineLevel="1" x14ac:dyDescent="0.25">
      <c r="B95" s="239" t="str">
        <v>NyAff4</v>
      </c>
      <c r="C95" s="240" t="s">
        <v>254</v>
      </c>
      <c r="D95" s="241">
        <f>IF(FixAffald2021&lt;&gt;0,Affald2021!C33,IF(AND($I29&lt;&gt;0,$G29=0),$M29/12,0))</f>
        <v>0</v>
      </c>
      <c r="E95" s="242">
        <f>IF(FixAffald2021&lt;&gt;0,Affald2021!D33,IF(AND($I29&lt;&gt;0,$G29=0),$M29/12,0))</f>
        <v>0</v>
      </c>
      <c r="F95" s="242">
        <f>IF(FixAffald2021&lt;&gt;0,Affald2021!E33,IF(AND($I29&lt;&gt;0,$G29=0),$M29/12,0))</f>
        <v>0</v>
      </c>
      <c r="G95" s="242">
        <f>IF(FixAffald2021&lt;&gt;0,Affald2021!F33,IF(AND($I29&lt;&gt;0,$G29=0),$M29/12,0))</f>
        <v>0</v>
      </c>
      <c r="H95" s="242">
        <f>IF(FixAffald2021&lt;&gt;0,Affald2021!G33,IF(AND($I29&lt;&gt;0,$G29=0),$M29/12,0))</f>
        <v>0</v>
      </c>
      <c r="I95" s="242">
        <f>IF(FixAffald2021&lt;&gt;0,Affald2021!H33,IF(AND($I29&lt;&gt;0,$G29=0),$M29/12,0))</f>
        <v>0</v>
      </c>
      <c r="J95" s="242">
        <f>IF(FixAffald2021&lt;&gt;0,Affald2021!I33,IF(AND($I29&lt;&gt;0,$G29=0),$M29/12,0))</f>
        <v>0</v>
      </c>
      <c r="K95" s="242">
        <f>IF(FixAffald2021&lt;&gt;0,Affald2021!J33,IF(AND($I29&lt;&gt;0,$G29=0),$M29/12,0))</f>
        <v>0</v>
      </c>
      <c r="L95" s="242">
        <f>IF(FixAffald2021&lt;&gt;0,Affald2021!K33,IF(AND($I29&lt;&gt;0,$G29=0),$M29/12,0))</f>
        <v>0</v>
      </c>
      <c r="M95" s="242">
        <f>IF(FixAffald2021&lt;&gt;0,Affald2021!L33,IF(AND($I29&lt;&gt;0,$G29=0),$M29/12,0))</f>
        <v>0</v>
      </c>
      <c r="N95" s="242">
        <f>IF(FixAffald2021&lt;&gt;0,Affald2021!M33,IF(AND($I29&lt;&gt;0,$G29=0),$M29/12,0))</f>
        <v>0</v>
      </c>
      <c r="O95" s="242">
        <f>IF(FixAffald2021&lt;&gt;0,Affald2021!N33,IF(AND($I29&lt;&gt;0,$G29=0),$M29/12,0))</f>
        <v>0</v>
      </c>
      <c r="P95" s="241">
        <f t="shared" si="9"/>
        <v>0</v>
      </c>
      <c r="Q95" s="242">
        <f t="shared" si="11"/>
        <v>0</v>
      </c>
      <c r="R95" s="242">
        <f t="shared" si="11"/>
        <v>0</v>
      </c>
      <c r="S95" s="242">
        <f t="shared" si="11"/>
        <v>0</v>
      </c>
      <c r="T95" s="242">
        <f t="shared" si="11"/>
        <v>0</v>
      </c>
      <c r="U95" s="242">
        <f t="shared" si="11"/>
        <v>0</v>
      </c>
      <c r="V95" s="242">
        <f t="shared" si="11"/>
        <v>0</v>
      </c>
      <c r="W95" s="242">
        <f t="shared" si="11"/>
        <v>0</v>
      </c>
      <c r="X95" s="242">
        <f t="shared" si="11"/>
        <v>0</v>
      </c>
      <c r="Y95" s="242">
        <f t="shared" si="11"/>
        <v>0</v>
      </c>
      <c r="Z95" s="242">
        <f t="shared" si="11"/>
        <v>0</v>
      </c>
      <c r="AA95" s="242">
        <f t="shared" si="11"/>
        <v>0</v>
      </c>
      <c r="AB95" s="241">
        <f t="shared" si="11"/>
        <v>0</v>
      </c>
      <c r="AC95" s="242">
        <f t="shared" si="11"/>
        <v>0</v>
      </c>
      <c r="AD95" s="242">
        <f t="shared" si="11"/>
        <v>0</v>
      </c>
      <c r="AE95" s="242">
        <f t="shared" si="11"/>
        <v>0</v>
      </c>
      <c r="AF95" s="242">
        <f t="shared" si="11"/>
        <v>0</v>
      </c>
      <c r="AG95" s="242">
        <f t="shared" si="11"/>
        <v>0</v>
      </c>
      <c r="AH95" s="242">
        <f t="shared" si="11"/>
        <v>0</v>
      </c>
      <c r="AI95" s="242">
        <f t="shared" si="11"/>
        <v>0</v>
      </c>
      <c r="AJ95" s="242">
        <f t="shared" si="11"/>
        <v>0</v>
      </c>
      <c r="AK95" s="242">
        <f t="shared" si="11"/>
        <v>0</v>
      </c>
      <c r="AL95" s="242">
        <f t="shared" si="11"/>
        <v>0</v>
      </c>
      <c r="AM95" s="242">
        <f t="shared" si="11"/>
        <v>0</v>
      </c>
    </row>
    <row r="96" spans="2:39" s="239" customFormat="1" outlineLevel="1" x14ac:dyDescent="0.25">
      <c r="B96" s="239" t="str">
        <v>NyAff5</v>
      </c>
      <c r="C96" s="240" t="s">
        <v>254</v>
      </c>
      <c r="D96" s="241">
        <f>IF(FixAffald2021&lt;&gt;0,Affald2021!C34,IF(AND($I30&lt;&gt;0,$G30=0),$M30/12,0))</f>
        <v>0</v>
      </c>
      <c r="E96" s="242">
        <f>IF(FixAffald2021&lt;&gt;0,Affald2021!D34,IF(AND($I30&lt;&gt;0,$G30=0),$M30/12,0))</f>
        <v>0</v>
      </c>
      <c r="F96" s="242">
        <f>IF(FixAffald2021&lt;&gt;0,Affald2021!E34,IF(AND($I30&lt;&gt;0,$G30=0),$M30/12,0))</f>
        <v>0</v>
      </c>
      <c r="G96" s="242">
        <f>IF(FixAffald2021&lt;&gt;0,Affald2021!F34,IF(AND($I30&lt;&gt;0,$G30=0),$M30/12,0))</f>
        <v>0</v>
      </c>
      <c r="H96" s="242">
        <f>IF(FixAffald2021&lt;&gt;0,Affald2021!G34,IF(AND($I30&lt;&gt;0,$G30=0),$M30/12,0))</f>
        <v>0</v>
      </c>
      <c r="I96" s="242">
        <f>IF(FixAffald2021&lt;&gt;0,Affald2021!H34,IF(AND($I30&lt;&gt;0,$G30=0),$M30/12,0))</f>
        <v>0</v>
      </c>
      <c r="J96" s="242">
        <f>IF(FixAffald2021&lt;&gt;0,Affald2021!I34,IF(AND($I30&lt;&gt;0,$G30=0),$M30/12,0))</f>
        <v>0</v>
      </c>
      <c r="K96" s="242">
        <f>IF(FixAffald2021&lt;&gt;0,Affald2021!J34,IF(AND($I30&lt;&gt;0,$G30=0),$M30/12,0))</f>
        <v>0</v>
      </c>
      <c r="L96" s="242">
        <f>IF(FixAffald2021&lt;&gt;0,Affald2021!K34,IF(AND($I30&lt;&gt;0,$G30=0),$M30/12,0))</f>
        <v>0</v>
      </c>
      <c r="M96" s="242">
        <f>IF(FixAffald2021&lt;&gt;0,Affald2021!L34,IF(AND($I30&lt;&gt;0,$G30=0),$M30/12,0))</f>
        <v>0</v>
      </c>
      <c r="N96" s="242">
        <f>IF(FixAffald2021&lt;&gt;0,Affald2021!M34,IF(AND($I30&lt;&gt;0,$G30=0),$M30/12,0))</f>
        <v>0</v>
      </c>
      <c r="O96" s="242">
        <f>IF(FixAffald2021&lt;&gt;0,Affald2021!N34,IF(AND($I30&lt;&gt;0,$G30=0),$M30/12,0))</f>
        <v>0</v>
      </c>
      <c r="P96" s="241">
        <f t="shared" si="9"/>
        <v>0</v>
      </c>
      <c r="Q96" s="242">
        <f t="shared" si="11"/>
        <v>0</v>
      </c>
      <c r="R96" s="242">
        <f t="shared" si="11"/>
        <v>0</v>
      </c>
      <c r="S96" s="242">
        <f t="shared" si="11"/>
        <v>0</v>
      </c>
      <c r="T96" s="242">
        <f t="shared" si="11"/>
        <v>0</v>
      </c>
      <c r="U96" s="242">
        <f t="shared" si="11"/>
        <v>0</v>
      </c>
      <c r="V96" s="242">
        <f t="shared" si="11"/>
        <v>0</v>
      </c>
      <c r="W96" s="242">
        <f t="shared" si="11"/>
        <v>0</v>
      </c>
      <c r="X96" s="242">
        <f t="shared" si="11"/>
        <v>0</v>
      </c>
      <c r="Y96" s="242">
        <f t="shared" si="11"/>
        <v>0</v>
      </c>
      <c r="Z96" s="242">
        <f t="shared" si="11"/>
        <v>0</v>
      </c>
      <c r="AA96" s="242">
        <f t="shared" si="11"/>
        <v>0</v>
      </c>
      <c r="AB96" s="241">
        <f t="shared" si="11"/>
        <v>0</v>
      </c>
      <c r="AC96" s="242">
        <f t="shared" si="11"/>
        <v>0</v>
      </c>
      <c r="AD96" s="242">
        <f t="shared" si="11"/>
        <v>0</v>
      </c>
      <c r="AE96" s="242">
        <f t="shared" si="11"/>
        <v>0</v>
      </c>
      <c r="AF96" s="242">
        <f t="shared" si="11"/>
        <v>0</v>
      </c>
      <c r="AG96" s="242">
        <f t="shared" si="11"/>
        <v>0</v>
      </c>
      <c r="AH96" s="242">
        <f t="shared" si="11"/>
        <v>0</v>
      </c>
      <c r="AI96" s="242">
        <f t="shared" si="11"/>
        <v>0</v>
      </c>
      <c r="AJ96" s="242">
        <f t="shared" si="11"/>
        <v>0</v>
      </c>
      <c r="AK96" s="242">
        <f t="shared" si="11"/>
        <v>0</v>
      </c>
      <c r="AL96" s="242">
        <f t="shared" si="11"/>
        <v>0</v>
      </c>
      <c r="AM96" s="242">
        <f t="shared" si="11"/>
        <v>0</v>
      </c>
    </row>
    <row r="97" spans="1:39" outlineLevel="1" x14ac:dyDescent="0.25">
      <c r="A97" s="294"/>
      <c r="B97" t="str" cm="1">
        <f t="array" ref="B97:B99">ØvrigeBrændsler</f>
        <v>Flis</v>
      </c>
      <c r="C97" s="240" t="s">
        <v>254</v>
      </c>
      <c r="D97" s="241">
        <f>IF(FixAffald2021&lt;&gt;0,Affald2021!C35,IF(AND($I31&lt;&gt;0,$G31=0),$M31/12,0))</f>
        <v>0</v>
      </c>
      <c r="E97" s="242">
        <f>IF(FixAffald2021&lt;&gt;0,Affald2021!D35,IF(AND($I31&lt;&gt;0,$G31=0),$M31/12,0))</f>
        <v>0</v>
      </c>
      <c r="F97" s="242">
        <f>IF(FixAffald2021&lt;&gt;0,Affald2021!E35,IF(AND($I31&lt;&gt;0,$G31=0),$M31/12,0))</f>
        <v>0</v>
      </c>
      <c r="G97" s="242">
        <f>IF(FixAffald2021&lt;&gt;0,Affald2021!F35,IF(AND($I31&lt;&gt;0,$G31=0),$M31/12,0))</f>
        <v>0</v>
      </c>
      <c r="H97" s="242">
        <f>IF(FixAffald2021&lt;&gt;0,Affald2021!G35,IF(AND($I31&lt;&gt;0,$G31=0),$M31/12,0))</f>
        <v>0</v>
      </c>
      <c r="I97" s="242">
        <f>IF(FixAffald2021&lt;&gt;0,Affald2021!H35,IF(AND($I31&lt;&gt;0,$G31=0),$M31/12,0))</f>
        <v>0</v>
      </c>
      <c r="J97" s="242">
        <f>IF(FixAffald2021&lt;&gt;0,Affald2021!I35,IF(AND($I31&lt;&gt;0,$G31=0),$M31/12,0))</f>
        <v>0</v>
      </c>
      <c r="K97" s="242">
        <f>IF(FixAffald2021&lt;&gt;0,Affald2021!J35,IF(AND($I31&lt;&gt;0,$G31=0),$M31/12,0))</f>
        <v>0</v>
      </c>
      <c r="L97" s="242">
        <f>IF(FixAffald2021&lt;&gt;0,Affald2021!K35,IF(AND($I31&lt;&gt;0,$G31=0),$M31/12,0))</f>
        <v>0</v>
      </c>
      <c r="M97" s="242">
        <f>IF(FixAffald2021&lt;&gt;0,Affald2021!L35,IF(AND($I31&lt;&gt;0,$G31=0),$M31/12,0))</f>
        <v>0</v>
      </c>
      <c r="N97" s="242">
        <f>IF(FixAffald2021&lt;&gt;0,Affald2021!M35,IF(AND($I31&lt;&gt;0,$G31=0),$M31/12,0))</f>
        <v>0</v>
      </c>
      <c r="O97" s="242">
        <f>IF(FixAffald2021&lt;&gt;0,Affald2021!N35,IF(AND($I31&lt;&gt;0,$G31=0),$M31/12,0))</f>
        <v>0</v>
      </c>
      <c r="P97" s="241">
        <f t="shared" si="9"/>
        <v>0</v>
      </c>
      <c r="Q97" s="242">
        <f t="shared" si="11"/>
        <v>0</v>
      </c>
      <c r="R97" s="242">
        <f t="shared" si="11"/>
        <v>0</v>
      </c>
      <c r="S97" s="242">
        <f t="shared" si="11"/>
        <v>0</v>
      </c>
      <c r="T97" s="242">
        <f t="shared" si="11"/>
        <v>0</v>
      </c>
      <c r="U97" s="242">
        <f t="shared" si="11"/>
        <v>0</v>
      </c>
      <c r="V97" s="242">
        <f t="shared" si="11"/>
        <v>0</v>
      </c>
      <c r="W97" s="242">
        <f t="shared" si="11"/>
        <v>0</v>
      </c>
      <c r="X97" s="242">
        <f t="shared" si="11"/>
        <v>0</v>
      </c>
      <c r="Y97" s="242">
        <f t="shared" si="11"/>
        <v>0</v>
      </c>
      <c r="Z97" s="242">
        <f t="shared" si="11"/>
        <v>0</v>
      </c>
      <c r="AA97" s="242">
        <f t="shared" si="11"/>
        <v>0</v>
      </c>
      <c r="AB97" s="241">
        <f t="shared" si="11"/>
        <v>0</v>
      </c>
      <c r="AC97" s="242">
        <f t="shared" si="11"/>
        <v>0</v>
      </c>
      <c r="AD97" s="242">
        <f t="shared" si="11"/>
        <v>0</v>
      </c>
      <c r="AE97" s="242">
        <f t="shared" si="11"/>
        <v>0</v>
      </c>
      <c r="AF97" s="242">
        <f t="shared" si="11"/>
        <v>0</v>
      </c>
      <c r="AG97" s="242">
        <f t="shared" si="11"/>
        <v>0</v>
      </c>
      <c r="AH97" s="242">
        <f t="shared" si="11"/>
        <v>0</v>
      </c>
      <c r="AI97" s="242">
        <f t="shared" si="11"/>
        <v>0</v>
      </c>
      <c r="AJ97" s="242">
        <f t="shared" si="11"/>
        <v>0</v>
      </c>
      <c r="AK97" s="242">
        <f t="shared" si="11"/>
        <v>0</v>
      </c>
      <c r="AL97" s="242">
        <f t="shared" si="11"/>
        <v>0</v>
      </c>
      <c r="AM97" s="242">
        <f t="shared" si="11"/>
        <v>0</v>
      </c>
    </row>
    <row r="98" spans="1:39" outlineLevel="1" x14ac:dyDescent="0.25">
      <c r="A98" s="295"/>
      <c r="B98" t="str">
        <v>NSvarme</v>
      </c>
      <c r="C98" s="240" t="s">
        <v>254</v>
      </c>
      <c r="D98" s="241">
        <f>IF(FixAffald2021&lt;&gt;0,Affald2021!C36,IF(AND($I32&lt;&gt;0,$G32=0),$M32/12,0))</f>
        <v>0</v>
      </c>
      <c r="E98" s="242">
        <f>IF(FixAffald2021&lt;&gt;0,Affald2021!D36,IF(AND($I32&lt;&gt;0,$G32=0),$M32/12,0))</f>
        <v>0</v>
      </c>
      <c r="F98" s="242">
        <f>IF(FixAffald2021&lt;&gt;0,Affald2021!E36,IF(AND($I32&lt;&gt;0,$G32=0),$M32/12,0))</f>
        <v>0</v>
      </c>
      <c r="G98" s="242">
        <f>IF(FixAffald2021&lt;&gt;0,Affald2021!F36,IF(AND($I32&lt;&gt;0,$G32=0),$M32/12,0))</f>
        <v>0</v>
      </c>
      <c r="H98" s="242">
        <f>IF(FixAffald2021&lt;&gt;0,Affald2021!G36,IF(AND($I32&lt;&gt;0,$G32=0),$M32/12,0))</f>
        <v>0</v>
      </c>
      <c r="I98" s="242">
        <f>IF(FixAffald2021&lt;&gt;0,Affald2021!H36,IF(AND($I32&lt;&gt;0,$G32=0),$M32/12,0))</f>
        <v>0</v>
      </c>
      <c r="J98" s="242">
        <f>IF(FixAffald2021&lt;&gt;0,Affald2021!I36,IF(AND($I32&lt;&gt;0,$G32=0),$M32/12,0))</f>
        <v>0</v>
      </c>
      <c r="K98" s="242">
        <f>IF(FixAffald2021&lt;&gt;0,Affald2021!J36,IF(AND($I32&lt;&gt;0,$G32=0),$M32/12,0))</f>
        <v>0</v>
      </c>
      <c r="L98" s="242">
        <f>IF(FixAffald2021&lt;&gt;0,Affald2021!K36,IF(AND($I32&lt;&gt;0,$G32=0),$M32/12,0))</f>
        <v>0</v>
      </c>
      <c r="M98" s="242">
        <f>IF(FixAffald2021&lt;&gt;0,Affald2021!L36,IF(AND($I32&lt;&gt;0,$G32=0),$M32/12,0))</f>
        <v>0</v>
      </c>
      <c r="N98" s="242">
        <f>IF(FixAffald2021&lt;&gt;0,Affald2021!M36,IF(AND($I32&lt;&gt;0,$G32=0),$M32/12,0))</f>
        <v>0</v>
      </c>
      <c r="O98" s="242">
        <f>IF(FixAffald2021&lt;&gt;0,Affald2021!N36,IF(AND($I32&lt;&gt;0,$G32=0),$M32/12,0))</f>
        <v>0</v>
      </c>
      <c r="P98" s="241">
        <f t="shared" si="9"/>
        <v>0</v>
      </c>
      <c r="Q98" s="242">
        <f t="shared" si="11"/>
        <v>0</v>
      </c>
      <c r="R98" s="242">
        <f t="shared" si="11"/>
        <v>0</v>
      </c>
      <c r="S98" s="242">
        <f t="shared" si="11"/>
        <v>0</v>
      </c>
      <c r="T98" s="242">
        <f t="shared" si="11"/>
        <v>0</v>
      </c>
      <c r="U98" s="242">
        <f t="shared" si="11"/>
        <v>0</v>
      </c>
      <c r="V98" s="242">
        <f t="shared" si="11"/>
        <v>0</v>
      </c>
      <c r="W98" s="242">
        <f t="shared" si="11"/>
        <v>0</v>
      </c>
      <c r="X98" s="242">
        <f t="shared" si="11"/>
        <v>0</v>
      </c>
      <c r="Y98" s="242">
        <f t="shared" si="11"/>
        <v>0</v>
      </c>
      <c r="Z98" s="242">
        <f t="shared" si="11"/>
        <v>0</v>
      </c>
      <c r="AA98" s="242">
        <f t="shared" si="11"/>
        <v>0</v>
      </c>
      <c r="AB98" s="241">
        <f t="shared" si="11"/>
        <v>0</v>
      </c>
      <c r="AC98" s="242">
        <f t="shared" si="11"/>
        <v>0</v>
      </c>
      <c r="AD98" s="242">
        <f t="shared" si="11"/>
        <v>0</v>
      </c>
      <c r="AE98" s="242">
        <f t="shared" si="11"/>
        <v>0</v>
      </c>
      <c r="AF98" s="242">
        <f t="shared" si="11"/>
        <v>0</v>
      </c>
      <c r="AG98" s="242">
        <f t="shared" si="11"/>
        <v>0</v>
      </c>
      <c r="AH98" s="242">
        <f t="shared" si="11"/>
        <v>0</v>
      </c>
      <c r="AI98" s="242">
        <f t="shared" si="11"/>
        <v>0</v>
      </c>
      <c r="AJ98" s="242">
        <f t="shared" si="11"/>
        <v>0</v>
      </c>
      <c r="AK98" s="242">
        <f t="shared" si="11"/>
        <v>0</v>
      </c>
      <c r="AL98" s="242">
        <f t="shared" si="11"/>
        <v>0</v>
      </c>
      <c r="AM98" s="242">
        <f t="shared" si="11"/>
        <v>0</v>
      </c>
    </row>
    <row r="99" spans="1:39" outlineLevel="1" x14ac:dyDescent="0.25">
      <c r="A99" s="295"/>
      <c r="B99" t="str">
        <v>PeakFuel</v>
      </c>
      <c r="C99" s="240" t="s">
        <v>254</v>
      </c>
      <c r="D99" s="241">
        <f>IF(FixAffald2021&lt;&gt;0,Affald2021!C37,IF(AND($I33&lt;&gt;0,$G33=0),$M33/12,0))</f>
        <v>0</v>
      </c>
      <c r="E99" s="242">
        <f>IF(FixAffald2021&lt;&gt;0,Affald2021!D37,IF(AND($I33&lt;&gt;0,$G33=0),$M33/12,0))</f>
        <v>0</v>
      </c>
      <c r="F99" s="242">
        <f>IF(FixAffald2021&lt;&gt;0,Affald2021!E37,IF(AND($I33&lt;&gt;0,$G33=0),$M33/12,0))</f>
        <v>0</v>
      </c>
      <c r="G99" s="242">
        <f>IF(FixAffald2021&lt;&gt;0,Affald2021!F37,IF(AND($I33&lt;&gt;0,$G33=0),$M33/12,0))</f>
        <v>0</v>
      </c>
      <c r="H99" s="242">
        <f>IF(FixAffald2021&lt;&gt;0,Affald2021!G37,IF(AND($I33&lt;&gt;0,$G33=0),$M33/12,0))</f>
        <v>0</v>
      </c>
      <c r="I99" s="242">
        <f>IF(FixAffald2021&lt;&gt;0,Affald2021!H37,IF(AND($I33&lt;&gt;0,$G33=0),$M33/12,0))</f>
        <v>0</v>
      </c>
      <c r="J99" s="242">
        <f>IF(FixAffald2021&lt;&gt;0,Affald2021!I37,IF(AND($I33&lt;&gt;0,$G33=0),$M33/12,0))</f>
        <v>0</v>
      </c>
      <c r="K99" s="242">
        <f>IF(FixAffald2021&lt;&gt;0,Affald2021!J37,IF(AND($I33&lt;&gt;0,$G33=0),$M33/12,0))</f>
        <v>0</v>
      </c>
      <c r="L99" s="242">
        <f>IF(FixAffald2021&lt;&gt;0,Affald2021!K37,IF(AND($I33&lt;&gt;0,$G33=0),$M33/12,0))</f>
        <v>0</v>
      </c>
      <c r="M99" s="242">
        <f>IF(FixAffald2021&lt;&gt;0,Affald2021!L37,IF(AND($I33&lt;&gt;0,$G33=0),$M33/12,0))</f>
        <v>0</v>
      </c>
      <c r="N99" s="242">
        <f>IF(FixAffald2021&lt;&gt;0,Affald2021!M37,IF(AND($I33&lt;&gt;0,$G33=0),$M33/12,0))</f>
        <v>0</v>
      </c>
      <c r="O99" s="242">
        <f>IF(FixAffald2021&lt;&gt;0,Affald2021!N37,IF(AND($I33&lt;&gt;0,$G33=0),$M33/12,0))</f>
        <v>0</v>
      </c>
      <c r="P99" s="241">
        <f t="shared" si="9"/>
        <v>0</v>
      </c>
      <c r="Q99" s="242">
        <f t="shared" si="11"/>
        <v>0</v>
      </c>
      <c r="R99" s="242">
        <f t="shared" si="11"/>
        <v>0</v>
      </c>
      <c r="S99" s="242">
        <f t="shared" si="11"/>
        <v>0</v>
      </c>
      <c r="T99" s="242">
        <f t="shared" si="11"/>
        <v>0</v>
      </c>
      <c r="U99" s="242">
        <f t="shared" si="11"/>
        <v>0</v>
      </c>
      <c r="V99" s="242">
        <f t="shared" si="11"/>
        <v>0</v>
      </c>
      <c r="W99" s="242">
        <f t="shared" si="11"/>
        <v>0</v>
      </c>
      <c r="X99" s="242">
        <f t="shared" si="11"/>
        <v>0</v>
      </c>
      <c r="Y99" s="242">
        <f t="shared" si="11"/>
        <v>0</v>
      </c>
      <c r="Z99" s="242">
        <f t="shared" si="11"/>
        <v>0</v>
      </c>
      <c r="AA99" s="242">
        <f t="shared" si="11"/>
        <v>0</v>
      </c>
      <c r="AB99" s="241">
        <f t="shared" si="11"/>
        <v>0</v>
      </c>
      <c r="AC99" s="242">
        <f t="shared" si="11"/>
        <v>0</v>
      </c>
      <c r="AD99" s="242">
        <f t="shared" si="11"/>
        <v>0</v>
      </c>
      <c r="AE99" s="242">
        <f t="shared" si="11"/>
        <v>0</v>
      </c>
      <c r="AF99" s="242">
        <f t="shared" si="11"/>
        <v>0</v>
      </c>
      <c r="AG99" s="242">
        <f t="shared" si="11"/>
        <v>0</v>
      </c>
      <c r="AH99" s="242">
        <f t="shared" si="11"/>
        <v>0</v>
      </c>
      <c r="AI99" s="242">
        <f t="shared" si="11"/>
        <v>0</v>
      </c>
      <c r="AJ99" s="242">
        <f t="shared" si="11"/>
        <v>0</v>
      </c>
      <c r="AK99" s="242">
        <f t="shared" si="11"/>
        <v>0</v>
      </c>
      <c r="AL99" s="242">
        <f t="shared" si="11"/>
        <v>0</v>
      </c>
      <c r="AM99" s="242">
        <f t="shared" si="11"/>
        <v>0</v>
      </c>
    </row>
    <row r="100" spans="1:39" s="40" customFormat="1" ht="15.75" x14ac:dyDescent="0.25">
      <c r="A100" s="37" t="s">
        <v>114</v>
      </c>
      <c r="B100" s="36"/>
      <c r="C100" s="36"/>
      <c r="D100" s="38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8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8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</row>
    <row r="101" spans="1:39" s="243" customFormat="1" outlineLevel="1" x14ac:dyDescent="0.25">
      <c r="B101" s="243" t="str" cm="1">
        <f t="array" ref="B101:B126">Affaldsfraktioner</f>
        <v>DepoSort</v>
      </c>
      <c r="C101" s="244" t="s">
        <v>393</v>
      </c>
      <c r="D101" s="245">
        <f>$R5</f>
        <v>10.5</v>
      </c>
      <c r="E101" s="246">
        <f>$R5</f>
        <v>10.5</v>
      </c>
      <c r="F101" s="246">
        <f>$R5</f>
        <v>10.5</v>
      </c>
      <c r="G101" s="246">
        <f>$R5</f>
        <v>10.5</v>
      </c>
      <c r="H101" s="246">
        <f>$R5</f>
        <v>10.5</v>
      </c>
      <c r="I101" s="246">
        <f>$R5</f>
        <v>10.5</v>
      </c>
      <c r="J101" s="246">
        <f>$R5</f>
        <v>10.5</v>
      </c>
      <c r="K101" s="246">
        <f>$R5</f>
        <v>10.5</v>
      </c>
      <c r="L101" s="246">
        <f>$R5</f>
        <v>10.5</v>
      </c>
      <c r="M101" s="246">
        <f>$R5</f>
        <v>10.5</v>
      </c>
      <c r="N101" s="246">
        <f>$R5</f>
        <v>10.5</v>
      </c>
      <c r="O101" s="246">
        <f>$R5</f>
        <v>10.5</v>
      </c>
      <c r="P101" s="245">
        <f>$R5</f>
        <v>10.5</v>
      </c>
      <c r="Q101" s="246">
        <f>$R5</f>
        <v>10.5</v>
      </c>
      <c r="R101" s="246">
        <f>$R5</f>
        <v>10.5</v>
      </c>
      <c r="S101" s="246">
        <f>$R5</f>
        <v>10.5</v>
      </c>
      <c r="T101" s="246">
        <f>$R5</f>
        <v>10.5</v>
      </c>
      <c r="U101" s="246">
        <f>$R5</f>
        <v>10.5</v>
      </c>
      <c r="V101" s="246">
        <f>$R5</f>
        <v>10.5</v>
      </c>
      <c r="W101" s="246">
        <f>$R5</f>
        <v>10.5</v>
      </c>
      <c r="X101" s="246">
        <f>$R5</f>
        <v>10.5</v>
      </c>
      <c r="Y101" s="246">
        <f>$R5</f>
        <v>10.5</v>
      </c>
      <c r="Z101" s="246">
        <f>$R5</f>
        <v>10.5</v>
      </c>
      <c r="AA101" s="246">
        <f>$R5</f>
        <v>10.5</v>
      </c>
      <c r="AB101" s="245">
        <f>$R5</f>
        <v>10.5</v>
      </c>
      <c r="AC101" s="246">
        <f>$R5</f>
        <v>10.5</v>
      </c>
      <c r="AD101" s="246">
        <f>$R5</f>
        <v>10.5</v>
      </c>
      <c r="AE101" s="246">
        <f>$R5</f>
        <v>10.5</v>
      </c>
      <c r="AF101" s="246">
        <f>$R5</f>
        <v>10.5</v>
      </c>
      <c r="AG101" s="246">
        <f>$R5</f>
        <v>10.5</v>
      </c>
      <c r="AH101" s="246">
        <f>$R5</f>
        <v>10.5</v>
      </c>
      <c r="AI101" s="246">
        <f>$R5</f>
        <v>10.5</v>
      </c>
      <c r="AJ101" s="246">
        <f>$R5</f>
        <v>10.5</v>
      </c>
      <c r="AK101" s="246">
        <f>$R5</f>
        <v>10.5</v>
      </c>
      <c r="AL101" s="246">
        <f>$R5</f>
        <v>10.5</v>
      </c>
      <c r="AM101" s="246">
        <f>$R5</f>
        <v>10.5</v>
      </c>
    </row>
    <row r="102" spans="1:39" s="243" customFormat="1" outlineLevel="1" x14ac:dyDescent="0.25">
      <c r="B102" s="243" t="str">
        <v>DepoSmaat</v>
      </c>
      <c r="C102" s="244" t="s">
        <v>393</v>
      </c>
      <c r="D102" s="245">
        <f>$R6</f>
        <v>10.5</v>
      </c>
      <c r="E102" s="246">
        <f>$R6</f>
        <v>10.5</v>
      </c>
      <c r="F102" s="246">
        <f>$R6</f>
        <v>10.5</v>
      </c>
      <c r="G102" s="246">
        <f>$R6</f>
        <v>10.5</v>
      </c>
      <c r="H102" s="246">
        <f>$R6</f>
        <v>10.5</v>
      </c>
      <c r="I102" s="246">
        <f>$R6</f>
        <v>10.5</v>
      </c>
      <c r="J102" s="246">
        <f>$R6</f>
        <v>10.5</v>
      </c>
      <c r="K102" s="246">
        <f>$R6</f>
        <v>10.5</v>
      </c>
      <c r="L102" s="246">
        <f>$R6</f>
        <v>10.5</v>
      </c>
      <c r="M102" s="246">
        <f>$R6</f>
        <v>10.5</v>
      </c>
      <c r="N102" s="246">
        <f>$R6</f>
        <v>10.5</v>
      </c>
      <c r="O102" s="246">
        <f>$R6</f>
        <v>10.5</v>
      </c>
      <c r="P102" s="245">
        <f>$R6</f>
        <v>10.5</v>
      </c>
      <c r="Q102" s="246">
        <f>$R6</f>
        <v>10.5</v>
      </c>
      <c r="R102" s="246">
        <f>$R6</f>
        <v>10.5</v>
      </c>
      <c r="S102" s="246">
        <f>$R6</f>
        <v>10.5</v>
      </c>
      <c r="T102" s="246">
        <f>$R6</f>
        <v>10.5</v>
      </c>
      <c r="U102" s="246">
        <f>$R6</f>
        <v>10.5</v>
      </c>
      <c r="V102" s="246">
        <f>$R6</f>
        <v>10.5</v>
      </c>
      <c r="W102" s="246">
        <f>$R6</f>
        <v>10.5</v>
      </c>
      <c r="X102" s="246">
        <f>$R6</f>
        <v>10.5</v>
      </c>
      <c r="Y102" s="246">
        <f>$R6</f>
        <v>10.5</v>
      </c>
      <c r="Z102" s="246">
        <f>$R6</f>
        <v>10.5</v>
      </c>
      <c r="AA102" s="246">
        <f>$R6</f>
        <v>10.5</v>
      </c>
      <c r="AB102" s="245">
        <f>$R6</f>
        <v>10.5</v>
      </c>
      <c r="AC102" s="246">
        <f>$R6</f>
        <v>10.5</v>
      </c>
      <c r="AD102" s="246">
        <f>$R6</f>
        <v>10.5</v>
      </c>
      <c r="AE102" s="246">
        <f>$R6</f>
        <v>10.5</v>
      </c>
      <c r="AF102" s="246">
        <f>$R6</f>
        <v>10.5</v>
      </c>
      <c r="AG102" s="246">
        <f>$R6</f>
        <v>10.5</v>
      </c>
      <c r="AH102" s="246">
        <f>$R6</f>
        <v>10.5</v>
      </c>
      <c r="AI102" s="246">
        <f>$R6</f>
        <v>10.5</v>
      </c>
      <c r="AJ102" s="246">
        <f>$R6</f>
        <v>10.5</v>
      </c>
      <c r="AK102" s="246">
        <f>$R6</f>
        <v>10.5</v>
      </c>
      <c r="AL102" s="246">
        <f>$R6</f>
        <v>10.5</v>
      </c>
      <c r="AM102" s="246">
        <f>$R6</f>
        <v>10.5</v>
      </c>
    </row>
    <row r="103" spans="1:39" s="243" customFormat="1" outlineLevel="1" x14ac:dyDescent="0.25">
      <c r="B103" s="243" t="str">
        <v>DepoNedd</v>
      </c>
      <c r="C103" s="244" t="s">
        <v>393</v>
      </c>
      <c r="D103" s="245">
        <f>$R7</f>
        <v>10.5</v>
      </c>
      <c r="E103" s="246">
        <f>$R7</f>
        <v>10.5</v>
      </c>
      <c r="F103" s="246">
        <f>$R7</f>
        <v>10.5</v>
      </c>
      <c r="G103" s="246">
        <f>$R7</f>
        <v>10.5</v>
      </c>
      <c r="H103" s="246">
        <f>$R7</f>
        <v>10.5</v>
      </c>
      <c r="I103" s="246">
        <f>$R7</f>
        <v>10.5</v>
      </c>
      <c r="J103" s="246">
        <f>$R7</f>
        <v>10.5</v>
      </c>
      <c r="K103" s="246">
        <f>$R7</f>
        <v>10.5</v>
      </c>
      <c r="L103" s="246">
        <f>$R7</f>
        <v>10.5</v>
      </c>
      <c r="M103" s="246">
        <f>$R7</f>
        <v>10.5</v>
      </c>
      <c r="N103" s="246">
        <f>$R7</f>
        <v>10.5</v>
      </c>
      <c r="O103" s="246">
        <f>$R7</f>
        <v>10.5</v>
      </c>
      <c r="P103" s="245">
        <f>$R7</f>
        <v>10.5</v>
      </c>
      <c r="Q103" s="246">
        <f>$R7</f>
        <v>10.5</v>
      </c>
      <c r="R103" s="246">
        <f>$R7</f>
        <v>10.5</v>
      </c>
      <c r="S103" s="246">
        <f>$R7</f>
        <v>10.5</v>
      </c>
      <c r="T103" s="246">
        <f>$R7</f>
        <v>10.5</v>
      </c>
      <c r="U103" s="246">
        <f>$R7</f>
        <v>10.5</v>
      </c>
      <c r="V103" s="246">
        <f>$R7</f>
        <v>10.5</v>
      </c>
      <c r="W103" s="246">
        <f>$R7</f>
        <v>10.5</v>
      </c>
      <c r="X103" s="246">
        <f>$R7</f>
        <v>10.5</v>
      </c>
      <c r="Y103" s="246">
        <f>$R7</f>
        <v>10.5</v>
      </c>
      <c r="Z103" s="246">
        <f>$R7</f>
        <v>10.5</v>
      </c>
      <c r="AA103" s="246">
        <f>$R7</f>
        <v>10.5</v>
      </c>
      <c r="AB103" s="245">
        <f>$R7</f>
        <v>10.5</v>
      </c>
      <c r="AC103" s="246">
        <f>$R7</f>
        <v>10.5</v>
      </c>
      <c r="AD103" s="246">
        <f>$R7</f>
        <v>10.5</v>
      </c>
      <c r="AE103" s="246">
        <f>$R7</f>
        <v>10.5</v>
      </c>
      <c r="AF103" s="246">
        <f>$R7</f>
        <v>10.5</v>
      </c>
      <c r="AG103" s="246">
        <f>$R7</f>
        <v>10.5</v>
      </c>
      <c r="AH103" s="246">
        <f>$R7</f>
        <v>10.5</v>
      </c>
      <c r="AI103" s="246">
        <f>$R7</f>
        <v>10.5</v>
      </c>
      <c r="AJ103" s="246">
        <f>$R7</f>
        <v>10.5</v>
      </c>
      <c r="AK103" s="246">
        <f>$R7</f>
        <v>10.5</v>
      </c>
      <c r="AL103" s="246">
        <f>$R7</f>
        <v>10.5</v>
      </c>
      <c r="AM103" s="246">
        <f>$R7</f>
        <v>10.5</v>
      </c>
    </row>
    <row r="104" spans="1:39" s="243" customFormat="1" outlineLevel="1" x14ac:dyDescent="0.25">
      <c r="B104" s="243" t="str">
        <v>Dagren</v>
      </c>
      <c r="C104" s="244" t="s">
        <v>393</v>
      </c>
      <c r="D104" s="245">
        <f>$R8</f>
        <v>9.4</v>
      </c>
      <c r="E104" s="246">
        <f>$R8</f>
        <v>9.4</v>
      </c>
      <c r="F104" s="246">
        <f>$R8</f>
        <v>9.4</v>
      </c>
      <c r="G104" s="246">
        <f>$R8</f>
        <v>9.4</v>
      </c>
      <c r="H104" s="246">
        <f>$R8</f>
        <v>9.4</v>
      </c>
      <c r="I104" s="246">
        <f>$R8</f>
        <v>9.4</v>
      </c>
      <c r="J104" s="246">
        <f>$R8</f>
        <v>9.4</v>
      </c>
      <c r="K104" s="246">
        <f>$R8</f>
        <v>9.4</v>
      </c>
      <c r="L104" s="246">
        <f>$R8</f>
        <v>9.4</v>
      </c>
      <c r="M104" s="246">
        <f>$R8</f>
        <v>9.4</v>
      </c>
      <c r="N104" s="246">
        <f>$R8</f>
        <v>9.4</v>
      </c>
      <c r="O104" s="246">
        <f>$R8</f>
        <v>9.4</v>
      </c>
      <c r="P104" s="245">
        <f>$R8</f>
        <v>9.4</v>
      </c>
      <c r="Q104" s="246">
        <f>$R8</f>
        <v>9.4</v>
      </c>
      <c r="R104" s="246">
        <f>$R8</f>
        <v>9.4</v>
      </c>
      <c r="S104" s="246">
        <f>$R8</f>
        <v>9.4</v>
      </c>
      <c r="T104" s="246">
        <f>$R8</f>
        <v>9.4</v>
      </c>
      <c r="U104" s="246">
        <f>$R8</f>
        <v>9.4</v>
      </c>
      <c r="V104" s="246">
        <f>$R8</f>
        <v>9.4</v>
      </c>
      <c r="W104" s="246">
        <f>$R8</f>
        <v>9.4</v>
      </c>
      <c r="X104" s="246">
        <f>$R8</f>
        <v>9.4</v>
      </c>
      <c r="Y104" s="246">
        <f>$R8</f>
        <v>9.4</v>
      </c>
      <c r="Z104" s="246">
        <f>$R8</f>
        <v>9.4</v>
      </c>
      <c r="AA104" s="246">
        <f>$R8</f>
        <v>9.4</v>
      </c>
      <c r="AB104" s="245">
        <f>$R8</f>
        <v>9.4</v>
      </c>
      <c r="AC104" s="246">
        <f>$R8</f>
        <v>9.4</v>
      </c>
      <c r="AD104" s="246">
        <f>$R8</f>
        <v>9.4</v>
      </c>
      <c r="AE104" s="246">
        <f>$R8</f>
        <v>9.4</v>
      </c>
      <c r="AF104" s="246">
        <f>$R8</f>
        <v>9.4</v>
      </c>
      <c r="AG104" s="246">
        <f>$R8</f>
        <v>9.4</v>
      </c>
      <c r="AH104" s="246">
        <f>$R8</f>
        <v>9.4</v>
      </c>
      <c r="AI104" s="246">
        <f>$R8</f>
        <v>9.4</v>
      </c>
      <c r="AJ104" s="246">
        <f>$R8</f>
        <v>9.4</v>
      </c>
      <c r="AK104" s="246">
        <f>$R8</f>
        <v>9.4</v>
      </c>
      <c r="AL104" s="246">
        <f>$R8</f>
        <v>9.4</v>
      </c>
      <c r="AM104" s="246">
        <f>$R8</f>
        <v>9.4</v>
      </c>
    </row>
    <row r="105" spans="1:39" s="243" customFormat="1" outlineLevel="1" x14ac:dyDescent="0.25">
      <c r="B105" s="243" t="str">
        <v>AndetBrand</v>
      </c>
      <c r="C105" s="244" t="s">
        <v>393</v>
      </c>
      <c r="D105" s="245">
        <f>$R9</f>
        <v>10.5</v>
      </c>
      <c r="E105" s="246">
        <f>$R9</f>
        <v>10.5</v>
      </c>
      <c r="F105" s="246">
        <f>$R9</f>
        <v>10.5</v>
      </c>
      <c r="G105" s="246">
        <f>$R9</f>
        <v>10.5</v>
      </c>
      <c r="H105" s="246">
        <f>$R9</f>
        <v>10.5</v>
      </c>
      <c r="I105" s="246">
        <f>$R9</f>
        <v>10.5</v>
      </c>
      <c r="J105" s="246">
        <f>$R9</f>
        <v>10.5</v>
      </c>
      <c r="K105" s="246">
        <f>$R9</f>
        <v>10.5</v>
      </c>
      <c r="L105" s="246">
        <f>$R9</f>
        <v>10.5</v>
      </c>
      <c r="M105" s="246">
        <f>$R9</f>
        <v>10.5</v>
      </c>
      <c r="N105" s="246">
        <f>$R9</f>
        <v>10.5</v>
      </c>
      <c r="O105" s="246">
        <f>$R9</f>
        <v>10.5</v>
      </c>
      <c r="P105" s="245">
        <f>$R9</f>
        <v>10.5</v>
      </c>
      <c r="Q105" s="246">
        <f>$R9</f>
        <v>10.5</v>
      </c>
      <c r="R105" s="246">
        <f>$R9</f>
        <v>10.5</v>
      </c>
      <c r="S105" s="246">
        <f>$R9</f>
        <v>10.5</v>
      </c>
      <c r="T105" s="246">
        <f>$R9</f>
        <v>10.5</v>
      </c>
      <c r="U105" s="246">
        <f>$R9</f>
        <v>10.5</v>
      </c>
      <c r="V105" s="246">
        <f>$R9</f>
        <v>10.5</v>
      </c>
      <c r="W105" s="246">
        <f>$R9</f>
        <v>10.5</v>
      </c>
      <c r="X105" s="246">
        <f>$R9</f>
        <v>10.5</v>
      </c>
      <c r="Y105" s="246">
        <f>$R9</f>
        <v>10.5</v>
      </c>
      <c r="Z105" s="246">
        <f>$R9</f>
        <v>10.5</v>
      </c>
      <c r="AA105" s="246">
        <f>$R9</f>
        <v>10.5</v>
      </c>
      <c r="AB105" s="245">
        <f>$R9</f>
        <v>10.5</v>
      </c>
      <c r="AC105" s="246">
        <f>$R9</f>
        <v>10.5</v>
      </c>
      <c r="AD105" s="246">
        <f>$R9</f>
        <v>10.5</v>
      </c>
      <c r="AE105" s="246">
        <f>$R9</f>
        <v>10.5</v>
      </c>
      <c r="AF105" s="246">
        <f>$R9</f>
        <v>10.5</v>
      </c>
      <c r="AG105" s="246">
        <f>$R9</f>
        <v>10.5</v>
      </c>
      <c r="AH105" s="246">
        <f>$R9</f>
        <v>10.5</v>
      </c>
      <c r="AI105" s="246">
        <f>$R9</f>
        <v>10.5</v>
      </c>
      <c r="AJ105" s="246">
        <f>$R9</f>
        <v>10.5</v>
      </c>
      <c r="AK105" s="246">
        <f>$R9</f>
        <v>10.5</v>
      </c>
      <c r="AL105" s="246">
        <f>$R9</f>
        <v>10.5</v>
      </c>
      <c r="AM105" s="246">
        <f>$R9</f>
        <v>10.5</v>
      </c>
    </row>
    <row r="106" spans="1:39" s="243" customFormat="1" outlineLevel="1" x14ac:dyDescent="0.25">
      <c r="B106" s="243" t="str">
        <v>Trae</v>
      </c>
      <c r="C106" s="244" t="s">
        <v>393</v>
      </c>
      <c r="D106" s="245">
        <f>$R10</f>
        <v>14.5</v>
      </c>
      <c r="E106" s="246">
        <f>$R10</f>
        <v>14.5</v>
      </c>
      <c r="F106" s="246">
        <f>$R10</f>
        <v>14.5</v>
      </c>
      <c r="G106" s="246">
        <f>$R10</f>
        <v>14.5</v>
      </c>
      <c r="H106" s="246">
        <f>$R10</f>
        <v>14.5</v>
      </c>
      <c r="I106" s="246">
        <f>$R10</f>
        <v>14.5</v>
      </c>
      <c r="J106" s="246">
        <f>$R10</f>
        <v>14.5</v>
      </c>
      <c r="K106" s="246">
        <f>$R10</f>
        <v>14.5</v>
      </c>
      <c r="L106" s="246">
        <f>$R10</f>
        <v>14.5</v>
      </c>
      <c r="M106" s="246">
        <f>$R10</f>
        <v>14.5</v>
      </c>
      <c r="N106" s="246">
        <f>$R10</f>
        <v>14.5</v>
      </c>
      <c r="O106" s="246">
        <f>$R10</f>
        <v>14.5</v>
      </c>
      <c r="P106" s="245">
        <f>$R10</f>
        <v>14.5</v>
      </c>
      <c r="Q106" s="246">
        <f>$R10</f>
        <v>14.5</v>
      </c>
      <c r="R106" s="246">
        <f>$R10</f>
        <v>14.5</v>
      </c>
      <c r="S106" s="246">
        <f>$R10</f>
        <v>14.5</v>
      </c>
      <c r="T106" s="246">
        <f>$R10</f>
        <v>14.5</v>
      </c>
      <c r="U106" s="246">
        <f>$R10</f>
        <v>14.5</v>
      </c>
      <c r="V106" s="246">
        <f>$R10</f>
        <v>14.5</v>
      </c>
      <c r="W106" s="246">
        <f>$R10</f>
        <v>14.5</v>
      </c>
      <c r="X106" s="246">
        <f>$R10</f>
        <v>14.5</v>
      </c>
      <c r="Y106" s="246">
        <f>$R10</f>
        <v>14.5</v>
      </c>
      <c r="Z106" s="246">
        <f>$R10</f>
        <v>14.5</v>
      </c>
      <c r="AA106" s="246">
        <f>$R10</f>
        <v>14.5</v>
      </c>
      <c r="AB106" s="245">
        <f>$R10</f>
        <v>14.5</v>
      </c>
      <c r="AC106" s="246">
        <f>$R10</f>
        <v>14.5</v>
      </c>
      <c r="AD106" s="246">
        <f>$R10</f>
        <v>14.5</v>
      </c>
      <c r="AE106" s="246">
        <f>$R10</f>
        <v>14.5</v>
      </c>
      <c r="AF106" s="246">
        <f>$R10</f>
        <v>14.5</v>
      </c>
      <c r="AG106" s="246">
        <f>$R10</f>
        <v>14.5</v>
      </c>
      <c r="AH106" s="246">
        <f>$R10</f>
        <v>14.5</v>
      </c>
      <c r="AI106" s="246">
        <f>$R10</f>
        <v>14.5</v>
      </c>
      <c r="AJ106" s="246">
        <f>$R10</f>
        <v>14.5</v>
      </c>
      <c r="AK106" s="246">
        <f>$R10</f>
        <v>14.5</v>
      </c>
      <c r="AL106" s="246">
        <f>$R10</f>
        <v>14.5</v>
      </c>
      <c r="AM106" s="246">
        <f>$R10</f>
        <v>14.5</v>
      </c>
    </row>
    <row r="107" spans="1:39" s="243" customFormat="1" outlineLevel="1" x14ac:dyDescent="0.25">
      <c r="B107" s="243" t="str">
        <v>DagrenRast</v>
      </c>
      <c r="C107" s="244" t="s">
        <v>393</v>
      </c>
      <c r="D107" s="245">
        <f>$R11</f>
        <v>12</v>
      </c>
      <c r="E107" s="246">
        <f>$R11</f>
        <v>12</v>
      </c>
      <c r="F107" s="246">
        <f>$R11</f>
        <v>12</v>
      </c>
      <c r="G107" s="246">
        <f>$R11</f>
        <v>12</v>
      </c>
      <c r="H107" s="246">
        <f>$R11</f>
        <v>12</v>
      </c>
      <c r="I107" s="246">
        <f>$R11</f>
        <v>12</v>
      </c>
      <c r="J107" s="246">
        <f>$R11</f>
        <v>12</v>
      </c>
      <c r="K107" s="246">
        <f>$R11</f>
        <v>12</v>
      </c>
      <c r="L107" s="246">
        <f>$R11</f>
        <v>12</v>
      </c>
      <c r="M107" s="246">
        <f>$R11</f>
        <v>12</v>
      </c>
      <c r="N107" s="246">
        <f>$R11</f>
        <v>12</v>
      </c>
      <c r="O107" s="246">
        <f>$R11</f>
        <v>12</v>
      </c>
      <c r="P107" s="245">
        <f>$R11</f>
        <v>12</v>
      </c>
      <c r="Q107" s="246">
        <f>$R11</f>
        <v>12</v>
      </c>
      <c r="R107" s="246">
        <f>$R11</f>
        <v>12</v>
      </c>
      <c r="S107" s="246">
        <f>$R11</f>
        <v>12</v>
      </c>
      <c r="T107" s="246">
        <f>$R11</f>
        <v>12</v>
      </c>
      <c r="U107" s="246">
        <f>$R11</f>
        <v>12</v>
      </c>
      <c r="V107" s="246">
        <f>$R11</f>
        <v>12</v>
      </c>
      <c r="W107" s="246">
        <f>$R11</f>
        <v>12</v>
      </c>
      <c r="X107" s="246">
        <f>$R11</f>
        <v>12</v>
      </c>
      <c r="Y107" s="246">
        <f>$R11</f>
        <v>12</v>
      </c>
      <c r="Z107" s="246">
        <f>$R11</f>
        <v>12</v>
      </c>
      <c r="AA107" s="246">
        <f>$R11</f>
        <v>12</v>
      </c>
      <c r="AB107" s="245">
        <f>$R11</f>
        <v>12</v>
      </c>
      <c r="AC107" s="246">
        <f>$R11</f>
        <v>12</v>
      </c>
      <c r="AD107" s="246">
        <f>$R11</f>
        <v>12</v>
      </c>
      <c r="AE107" s="246">
        <f>$R11</f>
        <v>12</v>
      </c>
      <c r="AF107" s="246">
        <f>$R11</f>
        <v>12</v>
      </c>
      <c r="AG107" s="246">
        <f>$R11</f>
        <v>12</v>
      </c>
      <c r="AH107" s="246">
        <f>$R11</f>
        <v>12</v>
      </c>
      <c r="AI107" s="246">
        <f>$R11</f>
        <v>12</v>
      </c>
      <c r="AJ107" s="246">
        <f>$R11</f>
        <v>12</v>
      </c>
      <c r="AK107" s="246">
        <f>$R11</f>
        <v>12</v>
      </c>
      <c r="AL107" s="246">
        <f>$R11</f>
        <v>12</v>
      </c>
      <c r="AM107" s="246">
        <f>$R11</f>
        <v>12</v>
      </c>
    </row>
    <row r="108" spans="1:39" s="243" customFormat="1" outlineLevel="1" x14ac:dyDescent="0.25">
      <c r="B108" s="243" t="str">
        <v>DagrenInst</v>
      </c>
      <c r="C108" s="244" t="s">
        <v>393</v>
      </c>
      <c r="D108" s="245">
        <f>$R12</f>
        <v>9</v>
      </c>
      <c r="E108" s="246">
        <f>$R12</f>
        <v>9</v>
      </c>
      <c r="F108" s="246">
        <f>$R12</f>
        <v>9</v>
      </c>
      <c r="G108" s="246">
        <f>$R12</f>
        <v>9</v>
      </c>
      <c r="H108" s="246">
        <f>$R12</f>
        <v>9</v>
      </c>
      <c r="I108" s="246">
        <f>$R12</f>
        <v>9</v>
      </c>
      <c r="J108" s="246">
        <f>$R12</f>
        <v>9</v>
      </c>
      <c r="K108" s="246">
        <f>$R12</f>
        <v>9</v>
      </c>
      <c r="L108" s="246">
        <f>$R12</f>
        <v>9</v>
      </c>
      <c r="M108" s="246">
        <f>$R12</f>
        <v>9</v>
      </c>
      <c r="N108" s="246">
        <f>$R12</f>
        <v>9</v>
      </c>
      <c r="O108" s="246">
        <f>$R12</f>
        <v>9</v>
      </c>
      <c r="P108" s="245">
        <f>$R12</f>
        <v>9</v>
      </c>
      <c r="Q108" s="246">
        <f>$R12</f>
        <v>9</v>
      </c>
      <c r="R108" s="246">
        <f>$R12</f>
        <v>9</v>
      </c>
      <c r="S108" s="246">
        <f>$R12</f>
        <v>9</v>
      </c>
      <c r="T108" s="246">
        <f>$R12</f>
        <v>9</v>
      </c>
      <c r="U108" s="246">
        <f>$R12</f>
        <v>9</v>
      </c>
      <c r="V108" s="246">
        <f>$R12</f>
        <v>9</v>
      </c>
      <c r="W108" s="246">
        <f>$R12</f>
        <v>9</v>
      </c>
      <c r="X108" s="246">
        <f>$R12</f>
        <v>9</v>
      </c>
      <c r="Y108" s="246">
        <f>$R12</f>
        <v>9</v>
      </c>
      <c r="Z108" s="246">
        <f>$R12</f>
        <v>9</v>
      </c>
      <c r="AA108" s="246">
        <f>$R12</f>
        <v>9</v>
      </c>
      <c r="AB108" s="245">
        <f>$R12</f>
        <v>9</v>
      </c>
      <c r="AC108" s="246">
        <f>$R12</f>
        <v>9</v>
      </c>
      <c r="AD108" s="246">
        <f>$R12</f>
        <v>9</v>
      </c>
      <c r="AE108" s="246">
        <f>$R12</f>
        <v>9</v>
      </c>
      <c r="AF108" s="246">
        <f>$R12</f>
        <v>9</v>
      </c>
      <c r="AG108" s="246">
        <f>$R12</f>
        <v>9</v>
      </c>
      <c r="AH108" s="246">
        <f>$R12</f>
        <v>9</v>
      </c>
      <c r="AI108" s="246">
        <f>$R12</f>
        <v>9</v>
      </c>
      <c r="AJ108" s="246">
        <f>$R12</f>
        <v>9</v>
      </c>
      <c r="AK108" s="246">
        <f>$R12</f>
        <v>9</v>
      </c>
      <c r="AL108" s="246">
        <f>$R12</f>
        <v>9</v>
      </c>
      <c r="AM108" s="246">
        <f>$R12</f>
        <v>9</v>
      </c>
    </row>
    <row r="109" spans="1:39" s="243" customFormat="1" outlineLevel="1" x14ac:dyDescent="0.25">
      <c r="B109" s="243" t="str">
        <v>DagrenHandel</v>
      </c>
      <c r="C109" s="244" t="s">
        <v>393</v>
      </c>
      <c r="D109" s="245">
        <f>$R13</f>
        <v>11</v>
      </c>
      <c r="E109" s="246">
        <f>$R13</f>
        <v>11</v>
      </c>
      <c r="F109" s="246">
        <f>$R13</f>
        <v>11</v>
      </c>
      <c r="G109" s="246">
        <f>$R13</f>
        <v>11</v>
      </c>
      <c r="H109" s="246">
        <f>$R13</f>
        <v>11</v>
      </c>
      <c r="I109" s="246">
        <f>$R13</f>
        <v>11</v>
      </c>
      <c r="J109" s="246">
        <f>$R13</f>
        <v>11</v>
      </c>
      <c r="K109" s="246">
        <f>$R13</f>
        <v>11</v>
      </c>
      <c r="L109" s="246">
        <f>$R13</f>
        <v>11</v>
      </c>
      <c r="M109" s="246">
        <f>$R13</f>
        <v>11</v>
      </c>
      <c r="N109" s="246">
        <f>$R13</f>
        <v>11</v>
      </c>
      <c r="O109" s="246">
        <f>$R13</f>
        <v>11</v>
      </c>
      <c r="P109" s="245">
        <f>$R13</f>
        <v>11</v>
      </c>
      <c r="Q109" s="246">
        <f>$R13</f>
        <v>11</v>
      </c>
      <c r="R109" s="246">
        <f>$R13</f>
        <v>11</v>
      </c>
      <c r="S109" s="246">
        <f>$R13</f>
        <v>11</v>
      </c>
      <c r="T109" s="246">
        <f>$R13</f>
        <v>11</v>
      </c>
      <c r="U109" s="246">
        <f>$R13</f>
        <v>11</v>
      </c>
      <c r="V109" s="246">
        <f>$R13</f>
        <v>11</v>
      </c>
      <c r="W109" s="246">
        <f>$R13</f>
        <v>11</v>
      </c>
      <c r="X109" s="246">
        <f>$R13</f>
        <v>11</v>
      </c>
      <c r="Y109" s="246">
        <f>$R13</f>
        <v>11</v>
      </c>
      <c r="Z109" s="246">
        <f>$R13</f>
        <v>11</v>
      </c>
      <c r="AA109" s="246">
        <f>$R13</f>
        <v>11</v>
      </c>
      <c r="AB109" s="245">
        <f>$R13</f>
        <v>11</v>
      </c>
      <c r="AC109" s="246">
        <f>$R13</f>
        <v>11</v>
      </c>
      <c r="AD109" s="246">
        <f>$R13</f>
        <v>11</v>
      </c>
      <c r="AE109" s="246">
        <f>$R13</f>
        <v>11</v>
      </c>
      <c r="AF109" s="246">
        <f>$R13</f>
        <v>11</v>
      </c>
      <c r="AG109" s="246">
        <f>$R13</f>
        <v>11</v>
      </c>
      <c r="AH109" s="246">
        <f>$R13</f>
        <v>11</v>
      </c>
      <c r="AI109" s="246">
        <f>$R13</f>
        <v>11</v>
      </c>
      <c r="AJ109" s="246">
        <f>$R13</f>
        <v>11</v>
      </c>
      <c r="AK109" s="246">
        <f>$R13</f>
        <v>11</v>
      </c>
      <c r="AL109" s="246">
        <f>$R13</f>
        <v>11</v>
      </c>
      <c r="AM109" s="246">
        <f>$R13</f>
        <v>11</v>
      </c>
    </row>
    <row r="110" spans="1:39" s="243" customFormat="1" outlineLevel="1" x14ac:dyDescent="0.25">
      <c r="B110" s="243" t="str">
        <v>DagrenRestau</v>
      </c>
      <c r="C110" s="244" t="s">
        <v>393</v>
      </c>
      <c r="D110" s="245">
        <f>$R14</f>
        <v>9.5</v>
      </c>
      <c r="E110" s="246">
        <f>$R14</f>
        <v>9.5</v>
      </c>
      <c r="F110" s="246">
        <f>$R14</f>
        <v>9.5</v>
      </c>
      <c r="G110" s="246">
        <f>$R14</f>
        <v>9.5</v>
      </c>
      <c r="H110" s="246">
        <f>$R14</f>
        <v>9.5</v>
      </c>
      <c r="I110" s="246">
        <f>$R14</f>
        <v>9.5</v>
      </c>
      <c r="J110" s="246">
        <f>$R14</f>
        <v>9.5</v>
      </c>
      <c r="K110" s="246">
        <f>$R14</f>
        <v>9.5</v>
      </c>
      <c r="L110" s="246">
        <f>$R14</f>
        <v>9.5</v>
      </c>
      <c r="M110" s="246">
        <f>$R14</f>
        <v>9.5</v>
      </c>
      <c r="N110" s="246">
        <f>$R14</f>
        <v>9.5</v>
      </c>
      <c r="O110" s="246">
        <f>$R14</f>
        <v>9.5</v>
      </c>
      <c r="P110" s="245">
        <f>$R14</f>
        <v>9.5</v>
      </c>
      <c r="Q110" s="246">
        <f>$R14</f>
        <v>9.5</v>
      </c>
      <c r="R110" s="246">
        <f>$R14</f>
        <v>9.5</v>
      </c>
      <c r="S110" s="246">
        <f>$R14</f>
        <v>9.5</v>
      </c>
      <c r="T110" s="246">
        <f>$R14</f>
        <v>9.5</v>
      </c>
      <c r="U110" s="246">
        <f>$R14</f>
        <v>9.5</v>
      </c>
      <c r="V110" s="246">
        <f>$R14</f>
        <v>9.5</v>
      </c>
      <c r="W110" s="246">
        <f>$R14</f>
        <v>9.5</v>
      </c>
      <c r="X110" s="246">
        <f>$R14</f>
        <v>9.5</v>
      </c>
      <c r="Y110" s="246">
        <f>$R14</f>
        <v>9.5</v>
      </c>
      <c r="Z110" s="246">
        <f>$R14</f>
        <v>9.5</v>
      </c>
      <c r="AA110" s="246">
        <f>$R14</f>
        <v>9.5</v>
      </c>
      <c r="AB110" s="245">
        <f>$R14</f>
        <v>9.5</v>
      </c>
      <c r="AC110" s="246">
        <f>$R14</f>
        <v>9.5</v>
      </c>
      <c r="AD110" s="246">
        <f>$R14</f>
        <v>9.5</v>
      </c>
      <c r="AE110" s="246">
        <f>$R14</f>
        <v>9.5</v>
      </c>
      <c r="AF110" s="246">
        <f>$R14</f>
        <v>9.5</v>
      </c>
      <c r="AG110" s="246">
        <f>$R14</f>
        <v>9.5</v>
      </c>
      <c r="AH110" s="246">
        <f>$R14</f>
        <v>9.5</v>
      </c>
      <c r="AI110" s="246">
        <f>$R14</f>
        <v>9.5</v>
      </c>
      <c r="AJ110" s="246">
        <f>$R14</f>
        <v>9.5</v>
      </c>
      <c r="AK110" s="246">
        <f>$R14</f>
        <v>9.5</v>
      </c>
      <c r="AL110" s="246">
        <f>$R14</f>
        <v>9.5</v>
      </c>
      <c r="AM110" s="246">
        <f>$R14</f>
        <v>9.5</v>
      </c>
    </row>
    <row r="111" spans="1:39" s="243" customFormat="1" outlineLevel="1" x14ac:dyDescent="0.25">
      <c r="B111" s="243" t="str">
        <v>Erhverv</v>
      </c>
      <c r="C111" s="244" t="s">
        <v>393</v>
      </c>
      <c r="D111" s="245">
        <f>$R15</f>
        <v>9</v>
      </c>
      <c r="E111" s="246">
        <f>$R15</f>
        <v>9</v>
      </c>
      <c r="F111" s="246">
        <f>$R15</f>
        <v>9</v>
      </c>
      <c r="G111" s="246">
        <f>$R15</f>
        <v>9</v>
      </c>
      <c r="H111" s="246">
        <f>$R15</f>
        <v>9</v>
      </c>
      <c r="I111" s="246">
        <f>$R15</f>
        <v>9</v>
      </c>
      <c r="J111" s="246">
        <f>$R15</f>
        <v>9</v>
      </c>
      <c r="K111" s="246">
        <f>$R15</f>
        <v>9</v>
      </c>
      <c r="L111" s="246">
        <f>$R15</f>
        <v>9</v>
      </c>
      <c r="M111" s="246">
        <f>$R15</f>
        <v>9</v>
      </c>
      <c r="N111" s="246">
        <f>$R15</f>
        <v>9</v>
      </c>
      <c r="O111" s="246">
        <f>$R15</f>
        <v>9</v>
      </c>
      <c r="P111" s="245">
        <f>$R15</f>
        <v>9</v>
      </c>
      <c r="Q111" s="246">
        <f>$R15</f>
        <v>9</v>
      </c>
      <c r="R111" s="246">
        <f>$R15</f>
        <v>9</v>
      </c>
      <c r="S111" s="246">
        <f>$R15</f>
        <v>9</v>
      </c>
      <c r="T111" s="246">
        <f>$R15</f>
        <v>9</v>
      </c>
      <c r="U111" s="246">
        <f>$R15</f>
        <v>9</v>
      </c>
      <c r="V111" s="246">
        <f>$R15</f>
        <v>9</v>
      </c>
      <c r="W111" s="246">
        <f>$R15</f>
        <v>9</v>
      </c>
      <c r="X111" s="246">
        <f>$R15</f>
        <v>9</v>
      </c>
      <c r="Y111" s="246">
        <f>$R15</f>
        <v>9</v>
      </c>
      <c r="Z111" s="246">
        <f>$R15</f>
        <v>9</v>
      </c>
      <c r="AA111" s="246">
        <f>$R15</f>
        <v>9</v>
      </c>
      <c r="AB111" s="245">
        <f>$R15</f>
        <v>9</v>
      </c>
      <c r="AC111" s="246">
        <f>$R15</f>
        <v>9</v>
      </c>
      <c r="AD111" s="246">
        <f>$R15</f>
        <v>9</v>
      </c>
      <c r="AE111" s="246">
        <f>$R15</f>
        <v>9</v>
      </c>
      <c r="AF111" s="246">
        <f>$R15</f>
        <v>9</v>
      </c>
      <c r="AG111" s="246">
        <f>$R15</f>
        <v>9</v>
      </c>
      <c r="AH111" s="246">
        <f>$R15</f>
        <v>9</v>
      </c>
      <c r="AI111" s="246">
        <f>$R15</f>
        <v>9</v>
      </c>
      <c r="AJ111" s="246">
        <f>$R15</f>
        <v>9</v>
      </c>
      <c r="AK111" s="246">
        <f>$R15</f>
        <v>9</v>
      </c>
      <c r="AL111" s="246">
        <f>$R15</f>
        <v>9</v>
      </c>
      <c r="AM111" s="246">
        <f>$R15</f>
        <v>9</v>
      </c>
    </row>
    <row r="112" spans="1:39" s="243" customFormat="1" outlineLevel="1" x14ac:dyDescent="0.25">
      <c r="B112" s="243" t="str">
        <v>DagrenErhverv</v>
      </c>
      <c r="C112" s="244" t="s">
        <v>393</v>
      </c>
      <c r="D112" s="245">
        <f>$R16</f>
        <v>12</v>
      </c>
      <c r="E112" s="246">
        <f>$R16</f>
        <v>12</v>
      </c>
      <c r="F112" s="246">
        <f>$R16</f>
        <v>12</v>
      </c>
      <c r="G112" s="246">
        <f>$R16</f>
        <v>12</v>
      </c>
      <c r="H112" s="246">
        <f>$R16</f>
        <v>12</v>
      </c>
      <c r="I112" s="246">
        <f>$R16</f>
        <v>12</v>
      </c>
      <c r="J112" s="246">
        <f>$R16</f>
        <v>12</v>
      </c>
      <c r="K112" s="246">
        <f>$R16</f>
        <v>12</v>
      </c>
      <c r="L112" s="246">
        <f>$R16</f>
        <v>12</v>
      </c>
      <c r="M112" s="246">
        <f>$R16</f>
        <v>12</v>
      </c>
      <c r="N112" s="246">
        <f>$R16</f>
        <v>12</v>
      </c>
      <c r="O112" s="246">
        <f>$R16</f>
        <v>12</v>
      </c>
      <c r="P112" s="245">
        <f>$R16</f>
        <v>12</v>
      </c>
      <c r="Q112" s="246">
        <f>$R16</f>
        <v>12</v>
      </c>
      <c r="R112" s="246">
        <f>$R16</f>
        <v>12</v>
      </c>
      <c r="S112" s="246">
        <f>$R16</f>
        <v>12</v>
      </c>
      <c r="T112" s="246">
        <f>$R16</f>
        <v>12</v>
      </c>
      <c r="U112" s="246">
        <f>$R16</f>
        <v>12</v>
      </c>
      <c r="V112" s="246">
        <f>$R16</f>
        <v>12</v>
      </c>
      <c r="W112" s="246">
        <f>$R16</f>
        <v>12</v>
      </c>
      <c r="X112" s="246">
        <f>$R16</f>
        <v>12</v>
      </c>
      <c r="Y112" s="246">
        <f>$R16</f>
        <v>12</v>
      </c>
      <c r="Z112" s="246">
        <f>$R16</f>
        <v>12</v>
      </c>
      <c r="AA112" s="246">
        <f>$R16</f>
        <v>12</v>
      </c>
      <c r="AB112" s="245">
        <f>$R16</f>
        <v>12</v>
      </c>
      <c r="AC112" s="246">
        <f>$R16</f>
        <v>12</v>
      </c>
      <c r="AD112" s="246">
        <f>$R16</f>
        <v>12</v>
      </c>
      <c r="AE112" s="246">
        <f>$R16</f>
        <v>12</v>
      </c>
      <c r="AF112" s="246">
        <f>$R16</f>
        <v>12</v>
      </c>
      <c r="AG112" s="246">
        <f>$R16</f>
        <v>12</v>
      </c>
      <c r="AH112" s="246">
        <f>$R16</f>
        <v>12</v>
      </c>
      <c r="AI112" s="246">
        <f>$R16</f>
        <v>12</v>
      </c>
      <c r="AJ112" s="246">
        <f>$R16</f>
        <v>12</v>
      </c>
      <c r="AK112" s="246">
        <f>$R16</f>
        <v>12</v>
      </c>
      <c r="AL112" s="246">
        <f>$R16</f>
        <v>12</v>
      </c>
      <c r="AM112" s="246">
        <f>$R16</f>
        <v>12</v>
      </c>
    </row>
    <row r="113" spans="1:39" s="243" customFormat="1" outlineLevel="1" x14ac:dyDescent="0.25">
      <c r="B113" s="243" t="str">
        <v>HandelKontor</v>
      </c>
      <c r="C113" s="244" t="s">
        <v>393</v>
      </c>
      <c r="D113" s="245">
        <f>$R17</f>
        <v>10</v>
      </c>
      <c r="E113" s="246">
        <f>$R17</f>
        <v>10</v>
      </c>
      <c r="F113" s="246">
        <f>$R17</f>
        <v>10</v>
      </c>
      <c r="G113" s="246">
        <f>$R17</f>
        <v>10</v>
      </c>
      <c r="H113" s="246">
        <f>$R17</f>
        <v>10</v>
      </c>
      <c r="I113" s="246">
        <f>$R17</f>
        <v>10</v>
      </c>
      <c r="J113" s="246">
        <f>$R17</f>
        <v>10</v>
      </c>
      <c r="K113" s="246">
        <f>$R17</f>
        <v>10</v>
      </c>
      <c r="L113" s="246">
        <f>$R17</f>
        <v>10</v>
      </c>
      <c r="M113" s="246">
        <f>$R17</f>
        <v>10</v>
      </c>
      <c r="N113" s="246">
        <f>$R17</f>
        <v>10</v>
      </c>
      <c r="O113" s="246">
        <f>$R17</f>
        <v>10</v>
      </c>
      <c r="P113" s="245">
        <f>$R17</f>
        <v>10</v>
      </c>
      <c r="Q113" s="246">
        <f>$R17</f>
        <v>10</v>
      </c>
      <c r="R113" s="246">
        <f>$R17</f>
        <v>10</v>
      </c>
      <c r="S113" s="246">
        <f>$R17</f>
        <v>10</v>
      </c>
      <c r="T113" s="246">
        <f>$R17</f>
        <v>10</v>
      </c>
      <c r="U113" s="246">
        <f>$R17</f>
        <v>10</v>
      </c>
      <c r="V113" s="246">
        <f>$R17</f>
        <v>10</v>
      </c>
      <c r="W113" s="246">
        <f>$R17</f>
        <v>10</v>
      </c>
      <c r="X113" s="246">
        <f>$R17</f>
        <v>10</v>
      </c>
      <c r="Y113" s="246">
        <f>$R17</f>
        <v>10</v>
      </c>
      <c r="Z113" s="246">
        <f>$R17</f>
        <v>10</v>
      </c>
      <c r="AA113" s="246">
        <f>$R17</f>
        <v>10</v>
      </c>
      <c r="AB113" s="245">
        <f>$R17</f>
        <v>10</v>
      </c>
      <c r="AC113" s="246">
        <f>$R17</f>
        <v>10</v>
      </c>
      <c r="AD113" s="246">
        <f>$R17</f>
        <v>10</v>
      </c>
      <c r="AE113" s="246">
        <f>$R17</f>
        <v>10</v>
      </c>
      <c r="AF113" s="246">
        <f>$R17</f>
        <v>10</v>
      </c>
      <c r="AG113" s="246">
        <f>$R17</f>
        <v>10</v>
      </c>
      <c r="AH113" s="246">
        <f>$R17</f>
        <v>10</v>
      </c>
      <c r="AI113" s="246">
        <f>$R17</f>
        <v>10</v>
      </c>
      <c r="AJ113" s="246">
        <f>$R17</f>
        <v>10</v>
      </c>
      <c r="AK113" s="246">
        <f>$R17</f>
        <v>10</v>
      </c>
      <c r="AL113" s="246">
        <f>$R17</f>
        <v>10</v>
      </c>
      <c r="AM113" s="246">
        <f>$R17</f>
        <v>10</v>
      </c>
    </row>
    <row r="114" spans="1:39" s="243" customFormat="1" outlineLevel="1" x14ac:dyDescent="0.25">
      <c r="B114" s="243" t="str">
        <v>Privat</v>
      </c>
      <c r="C114" s="244" t="s">
        <v>393</v>
      </c>
      <c r="D114" s="245">
        <f>$R18</f>
        <v>11</v>
      </c>
      <c r="E114" s="246">
        <f>$R18</f>
        <v>11</v>
      </c>
      <c r="F114" s="246">
        <f>$R18</f>
        <v>11</v>
      </c>
      <c r="G114" s="246">
        <f>$R18</f>
        <v>11</v>
      </c>
      <c r="H114" s="246">
        <f>$R18</f>
        <v>11</v>
      </c>
      <c r="I114" s="246">
        <f>$R18</f>
        <v>11</v>
      </c>
      <c r="J114" s="246">
        <f>$R18</f>
        <v>11</v>
      </c>
      <c r="K114" s="246">
        <f>$R18</f>
        <v>11</v>
      </c>
      <c r="L114" s="246">
        <f>$R18</f>
        <v>11</v>
      </c>
      <c r="M114" s="246">
        <f>$R18</f>
        <v>11</v>
      </c>
      <c r="N114" s="246">
        <f>$R18</f>
        <v>11</v>
      </c>
      <c r="O114" s="246">
        <f>$R18</f>
        <v>11</v>
      </c>
      <c r="P114" s="245">
        <f>$R18</f>
        <v>11</v>
      </c>
      <c r="Q114" s="246">
        <f>$R18</f>
        <v>11</v>
      </c>
      <c r="R114" s="246">
        <f>$R18</f>
        <v>11</v>
      </c>
      <c r="S114" s="246">
        <f>$R18</f>
        <v>11</v>
      </c>
      <c r="T114" s="246">
        <f>$R18</f>
        <v>11</v>
      </c>
      <c r="U114" s="246">
        <f>$R18</f>
        <v>11</v>
      </c>
      <c r="V114" s="246">
        <f>$R18</f>
        <v>11</v>
      </c>
      <c r="W114" s="246">
        <f>$R18</f>
        <v>11</v>
      </c>
      <c r="X114" s="246">
        <f>$R18</f>
        <v>11</v>
      </c>
      <c r="Y114" s="246">
        <f>$R18</f>
        <v>11</v>
      </c>
      <c r="Z114" s="246">
        <f>$R18</f>
        <v>11</v>
      </c>
      <c r="AA114" s="246">
        <f>$R18</f>
        <v>11</v>
      </c>
      <c r="AB114" s="245">
        <f>$R18</f>
        <v>11</v>
      </c>
      <c r="AC114" s="246">
        <f>$R18</f>
        <v>11</v>
      </c>
      <c r="AD114" s="246">
        <f>$R18</f>
        <v>11</v>
      </c>
      <c r="AE114" s="246">
        <f>$R18</f>
        <v>11</v>
      </c>
      <c r="AF114" s="246">
        <f>$R18</f>
        <v>11</v>
      </c>
      <c r="AG114" s="246">
        <f>$R18</f>
        <v>11</v>
      </c>
      <c r="AH114" s="246">
        <f>$R18</f>
        <v>11</v>
      </c>
      <c r="AI114" s="246">
        <f>$R18</f>
        <v>11</v>
      </c>
      <c r="AJ114" s="246">
        <f>$R18</f>
        <v>11</v>
      </c>
      <c r="AK114" s="246">
        <f>$R18</f>
        <v>11</v>
      </c>
      <c r="AL114" s="246">
        <f>$R18</f>
        <v>11</v>
      </c>
      <c r="AM114" s="246">
        <f>$R18</f>
        <v>11</v>
      </c>
    </row>
    <row r="115" spans="1:39" s="243" customFormat="1" outlineLevel="1" x14ac:dyDescent="0.25">
      <c r="B115" s="243" t="str">
        <v>TyskRest</v>
      </c>
      <c r="C115" s="244" t="s">
        <v>393</v>
      </c>
      <c r="D115" s="245">
        <f>$R19</f>
        <v>10.5</v>
      </c>
      <c r="E115" s="246">
        <f>$R19</f>
        <v>10.5</v>
      </c>
      <c r="F115" s="246">
        <f>$R19</f>
        <v>10.5</v>
      </c>
      <c r="G115" s="246">
        <f>$R19</f>
        <v>10.5</v>
      </c>
      <c r="H115" s="246">
        <f>$R19</f>
        <v>10.5</v>
      </c>
      <c r="I115" s="246">
        <f>$R19</f>
        <v>10.5</v>
      </c>
      <c r="J115" s="246">
        <f>$R19</f>
        <v>10.5</v>
      </c>
      <c r="K115" s="246">
        <f>$R19</f>
        <v>10.5</v>
      </c>
      <c r="L115" s="246">
        <f>$R19</f>
        <v>10.5</v>
      </c>
      <c r="M115" s="246">
        <f>$R19</f>
        <v>10.5</v>
      </c>
      <c r="N115" s="246">
        <f>$R19</f>
        <v>10.5</v>
      </c>
      <c r="O115" s="246">
        <f>$R19</f>
        <v>10.5</v>
      </c>
      <c r="P115" s="245">
        <f>$R19</f>
        <v>10.5</v>
      </c>
      <c r="Q115" s="246">
        <f>$R19</f>
        <v>10.5</v>
      </c>
      <c r="R115" s="246">
        <f>$R19</f>
        <v>10.5</v>
      </c>
      <c r="S115" s="246">
        <f>$R19</f>
        <v>10.5</v>
      </c>
      <c r="T115" s="246">
        <f>$R19</f>
        <v>10.5</v>
      </c>
      <c r="U115" s="246">
        <f>$R19</f>
        <v>10.5</v>
      </c>
      <c r="V115" s="246">
        <f>$R19</f>
        <v>10.5</v>
      </c>
      <c r="W115" s="246">
        <f>$R19</f>
        <v>10.5</v>
      </c>
      <c r="X115" s="246">
        <f>$R19</f>
        <v>10.5</v>
      </c>
      <c r="Y115" s="246">
        <f>$R19</f>
        <v>10.5</v>
      </c>
      <c r="Z115" s="246">
        <f>$R19</f>
        <v>10.5</v>
      </c>
      <c r="AA115" s="246">
        <f>$R19</f>
        <v>10.5</v>
      </c>
      <c r="AB115" s="245">
        <f>$R19</f>
        <v>10.5</v>
      </c>
      <c r="AC115" s="246">
        <f>$R19</f>
        <v>10.5</v>
      </c>
      <c r="AD115" s="246">
        <f>$R19</f>
        <v>10.5</v>
      </c>
      <c r="AE115" s="246">
        <f>$R19</f>
        <v>10.5</v>
      </c>
      <c r="AF115" s="246">
        <f>$R19</f>
        <v>10.5</v>
      </c>
      <c r="AG115" s="246">
        <f>$R19</f>
        <v>10.5</v>
      </c>
      <c r="AH115" s="246">
        <f>$R19</f>
        <v>10.5</v>
      </c>
      <c r="AI115" s="246">
        <f>$R19</f>
        <v>10.5</v>
      </c>
      <c r="AJ115" s="246">
        <f>$R19</f>
        <v>10.5</v>
      </c>
      <c r="AK115" s="246">
        <f>$R19</f>
        <v>10.5</v>
      </c>
      <c r="AL115" s="246">
        <f>$R19</f>
        <v>10.5</v>
      </c>
      <c r="AM115" s="246">
        <f>$R19</f>
        <v>10.5</v>
      </c>
    </row>
    <row r="116" spans="1:39" s="243" customFormat="1" outlineLevel="1" x14ac:dyDescent="0.25">
      <c r="B116" s="243" t="str">
        <v>PolskRest</v>
      </c>
      <c r="C116" s="244" t="s">
        <v>393</v>
      </c>
      <c r="D116" s="245">
        <f>$R20</f>
        <v>10.5</v>
      </c>
      <c r="E116" s="246">
        <f>$R20</f>
        <v>10.5</v>
      </c>
      <c r="F116" s="246">
        <f>$R20</f>
        <v>10.5</v>
      </c>
      <c r="G116" s="246">
        <f>$R20</f>
        <v>10.5</v>
      </c>
      <c r="H116" s="246">
        <f>$R20</f>
        <v>10.5</v>
      </c>
      <c r="I116" s="246">
        <f>$R20</f>
        <v>10.5</v>
      </c>
      <c r="J116" s="246">
        <f>$R20</f>
        <v>10.5</v>
      </c>
      <c r="K116" s="246">
        <f>$R20</f>
        <v>10.5</v>
      </c>
      <c r="L116" s="246">
        <f>$R20</f>
        <v>10.5</v>
      </c>
      <c r="M116" s="246">
        <f>$R20</f>
        <v>10.5</v>
      </c>
      <c r="N116" s="246">
        <f>$R20</f>
        <v>10.5</v>
      </c>
      <c r="O116" s="246">
        <f>$R20</f>
        <v>10.5</v>
      </c>
      <c r="P116" s="245">
        <f>$R20</f>
        <v>10.5</v>
      </c>
      <c r="Q116" s="246">
        <f>$R20</f>
        <v>10.5</v>
      </c>
      <c r="R116" s="246">
        <f>$R20</f>
        <v>10.5</v>
      </c>
      <c r="S116" s="246">
        <f>$R20</f>
        <v>10.5</v>
      </c>
      <c r="T116" s="246">
        <f>$R20</f>
        <v>10.5</v>
      </c>
      <c r="U116" s="246">
        <f>$R20</f>
        <v>10.5</v>
      </c>
      <c r="V116" s="246">
        <f>$R20</f>
        <v>10.5</v>
      </c>
      <c r="W116" s="246">
        <f>$R20</f>
        <v>10.5</v>
      </c>
      <c r="X116" s="246">
        <f>$R20</f>
        <v>10.5</v>
      </c>
      <c r="Y116" s="246">
        <f>$R20</f>
        <v>10.5</v>
      </c>
      <c r="Z116" s="246">
        <f>$R20</f>
        <v>10.5</v>
      </c>
      <c r="AA116" s="246">
        <f>$R20</f>
        <v>10.5</v>
      </c>
      <c r="AB116" s="245">
        <f>$R20</f>
        <v>10.5</v>
      </c>
      <c r="AC116" s="246">
        <f>$R20</f>
        <v>10.5</v>
      </c>
      <c r="AD116" s="246">
        <f>$R20</f>
        <v>10.5</v>
      </c>
      <c r="AE116" s="246">
        <f>$R20</f>
        <v>10.5</v>
      </c>
      <c r="AF116" s="246">
        <f>$R20</f>
        <v>10.5</v>
      </c>
      <c r="AG116" s="246">
        <f>$R20</f>
        <v>10.5</v>
      </c>
      <c r="AH116" s="246">
        <f>$R20</f>
        <v>10.5</v>
      </c>
      <c r="AI116" s="246">
        <f>$R20</f>
        <v>10.5</v>
      </c>
      <c r="AJ116" s="246">
        <f>$R20</f>
        <v>10.5</v>
      </c>
      <c r="AK116" s="246">
        <f>$R20</f>
        <v>10.5</v>
      </c>
      <c r="AL116" s="246">
        <f>$R20</f>
        <v>10.5</v>
      </c>
      <c r="AM116" s="246">
        <f>$R20</f>
        <v>10.5</v>
      </c>
    </row>
    <row r="117" spans="1:39" s="243" customFormat="1" outlineLevel="1" x14ac:dyDescent="0.25">
      <c r="B117" s="243" t="str">
        <v>PcbTrae</v>
      </c>
      <c r="C117" s="244" t="s">
        <v>393</v>
      </c>
      <c r="D117" s="245">
        <f>$R21</f>
        <v>13</v>
      </c>
      <c r="E117" s="246">
        <f>$R21</f>
        <v>13</v>
      </c>
      <c r="F117" s="246">
        <f>$R21</f>
        <v>13</v>
      </c>
      <c r="G117" s="246">
        <f>$R21</f>
        <v>13</v>
      </c>
      <c r="H117" s="246">
        <f>$R21</f>
        <v>13</v>
      </c>
      <c r="I117" s="246">
        <f>$R21</f>
        <v>13</v>
      </c>
      <c r="J117" s="246">
        <f>$R21</f>
        <v>13</v>
      </c>
      <c r="K117" s="246">
        <f>$R21</f>
        <v>13</v>
      </c>
      <c r="L117" s="246">
        <f>$R21</f>
        <v>13</v>
      </c>
      <c r="M117" s="246">
        <f>$R21</f>
        <v>13</v>
      </c>
      <c r="N117" s="246">
        <f>$R21</f>
        <v>13</v>
      </c>
      <c r="O117" s="246">
        <f>$R21</f>
        <v>13</v>
      </c>
      <c r="P117" s="245">
        <f>$R21</f>
        <v>13</v>
      </c>
      <c r="Q117" s="246">
        <f>$R21</f>
        <v>13</v>
      </c>
      <c r="R117" s="246">
        <f>$R21</f>
        <v>13</v>
      </c>
      <c r="S117" s="246">
        <f>$R21</f>
        <v>13</v>
      </c>
      <c r="T117" s="246">
        <f>$R21</f>
        <v>13</v>
      </c>
      <c r="U117" s="246">
        <f>$R21</f>
        <v>13</v>
      </c>
      <c r="V117" s="246">
        <f>$R21</f>
        <v>13</v>
      </c>
      <c r="W117" s="246">
        <f>$R21</f>
        <v>13</v>
      </c>
      <c r="X117" s="246">
        <f>$R21</f>
        <v>13</v>
      </c>
      <c r="Y117" s="246">
        <f>$R21</f>
        <v>13</v>
      </c>
      <c r="Z117" s="246">
        <f>$R21</f>
        <v>13</v>
      </c>
      <c r="AA117" s="246">
        <f>$R21</f>
        <v>13</v>
      </c>
      <c r="AB117" s="245">
        <f>$R21</f>
        <v>13</v>
      </c>
      <c r="AC117" s="246">
        <f>$R21</f>
        <v>13</v>
      </c>
      <c r="AD117" s="246">
        <f>$R21</f>
        <v>13</v>
      </c>
      <c r="AE117" s="246">
        <f>$R21</f>
        <v>13</v>
      </c>
      <c r="AF117" s="246">
        <f>$R21</f>
        <v>13</v>
      </c>
      <c r="AG117" s="246">
        <f>$R21</f>
        <v>13</v>
      </c>
      <c r="AH117" s="246">
        <f>$R21</f>
        <v>13</v>
      </c>
      <c r="AI117" s="246">
        <f>$R21</f>
        <v>13</v>
      </c>
      <c r="AJ117" s="246">
        <f>$R21</f>
        <v>13</v>
      </c>
      <c r="AK117" s="246">
        <f>$R21</f>
        <v>13</v>
      </c>
      <c r="AL117" s="246">
        <f>$R21</f>
        <v>13</v>
      </c>
      <c r="AM117" s="246">
        <f>$R21</f>
        <v>13</v>
      </c>
    </row>
    <row r="118" spans="1:39" s="243" customFormat="1" outlineLevel="1" x14ac:dyDescent="0.25">
      <c r="B118" s="243" t="str">
        <v>TraeRekv</v>
      </c>
      <c r="C118" s="244" t="s">
        <v>393</v>
      </c>
      <c r="D118" s="245">
        <f>$R22</f>
        <v>14.5</v>
      </c>
      <c r="E118" s="246">
        <f>$R22</f>
        <v>14.5</v>
      </c>
      <c r="F118" s="246">
        <f>$R22</f>
        <v>14.5</v>
      </c>
      <c r="G118" s="246">
        <f>$R22</f>
        <v>14.5</v>
      </c>
      <c r="H118" s="246">
        <f>$R22</f>
        <v>14.5</v>
      </c>
      <c r="I118" s="246">
        <f>$R22</f>
        <v>14.5</v>
      </c>
      <c r="J118" s="246">
        <f>$R22</f>
        <v>14.5</v>
      </c>
      <c r="K118" s="246">
        <f>$R22</f>
        <v>14.5</v>
      </c>
      <c r="L118" s="246">
        <f>$R22</f>
        <v>14.5</v>
      </c>
      <c r="M118" s="246">
        <f>$R22</f>
        <v>14.5</v>
      </c>
      <c r="N118" s="246">
        <f>$R22</f>
        <v>14.5</v>
      </c>
      <c r="O118" s="246">
        <f>$R22</f>
        <v>14.5</v>
      </c>
      <c r="P118" s="245">
        <f>$R22</f>
        <v>14.5</v>
      </c>
      <c r="Q118" s="246">
        <f>$R22</f>
        <v>14.5</v>
      </c>
      <c r="R118" s="246">
        <f>$R22</f>
        <v>14.5</v>
      </c>
      <c r="S118" s="246">
        <f>$R22</f>
        <v>14.5</v>
      </c>
      <c r="T118" s="246">
        <f>$R22</f>
        <v>14.5</v>
      </c>
      <c r="U118" s="246">
        <f>$R22</f>
        <v>14.5</v>
      </c>
      <c r="V118" s="246">
        <f>$R22</f>
        <v>14.5</v>
      </c>
      <c r="W118" s="246">
        <f>$R22</f>
        <v>14.5</v>
      </c>
      <c r="X118" s="246">
        <f>$R22</f>
        <v>14.5</v>
      </c>
      <c r="Y118" s="246">
        <f>$R22</f>
        <v>14.5</v>
      </c>
      <c r="Z118" s="246">
        <f>$R22</f>
        <v>14.5</v>
      </c>
      <c r="AA118" s="246">
        <f>$R22</f>
        <v>14.5</v>
      </c>
      <c r="AB118" s="245">
        <f>$R22</f>
        <v>14.5</v>
      </c>
      <c r="AC118" s="246">
        <f>$R22</f>
        <v>14.5</v>
      </c>
      <c r="AD118" s="246">
        <f>$R22</f>
        <v>14.5</v>
      </c>
      <c r="AE118" s="246">
        <f>$R22</f>
        <v>14.5</v>
      </c>
      <c r="AF118" s="246">
        <f>$R22</f>
        <v>14.5</v>
      </c>
      <c r="AG118" s="246">
        <f>$R22</f>
        <v>14.5</v>
      </c>
      <c r="AH118" s="246">
        <f>$R22</f>
        <v>14.5</v>
      </c>
      <c r="AI118" s="246">
        <f>$R22</f>
        <v>14.5</v>
      </c>
      <c r="AJ118" s="246">
        <f>$R22</f>
        <v>14.5</v>
      </c>
      <c r="AK118" s="246">
        <f>$R22</f>
        <v>14.5</v>
      </c>
      <c r="AL118" s="246">
        <f>$R22</f>
        <v>14.5</v>
      </c>
      <c r="AM118" s="246">
        <f>$R22</f>
        <v>14.5</v>
      </c>
    </row>
    <row r="119" spans="1:39" s="243" customFormat="1" outlineLevel="1" x14ac:dyDescent="0.25">
      <c r="B119" s="243" t="str">
        <v>Halm</v>
      </c>
      <c r="C119" s="244" t="s">
        <v>393</v>
      </c>
      <c r="D119" s="245">
        <f>$R23</f>
        <v>14.7</v>
      </c>
      <c r="E119" s="246">
        <f>$R23</f>
        <v>14.7</v>
      </c>
      <c r="F119" s="246">
        <f>$R23</f>
        <v>14.7</v>
      </c>
      <c r="G119" s="246">
        <f>$R23</f>
        <v>14.7</v>
      </c>
      <c r="H119" s="246">
        <f>$R23</f>
        <v>14.7</v>
      </c>
      <c r="I119" s="246">
        <f>$R23</f>
        <v>14.7</v>
      </c>
      <c r="J119" s="246">
        <f>$R23</f>
        <v>14.7</v>
      </c>
      <c r="K119" s="246">
        <f>$R23</f>
        <v>14.7</v>
      </c>
      <c r="L119" s="246">
        <f>$R23</f>
        <v>14.7</v>
      </c>
      <c r="M119" s="246">
        <f>$R23</f>
        <v>14.7</v>
      </c>
      <c r="N119" s="246">
        <f>$R23</f>
        <v>14.7</v>
      </c>
      <c r="O119" s="246">
        <f>$R23</f>
        <v>14.7</v>
      </c>
      <c r="P119" s="245">
        <f>$R23</f>
        <v>14.7</v>
      </c>
      <c r="Q119" s="246">
        <f>$R23</f>
        <v>14.7</v>
      </c>
      <c r="R119" s="246">
        <f>$R23</f>
        <v>14.7</v>
      </c>
      <c r="S119" s="246">
        <f>$R23</f>
        <v>14.7</v>
      </c>
      <c r="T119" s="246">
        <f>$R23</f>
        <v>14.7</v>
      </c>
      <c r="U119" s="246">
        <f>$R23</f>
        <v>14.7</v>
      </c>
      <c r="V119" s="246">
        <f>$R23</f>
        <v>14.7</v>
      </c>
      <c r="W119" s="246">
        <f>$R23</f>
        <v>14.7</v>
      </c>
      <c r="X119" s="246">
        <f>$R23</f>
        <v>14.7</v>
      </c>
      <c r="Y119" s="246">
        <f>$R23</f>
        <v>14.7</v>
      </c>
      <c r="Z119" s="246">
        <f>$R23</f>
        <v>14.7</v>
      </c>
      <c r="AA119" s="246">
        <f>$R23</f>
        <v>14.7</v>
      </c>
      <c r="AB119" s="245">
        <f>$R23</f>
        <v>14.7</v>
      </c>
      <c r="AC119" s="246">
        <f>$R23</f>
        <v>14.7</v>
      </c>
      <c r="AD119" s="246">
        <f>$R23</f>
        <v>14.7</v>
      </c>
      <c r="AE119" s="246">
        <f>$R23</f>
        <v>14.7</v>
      </c>
      <c r="AF119" s="246">
        <f>$R23</f>
        <v>14.7</v>
      </c>
      <c r="AG119" s="246">
        <f>$R23</f>
        <v>14.7</v>
      </c>
      <c r="AH119" s="246">
        <f>$R23</f>
        <v>14.7</v>
      </c>
      <c r="AI119" s="246">
        <f>$R23</f>
        <v>14.7</v>
      </c>
      <c r="AJ119" s="246">
        <f>$R23</f>
        <v>14.7</v>
      </c>
      <c r="AK119" s="246">
        <f>$R23</f>
        <v>14.7</v>
      </c>
      <c r="AL119" s="246">
        <f>$R23</f>
        <v>14.7</v>
      </c>
      <c r="AM119" s="246">
        <f>$R23</f>
        <v>14.7</v>
      </c>
    </row>
    <row r="120" spans="1:39" s="243" customFormat="1" outlineLevel="1" x14ac:dyDescent="0.25">
      <c r="A120" s="247"/>
      <c r="B120" s="243" t="str">
        <v>Pulver</v>
      </c>
      <c r="C120" s="244" t="s">
        <v>393</v>
      </c>
      <c r="D120" s="245">
        <f>$R24</f>
        <v>14</v>
      </c>
      <c r="E120" s="246">
        <f>$R24</f>
        <v>14</v>
      </c>
      <c r="F120" s="246">
        <f>$R24</f>
        <v>14</v>
      </c>
      <c r="G120" s="246">
        <f>$R24</f>
        <v>14</v>
      </c>
      <c r="H120" s="246">
        <f>$R24</f>
        <v>14</v>
      </c>
      <c r="I120" s="246">
        <f>$R24</f>
        <v>14</v>
      </c>
      <c r="J120" s="246">
        <f>$R24</f>
        <v>14</v>
      </c>
      <c r="K120" s="246">
        <f>$R24</f>
        <v>14</v>
      </c>
      <c r="L120" s="246">
        <f>$R24</f>
        <v>14</v>
      </c>
      <c r="M120" s="246">
        <f>$R24</f>
        <v>14</v>
      </c>
      <c r="N120" s="246">
        <f>$R24</f>
        <v>14</v>
      </c>
      <c r="O120" s="246">
        <f>$R24</f>
        <v>14</v>
      </c>
      <c r="P120" s="245">
        <f>$R24</f>
        <v>14</v>
      </c>
      <c r="Q120" s="246">
        <f>$R24</f>
        <v>14</v>
      </c>
      <c r="R120" s="246">
        <f>$R24</f>
        <v>14</v>
      </c>
      <c r="S120" s="246">
        <f>$R24</f>
        <v>14</v>
      </c>
      <c r="T120" s="246">
        <f>$R24</f>
        <v>14</v>
      </c>
      <c r="U120" s="246">
        <f>$R24</f>
        <v>14</v>
      </c>
      <c r="V120" s="246">
        <f>$R24</f>
        <v>14</v>
      </c>
      <c r="W120" s="246">
        <f>$R24</f>
        <v>14</v>
      </c>
      <c r="X120" s="246">
        <f>$R24</f>
        <v>14</v>
      </c>
      <c r="Y120" s="246">
        <f>$R24</f>
        <v>14</v>
      </c>
      <c r="Z120" s="246">
        <f>$R24</f>
        <v>14</v>
      </c>
      <c r="AA120" s="246">
        <f>$R24</f>
        <v>14</v>
      </c>
      <c r="AB120" s="245">
        <f>$R24</f>
        <v>14</v>
      </c>
      <c r="AC120" s="246">
        <f>$R24</f>
        <v>14</v>
      </c>
      <c r="AD120" s="246">
        <f>$R24</f>
        <v>14</v>
      </c>
      <c r="AE120" s="246">
        <f>$R24</f>
        <v>14</v>
      </c>
      <c r="AF120" s="246">
        <f>$R24</f>
        <v>14</v>
      </c>
      <c r="AG120" s="246">
        <f>$R24</f>
        <v>14</v>
      </c>
      <c r="AH120" s="246">
        <f>$R24</f>
        <v>14</v>
      </c>
      <c r="AI120" s="246">
        <f>$R24</f>
        <v>14</v>
      </c>
      <c r="AJ120" s="246">
        <f>$R24</f>
        <v>14</v>
      </c>
      <c r="AK120" s="246">
        <f>$R24</f>
        <v>14</v>
      </c>
      <c r="AL120" s="246">
        <f>$R24</f>
        <v>14</v>
      </c>
      <c r="AM120" s="246">
        <f>$R24</f>
        <v>14</v>
      </c>
    </row>
    <row r="121" spans="1:39" s="243" customFormat="1" outlineLevel="1" x14ac:dyDescent="0.25">
      <c r="A121" s="247"/>
      <c r="B121" s="243" t="str">
        <v>FlisAffald</v>
      </c>
      <c r="C121" s="244" t="s">
        <v>393</v>
      </c>
      <c r="D121" s="245">
        <f>$R25</f>
        <v>9</v>
      </c>
      <c r="E121" s="246">
        <f>$R25</f>
        <v>9</v>
      </c>
      <c r="F121" s="246">
        <f>$R25</f>
        <v>9</v>
      </c>
      <c r="G121" s="246">
        <f>$R25</f>
        <v>9</v>
      </c>
      <c r="H121" s="246">
        <f>$R25</f>
        <v>9</v>
      </c>
      <c r="I121" s="246">
        <f>$R25</f>
        <v>9</v>
      </c>
      <c r="J121" s="246">
        <f>$R25</f>
        <v>9</v>
      </c>
      <c r="K121" s="246">
        <f>$R25</f>
        <v>9</v>
      </c>
      <c r="L121" s="246">
        <f>$R25</f>
        <v>9</v>
      </c>
      <c r="M121" s="246">
        <f>$R25</f>
        <v>9</v>
      </c>
      <c r="N121" s="246">
        <f>$R25</f>
        <v>9</v>
      </c>
      <c r="O121" s="246">
        <f>$R25</f>
        <v>9</v>
      </c>
      <c r="P121" s="245">
        <f>$R25</f>
        <v>9</v>
      </c>
      <c r="Q121" s="246">
        <f>$R25</f>
        <v>9</v>
      </c>
      <c r="R121" s="246">
        <f>$R25</f>
        <v>9</v>
      </c>
      <c r="S121" s="246">
        <f>$R25</f>
        <v>9</v>
      </c>
      <c r="T121" s="246">
        <f>$R25</f>
        <v>9</v>
      </c>
      <c r="U121" s="246">
        <f>$R25</f>
        <v>9</v>
      </c>
      <c r="V121" s="246">
        <f>$R25</f>
        <v>9</v>
      </c>
      <c r="W121" s="246">
        <f>$R25</f>
        <v>9</v>
      </c>
      <c r="X121" s="246">
        <f>$R25</f>
        <v>9</v>
      </c>
      <c r="Y121" s="246">
        <f>$R25</f>
        <v>9</v>
      </c>
      <c r="Z121" s="246">
        <f>$R25</f>
        <v>9</v>
      </c>
      <c r="AA121" s="246">
        <f>$R25</f>
        <v>9</v>
      </c>
      <c r="AB121" s="245">
        <f>$R25</f>
        <v>9</v>
      </c>
      <c r="AC121" s="246">
        <f>$R25</f>
        <v>9</v>
      </c>
      <c r="AD121" s="246">
        <f>$R25</f>
        <v>9</v>
      </c>
      <c r="AE121" s="246">
        <f>$R25</f>
        <v>9</v>
      </c>
      <c r="AF121" s="246">
        <f>$R25</f>
        <v>9</v>
      </c>
      <c r="AG121" s="246">
        <f>$R25</f>
        <v>9</v>
      </c>
      <c r="AH121" s="246">
        <f>$R25</f>
        <v>9</v>
      </c>
      <c r="AI121" s="246">
        <f>$R25</f>
        <v>9</v>
      </c>
      <c r="AJ121" s="246">
        <f>$R25</f>
        <v>9</v>
      </c>
      <c r="AK121" s="246">
        <f>$R25</f>
        <v>9</v>
      </c>
      <c r="AL121" s="246">
        <f>$R25</f>
        <v>9</v>
      </c>
      <c r="AM121" s="246">
        <f>$R25</f>
        <v>9</v>
      </c>
    </row>
    <row r="122" spans="1:39" s="243" customFormat="1" outlineLevel="1" x14ac:dyDescent="0.25">
      <c r="A122" s="247"/>
      <c r="B122" s="243" t="str">
        <v>NyAff1</v>
      </c>
      <c r="C122" s="244" t="s">
        <v>393</v>
      </c>
      <c r="D122" s="245">
        <f>$R26</f>
        <v>11.5</v>
      </c>
      <c r="E122" s="246">
        <f>$R26</f>
        <v>11.5</v>
      </c>
      <c r="F122" s="246">
        <f>$R26</f>
        <v>11.5</v>
      </c>
      <c r="G122" s="246">
        <f>$R26</f>
        <v>11.5</v>
      </c>
      <c r="H122" s="246">
        <f>$R26</f>
        <v>11.5</v>
      </c>
      <c r="I122" s="246">
        <f>$R26</f>
        <v>11.5</v>
      </c>
      <c r="J122" s="246">
        <f>$R26</f>
        <v>11.5</v>
      </c>
      <c r="K122" s="246">
        <f>$R26</f>
        <v>11.5</v>
      </c>
      <c r="L122" s="246">
        <f>$R26</f>
        <v>11.5</v>
      </c>
      <c r="M122" s="246">
        <f>$R26</f>
        <v>11.5</v>
      </c>
      <c r="N122" s="246">
        <f>$R26</f>
        <v>11.5</v>
      </c>
      <c r="O122" s="246">
        <f>$R26</f>
        <v>11.5</v>
      </c>
      <c r="P122" s="245">
        <f>$R26</f>
        <v>11.5</v>
      </c>
      <c r="Q122" s="246">
        <f>$R26</f>
        <v>11.5</v>
      </c>
      <c r="R122" s="246">
        <f>$R26</f>
        <v>11.5</v>
      </c>
      <c r="S122" s="246">
        <f>$R26</f>
        <v>11.5</v>
      </c>
      <c r="T122" s="246">
        <f>$R26</f>
        <v>11.5</v>
      </c>
      <c r="U122" s="246">
        <f>$R26</f>
        <v>11.5</v>
      </c>
      <c r="V122" s="246">
        <f>$R26</f>
        <v>11.5</v>
      </c>
      <c r="W122" s="246">
        <f>$R26</f>
        <v>11.5</v>
      </c>
      <c r="X122" s="246">
        <f>$R26</f>
        <v>11.5</v>
      </c>
      <c r="Y122" s="246">
        <f>$R26</f>
        <v>11.5</v>
      </c>
      <c r="Z122" s="246">
        <f>$R26</f>
        <v>11.5</v>
      </c>
      <c r="AA122" s="246">
        <f>$R26</f>
        <v>11.5</v>
      </c>
      <c r="AB122" s="245">
        <f>$R26</f>
        <v>11.5</v>
      </c>
      <c r="AC122" s="246">
        <f>$R26</f>
        <v>11.5</v>
      </c>
      <c r="AD122" s="246">
        <f>$R26</f>
        <v>11.5</v>
      </c>
      <c r="AE122" s="246">
        <f>$R26</f>
        <v>11.5</v>
      </c>
      <c r="AF122" s="246">
        <f>$R26</f>
        <v>11.5</v>
      </c>
      <c r="AG122" s="246">
        <f>$R26</f>
        <v>11.5</v>
      </c>
      <c r="AH122" s="246">
        <f>$R26</f>
        <v>11.5</v>
      </c>
      <c r="AI122" s="246">
        <f>$R26</f>
        <v>11.5</v>
      </c>
      <c r="AJ122" s="246">
        <f>$R26</f>
        <v>11.5</v>
      </c>
      <c r="AK122" s="246">
        <f>$R26</f>
        <v>11.5</v>
      </c>
      <c r="AL122" s="246">
        <f>$R26</f>
        <v>11.5</v>
      </c>
      <c r="AM122" s="246">
        <f>$R26</f>
        <v>11.5</v>
      </c>
    </row>
    <row r="123" spans="1:39" s="243" customFormat="1" outlineLevel="1" x14ac:dyDescent="0.25">
      <c r="B123" s="243" t="str">
        <v>NyAff2</v>
      </c>
      <c r="C123" s="244" t="s">
        <v>393</v>
      </c>
      <c r="D123" s="245">
        <f>$R27</f>
        <v>10.5</v>
      </c>
      <c r="E123" s="246">
        <f>$R27</f>
        <v>10.5</v>
      </c>
      <c r="F123" s="246">
        <f>$R27</f>
        <v>10.5</v>
      </c>
      <c r="G123" s="246">
        <f>$R27</f>
        <v>10.5</v>
      </c>
      <c r="H123" s="246">
        <f>$R27</f>
        <v>10.5</v>
      </c>
      <c r="I123" s="246">
        <f>$R27</f>
        <v>10.5</v>
      </c>
      <c r="J123" s="246">
        <f>$R27</f>
        <v>10.5</v>
      </c>
      <c r="K123" s="246">
        <f>$R27</f>
        <v>10.5</v>
      </c>
      <c r="L123" s="246">
        <f>$R27</f>
        <v>10.5</v>
      </c>
      <c r="M123" s="246">
        <f>$R27</f>
        <v>10.5</v>
      </c>
      <c r="N123" s="246">
        <f>$R27</f>
        <v>10.5</v>
      </c>
      <c r="O123" s="246">
        <f>$R27</f>
        <v>10.5</v>
      </c>
      <c r="P123" s="245">
        <f>$R27</f>
        <v>10.5</v>
      </c>
      <c r="Q123" s="246">
        <f>$R27</f>
        <v>10.5</v>
      </c>
      <c r="R123" s="246">
        <f>$R27</f>
        <v>10.5</v>
      </c>
      <c r="S123" s="246">
        <f>$R27</f>
        <v>10.5</v>
      </c>
      <c r="T123" s="246">
        <f>$R27</f>
        <v>10.5</v>
      </c>
      <c r="U123" s="246">
        <f>$R27</f>
        <v>10.5</v>
      </c>
      <c r="V123" s="246">
        <f>$R27</f>
        <v>10.5</v>
      </c>
      <c r="W123" s="246">
        <f>$R27</f>
        <v>10.5</v>
      </c>
      <c r="X123" s="246">
        <f>$R27</f>
        <v>10.5</v>
      </c>
      <c r="Y123" s="246">
        <f>$R27</f>
        <v>10.5</v>
      </c>
      <c r="Z123" s="246">
        <f>$R27</f>
        <v>10.5</v>
      </c>
      <c r="AA123" s="246">
        <f>$R27</f>
        <v>10.5</v>
      </c>
      <c r="AB123" s="245">
        <f>$R27</f>
        <v>10.5</v>
      </c>
      <c r="AC123" s="246">
        <f>$R27</f>
        <v>10.5</v>
      </c>
      <c r="AD123" s="246">
        <f>$R27</f>
        <v>10.5</v>
      </c>
      <c r="AE123" s="246">
        <f>$R27</f>
        <v>10.5</v>
      </c>
      <c r="AF123" s="246">
        <f>$R27</f>
        <v>10.5</v>
      </c>
      <c r="AG123" s="246">
        <f>$R27</f>
        <v>10.5</v>
      </c>
      <c r="AH123" s="246">
        <f>$R27</f>
        <v>10.5</v>
      </c>
      <c r="AI123" s="246">
        <f>$R27</f>
        <v>10.5</v>
      </c>
      <c r="AJ123" s="246">
        <f>$R27</f>
        <v>10.5</v>
      </c>
      <c r="AK123" s="246">
        <f>$R27</f>
        <v>10.5</v>
      </c>
      <c r="AL123" s="246">
        <f>$R27</f>
        <v>10.5</v>
      </c>
      <c r="AM123" s="246">
        <f>$R27</f>
        <v>10.5</v>
      </c>
    </row>
    <row r="124" spans="1:39" s="243" customFormat="1" outlineLevel="1" x14ac:dyDescent="0.25">
      <c r="B124" s="243" t="str">
        <v>NyAff3</v>
      </c>
      <c r="C124" s="244" t="s">
        <v>393</v>
      </c>
      <c r="D124" s="245">
        <f>$R28</f>
        <v>9.5</v>
      </c>
      <c r="E124" s="246">
        <f>$R28</f>
        <v>9.5</v>
      </c>
      <c r="F124" s="246">
        <f>$R28</f>
        <v>9.5</v>
      </c>
      <c r="G124" s="246">
        <f>$R28</f>
        <v>9.5</v>
      </c>
      <c r="H124" s="246">
        <f>$R28</f>
        <v>9.5</v>
      </c>
      <c r="I124" s="246">
        <f>$R28</f>
        <v>9.5</v>
      </c>
      <c r="J124" s="246">
        <f>$R28</f>
        <v>9.5</v>
      </c>
      <c r="K124" s="246">
        <f>$R28</f>
        <v>9.5</v>
      </c>
      <c r="L124" s="246">
        <f>$R28</f>
        <v>9.5</v>
      </c>
      <c r="M124" s="246">
        <f>$R28</f>
        <v>9.5</v>
      </c>
      <c r="N124" s="246">
        <f>$R28</f>
        <v>9.5</v>
      </c>
      <c r="O124" s="246">
        <f>$R28</f>
        <v>9.5</v>
      </c>
      <c r="P124" s="245">
        <f>$R28</f>
        <v>9.5</v>
      </c>
      <c r="Q124" s="246">
        <f>$R28</f>
        <v>9.5</v>
      </c>
      <c r="R124" s="246">
        <f>$R28</f>
        <v>9.5</v>
      </c>
      <c r="S124" s="246">
        <f>$R28</f>
        <v>9.5</v>
      </c>
      <c r="T124" s="246">
        <f>$R28</f>
        <v>9.5</v>
      </c>
      <c r="U124" s="246">
        <f>$R28</f>
        <v>9.5</v>
      </c>
      <c r="V124" s="246">
        <f>$R28</f>
        <v>9.5</v>
      </c>
      <c r="W124" s="246">
        <f>$R28</f>
        <v>9.5</v>
      </c>
      <c r="X124" s="246">
        <f>$R28</f>
        <v>9.5</v>
      </c>
      <c r="Y124" s="246">
        <f>$R28</f>
        <v>9.5</v>
      </c>
      <c r="Z124" s="246">
        <f>$R28</f>
        <v>9.5</v>
      </c>
      <c r="AA124" s="246">
        <f>$R28</f>
        <v>9.5</v>
      </c>
      <c r="AB124" s="245">
        <f>$R28</f>
        <v>9.5</v>
      </c>
      <c r="AC124" s="246">
        <f>$R28</f>
        <v>9.5</v>
      </c>
      <c r="AD124" s="246">
        <f>$R28</f>
        <v>9.5</v>
      </c>
      <c r="AE124" s="246">
        <f>$R28</f>
        <v>9.5</v>
      </c>
      <c r="AF124" s="246">
        <f>$R28</f>
        <v>9.5</v>
      </c>
      <c r="AG124" s="246">
        <f>$R28</f>
        <v>9.5</v>
      </c>
      <c r="AH124" s="246">
        <f>$R28</f>
        <v>9.5</v>
      </c>
      <c r="AI124" s="246">
        <f>$R28</f>
        <v>9.5</v>
      </c>
      <c r="AJ124" s="246">
        <f>$R28</f>
        <v>9.5</v>
      </c>
      <c r="AK124" s="246">
        <f>$R28</f>
        <v>9.5</v>
      </c>
      <c r="AL124" s="246">
        <f>$R28</f>
        <v>9.5</v>
      </c>
      <c r="AM124" s="246">
        <f>$R28</f>
        <v>9.5</v>
      </c>
    </row>
    <row r="125" spans="1:39" s="243" customFormat="1" outlineLevel="1" x14ac:dyDescent="0.25">
      <c r="B125" s="243" t="str">
        <v>NyAff4</v>
      </c>
      <c r="C125" s="244" t="s">
        <v>393</v>
      </c>
      <c r="D125" s="245">
        <f>$R29</f>
        <v>8.5</v>
      </c>
      <c r="E125" s="246">
        <f>$R29</f>
        <v>8.5</v>
      </c>
      <c r="F125" s="246">
        <f>$R29</f>
        <v>8.5</v>
      </c>
      <c r="G125" s="246">
        <f>$R29</f>
        <v>8.5</v>
      </c>
      <c r="H125" s="246">
        <f>$R29</f>
        <v>8.5</v>
      </c>
      <c r="I125" s="246">
        <f>$R29</f>
        <v>8.5</v>
      </c>
      <c r="J125" s="246">
        <f>$R29</f>
        <v>8.5</v>
      </c>
      <c r="K125" s="246">
        <f>$R29</f>
        <v>8.5</v>
      </c>
      <c r="L125" s="246">
        <f>$R29</f>
        <v>8.5</v>
      </c>
      <c r="M125" s="246">
        <f>$R29</f>
        <v>8.5</v>
      </c>
      <c r="N125" s="246">
        <f>$R29</f>
        <v>8.5</v>
      </c>
      <c r="O125" s="246">
        <f>$R29</f>
        <v>8.5</v>
      </c>
      <c r="P125" s="245">
        <f>$R29</f>
        <v>8.5</v>
      </c>
      <c r="Q125" s="246">
        <f>$R29</f>
        <v>8.5</v>
      </c>
      <c r="R125" s="246">
        <f>$R29</f>
        <v>8.5</v>
      </c>
      <c r="S125" s="246">
        <f>$R29</f>
        <v>8.5</v>
      </c>
      <c r="T125" s="246">
        <f>$R29</f>
        <v>8.5</v>
      </c>
      <c r="U125" s="246">
        <f>$R29</f>
        <v>8.5</v>
      </c>
      <c r="V125" s="246">
        <f>$R29</f>
        <v>8.5</v>
      </c>
      <c r="W125" s="246">
        <f>$R29</f>
        <v>8.5</v>
      </c>
      <c r="X125" s="246">
        <f>$R29</f>
        <v>8.5</v>
      </c>
      <c r="Y125" s="246">
        <f>$R29</f>
        <v>8.5</v>
      </c>
      <c r="Z125" s="246">
        <f>$R29</f>
        <v>8.5</v>
      </c>
      <c r="AA125" s="246">
        <f>$R29</f>
        <v>8.5</v>
      </c>
      <c r="AB125" s="245">
        <f>$R29</f>
        <v>8.5</v>
      </c>
      <c r="AC125" s="246">
        <f>$R29</f>
        <v>8.5</v>
      </c>
      <c r="AD125" s="246">
        <f>$R29</f>
        <v>8.5</v>
      </c>
      <c r="AE125" s="246">
        <f>$R29</f>
        <v>8.5</v>
      </c>
      <c r="AF125" s="246">
        <f>$R29</f>
        <v>8.5</v>
      </c>
      <c r="AG125" s="246">
        <f>$R29</f>
        <v>8.5</v>
      </c>
      <c r="AH125" s="246">
        <f>$R29</f>
        <v>8.5</v>
      </c>
      <c r="AI125" s="246">
        <f>$R29</f>
        <v>8.5</v>
      </c>
      <c r="AJ125" s="246">
        <f>$R29</f>
        <v>8.5</v>
      </c>
      <c r="AK125" s="246">
        <f>$R29</f>
        <v>8.5</v>
      </c>
      <c r="AL125" s="246">
        <f>$R29</f>
        <v>8.5</v>
      </c>
      <c r="AM125" s="246">
        <f>$R29</f>
        <v>8.5</v>
      </c>
    </row>
    <row r="126" spans="1:39" s="243" customFormat="1" outlineLevel="1" x14ac:dyDescent="0.25">
      <c r="B126" s="243" t="str">
        <v>NyAff5</v>
      </c>
      <c r="C126" s="244" t="s">
        <v>393</v>
      </c>
      <c r="D126" s="245">
        <f>$R30</f>
        <v>7.5</v>
      </c>
      <c r="E126" s="246">
        <f>$R30</f>
        <v>7.5</v>
      </c>
      <c r="F126" s="246">
        <f>$R30</f>
        <v>7.5</v>
      </c>
      <c r="G126" s="246">
        <f>$R30</f>
        <v>7.5</v>
      </c>
      <c r="H126" s="246">
        <f>$R30</f>
        <v>7.5</v>
      </c>
      <c r="I126" s="246">
        <f>$R30</f>
        <v>7.5</v>
      </c>
      <c r="J126" s="246">
        <f>$R30</f>
        <v>7.5</v>
      </c>
      <c r="K126" s="246">
        <f>$R30</f>
        <v>7.5</v>
      </c>
      <c r="L126" s="246">
        <f>$R30</f>
        <v>7.5</v>
      </c>
      <c r="M126" s="246">
        <f>$R30</f>
        <v>7.5</v>
      </c>
      <c r="N126" s="246">
        <f>$R30</f>
        <v>7.5</v>
      </c>
      <c r="O126" s="246">
        <f>$R30</f>
        <v>7.5</v>
      </c>
      <c r="P126" s="245">
        <f>$R30</f>
        <v>7.5</v>
      </c>
      <c r="Q126" s="246">
        <f>$R30</f>
        <v>7.5</v>
      </c>
      <c r="R126" s="246">
        <f>$R30</f>
        <v>7.5</v>
      </c>
      <c r="S126" s="246">
        <f>$R30</f>
        <v>7.5</v>
      </c>
      <c r="T126" s="246">
        <f>$R30</f>
        <v>7.5</v>
      </c>
      <c r="U126" s="246">
        <f>$R30</f>
        <v>7.5</v>
      </c>
      <c r="V126" s="246">
        <f>$R30</f>
        <v>7.5</v>
      </c>
      <c r="W126" s="246">
        <f>$R30</f>
        <v>7.5</v>
      </c>
      <c r="X126" s="246">
        <f>$R30</f>
        <v>7.5</v>
      </c>
      <c r="Y126" s="246">
        <f>$R30</f>
        <v>7.5</v>
      </c>
      <c r="Z126" s="246">
        <f>$R30</f>
        <v>7.5</v>
      </c>
      <c r="AA126" s="246">
        <f>$R30</f>
        <v>7.5</v>
      </c>
      <c r="AB126" s="245">
        <f>$R30</f>
        <v>7.5</v>
      </c>
      <c r="AC126" s="246">
        <f>$R30</f>
        <v>7.5</v>
      </c>
      <c r="AD126" s="246">
        <f>$R30</f>
        <v>7.5</v>
      </c>
      <c r="AE126" s="246">
        <f>$R30</f>
        <v>7.5</v>
      </c>
      <c r="AF126" s="246">
        <f>$R30</f>
        <v>7.5</v>
      </c>
      <c r="AG126" s="246">
        <f>$R30</f>
        <v>7.5</v>
      </c>
      <c r="AH126" s="246">
        <f>$R30</f>
        <v>7.5</v>
      </c>
      <c r="AI126" s="246">
        <f>$R30</f>
        <v>7.5</v>
      </c>
      <c r="AJ126" s="246">
        <f>$R30</f>
        <v>7.5</v>
      </c>
      <c r="AK126" s="246">
        <f>$R30</f>
        <v>7.5</v>
      </c>
      <c r="AL126" s="246">
        <f>$R30</f>
        <v>7.5</v>
      </c>
      <c r="AM126" s="246">
        <f>$R30</f>
        <v>7.5</v>
      </c>
    </row>
    <row r="127" spans="1:39" outlineLevel="1" x14ac:dyDescent="0.25">
      <c r="A127" s="294"/>
      <c r="B127" t="str" cm="1">
        <f t="array" ref="B127:B129">ØvrigeBrændsler</f>
        <v>Flis</v>
      </c>
      <c r="C127" s="244" t="s">
        <v>393</v>
      </c>
      <c r="D127" s="245">
        <f>$R31</f>
        <v>9.4</v>
      </c>
      <c r="E127" s="246">
        <f>$R31</f>
        <v>9.4</v>
      </c>
      <c r="F127" s="246">
        <f>$R31</f>
        <v>9.4</v>
      </c>
      <c r="G127" s="246">
        <f>$R31</f>
        <v>9.4</v>
      </c>
      <c r="H127" s="246">
        <f>$R31</f>
        <v>9.4</v>
      </c>
      <c r="I127" s="246">
        <f>$R31</f>
        <v>9.4</v>
      </c>
      <c r="J127" s="246">
        <f>$R31</f>
        <v>9.4</v>
      </c>
      <c r="K127" s="246">
        <f>$R31</f>
        <v>9.4</v>
      </c>
      <c r="L127" s="246">
        <f>$R31</f>
        <v>9.4</v>
      </c>
      <c r="M127" s="246">
        <f>$R31</f>
        <v>9.4</v>
      </c>
      <c r="N127" s="246">
        <f>$R31</f>
        <v>9.4</v>
      </c>
      <c r="O127" s="246">
        <f>$R31</f>
        <v>9.4</v>
      </c>
      <c r="P127" s="245">
        <f>$R31</f>
        <v>9.4</v>
      </c>
      <c r="Q127" s="246">
        <f>$R31</f>
        <v>9.4</v>
      </c>
      <c r="R127" s="246">
        <f>$R31</f>
        <v>9.4</v>
      </c>
      <c r="S127" s="246">
        <f>$R31</f>
        <v>9.4</v>
      </c>
      <c r="T127" s="246">
        <f>$R31</f>
        <v>9.4</v>
      </c>
      <c r="U127" s="246">
        <f>$R31</f>
        <v>9.4</v>
      </c>
      <c r="V127" s="246">
        <f>$R31</f>
        <v>9.4</v>
      </c>
      <c r="W127" s="246">
        <f>$R31</f>
        <v>9.4</v>
      </c>
      <c r="X127" s="246">
        <f>$R31</f>
        <v>9.4</v>
      </c>
      <c r="Y127" s="246">
        <f>$R31</f>
        <v>9.4</v>
      </c>
      <c r="Z127" s="246">
        <f>$R31</f>
        <v>9.4</v>
      </c>
      <c r="AA127" s="246">
        <f>$R31</f>
        <v>9.4</v>
      </c>
      <c r="AB127" s="245">
        <f>$R31</f>
        <v>9.4</v>
      </c>
      <c r="AC127" s="246">
        <f>$R31</f>
        <v>9.4</v>
      </c>
      <c r="AD127" s="246">
        <f>$R31</f>
        <v>9.4</v>
      </c>
      <c r="AE127" s="246">
        <f>$R31</f>
        <v>9.4</v>
      </c>
      <c r="AF127" s="246">
        <f>$R31</f>
        <v>9.4</v>
      </c>
      <c r="AG127" s="246">
        <f>$R31</f>
        <v>9.4</v>
      </c>
      <c r="AH127" s="246">
        <f>$R31</f>
        <v>9.4</v>
      </c>
      <c r="AI127" s="246">
        <f>$R31</f>
        <v>9.4</v>
      </c>
      <c r="AJ127" s="246">
        <f>$R31</f>
        <v>9.4</v>
      </c>
      <c r="AK127" s="246">
        <f>$R31</f>
        <v>9.4</v>
      </c>
      <c r="AL127" s="246">
        <f>$R31</f>
        <v>9.4</v>
      </c>
      <c r="AM127" s="246">
        <f>$R31</f>
        <v>9.4</v>
      </c>
    </row>
    <row r="128" spans="1:39" outlineLevel="1" x14ac:dyDescent="0.25">
      <c r="A128" s="295"/>
      <c r="B128" t="str">
        <v>NSvarme</v>
      </c>
      <c r="C128" s="244" t="s">
        <v>393</v>
      </c>
      <c r="D128" s="245">
        <f>$R32</f>
        <v>3.6</v>
      </c>
      <c r="E128" s="246">
        <f>$R32</f>
        <v>3.6</v>
      </c>
      <c r="F128" s="246">
        <f>$R32</f>
        <v>3.6</v>
      </c>
      <c r="G128" s="246">
        <f>$R32</f>
        <v>3.6</v>
      </c>
      <c r="H128" s="246">
        <f>$R32</f>
        <v>3.6</v>
      </c>
      <c r="I128" s="246">
        <f>$R32</f>
        <v>3.6</v>
      </c>
      <c r="J128" s="246">
        <f>$R32</f>
        <v>3.6</v>
      </c>
      <c r="K128" s="246">
        <f>$R32</f>
        <v>3.6</v>
      </c>
      <c r="L128" s="246">
        <f>$R32</f>
        <v>3.6</v>
      </c>
      <c r="M128" s="246">
        <f>$R32</f>
        <v>3.6</v>
      </c>
      <c r="N128" s="246">
        <f>$R32</f>
        <v>3.6</v>
      </c>
      <c r="O128" s="246">
        <f>$R32</f>
        <v>3.6</v>
      </c>
      <c r="P128" s="245">
        <f>$R32</f>
        <v>3.6</v>
      </c>
      <c r="Q128" s="246">
        <f>$R32</f>
        <v>3.6</v>
      </c>
      <c r="R128" s="246">
        <f>$R32</f>
        <v>3.6</v>
      </c>
      <c r="S128" s="246">
        <f>$R32</f>
        <v>3.6</v>
      </c>
      <c r="T128" s="246">
        <f>$R32</f>
        <v>3.6</v>
      </c>
      <c r="U128" s="246">
        <f>$R32</f>
        <v>3.6</v>
      </c>
      <c r="V128" s="246">
        <f>$R32</f>
        <v>3.6</v>
      </c>
      <c r="W128" s="246">
        <f>$R32</f>
        <v>3.6</v>
      </c>
      <c r="X128" s="246">
        <f>$R32</f>
        <v>3.6</v>
      </c>
      <c r="Y128" s="246">
        <f>$R32</f>
        <v>3.6</v>
      </c>
      <c r="Z128" s="246">
        <f>$R32</f>
        <v>3.6</v>
      </c>
      <c r="AA128" s="246">
        <f>$R32</f>
        <v>3.6</v>
      </c>
      <c r="AB128" s="245">
        <f>$R32</f>
        <v>3.6</v>
      </c>
      <c r="AC128" s="246">
        <f>$R32</f>
        <v>3.6</v>
      </c>
      <c r="AD128" s="246">
        <f>$R32</f>
        <v>3.6</v>
      </c>
      <c r="AE128" s="246">
        <f>$R32</f>
        <v>3.6</v>
      </c>
      <c r="AF128" s="246">
        <f>$R32</f>
        <v>3.6</v>
      </c>
      <c r="AG128" s="246">
        <f>$R32</f>
        <v>3.6</v>
      </c>
      <c r="AH128" s="246">
        <f>$R32</f>
        <v>3.6</v>
      </c>
      <c r="AI128" s="246">
        <f>$R32</f>
        <v>3.6</v>
      </c>
      <c r="AJ128" s="246">
        <f>$R32</f>
        <v>3.6</v>
      </c>
      <c r="AK128" s="246">
        <f>$R32</f>
        <v>3.6</v>
      </c>
      <c r="AL128" s="246">
        <f>$R32</f>
        <v>3.6</v>
      </c>
      <c r="AM128" s="246">
        <f>$R32</f>
        <v>3.6</v>
      </c>
    </row>
    <row r="129" spans="1:39" outlineLevel="1" x14ac:dyDescent="0.25">
      <c r="A129" s="295"/>
      <c r="B129" t="str">
        <v>PeakFuel</v>
      </c>
      <c r="C129" s="244" t="s">
        <v>393</v>
      </c>
      <c r="D129" s="245">
        <f>$R33</f>
        <v>44</v>
      </c>
      <c r="E129" s="246">
        <f>$R33</f>
        <v>44</v>
      </c>
      <c r="F129" s="246">
        <f>$R33</f>
        <v>44</v>
      </c>
      <c r="G129" s="246">
        <f>$R33</f>
        <v>44</v>
      </c>
      <c r="H129" s="246">
        <f>$R33</f>
        <v>44</v>
      </c>
      <c r="I129" s="246">
        <f>$R33</f>
        <v>44</v>
      </c>
      <c r="J129" s="246">
        <f>$R33</f>
        <v>44</v>
      </c>
      <c r="K129" s="246">
        <f>$R33</f>
        <v>44</v>
      </c>
      <c r="L129" s="246">
        <f>$R33</f>
        <v>44</v>
      </c>
      <c r="M129" s="246">
        <f>$R33</f>
        <v>44</v>
      </c>
      <c r="N129" s="246">
        <f>$R33</f>
        <v>44</v>
      </c>
      <c r="O129" s="246">
        <f>$R33</f>
        <v>44</v>
      </c>
      <c r="P129" s="245">
        <f>$R33</f>
        <v>44</v>
      </c>
      <c r="Q129" s="246">
        <f>$R33</f>
        <v>44</v>
      </c>
      <c r="R129" s="246">
        <f>$R33</f>
        <v>44</v>
      </c>
      <c r="S129" s="246">
        <f>$R33</f>
        <v>44</v>
      </c>
      <c r="T129" s="246">
        <f>$R33</f>
        <v>44</v>
      </c>
      <c r="U129" s="246">
        <f>$R33</f>
        <v>44</v>
      </c>
      <c r="V129" s="246">
        <f>$R33</f>
        <v>44</v>
      </c>
      <c r="W129" s="246">
        <f>$R33</f>
        <v>44</v>
      </c>
      <c r="X129" s="246">
        <f>$R33</f>
        <v>44</v>
      </c>
      <c r="Y129" s="246">
        <f>$R33</f>
        <v>44</v>
      </c>
      <c r="Z129" s="246">
        <f>$R33</f>
        <v>44</v>
      </c>
      <c r="AA129" s="246">
        <f>$R33</f>
        <v>44</v>
      </c>
      <c r="AB129" s="245">
        <f>$R33</f>
        <v>44</v>
      </c>
      <c r="AC129" s="246">
        <f>$R33</f>
        <v>44</v>
      </c>
      <c r="AD129" s="246">
        <f>$R33</f>
        <v>44</v>
      </c>
      <c r="AE129" s="246">
        <f>$R33</f>
        <v>44</v>
      </c>
      <c r="AF129" s="246">
        <f>$R33</f>
        <v>44</v>
      </c>
      <c r="AG129" s="246">
        <f>$R33</f>
        <v>44</v>
      </c>
      <c r="AH129" s="246">
        <f>$R33</f>
        <v>44</v>
      </c>
      <c r="AI129" s="246">
        <f>$R33</f>
        <v>44</v>
      </c>
      <c r="AJ129" s="246">
        <f>$R33</f>
        <v>44</v>
      </c>
      <c r="AK129" s="246">
        <f>$R33</f>
        <v>44</v>
      </c>
      <c r="AL129" s="246">
        <f>$R33</f>
        <v>44</v>
      </c>
      <c r="AM129" s="246">
        <f>$R33</f>
        <v>44</v>
      </c>
    </row>
    <row r="130" spans="1:39" s="40" customFormat="1" ht="15.75" x14ac:dyDescent="0.25">
      <c r="A130" s="37" t="s">
        <v>115</v>
      </c>
      <c r="B130" s="36"/>
      <c r="C130" s="36"/>
      <c r="D130" s="38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8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8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</row>
    <row r="131" spans="1:39" s="251" customFormat="1" outlineLevel="1" x14ac:dyDescent="0.25">
      <c r="B131" s="251" t="str">
        <f t="shared" ref="B131:B156" si="12">B101</f>
        <v>DepoSort</v>
      </c>
      <c r="C131" s="252" t="s">
        <v>256</v>
      </c>
      <c r="D131" s="253">
        <f>$Q5</f>
        <v>525</v>
      </c>
      <c r="E131" s="254">
        <f>$Q5</f>
        <v>525</v>
      </c>
      <c r="F131" s="254">
        <f>$Q5</f>
        <v>525</v>
      </c>
      <c r="G131" s="254">
        <f>$Q5</f>
        <v>525</v>
      </c>
      <c r="H131" s="254">
        <f>$Q5</f>
        <v>525</v>
      </c>
      <c r="I131" s="254">
        <f>$Q5</f>
        <v>525</v>
      </c>
      <c r="J131" s="254">
        <f>$Q5</f>
        <v>525</v>
      </c>
      <c r="K131" s="254">
        <f>$Q5</f>
        <v>525</v>
      </c>
      <c r="L131" s="254">
        <f>$Q5</f>
        <v>525</v>
      </c>
      <c r="M131" s="254">
        <f>$Q5</f>
        <v>525</v>
      </c>
      <c r="N131" s="254">
        <f>$Q5</f>
        <v>525</v>
      </c>
      <c r="O131" s="254">
        <f>$Q5</f>
        <v>525</v>
      </c>
      <c r="P131" s="253">
        <f>$Q5</f>
        <v>525</v>
      </c>
      <c r="Q131" s="254">
        <f>$Q5</f>
        <v>525</v>
      </c>
      <c r="R131" s="254">
        <f>$Q5</f>
        <v>525</v>
      </c>
      <c r="S131" s="254">
        <f>$Q5</f>
        <v>525</v>
      </c>
      <c r="T131" s="254">
        <f>$Q5</f>
        <v>525</v>
      </c>
      <c r="U131" s="254">
        <f>$Q5</f>
        <v>525</v>
      </c>
      <c r="V131" s="254">
        <f>$Q5</f>
        <v>525</v>
      </c>
      <c r="W131" s="254">
        <f>$Q5</f>
        <v>525</v>
      </c>
      <c r="X131" s="254">
        <f>$Q5</f>
        <v>525</v>
      </c>
      <c r="Y131" s="254">
        <f>$Q5</f>
        <v>525</v>
      </c>
      <c r="Z131" s="254">
        <f>$Q5</f>
        <v>525</v>
      </c>
      <c r="AA131" s="254">
        <f>$Q5</f>
        <v>525</v>
      </c>
      <c r="AB131" s="253">
        <f>$Q5</f>
        <v>525</v>
      </c>
      <c r="AC131" s="254">
        <f>$Q5</f>
        <v>525</v>
      </c>
      <c r="AD131" s="254">
        <f>$Q5</f>
        <v>525</v>
      </c>
      <c r="AE131" s="254">
        <f>$Q5</f>
        <v>525</v>
      </c>
      <c r="AF131" s="254">
        <f>$Q5</f>
        <v>525</v>
      </c>
      <c r="AG131" s="254">
        <f>$Q5</f>
        <v>525</v>
      </c>
      <c r="AH131" s="254">
        <f>$Q5</f>
        <v>525</v>
      </c>
      <c r="AI131" s="254">
        <f>$Q5</f>
        <v>525</v>
      </c>
      <c r="AJ131" s="254">
        <f>$Q5</f>
        <v>525</v>
      </c>
      <c r="AK131" s="254">
        <f>$Q5</f>
        <v>525</v>
      </c>
      <c r="AL131" s="254">
        <f>$Q5</f>
        <v>525</v>
      </c>
      <c r="AM131" s="254">
        <f>$Q5</f>
        <v>525</v>
      </c>
    </row>
    <row r="132" spans="1:39" s="251" customFormat="1" outlineLevel="1" x14ac:dyDescent="0.25">
      <c r="B132" s="251" t="str">
        <f t="shared" si="12"/>
        <v>DepoSmaat</v>
      </c>
      <c r="C132" s="252" t="s">
        <v>256</v>
      </c>
      <c r="D132" s="253">
        <f>$Q6</f>
        <v>525</v>
      </c>
      <c r="E132" s="254">
        <f>$Q6</f>
        <v>525</v>
      </c>
      <c r="F132" s="254">
        <f>$Q6</f>
        <v>525</v>
      </c>
      <c r="G132" s="254">
        <f>$Q6</f>
        <v>525</v>
      </c>
      <c r="H132" s="254">
        <f>$Q6</f>
        <v>525</v>
      </c>
      <c r="I132" s="254">
        <f>$Q6</f>
        <v>525</v>
      </c>
      <c r="J132" s="254">
        <f>$Q6</f>
        <v>525</v>
      </c>
      <c r="K132" s="254">
        <f>$Q6</f>
        <v>525</v>
      </c>
      <c r="L132" s="254">
        <f>$Q6</f>
        <v>525</v>
      </c>
      <c r="M132" s="254">
        <f>$Q6</f>
        <v>525</v>
      </c>
      <c r="N132" s="254">
        <f>$Q6</f>
        <v>525</v>
      </c>
      <c r="O132" s="254">
        <f>$Q6</f>
        <v>525</v>
      </c>
      <c r="P132" s="253">
        <f>$Q6</f>
        <v>525</v>
      </c>
      <c r="Q132" s="254">
        <f>$Q6</f>
        <v>525</v>
      </c>
      <c r="R132" s="254">
        <f>$Q6</f>
        <v>525</v>
      </c>
      <c r="S132" s="254">
        <f>$Q6</f>
        <v>525</v>
      </c>
      <c r="T132" s="254">
        <f>$Q6</f>
        <v>525</v>
      </c>
      <c r="U132" s="254">
        <f>$Q6</f>
        <v>525</v>
      </c>
      <c r="V132" s="254">
        <f>$Q6</f>
        <v>525</v>
      </c>
      <c r="W132" s="254">
        <f>$Q6</f>
        <v>525</v>
      </c>
      <c r="X132" s="254">
        <f>$Q6</f>
        <v>525</v>
      </c>
      <c r="Y132" s="254">
        <f>$Q6</f>
        <v>525</v>
      </c>
      <c r="Z132" s="254">
        <f>$Q6</f>
        <v>525</v>
      </c>
      <c r="AA132" s="254">
        <f>$Q6</f>
        <v>525</v>
      </c>
      <c r="AB132" s="253">
        <f>$Q6</f>
        <v>525</v>
      </c>
      <c r="AC132" s="254">
        <f>$Q6</f>
        <v>525</v>
      </c>
      <c r="AD132" s="254">
        <f>$Q6</f>
        <v>525</v>
      </c>
      <c r="AE132" s="254">
        <f>$Q6</f>
        <v>525</v>
      </c>
      <c r="AF132" s="254">
        <f>$Q6</f>
        <v>525</v>
      </c>
      <c r="AG132" s="254">
        <f>$Q6</f>
        <v>525</v>
      </c>
      <c r="AH132" s="254">
        <f>$Q6</f>
        <v>525</v>
      </c>
      <c r="AI132" s="254">
        <f>$Q6</f>
        <v>525</v>
      </c>
      <c r="AJ132" s="254">
        <f>$Q6</f>
        <v>525</v>
      </c>
      <c r="AK132" s="254">
        <f>$Q6</f>
        <v>525</v>
      </c>
      <c r="AL132" s="254">
        <f>$Q6</f>
        <v>525</v>
      </c>
      <c r="AM132" s="254">
        <f>$Q6</f>
        <v>525</v>
      </c>
    </row>
    <row r="133" spans="1:39" s="251" customFormat="1" outlineLevel="1" x14ac:dyDescent="0.25">
      <c r="B133" s="251" t="str">
        <f t="shared" si="12"/>
        <v>DepoNedd</v>
      </c>
      <c r="C133" s="252" t="s">
        <v>256</v>
      </c>
      <c r="D133" s="253">
        <f>$Q7</f>
        <v>525</v>
      </c>
      <c r="E133" s="254">
        <f>$Q7</f>
        <v>525</v>
      </c>
      <c r="F133" s="254">
        <f>$Q7</f>
        <v>525</v>
      </c>
      <c r="G133" s="254">
        <f>$Q7</f>
        <v>525</v>
      </c>
      <c r="H133" s="254">
        <f>$Q7</f>
        <v>525</v>
      </c>
      <c r="I133" s="254">
        <f>$Q7</f>
        <v>525</v>
      </c>
      <c r="J133" s="254">
        <f>$Q7</f>
        <v>525</v>
      </c>
      <c r="K133" s="254">
        <f>$Q7</f>
        <v>525</v>
      </c>
      <c r="L133" s="254">
        <f>$Q7</f>
        <v>525</v>
      </c>
      <c r="M133" s="254">
        <f>$Q7</f>
        <v>525</v>
      </c>
      <c r="N133" s="254">
        <f>$Q7</f>
        <v>525</v>
      </c>
      <c r="O133" s="254">
        <f>$Q7</f>
        <v>525</v>
      </c>
      <c r="P133" s="253">
        <f>$Q7</f>
        <v>525</v>
      </c>
      <c r="Q133" s="254">
        <f>$Q7</f>
        <v>525</v>
      </c>
      <c r="R133" s="254">
        <f>$Q7</f>
        <v>525</v>
      </c>
      <c r="S133" s="254">
        <f>$Q7</f>
        <v>525</v>
      </c>
      <c r="T133" s="254">
        <f>$Q7</f>
        <v>525</v>
      </c>
      <c r="U133" s="254">
        <f>$Q7</f>
        <v>525</v>
      </c>
      <c r="V133" s="254">
        <f>$Q7</f>
        <v>525</v>
      </c>
      <c r="W133" s="254">
        <f>$Q7</f>
        <v>525</v>
      </c>
      <c r="X133" s="254">
        <f>$Q7</f>
        <v>525</v>
      </c>
      <c r="Y133" s="254">
        <f>$Q7</f>
        <v>525</v>
      </c>
      <c r="Z133" s="254">
        <f>$Q7</f>
        <v>525</v>
      </c>
      <c r="AA133" s="254">
        <f>$Q7</f>
        <v>525</v>
      </c>
      <c r="AB133" s="253">
        <f>$Q7</f>
        <v>525</v>
      </c>
      <c r="AC133" s="254">
        <f>$Q7</f>
        <v>525</v>
      </c>
      <c r="AD133" s="254">
        <f>$Q7</f>
        <v>525</v>
      </c>
      <c r="AE133" s="254">
        <f>$Q7</f>
        <v>525</v>
      </c>
      <c r="AF133" s="254">
        <f>$Q7</f>
        <v>525</v>
      </c>
      <c r="AG133" s="254">
        <f>$Q7</f>
        <v>525</v>
      </c>
      <c r="AH133" s="254">
        <f>$Q7</f>
        <v>525</v>
      </c>
      <c r="AI133" s="254">
        <f>$Q7</f>
        <v>525</v>
      </c>
      <c r="AJ133" s="254">
        <f>$Q7</f>
        <v>525</v>
      </c>
      <c r="AK133" s="254">
        <f>$Q7</f>
        <v>525</v>
      </c>
      <c r="AL133" s="254">
        <f>$Q7</f>
        <v>525</v>
      </c>
      <c r="AM133" s="254">
        <f>$Q7</f>
        <v>525</v>
      </c>
    </row>
    <row r="134" spans="1:39" s="251" customFormat="1" outlineLevel="1" x14ac:dyDescent="0.25">
      <c r="B134" s="251" t="str">
        <f t="shared" si="12"/>
        <v>Dagren</v>
      </c>
      <c r="C134" s="252" t="s">
        <v>256</v>
      </c>
      <c r="D134" s="253">
        <f>$Q8</f>
        <v>525</v>
      </c>
      <c r="E134" s="254">
        <f>$Q8</f>
        <v>525</v>
      </c>
      <c r="F134" s="254">
        <f>$Q8</f>
        <v>525</v>
      </c>
      <c r="G134" s="254">
        <f>$Q8</f>
        <v>525</v>
      </c>
      <c r="H134" s="254">
        <f>$Q8</f>
        <v>525</v>
      </c>
      <c r="I134" s="254">
        <f>$Q8</f>
        <v>525</v>
      </c>
      <c r="J134" s="254">
        <f>$Q8</f>
        <v>525</v>
      </c>
      <c r="K134" s="254">
        <f>$Q8</f>
        <v>525</v>
      </c>
      <c r="L134" s="254">
        <f>$Q8</f>
        <v>525</v>
      </c>
      <c r="M134" s="254">
        <f>$Q8</f>
        <v>525</v>
      </c>
      <c r="N134" s="254">
        <f>$Q8</f>
        <v>525</v>
      </c>
      <c r="O134" s="254">
        <f>$Q8</f>
        <v>525</v>
      </c>
      <c r="P134" s="253">
        <f>$Q8</f>
        <v>525</v>
      </c>
      <c r="Q134" s="254">
        <f>$Q8</f>
        <v>525</v>
      </c>
      <c r="R134" s="254">
        <f>$Q8</f>
        <v>525</v>
      </c>
      <c r="S134" s="254">
        <f>$Q8</f>
        <v>525</v>
      </c>
      <c r="T134" s="254">
        <f>$Q8</f>
        <v>525</v>
      </c>
      <c r="U134" s="254">
        <f>$Q8</f>
        <v>525</v>
      </c>
      <c r="V134" s="254">
        <f>$Q8</f>
        <v>525</v>
      </c>
      <c r="W134" s="254">
        <f>$Q8</f>
        <v>525</v>
      </c>
      <c r="X134" s="254">
        <f>$Q8</f>
        <v>525</v>
      </c>
      <c r="Y134" s="254">
        <f>$Q8</f>
        <v>525</v>
      </c>
      <c r="Z134" s="254">
        <f>$Q8</f>
        <v>525</v>
      </c>
      <c r="AA134" s="254">
        <f>$Q8</f>
        <v>525</v>
      </c>
      <c r="AB134" s="253">
        <f>$Q8</f>
        <v>525</v>
      </c>
      <c r="AC134" s="254">
        <f>$Q8</f>
        <v>525</v>
      </c>
      <c r="AD134" s="254">
        <f>$Q8</f>
        <v>525</v>
      </c>
      <c r="AE134" s="254">
        <f>$Q8</f>
        <v>525</v>
      </c>
      <c r="AF134" s="254">
        <f>$Q8</f>
        <v>525</v>
      </c>
      <c r="AG134" s="254">
        <f>$Q8</f>
        <v>525</v>
      </c>
      <c r="AH134" s="254">
        <f>$Q8</f>
        <v>525</v>
      </c>
      <c r="AI134" s="254">
        <f>$Q8</f>
        <v>525</v>
      </c>
      <c r="AJ134" s="254">
        <f>$Q8</f>
        <v>525</v>
      </c>
      <c r="AK134" s="254">
        <f>$Q8</f>
        <v>525</v>
      </c>
      <c r="AL134" s="254">
        <f>$Q8</f>
        <v>525</v>
      </c>
      <c r="AM134" s="254">
        <f>$Q8</f>
        <v>525</v>
      </c>
    </row>
    <row r="135" spans="1:39" s="251" customFormat="1" outlineLevel="1" x14ac:dyDescent="0.25">
      <c r="B135" s="251" t="str">
        <f t="shared" si="12"/>
        <v>AndetBrand</v>
      </c>
      <c r="C135" s="252" t="s">
        <v>256</v>
      </c>
      <c r="D135" s="253">
        <f>$Q9</f>
        <v>525</v>
      </c>
      <c r="E135" s="254">
        <f>$Q9</f>
        <v>525</v>
      </c>
      <c r="F135" s="254">
        <f>$Q9</f>
        <v>525</v>
      </c>
      <c r="G135" s="254">
        <f>$Q9</f>
        <v>525</v>
      </c>
      <c r="H135" s="254">
        <f>$Q9</f>
        <v>525</v>
      </c>
      <c r="I135" s="254">
        <f>$Q9</f>
        <v>525</v>
      </c>
      <c r="J135" s="254">
        <f>$Q9</f>
        <v>525</v>
      </c>
      <c r="K135" s="254">
        <f>$Q9</f>
        <v>525</v>
      </c>
      <c r="L135" s="254">
        <f>$Q9</f>
        <v>525</v>
      </c>
      <c r="M135" s="254">
        <f>$Q9</f>
        <v>525</v>
      </c>
      <c r="N135" s="254">
        <f>$Q9</f>
        <v>525</v>
      </c>
      <c r="O135" s="254">
        <f>$Q9</f>
        <v>525</v>
      </c>
      <c r="P135" s="253">
        <f>$Q9</f>
        <v>525</v>
      </c>
      <c r="Q135" s="254">
        <f>$Q9</f>
        <v>525</v>
      </c>
      <c r="R135" s="254">
        <f>$Q9</f>
        <v>525</v>
      </c>
      <c r="S135" s="254">
        <f>$Q9</f>
        <v>525</v>
      </c>
      <c r="T135" s="254">
        <f>$Q9</f>
        <v>525</v>
      </c>
      <c r="U135" s="254">
        <f>$Q9</f>
        <v>525</v>
      </c>
      <c r="V135" s="254">
        <f>$Q9</f>
        <v>525</v>
      </c>
      <c r="W135" s="254">
        <f>$Q9</f>
        <v>525</v>
      </c>
      <c r="X135" s="254">
        <f>$Q9</f>
        <v>525</v>
      </c>
      <c r="Y135" s="254">
        <f>$Q9</f>
        <v>525</v>
      </c>
      <c r="Z135" s="254">
        <f>$Q9</f>
        <v>525</v>
      </c>
      <c r="AA135" s="254">
        <f>$Q9</f>
        <v>525</v>
      </c>
      <c r="AB135" s="253">
        <f>$Q9</f>
        <v>525</v>
      </c>
      <c r="AC135" s="254">
        <f>$Q9</f>
        <v>525</v>
      </c>
      <c r="AD135" s="254">
        <f>$Q9</f>
        <v>525</v>
      </c>
      <c r="AE135" s="254">
        <f>$Q9</f>
        <v>525</v>
      </c>
      <c r="AF135" s="254">
        <f>$Q9</f>
        <v>525</v>
      </c>
      <c r="AG135" s="254">
        <f>$Q9</f>
        <v>525</v>
      </c>
      <c r="AH135" s="254">
        <f>$Q9</f>
        <v>525</v>
      </c>
      <c r="AI135" s="254">
        <f>$Q9</f>
        <v>525</v>
      </c>
      <c r="AJ135" s="254">
        <f>$Q9</f>
        <v>525</v>
      </c>
      <c r="AK135" s="254">
        <f>$Q9</f>
        <v>525</v>
      </c>
      <c r="AL135" s="254">
        <f>$Q9</f>
        <v>525</v>
      </c>
      <c r="AM135" s="254">
        <f>$Q9</f>
        <v>525</v>
      </c>
    </row>
    <row r="136" spans="1:39" s="251" customFormat="1" outlineLevel="1" x14ac:dyDescent="0.25">
      <c r="B136" s="251" t="str">
        <f t="shared" si="12"/>
        <v>Trae</v>
      </c>
      <c r="C136" s="252" t="s">
        <v>256</v>
      </c>
      <c r="D136" s="253">
        <f>$Q10</f>
        <v>155</v>
      </c>
      <c r="E136" s="254">
        <f>$Q10</f>
        <v>155</v>
      </c>
      <c r="F136" s="254">
        <f>$Q10</f>
        <v>155</v>
      </c>
      <c r="G136" s="254">
        <f>$Q10</f>
        <v>155</v>
      </c>
      <c r="H136" s="254">
        <f>$Q10</f>
        <v>155</v>
      </c>
      <c r="I136" s="254">
        <f>$Q10</f>
        <v>155</v>
      </c>
      <c r="J136" s="254">
        <f>$Q10</f>
        <v>155</v>
      </c>
      <c r="K136" s="254">
        <f>$Q10</f>
        <v>155</v>
      </c>
      <c r="L136" s="254">
        <f>$Q10</f>
        <v>155</v>
      </c>
      <c r="M136" s="254">
        <f>$Q10</f>
        <v>155</v>
      </c>
      <c r="N136" s="254">
        <f>$Q10</f>
        <v>155</v>
      </c>
      <c r="O136" s="254">
        <f>$Q10</f>
        <v>155</v>
      </c>
      <c r="P136" s="253">
        <f>$Q10</f>
        <v>155</v>
      </c>
      <c r="Q136" s="254">
        <f>$Q10</f>
        <v>155</v>
      </c>
      <c r="R136" s="254">
        <f>$Q10</f>
        <v>155</v>
      </c>
      <c r="S136" s="254">
        <f>$Q10</f>
        <v>155</v>
      </c>
      <c r="T136" s="254">
        <f>$Q10</f>
        <v>155</v>
      </c>
      <c r="U136" s="254">
        <f>$Q10</f>
        <v>155</v>
      </c>
      <c r="V136" s="254">
        <f>$Q10</f>
        <v>155</v>
      </c>
      <c r="W136" s="254">
        <f>$Q10</f>
        <v>155</v>
      </c>
      <c r="X136" s="254">
        <f>$Q10</f>
        <v>155</v>
      </c>
      <c r="Y136" s="254">
        <f>$Q10</f>
        <v>155</v>
      </c>
      <c r="Z136" s="254">
        <f>$Q10</f>
        <v>155</v>
      </c>
      <c r="AA136" s="254">
        <f>$Q10</f>
        <v>155</v>
      </c>
      <c r="AB136" s="253">
        <f>$Q10</f>
        <v>155</v>
      </c>
      <c r="AC136" s="254">
        <f>$Q10</f>
        <v>155</v>
      </c>
      <c r="AD136" s="254">
        <f>$Q10</f>
        <v>155</v>
      </c>
      <c r="AE136" s="254">
        <f>$Q10</f>
        <v>155</v>
      </c>
      <c r="AF136" s="254">
        <f>$Q10</f>
        <v>155</v>
      </c>
      <c r="AG136" s="254">
        <f>$Q10</f>
        <v>155</v>
      </c>
      <c r="AH136" s="254">
        <f>$Q10</f>
        <v>155</v>
      </c>
      <c r="AI136" s="254">
        <f>$Q10</f>
        <v>155</v>
      </c>
      <c r="AJ136" s="254">
        <f>$Q10</f>
        <v>155</v>
      </c>
      <c r="AK136" s="254">
        <f>$Q10</f>
        <v>155</v>
      </c>
      <c r="AL136" s="254">
        <f>$Q10</f>
        <v>155</v>
      </c>
      <c r="AM136" s="254">
        <f>$Q10</f>
        <v>155</v>
      </c>
    </row>
    <row r="137" spans="1:39" s="251" customFormat="1" outlineLevel="1" x14ac:dyDescent="0.25">
      <c r="B137" s="251" t="str">
        <f t="shared" si="12"/>
        <v>DagrenRast</v>
      </c>
      <c r="C137" s="252" t="s">
        <v>256</v>
      </c>
      <c r="D137" s="253">
        <f>$Q11</f>
        <v>525</v>
      </c>
      <c r="E137" s="254">
        <f>$Q11</f>
        <v>525</v>
      </c>
      <c r="F137" s="254">
        <f>$Q11</f>
        <v>525</v>
      </c>
      <c r="G137" s="254">
        <f>$Q11</f>
        <v>525</v>
      </c>
      <c r="H137" s="254">
        <f>$Q11</f>
        <v>525</v>
      </c>
      <c r="I137" s="254">
        <f>$Q11</f>
        <v>525</v>
      </c>
      <c r="J137" s="254">
        <f>$Q11</f>
        <v>525</v>
      </c>
      <c r="K137" s="254">
        <f>$Q11</f>
        <v>525</v>
      </c>
      <c r="L137" s="254">
        <f>$Q11</f>
        <v>525</v>
      </c>
      <c r="M137" s="254">
        <f>$Q11</f>
        <v>525</v>
      </c>
      <c r="N137" s="254">
        <f>$Q11</f>
        <v>525</v>
      </c>
      <c r="O137" s="254">
        <f>$Q11</f>
        <v>525</v>
      </c>
      <c r="P137" s="253">
        <f>$Q11</f>
        <v>525</v>
      </c>
      <c r="Q137" s="254">
        <f>$Q11</f>
        <v>525</v>
      </c>
      <c r="R137" s="254">
        <f>$Q11</f>
        <v>525</v>
      </c>
      <c r="S137" s="254">
        <f>$Q11</f>
        <v>525</v>
      </c>
      <c r="T137" s="254">
        <f>$Q11</f>
        <v>525</v>
      </c>
      <c r="U137" s="254">
        <f>$Q11</f>
        <v>525</v>
      </c>
      <c r="V137" s="254">
        <f>$Q11</f>
        <v>525</v>
      </c>
      <c r="W137" s="254">
        <f>$Q11</f>
        <v>525</v>
      </c>
      <c r="X137" s="254">
        <f>$Q11</f>
        <v>525</v>
      </c>
      <c r="Y137" s="254">
        <f>$Q11</f>
        <v>525</v>
      </c>
      <c r="Z137" s="254">
        <f>$Q11</f>
        <v>525</v>
      </c>
      <c r="AA137" s="254">
        <f>$Q11</f>
        <v>525</v>
      </c>
      <c r="AB137" s="253">
        <f>$Q11</f>
        <v>525</v>
      </c>
      <c r="AC137" s="254">
        <f>$Q11</f>
        <v>525</v>
      </c>
      <c r="AD137" s="254">
        <f>$Q11</f>
        <v>525</v>
      </c>
      <c r="AE137" s="254">
        <f>$Q11</f>
        <v>525</v>
      </c>
      <c r="AF137" s="254">
        <f>$Q11</f>
        <v>525</v>
      </c>
      <c r="AG137" s="254">
        <f>$Q11</f>
        <v>525</v>
      </c>
      <c r="AH137" s="254">
        <f>$Q11</f>
        <v>525</v>
      </c>
      <c r="AI137" s="254">
        <f>$Q11</f>
        <v>525</v>
      </c>
      <c r="AJ137" s="254">
        <f>$Q11</f>
        <v>525</v>
      </c>
      <c r="AK137" s="254">
        <f>$Q11</f>
        <v>525</v>
      </c>
      <c r="AL137" s="254">
        <f>$Q11</f>
        <v>525</v>
      </c>
      <c r="AM137" s="254">
        <f>$Q11</f>
        <v>525</v>
      </c>
    </row>
    <row r="138" spans="1:39" s="251" customFormat="1" outlineLevel="1" x14ac:dyDescent="0.25">
      <c r="B138" s="251" t="str">
        <f t="shared" si="12"/>
        <v>DagrenInst</v>
      </c>
      <c r="C138" s="252" t="s">
        <v>256</v>
      </c>
      <c r="D138" s="253">
        <f>$Q12</f>
        <v>525</v>
      </c>
      <c r="E138" s="254">
        <f>$Q12</f>
        <v>525</v>
      </c>
      <c r="F138" s="254">
        <f>$Q12</f>
        <v>525</v>
      </c>
      <c r="G138" s="254">
        <f>$Q12</f>
        <v>525</v>
      </c>
      <c r="H138" s="254">
        <f>$Q12</f>
        <v>525</v>
      </c>
      <c r="I138" s="254">
        <f>$Q12</f>
        <v>525</v>
      </c>
      <c r="J138" s="254">
        <f>$Q12</f>
        <v>525</v>
      </c>
      <c r="K138" s="254">
        <f>$Q12</f>
        <v>525</v>
      </c>
      <c r="L138" s="254">
        <f>$Q12</f>
        <v>525</v>
      </c>
      <c r="M138" s="254">
        <f>$Q12</f>
        <v>525</v>
      </c>
      <c r="N138" s="254">
        <f>$Q12</f>
        <v>525</v>
      </c>
      <c r="O138" s="254">
        <f>$Q12</f>
        <v>525</v>
      </c>
      <c r="P138" s="253">
        <f>$Q12</f>
        <v>525</v>
      </c>
      <c r="Q138" s="254">
        <f>$Q12</f>
        <v>525</v>
      </c>
      <c r="R138" s="254">
        <f>$Q12</f>
        <v>525</v>
      </c>
      <c r="S138" s="254">
        <f>$Q12</f>
        <v>525</v>
      </c>
      <c r="T138" s="254">
        <f>$Q12</f>
        <v>525</v>
      </c>
      <c r="U138" s="254">
        <f>$Q12</f>
        <v>525</v>
      </c>
      <c r="V138" s="254">
        <f>$Q12</f>
        <v>525</v>
      </c>
      <c r="W138" s="254">
        <f>$Q12</f>
        <v>525</v>
      </c>
      <c r="X138" s="254">
        <f>$Q12</f>
        <v>525</v>
      </c>
      <c r="Y138" s="254">
        <f>$Q12</f>
        <v>525</v>
      </c>
      <c r="Z138" s="254">
        <f>$Q12</f>
        <v>525</v>
      </c>
      <c r="AA138" s="254">
        <f>$Q12</f>
        <v>525</v>
      </c>
      <c r="AB138" s="253">
        <f>$Q12</f>
        <v>525</v>
      </c>
      <c r="AC138" s="254">
        <f>$Q12</f>
        <v>525</v>
      </c>
      <c r="AD138" s="254">
        <f>$Q12</f>
        <v>525</v>
      </c>
      <c r="AE138" s="254">
        <f>$Q12</f>
        <v>525</v>
      </c>
      <c r="AF138" s="254">
        <f>$Q12</f>
        <v>525</v>
      </c>
      <c r="AG138" s="254">
        <f>$Q12</f>
        <v>525</v>
      </c>
      <c r="AH138" s="254">
        <f>$Q12</f>
        <v>525</v>
      </c>
      <c r="AI138" s="254">
        <f>$Q12</f>
        <v>525</v>
      </c>
      <c r="AJ138" s="254">
        <f>$Q12</f>
        <v>525</v>
      </c>
      <c r="AK138" s="254">
        <f>$Q12</f>
        <v>525</v>
      </c>
      <c r="AL138" s="254">
        <f>$Q12</f>
        <v>525</v>
      </c>
      <c r="AM138" s="254">
        <f>$Q12</f>
        <v>525</v>
      </c>
    </row>
    <row r="139" spans="1:39" s="251" customFormat="1" outlineLevel="1" x14ac:dyDescent="0.25">
      <c r="B139" s="251" t="str">
        <f t="shared" si="12"/>
        <v>DagrenHandel</v>
      </c>
      <c r="C139" s="252" t="s">
        <v>256</v>
      </c>
      <c r="D139" s="253">
        <f>$Q13</f>
        <v>525</v>
      </c>
      <c r="E139" s="254">
        <f>$Q13</f>
        <v>525</v>
      </c>
      <c r="F139" s="254">
        <f>$Q13</f>
        <v>525</v>
      </c>
      <c r="G139" s="254">
        <f>$Q13</f>
        <v>525</v>
      </c>
      <c r="H139" s="254">
        <f>$Q13</f>
        <v>525</v>
      </c>
      <c r="I139" s="254">
        <f>$Q13</f>
        <v>525</v>
      </c>
      <c r="J139" s="254">
        <f>$Q13</f>
        <v>525</v>
      </c>
      <c r="K139" s="254">
        <f>$Q13</f>
        <v>525</v>
      </c>
      <c r="L139" s="254">
        <f>$Q13</f>
        <v>525</v>
      </c>
      <c r="M139" s="254">
        <f>$Q13</f>
        <v>525</v>
      </c>
      <c r="N139" s="254">
        <f>$Q13</f>
        <v>525</v>
      </c>
      <c r="O139" s="254">
        <f>$Q13</f>
        <v>525</v>
      </c>
      <c r="P139" s="253">
        <f>$Q13</f>
        <v>525</v>
      </c>
      <c r="Q139" s="254">
        <f>$Q13</f>
        <v>525</v>
      </c>
      <c r="R139" s="254">
        <f>$Q13</f>
        <v>525</v>
      </c>
      <c r="S139" s="254">
        <f>$Q13</f>
        <v>525</v>
      </c>
      <c r="T139" s="254">
        <f>$Q13</f>
        <v>525</v>
      </c>
      <c r="U139" s="254">
        <f>$Q13</f>
        <v>525</v>
      </c>
      <c r="V139" s="254">
        <f>$Q13</f>
        <v>525</v>
      </c>
      <c r="W139" s="254">
        <f>$Q13</f>
        <v>525</v>
      </c>
      <c r="X139" s="254">
        <f>$Q13</f>
        <v>525</v>
      </c>
      <c r="Y139" s="254">
        <f>$Q13</f>
        <v>525</v>
      </c>
      <c r="Z139" s="254">
        <f>$Q13</f>
        <v>525</v>
      </c>
      <c r="AA139" s="254">
        <f>$Q13</f>
        <v>525</v>
      </c>
      <c r="AB139" s="253">
        <f>$Q13</f>
        <v>525</v>
      </c>
      <c r="AC139" s="254">
        <f>$Q13</f>
        <v>525</v>
      </c>
      <c r="AD139" s="254">
        <f>$Q13</f>
        <v>525</v>
      </c>
      <c r="AE139" s="254">
        <f>$Q13</f>
        <v>525</v>
      </c>
      <c r="AF139" s="254">
        <f>$Q13</f>
        <v>525</v>
      </c>
      <c r="AG139" s="254">
        <f>$Q13</f>
        <v>525</v>
      </c>
      <c r="AH139" s="254">
        <f>$Q13</f>
        <v>525</v>
      </c>
      <c r="AI139" s="254">
        <f>$Q13</f>
        <v>525</v>
      </c>
      <c r="AJ139" s="254">
        <f>$Q13</f>
        <v>525</v>
      </c>
      <c r="AK139" s="254">
        <f>$Q13</f>
        <v>525</v>
      </c>
      <c r="AL139" s="254">
        <f>$Q13</f>
        <v>525</v>
      </c>
      <c r="AM139" s="254">
        <f>$Q13</f>
        <v>525</v>
      </c>
    </row>
    <row r="140" spans="1:39" s="251" customFormat="1" outlineLevel="1" x14ac:dyDescent="0.25">
      <c r="B140" s="251" t="str">
        <f t="shared" si="12"/>
        <v>DagrenRestau</v>
      </c>
      <c r="C140" s="252" t="s">
        <v>256</v>
      </c>
      <c r="D140" s="253">
        <f>$Q14</f>
        <v>525</v>
      </c>
      <c r="E140" s="254">
        <f>$Q14</f>
        <v>525</v>
      </c>
      <c r="F140" s="254">
        <f>$Q14</f>
        <v>525</v>
      </c>
      <c r="G140" s="254">
        <f>$Q14</f>
        <v>525</v>
      </c>
      <c r="H140" s="254">
        <f>$Q14</f>
        <v>525</v>
      </c>
      <c r="I140" s="254">
        <f>$Q14</f>
        <v>525</v>
      </c>
      <c r="J140" s="254">
        <f>$Q14</f>
        <v>525</v>
      </c>
      <c r="K140" s="254">
        <f>$Q14</f>
        <v>525</v>
      </c>
      <c r="L140" s="254">
        <f>$Q14</f>
        <v>525</v>
      </c>
      <c r="M140" s="254">
        <f>$Q14</f>
        <v>525</v>
      </c>
      <c r="N140" s="254">
        <f>$Q14</f>
        <v>525</v>
      </c>
      <c r="O140" s="254">
        <f>$Q14</f>
        <v>525</v>
      </c>
      <c r="P140" s="253">
        <f>$Q14</f>
        <v>525</v>
      </c>
      <c r="Q140" s="254">
        <f>$Q14</f>
        <v>525</v>
      </c>
      <c r="R140" s="254">
        <f>$Q14</f>
        <v>525</v>
      </c>
      <c r="S140" s="254">
        <f>$Q14</f>
        <v>525</v>
      </c>
      <c r="T140" s="254">
        <f>$Q14</f>
        <v>525</v>
      </c>
      <c r="U140" s="254">
        <f>$Q14</f>
        <v>525</v>
      </c>
      <c r="V140" s="254">
        <f>$Q14</f>
        <v>525</v>
      </c>
      <c r="W140" s="254">
        <f>$Q14</f>
        <v>525</v>
      </c>
      <c r="X140" s="254">
        <f>$Q14</f>
        <v>525</v>
      </c>
      <c r="Y140" s="254">
        <f>$Q14</f>
        <v>525</v>
      </c>
      <c r="Z140" s="254">
        <f>$Q14</f>
        <v>525</v>
      </c>
      <c r="AA140" s="254">
        <f>$Q14</f>
        <v>525</v>
      </c>
      <c r="AB140" s="253">
        <f>$Q14</f>
        <v>525</v>
      </c>
      <c r="AC140" s="254">
        <f>$Q14</f>
        <v>525</v>
      </c>
      <c r="AD140" s="254">
        <f>$Q14</f>
        <v>525</v>
      </c>
      <c r="AE140" s="254">
        <f>$Q14</f>
        <v>525</v>
      </c>
      <c r="AF140" s="254">
        <f>$Q14</f>
        <v>525</v>
      </c>
      <c r="AG140" s="254">
        <f>$Q14</f>
        <v>525</v>
      </c>
      <c r="AH140" s="254">
        <f>$Q14</f>
        <v>525</v>
      </c>
      <c r="AI140" s="254">
        <f>$Q14</f>
        <v>525</v>
      </c>
      <c r="AJ140" s="254">
        <f>$Q14</f>
        <v>525</v>
      </c>
      <c r="AK140" s="254">
        <f>$Q14</f>
        <v>525</v>
      </c>
      <c r="AL140" s="254">
        <f>$Q14</f>
        <v>525</v>
      </c>
      <c r="AM140" s="254">
        <f>$Q14</f>
        <v>525</v>
      </c>
    </row>
    <row r="141" spans="1:39" s="251" customFormat="1" outlineLevel="1" x14ac:dyDescent="0.25">
      <c r="B141" s="251" t="str">
        <f t="shared" si="12"/>
        <v>Erhverv</v>
      </c>
      <c r="C141" s="252" t="s">
        <v>256</v>
      </c>
      <c r="D141" s="253">
        <f>$Q15</f>
        <v>525</v>
      </c>
      <c r="E141" s="254">
        <f>$Q15</f>
        <v>525</v>
      </c>
      <c r="F141" s="254">
        <f>$Q15</f>
        <v>525</v>
      </c>
      <c r="G141" s="254">
        <f>$Q15</f>
        <v>525</v>
      </c>
      <c r="H141" s="254">
        <f>$Q15</f>
        <v>525</v>
      </c>
      <c r="I141" s="254">
        <f>$Q15</f>
        <v>525</v>
      </c>
      <c r="J141" s="254">
        <f>$Q15</f>
        <v>525</v>
      </c>
      <c r="K141" s="254">
        <f>$Q15</f>
        <v>525</v>
      </c>
      <c r="L141" s="254">
        <f>$Q15</f>
        <v>525</v>
      </c>
      <c r="M141" s="254">
        <f>$Q15</f>
        <v>525</v>
      </c>
      <c r="N141" s="254">
        <f>$Q15</f>
        <v>525</v>
      </c>
      <c r="O141" s="254">
        <f>$Q15</f>
        <v>525</v>
      </c>
      <c r="P141" s="253">
        <f>$Q15</f>
        <v>525</v>
      </c>
      <c r="Q141" s="254">
        <f>$Q15</f>
        <v>525</v>
      </c>
      <c r="R141" s="254">
        <f>$Q15</f>
        <v>525</v>
      </c>
      <c r="S141" s="254">
        <f>$Q15</f>
        <v>525</v>
      </c>
      <c r="T141" s="254">
        <f>$Q15</f>
        <v>525</v>
      </c>
      <c r="U141" s="254">
        <f>$Q15</f>
        <v>525</v>
      </c>
      <c r="V141" s="254">
        <f>$Q15</f>
        <v>525</v>
      </c>
      <c r="W141" s="254">
        <f>$Q15</f>
        <v>525</v>
      </c>
      <c r="X141" s="254">
        <f>$Q15</f>
        <v>525</v>
      </c>
      <c r="Y141" s="254">
        <f>$Q15</f>
        <v>525</v>
      </c>
      <c r="Z141" s="254">
        <f>$Q15</f>
        <v>525</v>
      </c>
      <c r="AA141" s="254">
        <f>$Q15</f>
        <v>525</v>
      </c>
      <c r="AB141" s="253">
        <f>$Q15</f>
        <v>525</v>
      </c>
      <c r="AC141" s="254">
        <f>$Q15</f>
        <v>525</v>
      </c>
      <c r="AD141" s="254">
        <f>$Q15</f>
        <v>525</v>
      </c>
      <c r="AE141" s="254">
        <f>$Q15</f>
        <v>525</v>
      </c>
      <c r="AF141" s="254">
        <f>$Q15</f>
        <v>525</v>
      </c>
      <c r="AG141" s="254">
        <f>$Q15</f>
        <v>525</v>
      </c>
      <c r="AH141" s="254">
        <f>$Q15</f>
        <v>525</v>
      </c>
      <c r="AI141" s="254">
        <f>$Q15</f>
        <v>525</v>
      </c>
      <c r="AJ141" s="254">
        <f>$Q15</f>
        <v>525</v>
      </c>
      <c r="AK141" s="254">
        <f>$Q15</f>
        <v>525</v>
      </c>
      <c r="AL141" s="254">
        <f>$Q15</f>
        <v>525</v>
      </c>
      <c r="AM141" s="254">
        <f>$Q15</f>
        <v>525</v>
      </c>
    </row>
    <row r="142" spans="1:39" s="251" customFormat="1" outlineLevel="1" x14ac:dyDescent="0.25">
      <c r="B142" s="251" t="str">
        <f t="shared" si="12"/>
        <v>DagrenErhverv</v>
      </c>
      <c r="C142" s="252" t="s">
        <v>256</v>
      </c>
      <c r="D142" s="253">
        <f>$Q16</f>
        <v>785</v>
      </c>
      <c r="E142" s="254">
        <f>$Q16</f>
        <v>785</v>
      </c>
      <c r="F142" s="254">
        <f>$Q16</f>
        <v>785</v>
      </c>
      <c r="G142" s="254">
        <f>$Q16</f>
        <v>785</v>
      </c>
      <c r="H142" s="254">
        <f>$Q16</f>
        <v>785</v>
      </c>
      <c r="I142" s="254">
        <f>$Q16</f>
        <v>785</v>
      </c>
      <c r="J142" s="254">
        <f>$Q16</f>
        <v>785</v>
      </c>
      <c r="K142" s="254">
        <f>$Q16</f>
        <v>785</v>
      </c>
      <c r="L142" s="254">
        <f>$Q16</f>
        <v>785</v>
      </c>
      <c r="M142" s="254">
        <f>$Q16</f>
        <v>785</v>
      </c>
      <c r="N142" s="254">
        <f>$Q16</f>
        <v>785</v>
      </c>
      <c r="O142" s="254">
        <f>$Q16</f>
        <v>785</v>
      </c>
      <c r="P142" s="253">
        <f>$Q16</f>
        <v>785</v>
      </c>
      <c r="Q142" s="254">
        <f>$Q16</f>
        <v>785</v>
      </c>
      <c r="R142" s="254">
        <f>$Q16</f>
        <v>785</v>
      </c>
      <c r="S142" s="254">
        <f>$Q16</f>
        <v>785</v>
      </c>
      <c r="T142" s="254">
        <f>$Q16</f>
        <v>785</v>
      </c>
      <c r="U142" s="254">
        <f>$Q16</f>
        <v>785</v>
      </c>
      <c r="V142" s="254">
        <f>$Q16</f>
        <v>785</v>
      </c>
      <c r="W142" s="254">
        <f>$Q16</f>
        <v>785</v>
      </c>
      <c r="X142" s="254">
        <f>$Q16</f>
        <v>785</v>
      </c>
      <c r="Y142" s="254">
        <f>$Q16</f>
        <v>785</v>
      </c>
      <c r="Z142" s="254">
        <f>$Q16</f>
        <v>785</v>
      </c>
      <c r="AA142" s="254">
        <f>$Q16</f>
        <v>785</v>
      </c>
      <c r="AB142" s="253">
        <f>$Q16</f>
        <v>785</v>
      </c>
      <c r="AC142" s="254">
        <f>$Q16</f>
        <v>785</v>
      </c>
      <c r="AD142" s="254">
        <f>$Q16</f>
        <v>785</v>
      </c>
      <c r="AE142" s="254">
        <f>$Q16</f>
        <v>785</v>
      </c>
      <c r="AF142" s="254">
        <f>$Q16</f>
        <v>785</v>
      </c>
      <c r="AG142" s="254">
        <f>$Q16</f>
        <v>785</v>
      </c>
      <c r="AH142" s="254">
        <f>$Q16</f>
        <v>785</v>
      </c>
      <c r="AI142" s="254">
        <f>$Q16</f>
        <v>785</v>
      </c>
      <c r="AJ142" s="254">
        <f>$Q16</f>
        <v>785</v>
      </c>
      <c r="AK142" s="254">
        <f>$Q16</f>
        <v>785</v>
      </c>
      <c r="AL142" s="254">
        <f>$Q16</f>
        <v>785</v>
      </c>
      <c r="AM142" s="254">
        <f>$Q16</f>
        <v>785</v>
      </c>
    </row>
    <row r="143" spans="1:39" s="251" customFormat="1" outlineLevel="1" x14ac:dyDescent="0.25">
      <c r="B143" s="251" t="str">
        <f t="shared" si="12"/>
        <v>HandelKontor</v>
      </c>
      <c r="C143" s="252" t="s">
        <v>256</v>
      </c>
      <c r="D143" s="253">
        <f>$Q17</f>
        <v>0</v>
      </c>
      <c r="E143" s="254">
        <f>$Q17</f>
        <v>0</v>
      </c>
      <c r="F143" s="254">
        <f>$Q17</f>
        <v>0</v>
      </c>
      <c r="G143" s="254">
        <f>$Q17</f>
        <v>0</v>
      </c>
      <c r="H143" s="254">
        <f>$Q17</f>
        <v>0</v>
      </c>
      <c r="I143" s="254">
        <f>$Q17</f>
        <v>0</v>
      </c>
      <c r="J143" s="254">
        <f>$Q17</f>
        <v>0</v>
      </c>
      <c r="K143" s="254">
        <f>$Q17</f>
        <v>0</v>
      </c>
      <c r="L143" s="254">
        <f>$Q17</f>
        <v>0</v>
      </c>
      <c r="M143" s="254">
        <f>$Q17</f>
        <v>0</v>
      </c>
      <c r="N143" s="254">
        <f>$Q17</f>
        <v>0</v>
      </c>
      <c r="O143" s="254">
        <f>$Q17</f>
        <v>0</v>
      </c>
      <c r="P143" s="253">
        <f>$Q17</f>
        <v>0</v>
      </c>
      <c r="Q143" s="254">
        <f>$Q17</f>
        <v>0</v>
      </c>
      <c r="R143" s="254">
        <f>$Q17</f>
        <v>0</v>
      </c>
      <c r="S143" s="254">
        <f>$Q17</f>
        <v>0</v>
      </c>
      <c r="T143" s="254">
        <f>$Q17</f>
        <v>0</v>
      </c>
      <c r="U143" s="254">
        <f>$Q17</f>
        <v>0</v>
      </c>
      <c r="V143" s="254">
        <f>$Q17</f>
        <v>0</v>
      </c>
      <c r="W143" s="254">
        <f>$Q17</f>
        <v>0</v>
      </c>
      <c r="X143" s="254">
        <f>$Q17</f>
        <v>0</v>
      </c>
      <c r="Y143" s="254">
        <f>$Q17</f>
        <v>0</v>
      </c>
      <c r="Z143" s="254">
        <f>$Q17</f>
        <v>0</v>
      </c>
      <c r="AA143" s="254">
        <f>$Q17</f>
        <v>0</v>
      </c>
      <c r="AB143" s="253">
        <f>$Q17</f>
        <v>0</v>
      </c>
      <c r="AC143" s="254">
        <f>$Q17</f>
        <v>0</v>
      </c>
      <c r="AD143" s="254">
        <f>$Q17</f>
        <v>0</v>
      </c>
      <c r="AE143" s="254">
        <f>$Q17</f>
        <v>0</v>
      </c>
      <c r="AF143" s="254">
        <f>$Q17</f>
        <v>0</v>
      </c>
      <c r="AG143" s="254">
        <f>$Q17</f>
        <v>0</v>
      </c>
      <c r="AH143" s="254">
        <f>$Q17</f>
        <v>0</v>
      </c>
      <c r="AI143" s="254">
        <f>$Q17</f>
        <v>0</v>
      </c>
      <c r="AJ143" s="254">
        <f>$Q17</f>
        <v>0</v>
      </c>
      <c r="AK143" s="254">
        <f>$Q17</f>
        <v>0</v>
      </c>
      <c r="AL143" s="254">
        <f>$Q17</f>
        <v>0</v>
      </c>
      <c r="AM143" s="254">
        <f>$Q17</f>
        <v>0</v>
      </c>
    </row>
    <row r="144" spans="1:39" s="251" customFormat="1" outlineLevel="1" x14ac:dyDescent="0.25">
      <c r="B144" s="251" t="str">
        <f t="shared" si="12"/>
        <v>Privat</v>
      </c>
      <c r="C144" s="252" t="s">
        <v>256</v>
      </c>
      <c r="D144" s="253">
        <f>$Q18</f>
        <v>525</v>
      </c>
      <c r="E144" s="254">
        <f>$Q18</f>
        <v>525</v>
      </c>
      <c r="F144" s="254">
        <f>$Q18</f>
        <v>525</v>
      </c>
      <c r="G144" s="254">
        <f>$Q18</f>
        <v>525</v>
      </c>
      <c r="H144" s="254">
        <f>$Q18</f>
        <v>525</v>
      </c>
      <c r="I144" s="254">
        <f>$Q18</f>
        <v>525</v>
      </c>
      <c r="J144" s="254">
        <f>$Q18</f>
        <v>525</v>
      </c>
      <c r="K144" s="254">
        <f>$Q18</f>
        <v>525</v>
      </c>
      <c r="L144" s="254">
        <f>$Q18</f>
        <v>525</v>
      </c>
      <c r="M144" s="254">
        <f>$Q18</f>
        <v>525</v>
      </c>
      <c r="N144" s="254">
        <f>$Q18</f>
        <v>525</v>
      </c>
      <c r="O144" s="254">
        <f>$Q18</f>
        <v>525</v>
      </c>
      <c r="P144" s="253">
        <f>$Q18</f>
        <v>525</v>
      </c>
      <c r="Q144" s="254">
        <f>$Q18</f>
        <v>525</v>
      </c>
      <c r="R144" s="254">
        <f>$Q18</f>
        <v>525</v>
      </c>
      <c r="S144" s="254">
        <f>$Q18</f>
        <v>525</v>
      </c>
      <c r="T144" s="254">
        <f>$Q18</f>
        <v>525</v>
      </c>
      <c r="U144" s="254">
        <f>$Q18</f>
        <v>525</v>
      </c>
      <c r="V144" s="254">
        <f>$Q18</f>
        <v>525</v>
      </c>
      <c r="W144" s="254">
        <f>$Q18</f>
        <v>525</v>
      </c>
      <c r="X144" s="254">
        <f>$Q18</f>
        <v>525</v>
      </c>
      <c r="Y144" s="254">
        <f>$Q18</f>
        <v>525</v>
      </c>
      <c r="Z144" s="254">
        <f>$Q18</f>
        <v>525</v>
      </c>
      <c r="AA144" s="254">
        <f>$Q18</f>
        <v>525</v>
      </c>
      <c r="AB144" s="253">
        <f>$Q18</f>
        <v>525</v>
      </c>
      <c r="AC144" s="254">
        <f>$Q18</f>
        <v>525</v>
      </c>
      <c r="AD144" s="254">
        <f>$Q18</f>
        <v>525</v>
      </c>
      <c r="AE144" s="254">
        <f>$Q18</f>
        <v>525</v>
      </c>
      <c r="AF144" s="254">
        <f>$Q18</f>
        <v>525</v>
      </c>
      <c r="AG144" s="254">
        <f>$Q18</f>
        <v>525</v>
      </c>
      <c r="AH144" s="254">
        <f>$Q18</f>
        <v>525</v>
      </c>
      <c r="AI144" s="254">
        <f>$Q18</f>
        <v>525</v>
      </c>
      <c r="AJ144" s="254">
        <f>$Q18</f>
        <v>525</v>
      </c>
      <c r="AK144" s="254">
        <f>$Q18</f>
        <v>525</v>
      </c>
      <c r="AL144" s="254">
        <f>$Q18</f>
        <v>525</v>
      </c>
      <c r="AM144" s="254">
        <f>$Q18</f>
        <v>525</v>
      </c>
    </row>
    <row r="145" spans="1:39" s="251" customFormat="1" outlineLevel="1" x14ac:dyDescent="0.25">
      <c r="B145" s="251" t="str">
        <f t="shared" si="12"/>
        <v>TyskRest</v>
      </c>
      <c r="C145" s="252" t="s">
        <v>256</v>
      </c>
      <c r="D145" s="253">
        <f>$Q19</f>
        <v>400</v>
      </c>
      <c r="E145" s="254">
        <f>$Q19</f>
        <v>400</v>
      </c>
      <c r="F145" s="254">
        <f>$Q19</f>
        <v>400</v>
      </c>
      <c r="G145" s="254">
        <f>$Q19</f>
        <v>400</v>
      </c>
      <c r="H145" s="254">
        <f>$Q19</f>
        <v>400</v>
      </c>
      <c r="I145" s="254">
        <f>$Q19</f>
        <v>400</v>
      </c>
      <c r="J145" s="254">
        <f>$Q19</f>
        <v>400</v>
      </c>
      <c r="K145" s="254">
        <f>$Q19</f>
        <v>400</v>
      </c>
      <c r="L145" s="254">
        <f>$Q19</f>
        <v>400</v>
      </c>
      <c r="M145" s="254">
        <f>$Q19</f>
        <v>400</v>
      </c>
      <c r="N145" s="254">
        <f>$Q19</f>
        <v>400</v>
      </c>
      <c r="O145" s="254">
        <f>$Q19</f>
        <v>400</v>
      </c>
      <c r="P145" s="253">
        <f>$Q19</f>
        <v>400</v>
      </c>
      <c r="Q145" s="254">
        <f>$Q19</f>
        <v>400</v>
      </c>
      <c r="R145" s="254">
        <f>$Q19</f>
        <v>400</v>
      </c>
      <c r="S145" s="254">
        <f>$Q19</f>
        <v>400</v>
      </c>
      <c r="T145" s="254">
        <f>$Q19</f>
        <v>400</v>
      </c>
      <c r="U145" s="254">
        <f>$Q19</f>
        <v>400</v>
      </c>
      <c r="V145" s="254">
        <f>$Q19</f>
        <v>400</v>
      </c>
      <c r="W145" s="254">
        <f>$Q19</f>
        <v>400</v>
      </c>
      <c r="X145" s="254">
        <f>$Q19</f>
        <v>400</v>
      </c>
      <c r="Y145" s="254">
        <f>$Q19</f>
        <v>400</v>
      </c>
      <c r="Z145" s="254">
        <f>$Q19</f>
        <v>400</v>
      </c>
      <c r="AA145" s="254">
        <f>$Q19</f>
        <v>400</v>
      </c>
      <c r="AB145" s="253">
        <f>$Q19</f>
        <v>400</v>
      </c>
      <c r="AC145" s="254">
        <f>$Q19</f>
        <v>400</v>
      </c>
      <c r="AD145" s="254">
        <f>$Q19</f>
        <v>400</v>
      </c>
      <c r="AE145" s="254">
        <f>$Q19</f>
        <v>400</v>
      </c>
      <c r="AF145" s="254">
        <f>$Q19</f>
        <v>400</v>
      </c>
      <c r="AG145" s="254">
        <f>$Q19</f>
        <v>400</v>
      </c>
      <c r="AH145" s="254">
        <f>$Q19</f>
        <v>400</v>
      </c>
      <c r="AI145" s="254">
        <f>$Q19</f>
        <v>400</v>
      </c>
      <c r="AJ145" s="254">
        <f>$Q19</f>
        <v>400</v>
      </c>
      <c r="AK145" s="254">
        <f>$Q19</f>
        <v>400</v>
      </c>
      <c r="AL145" s="254">
        <f>$Q19</f>
        <v>400</v>
      </c>
      <c r="AM145" s="254">
        <f>$Q19</f>
        <v>400</v>
      </c>
    </row>
    <row r="146" spans="1:39" s="251" customFormat="1" outlineLevel="1" x14ac:dyDescent="0.25">
      <c r="B146" s="251" t="str">
        <f t="shared" si="12"/>
        <v>PolskRest</v>
      </c>
      <c r="C146" s="252" t="s">
        <v>256</v>
      </c>
      <c r="D146" s="253">
        <f>$Q20</f>
        <v>515</v>
      </c>
      <c r="E146" s="254">
        <f>$Q20</f>
        <v>515</v>
      </c>
      <c r="F146" s="254">
        <f>$Q20</f>
        <v>515</v>
      </c>
      <c r="G146" s="254">
        <f>$Q20</f>
        <v>515</v>
      </c>
      <c r="H146" s="254">
        <f>$Q20</f>
        <v>515</v>
      </c>
      <c r="I146" s="254">
        <f>$Q20</f>
        <v>515</v>
      </c>
      <c r="J146" s="254">
        <f>$Q20</f>
        <v>515</v>
      </c>
      <c r="K146" s="254">
        <f>$Q20</f>
        <v>515</v>
      </c>
      <c r="L146" s="254">
        <f>$Q20</f>
        <v>515</v>
      </c>
      <c r="M146" s="254">
        <f>$Q20</f>
        <v>515</v>
      </c>
      <c r="N146" s="254">
        <f>$Q20</f>
        <v>515</v>
      </c>
      <c r="O146" s="254">
        <f>$Q20</f>
        <v>515</v>
      </c>
      <c r="P146" s="253">
        <f>$Q20</f>
        <v>515</v>
      </c>
      <c r="Q146" s="254">
        <f>$Q20</f>
        <v>515</v>
      </c>
      <c r="R146" s="254">
        <f>$Q20</f>
        <v>515</v>
      </c>
      <c r="S146" s="254">
        <f>$Q20</f>
        <v>515</v>
      </c>
      <c r="T146" s="254">
        <f>$Q20</f>
        <v>515</v>
      </c>
      <c r="U146" s="254">
        <f>$Q20</f>
        <v>515</v>
      </c>
      <c r="V146" s="254">
        <f>$Q20</f>
        <v>515</v>
      </c>
      <c r="W146" s="254">
        <f>$Q20</f>
        <v>515</v>
      </c>
      <c r="X146" s="254">
        <f>$Q20</f>
        <v>515</v>
      </c>
      <c r="Y146" s="254">
        <f>$Q20</f>
        <v>515</v>
      </c>
      <c r="Z146" s="254">
        <f>$Q20</f>
        <v>515</v>
      </c>
      <c r="AA146" s="254">
        <f>$Q20</f>
        <v>515</v>
      </c>
      <c r="AB146" s="253">
        <f>$Q20</f>
        <v>515</v>
      </c>
      <c r="AC146" s="254">
        <f>$Q20</f>
        <v>515</v>
      </c>
      <c r="AD146" s="254">
        <f>$Q20</f>
        <v>515</v>
      </c>
      <c r="AE146" s="254">
        <f>$Q20</f>
        <v>515</v>
      </c>
      <c r="AF146" s="254">
        <f>$Q20</f>
        <v>515</v>
      </c>
      <c r="AG146" s="254">
        <f>$Q20</f>
        <v>515</v>
      </c>
      <c r="AH146" s="254">
        <f>$Q20</f>
        <v>515</v>
      </c>
      <c r="AI146" s="254">
        <f>$Q20</f>
        <v>515</v>
      </c>
      <c r="AJ146" s="254">
        <f>$Q20</f>
        <v>515</v>
      </c>
      <c r="AK146" s="254">
        <f>$Q20</f>
        <v>515</v>
      </c>
      <c r="AL146" s="254">
        <f>$Q20</f>
        <v>515</v>
      </c>
      <c r="AM146" s="254">
        <f>$Q20</f>
        <v>515</v>
      </c>
    </row>
    <row r="147" spans="1:39" s="251" customFormat="1" outlineLevel="1" x14ac:dyDescent="0.25">
      <c r="B147" s="251" t="str">
        <f t="shared" si="12"/>
        <v>PcbTrae</v>
      </c>
      <c r="C147" s="252" t="s">
        <v>256</v>
      </c>
      <c r="D147" s="253">
        <f>$Q21</f>
        <v>0</v>
      </c>
      <c r="E147" s="254">
        <f>$Q21</f>
        <v>0</v>
      </c>
      <c r="F147" s="254">
        <f>$Q21</f>
        <v>0</v>
      </c>
      <c r="G147" s="254">
        <f>$Q21</f>
        <v>0</v>
      </c>
      <c r="H147" s="254">
        <f>$Q21</f>
        <v>0</v>
      </c>
      <c r="I147" s="254">
        <f>$Q21</f>
        <v>0</v>
      </c>
      <c r="J147" s="254">
        <f>$Q21</f>
        <v>0</v>
      </c>
      <c r="K147" s="254">
        <f>$Q21</f>
        <v>0</v>
      </c>
      <c r="L147" s="254">
        <f>$Q21</f>
        <v>0</v>
      </c>
      <c r="M147" s="254">
        <f>$Q21</f>
        <v>0</v>
      </c>
      <c r="N147" s="254">
        <f>$Q21</f>
        <v>0</v>
      </c>
      <c r="O147" s="254">
        <f>$Q21</f>
        <v>0</v>
      </c>
      <c r="P147" s="253">
        <f>$Q21</f>
        <v>0</v>
      </c>
      <c r="Q147" s="254">
        <f>$Q21</f>
        <v>0</v>
      </c>
      <c r="R147" s="254">
        <f>$Q21</f>
        <v>0</v>
      </c>
      <c r="S147" s="254">
        <f>$Q21</f>
        <v>0</v>
      </c>
      <c r="T147" s="254">
        <f>$Q21</f>
        <v>0</v>
      </c>
      <c r="U147" s="254">
        <f>$Q21</f>
        <v>0</v>
      </c>
      <c r="V147" s="254">
        <f>$Q21</f>
        <v>0</v>
      </c>
      <c r="W147" s="254">
        <f>$Q21</f>
        <v>0</v>
      </c>
      <c r="X147" s="254">
        <f>$Q21</f>
        <v>0</v>
      </c>
      <c r="Y147" s="254">
        <f>$Q21</f>
        <v>0</v>
      </c>
      <c r="Z147" s="254">
        <f>$Q21</f>
        <v>0</v>
      </c>
      <c r="AA147" s="254">
        <f>$Q21</f>
        <v>0</v>
      </c>
      <c r="AB147" s="253">
        <f>$Q21</f>
        <v>0</v>
      </c>
      <c r="AC147" s="254">
        <f>$Q21</f>
        <v>0</v>
      </c>
      <c r="AD147" s="254">
        <f>$Q21</f>
        <v>0</v>
      </c>
      <c r="AE147" s="254">
        <f>$Q21</f>
        <v>0</v>
      </c>
      <c r="AF147" s="254">
        <f>$Q21</f>
        <v>0</v>
      </c>
      <c r="AG147" s="254">
        <f>$Q21</f>
        <v>0</v>
      </c>
      <c r="AH147" s="254">
        <f>$Q21</f>
        <v>0</v>
      </c>
      <c r="AI147" s="254">
        <f>$Q21</f>
        <v>0</v>
      </c>
      <c r="AJ147" s="254">
        <f>$Q21</f>
        <v>0</v>
      </c>
      <c r="AK147" s="254">
        <f>$Q21</f>
        <v>0</v>
      </c>
      <c r="AL147" s="254">
        <f>$Q21</f>
        <v>0</v>
      </c>
      <c r="AM147" s="254">
        <f>$Q21</f>
        <v>0</v>
      </c>
    </row>
    <row r="148" spans="1:39" s="251" customFormat="1" outlineLevel="1" x14ac:dyDescent="0.25">
      <c r="B148" s="251" t="str">
        <f t="shared" si="12"/>
        <v>TraeRekv</v>
      </c>
      <c r="C148" s="252" t="s">
        <v>256</v>
      </c>
      <c r="D148" s="253">
        <f>$Q22</f>
        <v>0</v>
      </c>
      <c r="E148" s="254">
        <f>$Q22</f>
        <v>0</v>
      </c>
      <c r="F148" s="254">
        <f>$Q22</f>
        <v>0</v>
      </c>
      <c r="G148" s="254">
        <f>$Q22</f>
        <v>0</v>
      </c>
      <c r="H148" s="254">
        <f>$Q22</f>
        <v>0</v>
      </c>
      <c r="I148" s="254">
        <f>$Q22</f>
        <v>0</v>
      </c>
      <c r="J148" s="254">
        <f>$Q22</f>
        <v>0</v>
      </c>
      <c r="K148" s="254">
        <f>$Q22</f>
        <v>0</v>
      </c>
      <c r="L148" s="254">
        <f>$Q22</f>
        <v>0</v>
      </c>
      <c r="M148" s="254">
        <f>$Q22</f>
        <v>0</v>
      </c>
      <c r="N148" s="254">
        <f>$Q22</f>
        <v>0</v>
      </c>
      <c r="O148" s="254">
        <f>$Q22</f>
        <v>0</v>
      </c>
      <c r="P148" s="253">
        <f>$Q22</f>
        <v>0</v>
      </c>
      <c r="Q148" s="254">
        <f>$Q22</f>
        <v>0</v>
      </c>
      <c r="R148" s="254">
        <f>$Q22</f>
        <v>0</v>
      </c>
      <c r="S148" s="254">
        <f>$Q22</f>
        <v>0</v>
      </c>
      <c r="T148" s="254">
        <f>$Q22</f>
        <v>0</v>
      </c>
      <c r="U148" s="254">
        <f>$Q22</f>
        <v>0</v>
      </c>
      <c r="V148" s="254">
        <f>$Q22</f>
        <v>0</v>
      </c>
      <c r="W148" s="254">
        <f>$Q22</f>
        <v>0</v>
      </c>
      <c r="X148" s="254">
        <f>$Q22</f>
        <v>0</v>
      </c>
      <c r="Y148" s="254">
        <f>$Q22</f>
        <v>0</v>
      </c>
      <c r="Z148" s="254">
        <f>$Q22</f>
        <v>0</v>
      </c>
      <c r="AA148" s="254">
        <f>$Q22</f>
        <v>0</v>
      </c>
      <c r="AB148" s="253">
        <f>$Q22</f>
        <v>0</v>
      </c>
      <c r="AC148" s="254">
        <f>$Q22</f>
        <v>0</v>
      </c>
      <c r="AD148" s="254">
        <f>$Q22</f>
        <v>0</v>
      </c>
      <c r="AE148" s="254">
        <f>$Q22</f>
        <v>0</v>
      </c>
      <c r="AF148" s="254">
        <f>$Q22</f>
        <v>0</v>
      </c>
      <c r="AG148" s="254">
        <f>$Q22</f>
        <v>0</v>
      </c>
      <c r="AH148" s="254">
        <f>$Q22</f>
        <v>0</v>
      </c>
      <c r="AI148" s="254">
        <f>$Q22</f>
        <v>0</v>
      </c>
      <c r="AJ148" s="254">
        <f>$Q22</f>
        <v>0</v>
      </c>
      <c r="AK148" s="254">
        <f>$Q22</f>
        <v>0</v>
      </c>
      <c r="AL148" s="254">
        <f>$Q22</f>
        <v>0</v>
      </c>
      <c r="AM148" s="254">
        <f>$Q22</f>
        <v>0</v>
      </c>
    </row>
    <row r="149" spans="1:39" s="251" customFormat="1" outlineLevel="1" x14ac:dyDescent="0.25">
      <c r="B149" s="251" t="str">
        <f t="shared" si="12"/>
        <v>Halm</v>
      </c>
      <c r="C149" s="252" t="s">
        <v>256</v>
      </c>
      <c r="D149" s="253">
        <f>$Q23</f>
        <v>0</v>
      </c>
      <c r="E149" s="254">
        <f>$Q23</f>
        <v>0</v>
      </c>
      <c r="F149" s="254">
        <f>$Q23</f>
        <v>0</v>
      </c>
      <c r="G149" s="254">
        <f>$Q23</f>
        <v>0</v>
      </c>
      <c r="H149" s="254">
        <f>$Q23</f>
        <v>0</v>
      </c>
      <c r="I149" s="254">
        <f>$Q23</f>
        <v>0</v>
      </c>
      <c r="J149" s="254">
        <f>$Q23</f>
        <v>0</v>
      </c>
      <c r="K149" s="254">
        <f>$Q23</f>
        <v>0</v>
      </c>
      <c r="L149" s="254">
        <f>$Q23</f>
        <v>0</v>
      </c>
      <c r="M149" s="254">
        <f>$Q23</f>
        <v>0</v>
      </c>
      <c r="N149" s="254">
        <f>$Q23</f>
        <v>0</v>
      </c>
      <c r="O149" s="254">
        <f>$Q23</f>
        <v>0</v>
      </c>
      <c r="P149" s="253">
        <f>$Q23</f>
        <v>0</v>
      </c>
      <c r="Q149" s="254">
        <f>$Q23</f>
        <v>0</v>
      </c>
      <c r="R149" s="254">
        <f>$Q23</f>
        <v>0</v>
      </c>
      <c r="S149" s="254">
        <f>$Q23</f>
        <v>0</v>
      </c>
      <c r="T149" s="254">
        <f>$Q23</f>
        <v>0</v>
      </c>
      <c r="U149" s="254">
        <f>$Q23</f>
        <v>0</v>
      </c>
      <c r="V149" s="254">
        <f>$Q23</f>
        <v>0</v>
      </c>
      <c r="W149" s="254">
        <f>$Q23</f>
        <v>0</v>
      </c>
      <c r="X149" s="254">
        <f>$Q23</f>
        <v>0</v>
      </c>
      <c r="Y149" s="254">
        <f>$Q23</f>
        <v>0</v>
      </c>
      <c r="Z149" s="254">
        <f>$Q23</f>
        <v>0</v>
      </c>
      <c r="AA149" s="254">
        <f>$Q23</f>
        <v>0</v>
      </c>
      <c r="AB149" s="253">
        <f>$Q23</f>
        <v>0</v>
      </c>
      <c r="AC149" s="254">
        <f>$Q23</f>
        <v>0</v>
      </c>
      <c r="AD149" s="254">
        <f>$Q23</f>
        <v>0</v>
      </c>
      <c r="AE149" s="254">
        <f>$Q23</f>
        <v>0</v>
      </c>
      <c r="AF149" s="254">
        <f>$Q23</f>
        <v>0</v>
      </c>
      <c r="AG149" s="254">
        <f>$Q23</f>
        <v>0</v>
      </c>
      <c r="AH149" s="254">
        <f>$Q23</f>
        <v>0</v>
      </c>
      <c r="AI149" s="254">
        <f>$Q23</f>
        <v>0</v>
      </c>
      <c r="AJ149" s="254">
        <f>$Q23</f>
        <v>0</v>
      </c>
      <c r="AK149" s="254">
        <f>$Q23</f>
        <v>0</v>
      </c>
      <c r="AL149" s="254">
        <f>$Q23</f>
        <v>0</v>
      </c>
      <c r="AM149" s="254">
        <f>$Q23</f>
        <v>0</v>
      </c>
    </row>
    <row r="150" spans="1:39" s="251" customFormat="1" outlineLevel="1" x14ac:dyDescent="0.25">
      <c r="A150" s="255"/>
      <c r="B150" s="251" t="str">
        <f t="shared" si="12"/>
        <v>Pulver</v>
      </c>
      <c r="C150" s="252" t="s">
        <v>256</v>
      </c>
      <c r="D150" s="253">
        <f>$Q24</f>
        <v>685</v>
      </c>
      <c r="E150" s="254">
        <f>$Q24</f>
        <v>685</v>
      </c>
      <c r="F150" s="254">
        <f>$Q24</f>
        <v>685</v>
      </c>
      <c r="G150" s="254">
        <f>$Q24</f>
        <v>685</v>
      </c>
      <c r="H150" s="254">
        <f>$Q24</f>
        <v>685</v>
      </c>
      <c r="I150" s="254">
        <f>$Q24</f>
        <v>685</v>
      </c>
      <c r="J150" s="254">
        <f>$Q24</f>
        <v>685</v>
      </c>
      <c r="K150" s="254">
        <f>$Q24</f>
        <v>685</v>
      </c>
      <c r="L150" s="254">
        <f>$Q24</f>
        <v>685</v>
      </c>
      <c r="M150" s="254">
        <f>$Q24</f>
        <v>685</v>
      </c>
      <c r="N150" s="254">
        <f>$Q24</f>
        <v>685</v>
      </c>
      <c r="O150" s="254">
        <f>$Q24</f>
        <v>685</v>
      </c>
      <c r="P150" s="253">
        <f>$Q24</f>
        <v>685</v>
      </c>
      <c r="Q150" s="254">
        <f>$Q24</f>
        <v>685</v>
      </c>
      <c r="R150" s="254">
        <f>$Q24</f>
        <v>685</v>
      </c>
      <c r="S150" s="254">
        <f>$Q24</f>
        <v>685</v>
      </c>
      <c r="T150" s="254">
        <f>$Q24</f>
        <v>685</v>
      </c>
      <c r="U150" s="254">
        <f>$Q24</f>
        <v>685</v>
      </c>
      <c r="V150" s="254">
        <f>$Q24</f>
        <v>685</v>
      </c>
      <c r="W150" s="254">
        <f>$Q24</f>
        <v>685</v>
      </c>
      <c r="X150" s="254">
        <f>$Q24</f>
        <v>685</v>
      </c>
      <c r="Y150" s="254">
        <f>$Q24</f>
        <v>685</v>
      </c>
      <c r="Z150" s="254">
        <f>$Q24</f>
        <v>685</v>
      </c>
      <c r="AA150" s="254">
        <f>$Q24</f>
        <v>685</v>
      </c>
      <c r="AB150" s="253">
        <f>$Q24</f>
        <v>685</v>
      </c>
      <c r="AC150" s="254">
        <f>$Q24</f>
        <v>685</v>
      </c>
      <c r="AD150" s="254">
        <f>$Q24</f>
        <v>685</v>
      </c>
      <c r="AE150" s="254">
        <f>$Q24</f>
        <v>685</v>
      </c>
      <c r="AF150" s="254">
        <f>$Q24</f>
        <v>685</v>
      </c>
      <c r="AG150" s="254">
        <f>$Q24</f>
        <v>685</v>
      </c>
      <c r="AH150" s="254">
        <f>$Q24</f>
        <v>685</v>
      </c>
      <c r="AI150" s="254">
        <f>$Q24</f>
        <v>685</v>
      </c>
      <c r="AJ150" s="254">
        <f>$Q24</f>
        <v>685</v>
      </c>
      <c r="AK150" s="254">
        <f>$Q24</f>
        <v>685</v>
      </c>
      <c r="AL150" s="254">
        <f>$Q24</f>
        <v>685</v>
      </c>
      <c r="AM150" s="254">
        <f>$Q24</f>
        <v>685</v>
      </c>
    </row>
    <row r="151" spans="1:39" s="251" customFormat="1" outlineLevel="1" x14ac:dyDescent="0.25">
      <c r="A151" s="255"/>
      <c r="B151" s="251" t="str">
        <f t="shared" si="12"/>
        <v>FlisAffald</v>
      </c>
      <c r="C151" s="252" t="s">
        <v>256</v>
      </c>
      <c r="D151" s="253">
        <f>$Q25</f>
        <v>155</v>
      </c>
      <c r="E151" s="254">
        <f>$Q25</f>
        <v>155</v>
      </c>
      <c r="F151" s="254">
        <f>$Q25</f>
        <v>155</v>
      </c>
      <c r="G151" s="254">
        <f>$Q25</f>
        <v>155</v>
      </c>
      <c r="H151" s="254">
        <f>$Q25</f>
        <v>155</v>
      </c>
      <c r="I151" s="254">
        <f>$Q25</f>
        <v>155</v>
      </c>
      <c r="J151" s="254">
        <f>$Q25</f>
        <v>155</v>
      </c>
      <c r="K151" s="254">
        <f>$Q25</f>
        <v>155</v>
      </c>
      <c r="L151" s="254">
        <f>$Q25</f>
        <v>155</v>
      </c>
      <c r="M151" s="254">
        <f>$Q25</f>
        <v>155</v>
      </c>
      <c r="N151" s="254">
        <f>$Q25</f>
        <v>155</v>
      </c>
      <c r="O151" s="254">
        <f>$Q25</f>
        <v>155</v>
      </c>
      <c r="P151" s="253">
        <f>$Q25</f>
        <v>155</v>
      </c>
      <c r="Q151" s="254">
        <f>$Q25</f>
        <v>155</v>
      </c>
      <c r="R151" s="254">
        <f>$Q25</f>
        <v>155</v>
      </c>
      <c r="S151" s="254">
        <f>$Q25</f>
        <v>155</v>
      </c>
      <c r="T151" s="254">
        <f>$Q25</f>
        <v>155</v>
      </c>
      <c r="U151" s="254">
        <f>$Q25</f>
        <v>155</v>
      </c>
      <c r="V151" s="254">
        <f>$Q25</f>
        <v>155</v>
      </c>
      <c r="W151" s="254">
        <f>$Q25</f>
        <v>155</v>
      </c>
      <c r="X151" s="254">
        <f>$Q25</f>
        <v>155</v>
      </c>
      <c r="Y151" s="254">
        <f>$Q25</f>
        <v>155</v>
      </c>
      <c r="Z151" s="254">
        <f>$Q25</f>
        <v>155</v>
      </c>
      <c r="AA151" s="254">
        <f>$Q25</f>
        <v>155</v>
      </c>
      <c r="AB151" s="253">
        <f>$Q25</f>
        <v>155</v>
      </c>
      <c r="AC151" s="254">
        <f>$Q25</f>
        <v>155</v>
      </c>
      <c r="AD151" s="254">
        <f>$Q25</f>
        <v>155</v>
      </c>
      <c r="AE151" s="254">
        <f>$Q25</f>
        <v>155</v>
      </c>
      <c r="AF151" s="254">
        <f>$Q25</f>
        <v>155</v>
      </c>
      <c r="AG151" s="254">
        <f>$Q25</f>
        <v>155</v>
      </c>
      <c r="AH151" s="254">
        <f>$Q25</f>
        <v>155</v>
      </c>
      <c r="AI151" s="254">
        <f>$Q25</f>
        <v>155</v>
      </c>
      <c r="AJ151" s="254">
        <f>$Q25</f>
        <v>155</v>
      </c>
      <c r="AK151" s="254">
        <f>$Q25</f>
        <v>155</v>
      </c>
      <c r="AL151" s="254">
        <f>$Q25</f>
        <v>155</v>
      </c>
      <c r="AM151" s="254">
        <f>$Q25</f>
        <v>155</v>
      </c>
    </row>
    <row r="152" spans="1:39" s="251" customFormat="1" outlineLevel="1" x14ac:dyDescent="0.25">
      <c r="A152" s="255"/>
      <c r="B152" s="251" t="str">
        <f t="shared" si="12"/>
        <v>NyAff1</v>
      </c>
      <c r="C152" s="252" t="s">
        <v>256</v>
      </c>
      <c r="D152" s="253">
        <f>$Q26</f>
        <v>-402.5</v>
      </c>
      <c r="E152" s="254">
        <f>$Q26</f>
        <v>-402.5</v>
      </c>
      <c r="F152" s="254">
        <f>$Q26</f>
        <v>-402.5</v>
      </c>
      <c r="G152" s="254">
        <f>$Q26</f>
        <v>-402.5</v>
      </c>
      <c r="H152" s="254">
        <f>$Q26</f>
        <v>-402.5</v>
      </c>
      <c r="I152" s="254">
        <f>$Q26</f>
        <v>-402.5</v>
      </c>
      <c r="J152" s="254">
        <f>$Q26</f>
        <v>-402.5</v>
      </c>
      <c r="K152" s="254">
        <f>$Q26</f>
        <v>-402.5</v>
      </c>
      <c r="L152" s="254">
        <f>$Q26</f>
        <v>-402.5</v>
      </c>
      <c r="M152" s="254">
        <f>$Q26</f>
        <v>-402.5</v>
      </c>
      <c r="N152" s="254">
        <f>$Q26</f>
        <v>-402.5</v>
      </c>
      <c r="O152" s="254">
        <f>$Q26</f>
        <v>-402.5</v>
      </c>
      <c r="P152" s="253">
        <f>$Q26</f>
        <v>-402.5</v>
      </c>
      <c r="Q152" s="254">
        <f>$Q26</f>
        <v>-402.5</v>
      </c>
      <c r="R152" s="254">
        <f>$Q26</f>
        <v>-402.5</v>
      </c>
      <c r="S152" s="254">
        <f>$Q26</f>
        <v>-402.5</v>
      </c>
      <c r="T152" s="254">
        <f>$Q26</f>
        <v>-402.5</v>
      </c>
      <c r="U152" s="254">
        <f>$Q26</f>
        <v>-402.5</v>
      </c>
      <c r="V152" s="254">
        <f>$Q26</f>
        <v>-402.5</v>
      </c>
      <c r="W152" s="254">
        <f>$Q26</f>
        <v>-402.5</v>
      </c>
      <c r="X152" s="254">
        <f>$Q26</f>
        <v>-402.5</v>
      </c>
      <c r="Y152" s="254">
        <f>$Q26</f>
        <v>-402.5</v>
      </c>
      <c r="Z152" s="254">
        <f>$Q26</f>
        <v>-402.5</v>
      </c>
      <c r="AA152" s="254">
        <f>$Q26</f>
        <v>-402.5</v>
      </c>
      <c r="AB152" s="253">
        <f>$Q26</f>
        <v>-402.5</v>
      </c>
      <c r="AC152" s="254">
        <f>$Q26</f>
        <v>-402.5</v>
      </c>
      <c r="AD152" s="254">
        <f>$Q26</f>
        <v>-402.5</v>
      </c>
      <c r="AE152" s="254">
        <f>$Q26</f>
        <v>-402.5</v>
      </c>
      <c r="AF152" s="254">
        <f>$Q26</f>
        <v>-402.5</v>
      </c>
      <c r="AG152" s="254">
        <f>$Q26</f>
        <v>-402.5</v>
      </c>
      <c r="AH152" s="254">
        <f>$Q26</f>
        <v>-402.5</v>
      </c>
      <c r="AI152" s="254">
        <f>$Q26</f>
        <v>-402.5</v>
      </c>
      <c r="AJ152" s="254">
        <f>$Q26</f>
        <v>-402.5</v>
      </c>
      <c r="AK152" s="254">
        <f>$Q26</f>
        <v>-402.5</v>
      </c>
      <c r="AL152" s="254">
        <f>$Q26</f>
        <v>-402.5</v>
      </c>
      <c r="AM152" s="254">
        <f>$Q26</f>
        <v>-402.5</v>
      </c>
    </row>
    <row r="153" spans="1:39" s="251" customFormat="1" outlineLevel="1" x14ac:dyDescent="0.25">
      <c r="B153" s="251" t="str">
        <f t="shared" si="12"/>
        <v>NyAff2</v>
      </c>
      <c r="C153" s="252" t="s">
        <v>256</v>
      </c>
      <c r="D153" s="253">
        <f>$Q27</f>
        <v>450</v>
      </c>
      <c r="E153" s="254">
        <f>$Q27</f>
        <v>450</v>
      </c>
      <c r="F153" s="254">
        <f>$Q27</f>
        <v>450</v>
      </c>
      <c r="G153" s="254">
        <f>$Q27</f>
        <v>450</v>
      </c>
      <c r="H153" s="254">
        <f>$Q27</f>
        <v>450</v>
      </c>
      <c r="I153" s="254">
        <f>$Q27</f>
        <v>450</v>
      </c>
      <c r="J153" s="254">
        <f>$Q27</f>
        <v>450</v>
      </c>
      <c r="K153" s="254">
        <f>$Q27</f>
        <v>450</v>
      </c>
      <c r="L153" s="254">
        <f>$Q27</f>
        <v>450</v>
      </c>
      <c r="M153" s="254">
        <f>$Q27</f>
        <v>450</v>
      </c>
      <c r="N153" s="254">
        <f>$Q27</f>
        <v>450</v>
      </c>
      <c r="O153" s="254">
        <f>$Q27</f>
        <v>450</v>
      </c>
      <c r="P153" s="253">
        <f>$Q27</f>
        <v>450</v>
      </c>
      <c r="Q153" s="254">
        <f>$Q27</f>
        <v>450</v>
      </c>
      <c r="R153" s="254">
        <f>$Q27</f>
        <v>450</v>
      </c>
      <c r="S153" s="254">
        <f>$Q27</f>
        <v>450</v>
      </c>
      <c r="T153" s="254">
        <f>$Q27</f>
        <v>450</v>
      </c>
      <c r="U153" s="254">
        <f>$Q27</f>
        <v>450</v>
      </c>
      <c r="V153" s="254">
        <f>$Q27</f>
        <v>450</v>
      </c>
      <c r="W153" s="254">
        <f>$Q27</f>
        <v>450</v>
      </c>
      <c r="X153" s="254">
        <f>$Q27</f>
        <v>450</v>
      </c>
      <c r="Y153" s="254">
        <f>$Q27</f>
        <v>450</v>
      </c>
      <c r="Z153" s="254">
        <f>$Q27</f>
        <v>450</v>
      </c>
      <c r="AA153" s="254">
        <f>$Q27</f>
        <v>450</v>
      </c>
      <c r="AB153" s="253">
        <f>$Q27</f>
        <v>450</v>
      </c>
      <c r="AC153" s="254">
        <f>$Q27</f>
        <v>450</v>
      </c>
      <c r="AD153" s="254">
        <f>$Q27</f>
        <v>450</v>
      </c>
      <c r="AE153" s="254">
        <f>$Q27</f>
        <v>450</v>
      </c>
      <c r="AF153" s="254">
        <f>$Q27</f>
        <v>450</v>
      </c>
      <c r="AG153" s="254">
        <f>$Q27</f>
        <v>450</v>
      </c>
      <c r="AH153" s="254">
        <f>$Q27</f>
        <v>450</v>
      </c>
      <c r="AI153" s="254">
        <f>$Q27</f>
        <v>450</v>
      </c>
      <c r="AJ153" s="254">
        <f>$Q27</f>
        <v>450</v>
      </c>
      <c r="AK153" s="254">
        <f>$Q27</f>
        <v>450</v>
      </c>
      <c r="AL153" s="254">
        <f>$Q27</f>
        <v>450</v>
      </c>
      <c r="AM153" s="254">
        <f>$Q27</f>
        <v>450</v>
      </c>
    </row>
    <row r="154" spans="1:39" s="251" customFormat="1" outlineLevel="1" x14ac:dyDescent="0.25">
      <c r="B154" s="251" t="str">
        <f t="shared" si="12"/>
        <v>NyAff3</v>
      </c>
      <c r="C154" s="252" t="s">
        <v>256</v>
      </c>
      <c r="D154" s="253">
        <f>$Q28</f>
        <v>500</v>
      </c>
      <c r="E154" s="254">
        <f>$Q28</f>
        <v>500</v>
      </c>
      <c r="F154" s="254">
        <f>$Q28</f>
        <v>500</v>
      </c>
      <c r="G154" s="254">
        <f>$Q28</f>
        <v>500</v>
      </c>
      <c r="H154" s="254">
        <f>$Q28</f>
        <v>500</v>
      </c>
      <c r="I154" s="254">
        <f>$Q28</f>
        <v>500</v>
      </c>
      <c r="J154" s="254">
        <f>$Q28</f>
        <v>500</v>
      </c>
      <c r="K154" s="254">
        <f>$Q28</f>
        <v>500</v>
      </c>
      <c r="L154" s="254">
        <f>$Q28</f>
        <v>500</v>
      </c>
      <c r="M154" s="254">
        <f>$Q28</f>
        <v>500</v>
      </c>
      <c r="N154" s="254">
        <f>$Q28</f>
        <v>500</v>
      </c>
      <c r="O154" s="254">
        <f>$Q28</f>
        <v>500</v>
      </c>
      <c r="P154" s="253">
        <f>$Q28</f>
        <v>500</v>
      </c>
      <c r="Q154" s="254">
        <f>$Q28</f>
        <v>500</v>
      </c>
      <c r="R154" s="254">
        <f>$Q28</f>
        <v>500</v>
      </c>
      <c r="S154" s="254">
        <f>$Q28</f>
        <v>500</v>
      </c>
      <c r="T154" s="254">
        <f>$Q28</f>
        <v>500</v>
      </c>
      <c r="U154" s="254">
        <f>$Q28</f>
        <v>500</v>
      </c>
      <c r="V154" s="254">
        <f>$Q28</f>
        <v>500</v>
      </c>
      <c r="W154" s="254">
        <f>$Q28</f>
        <v>500</v>
      </c>
      <c r="X154" s="254">
        <f>$Q28</f>
        <v>500</v>
      </c>
      <c r="Y154" s="254">
        <f>$Q28</f>
        <v>500</v>
      </c>
      <c r="Z154" s="254">
        <f>$Q28</f>
        <v>500</v>
      </c>
      <c r="AA154" s="254">
        <f>$Q28</f>
        <v>500</v>
      </c>
      <c r="AB154" s="253">
        <f>$Q28</f>
        <v>500</v>
      </c>
      <c r="AC154" s="254">
        <f>$Q28</f>
        <v>500</v>
      </c>
      <c r="AD154" s="254">
        <f>$Q28</f>
        <v>500</v>
      </c>
      <c r="AE154" s="254">
        <f>$Q28</f>
        <v>500</v>
      </c>
      <c r="AF154" s="254">
        <f>$Q28</f>
        <v>500</v>
      </c>
      <c r="AG154" s="254">
        <f>$Q28</f>
        <v>500</v>
      </c>
      <c r="AH154" s="254">
        <f>$Q28</f>
        <v>500</v>
      </c>
      <c r="AI154" s="254">
        <f>$Q28</f>
        <v>500</v>
      </c>
      <c r="AJ154" s="254">
        <f>$Q28</f>
        <v>500</v>
      </c>
      <c r="AK154" s="254">
        <f>$Q28</f>
        <v>500</v>
      </c>
      <c r="AL154" s="254">
        <f>$Q28</f>
        <v>500</v>
      </c>
      <c r="AM154" s="254">
        <f>$Q28</f>
        <v>500</v>
      </c>
    </row>
    <row r="155" spans="1:39" s="251" customFormat="1" outlineLevel="1" x14ac:dyDescent="0.25">
      <c r="B155" s="251" t="str">
        <f t="shared" si="12"/>
        <v>NyAff4</v>
      </c>
      <c r="C155" s="252" t="s">
        <v>256</v>
      </c>
      <c r="D155" s="253">
        <f>$Q29</f>
        <v>550</v>
      </c>
      <c r="E155" s="254">
        <f>$Q29</f>
        <v>550</v>
      </c>
      <c r="F155" s="254">
        <f>$Q29</f>
        <v>550</v>
      </c>
      <c r="G155" s="254">
        <f>$Q29</f>
        <v>550</v>
      </c>
      <c r="H155" s="254">
        <f>$Q29</f>
        <v>550</v>
      </c>
      <c r="I155" s="254">
        <f>$Q29</f>
        <v>550</v>
      </c>
      <c r="J155" s="254">
        <f>$Q29</f>
        <v>550</v>
      </c>
      <c r="K155" s="254">
        <f>$Q29</f>
        <v>550</v>
      </c>
      <c r="L155" s="254">
        <f>$Q29</f>
        <v>550</v>
      </c>
      <c r="M155" s="254">
        <f>$Q29</f>
        <v>550</v>
      </c>
      <c r="N155" s="254">
        <f>$Q29</f>
        <v>550</v>
      </c>
      <c r="O155" s="254">
        <f>$Q29</f>
        <v>550</v>
      </c>
      <c r="P155" s="253">
        <f>$Q29</f>
        <v>550</v>
      </c>
      <c r="Q155" s="254">
        <f>$Q29</f>
        <v>550</v>
      </c>
      <c r="R155" s="254">
        <f>$Q29</f>
        <v>550</v>
      </c>
      <c r="S155" s="254">
        <f>$Q29</f>
        <v>550</v>
      </c>
      <c r="T155" s="254">
        <f>$Q29</f>
        <v>550</v>
      </c>
      <c r="U155" s="254">
        <f>$Q29</f>
        <v>550</v>
      </c>
      <c r="V155" s="254">
        <f>$Q29</f>
        <v>550</v>
      </c>
      <c r="W155" s="254">
        <f>$Q29</f>
        <v>550</v>
      </c>
      <c r="X155" s="254">
        <f>$Q29</f>
        <v>550</v>
      </c>
      <c r="Y155" s="254">
        <f>$Q29</f>
        <v>550</v>
      </c>
      <c r="Z155" s="254">
        <f>$Q29</f>
        <v>550</v>
      </c>
      <c r="AA155" s="254">
        <f>$Q29</f>
        <v>550</v>
      </c>
      <c r="AB155" s="253">
        <f>$Q29</f>
        <v>550</v>
      </c>
      <c r="AC155" s="254">
        <f>$Q29</f>
        <v>550</v>
      </c>
      <c r="AD155" s="254">
        <f>$Q29</f>
        <v>550</v>
      </c>
      <c r="AE155" s="254">
        <f>$Q29</f>
        <v>550</v>
      </c>
      <c r="AF155" s="254">
        <f>$Q29</f>
        <v>550</v>
      </c>
      <c r="AG155" s="254">
        <f>$Q29</f>
        <v>550</v>
      </c>
      <c r="AH155" s="254">
        <f>$Q29</f>
        <v>550</v>
      </c>
      <c r="AI155" s="254">
        <f>$Q29</f>
        <v>550</v>
      </c>
      <c r="AJ155" s="254">
        <f>$Q29</f>
        <v>550</v>
      </c>
      <c r="AK155" s="254">
        <f>$Q29</f>
        <v>550</v>
      </c>
      <c r="AL155" s="254">
        <f>$Q29</f>
        <v>550</v>
      </c>
      <c r="AM155" s="254">
        <f>$Q29</f>
        <v>550</v>
      </c>
    </row>
    <row r="156" spans="1:39" s="251" customFormat="1" outlineLevel="1" x14ac:dyDescent="0.25">
      <c r="B156" s="251" t="str">
        <f t="shared" si="12"/>
        <v>NyAff5</v>
      </c>
      <c r="C156" s="252" t="s">
        <v>256</v>
      </c>
      <c r="D156" s="253">
        <f>$Q30</f>
        <v>600</v>
      </c>
      <c r="E156" s="254">
        <f>$Q30</f>
        <v>600</v>
      </c>
      <c r="F156" s="254">
        <f>$Q30</f>
        <v>600</v>
      </c>
      <c r="G156" s="254">
        <f>$Q30</f>
        <v>600</v>
      </c>
      <c r="H156" s="254">
        <f>$Q30</f>
        <v>600</v>
      </c>
      <c r="I156" s="254">
        <f>$Q30</f>
        <v>600</v>
      </c>
      <c r="J156" s="254">
        <f>$Q30</f>
        <v>600</v>
      </c>
      <c r="K156" s="254">
        <f>$Q30</f>
        <v>600</v>
      </c>
      <c r="L156" s="254">
        <f>$Q30</f>
        <v>600</v>
      </c>
      <c r="M156" s="254">
        <f>$Q30</f>
        <v>600</v>
      </c>
      <c r="N156" s="254">
        <f>$Q30</f>
        <v>600</v>
      </c>
      <c r="O156" s="254">
        <f>$Q30</f>
        <v>600</v>
      </c>
      <c r="P156" s="253">
        <f>$Q30</f>
        <v>600</v>
      </c>
      <c r="Q156" s="254">
        <f>$Q30</f>
        <v>600</v>
      </c>
      <c r="R156" s="254">
        <f>$Q30</f>
        <v>600</v>
      </c>
      <c r="S156" s="254">
        <f>$Q30</f>
        <v>600</v>
      </c>
      <c r="T156" s="254">
        <f>$Q30</f>
        <v>600</v>
      </c>
      <c r="U156" s="254">
        <f>$Q30</f>
        <v>600</v>
      </c>
      <c r="V156" s="254">
        <f>$Q30</f>
        <v>600</v>
      </c>
      <c r="W156" s="254">
        <f>$Q30</f>
        <v>600</v>
      </c>
      <c r="X156" s="254">
        <f>$Q30</f>
        <v>600</v>
      </c>
      <c r="Y156" s="254">
        <f>$Q30</f>
        <v>600</v>
      </c>
      <c r="Z156" s="254">
        <f>$Q30</f>
        <v>600</v>
      </c>
      <c r="AA156" s="254">
        <f>$Q30</f>
        <v>600</v>
      </c>
      <c r="AB156" s="253">
        <f>$Q30</f>
        <v>600</v>
      </c>
      <c r="AC156" s="254">
        <f>$Q30</f>
        <v>600</v>
      </c>
      <c r="AD156" s="254">
        <f>$Q30</f>
        <v>600</v>
      </c>
      <c r="AE156" s="254">
        <f>$Q30</f>
        <v>600</v>
      </c>
      <c r="AF156" s="254">
        <f>$Q30</f>
        <v>600</v>
      </c>
      <c r="AG156" s="254">
        <f>$Q30</f>
        <v>600</v>
      </c>
      <c r="AH156" s="254">
        <f>$Q30</f>
        <v>600</v>
      </c>
      <c r="AI156" s="254">
        <f>$Q30</f>
        <v>600</v>
      </c>
      <c r="AJ156" s="254">
        <f>$Q30</f>
        <v>600</v>
      </c>
      <c r="AK156" s="254">
        <f>$Q30</f>
        <v>600</v>
      </c>
      <c r="AL156" s="254">
        <f>$Q30</f>
        <v>600</v>
      </c>
      <c r="AM156" s="254">
        <f>$Q30</f>
        <v>600</v>
      </c>
    </row>
    <row r="157" spans="1:39" outlineLevel="1" x14ac:dyDescent="0.25">
      <c r="A157" s="294"/>
      <c r="B157" s="251" t="str" cm="1">
        <f t="array" ref="B157:B159">ØvrigeBrændsler</f>
        <v>Flis</v>
      </c>
      <c r="C157" s="252" t="s">
        <v>256</v>
      </c>
      <c r="D157" s="253">
        <f>$Q31</f>
        <v>-470</v>
      </c>
      <c r="E157" s="254">
        <f>$Q31</f>
        <v>-470</v>
      </c>
      <c r="F157" s="254">
        <f>$Q31</f>
        <v>-470</v>
      </c>
      <c r="G157" s="254">
        <f>$Q31</f>
        <v>-470</v>
      </c>
      <c r="H157" s="254">
        <f>$Q31</f>
        <v>-470</v>
      </c>
      <c r="I157" s="254">
        <f>$Q31</f>
        <v>-470</v>
      </c>
      <c r="J157" s="254">
        <f>$Q31</f>
        <v>-470</v>
      </c>
      <c r="K157" s="254">
        <f>$Q31</f>
        <v>-470</v>
      </c>
      <c r="L157" s="254">
        <f>$Q31</f>
        <v>-470</v>
      </c>
      <c r="M157" s="254">
        <f>$Q31</f>
        <v>-470</v>
      </c>
      <c r="N157" s="254">
        <f>$Q31</f>
        <v>-470</v>
      </c>
      <c r="O157" s="254">
        <f>$Q31</f>
        <v>-470</v>
      </c>
      <c r="P157" s="253">
        <f>$Q31</f>
        <v>-470</v>
      </c>
      <c r="Q157" s="254">
        <f>$Q31</f>
        <v>-470</v>
      </c>
      <c r="R157" s="254">
        <f>$Q31</f>
        <v>-470</v>
      </c>
      <c r="S157" s="254">
        <f>$Q31</f>
        <v>-470</v>
      </c>
      <c r="T157" s="254">
        <f>$Q31</f>
        <v>-470</v>
      </c>
      <c r="U157" s="254">
        <f>$Q31</f>
        <v>-470</v>
      </c>
      <c r="V157" s="254">
        <f>$Q31</f>
        <v>-470</v>
      </c>
      <c r="W157" s="254">
        <f>$Q31</f>
        <v>-470</v>
      </c>
      <c r="X157" s="254">
        <f>$Q31</f>
        <v>-470</v>
      </c>
      <c r="Y157" s="254">
        <f>$Q31</f>
        <v>-470</v>
      </c>
      <c r="Z157" s="254">
        <f>$Q31</f>
        <v>-470</v>
      </c>
      <c r="AA157" s="254">
        <f>$Q31</f>
        <v>-470</v>
      </c>
      <c r="AB157" s="253">
        <f>$Q31</f>
        <v>-470</v>
      </c>
      <c r="AC157" s="254">
        <f>$Q31</f>
        <v>-470</v>
      </c>
      <c r="AD157" s="254">
        <f>$Q31</f>
        <v>-470</v>
      </c>
      <c r="AE157" s="254">
        <f>$Q31</f>
        <v>-470</v>
      </c>
      <c r="AF157" s="254">
        <f>$Q31</f>
        <v>-470</v>
      </c>
      <c r="AG157" s="254">
        <f>$Q31</f>
        <v>-470</v>
      </c>
      <c r="AH157" s="254">
        <f>$Q31</f>
        <v>-470</v>
      </c>
      <c r="AI157" s="254">
        <f>$Q31</f>
        <v>-470</v>
      </c>
      <c r="AJ157" s="254">
        <f>$Q31</f>
        <v>-470</v>
      </c>
      <c r="AK157" s="254">
        <f>$Q31</f>
        <v>-470</v>
      </c>
      <c r="AL157" s="254">
        <f>$Q31</f>
        <v>-470</v>
      </c>
      <c r="AM157" s="254">
        <f>$Q31</f>
        <v>-470</v>
      </c>
    </row>
    <row r="158" spans="1:39" outlineLevel="1" x14ac:dyDescent="0.25">
      <c r="A158" s="295"/>
      <c r="B158" s="251" t="str">
        <v>NSvarme</v>
      </c>
      <c r="C158" s="252" t="s">
        <v>256</v>
      </c>
      <c r="D158" s="253">
        <f>$Q32</f>
        <v>-189</v>
      </c>
      <c r="E158" s="254">
        <f>$Q32</f>
        <v>-189</v>
      </c>
      <c r="F158" s="254">
        <f>$Q32</f>
        <v>-189</v>
      </c>
      <c r="G158" s="254">
        <f>$Q32</f>
        <v>-189</v>
      </c>
      <c r="H158" s="254">
        <f>$Q32</f>
        <v>-189</v>
      </c>
      <c r="I158" s="254">
        <f>$Q32</f>
        <v>-189</v>
      </c>
      <c r="J158" s="254">
        <f>$Q32</f>
        <v>-189</v>
      </c>
      <c r="K158" s="254">
        <f>$Q32</f>
        <v>-189</v>
      </c>
      <c r="L158" s="254">
        <f>$Q32</f>
        <v>-189</v>
      </c>
      <c r="M158" s="254">
        <f>$Q32</f>
        <v>-189</v>
      </c>
      <c r="N158" s="254">
        <f>$Q32</f>
        <v>-189</v>
      </c>
      <c r="O158" s="254">
        <f>$Q32</f>
        <v>-189</v>
      </c>
      <c r="P158" s="253">
        <f>$Q32</f>
        <v>-189</v>
      </c>
      <c r="Q158" s="254">
        <f>$Q32</f>
        <v>-189</v>
      </c>
      <c r="R158" s="254">
        <f>$Q32</f>
        <v>-189</v>
      </c>
      <c r="S158" s="254">
        <f>$Q32</f>
        <v>-189</v>
      </c>
      <c r="T158" s="254">
        <f>$Q32</f>
        <v>-189</v>
      </c>
      <c r="U158" s="254">
        <f>$Q32</f>
        <v>-189</v>
      </c>
      <c r="V158" s="254">
        <f>$Q32</f>
        <v>-189</v>
      </c>
      <c r="W158" s="254">
        <f>$Q32</f>
        <v>-189</v>
      </c>
      <c r="X158" s="254">
        <f>$Q32</f>
        <v>-189</v>
      </c>
      <c r="Y158" s="254">
        <f>$Q32</f>
        <v>-189</v>
      </c>
      <c r="Z158" s="254">
        <f>$Q32</f>
        <v>-189</v>
      </c>
      <c r="AA158" s="254">
        <f>$Q32</f>
        <v>-189</v>
      </c>
      <c r="AB158" s="253">
        <f>$Q32</f>
        <v>-189</v>
      </c>
      <c r="AC158" s="254">
        <f>$Q32</f>
        <v>-189</v>
      </c>
      <c r="AD158" s="254">
        <f>$Q32</f>
        <v>-189</v>
      </c>
      <c r="AE158" s="254">
        <f>$Q32</f>
        <v>-189</v>
      </c>
      <c r="AF158" s="254">
        <f>$Q32</f>
        <v>-189</v>
      </c>
      <c r="AG158" s="254">
        <f>$Q32</f>
        <v>-189</v>
      </c>
      <c r="AH158" s="254">
        <f>$Q32</f>
        <v>-189</v>
      </c>
      <c r="AI158" s="254">
        <f>$Q32</f>
        <v>-189</v>
      </c>
      <c r="AJ158" s="254">
        <f>$Q32</f>
        <v>-189</v>
      </c>
      <c r="AK158" s="254">
        <f>$Q32</f>
        <v>-189</v>
      </c>
      <c r="AL158" s="254">
        <f>$Q32</f>
        <v>-189</v>
      </c>
      <c r="AM158" s="254">
        <f>$Q32</f>
        <v>-189</v>
      </c>
    </row>
    <row r="159" spans="1:39" outlineLevel="1" x14ac:dyDescent="0.25">
      <c r="A159" s="295"/>
      <c r="B159" s="251" t="str">
        <v>PeakFuel</v>
      </c>
      <c r="C159" s="252" t="s">
        <v>256</v>
      </c>
      <c r="D159" s="253">
        <f>$Q33</f>
        <v>-5000</v>
      </c>
      <c r="E159" s="254">
        <f>$Q33</f>
        <v>-5000</v>
      </c>
      <c r="F159" s="254">
        <f>$Q33</f>
        <v>-5000</v>
      </c>
      <c r="G159" s="254">
        <f>$Q33</f>
        <v>-5000</v>
      </c>
      <c r="H159" s="254">
        <f>$Q33</f>
        <v>-5000</v>
      </c>
      <c r="I159" s="254">
        <f>$Q33</f>
        <v>-5000</v>
      </c>
      <c r="J159" s="254">
        <f>$Q33</f>
        <v>-5000</v>
      </c>
      <c r="K159" s="254">
        <f>$Q33</f>
        <v>-5000</v>
      </c>
      <c r="L159" s="254">
        <f>$Q33</f>
        <v>-5000</v>
      </c>
      <c r="M159" s="254">
        <f>$Q33</f>
        <v>-5000</v>
      </c>
      <c r="N159" s="254">
        <f>$Q33</f>
        <v>-5000</v>
      </c>
      <c r="O159" s="254">
        <f>$Q33</f>
        <v>-5000</v>
      </c>
      <c r="P159" s="253">
        <f>$Q33</f>
        <v>-5000</v>
      </c>
      <c r="Q159" s="254">
        <f>$Q33</f>
        <v>-5000</v>
      </c>
      <c r="R159" s="254">
        <f>$Q33</f>
        <v>-5000</v>
      </c>
      <c r="S159" s="254">
        <f>$Q33</f>
        <v>-5000</v>
      </c>
      <c r="T159" s="254">
        <f>$Q33</f>
        <v>-5000</v>
      </c>
      <c r="U159" s="254">
        <f>$Q33</f>
        <v>-5000</v>
      </c>
      <c r="V159" s="254">
        <f>$Q33</f>
        <v>-5000</v>
      </c>
      <c r="W159" s="254">
        <f>$Q33</f>
        <v>-5000</v>
      </c>
      <c r="X159" s="254">
        <f>$Q33</f>
        <v>-5000</v>
      </c>
      <c r="Y159" s="254">
        <f>$Q33</f>
        <v>-5000</v>
      </c>
      <c r="Z159" s="254">
        <f>$Q33</f>
        <v>-5000</v>
      </c>
      <c r="AA159" s="254">
        <f>$Q33</f>
        <v>-5000</v>
      </c>
      <c r="AB159" s="253">
        <f>$Q33</f>
        <v>-5000</v>
      </c>
      <c r="AC159" s="254">
        <f>$Q33</f>
        <v>-5000</v>
      </c>
      <c r="AD159" s="254">
        <f>$Q33</f>
        <v>-5000</v>
      </c>
      <c r="AE159" s="254">
        <f>$Q33</f>
        <v>-5000</v>
      </c>
      <c r="AF159" s="254">
        <f>$Q33</f>
        <v>-5000</v>
      </c>
      <c r="AG159" s="254">
        <f>$Q33</f>
        <v>-5000</v>
      </c>
      <c r="AH159" s="254">
        <f>$Q33</f>
        <v>-5000</v>
      </c>
      <c r="AI159" s="254">
        <f>$Q33</f>
        <v>-5000</v>
      </c>
      <c r="AJ159" s="254">
        <f>$Q33</f>
        <v>-5000</v>
      </c>
      <c r="AK159" s="254">
        <f>$Q33</f>
        <v>-5000</v>
      </c>
      <c r="AL159" s="254">
        <f>$Q33</f>
        <v>-5000</v>
      </c>
      <c r="AM159" s="254">
        <f>$Q33</f>
        <v>-5000</v>
      </c>
    </row>
    <row r="160" spans="1:39" s="40" customFormat="1" ht="15.75" x14ac:dyDescent="0.25">
      <c r="A160" s="37" t="s">
        <v>258</v>
      </c>
      <c r="B160" s="36"/>
      <c r="C160" s="36"/>
      <c r="D160" s="38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8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8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</row>
    <row r="161" spans="2:39" s="256" customFormat="1" outlineLevel="1" x14ac:dyDescent="0.25">
      <c r="B161" s="256" t="str">
        <f t="shared" ref="B161:B183" si="13">B131</f>
        <v>DepoSort</v>
      </c>
      <c r="C161" s="257" t="s">
        <v>259</v>
      </c>
      <c r="D161" s="258">
        <f>$T5</f>
        <v>37</v>
      </c>
      <c r="E161" s="259">
        <f>$T5</f>
        <v>37</v>
      </c>
      <c r="F161" s="259">
        <f>$T5</f>
        <v>37</v>
      </c>
      <c r="G161" s="259">
        <f>$T5</f>
        <v>37</v>
      </c>
      <c r="H161" s="259">
        <f>$T5</f>
        <v>37</v>
      </c>
      <c r="I161" s="259">
        <f>$T5</f>
        <v>37</v>
      </c>
      <c r="J161" s="259">
        <f>$T5</f>
        <v>37</v>
      </c>
      <c r="K161" s="259">
        <f>$T5</f>
        <v>37</v>
      </c>
      <c r="L161" s="259">
        <f>$T5</f>
        <v>37</v>
      </c>
      <c r="M161" s="259">
        <f>$T5</f>
        <v>37</v>
      </c>
      <c r="N161" s="259">
        <f>$T5</f>
        <v>37</v>
      </c>
      <c r="O161" s="259">
        <f>$T5</f>
        <v>37</v>
      </c>
      <c r="P161" s="258">
        <f>$T5</f>
        <v>37</v>
      </c>
      <c r="Q161" s="259">
        <f>$T5</f>
        <v>37</v>
      </c>
      <c r="R161" s="259">
        <f>$T5</f>
        <v>37</v>
      </c>
      <c r="S161" s="259">
        <f>$T5</f>
        <v>37</v>
      </c>
      <c r="T161" s="259">
        <f>$T5</f>
        <v>37</v>
      </c>
      <c r="U161" s="259">
        <f>$T5</f>
        <v>37</v>
      </c>
      <c r="V161" s="259">
        <f>$T5</f>
        <v>37</v>
      </c>
      <c r="W161" s="259">
        <f>$T5</f>
        <v>37</v>
      </c>
      <c r="X161" s="259">
        <f>$T5</f>
        <v>37</v>
      </c>
      <c r="Y161" s="259">
        <f>$T5</f>
        <v>37</v>
      </c>
      <c r="Z161" s="259">
        <f>$T5</f>
        <v>37</v>
      </c>
      <c r="AA161" s="259">
        <f>$T5</f>
        <v>37</v>
      </c>
      <c r="AB161" s="258">
        <f>$T5</f>
        <v>37</v>
      </c>
      <c r="AC161" s="259">
        <f>$T5</f>
        <v>37</v>
      </c>
      <c r="AD161" s="259">
        <f>$T5</f>
        <v>37</v>
      </c>
      <c r="AE161" s="259">
        <f>$T5</f>
        <v>37</v>
      </c>
      <c r="AF161" s="259">
        <f>$T5</f>
        <v>37</v>
      </c>
      <c r="AG161" s="259">
        <f>$T5</f>
        <v>37</v>
      </c>
      <c r="AH161" s="259">
        <f>$T5</f>
        <v>37</v>
      </c>
      <c r="AI161" s="259">
        <f>$T5</f>
        <v>37</v>
      </c>
      <c r="AJ161" s="259">
        <f>$T5</f>
        <v>37</v>
      </c>
      <c r="AK161" s="259">
        <f>$T5</f>
        <v>37</v>
      </c>
      <c r="AL161" s="259">
        <f>$T5</f>
        <v>37</v>
      </c>
      <c r="AM161" s="259">
        <f>$T5</f>
        <v>37</v>
      </c>
    </row>
    <row r="162" spans="2:39" s="256" customFormat="1" outlineLevel="1" x14ac:dyDescent="0.25">
      <c r="B162" s="256" t="str">
        <f t="shared" si="13"/>
        <v>DepoSmaat</v>
      </c>
      <c r="C162" s="257" t="s">
        <v>259</v>
      </c>
      <c r="D162" s="258">
        <f>$T6</f>
        <v>37</v>
      </c>
      <c r="E162" s="259">
        <f>$T6</f>
        <v>37</v>
      </c>
      <c r="F162" s="259">
        <f>$T6</f>
        <v>37</v>
      </c>
      <c r="G162" s="259">
        <f>$T6</f>
        <v>37</v>
      </c>
      <c r="H162" s="259">
        <f>$T6</f>
        <v>37</v>
      </c>
      <c r="I162" s="259">
        <f>$T6</f>
        <v>37</v>
      </c>
      <c r="J162" s="259">
        <f>$T6</f>
        <v>37</v>
      </c>
      <c r="K162" s="259">
        <f>$T6</f>
        <v>37</v>
      </c>
      <c r="L162" s="259">
        <f>$T6</f>
        <v>37</v>
      </c>
      <c r="M162" s="259">
        <f>$T6</f>
        <v>37</v>
      </c>
      <c r="N162" s="259">
        <f>$T6</f>
        <v>37</v>
      </c>
      <c r="O162" s="259">
        <f>$T6</f>
        <v>37</v>
      </c>
      <c r="P162" s="258">
        <f>$T6</f>
        <v>37</v>
      </c>
      <c r="Q162" s="259">
        <f>$T6</f>
        <v>37</v>
      </c>
      <c r="R162" s="259">
        <f>$T6</f>
        <v>37</v>
      </c>
      <c r="S162" s="259">
        <f>$T6</f>
        <v>37</v>
      </c>
      <c r="T162" s="259">
        <f>$T6</f>
        <v>37</v>
      </c>
      <c r="U162" s="259">
        <f>$T6</f>
        <v>37</v>
      </c>
      <c r="V162" s="259">
        <f>$T6</f>
        <v>37</v>
      </c>
      <c r="W162" s="259">
        <f>$T6</f>
        <v>37</v>
      </c>
      <c r="X162" s="259">
        <f>$T6</f>
        <v>37</v>
      </c>
      <c r="Y162" s="259">
        <f>$T6</f>
        <v>37</v>
      </c>
      <c r="Z162" s="259">
        <f>$T6</f>
        <v>37</v>
      </c>
      <c r="AA162" s="259">
        <f>$T6</f>
        <v>37</v>
      </c>
      <c r="AB162" s="258">
        <f>$T6</f>
        <v>37</v>
      </c>
      <c r="AC162" s="259">
        <f>$T6</f>
        <v>37</v>
      </c>
      <c r="AD162" s="259">
        <f>$T6</f>
        <v>37</v>
      </c>
      <c r="AE162" s="259">
        <f>$T6</f>
        <v>37</v>
      </c>
      <c r="AF162" s="259">
        <f>$T6</f>
        <v>37</v>
      </c>
      <c r="AG162" s="259">
        <f>$T6</f>
        <v>37</v>
      </c>
      <c r="AH162" s="259">
        <f>$T6</f>
        <v>37</v>
      </c>
      <c r="AI162" s="259">
        <f>$T6</f>
        <v>37</v>
      </c>
      <c r="AJ162" s="259">
        <f>$T6</f>
        <v>37</v>
      </c>
      <c r="AK162" s="259">
        <f>$T6</f>
        <v>37</v>
      </c>
      <c r="AL162" s="259">
        <f>$T6</f>
        <v>37</v>
      </c>
      <c r="AM162" s="259">
        <f>$T6</f>
        <v>37</v>
      </c>
    </row>
    <row r="163" spans="2:39" s="256" customFormat="1" outlineLevel="1" x14ac:dyDescent="0.25">
      <c r="B163" s="256" t="str">
        <f t="shared" si="13"/>
        <v>DepoNedd</v>
      </c>
      <c r="C163" s="257" t="s">
        <v>259</v>
      </c>
      <c r="D163" s="258">
        <f>$T7</f>
        <v>37</v>
      </c>
      <c r="E163" s="259">
        <f>$T7</f>
        <v>37</v>
      </c>
      <c r="F163" s="259">
        <f>$T7</f>
        <v>37</v>
      </c>
      <c r="G163" s="259">
        <f>$T7</f>
        <v>37</v>
      </c>
      <c r="H163" s="259">
        <f>$T7</f>
        <v>37</v>
      </c>
      <c r="I163" s="259">
        <f>$T7</f>
        <v>37</v>
      </c>
      <c r="J163" s="259">
        <f>$T7</f>
        <v>37</v>
      </c>
      <c r="K163" s="259">
        <f>$T7</f>
        <v>37</v>
      </c>
      <c r="L163" s="259">
        <f>$T7</f>
        <v>37</v>
      </c>
      <c r="M163" s="259">
        <f>$T7</f>
        <v>37</v>
      </c>
      <c r="N163" s="259">
        <f>$T7</f>
        <v>37</v>
      </c>
      <c r="O163" s="259">
        <f>$T7</f>
        <v>37</v>
      </c>
      <c r="P163" s="258">
        <f>$T7</f>
        <v>37</v>
      </c>
      <c r="Q163" s="259">
        <f>$T7</f>
        <v>37</v>
      </c>
      <c r="R163" s="259">
        <f>$T7</f>
        <v>37</v>
      </c>
      <c r="S163" s="259">
        <f>$T7</f>
        <v>37</v>
      </c>
      <c r="T163" s="259">
        <f>$T7</f>
        <v>37</v>
      </c>
      <c r="U163" s="259">
        <f>$T7</f>
        <v>37</v>
      </c>
      <c r="V163" s="259">
        <f>$T7</f>
        <v>37</v>
      </c>
      <c r="W163" s="259">
        <f>$T7</f>
        <v>37</v>
      </c>
      <c r="X163" s="259">
        <f>$T7</f>
        <v>37</v>
      </c>
      <c r="Y163" s="259">
        <f>$T7</f>
        <v>37</v>
      </c>
      <c r="Z163" s="259">
        <f>$T7</f>
        <v>37</v>
      </c>
      <c r="AA163" s="259">
        <f>$T7</f>
        <v>37</v>
      </c>
      <c r="AB163" s="258">
        <f>$T7</f>
        <v>37</v>
      </c>
      <c r="AC163" s="259">
        <f>$T7</f>
        <v>37</v>
      </c>
      <c r="AD163" s="259">
        <f>$T7</f>
        <v>37</v>
      </c>
      <c r="AE163" s="259">
        <f>$T7</f>
        <v>37</v>
      </c>
      <c r="AF163" s="259">
        <f>$T7</f>
        <v>37</v>
      </c>
      <c r="AG163" s="259">
        <f>$T7</f>
        <v>37</v>
      </c>
      <c r="AH163" s="259">
        <f>$T7</f>
        <v>37</v>
      </c>
      <c r="AI163" s="259">
        <f>$T7</f>
        <v>37</v>
      </c>
      <c r="AJ163" s="259">
        <f>$T7</f>
        <v>37</v>
      </c>
      <c r="AK163" s="259">
        <f>$T7</f>
        <v>37</v>
      </c>
      <c r="AL163" s="259">
        <f>$T7</f>
        <v>37</v>
      </c>
      <c r="AM163" s="259">
        <f>$T7</f>
        <v>37</v>
      </c>
    </row>
    <row r="164" spans="2:39" s="256" customFormat="1" outlineLevel="1" x14ac:dyDescent="0.25">
      <c r="B164" s="256" t="str">
        <f t="shared" si="13"/>
        <v>Dagren</v>
      </c>
      <c r="C164" s="257" t="s">
        <v>259</v>
      </c>
      <c r="D164" s="258">
        <f>$T8</f>
        <v>37</v>
      </c>
      <c r="E164" s="259">
        <f>$T8</f>
        <v>37</v>
      </c>
      <c r="F164" s="259">
        <f>$T8</f>
        <v>37</v>
      </c>
      <c r="G164" s="259">
        <f>$T8</f>
        <v>37</v>
      </c>
      <c r="H164" s="259">
        <f>$T8</f>
        <v>37</v>
      </c>
      <c r="I164" s="259">
        <f>$T8</f>
        <v>37</v>
      </c>
      <c r="J164" s="259">
        <f>$T8</f>
        <v>37</v>
      </c>
      <c r="K164" s="259">
        <f>$T8</f>
        <v>37</v>
      </c>
      <c r="L164" s="259">
        <f>$T8</f>
        <v>37</v>
      </c>
      <c r="M164" s="259">
        <f>$T8</f>
        <v>37</v>
      </c>
      <c r="N164" s="259">
        <f>$T8</f>
        <v>37</v>
      </c>
      <c r="O164" s="259">
        <f>$T8</f>
        <v>37</v>
      </c>
      <c r="P164" s="258">
        <f>$T8</f>
        <v>37</v>
      </c>
      <c r="Q164" s="259">
        <f>$T8</f>
        <v>37</v>
      </c>
      <c r="R164" s="259">
        <f>$T8</f>
        <v>37</v>
      </c>
      <c r="S164" s="259">
        <f>$T8</f>
        <v>37</v>
      </c>
      <c r="T164" s="259">
        <f>$T8</f>
        <v>37</v>
      </c>
      <c r="U164" s="259">
        <f>$T8</f>
        <v>37</v>
      </c>
      <c r="V164" s="259">
        <f>$T8</f>
        <v>37</v>
      </c>
      <c r="W164" s="259">
        <f>$T8</f>
        <v>37</v>
      </c>
      <c r="X164" s="259">
        <f>$T8</f>
        <v>37</v>
      </c>
      <c r="Y164" s="259">
        <f>$T8</f>
        <v>37</v>
      </c>
      <c r="Z164" s="259">
        <f>$T8</f>
        <v>37</v>
      </c>
      <c r="AA164" s="259">
        <f>$T8</f>
        <v>37</v>
      </c>
      <c r="AB164" s="258">
        <f>$T8</f>
        <v>37</v>
      </c>
      <c r="AC164" s="259">
        <f>$T8</f>
        <v>37</v>
      </c>
      <c r="AD164" s="259">
        <f>$T8</f>
        <v>37</v>
      </c>
      <c r="AE164" s="259">
        <f>$T8</f>
        <v>37</v>
      </c>
      <c r="AF164" s="259">
        <f>$T8</f>
        <v>37</v>
      </c>
      <c r="AG164" s="259">
        <f>$T8</f>
        <v>37</v>
      </c>
      <c r="AH164" s="259">
        <f>$T8</f>
        <v>37</v>
      </c>
      <c r="AI164" s="259">
        <f>$T8</f>
        <v>37</v>
      </c>
      <c r="AJ164" s="259">
        <f>$T8</f>
        <v>37</v>
      </c>
      <c r="AK164" s="259">
        <f>$T8</f>
        <v>37</v>
      </c>
      <c r="AL164" s="259">
        <f>$T8</f>
        <v>37</v>
      </c>
      <c r="AM164" s="259">
        <f>$T8</f>
        <v>37</v>
      </c>
    </row>
    <row r="165" spans="2:39" s="256" customFormat="1" outlineLevel="1" x14ac:dyDescent="0.25">
      <c r="B165" s="256" t="str">
        <f t="shared" si="13"/>
        <v>AndetBrand</v>
      </c>
      <c r="C165" s="257" t="s">
        <v>259</v>
      </c>
      <c r="D165" s="258">
        <f>$T9</f>
        <v>37</v>
      </c>
      <c r="E165" s="259">
        <f>$T9</f>
        <v>37</v>
      </c>
      <c r="F165" s="259">
        <f>$T9</f>
        <v>37</v>
      </c>
      <c r="G165" s="259">
        <f>$T9</f>
        <v>37</v>
      </c>
      <c r="H165" s="259">
        <f>$T9</f>
        <v>37</v>
      </c>
      <c r="I165" s="259">
        <f>$T9</f>
        <v>37</v>
      </c>
      <c r="J165" s="259">
        <f>$T9</f>
        <v>37</v>
      </c>
      <c r="K165" s="259">
        <f>$T9</f>
        <v>37</v>
      </c>
      <c r="L165" s="259">
        <f>$T9</f>
        <v>37</v>
      </c>
      <c r="M165" s="259">
        <f>$T9</f>
        <v>37</v>
      </c>
      <c r="N165" s="259">
        <f>$T9</f>
        <v>37</v>
      </c>
      <c r="O165" s="259">
        <f>$T9</f>
        <v>37</v>
      </c>
      <c r="P165" s="258">
        <f>$T9</f>
        <v>37</v>
      </c>
      <c r="Q165" s="259">
        <f>$T9</f>
        <v>37</v>
      </c>
      <c r="R165" s="259">
        <f>$T9</f>
        <v>37</v>
      </c>
      <c r="S165" s="259">
        <f>$T9</f>
        <v>37</v>
      </c>
      <c r="T165" s="259">
        <f>$T9</f>
        <v>37</v>
      </c>
      <c r="U165" s="259">
        <f>$T9</f>
        <v>37</v>
      </c>
      <c r="V165" s="259">
        <f>$T9</f>
        <v>37</v>
      </c>
      <c r="W165" s="259">
        <f>$T9</f>
        <v>37</v>
      </c>
      <c r="X165" s="259">
        <f>$T9</f>
        <v>37</v>
      </c>
      <c r="Y165" s="259">
        <f>$T9</f>
        <v>37</v>
      </c>
      <c r="Z165" s="259">
        <f>$T9</f>
        <v>37</v>
      </c>
      <c r="AA165" s="259">
        <f>$T9</f>
        <v>37</v>
      </c>
      <c r="AB165" s="258">
        <f>$T9</f>
        <v>37</v>
      </c>
      <c r="AC165" s="259">
        <f>$T9</f>
        <v>37</v>
      </c>
      <c r="AD165" s="259">
        <f>$T9</f>
        <v>37</v>
      </c>
      <c r="AE165" s="259">
        <f>$T9</f>
        <v>37</v>
      </c>
      <c r="AF165" s="259">
        <f>$T9</f>
        <v>37</v>
      </c>
      <c r="AG165" s="259">
        <f>$T9</f>
        <v>37</v>
      </c>
      <c r="AH165" s="259">
        <f>$T9</f>
        <v>37</v>
      </c>
      <c r="AI165" s="259">
        <f>$T9</f>
        <v>37</v>
      </c>
      <c r="AJ165" s="259">
        <f>$T9</f>
        <v>37</v>
      </c>
      <c r="AK165" s="259">
        <f>$T9</f>
        <v>37</v>
      </c>
      <c r="AL165" s="259">
        <f>$T9</f>
        <v>37</v>
      </c>
      <c r="AM165" s="259">
        <f>$T9</f>
        <v>37</v>
      </c>
    </row>
    <row r="166" spans="2:39" s="256" customFormat="1" outlineLevel="1" x14ac:dyDescent="0.25">
      <c r="B166" s="256" t="str">
        <f t="shared" si="13"/>
        <v>Trae</v>
      </c>
      <c r="C166" s="257" t="s">
        <v>259</v>
      </c>
      <c r="D166" s="258">
        <f>$T10</f>
        <v>37</v>
      </c>
      <c r="E166" s="259">
        <f>$T10</f>
        <v>37</v>
      </c>
      <c r="F166" s="259">
        <f>$T10</f>
        <v>37</v>
      </c>
      <c r="G166" s="259">
        <f>$T10</f>
        <v>37</v>
      </c>
      <c r="H166" s="259">
        <f>$T10</f>
        <v>37</v>
      </c>
      <c r="I166" s="259">
        <f>$T10</f>
        <v>37</v>
      </c>
      <c r="J166" s="259">
        <f>$T10</f>
        <v>37</v>
      </c>
      <c r="K166" s="259">
        <f>$T10</f>
        <v>37</v>
      </c>
      <c r="L166" s="259">
        <f>$T10</f>
        <v>37</v>
      </c>
      <c r="M166" s="259">
        <f>$T10</f>
        <v>37</v>
      </c>
      <c r="N166" s="259">
        <f>$T10</f>
        <v>37</v>
      </c>
      <c r="O166" s="259">
        <f>$T10</f>
        <v>37</v>
      </c>
      <c r="P166" s="258">
        <f>$T10</f>
        <v>37</v>
      </c>
      <c r="Q166" s="259">
        <f>$T10</f>
        <v>37</v>
      </c>
      <c r="R166" s="259">
        <f>$T10</f>
        <v>37</v>
      </c>
      <c r="S166" s="259">
        <f>$T10</f>
        <v>37</v>
      </c>
      <c r="T166" s="259">
        <f>$T10</f>
        <v>37</v>
      </c>
      <c r="U166" s="259">
        <f>$T10</f>
        <v>37</v>
      </c>
      <c r="V166" s="259">
        <f>$T10</f>
        <v>37</v>
      </c>
      <c r="W166" s="259">
        <f>$T10</f>
        <v>37</v>
      </c>
      <c r="X166" s="259">
        <f>$T10</f>
        <v>37</v>
      </c>
      <c r="Y166" s="259">
        <f>$T10</f>
        <v>37</v>
      </c>
      <c r="Z166" s="259">
        <f>$T10</f>
        <v>37</v>
      </c>
      <c r="AA166" s="259">
        <f>$T10</f>
        <v>37</v>
      </c>
      <c r="AB166" s="258">
        <f>$T10</f>
        <v>37</v>
      </c>
      <c r="AC166" s="259">
        <f>$T10</f>
        <v>37</v>
      </c>
      <c r="AD166" s="259">
        <f>$T10</f>
        <v>37</v>
      </c>
      <c r="AE166" s="259">
        <f>$T10</f>
        <v>37</v>
      </c>
      <c r="AF166" s="259">
        <f>$T10</f>
        <v>37</v>
      </c>
      <c r="AG166" s="259">
        <f>$T10</f>
        <v>37</v>
      </c>
      <c r="AH166" s="259">
        <f>$T10</f>
        <v>37</v>
      </c>
      <c r="AI166" s="259">
        <f>$T10</f>
        <v>37</v>
      </c>
      <c r="AJ166" s="259">
        <f>$T10</f>
        <v>37</v>
      </c>
      <c r="AK166" s="259">
        <f>$T10</f>
        <v>37</v>
      </c>
      <c r="AL166" s="259">
        <f>$T10</f>
        <v>37</v>
      </c>
      <c r="AM166" s="259">
        <f>$T10</f>
        <v>37</v>
      </c>
    </row>
    <row r="167" spans="2:39" s="256" customFormat="1" outlineLevel="1" x14ac:dyDescent="0.25">
      <c r="B167" s="256" t="str">
        <f t="shared" si="13"/>
        <v>DagrenRast</v>
      </c>
      <c r="C167" s="257" t="s">
        <v>259</v>
      </c>
      <c r="D167" s="258">
        <f>$T11</f>
        <v>37</v>
      </c>
      <c r="E167" s="259">
        <f>$T11</f>
        <v>37</v>
      </c>
      <c r="F167" s="259">
        <f>$T11</f>
        <v>37</v>
      </c>
      <c r="G167" s="259">
        <f>$T11</f>
        <v>37</v>
      </c>
      <c r="H167" s="259">
        <f>$T11</f>
        <v>37</v>
      </c>
      <c r="I167" s="259">
        <f>$T11</f>
        <v>37</v>
      </c>
      <c r="J167" s="259">
        <f>$T11</f>
        <v>37</v>
      </c>
      <c r="K167" s="259">
        <f>$T11</f>
        <v>37</v>
      </c>
      <c r="L167" s="259">
        <f>$T11</f>
        <v>37</v>
      </c>
      <c r="M167" s="259">
        <f>$T11</f>
        <v>37</v>
      </c>
      <c r="N167" s="259">
        <f>$T11</f>
        <v>37</v>
      </c>
      <c r="O167" s="259">
        <f>$T11</f>
        <v>37</v>
      </c>
      <c r="P167" s="258">
        <f>$T11</f>
        <v>37</v>
      </c>
      <c r="Q167" s="259">
        <f>$T11</f>
        <v>37</v>
      </c>
      <c r="R167" s="259">
        <f>$T11</f>
        <v>37</v>
      </c>
      <c r="S167" s="259">
        <f>$T11</f>
        <v>37</v>
      </c>
      <c r="T167" s="259">
        <f>$T11</f>
        <v>37</v>
      </c>
      <c r="U167" s="259">
        <f>$T11</f>
        <v>37</v>
      </c>
      <c r="V167" s="259">
        <f>$T11</f>
        <v>37</v>
      </c>
      <c r="W167" s="259">
        <f>$T11</f>
        <v>37</v>
      </c>
      <c r="X167" s="259">
        <f>$T11</f>
        <v>37</v>
      </c>
      <c r="Y167" s="259">
        <f>$T11</f>
        <v>37</v>
      </c>
      <c r="Z167" s="259">
        <f>$T11</f>
        <v>37</v>
      </c>
      <c r="AA167" s="259">
        <f>$T11</f>
        <v>37</v>
      </c>
      <c r="AB167" s="258">
        <f>$T11</f>
        <v>37</v>
      </c>
      <c r="AC167" s="259">
        <f>$T11</f>
        <v>37</v>
      </c>
      <c r="AD167" s="259">
        <f>$T11</f>
        <v>37</v>
      </c>
      <c r="AE167" s="259">
        <f>$T11</f>
        <v>37</v>
      </c>
      <c r="AF167" s="259">
        <f>$T11</f>
        <v>37</v>
      </c>
      <c r="AG167" s="259">
        <f>$T11</f>
        <v>37</v>
      </c>
      <c r="AH167" s="259">
        <f>$T11</f>
        <v>37</v>
      </c>
      <c r="AI167" s="259">
        <f>$T11</f>
        <v>37</v>
      </c>
      <c r="AJ167" s="259">
        <f>$T11</f>
        <v>37</v>
      </c>
      <c r="AK167" s="259">
        <f>$T11</f>
        <v>37</v>
      </c>
      <c r="AL167" s="259">
        <f>$T11</f>
        <v>37</v>
      </c>
      <c r="AM167" s="259">
        <f>$T11</f>
        <v>37</v>
      </c>
    </row>
    <row r="168" spans="2:39" s="256" customFormat="1" outlineLevel="1" x14ac:dyDescent="0.25">
      <c r="B168" s="256" t="str">
        <f t="shared" si="13"/>
        <v>DagrenInst</v>
      </c>
      <c r="C168" s="257" t="s">
        <v>259</v>
      </c>
      <c r="D168" s="258">
        <f>$T12</f>
        <v>37</v>
      </c>
      <c r="E168" s="259">
        <f>$T12</f>
        <v>37</v>
      </c>
      <c r="F168" s="259">
        <f>$T12</f>
        <v>37</v>
      </c>
      <c r="G168" s="259">
        <f>$T12</f>
        <v>37</v>
      </c>
      <c r="H168" s="259">
        <f>$T12</f>
        <v>37</v>
      </c>
      <c r="I168" s="259">
        <f>$T12</f>
        <v>37</v>
      </c>
      <c r="J168" s="259">
        <f>$T12</f>
        <v>37</v>
      </c>
      <c r="K168" s="259">
        <f>$T12</f>
        <v>37</v>
      </c>
      <c r="L168" s="259">
        <f>$T12</f>
        <v>37</v>
      </c>
      <c r="M168" s="259">
        <f>$T12</f>
        <v>37</v>
      </c>
      <c r="N168" s="259">
        <f>$T12</f>
        <v>37</v>
      </c>
      <c r="O168" s="259">
        <f>$T12</f>
        <v>37</v>
      </c>
      <c r="P168" s="258">
        <f>$T12</f>
        <v>37</v>
      </c>
      <c r="Q168" s="259">
        <f>$T12</f>
        <v>37</v>
      </c>
      <c r="R168" s="259">
        <f>$T12</f>
        <v>37</v>
      </c>
      <c r="S168" s="259">
        <f>$T12</f>
        <v>37</v>
      </c>
      <c r="T168" s="259">
        <f>$T12</f>
        <v>37</v>
      </c>
      <c r="U168" s="259">
        <f>$T12</f>
        <v>37</v>
      </c>
      <c r="V168" s="259">
        <f>$T12</f>
        <v>37</v>
      </c>
      <c r="W168" s="259">
        <f>$T12</f>
        <v>37</v>
      </c>
      <c r="X168" s="259">
        <f>$T12</f>
        <v>37</v>
      </c>
      <c r="Y168" s="259">
        <f>$T12</f>
        <v>37</v>
      </c>
      <c r="Z168" s="259">
        <f>$T12</f>
        <v>37</v>
      </c>
      <c r="AA168" s="259">
        <f>$T12</f>
        <v>37</v>
      </c>
      <c r="AB168" s="258">
        <f>$T12</f>
        <v>37</v>
      </c>
      <c r="AC168" s="259">
        <f>$T12</f>
        <v>37</v>
      </c>
      <c r="AD168" s="259">
        <f>$T12</f>
        <v>37</v>
      </c>
      <c r="AE168" s="259">
        <f>$T12</f>
        <v>37</v>
      </c>
      <c r="AF168" s="259">
        <f>$T12</f>
        <v>37</v>
      </c>
      <c r="AG168" s="259">
        <f>$T12</f>
        <v>37</v>
      </c>
      <c r="AH168" s="259">
        <f>$T12</f>
        <v>37</v>
      </c>
      <c r="AI168" s="259">
        <f>$T12</f>
        <v>37</v>
      </c>
      <c r="AJ168" s="259">
        <f>$T12</f>
        <v>37</v>
      </c>
      <c r="AK168" s="259">
        <f>$T12</f>
        <v>37</v>
      </c>
      <c r="AL168" s="259">
        <f>$T12</f>
        <v>37</v>
      </c>
      <c r="AM168" s="259">
        <f>$T12</f>
        <v>37</v>
      </c>
    </row>
    <row r="169" spans="2:39" s="256" customFormat="1" outlineLevel="1" x14ac:dyDescent="0.25">
      <c r="B169" s="256" t="str">
        <f t="shared" si="13"/>
        <v>DagrenHandel</v>
      </c>
      <c r="C169" s="257" t="s">
        <v>259</v>
      </c>
      <c r="D169" s="258">
        <f>$T13</f>
        <v>37</v>
      </c>
      <c r="E169" s="259">
        <f>$T13</f>
        <v>37</v>
      </c>
      <c r="F169" s="259">
        <f>$T13</f>
        <v>37</v>
      </c>
      <c r="G169" s="259">
        <f>$T13</f>
        <v>37</v>
      </c>
      <c r="H169" s="259">
        <f>$T13</f>
        <v>37</v>
      </c>
      <c r="I169" s="259">
        <f>$T13</f>
        <v>37</v>
      </c>
      <c r="J169" s="259">
        <f>$T13</f>
        <v>37</v>
      </c>
      <c r="K169" s="259">
        <f>$T13</f>
        <v>37</v>
      </c>
      <c r="L169" s="259">
        <f>$T13</f>
        <v>37</v>
      </c>
      <c r="M169" s="259">
        <f>$T13</f>
        <v>37</v>
      </c>
      <c r="N169" s="259">
        <f>$T13</f>
        <v>37</v>
      </c>
      <c r="O169" s="259">
        <f>$T13</f>
        <v>37</v>
      </c>
      <c r="P169" s="258">
        <f>$T13</f>
        <v>37</v>
      </c>
      <c r="Q169" s="259">
        <f>$T13</f>
        <v>37</v>
      </c>
      <c r="R169" s="259">
        <f>$T13</f>
        <v>37</v>
      </c>
      <c r="S169" s="259">
        <f>$T13</f>
        <v>37</v>
      </c>
      <c r="T169" s="259">
        <f>$T13</f>
        <v>37</v>
      </c>
      <c r="U169" s="259">
        <f>$T13</f>
        <v>37</v>
      </c>
      <c r="V169" s="259">
        <f>$T13</f>
        <v>37</v>
      </c>
      <c r="W169" s="259">
        <f>$T13</f>
        <v>37</v>
      </c>
      <c r="X169" s="259">
        <f>$T13</f>
        <v>37</v>
      </c>
      <c r="Y169" s="259">
        <f>$T13</f>
        <v>37</v>
      </c>
      <c r="Z169" s="259">
        <f>$T13</f>
        <v>37</v>
      </c>
      <c r="AA169" s="259">
        <f>$T13</f>
        <v>37</v>
      </c>
      <c r="AB169" s="258">
        <f>$T13</f>
        <v>37</v>
      </c>
      <c r="AC169" s="259">
        <f>$T13</f>
        <v>37</v>
      </c>
      <c r="AD169" s="259">
        <f>$T13</f>
        <v>37</v>
      </c>
      <c r="AE169" s="259">
        <f>$T13</f>
        <v>37</v>
      </c>
      <c r="AF169" s="259">
        <f>$T13</f>
        <v>37</v>
      </c>
      <c r="AG169" s="259">
        <f>$T13</f>
        <v>37</v>
      </c>
      <c r="AH169" s="259">
        <f>$T13</f>
        <v>37</v>
      </c>
      <c r="AI169" s="259">
        <f>$T13</f>
        <v>37</v>
      </c>
      <c r="AJ169" s="259">
        <f>$T13</f>
        <v>37</v>
      </c>
      <c r="AK169" s="259">
        <f>$T13</f>
        <v>37</v>
      </c>
      <c r="AL169" s="259">
        <f>$T13</f>
        <v>37</v>
      </c>
      <c r="AM169" s="259">
        <f>$T13</f>
        <v>37</v>
      </c>
    </row>
    <row r="170" spans="2:39" s="256" customFormat="1" outlineLevel="1" x14ac:dyDescent="0.25">
      <c r="B170" s="256" t="str">
        <f t="shared" si="13"/>
        <v>DagrenRestau</v>
      </c>
      <c r="C170" s="257" t="s">
        <v>259</v>
      </c>
      <c r="D170" s="258">
        <f>$T14</f>
        <v>37</v>
      </c>
      <c r="E170" s="259">
        <f>$T14</f>
        <v>37</v>
      </c>
      <c r="F170" s="259">
        <f>$T14</f>
        <v>37</v>
      </c>
      <c r="G170" s="259">
        <f>$T14</f>
        <v>37</v>
      </c>
      <c r="H170" s="259">
        <f>$T14</f>
        <v>37</v>
      </c>
      <c r="I170" s="259">
        <f>$T14</f>
        <v>37</v>
      </c>
      <c r="J170" s="259">
        <f>$T14</f>
        <v>37</v>
      </c>
      <c r="K170" s="259">
        <f>$T14</f>
        <v>37</v>
      </c>
      <c r="L170" s="259">
        <f>$T14</f>
        <v>37</v>
      </c>
      <c r="M170" s="259">
        <f>$T14</f>
        <v>37</v>
      </c>
      <c r="N170" s="259">
        <f>$T14</f>
        <v>37</v>
      </c>
      <c r="O170" s="259">
        <f>$T14</f>
        <v>37</v>
      </c>
      <c r="P170" s="258">
        <f>$T14</f>
        <v>37</v>
      </c>
      <c r="Q170" s="259">
        <f>$T14</f>
        <v>37</v>
      </c>
      <c r="R170" s="259">
        <f>$T14</f>
        <v>37</v>
      </c>
      <c r="S170" s="259">
        <f>$T14</f>
        <v>37</v>
      </c>
      <c r="T170" s="259">
        <f>$T14</f>
        <v>37</v>
      </c>
      <c r="U170" s="259">
        <f>$T14</f>
        <v>37</v>
      </c>
      <c r="V170" s="259">
        <f>$T14</f>
        <v>37</v>
      </c>
      <c r="W170" s="259">
        <f>$T14</f>
        <v>37</v>
      </c>
      <c r="X170" s="259">
        <f>$T14</f>
        <v>37</v>
      </c>
      <c r="Y170" s="259">
        <f>$T14</f>
        <v>37</v>
      </c>
      <c r="Z170" s="259">
        <f>$T14</f>
        <v>37</v>
      </c>
      <c r="AA170" s="259">
        <f>$T14</f>
        <v>37</v>
      </c>
      <c r="AB170" s="258">
        <f>$T14</f>
        <v>37</v>
      </c>
      <c r="AC170" s="259">
        <f>$T14</f>
        <v>37</v>
      </c>
      <c r="AD170" s="259">
        <f>$T14</f>
        <v>37</v>
      </c>
      <c r="AE170" s="259">
        <f>$T14</f>
        <v>37</v>
      </c>
      <c r="AF170" s="259">
        <f>$T14</f>
        <v>37</v>
      </c>
      <c r="AG170" s="259">
        <f>$T14</f>
        <v>37</v>
      </c>
      <c r="AH170" s="259">
        <f>$T14</f>
        <v>37</v>
      </c>
      <c r="AI170" s="259">
        <f>$T14</f>
        <v>37</v>
      </c>
      <c r="AJ170" s="259">
        <f>$T14</f>
        <v>37</v>
      </c>
      <c r="AK170" s="259">
        <f>$T14</f>
        <v>37</v>
      </c>
      <c r="AL170" s="259">
        <f>$T14</f>
        <v>37</v>
      </c>
      <c r="AM170" s="259">
        <f>$T14</f>
        <v>37</v>
      </c>
    </row>
    <row r="171" spans="2:39" s="256" customFormat="1" outlineLevel="1" x14ac:dyDescent="0.25">
      <c r="B171" s="256" t="str">
        <f t="shared" si="13"/>
        <v>Erhverv</v>
      </c>
      <c r="C171" s="257" t="s">
        <v>259</v>
      </c>
      <c r="D171" s="258">
        <f>$T15</f>
        <v>37</v>
      </c>
      <c r="E171" s="259">
        <f>$T15</f>
        <v>37</v>
      </c>
      <c r="F171" s="259">
        <f>$T15</f>
        <v>37</v>
      </c>
      <c r="G171" s="259">
        <f>$T15</f>
        <v>37</v>
      </c>
      <c r="H171" s="259">
        <f>$T15</f>
        <v>37</v>
      </c>
      <c r="I171" s="259">
        <f>$T15</f>
        <v>37</v>
      </c>
      <c r="J171" s="259">
        <f>$T15</f>
        <v>37</v>
      </c>
      <c r="K171" s="259">
        <f>$T15</f>
        <v>37</v>
      </c>
      <c r="L171" s="259">
        <f>$T15</f>
        <v>37</v>
      </c>
      <c r="M171" s="259">
        <f>$T15</f>
        <v>37</v>
      </c>
      <c r="N171" s="259">
        <f>$T15</f>
        <v>37</v>
      </c>
      <c r="O171" s="259">
        <f>$T15</f>
        <v>37</v>
      </c>
      <c r="P171" s="258">
        <f>$T15</f>
        <v>37</v>
      </c>
      <c r="Q171" s="259">
        <f>$T15</f>
        <v>37</v>
      </c>
      <c r="R171" s="259">
        <f>$T15</f>
        <v>37</v>
      </c>
      <c r="S171" s="259">
        <f>$T15</f>
        <v>37</v>
      </c>
      <c r="T171" s="259">
        <f>$T15</f>
        <v>37</v>
      </c>
      <c r="U171" s="259">
        <f>$T15</f>
        <v>37</v>
      </c>
      <c r="V171" s="259">
        <f>$T15</f>
        <v>37</v>
      </c>
      <c r="W171" s="259">
        <f>$T15</f>
        <v>37</v>
      </c>
      <c r="X171" s="259">
        <f>$T15</f>
        <v>37</v>
      </c>
      <c r="Y171" s="259">
        <f>$T15</f>
        <v>37</v>
      </c>
      <c r="Z171" s="259">
        <f>$T15</f>
        <v>37</v>
      </c>
      <c r="AA171" s="259">
        <f>$T15</f>
        <v>37</v>
      </c>
      <c r="AB171" s="258">
        <f>$T15</f>
        <v>37</v>
      </c>
      <c r="AC171" s="259">
        <f>$T15</f>
        <v>37</v>
      </c>
      <c r="AD171" s="259">
        <f>$T15</f>
        <v>37</v>
      </c>
      <c r="AE171" s="259">
        <f>$T15</f>
        <v>37</v>
      </c>
      <c r="AF171" s="259">
        <f>$T15</f>
        <v>37</v>
      </c>
      <c r="AG171" s="259">
        <f>$T15</f>
        <v>37</v>
      </c>
      <c r="AH171" s="259">
        <f>$T15</f>
        <v>37</v>
      </c>
      <c r="AI171" s="259">
        <f>$T15</f>
        <v>37</v>
      </c>
      <c r="AJ171" s="259">
        <f>$T15</f>
        <v>37</v>
      </c>
      <c r="AK171" s="259">
        <f>$T15</f>
        <v>37</v>
      </c>
      <c r="AL171" s="259">
        <f>$T15</f>
        <v>37</v>
      </c>
      <c r="AM171" s="259">
        <f>$T15</f>
        <v>37</v>
      </c>
    </row>
    <row r="172" spans="2:39" s="256" customFormat="1" outlineLevel="1" x14ac:dyDescent="0.25">
      <c r="B172" s="256" t="str">
        <f t="shared" si="13"/>
        <v>DagrenErhverv</v>
      </c>
      <c r="C172" s="257" t="s">
        <v>259</v>
      </c>
      <c r="D172" s="258">
        <f>$T16</f>
        <v>37</v>
      </c>
      <c r="E172" s="259">
        <f>$T16</f>
        <v>37</v>
      </c>
      <c r="F172" s="259">
        <f>$T16</f>
        <v>37</v>
      </c>
      <c r="G172" s="259">
        <f>$T16</f>
        <v>37</v>
      </c>
      <c r="H172" s="259">
        <f>$T16</f>
        <v>37</v>
      </c>
      <c r="I172" s="259">
        <f>$T16</f>
        <v>37</v>
      </c>
      <c r="J172" s="259">
        <f>$T16</f>
        <v>37</v>
      </c>
      <c r="K172" s="259">
        <f>$T16</f>
        <v>37</v>
      </c>
      <c r="L172" s="259">
        <f>$T16</f>
        <v>37</v>
      </c>
      <c r="M172" s="259">
        <f>$T16</f>
        <v>37</v>
      </c>
      <c r="N172" s="259">
        <f>$T16</f>
        <v>37</v>
      </c>
      <c r="O172" s="259">
        <f>$T16</f>
        <v>37</v>
      </c>
      <c r="P172" s="258">
        <f>$T16</f>
        <v>37</v>
      </c>
      <c r="Q172" s="259">
        <f>$T16</f>
        <v>37</v>
      </c>
      <c r="R172" s="259">
        <f>$T16</f>
        <v>37</v>
      </c>
      <c r="S172" s="259">
        <f>$T16</f>
        <v>37</v>
      </c>
      <c r="T172" s="259">
        <f>$T16</f>
        <v>37</v>
      </c>
      <c r="U172" s="259">
        <f>$T16</f>
        <v>37</v>
      </c>
      <c r="V172" s="259">
        <f>$T16</f>
        <v>37</v>
      </c>
      <c r="W172" s="259">
        <f>$T16</f>
        <v>37</v>
      </c>
      <c r="X172" s="259">
        <f>$T16</f>
        <v>37</v>
      </c>
      <c r="Y172" s="259">
        <f>$T16</f>
        <v>37</v>
      </c>
      <c r="Z172" s="259">
        <f>$T16</f>
        <v>37</v>
      </c>
      <c r="AA172" s="259">
        <f>$T16</f>
        <v>37</v>
      </c>
      <c r="AB172" s="258">
        <f>$T16</f>
        <v>37</v>
      </c>
      <c r="AC172" s="259">
        <f>$T16</f>
        <v>37</v>
      </c>
      <c r="AD172" s="259">
        <f>$T16</f>
        <v>37</v>
      </c>
      <c r="AE172" s="259">
        <f>$T16</f>
        <v>37</v>
      </c>
      <c r="AF172" s="259">
        <f>$T16</f>
        <v>37</v>
      </c>
      <c r="AG172" s="259">
        <f>$T16</f>
        <v>37</v>
      </c>
      <c r="AH172" s="259">
        <f>$T16</f>
        <v>37</v>
      </c>
      <c r="AI172" s="259">
        <f>$T16</f>
        <v>37</v>
      </c>
      <c r="AJ172" s="259">
        <f>$T16</f>
        <v>37</v>
      </c>
      <c r="AK172" s="259">
        <f>$T16</f>
        <v>37</v>
      </c>
      <c r="AL172" s="259">
        <f>$T16</f>
        <v>37</v>
      </c>
      <c r="AM172" s="259">
        <f>$T16</f>
        <v>37</v>
      </c>
    </row>
    <row r="173" spans="2:39" s="256" customFormat="1" outlineLevel="1" x14ac:dyDescent="0.25">
      <c r="B173" s="256" t="str">
        <f t="shared" si="13"/>
        <v>HandelKontor</v>
      </c>
      <c r="C173" s="257" t="s">
        <v>259</v>
      </c>
      <c r="D173" s="258">
        <f>$T17</f>
        <v>37</v>
      </c>
      <c r="E173" s="259">
        <f>$T17</f>
        <v>37</v>
      </c>
      <c r="F173" s="259">
        <f>$T17</f>
        <v>37</v>
      </c>
      <c r="G173" s="259">
        <f>$T17</f>
        <v>37</v>
      </c>
      <c r="H173" s="259">
        <f>$T17</f>
        <v>37</v>
      </c>
      <c r="I173" s="259">
        <f>$T17</f>
        <v>37</v>
      </c>
      <c r="J173" s="259">
        <f>$T17</f>
        <v>37</v>
      </c>
      <c r="K173" s="259">
        <f>$T17</f>
        <v>37</v>
      </c>
      <c r="L173" s="259">
        <f>$T17</f>
        <v>37</v>
      </c>
      <c r="M173" s="259">
        <f>$T17</f>
        <v>37</v>
      </c>
      <c r="N173" s="259">
        <f>$T17</f>
        <v>37</v>
      </c>
      <c r="O173" s="259">
        <f>$T17</f>
        <v>37</v>
      </c>
      <c r="P173" s="258">
        <f>$T17</f>
        <v>37</v>
      </c>
      <c r="Q173" s="259">
        <f>$T17</f>
        <v>37</v>
      </c>
      <c r="R173" s="259">
        <f>$T17</f>
        <v>37</v>
      </c>
      <c r="S173" s="259">
        <f>$T17</f>
        <v>37</v>
      </c>
      <c r="T173" s="259">
        <f>$T17</f>
        <v>37</v>
      </c>
      <c r="U173" s="259">
        <f>$T17</f>
        <v>37</v>
      </c>
      <c r="V173" s="259">
        <f>$T17</f>
        <v>37</v>
      </c>
      <c r="W173" s="259">
        <f>$T17</f>
        <v>37</v>
      </c>
      <c r="X173" s="259">
        <f>$T17</f>
        <v>37</v>
      </c>
      <c r="Y173" s="259">
        <f>$T17</f>
        <v>37</v>
      </c>
      <c r="Z173" s="259">
        <f>$T17</f>
        <v>37</v>
      </c>
      <c r="AA173" s="259">
        <f>$T17</f>
        <v>37</v>
      </c>
      <c r="AB173" s="258">
        <f>$T17</f>
        <v>37</v>
      </c>
      <c r="AC173" s="259">
        <f>$T17</f>
        <v>37</v>
      </c>
      <c r="AD173" s="259">
        <f>$T17</f>
        <v>37</v>
      </c>
      <c r="AE173" s="259">
        <f>$T17</f>
        <v>37</v>
      </c>
      <c r="AF173" s="259">
        <f>$T17</f>
        <v>37</v>
      </c>
      <c r="AG173" s="259">
        <f>$T17</f>
        <v>37</v>
      </c>
      <c r="AH173" s="259">
        <f>$T17</f>
        <v>37</v>
      </c>
      <c r="AI173" s="259">
        <f>$T17</f>
        <v>37</v>
      </c>
      <c r="AJ173" s="259">
        <f>$T17</f>
        <v>37</v>
      </c>
      <c r="AK173" s="259">
        <f>$T17</f>
        <v>37</v>
      </c>
      <c r="AL173" s="259">
        <f>$T17</f>
        <v>37</v>
      </c>
      <c r="AM173" s="259">
        <f>$T17</f>
        <v>37</v>
      </c>
    </row>
    <row r="174" spans="2:39" s="256" customFormat="1" outlineLevel="1" x14ac:dyDescent="0.25">
      <c r="B174" s="256" t="str">
        <f t="shared" si="13"/>
        <v>Privat</v>
      </c>
      <c r="C174" s="257" t="s">
        <v>259</v>
      </c>
      <c r="D174" s="258">
        <f>$T18</f>
        <v>37</v>
      </c>
      <c r="E174" s="259">
        <f>$T18</f>
        <v>37</v>
      </c>
      <c r="F174" s="259">
        <f>$T18</f>
        <v>37</v>
      </c>
      <c r="G174" s="259">
        <f>$T18</f>
        <v>37</v>
      </c>
      <c r="H174" s="259">
        <f>$T18</f>
        <v>37</v>
      </c>
      <c r="I174" s="259">
        <f>$T18</f>
        <v>37</v>
      </c>
      <c r="J174" s="259">
        <f>$T18</f>
        <v>37</v>
      </c>
      <c r="K174" s="259">
        <f>$T18</f>
        <v>37</v>
      </c>
      <c r="L174" s="259">
        <f>$T18</f>
        <v>37</v>
      </c>
      <c r="M174" s="259">
        <f>$T18</f>
        <v>37</v>
      </c>
      <c r="N174" s="259">
        <f>$T18</f>
        <v>37</v>
      </c>
      <c r="O174" s="259">
        <f>$T18</f>
        <v>37</v>
      </c>
      <c r="P174" s="258">
        <f>$T18</f>
        <v>37</v>
      </c>
      <c r="Q174" s="259">
        <f>$T18</f>
        <v>37</v>
      </c>
      <c r="R174" s="259">
        <f>$T18</f>
        <v>37</v>
      </c>
      <c r="S174" s="259">
        <f>$T18</f>
        <v>37</v>
      </c>
      <c r="T174" s="259">
        <f>$T18</f>
        <v>37</v>
      </c>
      <c r="U174" s="259">
        <f>$T18</f>
        <v>37</v>
      </c>
      <c r="V174" s="259">
        <f>$T18</f>
        <v>37</v>
      </c>
      <c r="W174" s="259">
        <f>$T18</f>
        <v>37</v>
      </c>
      <c r="X174" s="259">
        <f>$T18</f>
        <v>37</v>
      </c>
      <c r="Y174" s="259">
        <f>$T18</f>
        <v>37</v>
      </c>
      <c r="Z174" s="259">
        <f>$T18</f>
        <v>37</v>
      </c>
      <c r="AA174" s="259">
        <f>$T18</f>
        <v>37</v>
      </c>
      <c r="AB174" s="258">
        <f>$T18</f>
        <v>37</v>
      </c>
      <c r="AC174" s="259">
        <f>$T18</f>
        <v>37</v>
      </c>
      <c r="AD174" s="259">
        <f>$T18</f>
        <v>37</v>
      </c>
      <c r="AE174" s="259">
        <f>$T18</f>
        <v>37</v>
      </c>
      <c r="AF174" s="259">
        <f>$T18</f>
        <v>37</v>
      </c>
      <c r="AG174" s="259">
        <f>$T18</f>
        <v>37</v>
      </c>
      <c r="AH174" s="259">
        <f>$T18</f>
        <v>37</v>
      </c>
      <c r="AI174" s="259">
        <f>$T18</f>
        <v>37</v>
      </c>
      <c r="AJ174" s="259">
        <f>$T18</f>
        <v>37</v>
      </c>
      <c r="AK174" s="259">
        <f>$T18</f>
        <v>37</v>
      </c>
      <c r="AL174" s="259">
        <f>$T18</f>
        <v>37</v>
      </c>
      <c r="AM174" s="259">
        <f>$T18</f>
        <v>37</v>
      </c>
    </row>
    <row r="175" spans="2:39" s="256" customFormat="1" outlineLevel="1" x14ac:dyDescent="0.25">
      <c r="B175" s="256" t="str">
        <f t="shared" si="13"/>
        <v>TyskRest</v>
      </c>
      <c r="C175" s="257" t="s">
        <v>259</v>
      </c>
      <c r="D175" s="258">
        <f>$T19</f>
        <v>37</v>
      </c>
      <c r="E175" s="259">
        <f>$T19</f>
        <v>37</v>
      </c>
      <c r="F175" s="259">
        <f>$T19</f>
        <v>37</v>
      </c>
      <c r="G175" s="259">
        <f>$T19</f>
        <v>37</v>
      </c>
      <c r="H175" s="259">
        <f>$T19</f>
        <v>37</v>
      </c>
      <c r="I175" s="259">
        <f>$T19</f>
        <v>37</v>
      </c>
      <c r="J175" s="259">
        <f>$T19</f>
        <v>37</v>
      </c>
      <c r="K175" s="259">
        <f>$T19</f>
        <v>37</v>
      </c>
      <c r="L175" s="259">
        <f>$T19</f>
        <v>37</v>
      </c>
      <c r="M175" s="259">
        <f>$T19</f>
        <v>37</v>
      </c>
      <c r="N175" s="259">
        <f>$T19</f>
        <v>37</v>
      </c>
      <c r="O175" s="259">
        <f>$T19</f>
        <v>37</v>
      </c>
      <c r="P175" s="258">
        <f>$T19</f>
        <v>37</v>
      </c>
      <c r="Q175" s="259">
        <f>$T19</f>
        <v>37</v>
      </c>
      <c r="R175" s="259">
        <f>$T19</f>
        <v>37</v>
      </c>
      <c r="S175" s="259">
        <f>$T19</f>
        <v>37</v>
      </c>
      <c r="T175" s="259">
        <f>$T19</f>
        <v>37</v>
      </c>
      <c r="U175" s="259">
        <f>$T19</f>
        <v>37</v>
      </c>
      <c r="V175" s="259">
        <f>$T19</f>
        <v>37</v>
      </c>
      <c r="W175" s="259">
        <f>$T19</f>
        <v>37</v>
      </c>
      <c r="X175" s="259">
        <f>$T19</f>
        <v>37</v>
      </c>
      <c r="Y175" s="259">
        <f>$T19</f>
        <v>37</v>
      </c>
      <c r="Z175" s="259">
        <f>$T19</f>
        <v>37</v>
      </c>
      <c r="AA175" s="259">
        <f>$T19</f>
        <v>37</v>
      </c>
      <c r="AB175" s="258">
        <f>$T19</f>
        <v>37</v>
      </c>
      <c r="AC175" s="259">
        <f>$T19</f>
        <v>37</v>
      </c>
      <c r="AD175" s="259">
        <f>$T19</f>
        <v>37</v>
      </c>
      <c r="AE175" s="259">
        <f>$T19</f>
        <v>37</v>
      </c>
      <c r="AF175" s="259">
        <f>$T19</f>
        <v>37</v>
      </c>
      <c r="AG175" s="259">
        <f>$T19</f>
        <v>37</v>
      </c>
      <c r="AH175" s="259">
        <f>$T19</f>
        <v>37</v>
      </c>
      <c r="AI175" s="259">
        <f>$T19</f>
        <v>37</v>
      </c>
      <c r="AJ175" s="259">
        <f>$T19</f>
        <v>37</v>
      </c>
      <c r="AK175" s="259">
        <f>$T19</f>
        <v>37</v>
      </c>
      <c r="AL175" s="259">
        <f>$T19</f>
        <v>37</v>
      </c>
      <c r="AM175" s="259">
        <f>$T19</f>
        <v>37</v>
      </c>
    </row>
    <row r="176" spans="2:39" s="256" customFormat="1" outlineLevel="1" x14ac:dyDescent="0.25">
      <c r="B176" s="256" t="str">
        <f t="shared" si="13"/>
        <v>PolskRest</v>
      </c>
      <c r="C176" s="257" t="s">
        <v>259</v>
      </c>
      <c r="D176" s="258">
        <f>$T20</f>
        <v>37</v>
      </c>
      <c r="E176" s="259">
        <f>$T20</f>
        <v>37</v>
      </c>
      <c r="F176" s="259">
        <f>$T20</f>
        <v>37</v>
      </c>
      <c r="G176" s="259">
        <f>$T20</f>
        <v>37</v>
      </c>
      <c r="H176" s="259">
        <f>$T20</f>
        <v>37</v>
      </c>
      <c r="I176" s="259">
        <f>$T20</f>
        <v>37</v>
      </c>
      <c r="J176" s="259">
        <f>$T20</f>
        <v>37</v>
      </c>
      <c r="K176" s="259">
        <f>$T20</f>
        <v>37</v>
      </c>
      <c r="L176" s="259">
        <f>$T20</f>
        <v>37</v>
      </c>
      <c r="M176" s="259">
        <f>$T20</f>
        <v>37</v>
      </c>
      <c r="N176" s="259">
        <f>$T20</f>
        <v>37</v>
      </c>
      <c r="O176" s="259">
        <f>$T20</f>
        <v>37</v>
      </c>
      <c r="P176" s="258">
        <f>$T20</f>
        <v>37</v>
      </c>
      <c r="Q176" s="259">
        <f>$T20</f>
        <v>37</v>
      </c>
      <c r="R176" s="259">
        <f>$T20</f>
        <v>37</v>
      </c>
      <c r="S176" s="259">
        <f>$T20</f>
        <v>37</v>
      </c>
      <c r="T176" s="259">
        <f>$T20</f>
        <v>37</v>
      </c>
      <c r="U176" s="259">
        <f>$T20</f>
        <v>37</v>
      </c>
      <c r="V176" s="259">
        <f>$T20</f>
        <v>37</v>
      </c>
      <c r="W176" s="259">
        <f>$T20</f>
        <v>37</v>
      </c>
      <c r="X176" s="259">
        <f>$T20</f>
        <v>37</v>
      </c>
      <c r="Y176" s="259">
        <f>$T20</f>
        <v>37</v>
      </c>
      <c r="Z176" s="259">
        <f>$T20</f>
        <v>37</v>
      </c>
      <c r="AA176" s="259">
        <f>$T20</f>
        <v>37</v>
      </c>
      <c r="AB176" s="258">
        <f>$T20</f>
        <v>37</v>
      </c>
      <c r="AC176" s="259">
        <f>$T20</f>
        <v>37</v>
      </c>
      <c r="AD176" s="259">
        <f>$T20</f>
        <v>37</v>
      </c>
      <c r="AE176" s="259">
        <f>$T20</f>
        <v>37</v>
      </c>
      <c r="AF176" s="259">
        <f>$T20</f>
        <v>37</v>
      </c>
      <c r="AG176" s="259">
        <f>$T20</f>
        <v>37</v>
      </c>
      <c r="AH176" s="259">
        <f>$T20</f>
        <v>37</v>
      </c>
      <c r="AI176" s="259">
        <f>$T20</f>
        <v>37</v>
      </c>
      <c r="AJ176" s="259">
        <f>$T20</f>
        <v>37</v>
      </c>
      <c r="AK176" s="259">
        <f>$T20</f>
        <v>37</v>
      </c>
      <c r="AL176" s="259">
        <f>$T20</f>
        <v>37</v>
      </c>
      <c r="AM176" s="259">
        <f>$T20</f>
        <v>37</v>
      </c>
    </row>
    <row r="177" spans="1:39" s="256" customFormat="1" outlineLevel="1" x14ac:dyDescent="0.25">
      <c r="B177" s="256" t="str">
        <f t="shared" si="13"/>
        <v>PcbTrae</v>
      </c>
      <c r="C177" s="257" t="s">
        <v>259</v>
      </c>
      <c r="D177" s="258">
        <f>$T21</f>
        <v>37</v>
      </c>
      <c r="E177" s="259">
        <f>$T21</f>
        <v>37</v>
      </c>
      <c r="F177" s="259">
        <f>$T21</f>
        <v>37</v>
      </c>
      <c r="G177" s="259">
        <f>$T21</f>
        <v>37</v>
      </c>
      <c r="H177" s="259">
        <f>$T21</f>
        <v>37</v>
      </c>
      <c r="I177" s="259">
        <f>$T21</f>
        <v>37</v>
      </c>
      <c r="J177" s="259">
        <f>$T21</f>
        <v>37</v>
      </c>
      <c r="K177" s="259">
        <f>$T21</f>
        <v>37</v>
      </c>
      <c r="L177" s="259">
        <f>$T21</f>
        <v>37</v>
      </c>
      <c r="M177" s="259">
        <f>$T21</f>
        <v>37</v>
      </c>
      <c r="N177" s="259">
        <f>$T21</f>
        <v>37</v>
      </c>
      <c r="O177" s="259">
        <f>$T21</f>
        <v>37</v>
      </c>
      <c r="P177" s="258">
        <f>$T21</f>
        <v>37</v>
      </c>
      <c r="Q177" s="259">
        <f>$T21</f>
        <v>37</v>
      </c>
      <c r="R177" s="259">
        <f>$T21</f>
        <v>37</v>
      </c>
      <c r="S177" s="259">
        <f>$T21</f>
        <v>37</v>
      </c>
      <c r="T177" s="259">
        <f>$T21</f>
        <v>37</v>
      </c>
      <c r="U177" s="259">
        <f>$T21</f>
        <v>37</v>
      </c>
      <c r="V177" s="259">
        <f>$T21</f>
        <v>37</v>
      </c>
      <c r="W177" s="259">
        <f>$T21</f>
        <v>37</v>
      </c>
      <c r="X177" s="259">
        <f>$T21</f>
        <v>37</v>
      </c>
      <c r="Y177" s="259">
        <f>$T21</f>
        <v>37</v>
      </c>
      <c r="Z177" s="259">
        <f>$T21</f>
        <v>37</v>
      </c>
      <c r="AA177" s="259">
        <f>$T21</f>
        <v>37</v>
      </c>
      <c r="AB177" s="258">
        <f>$T21</f>
        <v>37</v>
      </c>
      <c r="AC177" s="259">
        <f>$T21</f>
        <v>37</v>
      </c>
      <c r="AD177" s="259">
        <f>$T21</f>
        <v>37</v>
      </c>
      <c r="AE177" s="259">
        <f>$T21</f>
        <v>37</v>
      </c>
      <c r="AF177" s="259">
        <f>$T21</f>
        <v>37</v>
      </c>
      <c r="AG177" s="259">
        <f>$T21</f>
        <v>37</v>
      </c>
      <c r="AH177" s="259">
        <f>$T21</f>
        <v>37</v>
      </c>
      <c r="AI177" s="259">
        <f>$T21</f>
        <v>37</v>
      </c>
      <c r="AJ177" s="259">
        <f>$T21</f>
        <v>37</v>
      </c>
      <c r="AK177" s="259">
        <f>$T21</f>
        <v>37</v>
      </c>
      <c r="AL177" s="259">
        <f>$T21</f>
        <v>37</v>
      </c>
      <c r="AM177" s="259">
        <f>$T21</f>
        <v>37</v>
      </c>
    </row>
    <row r="178" spans="1:39" s="256" customFormat="1" outlineLevel="1" x14ac:dyDescent="0.25">
      <c r="B178" s="256" t="str">
        <f t="shared" si="13"/>
        <v>TraeRekv</v>
      </c>
      <c r="C178" s="257" t="s">
        <v>259</v>
      </c>
      <c r="D178" s="258">
        <f>$T22</f>
        <v>37</v>
      </c>
      <c r="E178" s="259">
        <f>$T22</f>
        <v>37</v>
      </c>
      <c r="F178" s="259">
        <f>$T22</f>
        <v>37</v>
      </c>
      <c r="G178" s="259">
        <f>$T22</f>
        <v>37</v>
      </c>
      <c r="H178" s="259">
        <f>$T22</f>
        <v>37</v>
      </c>
      <c r="I178" s="259">
        <f>$T22</f>
        <v>37</v>
      </c>
      <c r="J178" s="259">
        <f>$T22</f>
        <v>37</v>
      </c>
      <c r="K178" s="259">
        <f>$T22</f>
        <v>37</v>
      </c>
      <c r="L178" s="259">
        <f>$T22</f>
        <v>37</v>
      </c>
      <c r="M178" s="259">
        <f>$T22</f>
        <v>37</v>
      </c>
      <c r="N178" s="259">
        <f>$T22</f>
        <v>37</v>
      </c>
      <c r="O178" s="259">
        <f>$T22</f>
        <v>37</v>
      </c>
      <c r="P178" s="258">
        <f>$T22</f>
        <v>37</v>
      </c>
      <c r="Q178" s="259">
        <f>$T22</f>
        <v>37</v>
      </c>
      <c r="R178" s="259">
        <f>$T22</f>
        <v>37</v>
      </c>
      <c r="S178" s="259">
        <f>$T22</f>
        <v>37</v>
      </c>
      <c r="T178" s="259">
        <f>$T22</f>
        <v>37</v>
      </c>
      <c r="U178" s="259">
        <f>$T22</f>
        <v>37</v>
      </c>
      <c r="V178" s="259">
        <f>$T22</f>
        <v>37</v>
      </c>
      <c r="W178" s="259">
        <f>$T22</f>
        <v>37</v>
      </c>
      <c r="X178" s="259">
        <f>$T22</f>
        <v>37</v>
      </c>
      <c r="Y178" s="259">
        <f>$T22</f>
        <v>37</v>
      </c>
      <c r="Z178" s="259">
        <f>$T22</f>
        <v>37</v>
      </c>
      <c r="AA178" s="259">
        <f>$T22</f>
        <v>37</v>
      </c>
      <c r="AB178" s="258">
        <f>$T22</f>
        <v>37</v>
      </c>
      <c r="AC178" s="259">
        <f>$T22</f>
        <v>37</v>
      </c>
      <c r="AD178" s="259">
        <f>$T22</f>
        <v>37</v>
      </c>
      <c r="AE178" s="259">
        <f>$T22</f>
        <v>37</v>
      </c>
      <c r="AF178" s="259">
        <f>$T22</f>
        <v>37</v>
      </c>
      <c r="AG178" s="259">
        <f>$T22</f>
        <v>37</v>
      </c>
      <c r="AH178" s="259">
        <f>$T22</f>
        <v>37</v>
      </c>
      <c r="AI178" s="259">
        <f>$T22</f>
        <v>37</v>
      </c>
      <c r="AJ178" s="259">
        <f>$T22</f>
        <v>37</v>
      </c>
      <c r="AK178" s="259">
        <f>$T22</f>
        <v>37</v>
      </c>
      <c r="AL178" s="259">
        <f>$T22</f>
        <v>37</v>
      </c>
      <c r="AM178" s="259">
        <f>$T22</f>
        <v>37</v>
      </c>
    </row>
    <row r="179" spans="1:39" s="256" customFormat="1" outlineLevel="1" x14ac:dyDescent="0.25">
      <c r="B179" s="256" t="str">
        <f t="shared" si="13"/>
        <v>Halm</v>
      </c>
      <c r="C179" s="257" t="s">
        <v>259</v>
      </c>
      <c r="D179" s="258">
        <f>$T23</f>
        <v>37</v>
      </c>
      <c r="E179" s="259">
        <f>$T23</f>
        <v>37</v>
      </c>
      <c r="F179" s="259">
        <f>$T23</f>
        <v>37</v>
      </c>
      <c r="G179" s="259">
        <f>$T23</f>
        <v>37</v>
      </c>
      <c r="H179" s="259">
        <f>$T23</f>
        <v>37</v>
      </c>
      <c r="I179" s="259">
        <f>$T23</f>
        <v>37</v>
      </c>
      <c r="J179" s="259">
        <f>$T23</f>
        <v>37</v>
      </c>
      <c r="K179" s="259">
        <f>$T23</f>
        <v>37</v>
      </c>
      <c r="L179" s="259">
        <f>$T23</f>
        <v>37</v>
      </c>
      <c r="M179" s="259">
        <f>$T23</f>
        <v>37</v>
      </c>
      <c r="N179" s="259">
        <f>$T23</f>
        <v>37</v>
      </c>
      <c r="O179" s="259">
        <f>$T23</f>
        <v>37</v>
      </c>
      <c r="P179" s="258">
        <f>$T23</f>
        <v>37</v>
      </c>
      <c r="Q179" s="259">
        <f>$T23</f>
        <v>37</v>
      </c>
      <c r="R179" s="259">
        <f>$T23</f>
        <v>37</v>
      </c>
      <c r="S179" s="259">
        <f>$T23</f>
        <v>37</v>
      </c>
      <c r="T179" s="259">
        <f>$T23</f>
        <v>37</v>
      </c>
      <c r="U179" s="259">
        <f>$T23</f>
        <v>37</v>
      </c>
      <c r="V179" s="259">
        <f>$T23</f>
        <v>37</v>
      </c>
      <c r="W179" s="259">
        <f>$T23</f>
        <v>37</v>
      </c>
      <c r="X179" s="259">
        <f>$T23</f>
        <v>37</v>
      </c>
      <c r="Y179" s="259">
        <f>$T23</f>
        <v>37</v>
      </c>
      <c r="Z179" s="259">
        <f>$T23</f>
        <v>37</v>
      </c>
      <c r="AA179" s="259">
        <f>$T23</f>
        <v>37</v>
      </c>
      <c r="AB179" s="258">
        <f>$T23</f>
        <v>37</v>
      </c>
      <c r="AC179" s="259">
        <f>$T23</f>
        <v>37</v>
      </c>
      <c r="AD179" s="259">
        <f>$T23</f>
        <v>37</v>
      </c>
      <c r="AE179" s="259">
        <f>$T23</f>
        <v>37</v>
      </c>
      <c r="AF179" s="259">
        <f>$T23</f>
        <v>37</v>
      </c>
      <c r="AG179" s="259">
        <f>$T23</f>
        <v>37</v>
      </c>
      <c r="AH179" s="259">
        <f>$T23</f>
        <v>37</v>
      </c>
      <c r="AI179" s="259">
        <f>$T23</f>
        <v>37</v>
      </c>
      <c r="AJ179" s="259">
        <f>$T23</f>
        <v>37</v>
      </c>
      <c r="AK179" s="259">
        <f>$T23</f>
        <v>37</v>
      </c>
      <c r="AL179" s="259">
        <f>$T23</f>
        <v>37</v>
      </c>
      <c r="AM179" s="259">
        <f>$T23</f>
        <v>37</v>
      </c>
    </row>
    <row r="180" spans="1:39" s="256" customFormat="1" outlineLevel="1" x14ac:dyDescent="0.25">
      <c r="A180" s="260"/>
      <c r="B180" s="256" t="str">
        <f t="shared" si="13"/>
        <v>Pulver</v>
      </c>
      <c r="C180" s="257" t="s">
        <v>259</v>
      </c>
      <c r="D180" s="258">
        <f>$T24</f>
        <v>37</v>
      </c>
      <c r="E180" s="259">
        <f>$T24</f>
        <v>37</v>
      </c>
      <c r="F180" s="259">
        <f>$T24</f>
        <v>37</v>
      </c>
      <c r="G180" s="259">
        <f>$T24</f>
        <v>37</v>
      </c>
      <c r="H180" s="259">
        <f>$T24</f>
        <v>37</v>
      </c>
      <c r="I180" s="259">
        <f>$T24</f>
        <v>37</v>
      </c>
      <c r="J180" s="259">
        <f>$T24</f>
        <v>37</v>
      </c>
      <c r="K180" s="259">
        <f>$T24</f>
        <v>37</v>
      </c>
      <c r="L180" s="259">
        <f>$T24</f>
        <v>37</v>
      </c>
      <c r="M180" s="259">
        <f>$T24</f>
        <v>37</v>
      </c>
      <c r="N180" s="259">
        <f>$T24</f>
        <v>37</v>
      </c>
      <c r="O180" s="259">
        <f>$T24</f>
        <v>37</v>
      </c>
      <c r="P180" s="258">
        <f>$T24</f>
        <v>37</v>
      </c>
      <c r="Q180" s="259">
        <f>$T24</f>
        <v>37</v>
      </c>
      <c r="R180" s="259">
        <f>$T24</f>
        <v>37</v>
      </c>
      <c r="S180" s="259">
        <f>$T24</f>
        <v>37</v>
      </c>
      <c r="T180" s="259">
        <f>$T24</f>
        <v>37</v>
      </c>
      <c r="U180" s="259">
        <f>$T24</f>
        <v>37</v>
      </c>
      <c r="V180" s="259">
        <f>$T24</f>
        <v>37</v>
      </c>
      <c r="W180" s="259">
        <f>$T24</f>
        <v>37</v>
      </c>
      <c r="X180" s="259">
        <f>$T24</f>
        <v>37</v>
      </c>
      <c r="Y180" s="259">
        <f>$T24</f>
        <v>37</v>
      </c>
      <c r="Z180" s="259">
        <f>$T24</f>
        <v>37</v>
      </c>
      <c r="AA180" s="259">
        <f>$T24</f>
        <v>37</v>
      </c>
      <c r="AB180" s="258">
        <f>$T24</f>
        <v>37</v>
      </c>
      <c r="AC180" s="259">
        <f>$T24</f>
        <v>37</v>
      </c>
      <c r="AD180" s="259">
        <f>$T24</f>
        <v>37</v>
      </c>
      <c r="AE180" s="259">
        <f>$T24</f>
        <v>37</v>
      </c>
      <c r="AF180" s="259">
        <f>$T24</f>
        <v>37</v>
      </c>
      <c r="AG180" s="259">
        <f>$T24</f>
        <v>37</v>
      </c>
      <c r="AH180" s="259">
        <f>$T24</f>
        <v>37</v>
      </c>
      <c r="AI180" s="259">
        <f>$T24</f>
        <v>37</v>
      </c>
      <c r="AJ180" s="259">
        <f>$T24</f>
        <v>37</v>
      </c>
      <c r="AK180" s="259">
        <f>$T24</f>
        <v>37</v>
      </c>
      <c r="AL180" s="259">
        <f>$T24</f>
        <v>37</v>
      </c>
      <c r="AM180" s="259">
        <f>$T24</f>
        <v>37</v>
      </c>
    </row>
    <row r="181" spans="1:39" s="256" customFormat="1" outlineLevel="1" x14ac:dyDescent="0.25">
      <c r="A181" s="260"/>
      <c r="B181" s="256" t="str">
        <f t="shared" si="13"/>
        <v>FlisAffald</v>
      </c>
      <c r="C181" s="257" t="s">
        <v>259</v>
      </c>
      <c r="D181" s="258">
        <f>$T25</f>
        <v>0</v>
      </c>
      <c r="E181" s="259">
        <f>$T25</f>
        <v>0</v>
      </c>
      <c r="F181" s="259">
        <f>$T25</f>
        <v>0</v>
      </c>
      <c r="G181" s="259">
        <f>$T25</f>
        <v>0</v>
      </c>
      <c r="H181" s="259">
        <f>$T25</f>
        <v>0</v>
      </c>
      <c r="I181" s="259">
        <f>$T25</f>
        <v>0</v>
      </c>
      <c r="J181" s="259">
        <f>$T25</f>
        <v>0</v>
      </c>
      <c r="K181" s="259">
        <f>$T25</f>
        <v>0</v>
      </c>
      <c r="L181" s="259">
        <f>$T25</f>
        <v>0</v>
      </c>
      <c r="M181" s="259">
        <f>$T25</f>
        <v>0</v>
      </c>
      <c r="N181" s="259">
        <f>$T25</f>
        <v>0</v>
      </c>
      <c r="O181" s="259">
        <f>$T25</f>
        <v>0</v>
      </c>
      <c r="P181" s="258">
        <f>$T25</f>
        <v>0</v>
      </c>
      <c r="Q181" s="259">
        <f>$T25</f>
        <v>0</v>
      </c>
      <c r="R181" s="259">
        <f>$T25</f>
        <v>0</v>
      </c>
      <c r="S181" s="259">
        <f>$T25</f>
        <v>0</v>
      </c>
      <c r="T181" s="259">
        <f>$T25</f>
        <v>0</v>
      </c>
      <c r="U181" s="259">
        <f>$T25</f>
        <v>0</v>
      </c>
      <c r="V181" s="259">
        <f>$T25</f>
        <v>0</v>
      </c>
      <c r="W181" s="259">
        <f>$T25</f>
        <v>0</v>
      </c>
      <c r="X181" s="259">
        <f>$T25</f>
        <v>0</v>
      </c>
      <c r="Y181" s="259">
        <f>$T25</f>
        <v>0</v>
      </c>
      <c r="Z181" s="259">
        <f>$T25</f>
        <v>0</v>
      </c>
      <c r="AA181" s="259">
        <f>$T25</f>
        <v>0</v>
      </c>
      <c r="AB181" s="258">
        <f>$T25</f>
        <v>0</v>
      </c>
      <c r="AC181" s="259">
        <f>$T25</f>
        <v>0</v>
      </c>
      <c r="AD181" s="259">
        <f>$T25</f>
        <v>0</v>
      </c>
      <c r="AE181" s="259">
        <f>$T25</f>
        <v>0</v>
      </c>
      <c r="AF181" s="259">
        <f>$T25</f>
        <v>0</v>
      </c>
      <c r="AG181" s="259">
        <f>$T25</f>
        <v>0</v>
      </c>
      <c r="AH181" s="259">
        <f>$T25</f>
        <v>0</v>
      </c>
      <c r="AI181" s="259">
        <f>$T25</f>
        <v>0</v>
      </c>
      <c r="AJ181" s="259">
        <f>$T25</f>
        <v>0</v>
      </c>
      <c r="AK181" s="259">
        <f>$T25</f>
        <v>0</v>
      </c>
      <c r="AL181" s="259">
        <f>$T25</f>
        <v>0</v>
      </c>
      <c r="AM181" s="259">
        <f>$T25</f>
        <v>0</v>
      </c>
    </row>
    <row r="182" spans="1:39" s="256" customFormat="1" outlineLevel="1" x14ac:dyDescent="0.25">
      <c r="A182" s="260"/>
      <c r="B182" s="256" t="str">
        <f t="shared" si="13"/>
        <v>NyAff1</v>
      </c>
      <c r="C182" s="257" t="s">
        <v>259</v>
      </c>
      <c r="D182" s="258">
        <f>$T26</f>
        <v>0</v>
      </c>
      <c r="E182" s="259">
        <f>$T26</f>
        <v>0</v>
      </c>
      <c r="F182" s="259">
        <f>$T26</f>
        <v>0</v>
      </c>
      <c r="G182" s="259">
        <f>$T26</f>
        <v>0</v>
      </c>
      <c r="H182" s="259">
        <f>$T26</f>
        <v>0</v>
      </c>
      <c r="I182" s="259">
        <f>$T26</f>
        <v>0</v>
      </c>
      <c r="J182" s="259">
        <f>$T26</f>
        <v>0</v>
      </c>
      <c r="K182" s="259">
        <f>$T26</f>
        <v>0</v>
      </c>
      <c r="L182" s="259">
        <f>$T26</f>
        <v>0</v>
      </c>
      <c r="M182" s="259">
        <f>$T26</f>
        <v>0</v>
      </c>
      <c r="N182" s="259">
        <f>$T26</f>
        <v>0</v>
      </c>
      <c r="O182" s="259">
        <f>$T26</f>
        <v>0</v>
      </c>
      <c r="P182" s="258">
        <f>$T26</f>
        <v>0</v>
      </c>
      <c r="Q182" s="259">
        <f>$T26</f>
        <v>0</v>
      </c>
      <c r="R182" s="259">
        <f>$T26</f>
        <v>0</v>
      </c>
      <c r="S182" s="259">
        <f>$T26</f>
        <v>0</v>
      </c>
      <c r="T182" s="259">
        <f>$T26</f>
        <v>0</v>
      </c>
      <c r="U182" s="259">
        <f>$T26</f>
        <v>0</v>
      </c>
      <c r="V182" s="259">
        <f>$T26</f>
        <v>0</v>
      </c>
      <c r="W182" s="259">
        <f>$T26</f>
        <v>0</v>
      </c>
      <c r="X182" s="259">
        <f>$T26</f>
        <v>0</v>
      </c>
      <c r="Y182" s="259">
        <f>$T26</f>
        <v>0</v>
      </c>
      <c r="Z182" s="259">
        <f>$T26</f>
        <v>0</v>
      </c>
      <c r="AA182" s="259">
        <f>$T26</f>
        <v>0</v>
      </c>
      <c r="AB182" s="258">
        <f>$T26</f>
        <v>0</v>
      </c>
      <c r="AC182" s="259">
        <f>$T26</f>
        <v>0</v>
      </c>
      <c r="AD182" s="259">
        <f>$T26</f>
        <v>0</v>
      </c>
      <c r="AE182" s="259">
        <f>$T26</f>
        <v>0</v>
      </c>
      <c r="AF182" s="259">
        <f>$T26</f>
        <v>0</v>
      </c>
      <c r="AG182" s="259">
        <f>$T26</f>
        <v>0</v>
      </c>
      <c r="AH182" s="259">
        <f>$T26</f>
        <v>0</v>
      </c>
      <c r="AI182" s="259">
        <f>$T26</f>
        <v>0</v>
      </c>
      <c r="AJ182" s="259">
        <f>$T26</f>
        <v>0</v>
      </c>
      <c r="AK182" s="259">
        <f>$T26</f>
        <v>0</v>
      </c>
      <c r="AL182" s="259">
        <f>$T26</f>
        <v>0</v>
      </c>
      <c r="AM182" s="259">
        <f>$T26</f>
        <v>0</v>
      </c>
    </row>
    <row r="183" spans="1:39" s="256" customFormat="1" outlineLevel="1" x14ac:dyDescent="0.25">
      <c r="B183" s="256" t="str">
        <f t="shared" si="13"/>
        <v>NyAff2</v>
      </c>
      <c r="C183" s="257" t="s">
        <v>259</v>
      </c>
      <c r="D183" s="258">
        <f>$T27</f>
        <v>37</v>
      </c>
      <c r="E183" s="259">
        <f>$T27</f>
        <v>37</v>
      </c>
      <c r="F183" s="259">
        <f>$T27</f>
        <v>37</v>
      </c>
      <c r="G183" s="259">
        <f>$T27</f>
        <v>37</v>
      </c>
      <c r="H183" s="259">
        <f>$T27</f>
        <v>37</v>
      </c>
      <c r="I183" s="259">
        <f>$T27</f>
        <v>37</v>
      </c>
      <c r="J183" s="259">
        <f>$T27</f>
        <v>37</v>
      </c>
      <c r="K183" s="259">
        <f>$T27</f>
        <v>37</v>
      </c>
      <c r="L183" s="259">
        <f>$T27</f>
        <v>37</v>
      </c>
      <c r="M183" s="259">
        <f>$T27</f>
        <v>37</v>
      </c>
      <c r="N183" s="259">
        <f>$T27</f>
        <v>37</v>
      </c>
      <c r="O183" s="259">
        <f>$T27</f>
        <v>37</v>
      </c>
      <c r="P183" s="258">
        <f>$T27</f>
        <v>37</v>
      </c>
      <c r="Q183" s="259">
        <f>$T27</f>
        <v>37</v>
      </c>
      <c r="R183" s="259">
        <f>$T27</f>
        <v>37</v>
      </c>
      <c r="S183" s="259">
        <f>$T27</f>
        <v>37</v>
      </c>
      <c r="T183" s="259">
        <f>$T27</f>
        <v>37</v>
      </c>
      <c r="U183" s="259">
        <f>$T27</f>
        <v>37</v>
      </c>
      <c r="V183" s="259">
        <f>$T27</f>
        <v>37</v>
      </c>
      <c r="W183" s="259">
        <f>$T27</f>
        <v>37</v>
      </c>
      <c r="X183" s="259">
        <f>$T27</f>
        <v>37</v>
      </c>
      <c r="Y183" s="259">
        <f>$T27</f>
        <v>37</v>
      </c>
      <c r="Z183" s="259">
        <f>$T27</f>
        <v>37</v>
      </c>
      <c r="AA183" s="259">
        <f>$T27</f>
        <v>37</v>
      </c>
      <c r="AB183" s="258">
        <f>$T27</f>
        <v>37</v>
      </c>
      <c r="AC183" s="259">
        <f>$T27</f>
        <v>37</v>
      </c>
      <c r="AD183" s="259">
        <f>$T27</f>
        <v>37</v>
      </c>
      <c r="AE183" s="259">
        <f>$T27</f>
        <v>37</v>
      </c>
      <c r="AF183" s="259">
        <f>$T27</f>
        <v>37</v>
      </c>
      <c r="AG183" s="259">
        <f>$T27</f>
        <v>37</v>
      </c>
      <c r="AH183" s="259">
        <f>$T27</f>
        <v>37</v>
      </c>
      <c r="AI183" s="259">
        <f>$T27</f>
        <v>37</v>
      </c>
      <c r="AJ183" s="259">
        <f>$T27</f>
        <v>37</v>
      </c>
      <c r="AK183" s="259">
        <f>$T27</f>
        <v>37</v>
      </c>
      <c r="AL183" s="259">
        <f>$T27</f>
        <v>37</v>
      </c>
      <c r="AM183" s="259">
        <f>$T27</f>
        <v>37</v>
      </c>
    </row>
    <row r="184" spans="1:39" s="256" customFormat="1" outlineLevel="1" x14ac:dyDescent="0.25">
      <c r="B184" s="256" t="str">
        <f>B154</f>
        <v>NyAff3</v>
      </c>
      <c r="C184" s="257" t="s">
        <v>259</v>
      </c>
      <c r="D184" s="258">
        <f>$T28</f>
        <v>37</v>
      </c>
      <c r="E184" s="259">
        <f>$T28</f>
        <v>37</v>
      </c>
      <c r="F184" s="259">
        <f>$T28</f>
        <v>37</v>
      </c>
      <c r="G184" s="259">
        <f>$T28</f>
        <v>37</v>
      </c>
      <c r="H184" s="259">
        <f>$T28</f>
        <v>37</v>
      </c>
      <c r="I184" s="259">
        <f>$T28</f>
        <v>37</v>
      </c>
      <c r="J184" s="259">
        <f>$T28</f>
        <v>37</v>
      </c>
      <c r="K184" s="259">
        <f>$T28</f>
        <v>37</v>
      </c>
      <c r="L184" s="259">
        <f>$T28</f>
        <v>37</v>
      </c>
      <c r="M184" s="259">
        <f>$T28</f>
        <v>37</v>
      </c>
      <c r="N184" s="259">
        <f>$T28</f>
        <v>37</v>
      </c>
      <c r="O184" s="259">
        <f>$T28</f>
        <v>37</v>
      </c>
      <c r="P184" s="258">
        <f>$T28</f>
        <v>37</v>
      </c>
      <c r="Q184" s="259">
        <f>$T28</f>
        <v>37</v>
      </c>
      <c r="R184" s="259">
        <f>$T28</f>
        <v>37</v>
      </c>
      <c r="S184" s="259">
        <f>$T28</f>
        <v>37</v>
      </c>
      <c r="T184" s="259">
        <f>$T28</f>
        <v>37</v>
      </c>
      <c r="U184" s="259">
        <f>$T28</f>
        <v>37</v>
      </c>
      <c r="V184" s="259">
        <f>$T28</f>
        <v>37</v>
      </c>
      <c r="W184" s="259">
        <f>$T28</f>
        <v>37</v>
      </c>
      <c r="X184" s="259">
        <f>$T28</f>
        <v>37</v>
      </c>
      <c r="Y184" s="259">
        <f>$T28</f>
        <v>37</v>
      </c>
      <c r="Z184" s="259">
        <f>$T28</f>
        <v>37</v>
      </c>
      <c r="AA184" s="259">
        <f>$T28</f>
        <v>37</v>
      </c>
      <c r="AB184" s="258">
        <f>$T28</f>
        <v>37</v>
      </c>
      <c r="AC184" s="259">
        <f>$T28</f>
        <v>37</v>
      </c>
      <c r="AD184" s="259">
        <f>$T28</f>
        <v>37</v>
      </c>
      <c r="AE184" s="259">
        <f>$T28</f>
        <v>37</v>
      </c>
      <c r="AF184" s="259">
        <f>$T28</f>
        <v>37</v>
      </c>
      <c r="AG184" s="259">
        <f>$T28</f>
        <v>37</v>
      </c>
      <c r="AH184" s="259">
        <f>$T28</f>
        <v>37</v>
      </c>
      <c r="AI184" s="259">
        <f>$T28</f>
        <v>37</v>
      </c>
      <c r="AJ184" s="259">
        <f>$T28</f>
        <v>37</v>
      </c>
      <c r="AK184" s="259">
        <f>$T28</f>
        <v>37</v>
      </c>
      <c r="AL184" s="259">
        <f>$T28</f>
        <v>37</v>
      </c>
      <c r="AM184" s="259">
        <f>$T28</f>
        <v>37</v>
      </c>
    </row>
    <row r="185" spans="1:39" s="256" customFormat="1" outlineLevel="1" x14ac:dyDescent="0.25">
      <c r="B185" s="256" t="str">
        <f>B155</f>
        <v>NyAff4</v>
      </c>
      <c r="C185" s="257" t="s">
        <v>259</v>
      </c>
      <c r="D185" s="258">
        <f>$T29</f>
        <v>37</v>
      </c>
      <c r="E185" s="259">
        <f>$T29</f>
        <v>37</v>
      </c>
      <c r="F185" s="259">
        <f>$T29</f>
        <v>37</v>
      </c>
      <c r="G185" s="259">
        <f>$T29</f>
        <v>37</v>
      </c>
      <c r="H185" s="259">
        <f>$T29</f>
        <v>37</v>
      </c>
      <c r="I185" s="259">
        <f>$T29</f>
        <v>37</v>
      </c>
      <c r="J185" s="259">
        <f>$T29</f>
        <v>37</v>
      </c>
      <c r="K185" s="259">
        <f>$T29</f>
        <v>37</v>
      </c>
      <c r="L185" s="259">
        <f>$T29</f>
        <v>37</v>
      </c>
      <c r="M185" s="259">
        <f>$T29</f>
        <v>37</v>
      </c>
      <c r="N185" s="259">
        <f>$T29</f>
        <v>37</v>
      </c>
      <c r="O185" s="259">
        <f>$T29</f>
        <v>37</v>
      </c>
      <c r="P185" s="258">
        <f>$T29</f>
        <v>37</v>
      </c>
      <c r="Q185" s="259">
        <f>$T29</f>
        <v>37</v>
      </c>
      <c r="R185" s="259">
        <f>$T29</f>
        <v>37</v>
      </c>
      <c r="S185" s="259">
        <f>$T29</f>
        <v>37</v>
      </c>
      <c r="T185" s="259">
        <f>$T29</f>
        <v>37</v>
      </c>
      <c r="U185" s="259">
        <f>$T29</f>
        <v>37</v>
      </c>
      <c r="V185" s="259">
        <f>$T29</f>
        <v>37</v>
      </c>
      <c r="W185" s="259">
        <f>$T29</f>
        <v>37</v>
      </c>
      <c r="X185" s="259">
        <f>$T29</f>
        <v>37</v>
      </c>
      <c r="Y185" s="259">
        <f>$T29</f>
        <v>37</v>
      </c>
      <c r="Z185" s="259">
        <f>$T29</f>
        <v>37</v>
      </c>
      <c r="AA185" s="259">
        <f>$T29</f>
        <v>37</v>
      </c>
      <c r="AB185" s="258">
        <f>$T29</f>
        <v>37</v>
      </c>
      <c r="AC185" s="259">
        <f>$T29</f>
        <v>37</v>
      </c>
      <c r="AD185" s="259">
        <f>$T29</f>
        <v>37</v>
      </c>
      <c r="AE185" s="259">
        <f>$T29</f>
        <v>37</v>
      </c>
      <c r="AF185" s="259">
        <f>$T29</f>
        <v>37</v>
      </c>
      <c r="AG185" s="259">
        <f>$T29</f>
        <v>37</v>
      </c>
      <c r="AH185" s="259">
        <f>$T29</f>
        <v>37</v>
      </c>
      <c r="AI185" s="259">
        <f>$T29</f>
        <v>37</v>
      </c>
      <c r="AJ185" s="259">
        <f>$T29</f>
        <v>37</v>
      </c>
      <c r="AK185" s="259">
        <f>$T29</f>
        <v>37</v>
      </c>
      <c r="AL185" s="259">
        <f>$T29</f>
        <v>37</v>
      </c>
      <c r="AM185" s="259">
        <f>$T29</f>
        <v>37</v>
      </c>
    </row>
    <row r="186" spans="1:39" s="256" customFormat="1" outlineLevel="1" x14ac:dyDescent="0.25">
      <c r="B186" s="256" t="str">
        <f>B156</f>
        <v>NyAff5</v>
      </c>
      <c r="C186" s="257" t="s">
        <v>259</v>
      </c>
      <c r="D186" s="258">
        <f>$T30</f>
        <v>37</v>
      </c>
      <c r="E186" s="259">
        <f>$T30</f>
        <v>37</v>
      </c>
      <c r="F186" s="259">
        <f>$T30</f>
        <v>37</v>
      </c>
      <c r="G186" s="259">
        <f>$T30</f>
        <v>37</v>
      </c>
      <c r="H186" s="259">
        <f>$T30</f>
        <v>37</v>
      </c>
      <c r="I186" s="259">
        <f>$T30</f>
        <v>37</v>
      </c>
      <c r="J186" s="259">
        <f>$T30</f>
        <v>37</v>
      </c>
      <c r="K186" s="259">
        <f>$T30</f>
        <v>37</v>
      </c>
      <c r="L186" s="259">
        <f>$T30</f>
        <v>37</v>
      </c>
      <c r="M186" s="259">
        <f>$T30</f>
        <v>37</v>
      </c>
      <c r="N186" s="259">
        <f>$T30</f>
        <v>37</v>
      </c>
      <c r="O186" s="259">
        <f>$T30</f>
        <v>37</v>
      </c>
      <c r="P186" s="258">
        <f>$T30</f>
        <v>37</v>
      </c>
      <c r="Q186" s="259">
        <f>$T30</f>
        <v>37</v>
      </c>
      <c r="R186" s="259">
        <f>$T30</f>
        <v>37</v>
      </c>
      <c r="S186" s="259">
        <f>$T30</f>
        <v>37</v>
      </c>
      <c r="T186" s="259">
        <f>$T30</f>
        <v>37</v>
      </c>
      <c r="U186" s="259">
        <f>$T30</f>
        <v>37</v>
      </c>
      <c r="V186" s="259">
        <f>$T30</f>
        <v>37</v>
      </c>
      <c r="W186" s="259">
        <f>$T30</f>
        <v>37</v>
      </c>
      <c r="X186" s="259">
        <f>$T30</f>
        <v>37</v>
      </c>
      <c r="Y186" s="259">
        <f>$T30</f>
        <v>37</v>
      </c>
      <c r="Z186" s="259">
        <f>$T30</f>
        <v>37</v>
      </c>
      <c r="AA186" s="259">
        <f>$T30</f>
        <v>37</v>
      </c>
      <c r="AB186" s="258">
        <f>$T30</f>
        <v>37</v>
      </c>
      <c r="AC186" s="259">
        <f>$T30</f>
        <v>37</v>
      </c>
      <c r="AD186" s="259">
        <f>$T30</f>
        <v>37</v>
      </c>
      <c r="AE186" s="259">
        <f>$T30</f>
        <v>37</v>
      </c>
      <c r="AF186" s="259">
        <f>$T30</f>
        <v>37</v>
      </c>
      <c r="AG186" s="259">
        <f>$T30</f>
        <v>37</v>
      </c>
      <c r="AH186" s="259">
        <f>$T30</f>
        <v>37</v>
      </c>
      <c r="AI186" s="259">
        <f>$T30</f>
        <v>37</v>
      </c>
      <c r="AJ186" s="259">
        <f>$T30</f>
        <v>37</v>
      </c>
      <c r="AK186" s="259">
        <f>$T30</f>
        <v>37</v>
      </c>
      <c r="AL186" s="259">
        <f>$T30</f>
        <v>37</v>
      </c>
      <c r="AM186" s="259">
        <f>$T30</f>
        <v>37</v>
      </c>
    </row>
    <row r="187" spans="1:39" outlineLevel="1" x14ac:dyDescent="0.25">
      <c r="A187" s="294"/>
      <c r="B187" t="str" cm="1">
        <f t="array" ref="B187:B189">ØvrigeBrændsler</f>
        <v>Flis</v>
      </c>
      <c r="C187" s="257" t="s">
        <v>259</v>
      </c>
      <c r="D187" s="258">
        <f>$T31</f>
        <v>0</v>
      </c>
      <c r="E187" s="259">
        <f>$T31</f>
        <v>0</v>
      </c>
      <c r="F187" s="259">
        <f>$T31</f>
        <v>0</v>
      </c>
      <c r="G187" s="259">
        <f>$T31</f>
        <v>0</v>
      </c>
      <c r="H187" s="259">
        <f>$T31</f>
        <v>0</v>
      </c>
      <c r="I187" s="259">
        <f>$T31</f>
        <v>0</v>
      </c>
      <c r="J187" s="259">
        <f>$T31</f>
        <v>0</v>
      </c>
      <c r="K187" s="259">
        <f>$T31</f>
        <v>0</v>
      </c>
      <c r="L187" s="259">
        <f>$T31</f>
        <v>0</v>
      </c>
      <c r="M187" s="259">
        <f>$T31</f>
        <v>0</v>
      </c>
      <c r="N187" s="259">
        <f>$T31</f>
        <v>0</v>
      </c>
      <c r="O187" s="259">
        <f>$T31</f>
        <v>0</v>
      </c>
      <c r="P187" s="258">
        <f>$T31</f>
        <v>0</v>
      </c>
      <c r="Q187" s="259">
        <f>$T31</f>
        <v>0</v>
      </c>
      <c r="R187" s="259">
        <f>$T31</f>
        <v>0</v>
      </c>
      <c r="S187" s="259">
        <f>$T31</f>
        <v>0</v>
      </c>
      <c r="T187" s="259">
        <f>$T31</f>
        <v>0</v>
      </c>
      <c r="U187" s="259">
        <f>$T31</f>
        <v>0</v>
      </c>
      <c r="V187" s="259">
        <f>$T31</f>
        <v>0</v>
      </c>
      <c r="W187" s="259">
        <f>$T31</f>
        <v>0</v>
      </c>
      <c r="X187" s="259">
        <f>$T31</f>
        <v>0</v>
      </c>
      <c r="Y187" s="259">
        <f>$T31</f>
        <v>0</v>
      </c>
      <c r="Z187" s="259">
        <f>$T31</f>
        <v>0</v>
      </c>
      <c r="AA187" s="259">
        <f>$T31</f>
        <v>0</v>
      </c>
      <c r="AB187" s="258">
        <f>$T31</f>
        <v>0</v>
      </c>
      <c r="AC187" s="259">
        <f>$T31</f>
        <v>0</v>
      </c>
      <c r="AD187" s="259">
        <f>$T31</f>
        <v>0</v>
      </c>
      <c r="AE187" s="259">
        <f>$T31</f>
        <v>0</v>
      </c>
      <c r="AF187" s="259">
        <f>$T31</f>
        <v>0</v>
      </c>
      <c r="AG187" s="259">
        <f>$T31</f>
        <v>0</v>
      </c>
      <c r="AH187" s="259">
        <f>$T31</f>
        <v>0</v>
      </c>
      <c r="AI187" s="259">
        <f>$T31</f>
        <v>0</v>
      </c>
      <c r="AJ187" s="259">
        <f>$T31</f>
        <v>0</v>
      </c>
      <c r="AK187" s="259">
        <f>$T31</f>
        <v>0</v>
      </c>
      <c r="AL187" s="259">
        <f>$T31</f>
        <v>0</v>
      </c>
      <c r="AM187" s="259">
        <f>$T31</f>
        <v>0</v>
      </c>
    </row>
    <row r="188" spans="1:39" outlineLevel="1" x14ac:dyDescent="0.25">
      <c r="A188" s="295"/>
      <c r="B188" t="str">
        <v>NSvarme</v>
      </c>
      <c r="C188" s="257" t="s">
        <v>259</v>
      </c>
      <c r="D188" s="258">
        <f>$T32</f>
        <v>0</v>
      </c>
      <c r="E188" s="259">
        <f>$T32</f>
        <v>0</v>
      </c>
      <c r="F188" s="259">
        <f>$T32</f>
        <v>0</v>
      </c>
      <c r="G188" s="259">
        <f>$T32</f>
        <v>0</v>
      </c>
      <c r="H188" s="259">
        <f>$T32</f>
        <v>0</v>
      </c>
      <c r="I188" s="259">
        <f>$T32</f>
        <v>0</v>
      </c>
      <c r="J188" s="259">
        <f>$T32</f>
        <v>0</v>
      </c>
      <c r="K188" s="259">
        <f>$T32</f>
        <v>0</v>
      </c>
      <c r="L188" s="259">
        <f>$T32</f>
        <v>0</v>
      </c>
      <c r="M188" s="259">
        <f>$T32</f>
        <v>0</v>
      </c>
      <c r="N188" s="259">
        <f>$T32</f>
        <v>0</v>
      </c>
      <c r="O188" s="259">
        <f>$T32</f>
        <v>0</v>
      </c>
      <c r="P188" s="258">
        <f>$T32</f>
        <v>0</v>
      </c>
      <c r="Q188" s="259">
        <f>$T32</f>
        <v>0</v>
      </c>
      <c r="R188" s="259">
        <f>$T32</f>
        <v>0</v>
      </c>
      <c r="S188" s="259">
        <f>$T32</f>
        <v>0</v>
      </c>
      <c r="T188" s="259">
        <f>$T32</f>
        <v>0</v>
      </c>
      <c r="U188" s="259">
        <f>$T32</f>
        <v>0</v>
      </c>
      <c r="V188" s="259">
        <f>$T32</f>
        <v>0</v>
      </c>
      <c r="W188" s="259">
        <f>$T32</f>
        <v>0</v>
      </c>
      <c r="X188" s="259">
        <f>$T32</f>
        <v>0</v>
      </c>
      <c r="Y188" s="259">
        <f>$T32</f>
        <v>0</v>
      </c>
      <c r="Z188" s="259">
        <f>$T32</f>
        <v>0</v>
      </c>
      <c r="AA188" s="259">
        <f>$T32</f>
        <v>0</v>
      </c>
      <c r="AB188" s="258">
        <f>$T32</f>
        <v>0</v>
      </c>
      <c r="AC188" s="259">
        <f>$T32</f>
        <v>0</v>
      </c>
      <c r="AD188" s="259">
        <f>$T32</f>
        <v>0</v>
      </c>
      <c r="AE188" s="259">
        <f>$T32</f>
        <v>0</v>
      </c>
      <c r="AF188" s="259">
        <f>$T32</f>
        <v>0</v>
      </c>
      <c r="AG188" s="259">
        <f>$T32</f>
        <v>0</v>
      </c>
      <c r="AH188" s="259">
        <f>$T32</f>
        <v>0</v>
      </c>
      <c r="AI188" s="259">
        <f>$T32</f>
        <v>0</v>
      </c>
      <c r="AJ188" s="259">
        <f>$T32</f>
        <v>0</v>
      </c>
      <c r="AK188" s="259">
        <f>$T32</f>
        <v>0</v>
      </c>
      <c r="AL188" s="259">
        <f>$T32</f>
        <v>0</v>
      </c>
      <c r="AM188" s="259">
        <f>$T32</f>
        <v>0</v>
      </c>
    </row>
    <row r="189" spans="1:39" outlineLevel="1" x14ac:dyDescent="0.25">
      <c r="A189" s="295"/>
      <c r="B189" t="str">
        <v>PeakFuel</v>
      </c>
      <c r="C189" s="257" t="s">
        <v>259</v>
      </c>
      <c r="D189" s="258">
        <f>$T33</f>
        <v>72.727272727272734</v>
      </c>
      <c r="E189" s="259">
        <f>$T33</f>
        <v>72.727272727272734</v>
      </c>
      <c r="F189" s="259">
        <f>$T33</f>
        <v>72.727272727272734</v>
      </c>
      <c r="G189" s="259">
        <f>$T33</f>
        <v>72.727272727272734</v>
      </c>
      <c r="H189" s="259">
        <f>$T33</f>
        <v>72.727272727272734</v>
      </c>
      <c r="I189" s="259">
        <f>$T33</f>
        <v>72.727272727272734</v>
      </c>
      <c r="J189" s="259">
        <f>$T33</f>
        <v>72.727272727272734</v>
      </c>
      <c r="K189" s="259">
        <f>$T33</f>
        <v>72.727272727272734</v>
      </c>
      <c r="L189" s="259">
        <f>$T33</f>
        <v>72.727272727272734</v>
      </c>
      <c r="M189" s="259">
        <f>$T33</f>
        <v>72.727272727272734</v>
      </c>
      <c r="N189" s="259">
        <f>$T33</f>
        <v>72.727272727272734</v>
      </c>
      <c r="O189" s="259">
        <f>$T33</f>
        <v>72.727272727272734</v>
      </c>
      <c r="P189" s="258">
        <f>$T33</f>
        <v>72.727272727272734</v>
      </c>
      <c r="Q189" s="259">
        <f>$T33</f>
        <v>72.727272727272734</v>
      </c>
      <c r="R189" s="259">
        <f>$T33</f>
        <v>72.727272727272734</v>
      </c>
      <c r="S189" s="259">
        <f>$T33</f>
        <v>72.727272727272734</v>
      </c>
      <c r="T189" s="259">
        <f>$T33</f>
        <v>72.727272727272734</v>
      </c>
      <c r="U189" s="259">
        <f>$T33</f>
        <v>72.727272727272734</v>
      </c>
      <c r="V189" s="259">
        <f>$T33</f>
        <v>72.727272727272734</v>
      </c>
      <c r="W189" s="259">
        <f>$T33</f>
        <v>72.727272727272734</v>
      </c>
      <c r="X189" s="259">
        <f>$T33</f>
        <v>72.727272727272734</v>
      </c>
      <c r="Y189" s="259">
        <f>$T33</f>
        <v>72.727272727272734</v>
      </c>
      <c r="Z189" s="259">
        <f>$T33</f>
        <v>72.727272727272734</v>
      </c>
      <c r="AA189" s="259">
        <f>$T33</f>
        <v>72.727272727272734</v>
      </c>
      <c r="AB189" s="258">
        <f>$T33</f>
        <v>72.727272727272734</v>
      </c>
      <c r="AC189" s="259">
        <f>$T33</f>
        <v>72.727272727272734</v>
      </c>
      <c r="AD189" s="259">
        <f>$T33</f>
        <v>72.727272727272734</v>
      </c>
      <c r="AE189" s="259">
        <f>$T33</f>
        <v>72.727272727272734</v>
      </c>
      <c r="AF189" s="259">
        <f>$T33</f>
        <v>72.727272727272734</v>
      </c>
      <c r="AG189" s="259">
        <f>$T33</f>
        <v>72.727272727272734</v>
      </c>
      <c r="AH189" s="259">
        <f>$T33</f>
        <v>72.727272727272734</v>
      </c>
      <c r="AI189" s="259">
        <f>$T33</f>
        <v>72.727272727272734</v>
      </c>
      <c r="AJ189" s="259">
        <f>$T33</f>
        <v>72.727272727272734</v>
      </c>
      <c r="AK189" s="259">
        <f>$T33</f>
        <v>72.727272727272734</v>
      </c>
      <c r="AL189" s="259">
        <f>$T33</f>
        <v>72.727272727272734</v>
      </c>
      <c r="AM189" s="259">
        <f>$T33</f>
        <v>72.727272727272734</v>
      </c>
    </row>
    <row r="190" spans="1:39" s="40" customFormat="1" ht="15.75" x14ac:dyDescent="0.25">
      <c r="A190" s="37" t="s">
        <v>398</v>
      </c>
      <c r="B190" s="36"/>
      <c r="C190" s="36"/>
      <c r="D190" s="38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8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8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</row>
    <row r="191" spans="1:39" s="256" customFormat="1" outlineLevel="1" x14ac:dyDescent="0.25">
      <c r="B191" s="256" t="str">
        <f t="shared" ref="B191:B216" si="14">B161</f>
        <v>DepoSort</v>
      </c>
      <c r="C191" s="257" t="s">
        <v>242</v>
      </c>
      <c r="D191" s="343">
        <f t="shared" ref="D191:D219" si="15">$J5</f>
        <v>1</v>
      </c>
      <c r="E191" s="343">
        <f t="shared" ref="E191:AM198" si="16">$J5</f>
        <v>1</v>
      </c>
      <c r="F191" s="343">
        <f t="shared" si="16"/>
        <v>1</v>
      </c>
      <c r="G191" s="343">
        <f t="shared" si="16"/>
        <v>1</v>
      </c>
      <c r="H191" s="343">
        <f t="shared" si="16"/>
        <v>1</v>
      </c>
      <c r="I191" s="343">
        <f t="shared" si="16"/>
        <v>1</v>
      </c>
      <c r="J191" s="343">
        <f t="shared" si="16"/>
        <v>1</v>
      </c>
      <c r="K191" s="343">
        <f t="shared" si="16"/>
        <v>1</v>
      </c>
      <c r="L191" s="343">
        <f t="shared" si="16"/>
        <v>1</v>
      </c>
      <c r="M191" s="343">
        <f t="shared" si="16"/>
        <v>1</v>
      </c>
      <c r="N191" s="343">
        <f t="shared" si="16"/>
        <v>1</v>
      </c>
      <c r="O191" s="343">
        <f t="shared" si="16"/>
        <v>1</v>
      </c>
      <c r="P191" s="343">
        <f t="shared" si="16"/>
        <v>1</v>
      </c>
      <c r="Q191" s="343">
        <f t="shared" si="16"/>
        <v>1</v>
      </c>
      <c r="R191" s="343">
        <f t="shared" si="16"/>
        <v>1</v>
      </c>
      <c r="S191" s="343">
        <f t="shared" si="16"/>
        <v>1</v>
      </c>
      <c r="T191" s="343">
        <f t="shared" si="16"/>
        <v>1</v>
      </c>
      <c r="U191" s="343">
        <f t="shared" si="16"/>
        <v>1</v>
      </c>
      <c r="V191" s="343">
        <f t="shared" si="16"/>
        <v>1</v>
      </c>
      <c r="W191" s="343">
        <f t="shared" si="16"/>
        <v>1</v>
      </c>
      <c r="X191" s="343">
        <f t="shared" si="16"/>
        <v>1</v>
      </c>
      <c r="Y191" s="343">
        <f t="shared" si="16"/>
        <v>1</v>
      </c>
      <c r="Z191" s="343">
        <f t="shared" si="16"/>
        <v>1</v>
      </c>
      <c r="AA191" s="343">
        <f t="shared" si="16"/>
        <v>1</v>
      </c>
      <c r="AB191" s="343">
        <f t="shared" si="16"/>
        <v>1</v>
      </c>
      <c r="AC191" s="343">
        <f t="shared" si="16"/>
        <v>1</v>
      </c>
      <c r="AD191" s="343">
        <f t="shared" si="16"/>
        <v>1</v>
      </c>
      <c r="AE191" s="343">
        <f t="shared" si="16"/>
        <v>1</v>
      </c>
      <c r="AF191" s="343">
        <f t="shared" si="16"/>
        <v>1</v>
      </c>
      <c r="AG191" s="343">
        <f t="shared" si="16"/>
        <v>1</v>
      </c>
      <c r="AH191" s="343">
        <f t="shared" si="16"/>
        <v>1</v>
      </c>
      <c r="AI191" s="343">
        <f t="shared" si="16"/>
        <v>1</v>
      </c>
      <c r="AJ191" s="343">
        <f t="shared" si="16"/>
        <v>1</v>
      </c>
      <c r="AK191" s="343">
        <f t="shared" si="16"/>
        <v>1</v>
      </c>
      <c r="AL191" s="343">
        <f t="shared" si="16"/>
        <v>1</v>
      </c>
      <c r="AM191" s="343">
        <f t="shared" si="16"/>
        <v>1</v>
      </c>
    </row>
    <row r="192" spans="1:39" s="256" customFormat="1" outlineLevel="1" x14ac:dyDescent="0.25">
      <c r="B192" s="256" t="str">
        <f t="shared" si="14"/>
        <v>DepoSmaat</v>
      </c>
      <c r="C192" s="257" t="s">
        <v>242</v>
      </c>
      <c r="D192" s="343">
        <f t="shared" si="15"/>
        <v>1</v>
      </c>
      <c r="E192" s="343">
        <f t="shared" ref="E192:S192" si="17">$J6</f>
        <v>1</v>
      </c>
      <c r="F192" s="343">
        <f t="shared" si="17"/>
        <v>1</v>
      </c>
      <c r="G192" s="343">
        <f t="shared" si="17"/>
        <v>1</v>
      </c>
      <c r="H192" s="343">
        <f t="shared" si="17"/>
        <v>1</v>
      </c>
      <c r="I192" s="343">
        <f t="shared" si="17"/>
        <v>1</v>
      </c>
      <c r="J192" s="343">
        <f t="shared" si="17"/>
        <v>1</v>
      </c>
      <c r="K192" s="343">
        <f t="shared" si="17"/>
        <v>1</v>
      </c>
      <c r="L192" s="343">
        <f t="shared" si="17"/>
        <v>1</v>
      </c>
      <c r="M192" s="343">
        <f t="shared" si="17"/>
        <v>1</v>
      </c>
      <c r="N192" s="343">
        <f t="shared" si="17"/>
        <v>1</v>
      </c>
      <c r="O192" s="343">
        <f t="shared" si="17"/>
        <v>1</v>
      </c>
      <c r="P192" s="343">
        <f t="shared" si="17"/>
        <v>1</v>
      </c>
      <c r="Q192" s="343">
        <f t="shared" si="17"/>
        <v>1</v>
      </c>
      <c r="R192" s="343">
        <f t="shared" si="17"/>
        <v>1</v>
      </c>
      <c r="S192" s="343">
        <f t="shared" si="17"/>
        <v>1</v>
      </c>
      <c r="T192" s="343">
        <f t="shared" si="16"/>
        <v>1</v>
      </c>
      <c r="U192" s="343">
        <f t="shared" si="16"/>
        <v>1</v>
      </c>
      <c r="V192" s="343">
        <f t="shared" si="16"/>
        <v>1</v>
      </c>
      <c r="W192" s="343">
        <f t="shared" si="16"/>
        <v>1</v>
      </c>
      <c r="X192" s="343">
        <f t="shared" si="16"/>
        <v>1</v>
      </c>
      <c r="Y192" s="343">
        <f t="shared" si="16"/>
        <v>1</v>
      </c>
      <c r="Z192" s="343">
        <f t="shared" si="16"/>
        <v>1</v>
      </c>
      <c r="AA192" s="343">
        <f t="shared" si="16"/>
        <v>1</v>
      </c>
      <c r="AB192" s="343">
        <f t="shared" si="16"/>
        <v>1</v>
      </c>
      <c r="AC192" s="343">
        <f t="shared" si="16"/>
        <v>1</v>
      </c>
      <c r="AD192" s="343">
        <f t="shared" si="16"/>
        <v>1</v>
      </c>
      <c r="AE192" s="343">
        <f t="shared" si="16"/>
        <v>1</v>
      </c>
      <c r="AF192" s="343">
        <f t="shared" si="16"/>
        <v>1</v>
      </c>
      <c r="AG192" s="343">
        <f t="shared" si="16"/>
        <v>1</v>
      </c>
      <c r="AH192" s="343">
        <f t="shared" si="16"/>
        <v>1</v>
      </c>
      <c r="AI192" s="343">
        <f t="shared" si="16"/>
        <v>1</v>
      </c>
      <c r="AJ192" s="343">
        <f t="shared" si="16"/>
        <v>1</v>
      </c>
      <c r="AK192" s="343">
        <f t="shared" si="16"/>
        <v>1</v>
      </c>
      <c r="AL192" s="343">
        <f t="shared" si="16"/>
        <v>1</v>
      </c>
      <c r="AM192" s="343">
        <f t="shared" si="16"/>
        <v>1</v>
      </c>
    </row>
    <row r="193" spans="2:39" s="256" customFormat="1" outlineLevel="1" x14ac:dyDescent="0.25">
      <c r="B193" s="256" t="str">
        <f t="shared" si="14"/>
        <v>DepoNedd</v>
      </c>
      <c r="C193" s="257" t="s">
        <v>242</v>
      </c>
      <c r="D193" s="343">
        <f t="shared" si="15"/>
        <v>1</v>
      </c>
      <c r="E193" s="343">
        <f t="shared" si="16"/>
        <v>1</v>
      </c>
      <c r="F193" s="343">
        <f t="shared" si="16"/>
        <v>1</v>
      </c>
      <c r="G193" s="343">
        <f t="shared" si="16"/>
        <v>1</v>
      </c>
      <c r="H193" s="343">
        <f t="shared" si="16"/>
        <v>1</v>
      </c>
      <c r="I193" s="343">
        <f t="shared" si="16"/>
        <v>1</v>
      </c>
      <c r="J193" s="343">
        <f t="shared" si="16"/>
        <v>1</v>
      </c>
      <c r="K193" s="343">
        <f t="shared" si="16"/>
        <v>1</v>
      </c>
      <c r="L193" s="343">
        <f t="shared" si="16"/>
        <v>1</v>
      </c>
      <c r="M193" s="343">
        <f t="shared" si="16"/>
        <v>1</v>
      </c>
      <c r="N193" s="343">
        <f t="shared" si="16"/>
        <v>1</v>
      </c>
      <c r="O193" s="343">
        <f t="shared" si="16"/>
        <v>1</v>
      </c>
      <c r="P193" s="343">
        <f t="shared" si="16"/>
        <v>1</v>
      </c>
      <c r="Q193" s="343">
        <f t="shared" si="16"/>
        <v>1</v>
      </c>
      <c r="R193" s="343">
        <f t="shared" si="16"/>
        <v>1</v>
      </c>
      <c r="S193" s="343">
        <f t="shared" si="16"/>
        <v>1</v>
      </c>
      <c r="T193" s="343">
        <f t="shared" si="16"/>
        <v>1</v>
      </c>
      <c r="U193" s="343">
        <f t="shared" si="16"/>
        <v>1</v>
      </c>
      <c r="V193" s="343">
        <f t="shared" si="16"/>
        <v>1</v>
      </c>
      <c r="W193" s="343">
        <f t="shared" si="16"/>
        <v>1</v>
      </c>
      <c r="X193" s="343">
        <f t="shared" si="16"/>
        <v>1</v>
      </c>
      <c r="Y193" s="343">
        <f t="shared" si="16"/>
        <v>1</v>
      </c>
      <c r="Z193" s="343">
        <f t="shared" si="16"/>
        <v>1</v>
      </c>
      <c r="AA193" s="343">
        <f t="shared" si="16"/>
        <v>1</v>
      </c>
      <c r="AB193" s="343">
        <f t="shared" si="16"/>
        <v>1</v>
      </c>
      <c r="AC193" s="343">
        <f t="shared" si="16"/>
        <v>1</v>
      </c>
      <c r="AD193" s="343">
        <f t="shared" si="16"/>
        <v>1</v>
      </c>
      <c r="AE193" s="343">
        <f t="shared" si="16"/>
        <v>1</v>
      </c>
      <c r="AF193" s="343">
        <f t="shared" si="16"/>
        <v>1</v>
      </c>
      <c r="AG193" s="343">
        <f t="shared" si="16"/>
        <v>1</v>
      </c>
      <c r="AH193" s="343">
        <f t="shared" si="16"/>
        <v>1</v>
      </c>
      <c r="AI193" s="343">
        <f t="shared" si="16"/>
        <v>1</v>
      </c>
      <c r="AJ193" s="343">
        <f t="shared" si="16"/>
        <v>1</v>
      </c>
      <c r="AK193" s="343">
        <f t="shared" si="16"/>
        <v>1</v>
      </c>
      <c r="AL193" s="343">
        <f t="shared" si="16"/>
        <v>1</v>
      </c>
      <c r="AM193" s="343">
        <f t="shared" si="16"/>
        <v>1</v>
      </c>
    </row>
    <row r="194" spans="2:39" s="256" customFormat="1" outlineLevel="1" x14ac:dyDescent="0.25">
      <c r="B194" s="256" t="str">
        <f t="shared" si="14"/>
        <v>Dagren</v>
      </c>
      <c r="C194" s="257" t="s">
        <v>242</v>
      </c>
      <c r="D194" s="343">
        <f t="shared" si="15"/>
        <v>1</v>
      </c>
      <c r="E194" s="343">
        <f t="shared" si="16"/>
        <v>1</v>
      </c>
      <c r="F194" s="343">
        <f t="shared" si="16"/>
        <v>1</v>
      </c>
      <c r="G194" s="343">
        <f t="shared" si="16"/>
        <v>1</v>
      </c>
      <c r="H194" s="343">
        <f t="shared" si="16"/>
        <v>1</v>
      </c>
      <c r="I194" s="343">
        <f t="shared" si="16"/>
        <v>1</v>
      </c>
      <c r="J194" s="343">
        <f t="shared" si="16"/>
        <v>1</v>
      </c>
      <c r="K194" s="343">
        <f t="shared" si="16"/>
        <v>1</v>
      </c>
      <c r="L194" s="343">
        <f t="shared" si="16"/>
        <v>1</v>
      </c>
      <c r="M194" s="343">
        <f t="shared" si="16"/>
        <v>1</v>
      </c>
      <c r="N194" s="343">
        <f t="shared" si="16"/>
        <v>1</v>
      </c>
      <c r="O194" s="343">
        <f t="shared" si="16"/>
        <v>1</v>
      </c>
      <c r="P194" s="343">
        <f t="shared" si="16"/>
        <v>1</v>
      </c>
      <c r="Q194" s="343">
        <f t="shared" si="16"/>
        <v>1</v>
      </c>
      <c r="R194" s="343">
        <f t="shared" si="16"/>
        <v>1</v>
      </c>
      <c r="S194" s="343">
        <f t="shared" si="16"/>
        <v>1</v>
      </c>
      <c r="T194" s="343">
        <f t="shared" si="16"/>
        <v>1</v>
      </c>
      <c r="U194" s="343">
        <f t="shared" si="16"/>
        <v>1</v>
      </c>
      <c r="V194" s="343">
        <f t="shared" si="16"/>
        <v>1</v>
      </c>
      <c r="W194" s="343">
        <f t="shared" si="16"/>
        <v>1</v>
      </c>
      <c r="X194" s="343">
        <f t="shared" si="16"/>
        <v>1</v>
      </c>
      <c r="Y194" s="343">
        <f t="shared" si="16"/>
        <v>1</v>
      </c>
      <c r="Z194" s="343">
        <f t="shared" si="16"/>
        <v>1</v>
      </c>
      <c r="AA194" s="343">
        <f t="shared" si="16"/>
        <v>1</v>
      </c>
      <c r="AB194" s="343">
        <f t="shared" si="16"/>
        <v>1</v>
      </c>
      <c r="AC194" s="343">
        <f t="shared" si="16"/>
        <v>1</v>
      </c>
      <c r="AD194" s="343">
        <f t="shared" si="16"/>
        <v>1</v>
      </c>
      <c r="AE194" s="343">
        <f t="shared" si="16"/>
        <v>1</v>
      </c>
      <c r="AF194" s="343">
        <f t="shared" si="16"/>
        <v>1</v>
      </c>
      <c r="AG194" s="343">
        <f t="shared" si="16"/>
        <v>1</v>
      </c>
      <c r="AH194" s="343">
        <f t="shared" si="16"/>
        <v>1</v>
      </c>
      <c r="AI194" s="343">
        <f t="shared" si="16"/>
        <v>1</v>
      </c>
      <c r="AJ194" s="343">
        <f t="shared" si="16"/>
        <v>1</v>
      </c>
      <c r="AK194" s="343">
        <f t="shared" si="16"/>
        <v>1</v>
      </c>
      <c r="AL194" s="343">
        <f t="shared" si="16"/>
        <v>1</v>
      </c>
      <c r="AM194" s="343">
        <f t="shared" si="16"/>
        <v>1</v>
      </c>
    </row>
    <row r="195" spans="2:39" s="256" customFormat="1" outlineLevel="1" x14ac:dyDescent="0.25">
      <c r="B195" s="256" t="str">
        <f t="shared" si="14"/>
        <v>AndetBrand</v>
      </c>
      <c r="C195" s="257" t="s">
        <v>242</v>
      </c>
      <c r="D195" s="343">
        <f t="shared" si="15"/>
        <v>1</v>
      </c>
      <c r="E195" s="343">
        <f t="shared" si="16"/>
        <v>1</v>
      </c>
      <c r="F195" s="343">
        <f t="shared" si="16"/>
        <v>1</v>
      </c>
      <c r="G195" s="343">
        <f t="shared" si="16"/>
        <v>1</v>
      </c>
      <c r="H195" s="343">
        <f t="shared" si="16"/>
        <v>1</v>
      </c>
      <c r="I195" s="343">
        <f t="shared" si="16"/>
        <v>1</v>
      </c>
      <c r="J195" s="343">
        <f t="shared" si="16"/>
        <v>1</v>
      </c>
      <c r="K195" s="343">
        <f t="shared" si="16"/>
        <v>1</v>
      </c>
      <c r="L195" s="343">
        <f t="shared" si="16"/>
        <v>1</v>
      </c>
      <c r="M195" s="343">
        <f t="shared" si="16"/>
        <v>1</v>
      </c>
      <c r="N195" s="343">
        <f t="shared" si="16"/>
        <v>1</v>
      </c>
      <c r="O195" s="343">
        <f t="shared" si="16"/>
        <v>1</v>
      </c>
      <c r="P195" s="343">
        <f t="shared" si="16"/>
        <v>1</v>
      </c>
      <c r="Q195" s="343">
        <f t="shared" si="16"/>
        <v>1</v>
      </c>
      <c r="R195" s="343">
        <f t="shared" si="16"/>
        <v>1</v>
      </c>
      <c r="S195" s="343">
        <f t="shared" si="16"/>
        <v>1</v>
      </c>
      <c r="T195" s="343">
        <f t="shared" si="16"/>
        <v>1</v>
      </c>
      <c r="U195" s="343">
        <f t="shared" si="16"/>
        <v>1</v>
      </c>
      <c r="V195" s="343">
        <f t="shared" si="16"/>
        <v>1</v>
      </c>
      <c r="W195" s="343">
        <f t="shared" si="16"/>
        <v>1</v>
      </c>
      <c r="X195" s="343">
        <f t="shared" si="16"/>
        <v>1</v>
      </c>
      <c r="Y195" s="343">
        <f t="shared" si="16"/>
        <v>1</v>
      </c>
      <c r="Z195" s="343">
        <f t="shared" si="16"/>
        <v>1</v>
      </c>
      <c r="AA195" s="343">
        <f t="shared" si="16"/>
        <v>1</v>
      </c>
      <c r="AB195" s="343">
        <f t="shared" si="16"/>
        <v>1</v>
      </c>
      <c r="AC195" s="343">
        <f t="shared" si="16"/>
        <v>1</v>
      </c>
      <c r="AD195" s="343">
        <f t="shared" si="16"/>
        <v>1</v>
      </c>
      <c r="AE195" s="343">
        <f t="shared" si="16"/>
        <v>1</v>
      </c>
      <c r="AF195" s="343">
        <f t="shared" si="16"/>
        <v>1</v>
      </c>
      <c r="AG195" s="343">
        <f t="shared" si="16"/>
        <v>1</v>
      </c>
      <c r="AH195" s="343">
        <f t="shared" si="16"/>
        <v>1</v>
      </c>
      <c r="AI195" s="343">
        <f t="shared" si="16"/>
        <v>1</v>
      </c>
      <c r="AJ195" s="343">
        <f t="shared" si="16"/>
        <v>1</v>
      </c>
      <c r="AK195" s="343">
        <f t="shared" si="16"/>
        <v>1</v>
      </c>
      <c r="AL195" s="343">
        <f t="shared" si="16"/>
        <v>1</v>
      </c>
      <c r="AM195" s="343">
        <f t="shared" si="16"/>
        <v>1</v>
      </c>
    </row>
    <row r="196" spans="2:39" s="256" customFormat="1" outlineLevel="1" x14ac:dyDescent="0.25">
      <c r="B196" s="256" t="str">
        <f t="shared" si="14"/>
        <v>Trae</v>
      </c>
      <c r="C196" s="257" t="s">
        <v>242</v>
      </c>
      <c r="D196" s="343">
        <f t="shared" si="15"/>
        <v>1</v>
      </c>
      <c r="E196" s="343">
        <f t="shared" si="16"/>
        <v>1</v>
      </c>
      <c r="F196" s="343">
        <f t="shared" si="16"/>
        <v>1</v>
      </c>
      <c r="G196" s="343">
        <f t="shared" si="16"/>
        <v>1</v>
      </c>
      <c r="H196" s="343">
        <f t="shared" si="16"/>
        <v>1</v>
      </c>
      <c r="I196" s="343">
        <f t="shared" si="16"/>
        <v>1</v>
      </c>
      <c r="J196" s="343">
        <f t="shared" si="16"/>
        <v>1</v>
      </c>
      <c r="K196" s="343">
        <f t="shared" si="16"/>
        <v>1</v>
      </c>
      <c r="L196" s="343">
        <f t="shared" si="16"/>
        <v>1</v>
      </c>
      <c r="M196" s="343">
        <f t="shared" si="16"/>
        <v>1</v>
      </c>
      <c r="N196" s="343">
        <f t="shared" si="16"/>
        <v>1</v>
      </c>
      <c r="O196" s="343">
        <f t="shared" si="16"/>
        <v>1</v>
      </c>
      <c r="P196" s="343">
        <f t="shared" si="16"/>
        <v>1</v>
      </c>
      <c r="Q196" s="343">
        <f t="shared" si="16"/>
        <v>1</v>
      </c>
      <c r="R196" s="343">
        <f t="shared" si="16"/>
        <v>1</v>
      </c>
      <c r="S196" s="343">
        <f t="shared" si="16"/>
        <v>1</v>
      </c>
      <c r="T196" s="343">
        <f t="shared" si="16"/>
        <v>1</v>
      </c>
      <c r="U196" s="343">
        <f t="shared" si="16"/>
        <v>1</v>
      </c>
      <c r="V196" s="343">
        <f t="shared" si="16"/>
        <v>1</v>
      </c>
      <c r="W196" s="343">
        <f t="shared" si="16"/>
        <v>1</v>
      </c>
      <c r="X196" s="343">
        <f t="shared" si="16"/>
        <v>1</v>
      </c>
      <c r="Y196" s="343">
        <f t="shared" si="16"/>
        <v>1</v>
      </c>
      <c r="Z196" s="343">
        <f t="shared" si="16"/>
        <v>1</v>
      </c>
      <c r="AA196" s="343">
        <f t="shared" si="16"/>
        <v>1</v>
      </c>
      <c r="AB196" s="343">
        <f t="shared" si="16"/>
        <v>1</v>
      </c>
      <c r="AC196" s="343">
        <f t="shared" si="16"/>
        <v>1</v>
      </c>
      <c r="AD196" s="343">
        <f t="shared" si="16"/>
        <v>1</v>
      </c>
      <c r="AE196" s="343">
        <f t="shared" si="16"/>
        <v>1</v>
      </c>
      <c r="AF196" s="343">
        <f t="shared" si="16"/>
        <v>1</v>
      </c>
      <c r="AG196" s="343">
        <f t="shared" si="16"/>
        <v>1</v>
      </c>
      <c r="AH196" s="343">
        <f t="shared" si="16"/>
        <v>1</v>
      </c>
      <c r="AI196" s="343">
        <f t="shared" si="16"/>
        <v>1</v>
      </c>
      <c r="AJ196" s="343">
        <f t="shared" si="16"/>
        <v>1</v>
      </c>
      <c r="AK196" s="343">
        <f t="shared" si="16"/>
        <v>1</v>
      </c>
      <c r="AL196" s="343">
        <f t="shared" si="16"/>
        <v>1</v>
      </c>
      <c r="AM196" s="343">
        <f t="shared" si="16"/>
        <v>1</v>
      </c>
    </row>
    <row r="197" spans="2:39" s="256" customFormat="1" outlineLevel="1" x14ac:dyDescent="0.25">
      <c r="B197" s="256" t="str">
        <f t="shared" si="14"/>
        <v>DagrenRast</v>
      </c>
      <c r="C197" s="257" t="s">
        <v>242</v>
      </c>
      <c r="D197" s="343">
        <f t="shared" si="15"/>
        <v>1</v>
      </c>
      <c r="E197" s="343">
        <f t="shared" si="16"/>
        <v>1</v>
      </c>
      <c r="F197" s="343">
        <f t="shared" si="16"/>
        <v>1</v>
      </c>
      <c r="G197" s="343">
        <f t="shared" si="16"/>
        <v>1</v>
      </c>
      <c r="H197" s="343">
        <f t="shared" si="16"/>
        <v>1</v>
      </c>
      <c r="I197" s="343">
        <f t="shared" si="16"/>
        <v>1</v>
      </c>
      <c r="J197" s="343">
        <f t="shared" si="16"/>
        <v>1</v>
      </c>
      <c r="K197" s="343">
        <f t="shared" si="16"/>
        <v>1</v>
      </c>
      <c r="L197" s="343">
        <f t="shared" si="16"/>
        <v>1</v>
      </c>
      <c r="M197" s="343">
        <f t="shared" si="16"/>
        <v>1</v>
      </c>
      <c r="N197" s="343">
        <f t="shared" si="16"/>
        <v>1</v>
      </c>
      <c r="O197" s="343">
        <f t="shared" si="16"/>
        <v>1</v>
      </c>
      <c r="P197" s="343">
        <f t="shared" si="16"/>
        <v>1</v>
      </c>
      <c r="Q197" s="343">
        <f t="shared" si="16"/>
        <v>1</v>
      </c>
      <c r="R197" s="343">
        <f t="shared" si="16"/>
        <v>1</v>
      </c>
      <c r="S197" s="343">
        <f t="shared" si="16"/>
        <v>1</v>
      </c>
      <c r="T197" s="343">
        <f t="shared" si="16"/>
        <v>1</v>
      </c>
      <c r="U197" s="343">
        <f t="shared" si="16"/>
        <v>1</v>
      </c>
      <c r="V197" s="343">
        <f t="shared" si="16"/>
        <v>1</v>
      </c>
      <c r="W197" s="343">
        <f t="shared" si="16"/>
        <v>1</v>
      </c>
      <c r="X197" s="343">
        <f t="shared" si="16"/>
        <v>1</v>
      </c>
      <c r="Y197" s="343">
        <f t="shared" si="16"/>
        <v>1</v>
      </c>
      <c r="Z197" s="343">
        <f t="shared" si="16"/>
        <v>1</v>
      </c>
      <c r="AA197" s="343">
        <f t="shared" si="16"/>
        <v>1</v>
      </c>
      <c r="AB197" s="343">
        <f t="shared" si="16"/>
        <v>1</v>
      </c>
      <c r="AC197" s="343">
        <f t="shared" si="16"/>
        <v>1</v>
      </c>
      <c r="AD197" s="343">
        <f t="shared" si="16"/>
        <v>1</v>
      </c>
      <c r="AE197" s="343">
        <f t="shared" si="16"/>
        <v>1</v>
      </c>
      <c r="AF197" s="343">
        <f t="shared" si="16"/>
        <v>1</v>
      </c>
      <c r="AG197" s="343">
        <f t="shared" si="16"/>
        <v>1</v>
      </c>
      <c r="AH197" s="343">
        <f t="shared" si="16"/>
        <v>1</v>
      </c>
      <c r="AI197" s="343">
        <f t="shared" si="16"/>
        <v>1</v>
      </c>
      <c r="AJ197" s="343">
        <f t="shared" si="16"/>
        <v>1</v>
      </c>
      <c r="AK197" s="343">
        <f t="shared" si="16"/>
        <v>1</v>
      </c>
      <c r="AL197" s="343">
        <f t="shared" si="16"/>
        <v>1</v>
      </c>
      <c r="AM197" s="343">
        <f t="shared" si="16"/>
        <v>1</v>
      </c>
    </row>
    <row r="198" spans="2:39" s="256" customFormat="1" outlineLevel="1" x14ac:dyDescent="0.25">
      <c r="B198" s="256" t="str">
        <f t="shared" si="14"/>
        <v>DagrenInst</v>
      </c>
      <c r="C198" s="257" t="s">
        <v>242</v>
      </c>
      <c r="D198" s="343">
        <f t="shared" si="15"/>
        <v>1</v>
      </c>
      <c r="E198" s="343">
        <f t="shared" si="16"/>
        <v>1</v>
      </c>
      <c r="F198" s="343">
        <f t="shared" si="16"/>
        <v>1</v>
      </c>
      <c r="G198" s="343">
        <f t="shared" si="16"/>
        <v>1</v>
      </c>
      <c r="H198" s="343">
        <f t="shared" si="16"/>
        <v>1</v>
      </c>
      <c r="I198" s="343">
        <f t="shared" si="16"/>
        <v>1</v>
      </c>
      <c r="J198" s="343">
        <f t="shared" si="16"/>
        <v>1</v>
      </c>
      <c r="K198" s="343">
        <f t="shared" si="16"/>
        <v>1</v>
      </c>
      <c r="L198" s="343">
        <f t="shared" si="16"/>
        <v>1</v>
      </c>
      <c r="M198" s="343">
        <f t="shared" si="16"/>
        <v>1</v>
      </c>
      <c r="N198" s="343">
        <f t="shared" si="16"/>
        <v>1</v>
      </c>
      <c r="O198" s="343">
        <f t="shared" si="16"/>
        <v>1</v>
      </c>
      <c r="P198" s="343">
        <f t="shared" si="16"/>
        <v>1</v>
      </c>
      <c r="Q198" s="343">
        <f t="shared" si="16"/>
        <v>1</v>
      </c>
      <c r="R198" s="343">
        <f t="shared" si="16"/>
        <v>1</v>
      </c>
      <c r="S198" s="343">
        <f t="shared" si="16"/>
        <v>1</v>
      </c>
      <c r="T198" s="343">
        <f t="shared" si="16"/>
        <v>1</v>
      </c>
      <c r="U198" s="343">
        <f t="shared" si="16"/>
        <v>1</v>
      </c>
      <c r="V198" s="343">
        <f t="shared" si="16"/>
        <v>1</v>
      </c>
      <c r="W198" s="343">
        <f t="shared" si="16"/>
        <v>1</v>
      </c>
      <c r="X198" s="343">
        <f t="shared" si="16"/>
        <v>1</v>
      </c>
      <c r="Y198" s="343">
        <f t="shared" si="16"/>
        <v>1</v>
      </c>
      <c r="Z198" s="343">
        <f t="shared" si="16"/>
        <v>1</v>
      </c>
      <c r="AA198" s="343">
        <f t="shared" si="16"/>
        <v>1</v>
      </c>
      <c r="AB198" s="343">
        <f t="shared" si="16"/>
        <v>1</v>
      </c>
      <c r="AC198" s="343">
        <f t="shared" si="16"/>
        <v>1</v>
      </c>
      <c r="AD198" s="343">
        <f t="shared" ref="E198:AM205" si="18">$J12</f>
        <v>1</v>
      </c>
      <c r="AE198" s="343">
        <f t="shared" si="18"/>
        <v>1</v>
      </c>
      <c r="AF198" s="343">
        <f t="shared" si="18"/>
        <v>1</v>
      </c>
      <c r="AG198" s="343">
        <f t="shared" si="18"/>
        <v>1</v>
      </c>
      <c r="AH198" s="343">
        <f t="shared" si="18"/>
        <v>1</v>
      </c>
      <c r="AI198" s="343">
        <f t="shared" si="18"/>
        <v>1</v>
      </c>
      <c r="AJ198" s="343">
        <f t="shared" si="18"/>
        <v>1</v>
      </c>
      <c r="AK198" s="343">
        <f t="shared" si="18"/>
        <v>1</v>
      </c>
      <c r="AL198" s="343">
        <f t="shared" si="18"/>
        <v>1</v>
      </c>
      <c r="AM198" s="343">
        <f t="shared" si="18"/>
        <v>1</v>
      </c>
    </row>
    <row r="199" spans="2:39" s="256" customFormat="1" outlineLevel="1" x14ac:dyDescent="0.25">
      <c r="B199" s="256" t="str">
        <f t="shared" si="14"/>
        <v>DagrenHandel</v>
      </c>
      <c r="C199" s="257" t="s">
        <v>242</v>
      </c>
      <c r="D199" s="343">
        <f t="shared" si="15"/>
        <v>1</v>
      </c>
      <c r="E199" s="343">
        <f t="shared" si="18"/>
        <v>1</v>
      </c>
      <c r="F199" s="343">
        <f t="shared" si="18"/>
        <v>1</v>
      </c>
      <c r="G199" s="343">
        <f t="shared" si="18"/>
        <v>1</v>
      </c>
      <c r="H199" s="343">
        <f t="shared" si="18"/>
        <v>1</v>
      </c>
      <c r="I199" s="343">
        <f t="shared" si="18"/>
        <v>1</v>
      </c>
      <c r="J199" s="343">
        <f t="shared" si="18"/>
        <v>1</v>
      </c>
      <c r="K199" s="343">
        <f t="shared" si="18"/>
        <v>1</v>
      </c>
      <c r="L199" s="343">
        <f t="shared" si="18"/>
        <v>1</v>
      </c>
      <c r="M199" s="343">
        <f t="shared" si="18"/>
        <v>1</v>
      </c>
      <c r="N199" s="343">
        <f t="shared" si="18"/>
        <v>1</v>
      </c>
      <c r="O199" s="343">
        <f t="shared" si="18"/>
        <v>1</v>
      </c>
      <c r="P199" s="343">
        <f t="shared" si="18"/>
        <v>1</v>
      </c>
      <c r="Q199" s="343">
        <f t="shared" si="18"/>
        <v>1</v>
      </c>
      <c r="R199" s="343">
        <f t="shared" si="18"/>
        <v>1</v>
      </c>
      <c r="S199" s="343">
        <f t="shared" si="18"/>
        <v>1</v>
      </c>
      <c r="T199" s="343">
        <f t="shared" si="18"/>
        <v>1</v>
      </c>
      <c r="U199" s="343">
        <f t="shared" si="18"/>
        <v>1</v>
      </c>
      <c r="V199" s="343">
        <f t="shared" si="18"/>
        <v>1</v>
      </c>
      <c r="W199" s="343">
        <f t="shared" si="18"/>
        <v>1</v>
      </c>
      <c r="X199" s="343">
        <f t="shared" si="18"/>
        <v>1</v>
      </c>
      <c r="Y199" s="343">
        <f t="shared" si="18"/>
        <v>1</v>
      </c>
      <c r="Z199" s="343">
        <f t="shared" si="18"/>
        <v>1</v>
      </c>
      <c r="AA199" s="343">
        <f t="shared" si="18"/>
        <v>1</v>
      </c>
      <c r="AB199" s="343">
        <f t="shared" si="18"/>
        <v>1</v>
      </c>
      <c r="AC199" s="343">
        <f t="shared" si="18"/>
        <v>1</v>
      </c>
      <c r="AD199" s="343">
        <f t="shared" si="18"/>
        <v>1</v>
      </c>
      <c r="AE199" s="343">
        <f t="shared" si="18"/>
        <v>1</v>
      </c>
      <c r="AF199" s="343">
        <f t="shared" si="18"/>
        <v>1</v>
      </c>
      <c r="AG199" s="343">
        <f t="shared" si="18"/>
        <v>1</v>
      </c>
      <c r="AH199" s="343">
        <f t="shared" si="18"/>
        <v>1</v>
      </c>
      <c r="AI199" s="343">
        <f t="shared" si="18"/>
        <v>1</v>
      </c>
      <c r="AJ199" s="343">
        <f t="shared" si="18"/>
        <v>1</v>
      </c>
      <c r="AK199" s="343">
        <f t="shared" si="18"/>
        <v>1</v>
      </c>
      <c r="AL199" s="343">
        <f t="shared" si="18"/>
        <v>1</v>
      </c>
      <c r="AM199" s="343">
        <f t="shared" si="18"/>
        <v>1</v>
      </c>
    </row>
    <row r="200" spans="2:39" s="256" customFormat="1" outlineLevel="1" x14ac:dyDescent="0.25">
      <c r="B200" s="256" t="str">
        <f t="shared" si="14"/>
        <v>DagrenRestau</v>
      </c>
      <c r="C200" s="257" t="s">
        <v>242</v>
      </c>
      <c r="D200" s="343">
        <f t="shared" si="15"/>
        <v>1</v>
      </c>
      <c r="E200" s="343">
        <f t="shared" si="18"/>
        <v>1</v>
      </c>
      <c r="F200" s="343">
        <f t="shared" si="18"/>
        <v>1</v>
      </c>
      <c r="G200" s="343">
        <f t="shared" si="18"/>
        <v>1</v>
      </c>
      <c r="H200" s="343">
        <f t="shared" si="18"/>
        <v>1</v>
      </c>
      <c r="I200" s="343">
        <f t="shared" si="18"/>
        <v>1</v>
      </c>
      <c r="J200" s="343">
        <f t="shared" si="18"/>
        <v>1</v>
      </c>
      <c r="K200" s="343">
        <f t="shared" si="18"/>
        <v>1</v>
      </c>
      <c r="L200" s="343">
        <f t="shared" si="18"/>
        <v>1</v>
      </c>
      <c r="M200" s="343">
        <f t="shared" si="18"/>
        <v>1</v>
      </c>
      <c r="N200" s="343">
        <f t="shared" si="18"/>
        <v>1</v>
      </c>
      <c r="O200" s="343">
        <f t="shared" si="18"/>
        <v>1</v>
      </c>
      <c r="P200" s="343">
        <f t="shared" si="18"/>
        <v>1</v>
      </c>
      <c r="Q200" s="343">
        <f t="shared" si="18"/>
        <v>1</v>
      </c>
      <c r="R200" s="343">
        <f t="shared" si="18"/>
        <v>1</v>
      </c>
      <c r="S200" s="343">
        <f t="shared" si="18"/>
        <v>1</v>
      </c>
      <c r="T200" s="343">
        <f t="shared" si="18"/>
        <v>1</v>
      </c>
      <c r="U200" s="343">
        <f t="shared" si="18"/>
        <v>1</v>
      </c>
      <c r="V200" s="343">
        <f t="shared" si="18"/>
        <v>1</v>
      </c>
      <c r="W200" s="343">
        <f t="shared" si="18"/>
        <v>1</v>
      </c>
      <c r="X200" s="343">
        <f t="shared" si="18"/>
        <v>1</v>
      </c>
      <c r="Y200" s="343">
        <f t="shared" si="18"/>
        <v>1</v>
      </c>
      <c r="Z200" s="343">
        <f t="shared" si="18"/>
        <v>1</v>
      </c>
      <c r="AA200" s="343">
        <f t="shared" si="18"/>
        <v>1</v>
      </c>
      <c r="AB200" s="343">
        <f t="shared" si="18"/>
        <v>1</v>
      </c>
      <c r="AC200" s="343">
        <f t="shared" si="18"/>
        <v>1</v>
      </c>
      <c r="AD200" s="343">
        <f t="shared" si="18"/>
        <v>1</v>
      </c>
      <c r="AE200" s="343">
        <f t="shared" si="18"/>
        <v>1</v>
      </c>
      <c r="AF200" s="343">
        <f t="shared" si="18"/>
        <v>1</v>
      </c>
      <c r="AG200" s="343">
        <f t="shared" si="18"/>
        <v>1</v>
      </c>
      <c r="AH200" s="343">
        <f t="shared" si="18"/>
        <v>1</v>
      </c>
      <c r="AI200" s="343">
        <f t="shared" si="18"/>
        <v>1</v>
      </c>
      <c r="AJ200" s="343">
        <f t="shared" si="18"/>
        <v>1</v>
      </c>
      <c r="AK200" s="343">
        <f t="shared" si="18"/>
        <v>1</v>
      </c>
      <c r="AL200" s="343">
        <f t="shared" si="18"/>
        <v>1</v>
      </c>
      <c r="AM200" s="343">
        <f t="shared" si="18"/>
        <v>1</v>
      </c>
    </row>
    <row r="201" spans="2:39" s="256" customFormat="1" outlineLevel="1" x14ac:dyDescent="0.25">
      <c r="B201" s="256" t="str">
        <f t="shared" si="14"/>
        <v>Erhverv</v>
      </c>
      <c r="C201" s="257" t="s">
        <v>242</v>
      </c>
      <c r="D201" s="343">
        <f t="shared" si="15"/>
        <v>1</v>
      </c>
      <c r="E201" s="343">
        <f t="shared" si="18"/>
        <v>1</v>
      </c>
      <c r="F201" s="343">
        <f t="shared" si="18"/>
        <v>1</v>
      </c>
      <c r="G201" s="343">
        <f t="shared" si="18"/>
        <v>1</v>
      </c>
      <c r="H201" s="343">
        <f t="shared" si="18"/>
        <v>1</v>
      </c>
      <c r="I201" s="343">
        <f t="shared" si="18"/>
        <v>1</v>
      </c>
      <c r="J201" s="343">
        <f t="shared" si="18"/>
        <v>1</v>
      </c>
      <c r="K201" s="343">
        <f t="shared" si="18"/>
        <v>1</v>
      </c>
      <c r="L201" s="343">
        <f t="shared" si="18"/>
        <v>1</v>
      </c>
      <c r="M201" s="343">
        <f t="shared" si="18"/>
        <v>1</v>
      </c>
      <c r="N201" s="343">
        <f t="shared" si="18"/>
        <v>1</v>
      </c>
      <c r="O201" s="343">
        <f t="shared" si="18"/>
        <v>1</v>
      </c>
      <c r="P201" s="343">
        <f t="shared" si="18"/>
        <v>1</v>
      </c>
      <c r="Q201" s="343">
        <f t="shared" si="18"/>
        <v>1</v>
      </c>
      <c r="R201" s="343">
        <f t="shared" si="18"/>
        <v>1</v>
      </c>
      <c r="S201" s="343">
        <f t="shared" si="18"/>
        <v>1</v>
      </c>
      <c r="T201" s="343">
        <f t="shared" si="18"/>
        <v>1</v>
      </c>
      <c r="U201" s="343">
        <f t="shared" si="18"/>
        <v>1</v>
      </c>
      <c r="V201" s="343">
        <f t="shared" si="18"/>
        <v>1</v>
      </c>
      <c r="W201" s="343">
        <f t="shared" si="18"/>
        <v>1</v>
      </c>
      <c r="X201" s="343">
        <f t="shared" si="18"/>
        <v>1</v>
      </c>
      <c r="Y201" s="343">
        <f t="shared" si="18"/>
        <v>1</v>
      </c>
      <c r="Z201" s="343">
        <f t="shared" si="18"/>
        <v>1</v>
      </c>
      <c r="AA201" s="343">
        <f t="shared" si="18"/>
        <v>1</v>
      </c>
      <c r="AB201" s="343">
        <f t="shared" si="18"/>
        <v>1</v>
      </c>
      <c r="AC201" s="343">
        <f t="shared" si="18"/>
        <v>1</v>
      </c>
      <c r="AD201" s="343">
        <f t="shared" si="18"/>
        <v>1</v>
      </c>
      <c r="AE201" s="343">
        <f t="shared" si="18"/>
        <v>1</v>
      </c>
      <c r="AF201" s="343">
        <f t="shared" si="18"/>
        <v>1</v>
      </c>
      <c r="AG201" s="343">
        <f t="shared" si="18"/>
        <v>1</v>
      </c>
      <c r="AH201" s="343">
        <f t="shared" si="18"/>
        <v>1</v>
      </c>
      <c r="AI201" s="343">
        <f t="shared" si="18"/>
        <v>1</v>
      </c>
      <c r="AJ201" s="343">
        <f t="shared" si="18"/>
        <v>1</v>
      </c>
      <c r="AK201" s="343">
        <f t="shared" si="18"/>
        <v>1</v>
      </c>
      <c r="AL201" s="343">
        <f t="shared" si="18"/>
        <v>1</v>
      </c>
      <c r="AM201" s="343">
        <f t="shared" si="18"/>
        <v>1</v>
      </c>
    </row>
    <row r="202" spans="2:39" s="256" customFormat="1" outlineLevel="1" x14ac:dyDescent="0.25">
      <c r="B202" s="256" t="str">
        <f t="shared" si="14"/>
        <v>DagrenErhverv</v>
      </c>
      <c r="C202" s="257" t="s">
        <v>242</v>
      </c>
      <c r="D202" s="343">
        <f t="shared" si="15"/>
        <v>1</v>
      </c>
      <c r="E202" s="343">
        <f t="shared" si="18"/>
        <v>1</v>
      </c>
      <c r="F202" s="343">
        <f t="shared" si="18"/>
        <v>1</v>
      </c>
      <c r="G202" s="343">
        <f t="shared" si="18"/>
        <v>1</v>
      </c>
      <c r="H202" s="343">
        <f t="shared" si="18"/>
        <v>1</v>
      </c>
      <c r="I202" s="343">
        <f t="shared" si="18"/>
        <v>1</v>
      </c>
      <c r="J202" s="343">
        <f t="shared" si="18"/>
        <v>1</v>
      </c>
      <c r="K202" s="343">
        <f t="shared" si="18"/>
        <v>1</v>
      </c>
      <c r="L202" s="343">
        <f t="shared" si="18"/>
        <v>1</v>
      </c>
      <c r="M202" s="343">
        <f t="shared" si="18"/>
        <v>1</v>
      </c>
      <c r="N202" s="343">
        <f t="shared" si="18"/>
        <v>1</v>
      </c>
      <c r="O202" s="343">
        <f t="shared" si="18"/>
        <v>1</v>
      </c>
      <c r="P202" s="343">
        <f t="shared" si="18"/>
        <v>1</v>
      </c>
      <c r="Q202" s="343">
        <f t="shared" si="18"/>
        <v>1</v>
      </c>
      <c r="R202" s="343">
        <f t="shared" si="18"/>
        <v>1</v>
      </c>
      <c r="S202" s="343">
        <f t="shared" si="18"/>
        <v>1</v>
      </c>
      <c r="T202" s="343">
        <f t="shared" si="18"/>
        <v>1</v>
      </c>
      <c r="U202" s="343">
        <f t="shared" si="18"/>
        <v>1</v>
      </c>
      <c r="V202" s="343">
        <f t="shared" si="18"/>
        <v>1</v>
      </c>
      <c r="W202" s="343">
        <f t="shared" si="18"/>
        <v>1</v>
      </c>
      <c r="X202" s="343">
        <f t="shared" si="18"/>
        <v>1</v>
      </c>
      <c r="Y202" s="343">
        <f t="shared" si="18"/>
        <v>1</v>
      </c>
      <c r="Z202" s="343">
        <f t="shared" si="18"/>
        <v>1</v>
      </c>
      <c r="AA202" s="343">
        <f t="shared" si="18"/>
        <v>1</v>
      </c>
      <c r="AB202" s="343">
        <f t="shared" si="18"/>
        <v>1</v>
      </c>
      <c r="AC202" s="343">
        <f t="shared" si="18"/>
        <v>1</v>
      </c>
      <c r="AD202" s="343">
        <f t="shared" si="18"/>
        <v>1</v>
      </c>
      <c r="AE202" s="343">
        <f t="shared" si="18"/>
        <v>1</v>
      </c>
      <c r="AF202" s="343">
        <f t="shared" si="18"/>
        <v>1</v>
      </c>
      <c r="AG202" s="343">
        <f t="shared" si="18"/>
        <v>1</v>
      </c>
      <c r="AH202" s="343">
        <f t="shared" si="18"/>
        <v>1</v>
      </c>
      <c r="AI202" s="343">
        <f t="shared" si="18"/>
        <v>1</v>
      </c>
      <c r="AJ202" s="343">
        <f t="shared" si="18"/>
        <v>1</v>
      </c>
      <c r="AK202" s="343">
        <f t="shared" si="18"/>
        <v>1</v>
      </c>
      <c r="AL202" s="343">
        <f t="shared" si="18"/>
        <v>1</v>
      </c>
      <c r="AM202" s="343">
        <f t="shared" si="18"/>
        <v>1</v>
      </c>
    </row>
    <row r="203" spans="2:39" s="256" customFormat="1" outlineLevel="1" x14ac:dyDescent="0.25">
      <c r="B203" s="256" t="str">
        <f t="shared" si="14"/>
        <v>HandelKontor</v>
      </c>
      <c r="C203" s="257" t="s">
        <v>242</v>
      </c>
      <c r="D203" s="343">
        <f t="shared" si="15"/>
        <v>1</v>
      </c>
      <c r="E203" s="343">
        <f t="shared" si="18"/>
        <v>1</v>
      </c>
      <c r="F203" s="343">
        <f t="shared" si="18"/>
        <v>1</v>
      </c>
      <c r="G203" s="343">
        <f t="shared" si="18"/>
        <v>1</v>
      </c>
      <c r="H203" s="343">
        <f t="shared" si="18"/>
        <v>1</v>
      </c>
      <c r="I203" s="343">
        <f t="shared" si="18"/>
        <v>1</v>
      </c>
      <c r="J203" s="343">
        <f t="shared" si="18"/>
        <v>1</v>
      </c>
      <c r="K203" s="343">
        <f t="shared" si="18"/>
        <v>1</v>
      </c>
      <c r="L203" s="343">
        <f t="shared" si="18"/>
        <v>1</v>
      </c>
      <c r="M203" s="343">
        <f t="shared" si="18"/>
        <v>1</v>
      </c>
      <c r="N203" s="343">
        <f t="shared" si="18"/>
        <v>1</v>
      </c>
      <c r="O203" s="343">
        <f t="shared" si="18"/>
        <v>1</v>
      </c>
      <c r="P203" s="343">
        <f t="shared" si="18"/>
        <v>1</v>
      </c>
      <c r="Q203" s="343">
        <f t="shared" si="18"/>
        <v>1</v>
      </c>
      <c r="R203" s="343">
        <f t="shared" si="18"/>
        <v>1</v>
      </c>
      <c r="S203" s="343">
        <f t="shared" si="18"/>
        <v>1</v>
      </c>
      <c r="T203" s="343">
        <f t="shared" si="18"/>
        <v>1</v>
      </c>
      <c r="U203" s="343">
        <f t="shared" si="18"/>
        <v>1</v>
      </c>
      <c r="V203" s="343">
        <f t="shared" si="18"/>
        <v>1</v>
      </c>
      <c r="W203" s="343">
        <f t="shared" si="18"/>
        <v>1</v>
      </c>
      <c r="X203" s="343">
        <f t="shared" si="18"/>
        <v>1</v>
      </c>
      <c r="Y203" s="343">
        <f t="shared" si="18"/>
        <v>1</v>
      </c>
      <c r="Z203" s="343">
        <f t="shared" si="18"/>
        <v>1</v>
      </c>
      <c r="AA203" s="343">
        <f t="shared" si="18"/>
        <v>1</v>
      </c>
      <c r="AB203" s="343">
        <f t="shared" si="18"/>
        <v>1</v>
      </c>
      <c r="AC203" s="343">
        <f t="shared" si="18"/>
        <v>1</v>
      </c>
      <c r="AD203" s="343">
        <f t="shared" si="18"/>
        <v>1</v>
      </c>
      <c r="AE203" s="343">
        <f t="shared" si="18"/>
        <v>1</v>
      </c>
      <c r="AF203" s="343">
        <f t="shared" si="18"/>
        <v>1</v>
      </c>
      <c r="AG203" s="343">
        <f t="shared" si="18"/>
        <v>1</v>
      </c>
      <c r="AH203" s="343">
        <f t="shared" si="18"/>
        <v>1</v>
      </c>
      <c r="AI203" s="343">
        <f t="shared" si="18"/>
        <v>1</v>
      </c>
      <c r="AJ203" s="343">
        <f t="shared" si="18"/>
        <v>1</v>
      </c>
      <c r="AK203" s="343">
        <f t="shared" si="18"/>
        <v>1</v>
      </c>
      <c r="AL203" s="343">
        <f t="shared" si="18"/>
        <v>1</v>
      </c>
      <c r="AM203" s="343">
        <f t="shared" si="18"/>
        <v>1</v>
      </c>
    </row>
    <row r="204" spans="2:39" s="256" customFormat="1" outlineLevel="1" x14ac:dyDescent="0.25">
      <c r="B204" s="256" t="str">
        <f t="shared" si="14"/>
        <v>Privat</v>
      </c>
      <c r="C204" s="257" t="s">
        <v>242</v>
      </c>
      <c r="D204" s="343">
        <f t="shared" si="15"/>
        <v>1</v>
      </c>
      <c r="E204" s="343">
        <f t="shared" si="18"/>
        <v>1</v>
      </c>
      <c r="F204" s="343">
        <f t="shared" si="18"/>
        <v>1</v>
      </c>
      <c r="G204" s="343">
        <f t="shared" si="18"/>
        <v>1</v>
      </c>
      <c r="H204" s="343">
        <f t="shared" si="18"/>
        <v>1</v>
      </c>
      <c r="I204" s="343">
        <f t="shared" si="18"/>
        <v>1</v>
      </c>
      <c r="J204" s="343">
        <f t="shared" si="18"/>
        <v>1</v>
      </c>
      <c r="K204" s="343">
        <f t="shared" si="18"/>
        <v>1</v>
      </c>
      <c r="L204" s="343">
        <f t="shared" si="18"/>
        <v>1</v>
      </c>
      <c r="M204" s="343">
        <f t="shared" si="18"/>
        <v>1</v>
      </c>
      <c r="N204" s="343">
        <f t="shared" si="18"/>
        <v>1</v>
      </c>
      <c r="O204" s="343">
        <f t="shared" si="18"/>
        <v>1</v>
      </c>
      <c r="P204" s="343">
        <f t="shared" si="18"/>
        <v>1</v>
      </c>
      <c r="Q204" s="343">
        <f t="shared" si="18"/>
        <v>1</v>
      </c>
      <c r="R204" s="343">
        <f t="shared" si="18"/>
        <v>1</v>
      </c>
      <c r="S204" s="343">
        <f t="shared" si="18"/>
        <v>1</v>
      </c>
      <c r="T204" s="343">
        <f t="shared" si="18"/>
        <v>1</v>
      </c>
      <c r="U204" s="343">
        <f t="shared" si="18"/>
        <v>1</v>
      </c>
      <c r="V204" s="343">
        <f t="shared" si="18"/>
        <v>1</v>
      </c>
      <c r="W204" s="343">
        <f t="shared" si="18"/>
        <v>1</v>
      </c>
      <c r="X204" s="343">
        <f t="shared" si="18"/>
        <v>1</v>
      </c>
      <c r="Y204" s="343">
        <f t="shared" si="18"/>
        <v>1</v>
      </c>
      <c r="Z204" s="343">
        <f t="shared" si="18"/>
        <v>1</v>
      </c>
      <c r="AA204" s="343">
        <f t="shared" si="18"/>
        <v>1</v>
      </c>
      <c r="AB204" s="343">
        <f t="shared" si="18"/>
        <v>1</v>
      </c>
      <c r="AC204" s="343">
        <f t="shared" si="18"/>
        <v>1</v>
      </c>
      <c r="AD204" s="343">
        <f t="shared" si="18"/>
        <v>1</v>
      </c>
      <c r="AE204" s="343">
        <f t="shared" si="18"/>
        <v>1</v>
      </c>
      <c r="AF204" s="343">
        <f t="shared" si="18"/>
        <v>1</v>
      </c>
      <c r="AG204" s="343">
        <f t="shared" si="18"/>
        <v>1</v>
      </c>
      <c r="AH204" s="343">
        <f t="shared" si="18"/>
        <v>1</v>
      </c>
      <c r="AI204" s="343">
        <f t="shared" si="18"/>
        <v>1</v>
      </c>
      <c r="AJ204" s="343">
        <f t="shared" si="18"/>
        <v>1</v>
      </c>
      <c r="AK204" s="343">
        <f t="shared" si="18"/>
        <v>1</v>
      </c>
      <c r="AL204" s="343">
        <f t="shared" si="18"/>
        <v>1</v>
      </c>
      <c r="AM204" s="343">
        <f t="shared" si="18"/>
        <v>1</v>
      </c>
    </row>
    <row r="205" spans="2:39" s="256" customFormat="1" outlineLevel="1" x14ac:dyDescent="0.25">
      <c r="B205" s="256" t="str">
        <f t="shared" si="14"/>
        <v>TyskRest</v>
      </c>
      <c r="C205" s="257" t="s">
        <v>242</v>
      </c>
      <c r="D205" s="343">
        <f t="shared" si="15"/>
        <v>1</v>
      </c>
      <c r="E205" s="343">
        <f t="shared" si="18"/>
        <v>1</v>
      </c>
      <c r="F205" s="343">
        <f t="shared" si="18"/>
        <v>1</v>
      </c>
      <c r="G205" s="343">
        <f t="shared" si="18"/>
        <v>1</v>
      </c>
      <c r="H205" s="343">
        <f t="shared" si="18"/>
        <v>1</v>
      </c>
      <c r="I205" s="343">
        <f t="shared" si="18"/>
        <v>1</v>
      </c>
      <c r="J205" s="343">
        <f t="shared" si="18"/>
        <v>1</v>
      </c>
      <c r="K205" s="343">
        <f t="shared" si="18"/>
        <v>1</v>
      </c>
      <c r="L205" s="343">
        <f t="shared" si="18"/>
        <v>1</v>
      </c>
      <c r="M205" s="343">
        <f t="shared" si="18"/>
        <v>1</v>
      </c>
      <c r="N205" s="343">
        <f t="shared" si="18"/>
        <v>1</v>
      </c>
      <c r="O205" s="343">
        <f t="shared" si="18"/>
        <v>1</v>
      </c>
      <c r="P205" s="343">
        <f t="shared" si="18"/>
        <v>1</v>
      </c>
      <c r="Q205" s="343">
        <f t="shared" si="18"/>
        <v>1</v>
      </c>
      <c r="R205" s="343">
        <f t="shared" si="18"/>
        <v>1</v>
      </c>
      <c r="S205" s="343">
        <f t="shared" si="18"/>
        <v>1</v>
      </c>
      <c r="T205" s="343">
        <f t="shared" si="18"/>
        <v>1</v>
      </c>
      <c r="U205" s="343">
        <f t="shared" si="18"/>
        <v>1</v>
      </c>
      <c r="V205" s="343">
        <f t="shared" si="18"/>
        <v>1</v>
      </c>
      <c r="W205" s="343">
        <f t="shared" si="18"/>
        <v>1</v>
      </c>
      <c r="X205" s="343">
        <f t="shared" si="18"/>
        <v>1</v>
      </c>
      <c r="Y205" s="343">
        <f t="shared" si="18"/>
        <v>1</v>
      </c>
      <c r="Z205" s="343">
        <f t="shared" si="18"/>
        <v>1</v>
      </c>
      <c r="AA205" s="343">
        <f t="shared" si="18"/>
        <v>1</v>
      </c>
      <c r="AB205" s="343">
        <f t="shared" si="18"/>
        <v>1</v>
      </c>
      <c r="AC205" s="343">
        <f t="shared" si="18"/>
        <v>1</v>
      </c>
      <c r="AD205" s="343">
        <f t="shared" si="18"/>
        <v>1</v>
      </c>
      <c r="AE205" s="343">
        <f t="shared" si="18"/>
        <v>1</v>
      </c>
      <c r="AF205" s="343">
        <f t="shared" si="18"/>
        <v>1</v>
      </c>
      <c r="AG205" s="343">
        <f t="shared" si="18"/>
        <v>1</v>
      </c>
      <c r="AH205" s="343">
        <f t="shared" si="18"/>
        <v>1</v>
      </c>
      <c r="AI205" s="343">
        <f t="shared" si="18"/>
        <v>1</v>
      </c>
      <c r="AJ205" s="343">
        <f t="shared" si="18"/>
        <v>1</v>
      </c>
      <c r="AK205" s="343">
        <f t="shared" si="18"/>
        <v>1</v>
      </c>
      <c r="AL205" s="343">
        <f t="shared" si="18"/>
        <v>1</v>
      </c>
      <c r="AM205" s="343">
        <f t="shared" si="18"/>
        <v>1</v>
      </c>
    </row>
    <row r="206" spans="2:39" s="256" customFormat="1" outlineLevel="1" x14ac:dyDescent="0.25">
      <c r="B206" s="256" t="str">
        <f t="shared" si="14"/>
        <v>PolskRest</v>
      </c>
      <c r="C206" s="257" t="s">
        <v>242</v>
      </c>
      <c r="D206" s="343">
        <f t="shared" si="15"/>
        <v>1</v>
      </c>
      <c r="E206" s="343">
        <f t="shared" ref="E206:AM213" si="19">$J20</f>
        <v>1</v>
      </c>
      <c r="F206" s="343">
        <f t="shared" si="19"/>
        <v>1</v>
      </c>
      <c r="G206" s="343">
        <f t="shared" si="19"/>
        <v>1</v>
      </c>
      <c r="H206" s="343">
        <f t="shared" si="19"/>
        <v>1</v>
      </c>
      <c r="I206" s="343">
        <f t="shared" si="19"/>
        <v>1</v>
      </c>
      <c r="J206" s="343">
        <f t="shared" si="19"/>
        <v>1</v>
      </c>
      <c r="K206" s="343">
        <f t="shared" si="19"/>
        <v>1</v>
      </c>
      <c r="L206" s="343">
        <f t="shared" si="19"/>
        <v>1</v>
      </c>
      <c r="M206" s="343">
        <f t="shared" si="19"/>
        <v>1</v>
      </c>
      <c r="N206" s="343">
        <f t="shared" si="19"/>
        <v>1</v>
      </c>
      <c r="O206" s="343">
        <f t="shared" si="19"/>
        <v>1</v>
      </c>
      <c r="P206" s="343">
        <f t="shared" si="19"/>
        <v>1</v>
      </c>
      <c r="Q206" s="343">
        <f t="shared" si="19"/>
        <v>1</v>
      </c>
      <c r="R206" s="343">
        <f t="shared" si="19"/>
        <v>1</v>
      </c>
      <c r="S206" s="343">
        <f t="shared" si="19"/>
        <v>1</v>
      </c>
      <c r="T206" s="343">
        <f t="shared" si="19"/>
        <v>1</v>
      </c>
      <c r="U206" s="343">
        <f t="shared" si="19"/>
        <v>1</v>
      </c>
      <c r="V206" s="343">
        <f t="shared" si="19"/>
        <v>1</v>
      </c>
      <c r="W206" s="343">
        <f t="shared" si="19"/>
        <v>1</v>
      </c>
      <c r="X206" s="343">
        <f t="shared" si="19"/>
        <v>1</v>
      </c>
      <c r="Y206" s="343">
        <f t="shared" si="19"/>
        <v>1</v>
      </c>
      <c r="Z206" s="343">
        <f t="shared" si="19"/>
        <v>1</v>
      </c>
      <c r="AA206" s="343">
        <f t="shared" si="19"/>
        <v>1</v>
      </c>
      <c r="AB206" s="343">
        <f t="shared" si="19"/>
        <v>1</v>
      </c>
      <c r="AC206" s="343">
        <f t="shared" si="19"/>
        <v>1</v>
      </c>
      <c r="AD206" s="343">
        <f t="shared" si="19"/>
        <v>1</v>
      </c>
      <c r="AE206" s="343">
        <f t="shared" si="19"/>
        <v>1</v>
      </c>
      <c r="AF206" s="343">
        <f t="shared" si="19"/>
        <v>1</v>
      </c>
      <c r="AG206" s="343">
        <f t="shared" si="19"/>
        <v>1</v>
      </c>
      <c r="AH206" s="343">
        <f t="shared" si="19"/>
        <v>1</v>
      </c>
      <c r="AI206" s="343">
        <f t="shared" si="19"/>
        <v>1</v>
      </c>
      <c r="AJ206" s="343">
        <f t="shared" si="19"/>
        <v>1</v>
      </c>
      <c r="AK206" s="343">
        <f t="shared" si="19"/>
        <v>1</v>
      </c>
      <c r="AL206" s="343">
        <f t="shared" si="19"/>
        <v>1</v>
      </c>
      <c r="AM206" s="343">
        <f t="shared" si="19"/>
        <v>1</v>
      </c>
    </row>
    <row r="207" spans="2:39" s="256" customFormat="1" outlineLevel="1" x14ac:dyDescent="0.25">
      <c r="B207" s="256" t="str">
        <f t="shared" si="14"/>
        <v>PcbTrae</v>
      </c>
      <c r="C207" s="257" t="s">
        <v>242</v>
      </c>
      <c r="D207" s="343">
        <f t="shared" si="15"/>
        <v>1</v>
      </c>
      <c r="E207" s="343">
        <f t="shared" si="19"/>
        <v>1</v>
      </c>
      <c r="F207" s="343">
        <f t="shared" si="19"/>
        <v>1</v>
      </c>
      <c r="G207" s="343">
        <f t="shared" si="19"/>
        <v>1</v>
      </c>
      <c r="H207" s="343">
        <f t="shared" si="19"/>
        <v>1</v>
      </c>
      <c r="I207" s="343">
        <f t="shared" si="19"/>
        <v>1</v>
      </c>
      <c r="J207" s="343">
        <f t="shared" si="19"/>
        <v>1</v>
      </c>
      <c r="K207" s="343">
        <f t="shared" si="19"/>
        <v>1</v>
      </c>
      <c r="L207" s="343">
        <f t="shared" si="19"/>
        <v>1</v>
      </c>
      <c r="M207" s="343">
        <f t="shared" si="19"/>
        <v>1</v>
      </c>
      <c r="N207" s="343">
        <f t="shared" si="19"/>
        <v>1</v>
      </c>
      <c r="O207" s="343">
        <f t="shared" si="19"/>
        <v>1</v>
      </c>
      <c r="P207" s="343">
        <f t="shared" si="19"/>
        <v>1</v>
      </c>
      <c r="Q207" s="343">
        <f t="shared" si="19"/>
        <v>1</v>
      </c>
      <c r="R207" s="343">
        <f t="shared" si="19"/>
        <v>1</v>
      </c>
      <c r="S207" s="343">
        <f t="shared" si="19"/>
        <v>1</v>
      </c>
      <c r="T207" s="343">
        <f t="shared" si="19"/>
        <v>1</v>
      </c>
      <c r="U207" s="343">
        <f t="shared" si="19"/>
        <v>1</v>
      </c>
      <c r="V207" s="343">
        <f t="shared" si="19"/>
        <v>1</v>
      </c>
      <c r="W207" s="343">
        <f t="shared" si="19"/>
        <v>1</v>
      </c>
      <c r="X207" s="343">
        <f t="shared" si="19"/>
        <v>1</v>
      </c>
      <c r="Y207" s="343">
        <f t="shared" si="19"/>
        <v>1</v>
      </c>
      <c r="Z207" s="343">
        <f t="shared" si="19"/>
        <v>1</v>
      </c>
      <c r="AA207" s="343">
        <f t="shared" si="19"/>
        <v>1</v>
      </c>
      <c r="AB207" s="343">
        <f t="shared" si="19"/>
        <v>1</v>
      </c>
      <c r="AC207" s="343">
        <f t="shared" si="19"/>
        <v>1</v>
      </c>
      <c r="AD207" s="343">
        <f t="shared" si="19"/>
        <v>1</v>
      </c>
      <c r="AE207" s="343">
        <f t="shared" si="19"/>
        <v>1</v>
      </c>
      <c r="AF207" s="343">
        <f t="shared" si="19"/>
        <v>1</v>
      </c>
      <c r="AG207" s="343">
        <f t="shared" si="19"/>
        <v>1</v>
      </c>
      <c r="AH207" s="343">
        <f t="shared" si="19"/>
        <v>1</v>
      </c>
      <c r="AI207" s="343">
        <f t="shared" si="19"/>
        <v>1</v>
      </c>
      <c r="AJ207" s="343">
        <f t="shared" si="19"/>
        <v>1</v>
      </c>
      <c r="AK207" s="343">
        <f t="shared" si="19"/>
        <v>1</v>
      </c>
      <c r="AL207" s="343">
        <f t="shared" si="19"/>
        <v>1</v>
      </c>
      <c r="AM207" s="343">
        <f t="shared" si="19"/>
        <v>1</v>
      </c>
    </row>
    <row r="208" spans="2:39" s="256" customFormat="1" outlineLevel="1" x14ac:dyDescent="0.25">
      <c r="B208" s="256" t="str">
        <f t="shared" si="14"/>
        <v>TraeRekv</v>
      </c>
      <c r="C208" s="257" t="s">
        <v>242</v>
      </c>
      <c r="D208" s="343">
        <f t="shared" si="15"/>
        <v>1</v>
      </c>
      <c r="E208" s="343">
        <f t="shared" si="19"/>
        <v>1</v>
      </c>
      <c r="F208" s="343">
        <f t="shared" si="19"/>
        <v>1</v>
      </c>
      <c r="G208" s="343">
        <f t="shared" si="19"/>
        <v>1</v>
      </c>
      <c r="H208" s="343">
        <f t="shared" si="19"/>
        <v>1</v>
      </c>
      <c r="I208" s="343">
        <f t="shared" si="19"/>
        <v>1</v>
      </c>
      <c r="J208" s="343">
        <f t="shared" si="19"/>
        <v>1</v>
      </c>
      <c r="K208" s="343">
        <f t="shared" si="19"/>
        <v>1</v>
      </c>
      <c r="L208" s="343">
        <f t="shared" si="19"/>
        <v>1</v>
      </c>
      <c r="M208" s="343">
        <f t="shared" si="19"/>
        <v>1</v>
      </c>
      <c r="N208" s="343">
        <f t="shared" si="19"/>
        <v>1</v>
      </c>
      <c r="O208" s="343">
        <f t="shared" si="19"/>
        <v>1</v>
      </c>
      <c r="P208" s="343">
        <f t="shared" si="19"/>
        <v>1</v>
      </c>
      <c r="Q208" s="343">
        <f t="shared" si="19"/>
        <v>1</v>
      </c>
      <c r="R208" s="343">
        <f t="shared" si="19"/>
        <v>1</v>
      </c>
      <c r="S208" s="343">
        <f t="shared" si="19"/>
        <v>1</v>
      </c>
      <c r="T208" s="343">
        <f t="shared" si="19"/>
        <v>1</v>
      </c>
      <c r="U208" s="343">
        <f t="shared" si="19"/>
        <v>1</v>
      </c>
      <c r="V208" s="343">
        <f t="shared" si="19"/>
        <v>1</v>
      </c>
      <c r="W208" s="343">
        <f t="shared" si="19"/>
        <v>1</v>
      </c>
      <c r="X208" s="343">
        <f t="shared" si="19"/>
        <v>1</v>
      </c>
      <c r="Y208" s="343">
        <f t="shared" si="19"/>
        <v>1</v>
      </c>
      <c r="Z208" s="343">
        <f t="shared" si="19"/>
        <v>1</v>
      </c>
      <c r="AA208" s="343">
        <f t="shared" si="19"/>
        <v>1</v>
      </c>
      <c r="AB208" s="343">
        <f t="shared" si="19"/>
        <v>1</v>
      </c>
      <c r="AC208" s="343">
        <f t="shared" si="19"/>
        <v>1</v>
      </c>
      <c r="AD208" s="343">
        <f t="shared" si="19"/>
        <v>1</v>
      </c>
      <c r="AE208" s="343">
        <f t="shared" si="19"/>
        <v>1</v>
      </c>
      <c r="AF208" s="343">
        <f t="shared" si="19"/>
        <v>1</v>
      </c>
      <c r="AG208" s="343">
        <f t="shared" si="19"/>
        <v>1</v>
      </c>
      <c r="AH208" s="343">
        <f t="shared" si="19"/>
        <v>1</v>
      </c>
      <c r="AI208" s="343">
        <f t="shared" si="19"/>
        <v>1</v>
      </c>
      <c r="AJ208" s="343">
        <f t="shared" si="19"/>
        <v>1</v>
      </c>
      <c r="AK208" s="343">
        <f t="shared" si="19"/>
        <v>1</v>
      </c>
      <c r="AL208" s="343">
        <f t="shared" si="19"/>
        <v>1</v>
      </c>
      <c r="AM208" s="343">
        <f t="shared" si="19"/>
        <v>1</v>
      </c>
    </row>
    <row r="209" spans="1:39" s="256" customFormat="1" outlineLevel="1" x14ac:dyDescent="0.25">
      <c r="B209" s="256" t="str">
        <f t="shared" si="14"/>
        <v>Halm</v>
      </c>
      <c r="C209" s="257" t="s">
        <v>242</v>
      </c>
      <c r="D209" s="343">
        <f t="shared" si="15"/>
        <v>1</v>
      </c>
      <c r="E209" s="343">
        <f t="shared" si="19"/>
        <v>1</v>
      </c>
      <c r="F209" s="343">
        <f t="shared" si="19"/>
        <v>1</v>
      </c>
      <c r="G209" s="343">
        <f t="shared" si="19"/>
        <v>1</v>
      </c>
      <c r="H209" s="343">
        <f t="shared" si="19"/>
        <v>1</v>
      </c>
      <c r="I209" s="343">
        <f t="shared" si="19"/>
        <v>1</v>
      </c>
      <c r="J209" s="343">
        <f t="shared" si="19"/>
        <v>1</v>
      </c>
      <c r="K209" s="343">
        <f t="shared" si="19"/>
        <v>1</v>
      </c>
      <c r="L209" s="343">
        <f t="shared" si="19"/>
        <v>1</v>
      </c>
      <c r="M209" s="343">
        <f t="shared" si="19"/>
        <v>1</v>
      </c>
      <c r="N209" s="343">
        <f t="shared" si="19"/>
        <v>1</v>
      </c>
      <c r="O209" s="343">
        <f t="shared" si="19"/>
        <v>1</v>
      </c>
      <c r="P209" s="343">
        <f t="shared" si="19"/>
        <v>1</v>
      </c>
      <c r="Q209" s="343">
        <f t="shared" si="19"/>
        <v>1</v>
      </c>
      <c r="R209" s="343">
        <f t="shared" si="19"/>
        <v>1</v>
      </c>
      <c r="S209" s="343">
        <f t="shared" si="19"/>
        <v>1</v>
      </c>
      <c r="T209" s="343">
        <f t="shared" si="19"/>
        <v>1</v>
      </c>
      <c r="U209" s="343">
        <f t="shared" si="19"/>
        <v>1</v>
      </c>
      <c r="V209" s="343">
        <f t="shared" si="19"/>
        <v>1</v>
      </c>
      <c r="W209" s="343">
        <f t="shared" si="19"/>
        <v>1</v>
      </c>
      <c r="X209" s="343">
        <f t="shared" si="19"/>
        <v>1</v>
      </c>
      <c r="Y209" s="343">
        <f t="shared" si="19"/>
        <v>1</v>
      </c>
      <c r="Z209" s="343">
        <f t="shared" si="19"/>
        <v>1</v>
      </c>
      <c r="AA209" s="343">
        <f t="shared" si="19"/>
        <v>1</v>
      </c>
      <c r="AB209" s="343">
        <f t="shared" si="19"/>
        <v>1</v>
      </c>
      <c r="AC209" s="343">
        <f t="shared" si="19"/>
        <v>1</v>
      </c>
      <c r="AD209" s="343">
        <f t="shared" si="19"/>
        <v>1</v>
      </c>
      <c r="AE209" s="343">
        <f t="shared" si="19"/>
        <v>1</v>
      </c>
      <c r="AF209" s="343">
        <f t="shared" si="19"/>
        <v>1</v>
      </c>
      <c r="AG209" s="343">
        <f t="shared" si="19"/>
        <v>1</v>
      </c>
      <c r="AH209" s="343">
        <f t="shared" si="19"/>
        <v>1</v>
      </c>
      <c r="AI209" s="343">
        <f t="shared" si="19"/>
        <v>1</v>
      </c>
      <c r="AJ209" s="343">
        <f t="shared" si="19"/>
        <v>1</v>
      </c>
      <c r="AK209" s="343">
        <f t="shared" si="19"/>
        <v>1</v>
      </c>
      <c r="AL209" s="343">
        <f t="shared" si="19"/>
        <v>1</v>
      </c>
      <c r="AM209" s="343">
        <f t="shared" si="19"/>
        <v>1</v>
      </c>
    </row>
    <row r="210" spans="1:39" s="256" customFormat="1" outlineLevel="1" x14ac:dyDescent="0.25">
      <c r="A210" s="260"/>
      <c r="B210" s="256" t="str">
        <f t="shared" si="14"/>
        <v>Pulver</v>
      </c>
      <c r="C210" s="257" t="s">
        <v>242</v>
      </c>
      <c r="D210" s="343">
        <f t="shared" si="15"/>
        <v>1</v>
      </c>
      <c r="E210" s="343">
        <f t="shared" si="19"/>
        <v>1</v>
      </c>
      <c r="F210" s="343">
        <f t="shared" si="19"/>
        <v>1</v>
      </c>
      <c r="G210" s="343">
        <f t="shared" si="19"/>
        <v>1</v>
      </c>
      <c r="H210" s="343">
        <f t="shared" si="19"/>
        <v>1</v>
      </c>
      <c r="I210" s="343">
        <f t="shared" si="19"/>
        <v>1</v>
      </c>
      <c r="J210" s="343">
        <f t="shared" si="19"/>
        <v>1</v>
      </c>
      <c r="K210" s="343">
        <f t="shared" si="19"/>
        <v>1</v>
      </c>
      <c r="L210" s="343">
        <f t="shared" si="19"/>
        <v>1</v>
      </c>
      <c r="M210" s="343">
        <f t="shared" si="19"/>
        <v>1</v>
      </c>
      <c r="N210" s="343">
        <f t="shared" si="19"/>
        <v>1</v>
      </c>
      <c r="O210" s="343">
        <f t="shared" si="19"/>
        <v>1</v>
      </c>
      <c r="P210" s="343">
        <f t="shared" si="19"/>
        <v>1</v>
      </c>
      <c r="Q210" s="343">
        <f t="shared" si="19"/>
        <v>1</v>
      </c>
      <c r="R210" s="343">
        <f t="shared" si="19"/>
        <v>1</v>
      </c>
      <c r="S210" s="343">
        <f t="shared" si="19"/>
        <v>1</v>
      </c>
      <c r="T210" s="343">
        <f t="shared" si="19"/>
        <v>1</v>
      </c>
      <c r="U210" s="343">
        <f t="shared" si="19"/>
        <v>1</v>
      </c>
      <c r="V210" s="343">
        <f t="shared" si="19"/>
        <v>1</v>
      </c>
      <c r="W210" s="343">
        <f t="shared" si="19"/>
        <v>1</v>
      </c>
      <c r="X210" s="343">
        <f t="shared" si="19"/>
        <v>1</v>
      </c>
      <c r="Y210" s="343">
        <f t="shared" si="19"/>
        <v>1</v>
      </c>
      <c r="Z210" s="343">
        <f t="shared" si="19"/>
        <v>1</v>
      </c>
      <c r="AA210" s="343">
        <f t="shared" si="19"/>
        <v>1</v>
      </c>
      <c r="AB210" s="343">
        <f t="shared" si="19"/>
        <v>1</v>
      </c>
      <c r="AC210" s="343">
        <f t="shared" si="19"/>
        <v>1</v>
      </c>
      <c r="AD210" s="343">
        <f t="shared" si="19"/>
        <v>1</v>
      </c>
      <c r="AE210" s="343">
        <f t="shared" si="19"/>
        <v>1</v>
      </c>
      <c r="AF210" s="343">
        <f t="shared" si="19"/>
        <v>1</v>
      </c>
      <c r="AG210" s="343">
        <f t="shared" si="19"/>
        <v>1</v>
      </c>
      <c r="AH210" s="343">
        <f t="shared" si="19"/>
        <v>1</v>
      </c>
      <c r="AI210" s="343">
        <f t="shared" si="19"/>
        <v>1</v>
      </c>
      <c r="AJ210" s="343">
        <f t="shared" si="19"/>
        <v>1</v>
      </c>
      <c r="AK210" s="343">
        <f t="shared" si="19"/>
        <v>1</v>
      </c>
      <c r="AL210" s="343">
        <f t="shared" si="19"/>
        <v>1</v>
      </c>
      <c r="AM210" s="343">
        <f t="shared" si="19"/>
        <v>1</v>
      </c>
    </row>
    <row r="211" spans="1:39" s="256" customFormat="1" outlineLevel="1" x14ac:dyDescent="0.25">
      <c r="A211" s="260"/>
      <c r="B211" s="256" t="str">
        <f t="shared" si="14"/>
        <v>FlisAffald</v>
      </c>
      <c r="C211" s="257" t="s">
        <v>242</v>
      </c>
      <c r="D211" s="343">
        <f t="shared" si="15"/>
        <v>1</v>
      </c>
      <c r="E211" s="343">
        <f t="shared" si="19"/>
        <v>1</v>
      </c>
      <c r="F211" s="343">
        <f t="shared" si="19"/>
        <v>1</v>
      </c>
      <c r="G211" s="343">
        <f t="shared" si="19"/>
        <v>1</v>
      </c>
      <c r="H211" s="343">
        <f t="shared" si="19"/>
        <v>1</v>
      </c>
      <c r="I211" s="343">
        <f t="shared" si="19"/>
        <v>1</v>
      </c>
      <c r="J211" s="343">
        <f t="shared" si="19"/>
        <v>1</v>
      </c>
      <c r="K211" s="343">
        <f t="shared" si="19"/>
        <v>1</v>
      </c>
      <c r="L211" s="343">
        <f t="shared" si="19"/>
        <v>1</v>
      </c>
      <c r="M211" s="343">
        <f t="shared" si="19"/>
        <v>1</v>
      </c>
      <c r="N211" s="343">
        <f t="shared" si="19"/>
        <v>1</v>
      </c>
      <c r="O211" s="343">
        <f t="shared" si="19"/>
        <v>1</v>
      </c>
      <c r="P211" s="343">
        <f t="shared" si="19"/>
        <v>1</v>
      </c>
      <c r="Q211" s="343">
        <f t="shared" si="19"/>
        <v>1</v>
      </c>
      <c r="R211" s="343">
        <f t="shared" si="19"/>
        <v>1</v>
      </c>
      <c r="S211" s="343">
        <f t="shared" si="19"/>
        <v>1</v>
      </c>
      <c r="T211" s="343">
        <f t="shared" si="19"/>
        <v>1</v>
      </c>
      <c r="U211" s="343">
        <f t="shared" si="19"/>
        <v>1</v>
      </c>
      <c r="V211" s="343">
        <f t="shared" si="19"/>
        <v>1</v>
      </c>
      <c r="W211" s="343">
        <f t="shared" si="19"/>
        <v>1</v>
      </c>
      <c r="X211" s="343">
        <f t="shared" si="19"/>
        <v>1</v>
      </c>
      <c r="Y211" s="343">
        <f t="shared" si="19"/>
        <v>1</v>
      </c>
      <c r="Z211" s="343">
        <f t="shared" si="19"/>
        <v>1</v>
      </c>
      <c r="AA211" s="343">
        <f t="shared" si="19"/>
        <v>1</v>
      </c>
      <c r="AB211" s="343">
        <f t="shared" si="19"/>
        <v>1</v>
      </c>
      <c r="AC211" s="343">
        <f t="shared" si="19"/>
        <v>1</v>
      </c>
      <c r="AD211" s="343">
        <f t="shared" si="19"/>
        <v>1</v>
      </c>
      <c r="AE211" s="343">
        <f t="shared" si="19"/>
        <v>1</v>
      </c>
      <c r="AF211" s="343">
        <f t="shared" si="19"/>
        <v>1</v>
      </c>
      <c r="AG211" s="343">
        <f t="shared" si="19"/>
        <v>1</v>
      </c>
      <c r="AH211" s="343">
        <f t="shared" si="19"/>
        <v>1</v>
      </c>
      <c r="AI211" s="343">
        <f t="shared" si="19"/>
        <v>1</v>
      </c>
      <c r="AJ211" s="343">
        <f t="shared" si="19"/>
        <v>1</v>
      </c>
      <c r="AK211" s="343">
        <f t="shared" si="19"/>
        <v>1</v>
      </c>
      <c r="AL211" s="343">
        <f t="shared" si="19"/>
        <v>1</v>
      </c>
      <c r="AM211" s="343">
        <f t="shared" si="19"/>
        <v>1</v>
      </c>
    </row>
    <row r="212" spans="1:39" s="256" customFormat="1" outlineLevel="1" x14ac:dyDescent="0.25">
      <c r="A212" s="260"/>
      <c r="B212" s="256" t="str">
        <f t="shared" si="14"/>
        <v>NyAff1</v>
      </c>
      <c r="C212" s="257" t="s">
        <v>242</v>
      </c>
      <c r="D212" s="343">
        <f t="shared" si="15"/>
        <v>1</v>
      </c>
      <c r="E212" s="343">
        <f t="shared" si="19"/>
        <v>1</v>
      </c>
      <c r="F212" s="343">
        <f t="shared" si="19"/>
        <v>1</v>
      </c>
      <c r="G212" s="343">
        <f t="shared" si="19"/>
        <v>1</v>
      </c>
      <c r="H212" s="343">
        <f t="shared" si="19"/>
        <v>1</v>
      </c>
      <c r="I212" s="343">
        <f t="shared" si="19"/>
        <v>1</v>
      </c>
      <c r="J212" s="343">
        <f t="shared" si="19"/>
        <v>1</v>
      </c>
      <c r="K212" s="343">
        <f t="shared" si="19"/>
        <v>1</v>
      </c>
      <c r="L212" s="343">
        <f t="shared" si="19"/>
        <v>1</v>
      </c>
      <c r="M212" s="343">
        <f t="shared" si="19"/>
        <v>1</v>
      </c>
      <c r="N212" s="343">
        <f t="shared" si="19"/>
        <v>1</v>
      </c>
      <c r="O212" s="343">
        <f t="shared" si="19"/>
        <v>1</v>
      </c>
      <c r="P212" s="343">
        <f t="shared" si="19"/>
        <v>1</v>
      </c>
      <c r="Q212" s="343">
        <f t="shared" si="19"/>
        <v>1</v>
      </c>
      <c r="R212" s="343">
        <f t="shared" si="19"/>
        <v>1</v>
      </c>
      <c r="S212" s="343">
        <f t="shared" si="19"/>
        <v>1</v>
      </c>
      <c r="T212" s="343">
        <f t="shared" si="19"/>
        <v>1</v>
      </c>
      <c r="U212" s="343">
        <f t="shared" si="19"/>
        <v>1</v>
      </c>
      <c r="V212" s="343">
        <f t="shared" si="19"/>
        <v>1</v>
      </c>
      <c r="W212" s="343">
        <f t="shared" si="19"/>
        <v>1</v>
      </c>
      <c r="X212" s="343">
        <f t="shared" si="19"/>
        <v>1</v>
      </c>
      <c r="Y212" s="343">
        <f t="shared" si="19"/>
        <v>1</v>
      </c>
      <c r="Z212" s="343">
        <f t="shared" si="19"/>
        <v>1</v>
      </c>
      <c r="AA212" s="343">
        <f t="shared" si="19"/>
        <v>1</v>
      </c>
      <c r="AB212" s="343">
        <f t="shared" si="19"/>
        <v>1</v>
      </c>
      <c r="AC212" s="343">
        <f t="shared" si="19"/>
        <v>1</v>
      </c>
      <c r="AD212" s="343">
        <f t="shared" si="19"/>
        <v>1</v>
      </c>
      <c r="AE212" s="343">
        <f t="shared" si="19"/>
        <v>1</v>
      </c>
      <c r="AF212" s="343">
        <f t="shared" si="19"/>
        <v>1</v>
      </c>
      <c r="AG212" s="343">
        <f t="shared" si="19"/>
        <v>1</v>
      </c>
      <c r="AH212" s="343">
        <f t="shared" si="19"/>
        <v>1</v>
      </c>
      <c r="AI212" s="343">
        <f t="shared" si="19"/>
        <v>1</v>
      </c>
      <c r="AJ212" s="343">
        <f t="shared" si="19"/>
        <v>1</v>
      </c>
      <c r="AK212" s="343">
        <f t="shared" si="19"/>
        <v>1</v>
      </c>
      <c r="AL212" s="343">
        <f t="shared" si="19"/>
        <v>1</v>
      </c>
      <c r="AM212" s="343">
        <f t="shared" si="19"/>
        <v>1</v>
      </c>
    </row>
    <row r="213" spans="1:39" s="256" customFormat="1" outlineLevel="1" x14ac:dyDescent="0.25">
      <c r="B213" s="256" t="str">
        <f t="shared" si="14"/>
        <v>NyAff2</v>
      </c>
      <c r="C213" s="257" t="s">
        <v>242</v>
      </c>
      <c r="D213" s="343">
        <f t="shared" si="15"/>
        <v>1</v>
      </c>
      <c r="E213" s="343">
        <f t="shared" si="19"/>
        <v>1</v>
      </c>
      <c r="F213" s="343">
        <f t="shared" si="19"/>
        <v>1</v>
      </c>
      <c r="G213" s="343">
        <f t="shared" si="19"/>
        <v>1</v>
      </c>
      <c r="H213" s="343">
        <f t="shared" si="19"/>
        <v>1</v>
      </c>
      <c r="I213" s="343">
        <f t="shared" si="19"/>
        <v>1</v>
      </c>
      <c r="J213" s="343">
        <f t="shared" si="19"/>
        <v>1</v>
      </c>
      <c r="K213" s="343">
        <f t="shared" si="19"/>
        <v>1</v>
      </c>
      <c r="L213" s="343">
        <f t="shared" si="19"/>
        <v>1</v>
      </c>
      <c r="M213" s="343">
        <f t="shared" si="19"/>
        <v>1</v>
      </c>
      <c r="N213" s="343">
        <f t="shared" si="19"/>
        <v>1</v>
      </c>
      <c r="O213" s="343">
        <f t="shared" ref="E213:AM219" si="20">$J27</f>
        <v>1</v>
      </c>
      <c r="P213" s="343">
        <f t="shared" si="20"/>
        <v>1</v>
      </c>
      <c r="Q213" s="343">
        <f t="shared" si="20"/>
        <v>1</v>
      </c>
      <c r="R213" s="343">
        <f t="shared" si="20"/>
        <v>1</v>
      </c>
      <c r="S213" s="343">
        <f t="shared" si="20"/>
        <v>1</v>
      </c>
      <c r="T213" s="343">
        <f t="shared" si="20"/>
        <v>1</v>
      </c>
      <c r="U213" s="343">
        <f t="shared" si="20"/>
        <v>1</v>
      </c>
      <c r="V213" s="343">
        <f t="shared" si="20"/>
        <v>1</v>
      </c>
      <c r="W213" s="343">
        <f t="shared" si="20"/>
        <v>1</v>
      </c>
      <c r="X213" s="343">
        <f t="shared" si="20"/>
        <v>1</v>
      </c>
      <c r="Y213" s="343">
        <f t="shared" si="20"/>
        <v>1</v>
      </c>
      <c r="Z213" s="343">
        <f t="shared" si="20"/>
        <v>1</v>
      </c>
      <c r="AA213" s="343">
        <f t="shared" si="20"/>
        <v>1</v>
      </c>
      <c r="AB213" s="343">
        <f t="shared" si="20"/>
        <v>1</v>
      </c>
      <c r="AC213" s="343">
        <f t="shared" si="20"/>
        <v>1</v>
      </c>
      <c r="AD213" s="343">
        <f t="shared" si="20"/>
        <v>1</v>
      </c>
      <c r="AE213" s="343">
        <f t="shared" si="20"/>
        <v>1</v>
      </c>
      <c r="AF213" s="343">
        <f t="shared" si="20"/>
        <v>1</v>
      </c>
      <c r="AG213" s="343">
        <f t="shared" si="20"/>
        <v>1</v>
      </c>
      <c r="AH213" s="343">
        <f t="shared" si="20"/>
        <v>1</v>
      </c>
      <c r="AI213" s="343">
        <f t="shared" si="20"/>
        <v>1</v>
      </c>
      <c r="AJ213" s="343">
        <f t="shared" si="20"/>
        <v>1</v>
      </c>
      <c r="AK213" s="343">
        <f t="shared" si="20"/>
        <v>1</v>
      </c>
      <c r="AL213" s="343">
        <f t="shared" si="20"/>
        <v>1</v>
      </c>
      <c r="AM213" s="343">
        <f t="shared" si="20"/>
        <v>1</v>
      </c>
    </row>
    <row r="214" spans="1:39" s="256" customFormat="1" outlineLevel="1" x14ac:dyDescent="0.25">
      <c r="B214" s="256" t="str">
        <f t="shared" si="14"/>
        <v>NyAff3</v>
      </c>
      <c r="C214" s="257" t="s">
        <v>242</v>
      </c>
      <c r="D214" s="343">
        <f t="shared" si="15"/>
        <v>0</v>
      </c>
      <c r="E214" s="343">
        <f t="shared" si="20"/>
        <v>0</v>
      </c>
      <c r="F214" s="343">
        <f t="shared" si="20"/>
        <v>0</v>
      </c>
      <c r="G214" s="343">
        <f t="shared" si="20"/>
        <v>0</v>
      </c>
      <c r="H214" s="343">
        <f t="shared" si="20"/>
        <v>0</v>
      </c>
      <c r="I214" s="343">
        <f t="shared" si="20"/>
        <v>0</v>
      </c>
      <c r="J214" s="343">
        <f t="shared" si="20"/>
        <v>0</v>
      </c>
      <c r="K214" s="343">
        <f t="shared" si="20"/>
        <v>0</v>
      </c>
      <c r="L214" s="343">
        <f t="shared" si="20"/>
        <v>0</v>
      </c>
      <c r="M214" s="343">
        <f t="shared" si="20"/>
        <v>0</v>
      </c>
      <c r="N214" s="343">
        <f t="shared" si="20"/>
        <v>0</v>
      </c>
      <c r="O214" s="343">
        <f t="shared" si="20"/>
        <v>0</v>
      </c>
      <c r="P214" s="343">
        <f t="shared" si="20"/>
        <v>0</v>
      </c>
      <c r="Q214" s="343">
        <f t="shared" si="20"/>
        <v>0</v>
      </c>
      <c r="R214" s="343">
        <f t="shared" si="20"/>
        <v>0</v>
      </c>
      <c r="S214" s="343">
        <f t="shared" si="20"/>
        <v>0</v>
      </c>
      <c r="T214" s="343">
        <f t="shared" si="20"/>
        <v>0</v>
      </c>
      <c r="U214" s="343">
        <f t="shared" si="20"/>
        <v>0</v>
      </c>
      <c r="V214" s="343">
        <f t="shared" si="20"/>
        <v>0</v>
      </c>
      <c r="W214" s="343">
        <f t="shared" si="20"/>
        <v>0</v>
      </c>
      <c r="X214" s="343">
        <f t="shared" si="20"/>
        <v>0</v>
      </c>
      <c r="Y214" s="343">
        <f t="shared" si="20"/>
        <v>0</v>
      </c>
      <c r="Z214" s="343">
        <f t="shared" si="20"/>
        <v>0</v>
      </c>
      <c r="AA214" s="343">
        <f t="shared" si="20"/>
        <v>0</v>
      </c>
      <c r="AB214" s="343">
        <f t="shared" si="20"/>
        <v>0</v>
      </c>
      <c r="AC214" s="343">
        <f t="shared" si="20"/>
        <v>0</v>
      </c>
      <c r="AD214" s="343">
        <f t="shared" si="20"/>
        <v>0</v>
      </c>
      <c r="AE214" s="343">
        <f t="shared" si="20"/>
        <v>0</v>
      </c>
      <c r="AF214" s="343">
        <f t="shared" si="20"/>
        <v>0</v>
      </c>
      <c r="AG214" s="343">
        <f t="shared" si="20"/>
        <v>0</v>
      </c>
      <c r="AH214" s="343">
        <f t="shared" si="20"/>
        <v>0</v>
      </c>
      <c r="AI214" s="343">
        <f t="shared" si="20"/>
        <v>0</v>
      </c>
      <c r="AJ214" s="343">
        <f t="shared" si="20"/>
        <v>0</v>
      </c>
      <c r="AK214" s="343">
        <f t="shared" si="20"/>
        <v>0</v>
      </c>
      <c r="AL214" s="343">
        <f t="shared" si="20"/>
        <v>0</v>
      </c>
      <c r="AM214" s="343">
        <f t="shared" si="20"/>
        <v>0</v>
      </c>
    </row>
    <row r="215" spans="1:39" s="256" customFormat="1" outlineLevel="1" x14ac:dyDescent="0.25">
      <c r="B215" s="256" t="str">
        <f t="shared" si="14"/>
        <v>NyAff4</v>
      </c>
      <c r="C215" s="257" t="s">
        <v>242</v>
      </c>
      <c r="D215" s="343">
        <f t="shared" si="15"/>
        <v>0</v>
      </c>
      <c r="E215" s="343">
        <f t="shared" si="20"/>
        <v>0</v>
      </c>
      <c r="F215" s="343">
        <f t="shared" si="20"/>
        <v>0</v>
      </c>
      <c r="G215" s="343">
        <f t="shared" si="20"/>
        <v>0</v>
      </c>
      <c r="H215" s="343">
        <f t="shared" si="20"/>
        <v>0</v>
      </c>
      <c r="I215" s="343">
        <f t="shared" si="20"/>
        <v>0</v>
      </c>
      <c r="J215" s="343">
        <f t="shared" si="20"/>
        <v>0</v>
      </c>
      <c r="K215" s="343">
        <f t="shared" si="20"/>
        <v>0</v>
      </c>
      <c r="L215" s="343">
        <f t="shared" si="20"/>
        <v>0</v>
      </c>
      <c r="M215" s="343">
        <f t="shared" si="20"/>
        <v>0</v>
      </c>
      <c r="N215" s="343">
        <f t="shared" si="20"/>
        <v>0</v>
      </c>
      <c r="O215" s="343">
        <f t="shared" si="20"/>
        <v>0</v>
      </c>
      <c r="P215" s="343">
        <f t="shared" si="20"/>
        <v>0</v>
      </c>
      <c r="Q215" s="343">
        <f t="shared" si="20"/>
        <v>0</v>
      </c>
      <c r="R215" s="343">
        <f t="shared" si="20"/>
        <v>0</v>
      </c>
      <c r="S215" s="343">
        <f t="shared" si="20"/>
        <v>0</v>
      </c>
      <c r="T215" s="343">
        <f t="shared" si="20"/>
        <v>0</v>
      </c>
      <c r="U215" s="343">
        <f t="shared" si="20"/>
        <v>0</v>
      </c>
      <c r="V215" s="343">
        <f t="shared" si="20"/>
        <v>0</v>
      </c>
      <c r="W215" s="343">
        <f t="shared" si="20"/>
        <v>0</v>
      </c>
      <c r="X215" s="343">
        <f t="shared" si="20"/>
        <v>0</v>
      </c>
      <c r="Y215" s="343">
        <f t="shared" si="20"/>
        <v>0</v>
      </c>
      <c r="Z215" s="343">
        <f t="shared" si="20"/>
        <v>0</v>
      </c>
      <c r="AA215" s="343">
        <f t="shared" si="20"/>
        <v>0</v>
      </c>
      <c r="AB215" s="343">
        <f t="shared" si="20"/>
        <v>0</v>
      </c>
      <c r="AC215" s="343">
        <f t="shared" si="20"/>
        <v>0</v>
      </c>
      <c r="AD215" s="343">
        <f t="shared" si="20"/>
        <v>0</v>
      </c>
      <c r="AE215" s="343">
        <f t="shared" si="20"/>
        <v>0</v>
      </c>
      <c r="AF215" s="343">
        <f t="shared" si="20"/>
        <v>0</v>
      </c>
      <c r="AG215" s="343">
        <f t="shared" si="20"/>
        <v>0</v>
      </c>
      <c r="AH215" s="343">
        <f t="shared" si="20"/>
        <v>0</v>
      </c>
      <c r="AI215" s="343">
        <f t="shared" si="20"/>
        <v>0</v>
      </c>
      <c r="AJ215" s="343">
        <f t="shared" si="20"/>
        <v>0</v>
      </c>
      <c r="AK215" s="343">
        <f t="shared" si="20"/>
        <v>0</v>
      </c>
      <c r="AL215" s="343">
        <f t="shared" si="20"/>
        <v>0</v>
      </c>
      <c r="AM215" s="343">
        <f t="shared" si="20"/>
        <v>0</v>
      </c>
    </row>
    <row r="216" spans="1:39" s="256" customFormat="1" outlineLevel="1" x14ac:dyDescent="0.25">
      <c r="B216" s="256" t="str">
        <f t="shared" si="14"/>
        <v>NyAff5</v>
      </c>
      <c r="C216" s="257" t="s">
        <v>242</v>
      </c>
      <c r="D216" s="343">
        <f t="shared" si="15"/>
        <v>0</v>
      </c>
      <c r="E216" s="343">
        <f t="shared" si="20"/>
        <v>0</v>
      </c>
      <c r="F216" s="343">
        <f t="shared" si="20"/>
        <v>0</v>
      </c>
      <c r="G216" s="343">
        <f t="shared" si="20"/>
        <v>0</v>
      </c>
      <c r="H216" s="343">
        <f t="shared" si="20"/>
        <v>0</v>
      </c>
      <c r="I216" s="343">
        <f t="shared" si="20"/>
        <v>0</v>
      </c>
      <c r="J216" s="343">
        <f t="shared" si="20"/>
        <v>0</v>
      </c>
      <c r="K216" s="343">
        <f t="shared" si="20"/>
        <v>0</v>
      </c>
      <c r="L216" s="343">
        <f t="shared" si="20"/>
        <v>0</v>
      </c>
      <c r="M216" s="343">
        <f t="shared" si="20"/>
        <v>0</v>
      </c>
      <c r="N216" s="343">
        <f t="shared" si="20"/>
        <v>0</v>
      </c>
      <c r="O216" s="343">
        <f t="shared" si="20"/>
        <v>0</v>
      </c>
      <c r="P216" s="343">
        <f t="shared" si="20"/>
        <v>0</v>
      </c>
      <c r="Q216" s="343">
        <f t="shared" si="20"/>
        <v>0</v>
      </c>
      <c r="R216" s="343">
        <f t="shared" si="20"/>
        <v>0</v>
      </c>
      <c r="S216" s="343">
        <f t="shared" si="20"/>
        <v>0</v>
      </c>
      <c r="T216" s="343">
        <f t="shared" si="20"/>
        <v>0</v>
      </c>
      <c r="U216" s="343">
        <f t="shared" si="20"/>
        <v>0</v>
      </c>
      <c r="V216" s="343">
        <f t="shared" si="20"/>
        <v>0</v>
      </c>
      <c r="W216" s="343">
        <f t="shared" si="20"/>
        <v>0</v>
      </c>
      <c r="X216" s="343">
        <f t="shared" si="20"/>
        <v>0</v>
      </c>
      <c r="Y216" s="343">
        <f t="shared" si="20"/>
        <v>0</v>
      </c>
      <c r="Z216" s="343">
        <f t="shared" si="20"/>
        <v>0</v>
      </c>
      <c r="AA216" s="343">
        <f t="shared" si="20"/>
        <v>0</v>
      </c>
      <c r="AB216" s="343">
        <f t="shared" si="20"/>
        <v>0</v>
      </c>
      <c r="AC216" s="343">
        <f t="shared" si="20"/>
        <v>0</v>
      </c>
      <c r="AD216" s="343">
        <f t="shared" si="20"/>
        <v>0</v>
      </c>
      <c r="AE216" s="343">
        <f t="shared" si="20"/>
        <v>0</v>
      </c>
      <c r="AF216" s="343">
        <f t="shared" si="20"/>
        <v>0</v>
      </c>
      <c r="AG216" s="343">
        <f t="shared" si="20"/>
        <v>0</v>
      </c>
      <c r="AH216" s="343">
        <f t="shared" si="20"/>
        <v>0</v>
      </c>
      <c r="AI216" s="343">
        <f t="shared" si="20"/>
        <v>0</v>
      </c>
      <c r="AJ216" s="343">
        <f t="shared" si="20"/>
        <v>0</v>
      </c>
      <c r="AK216" s="343">
        <f t="shared" si="20"/>
        <v>0</v>
      </c>
      <c r="AL216" s="343">
        <f t="shared" si="20"/>
        <v>0</v>
      </c>
      <c r="AM216" s="343">
        <f t="shared" si="20"/>
        <v>0</v>
      </c>
    </row>
    <row r="217" spans="1:39" outlineLevel="1" x14ac:dyDescent="0.25">
      <c r="A217" s="294"/>
      <c r="B217" t="str" cm="1">
        <f t="array" ref="B217:B219">ØvrigeBrændsler</f>
        <v>Flis</v>
      </c>
      <c r="C217" s="257" t="s">
        <v>242</v>
      </c>
      <c r="D217" s="343">
        <f t="shared" si="15"/>
        <v>0</v>
      </c>
      <c r="E217" s="343">
        <f t="shared" si="20"/>
        <v>0</v>
      </c>
      <c r="F217" s="343">
        <f t="shared" si="20"/>
        <v>0</v>
      </c>
      <c r="G217" s="343">
        <f t="shared" si="20"/>
        <v>0</v>
      </c>
      <c r="H217" s="343">
        <f t="shared" si="20"/>
        <v>0</v>
      </c>
      <c r="I217" s="343">
        <f t="shared" si="20"/>
        <v>0</v>
      </c>
      <c r="J217" s="343">
        <f t="shared" si="20"/>
        <v>0</v>
      </c>
      <c r="K217" s="343">
        <f t="shared" si="20"/>
        <v>0</v>
      </c>
      <c r="L217" s="343">
        <f t="shared" si="20"/>
        <v>0</v>
      </c>
      <c r="M217" s="343">
        <f t="shared" si="20"/>
        <v>0</v>
      </c>
      <c r="N217" s="343">
        <f t="shared" si="20"/>
        <v>0</v>
      </c>
      <c r="O217" s="343">
        <f t="shared" si="20"/>
        <v>0</v>
      </c>
      <c r="P217" s="343">
        <f t="shared" si="20"/>
        <v>0</v>
      </c>
      <c r="Q217" s="343">
        <f t="shared" si="20"/>
        <v>0</v>
      </c>
      <c r="R217" s="343">
        <f t="shared" si="20"/>
        <v>0</v>
      </c>
      <c r="S217" s="343">
        <f t="shared" si="20"/>
        <v>0</v>
      </c>
      <c r="T217" s="343">
        <f t="shared" si="20"/>
        <v>0</v>
      </c>
      <c r="U217" s="343">
        <f t="shared" si="20"/>
        <v>0</v>
      </c>
      <c r="V217" s="343">
        <f t="shared" si="20"/>
        <v>0</v>
      </c>
      <c r="W217" s="343">
        <f t="shared" si="20"/>
        <v>0</v>
      </c>
      <c r="X217" s="343">
        <f t="shared" si="20"/>
        <v>0</v>
      </c>
      <c r="Y217" s="343">
        <f t="shared" si="20"/>
        <v>0</v>
      </c>
      <c r="Z217" s="343">
        <f t="shared" si="20"/>
        <v>0</v>
      </c>
      <c r="AA217" s="343">
        <f t="shared" si="20"/>
        <v>0</v>
      </c>
      <c r="AB217" s="343">
        <f t="shared" si="20"/>
        <v>0</v>
      </c>
      <c r="AC217" s="343">
        <f t="shared" si="20"/>
        <v>0</v>
      </c>
      <c r="AD217" s="343">
        <f t="shared" si="20"/>
        <v>0</v>
      </c>
      <c r="AE217" s="343">
        <f t="shared" si="20"/>
        <v>0</v>
      </c>
      <c r="AF217" s="343">
        <f t="shared" si="20"/>
        <v>0</v>
      </c>
      <c r="AG217" s="343">
        <f t="shared" si="20"/>
        <v>0</v>
      </c>
      <c r="AH217" s="343">
        <f t="shared" si="20"/>
        <v>0</v>
      </c>
      <c r="AI217" s="343">
        <f t="shared" si="20"/>
        <v>0</v>
      </c>
      <c r="AJ217" s="343">
        <f t="shared" si="20"/>
        <v>0</v>
      </c>
      <c r="AK217" s="343">
        <f t="shared" si="20"/>
        <v>0</v>
      </c>
      <c r="AL217" s="343">
        <f t="shared" si="20"/>
        <v>0</v>
      </c>
      <c r="AM217" s="343">
        <f t="shared" si="20"/>
        <v>0</v>
      </c>
    </row>
    <row r="218" spans="1:39" outlineLevel="1" x14ac:dyDescent="0.25">
      <c r="A218" s="295"/>
      <c r="B218" t="str">
        <v>NSvarme</v>
      </c>
      <c r="C218" s="257" t="s">
        <v>242</v>
      </c>
      <c r="D218" s="343">
        <f t="shared" si="15"/>
        <v>0</v>
      </c>
      <c r="E218" s="343">
        <f t="shared" si="20"/>
        <v>0</v>
      </c>
      <c r="F218" s="343">
        <f t="shared" si="20"/>
        <v>0</v>
      </c>
      <c r="G218" s="343">
        <f t="shared" si="20"/>
        <v>0</v>
      </c>
      <c r="H218" s="343">
        <f t="shared" si="20"/>
        <v>0</v>
      </c>
      <c r="I218" s="343">
        <f t="shared" si="20"/>
        <v>0</v>
      </c>
      <c r="J218" s="343">
        <f t="shared" si="20"/>
        <v>0</v>
      </c>
      <c r="K218" s="343">
        <f t="shared" si="20"/>
        <v>0</v>
      </c>
      <c r="L218" s="343">
        <f t="shared" si="20"/>
        <v>0</v>
      </c>
      <c r="M218" s="343">
        <f t="shared" si="20"/>
        <v>0</v>
      </c>
      <c r="N218" s="343">
        <f t="shared" si="20"/>
        <v>0</v>
      </c>
      <c r="O218" s="343">
        <f t="shared" si="20"/>
        <v>0</v>
      </c>
      <c r="P218" s="343">
        <f t="shared" si="20"/>
        <v>0</v>
      </c>
      <c r="Q218" s="343">
        <f t="shared" si="20"/>
        <v>0</v>
      </c>
      <c r="R218" s="343">
        <f t="shared" si="20"/>
        <v>0</v>
      </c>
      <c r="S218" s="343">
        <f t="shared" si="20"/>
        <v>0</v>
      </c>
      <c r="T218" s="343">
        <f t="shared" si="20"/>
        <v>0</v>
      </c>
      <c r="U218" s="343">
        <f t="shared" si="20"/>
        <v>0</v>
      </c>
      <c r="V218" s="343">
        <f t="shared" si="20"/>
        <v>0</v>
      </c>
      <c r="W218" s="343">
        <f t="shared" si="20"/>
        <v>0</v>
      </c>
      <c r="X218" s="343">
        <f t="shared" si="20"/>
        <v>0</v>
      </c>
      <c r="Y218" s="343">
        <f t="shared" si="20"/>
        <v>0</v>
      </c>
      <c r="Z218" s="343">
        <f t="shared" si="20"/>
        <v>0</v>
      </c>
      <c r="AA218" s="343">
        <f t="shared" si="20"/>
        <v>0</v>
      </c>
      <c r="AB218" s="343">
        <f t="shared" si="20"/>
        <v>0</v>
      </c>
      <c r="AC218" s="343">
        <f t="shared" si="20"/>
        <v>0</v>
      </c>
      <c r="AD218" s="343">
        <f t="shared" si="20"/>
        <v>0</v>
      </c>
      <c r="AE218" s="343">
        <f t="shared" si="20"/>
        <v>0</v>
      </c>
      <c r="AF218" s="343">
        <f t="shared" si="20"/>
        <v>0</v>
      </c>
      <c r="AG218" s="343">
        <f t="shared" si="20"/>
        <v>0</v>
      </c>
      <c r="AH218" s="343">
        <f t="shared" si="20"/>
        <v>0</v>
      </c>
      <c r="AI218" s="343">
        <f t="shared" si="20"/>
        <v>0</v>
      </c>
      <c r="AJ218" s="343">
        <f t="shared" si="20"/>
        <v>0</v>
      </c>
      <c r="AK218" s="343">
        <f t="shared" si="20"/>
        <v>0</v>
      </c>
      <c r="AL218" s="343">
        <f t="shared" si="20"/>
        <v>0</v>
      </c>
      <c r="AM218" s="343">
        <f t="shared" si="20"/>
        <v>0</v>
      </c>
    </row>
    <row r="219" spans="1:39" outlineLevel="1" x14ac:dyDescent="0.25">
      <c r="A219" s="295"/>
      <c r="B219" t="str">
        <v>PeakFuel</v>
      </c>
      <c r="C219" s="257" t="s">
        <v>242</v>
      </c>
      <c r="D219" s="343">
        <f t="shared" si="15"/>
        <v>0</v>
      </c>
      <c r="E219" s="343">
        <f t="shared" si="20"/>
        <v>0</v>
      </c>
      <c r="F219" s="343">
        <f t="shared" si="20"/>
        <v>0</v>
      </c>
      <c r="G219" s="343">
        <f t="shared" si="20"/>
        <v>0</v>
      </c>
      <c r="H219" s="343">
        <f t="shared" si="20"/>
        <v>0</v>
      </c>
      <c r="I219" s="343">
        <f t="shared" si="20"/>
        <v>0</v>
      </c>
      <c r="J219" s="343">
        <f t="shared" si="20"/>
        <v>0</v>
      </c>
      <c r="K219" s="343">
        <f t="shared" si="20"/>
        <v>0</v>
      </c>
      <c r="L219" s="343">
        <f t="shared" si="20"/>
        <v>0</v>
      </c>
      <c r="M219" s="343">
        <f t="shared" si="20"/>
        <v>0</v>
      </c>
      <c r="N219" s="343">
        <f t="shared" si="20"/>
        <v>0</v>
      </c>
      <c r="O219" s="343">
        <f t="shared" si="20"/>
        <v>0</v>
      </c>
      <c r="P219" s="343">
        <f t="shared" si="20"/>
        <v>0</v>
      </c>
      <c r="Q219" s="343">
        <f t="shared" si="20"/>
        <v>0</v>
      </c>
      <c r="R219" s="343">
        <f t="shared" si="20"/>
        <v>0</v>
      </c>
      <c r="S219" s="343">
        <f t="shared" si="20"/>
        <v>0</v>
      </c>
      <c r="T219" s="343">
        <f t="shared" si="20"/>
        <v>0</v>
      </c>
      <c r="U219" s="343">
        <f t="shared" si="20"/>
        <v>0</v>
      </c>
      <c r="V219" s="343">
        <f t="shared" si="20"/>
        <v>0</v>
      </c>
      <c r="W219" s="343">
        <f t="shared" si="20"/>
        <v>0</v>
      </c>
      <c r="X219" s="343">
        <f t="shared" si="20"/>
        <v>0</v>
      </c>
      <c r="Y219" s="343">
        <f t="shared" si="20"/>
        <v>0</v>
      </c>
      <c r="Z219" s="343">
        <f t="shared" si="20"/>
        <v>0</v>
      </c>
      <c r="AA219" s="343">
        <f t="shared" si="20"/>
        <v>0</v>
      </c>
      <c r="AB219" s="343">
        <f t="shared" si="20"/>
        <v>0</v>
      </c>
      <c r="AC219" s="343">
        <f t="shared" si="20"/>
        <v>0</v>
      </c>
      <c r="AD219" s="343">
        <f t="shared" si="20"/>
        <v>0</v>
      </c>
      <c r="AE219" s="343">
        <f t="shared" si="20"/>
        <v>0</v>
      </c>
      <c r="AF219" s="343">
        <f t="shared" si="20"/>
        <v>0</v>
      </c>
      <c r="AG219" s="343">
        <f t="shared" si="20"/>
        <v>0</v>
      </c>
      <c r="AH219" s="343">
        <f t="shared" si="20"/>
        <v>0</v>
      </c>
      <c r="AI219" s="343">
        <f t="shared" si="20"/>
        <v>0</v>
      </c>
      <c r="AJ219" s="343">
        <f t="shared" si="20"/>
        <v>0</v>
      </c>
      <c r="AK219" s="343">
        <f t="shared" si="20"/>
        <v>0</v>
      </c>
      <c r="AL219" s="343">
        <f t="shared" si="20"/>
        <v>0</v>
      </c>
      <c r="AM219" s="343">
        <f t="shared" si="20"/>
        <v>0</v>
      </c>
    </row>
    <row r="220" spans="1:39" s="40" customFormat="1" ht="15.75" x14ac:dyDescent="0.25">
      <c r="A220" s="37" t="s">
        <v>399</v>
      </c>
      <c r="B220" s="36"/>
      <c r="C220" s="36"/>
      <c r="D220" s="344"/>
      <c r="E220" s="345"/>
      <c r="F220" s="345"/>
      <c r="G220" s="345"/>
      <c r="H220" s="345"/>
      <c r="I220" s="345"/>
      <c r="J220" s="345"/>
      <c r="K220" s="345"/>
      <c r="L220" s="345"/>
      <c r="M220" s="345"/>
      <c r="N220" s="345"/>
      <c r="O220" s="345"/>
      <c r="P220" s="344"/>
      <c r="Q220" s="345"/>
      <c r="R220" s="345"/>
      <c r="S220" s="345"/>
      <c r="T220" s="345"/>
      <c r="U220" s="345"/>
      <c r="V220" s="345"/>
      <c r="W220" s="345"/>
      <c r="X220" s="345"/>
      <c r="Y220" s="345"/>
      <c r="Z220" s="345"/>
      <c r="AA220" s="345"/>
      <c r="AB220" s="344"/>
      <c r="AC220" s="345"/>
      <c r="AD220" s="345"/>
      <c r="AE220" s="345"/>
      <c r="AF220" s="345"/>
      <c r="AG220" s="345"/>
      <c r="AH220" s="345"/>
      <c r="AI220" s="345"/>
      <c r="AJ220" s="345"/>
      <c r="AK220" s="345"/>
      <c r="AL220" s="345"/>
      <c r="AM220" s="345"/>
    </row>
    <row r="221" spans="1:39" s="256" customFormat="1" outlineLevel="1" x14ac:dyDescent="0.25">
      <c r="B221" s="256" t="str">
        <f t="shared" ref="B221:B246" si="21">B191</f>
        <v>DepoSort</v>
      </c>
      <c r="C221" s="257" t="s">
        <v>243</v>
      </c>
      <c r="D221" s="343">
        <f t="shared" ref="D221:D249" si="22">$K5</f>
        <v>1</v>
      </c>
      <c r="E221" s="343">
        <f t="shared" ref="E221:AM228" si="23">$K5</f>
        <v>1</v>
      </c>
      <c r="F221" s="343">
        <f t="shared" si="23"/>
        <v>1</v>
      </c>
      <c r="G221" s="343">
        <f t="shared" si="23"/>
        <v>1</v>
      </c>
      <c r="H221" s="343">
        <f t="shared" si="23"/>
        <v>1</v>
      </c>
      <c r="I221" s="343">
        <f t="shared" si="23"/>
        <v>1</v>
      </c>
      <c r="J221" s="343">
        <f t="shared" si="23"/>
        <v>1</v>
      </c>
      <c r="K221" s="343">
        <f t="shared" si="23"/>
        <v>1</v>
      </c>
      <c r="L221" s="343">
        <f t="shared" si="23"/>
        <v>1</v>
      </c>
      <c r="M221" s="343">
        <f t="shared" si="23"/>
        <v>1</v>
      </c>
      <c r="N221" s="343">
        <f t="shared" si="23"/>
        <v>1</v>
      </c>
      <c r="O221" s="343">
        <f t="shared" si="23"/>
        <v>1</v>
      </c>
      <c r="P221" s="343">
        <f t="shared" si="23"/>
        <v>1</v>
      </c>
      <c r="Q221" s="343">
        <f t="shared" si="23"/>
        <v>1</v>
      </c>
      <c r="R221" s="343">
        <f t="shared" si="23"/>
        <v>1</v>
      </c>
      <c r="S221" s="343">
        <f t="shared" si="23"/>
        <v>1</v>
      </c>
      <c r="T221" s="343">
        <f t="shared" si="23"/>
        <v>1</v>
      </c>
      <c r="U221" s="343">
        <f t="shared" si="23"/>
        <v>1</v>
      </c>
      <c r="V221" s="343">
        <f t="shared" si="23"/>
        <v>1</v>
      </c>
      <c r="W221" s="343">
        <f t="shared" si="23"/>
        <v>1</v>
      </c>
      <c r="X221" s="343">
        <f t="shared" si="23"/>
        <v>1</v>
      </c>
      <c r="Y221" s="343">
        <f t="shared" si="23"/>
        <v>1</v>
      </c>
      <c r="Z221" s="343">
        <f t="shared" si="23"/>
        <v>1</v>
      </c>
      <c r="AA221" s="343">
        <f t="shared" si="23"/>
        <v>1</v>
      </c>
      <c r="AB221" s="343">
        <f t="shared" si="23"/>
        <v>1</v>
      </c>
      <c r="AC221" s="343">
        <f t="shared" si="23"/>
        <v>1</v>
      </c>
      <c r="AD221" s="343">
        <f t="shared" si="23"/>
        <v>1</v>
      </c>
      <c r="AE221" s="343">
        <f t="shared" si="23"/>
        <v>1</v>
      </c>
      <c r="AF221" s="343">
        <f t="shared" si="23"/>
        <v>1</v>
      </c>
      <c r="AG221" s="343">
        <f t="shared" si="23"/>
        <v>1</v>
      </c>
      <c r="AH221" s="343">
        <f t="shared" si="23"/>
        <v>1</v>
      </c>
      <c r="AI221" s="343">
        <f t="shared" si="23"/>
        <v>1</v>
      </c>
      <c r="AJ221" s="343">
        <f t="shared" si="23"/>
        <v>1</v>
      </c>
      <c r="AK221" s="343">
        <f t="shared" si="23"/>
        <v>1</v>
      </c>
      <c r="AL221" s="343">
        <f t="shared" si="23"/>
        <v>1</v>
      </c>
      <c r="AM221" s="343">
        <f t="shared" si="23"/>
        <v>1</v>
      </c>
    </row>
    <row r="222" spans="1:39" s="256" customFormat="1" outlineLevel="1" x14ac:dyDescent="0.25">
      <c r="B222" s="256" t="str">
        <f t="shared" si="21"/>
        <v>DepoSmaat</v>
      </c>
      <c r="C222" s="257" t="s">
        <v>243</v>
      </c>
      <c r="D222" s="343">
        <f t="shared" si="22"/>
        <v>1</v>
      </c>
      <c r="E222" s="343">
        <f t="shared" ref="E222:S222" si="24">$K6</f>
        <v>1</v>
      </c>
      <c r="F222" s="343">
        <f t="shared" si="24"/>
        <v>1</v>
      </c>
      <c r="G222" s="343">
        <f t="shared" si="24"/>
        <v>1</v>
      </c>
      <c r="H222" s="343">
        <f t="shared" si="24"/>
        <v>1</v>
      </c>
      <c r="I222" s="343">
        <f t="shared" si="24"/>
        <v>1</v>
      </c>
      <c r="J222" s="343">
        <f t="shared" si="24"/>
        <v>1</v>
      </c>
      <c r="K222" s="343">
        <f t="shared" si="24"/>
        <v>1</v>
      </c>
      <c r="L222" s="343">
        <f t="shared" si="24"/>
        <v>1</v>
      </c>
      <c r="M222" s="343">
        <f t="shared" si="24"/>
        <v>1</v>
      </c>
      <c r="N222" s="343">
        <f t="shared" si="24"/>
        <v>1</v>
      </c>
      <c r="O222" s="343">
        <f t="shared" si="24"/>
        <v>1</v>
      </c>
      <c r="P222" s="343">
        <f t="shared" si="24"/>
        <v>1</v>
      </c>
      <c r="Q222" s="343">
        <f t="shared" si="24"/>
        <v>1</v>
      </c>
      <c r="R222" s="343">
        <f t="shared" si="24"/>
        <v>1</v>
      </c>
      <c r="S222" s="343">
        <f t="shared" si="24"/>
        <v>1</v>
      </c>
      <c r="T222" s="343">
        <f t="shared" si="23"/>
        <v>1</v>
      </c>
      <c r="U222" s="343">
        <f t="shared" si="23"/>
        <v>1</v>
      </c>
      <c r="V222" s="343">
        <f t="shared" si="23"/>
        <v>1</v>
      </c>
      <c r="W222" s="343">
        <f t="shared" si="23"/>
        <v>1</v>
      </c>
      <c r="X222" s="343">
        <f t="shared" si="23"/>
        <v>1</v>
      </c>
      <c r="Y222" s="343">
        <f t="shared" si="23"/>
        <v>1</v>
      </c>
      <c r="Z222" s="343">
        <f t="shared" si="23"/>
        <v>1</v>
      </c>
      <c r="AA222" s="343">
        <f t="shared" si="23"/>
        <v>1</v>
      </c>
      <c r="AB222" s="343">
        <f t="shared" si="23"/>
        <v>1</v>
      </c>
      <c r="AC222" s="343">
        <f t="shared" si="23"/>
        <v>1</v>
      </c>
      <c r="AD222" s="343">
        <f t="shared" si="23"/>
        <v>1</v>
      </c>
      <c r="AE222" s="343">
        <f t="shared" si="23"/>
        <v>1</v>
      </c>
      <c r="AF222" s="343">
        <f t="shared" si="23"/>
        <v>1</v>
      </c>
      <c r="AG222" s="343">
        <f t="shared" si="23"/>
        <v>1</v>
      </c>
      <c r="AH222" s="343">
        <f t="shared" si="23"/>
        <v>1</v>
      </c>
      <c r="AI222" s="343">
        <f t="shared" si="23"/>
        <v>1</v>
      </c>
      <c r="AJ222" s="343">
        <f t="shared" si="23"/>
        <v>1</v>
      </c>
      <c r="AK222" s="343">
        <f t="shared" si="23"/>
        <v>1</v>
      </c>
      <c r="AL222" s="343">
        <f t="shared" si="23"/>
        <v>1</v>
      </c>
      <c r="AM222" s="343">
        <f t="shared" si="23"/>
        <v>1</v>
      </c>
    </row>
    <row r="223" spans="1:39" s="256" customFormat="1" outlineLevel="1" x14ac:dyDescent="0.25">
      <c r="B223" s="256" t="str">
        <f t="shared" si="21"/>
        <v>DepoNedd</v>
      </c>
      <c r="C223" s="257" t="s">
        <v>243</v>
      </c>
      <c r="D223" s="343">
        <f t="shared" si="22"/>
        <v>1</v>
      </c>
      <c r="E223" s="343">
        <f t="shared" si="23"/>
        <v>1</v>
      </c>
      <c r="F223" s="343">
        <f t="shared" si="23"/>
        <v>1</v>
      </c>
      <c r="G223" s="343">
        <f t="shared" si="23"/>
        <v>1</v>
      </c>
      <c r="H223" s="343">
        <f t="shared" si="23"/>
        <v>1</v>
      </c>
      <c r="I223" s="343">
        <f t="shared" si="23"/>
        <v>1</v>
      </c>
      <c r="J223" s="343">
        <f t="shared" si="23"/>
        <v>1</v>
      </c>
      <c r="K223" s="343">
        <f t="shared" si="23"/>
        <v>1</v>
      </c>
      <c r="L223" s="343">
        <f t="shared" si="23"/>
        <v>1</v>
      </c>
      <c r="M223" s="343">
        <f t="shared" si="23"/>
        <v>1</v>
      </c>
      <c r="N223" s="343">
        <f t="shared" si="23"/>
        <v>1</v>
      </c>
      <c r="O223" s="343">
        <f t="shared" si="23"/>
        <v>1</v>
      </c>
      <c r="P223" s="343">
        <f t="shared" si="23"/>
        <v>1</v>
      </c>
      <c r="Q223" s="343">
        <f t="shared" si="23"/>
        <v>1</v>
      </c>
      <c r="R223" s="343">
        <f t="shared" si="23"/>
        <v>1</v>
      </c>
      <c r="S223" s="343">
        <f t="shared" si="23"/>
        <v>1</v>
      </c>
      <c r="T223" s="343">
        <f t="shared" si="23"/>
        <v>1</v>
      </c>
      <c r="U223" s="343">
        <f t="shared" si="23"/>
        <v>1</v>
      </c>
      <c r="V223" s="343">
        <f t="shared" si="23"/>
        <v>1</v>
      </c>
      <c r="W223" s="343">
        <f t="shared" si="23"/>
        <v>1</v>
      </c>
      <c r="X223" s="343">
        <f t="shared" si="23"/>
        <v>1</v>
      </c>
      <c r="Y223" s="343">
        <f t="shared" si="23"/>
        <v>1</v>
      </c>
      <c r="Z223" s="343">
        <f t="shared" si="23"/>
        <v>1</v>
      </c>
      <c r="AA223" s="343">
        <f t="shared" si="23"/>
        <v>1</v>
      </c>
      <c r="AB223" s="343">
        <f t="shared" si="23"/>
        <v>1</v>
      </c>
      <c r="AC223" s="343">
        <f t="shared" si="23"/>
        <v>1</v>
      </c>
      <c r="AD223" s="343">
        <f t="shared" si="23"/>
        <v>1</v>
      </c>
      <c r="AE223" s="343">
        <f t="shared" si="23"/>
        <v>1</v>
      </c>
      <c r="AF223" s="343">
        <f t="shared" si="23"/>
        <v>1</v>
      </c>
      <c r="AG223" s="343">
        <f t="shared" si="23"/>
        <v>1</v>
      </c>
      <c r="AH223" s="343">
        <f t="shared" si="23"/>
        <v>1</v>
      </c>
      <c r="AI223" s="343">
        <f t="shared" si="23"/>
        <v>1</v>
      </c>
      <c r="AJ223" s="343">
        <f t="shared" si="23"/>
        <v>1</v>
      </c>
      <c r="AK223" s="343">
        <f t="shared" si="23"/>
        <v>1</v>
      </c>
      <c r="AL223" s="343">
        <f t="shared" si="23"/>
        <v>1</v>
      </c>
      <c r="AM223" s="343">
        <f t="shared" si="23"/>
        <v>1</v>
      </c>
    </row>
    <row r="224" spans="1:39" s="256" customFormat="1" outlineLevel="1" x14ac:dyDescent="0.25">
      <c r="B224" s="256" t="str">
        <f t="shared" si="21"/>
        <v>Dagren</v>
      </c>
      <c r="C224" s="257" t="s">
        <v>243</v>
      </c>
      <c r="D224" s="343">
        <f t="shared" si="22"/>
        <v>1</v>
      </c>
      <c r="E224" s="343">
        <f t="shared" si="23"/>
        <v>1</v>
      </c>
      <c r="F224" s="343">
        <f t="shared" si="23"/>
        <v>1</v>
      </c>
      <c r="G224" s="343">
        <f t="shared" si="23"/>
        <v>1</v>
      </c>
      <c r="H224" s="343">
        <f t="shared" si="23"/>
        <v>1</v>
      </c>
      <c r="I224" s="343">
        <f t="shared" si="23"/>
        <v>1</v>
      </c>
      <c r="J224" s="343">
        <f t="shared" si="23"/>
        <v>1</v>
      </c>
      <c r="K224" s="343">
        <f t="shared" si="23"/>
        <v>1</v>
      </c>
      <c r="L224" s="343">
        <f t="shared" si="23"/>
        <v>1</v>
      </c>
      <c r="M224" s="343">
        <f t="shared" si="23"/>
        <v>1</v>
      </c>
      <c r="N224" s="343">
        <f t="shared" si="23"/>
        <v>1</v>
      </c>
      <c r="O224" s="343">
        <f t="shared" si="23"/>
        <v>1</v>
      </c>
      <c r="P224" s="343">
        <f t="shared" si="23"/>
        <v>1</v>
      </c>
      <c r="Q224" s="343">
        <f t="shared" si="23"/>
        <v>1</v>
      </c>
      <c r="R224" s="343">
        <f t="shared" si="23"/>
        <v>1</v>
      </c>
      <c r="S224" s="343">
        <f t="shared" si="23"/>
        <v>1</v>
      </c>
      <c r="T224" s="343">
        <f t="shared" si="23"/>
        <v>1</v>
      </c>
      <c r="U224" s="343">
        <f t="shared" si="23"/>
        <v>1</v>
      </c>
      <c r="V224" s="343">
        <f t="shared" si="23"/>
        <v>1</v>
      </c>
      <c r="W224" s="343">
        <f t="shared" si="23"/>
        <v>1</v>
      </c>
      <c r="X224" s="343">
        <f t="shared" si="23"/>
        <v>1</v>
      </c>
      <c r="Y224" s="343">
        <f t="shared" si="23"/>
        <v>1</v>
      </c>
      <c r="Z224" s="343">
        <f t="shared" si="23"/>
        <v>1</v>
      </c>
      <c r="AA224" s="343">
        <f t="shared" si="23"/>
        <v>1</v>
      </c>
      <c r="AB224" s="343">
        <f t="shared" si="23"/>
        <v>1</v>
      </c>
      <c r="AC224" s="343">
        <f t="shared" si="23"/>
        <v>1</v>
      </c>
      <c r="AD224" s="343">
        <f t="shared" si="23"/>
        <v>1</v>
      </c>
      <c r="AE224" s="343">
        <f t="shared" si="23"/>
        <v>1</v>
      </c>
      <c r="AF224" s="343">
        <f t="shared" si="23"/>
        <v>1</v>
      </c>
      <c r="AG224" s="343">
        <f t="shared" si="23"/>
        <v>1</v>
      </c>
      <c r="AH224" s="343">
        <f t="shared" si="23"/>
        <v>1</v>
      </c>
      <c r="AI224" s="343">
        <f t="shared" si="23"/>
        <v>1</v>
      </c>
      <c r="AJ224" s="343">
        <f t="shared" si="23"/>
        <v>1</v>
      </c>
      <c r="AK224" s="343">
        <f t="shared" si="23"/>
        <v>1</v>
      </c>
      <c r="AL224" s="343">
        <f t="shared" si="23"/>
        <v>1</v>
      </c>
      <c r="AM224" s="343">
        <f t="shared" si="23"/>
        <v>1</v>
      </c>
    </row>
    <row r="225" spans="1:39" s="256" customFormat="1" outlineLevel="1" x14ac:dyDescent="0.25">
      <c r="B225" s="256" t="str">
        <f t="shared" si="21"/>
        <v>AndetBrand</v>
      </c>
      <c r="C225" s="257" t="s">
        <v>243</v>
      </c>
      <c r="D225" s="343">
        <f t="shared" si="22"/>
        <v>1</v>
      </c>
      <c r="E225" s="343">
        <f t="shared" si="23"/>
        <v>1</v>
      </c>
      <c r="F225" s="343">
        <f t="shared" si="23"/>
        <v>1</v>
      </c>
      <c r="G225" s="343">
        <f t="shared" si="23"/>
        <v>1</v>
      </c>
      <c r="H225" s="343">
        <f t="shared" si="23"/>
        <v>1</v>
      </c>
      <c r="I225" s="343">
        <f t="shared" si="23"/>
        <v>1</v>
      </c>
      <c r="J225" s="343">
        <f t="shared" si="23"/>
        <v>1</v>
      </c>
      <c r="K225" s="343">
        <f t="shared" si="23"/>
        <v>1</v>
      </c>
      <c r="L225" s="343">
        <f t="shared" si="23"/>
        <v>1</v>
      </c>
      <c r="M225" s="343">
        <f t="shared" si="23"/>
        <v>1</v>
      </c>
      <c r="N225" s="343">
        <f t="shared" si="23"/>
        <v>1</v>
      </c>
      <c r="O225" s="343">
        <f t="shared" si="23"/>
        <v>1</v>
      </c>
      <c r="P225" s="343">
        <f t="shared" si="23"/>
        <v>1</v>
      </c>
      <c r="Q225" s="343">
        <f t="shared" si="23"/>
        <v>1</v>
      </c>
      <c r="R225" s="343">
        <f t="shared" si="23"/>
        <v>1</v>
      </c>
      <c r="S225" s="343">
        <f t="shared" si="23"/>
        <v>1</v>
      </c>
      <c r="T225" s="343">
        <f t="shared" si="23"/>
        <v>1</v>
      </c>
      <c r="U225" s="343">
        <f t="shared" si="23"/>
        <v>1</v>
      </c>
      <c r="V225" s="343">
        <f t="shared" si="23"/>
        <v>1</v>
      </c>
      <c r="W225" s="343">
        <f t="shared" si="23"/>
        <v>1</v>
      </c>
      <c r="X225" s="343">
        <f t="shared" si="23"/>
        <v>1</v>
      </c>
      <c r="Y225" s="343">
        <f t="shared" si="23"/>
        <v>1</v>
      </c>
      <c r="Z225" s="343">
        <f t="shared" si="23"/>
        <v>1</v>
      </c>
      <c r="AA225" s="343">
        <f t="shared" si="23"/>
        <v>1</v>
      </c>
      <c r="AB225" s="343">
        <f t="shared" si="23"/>
        <v>1</v>
      </c>
      <c r="AC225" s="343">
        <f t="shared" si="23"/>
        <v>1</v>
      </c>
      <c r="AD225" s="343">
        <f t="shared" si="23"/>
        <v>1</v>
      </c>
      <c r="AE225" s="343">
        <f t="shared" si="23"/>
        <v>1</v>
      </c>
      <c r="AF225" s="343">
        <f t="shared" si="23"/>
        <v>1</v>
      </c>
      <c r="AG225" s="343">
        <f t="shared" si="23"/>
        <v>1</v>
      </c>
      <c r="AH225" s="343">
        <f t="shared" si="23"/>
        <v>1</v>
      </c>
      <c r="AI225" s="343">
        <f t="shared" si="23"/>
        <v>1</v>
      </c>
      <c r="AJ225" s="343">
        <f t="shared" si="23"/>
        <v>1</v>
      </c>
      <c r="AK225" s="343">
        <f t="shared" si="23"/>
        <v>1</v>
      </c>
      <c r="AL225" s="343">
        <f t="shared" si="23"/>
        <v>1</v>
      </c>
      <c r="AM225" s="343">
        <f t="shared" si="23"/>
        <v>1</v>
      </c>
    </row>
    <row r="226" spans="1:39" s="256" customFormat="1" outlineLevel="1" x14ac:dyDescent="0.25">
      <c r="B226" s="256" t="str">
        <f t="shared" si="21"/>
        <v>Trae</v>
      </c>
      <c r="C226" s="257" t="s">
        <v>243</v>
      </c>
      <c r="D226" s="343">
        <f t="shared" si="22"/>
        <v>1</v>
      </c>
      <c r="E226" s="343">
        <f t="shared" si="23"/>
        <v>1</v>
      </c>
      <c r="F226" s="343">
        <f t="shared" si="23"/>
        <v>1</v>
      </c>
      <c r="G226" s="343">
        <f t="shared" si="23"/>
        <v>1</v>
      </c>
      <c r="H226" s="343">
        <f t="shared" si="23"/>
        <v>1</v>
      </c>
      <c r="I226" s="343">
        <f t="shared" si="23"/>
        <v>1</v>
      </c>
      <c r="J226" s="343">
        <f t="shared" si="23"/>
        <v>1</v>
      </c>
      <c r="K226" s="343">
        <f t="shared" si="23"/>
        <v>1</v>
      </c>
      <c r="L226" s="343">
        <f t="shared" si="23"/>
        <v>1</v>
      </c>
      <c r="M226" s="343">
        <f t="shared" si="23"/>
        <v>1</v>
      </c>
      <c r="N226" s="343">
        <f t="shared" si="23"/>
        <v>1</v>
      </c>
      <c r="O226" s="343">
        <f t="shared" si="23"/>
        <v>1</v>
      </c>
      <c r="P226" s="343">
        <f t="shared" si="23"/>
        <v>1</v>
      </c>
      <c r="Q226" s="343">
        <f t="shared" si="23"/>
        <v>1</v>
      </c>
      <c r="R226" s="343">
        <f t="shared" si="23"/>
        <v>1</v>
      </c>
      <c r="S226" s="343">
        <f t="shared" si="23"/>
        <v>1</v>
      </c>
      <c r="T226" s="343">
        <f t="shared" si="23"/>
        <v>1</v>
      </c>
      <c r="U226" s="343">
        <f t="shared" si="23"/>
        <v>1</v>
      </c>
      <c r="V226" s="343">
        <f t="shared" si="23"/>
        <v>1</v>
      </c>
      <c r="W226" s="343">
        <f t="shared" si="23"/>
        <v>1</v>
      </c>
      <c r="X226" s="343">
        <f t="shared" si="23"/>
        <v>1</v>
      </c>
      <c r="Y226" s="343">
        <f t="shared" si="23"/>
        <v>1</v>
      </c>
      <c r="Z226" s="343">
        <f t="shared" si="23"/>
        <v>1</v>
      </c>
      <c r="AA226" s="343">
        <f t="shared" si="23"/>
        <v>1</v>
      </c>
      <c r="AB226" s="343">
        <f t="shared" si="23"/>
        <v>1</v>
      </c>
      <c r="AC226" s="343">
        <f t="shared" si="23"/>
        <v>1</v>
      </c>
      <c r="AD226" s="343">
        <f t="shared" si="23"/>
        <v>1</v>
      </c>
      <c r="AE226" s="343">
        <f t="shared" si="23"/>
        <v>1</v>
      </c>
      <c r="AF226" s="343">
        <f t="shared" si="23"/>
        <v>1</v>
      </c>
      <c r="AG226" s="343">
        <f t="shared" si="23"/>
        <v>1</v>
      </c>
      <c r="AH226" s="343">
        <f t="shared" si="23"/>
        <v>1</v>
      </c>
      <c r="AI226" s="343">
        <f t="shared" si="23"/>
        <v>1</v>
      </c>
      <c r="AJ226" s="343">
        <f t="shared" si="23"/>
        <v>1</v>
      </c>
      <c r="AK226" s="343">
        <f t="shared" si="23"/>
        <v>1</v>
      </c>
      <c r="AL226" s="343">
        <f t="shared" si="23"/>
        <v>1</v>
      </c>
      <c r="AM226" s="343">
        <f t="shared" si="23"/>
        <v>1</v>
      </c>
    </row>
    <row r="227" spans="1:39" s="256" customFormat="1" outlineLevel="1" x14ac:dyDescent="0.25">
      <c r="B227" s="256" t="str">
        <f t="shared" si="21"/>
        <v>DagrenRast</v>
      </c>
      <c r="C227" s="257" t="s">
        <v>243</v>
      </c>
      <c r="D227" s="343">
        <f t="shared" si="22"/>
        <v>1</v>
      </c>
      <c r="E227" s="343">
        <f t="shared" si="23"/>
        <v>1</v>
      </c>
      <c r="F227" s="343">
        <f t="shared" si="23"/>
        <v>1</v>
      </c>
      <c r="G227" s="343">
        <f t="shared" si="23"/>
        <v>1</v>
      </c>
      <c r="H227" s="343">
        <f t="shared" si="23"/>
        <v>1</v>
      </c>
      <c r="I227" s="343">
        <f t="shared" si="23"/>
        <v>1</v>
      </c>
      <c r="J227" s="343">
        <f t="shared" si="23"/>
        <v>1</v>
      </c>
      <c r="K227" s="343">
        <f t="shared" si="23"/>
        <v>1</v>
      </c>
      <c r="L227" s="343">
        <f t="shared" si="23"/>
        <v>1</v>
      </c>
      <c r="M227" s="343">
        <f t="shared" si="23"/>
        <v>1</v>
      </c>
      <c r="N227" s="343">
        <f t="shared" si="23"/>
        <v>1</v>
      </c>
      <c r="O227" s="343">
        <f t="shared" si="23"/>
        <v>1</v>
      </c>
      <c r="P227" s="343">
        <f t="shared" si="23"/>
        <v>1</v>
      </c>
      <c r="Q227" s="343">
        <f t="shared" si="23"/>
        <v>1</v>
      </c>
      <c r="R227" s="343">
        <f t="shared" si="23"/>
        <v>1</v>
      </c>
      <c r="S227" s="343">
        <f t="shared" si="23"/>
        <v>1</v>
      </c>
      <c r="T227" s="343">
        <f t="shared" si="23"/>
        <v>1</v>
      </c>
      <c r="U227" s="343">
        <f t="shared" si="23"/>
        <v>1</v>
      </c>
      <c r="V227" s="343">
        <f t="shared" si="23"/>
        <v>1</v>
      </c>
      <c r="W227" s="343">
        <f t="shared" si="23"/>
        <v>1</v>
      </c>
      <c r="X227" s="343">
        <f t="shared" si="23"/>
        <v>1</v>
      </c>
      <c r="Y227" s="343">
        <f t="shared" si="23"/>
        <v>1</v>
      </c>
      <c r="Z227" s="343">
        <f t="shared" si="23"/>
        <v>1</v>
      </c>
      <c r="AA227" s="343">
        <f t="shared" si="23"/>
        <v>1</v>
      </c>
      <c r="AB227" s="343">
        <f t="shared" si="23"/>
        <v>1</v>
      </c>
      <c r="AC227" s="343">
        <f t="shared" si="23"/>
        <v>1</v>
      </c>
      <c r="AD227" s="343">
        <f t="shared" si="23"/>
        <v>1</v>
      </c>
      <c r="AE227" s="343">
        <f t="shared" si="23"/>
        <v>1</v>
      </c>
      <c r="AF227" s="343">
        <f t="shared" si="23"/>
        <v>1</v>
      </c>
      <c r="AG227" s="343">
        <f t="shared" si="23"/>
        <v>1</v>
      </c>
      <c r="AH227" s="343">
        <f t="shared" si="23"/>
        <v>1</v>
      </c>
      <c r="AI227" s="343">
        <f t="shared" si="23"/>
        <v>1</v>
      </c>
      <c r="AJ227" s="343">
        <f t="shared" si="23"/>
        <v>1</v>
      </c>
      <c r="AK227" s="343">
        <f t="shared" si="23"/>
        <v>1</v>
      </c>
      <c r="AL227" s="343">
        <f t="shared" si="23"/>
        <v>1</v>
      </c>
      <c r="AM227" s="343">
        <f t="shared" si="23"/>
        <v>1</v>
      </c>
    </row>
    <row r="228" spans="1:39" s="256" customFormat="1" outlineLevel="1" x14ac:dyDescent="0.25">
      <c r="B228" s="256" t="str">
        <f t="shared" si="21"/>
        <v>DagrenInst</v>
      </c>
      <c r="C228" s="257" t="s">
        <v>243</v>
      </c>
      <c r="D228" s="343">
        <f t="shared" si="22"/>
        <v>1</v>
      </c>
      <c r="E228" s="343">
        <f t="shared" si="23"/>
        <v>1</v>
      </c>
      <c r="F228" s="343">
        <f t="shared" si="23"/>
        <v>1</v>
      </c>
      <c r="G228" s="343">
        <f t="shared" si="23"/>
        <v>1</v>
      </c>
      <c r="H228" s="343">
        <f t="shared" si="23"/>
        <v>1</v>
      </c>
      <c r="I228" s="343">
        <f t="shared" si="23"/>
        <v>1</v>
      </c>
      <c r="J228" s="343">
        <f t="shared" si="23"/>
        <v>1</v>
      </c>
      <c r="K228" s="343">
        <f t="shared" si="23"/>
        <v>1</v>
      </c>
      <c r="L228" s="343">
        <f t="shared" si="23"/>
        <v>1</v>
      </c>
      <c r="M228" s="343">
        <f t="shared" si="23"/>
        <v>1</v>
      </c>
      <c r="N228" s="343">
        <f t="shared" si="23"/>
        <v>1</v>
      </c>
      <c r="O228" s="343">
        <f t="shared" si="23"/>
        <v>1</v>
      </c>
      <c r="P228" s="343">
        <f t="shared" si="23"/>
        <v>1</v>
      </c>
      <c r="Q228" s="343">
        <f t="shared" si="23"/>
        <v>1</v>
      </c>
      <c r="R228" s="343">
        <f t="shared" si="23"/>
        <v>1</v>
      </c>
      <c r="S228" s="343">
        <f t="shared" si="23"/>
        <v>1</v>
      </c>
      <c r="T228" s="343">
        <f t="shared" si="23"/>
        <v>1</v>
      </c>
      <c r="U228" s="343">
        <f t="shared" si="23"/>
        <v>1</v>
      </c>
      <c r="V228" s="343">
        <f t="shared" si="23"/>
        <v>1</v>
      </c>
      <c r="W228" s="343">
        <f t="shared" si="23"/>
        <v>1</v>
      </c>
      <c r="X228" s="343">
        <f t="shared" si="23"/>
        <v>1</v>
      </c>
      <c r="Y228" s="343">
        <f t="shared" si="23"/>
        <v>1</v>
      </c>
      <c r="Z228" s="343">
        <f t="shared" si="23"/>
        <v>1</v>
      </c>
      <c r="AA228" s="343">
        <f t="shared" si="23"/>
        <v>1</v>
      </c>
      <c r="AB228" s="343">
        <f t="shared" si="23"/>
        <v>1</v>
      </c>
      <c r="AC228" s="343">
        <f t="shared" si="23"/>
        <v>1</v>
      </c>
      <c r="AD228" s="343">
        <f t="shared" ref="E228:AM235" si="25">$K12</f>
        <v>1</v>
      </c>
      <c r="AE228" s="343">
        <f t="shared" si="25"/>
        <v>1</v>
      </c>
      <c r="AF228" s="343">
        <f t="shared" si="25"/>
        <v>1</v>
      </c>
      <c r="AG228" s="343">
        <f t="shared" si="25"/>
        <v>1</v>
      </c>
      <c r="AH228" s="343">
        <f t="shared" si="25"/>
        <v>1</v>
      </c>
      <c r="AI228" s="343">
        <f t="shared" si="25"/>
        <v>1</v>
      </c>
      <c r="AJ228" s="343">
        <f t="shared" si="25"/>
        <v>1</v>
      </c>
      <c r="AK228" s="343">
        <f t="shared" si="25"/>
        <v>1</v>
      </c>
      <c r="AL228" s="343">
        <f t="shared" si="25"/>
        <v>1</v>
      </c>
      <c r="AM228" s="343">
        <f t="shared" si="25"/>
        <v>1</v>
      </c>
    </row>
    <row r="229" spans="1:39" s="256" customFormat="1" outlineLevel="1" x14ac:dyDescent="0.25">
      <c r="B229" s="256" t="str">
        <f t="shared" si="21"/>
        <v>DagrenHandel</v>
      </c>
      <c r="C229" s="257" t="s">
        <v>243</v>
      </c>
      <c r="D229" s="343">
        <f t="shared" si="22"/>
        <v>1</v>
      </c>
      <c r="E229" s="343">
        <f t="shared" si="25"/>
        <v>1</v>
      </c>
      <c r="F229" s="343">
        <f t="shared" si="25"/>
        <v>1</v>
      </c>
      <c r="G229" s="343">
        <f t="shared" si="25"/>
        <v>1</v>
      </c>
      <c r="H229" s="343">
        <f t="shared" si="25"/>
        <v>1</v>
      </c>
      <c r="I229" s="343">
        <f t="shared" si="25"/>
        <v>1</v>
      </c>
      <c r="J229" s="343">
        <f t="shared" si="25"/>
        <v>1</v>
      </c>
      <c r="K229" s="343">
        <f t="shared" si="25"/>
        <v>1</v>
      </c>
      <c r="L229" s="343">
        <f t="shared" si="25"/>
        <v>1</v>
      </c>
      <c r="M229" s="343">
        <f t="shared" si="25"/>
        <v>1</v>
      </c>
      <c r="N229" s="343">
        <f t="shared" si="25"/>
        <v>1</v>
      </c>
      <c r="O229" s="343">
        <f t="shared" si="25"/>
        <v>1</v>
      </c>
      <c r="P229" s="343">
        <f t="shared" si="25"/>
        <v>1</v>
      </c>
      <c r="Q229" s="343">
        <f t="shared" si="25"/>
        <v>1</v>
      </c>
      <c r="R229" s="343">
        <f t="shared" si="25"/>
        <v>1</v>
      </c>
      <c r="S229" s="343">
        <f t="shared" si="25"/>
        <v>1</v>
      </c>
      <c r="T229" s="343">
        <f t="shared" si="25"/>
        <v>1</v>
      </c>
      <c r="U229" s="343">
        <f t="shared" si="25"/>
        <v>1</v>
      </c>
      <c r="V229" s="343">
        <f t="shared" si="25"/>
        <v>1</v>
      </c>
      <c r="W229" s="343">
        <f t="shared" si="25"/>
        <v>1</v>
      </c>
      <c r="X229" s="343">
        <f t="shared" si="25"/>
        <v>1</v>
      </c>
      <c r="Y229" s="343">
        <f t="shared" si="25"/>
        <v>1</v>
      </c>
      <c r="Z229" s="343">
        <f t="shared" si="25"/>
        <v>1</v>
      </c>
      <c r="AA229" s="343">
        <f t="shared" si="25"/>
        <v>1</v>
      </c>
      <c r="AB229" s="343">
        <f t="shared" si="25"/>
        <v>1</v>
      </c>
      <c r="AC229" s="343">
        <f t="shared" si="25"/>
        <v>1</v>
      </c>
      <c r="AD229" s="343">
        <f t="shared" si="25"/>
        <v>1</v>
      </c>
      <c r="AE229" s="343">
        <f t="shared" si="25"/>
        <v>1</v>
      </c>
      <c r="AF229" s="343">
        <f t="shared" si="25"/>
        <v>1</v>
      </c>
      <c r="AG229" s="343">
        <f t="shared" si="25"/>
        <v>1</v>
      </c>
      <c r="AH229" s="343">
        <f t="shared" si="25"/>
        <v>1</v>
      </c>
      <c r="AI229" s="343">
        <f t="shared" si="25"/>
        <v>1</v>
      </c>
      <c r="AJ229" s="343">
        <f t="shared" si="25"/>
        <v>1</v>
      </c>
      <c r="AK229" s="343">
        <f t="shared" si="25"/>
        <v>1</v>
      </c>
      <c r="AL229" s="343">
        <f t="shared" si="25"/>
        <v>1</v>
      </c>
      <c r="AM229" s="343">
        <f t="shared" si="25"/>
        <v>1</v>
      </c>
    </row>
    <row r="230" spans="1:39" s="256" customFormat="1" outlineLevel="1" x14ac:dyDescent="0.25">
      <c r="B230" s="256" t="str">
        <f t="shared" si="21"/>
        <v>DagrenRestau</v>
      </c>
      <c r="C230" s="257" t="s">
        <v>243</v>
      </c>
      <c r="D230" s="343">
        <f t="shared" si="22"/>
        <v>1</v>
      </c>
      <c r="E230" s="343">
        <f t="shared" si="25"/>
        <v>1</v>
      </c>
      <c r="F230" s="343">
        <f t="shared" si="25"/>
        <v>1</v>
      </c>
      <c r="G230" s="343">
        <f t="shared" si="25"/>
        <v>1</v>
      </c>
      <c r="H230" s="343">
        <f t="shared" si="25"/>
        <v>1</v>
      </c>
      <c r="I230" s="343">
        <f t="shared" si="25"/>
        <v>1</v>
      </c>
      <c r="J230" s="343">
        <f t="shared" si="25"/>
        <v>1</v>
      </c>
      <c r="K230" s="343">
        <f t="shared" si="25"/>
        <v>1</v>
      </c>
      <c r="L230" s="343">
        <f t="shared" si="25"/>
        <v>1</v>
      </c>
      <c r="M230" s="343">
        <f t="shared" si="25"/>
        <v>1</v>
      </c>
      <c r="N230" s="343">
        <f t="shared" si="25"/>
        <v>1</v>
      </c>
      <c r="O230" s="343">
        <f t="shared" si="25"/>
        <v>1</v>
      </c>
      <c r="P230" s="343">
        <f t="shared" si="25"/>
        <v>1</v>
      </c>
      <c r="Q230" s="343">
        <f t="shared" si="25"/>
        <v>1</v>
      </c>
      <c r="R230" s="343">
        <f t="shared" si="25"/>
        <v>1</v>
      </c>
      <c r="S230" s="343">
        <f t="shared" si="25"/>
        <v>1</v>
      </c>
      <c r="T230" s="343">
        <f t="shared" si="25"/>
        <v>1</v>
      </c>
      <c r="U230" s="343">
        <f t="shared" si="25"/>
        <v>1</v>
      </c>
      <c r="V230" s="343">
        <f t="shared" si="25"/>
        <v>1</v>
      </c>
      <c r="W230" s="343">
        <f t="shared" si="25"/>
        <v>1</v>
      </c>
      <c r="X230" s="343">
        <f t="shared" si="25"/>
        <v>1</v>
      </c>
      <c r="Y230" s="343">
        <f t="shared" si="25"/>
        <v>1</v>
      </c>
      <c r="Z230" s="343">
        <f t="shared" si="25"/>
        <v>1</v>
      </c>
      <c r="AA230" s="343">
        <f t="shared" si="25"/>
        <v>1</v>
      </c>
      <c r="AB230" s="343">
        <f t="shared" si="25"/>
        <v>1</v>
      </c>
      <c r="AC230" s="343">
        <f t="shared" si="25"/>
        <v>1</v>
      </c>
      <c r="AD230" s="343">
        <f t="shared" si="25"/>
        <v>1</v>
      </c>
      <c r="AE230" s="343">
        <f t="shared" si="25"/>
        <v>1</v>
      </c>
      <c r="AF230" s="343">
        <f t="shared" si="25"/>
        <v>1</v>
      </c>
      <c r="AG230" s="343">
        <f t="shared" si="25"/>
        <v>1</v>
      </c>
      <c r="AH230" s="343">
        <f t="shared" si="25"/>
        <v>1</v>
      </c>
      <c r="AI230" s="343">
        <f t="shared" si="25"/>
        <v>1</v>
      </c>
      <c r="AJ230" s="343">
        <f t="shared" si="25"/>
        <v>1</v>
      </c>
      <c r="AK230" s="343">
        <f t="shared" si="25"/>
        <v>1</v>
      </c>
      <c r="AL230" s="343">
        <f t="shared" si="25"/>
        <v>1</v>
      </c>
      <c r="AM230" s="343">
        <f t="shared" si="25"/>
        <v>1</v>
      </c>
    </row>
    <row r="231" spans="1:39" s="256" customFormat="1" outlineLevel="1" x14ac:dyDescent="0.25">
      <c r="B231" s="256" t="str">
        <f t="shared" si="21"/>
        <v>Erhverv</v>
      </c>
      <c r="C231" s="257" t="s">
        <v>243</v>
      </c>
      <c r="D231" s="343">
        <f t="shared" si="22"/>
        <v>1</v>
      </c>
      <c r="E231" s="343">
        <f t="shared" si="25"/>
        <v>1</v>
      </c>
      <c r="F231" s="343">
        <f t="shared" si="25"/>
        <v>1</v>
      </c>
      <c r="G231" s="343">
        <f t="shared" si="25"/>
        <v>1</v>
      </c>
      <c r="H231" s="343">
        <f t="shared" si="25"/>
        <v>1</v>
      </c>
      <c r="I231" s="343">
        <f t="shared" si="25"/>
        <v>1</v>
      </c>
      <c r="J231" s="343">
        <f t="shared" si="25"/>
        <v>1</v>
      </c>
      <c r="K231" s="343">
        <f t="shared" si="25"/>
        <v>1</v>
      </c>
      <c r="L231" s="343">
        <f t="shared" si="25"/>
        <v>1</v>
      </c>
      <c r="M231" s="343">
        <f t="shared" si="25"/>
        <v>1</v>
      </c>
      <c r="N231" s="343">
        <f t="shared" si="25"/>
        <v>1</v>
      </c>
      <c r="O231" s="343">
        <f t="shared" si="25"/>
        <v>1</v>
      </c>
      <c r="P231" s="343">
        <f t="shared" si="25"/>
        <v>1</v>
      </c>
      <c r="Q231" s="343">
        <f t="shared" si="25"/>
        <v>1</v>
      </c>
      <c r="R231" s="343">
        <f t="shared" si="25"/>
        <v>1</v>
      </c>
      <c r="S231" s="343">
        <f t="shared" si="25"/>
        <v>1</v>
      </c>
      <c r="T231" s="343">
        <f t="shared" si="25"/>
        <v>1</v>
      </c>
      <c r="U231" s="343">
        <f t="shared" si="25"/>
        <v>1</v>
      </c>
      <c r="V231" s="343">
        <f t="shared" si="25"/>
        <v>1</v>
      </c>
      <c r="W231" s="343">
        <f t="shared" si="25"/>
        <v>1</v>
      </c>
      <c r="X231" s="343">
        <f t="shared" si="25"/>
        <v>1</v>
      </c>
      <c r="Y231" s="343">
        <f t="shared" si="25"/>
        <v>1</v>
      </c>
      <c r="Z231" s="343">
        <f t="shared" si="25"/>
        <v>1</v>
      </c>
      <c r="AA231" s="343">
        <f t="shared" si="25"/>
        <v>1</v>
      </c>
      <c r="AB231" s="343">
        <f t="shared" si="25"/>
        <v>1</v>
      </c>
      <c r="AC231" s="343">
        <f t="shared" si="25"/>
        <v>1</v>
      </c>
      <c r="AD231" s="343">
        <f t="shared" si="25"/>
        <v>1</v>
      </c>
      <c r="AE231" s="343">
        <f t="shared" si="25"/>
        <v>1</v>
      </c>
      <c r="AF231" s="343">
        <f t="shared" si="25"/>
        <v>1</v>
      </c>
      <c r="AG231" s="343">
        <f t="shared" si="25"/>
        <v>1</v>
      </c>
      <c r="AH231" s="343">
        <f t="shared" si="25"/>
        <v>1</v>
      </c>
      <c r="AI231" s="343">
        <f t="shared" si="25"/>
        <v>1</v>
      </c>
      <c r="AJ231" s="343">
        <f t="shared" si="25"/>
        <v>1</v>
      </c>
      <c r="AK231" s="343">
        <f t="shared" si="25"/>
        <v>1</v>
      </c>
      <c r="AL231" s="343">
        <f t="shared" si="25"/>
        <v>1</v>
      </c>
      <c r="AM231" s="343">
        <f t="shared" si="25"/>
        <v>1</v>
      </c>
    </row>
    <row r="232" spans="1:39" s="256" customFormat="1" outlineLevel="1" x14ac:dyDescent="0.25">
      <c r="B232" s="256" t="str">
        <f t="shared" si="21"/>
        <v>DagrenErhverv</v>
      </c>
      <c r="C232" s="257" t="s">
        <v>243</v>
      </c>
      <c r="D232" s="343">
        <f t="shared" si="22"/>
        <v>1</v>
      </c>
      <c r="E232" s="343">
        <f t="shared" si="25"/>
        <v>1</v>
      </c>
      <c r="F232" s="343">
        <f t="shared" si="25"/>
        <v>1</v>
      </c>
      <c r="G232" s="343">
        <f t="shared" si="25"/>
        <v>1</v>
      </c>
      <c r="H232" s="343">
        <f t="shared" si="25"/>
        <v>1</v>
      </c>
      <c r="I232" s="343">
        <f t="shared" si="25"/>
        <v>1</v>
      </c>
      <c r="J232" s="343">
        <f t="shared" si="25"/>
        <v>1</v>
      </c>
      <c r="K232" s="343">
        <f t="shared" si="25"/>
        <v>1</v>
      </c>
      <c r="L232" s="343">
        <f t="shared" si="25"/>
        <v>1</v>
      </c>
      <c r="M232" s="343">
        <f t="shared" si="25"/>
        <v>1</v>
      </c>
      <c r="N232" s="343">
        <f t="shared" si="25"/>
        <v>1</v>
      </c>
      <c r="O232" s="343">
        <f t="shared" si="25"/>
        <v>1</v>
      </c>
      <c r="P232" s="343">
        <f t="shared" si="25"/>
        <v>1</v>
      </c>
      <c r="Q232" s="343">
        <f t="shared" si="25"/>
        <v>1</v>
      </c>
      <c r="R232" s="343">
        <f t="shared" si="25"/>
        <v>1</v>
      </c>
      <c r="S232" s="343">
        <f t="shared" si="25"/>
        <v>1</v>
      </c>
      <c r="T232" s="343">
        <f t="shared" si="25"/>
        <v>1</v>
      </c>
      <c r="U232" s="343">
        <f t="shared" si="25"/>
        <v>1</v>
      </c>
      <c r="V232" s="343">
        <f t="shared" si="25"/>
        <v>1</v>
      </c>
      <c r="W232" s="343">
        <f t="shared" si="25"/>
        <v>1</v>
      </c>
      <c r="X232" s="343">
        <f t="shared" si="25"/>
        <v>1</v>
      </c>
      <c r="Y232" s="343">
        <f t="shared" si="25"/>
        <v>1</v>
      </c>
      <c r="Z232" s="343">
        <f t="shared" si="25"/>
        <v>1</v>
      </c>
      <c r="AA232" s="343">
        <f t="shared" si="25"/>
        <v>1</v>
      </c>
      <c r="AB232" s="343">
        <f t="shared" si="25"/>
        <v>1</v>
      </c>
      <c r="AC232" s="343">
        <f t="shared" si="25"/>
        <v>1</v>
      </c>
      <c r="AD232" s="343">
        <f t="shared" si="25"/>
        <v>1</v>
      </c>
      <c r="AE232" s="343">
        <f t="shared" si="25"/>
        <v>1</v>
      </c>
      <c r="AF232" s="343">
        <f t="shared" si="25"/>
        <v>1</v>
      </c>
      <c r="AG232" s="343">
        <f t="shared" si="25"/>
        <v>1</v>
      </c>
      <c r="AH232" s="343">
        <f t="shared" si="25"/>
        <v>1</v>
      </c>
      <c r="AI232" s="343">
        <f t="shared" si="25"/>
        <v>1</v>
      </c>
      <c r="AJ232" s="343">
        <f t="shared" si="25"/>
        <v>1</v>
      </c>
      <c r="AK232" s="343">
        <f t="shared" si="25"/>
        <v>1</v>
      </c>
      <c r="AL232" s="343">
        <f t="shared" si="25"/>
        <v>1</v>
      </c>
      <c r="AM232" s="343">
        <f t="shared" si="25"/>
        <v>1</v>
      </c>
    </row>
    <row r="233" spans="1:39" s="256" customFormat="1" outlineLevel="1" x14ac:dyDescent="0.25">
      <c r="B233" s="256" t="str">
        <f t="shared" si="21"/>
        <v>HandelKontor</v>
      </c>
      <c r="C233" s="257" t="s">
        <v>243</v>
      </c>
      <c r="D233" s="343">
        <f t="shared" si="22"/>
        <v>1</v>
      </c>
      <c r="E233" s="343">
        <f t="shared" si="25"/>
        <v>1</v>
      </c>
      <c r="F233" s="343">
        <f t="shared" si="25"/>
        <v>1</v>
      </c>
      <c r="G233" s="343">
        <f t="shared" si="25"/>
        <v>1</v>
      </c>
      <c r="H233" s="343">
        <f t="shared" si="25"/>
        <v>1</v>
      </c>
      <c r="I233" s="343">
        <f t="shared" si="25"/>
        <v>1</v>
      </c>
      <c r="J233" s="343">
        <f t="shared" si="25"/>
        <v>1</v>
      </c>
      <c r="K233" s="343">
        <f t="shared" si="25"/>
        <v>1</v>
      </c>
      <c r="L233" s="343">
        <f t="shared" si="25"/>
        <v>1</v>
      </c>
      <c r="M233" s="343">
        <f t="shared" si="25"/>
        <v>1</v>
      </c>
      <c r="N233" s="343">
        <f t="shared" si="25"/>
        <v>1</v>
      </c>
      <c r="O233" s="343">
        <f t="shared" si="25"/>
        <v>1</v>
      </c>
      <c r="P233" s="343">
        <f t="shared" si="25"/>
        <v>1</v>
      </c>
      <c r="Q233" s="343">
        <f t="shared" si="25"/>
        <v>1</v>
      </c>
      <c r="R233" s="343">
        <f t="shared" si="25"/>
        <v>1</v>
      </c>
      <c r="S233" s="343">
        <f t="shared" si="25"/>
        <v>1</v>
      </c>
      <c r="T233" s="343">
        <f t="shared" si="25"/>
        <v>1</v>
      </c>
      <c r="U233" s="343">
        <f t="shared" si="25"/>
        <v>1</v>
      </c>
      <c r="V233" s="343">
        <f t="shared" si="25"/>
        <v>1</v>
      </c>
      <c r="W233" s="343">
        <f t="shared" si="25"/>
        <v>1</v>
      </c>
      <c r="X233" s="343">
        <f t="shared" si="25"/>
        <v>1</v>
      </c>
      <c r="Y233" s="343">
        <f t="shared" si="25"/>
        <v>1</v>
      </c>
      <c r="Z233" s="343">
        <f t="shared" si="25"/>
        <v>1</v>
      </c>
      <c r="AA233" s="343">
        <f t="shared" si="25"/>
        <v>1</v>
      </c>
      <c r="AB233" s="343">
        <f t="shared" si="25"/>
        <v>1</v>
      </c>
      <c r="AC233" s="343">
        <f t="shared" si="25"/>
        <v>1</v>
      </c>
      <c r="AD233" s="343">
        <f t="shared" si="25"/>
        <v>1</v>
      </c>
      <c r="AE233" s="343">
        <f t="shared" si="25"/>
        <v>1</v>
      </c>
      <c r="AF233" s="343">
        <f t="shared" si="25"/>
        <v>1</v>
      </c>
      <c r="AG233" s="343">
        <f t="shared" si="25"/>
        <v>1</v>
      </c>
      <c r="AH233" s="343">
        <f t="shared" si="25"/>
        <v>1</v>
      </c>
      <c r="AI233" s="343">
        <f t="shared" si="25"/>
        <v>1</v>
      </c>
      <c r="AJ233" s="343">
        <f t="shared" si="25"/>
        <v>1</v>
      </c>
      <c r="AK233" s="343">
        <f t="shared" si="25"/>
        <v>1</v>
      </c>
      <c r="AL233" s="343">
        <f t="shared" si="25"/>
        <v>1</v>
      </c>
      <c r="AM233" s="343">
        <f t="shared" si="25"/>
        <v>1</v>
      </c>
    </row>
    <row r="234" spans="1:39" s="256" customFormat="1" outlineLevel="1" x14ac:dyDescent="0.25">
      <c r="B234" s="256" t="str">
        <f t="shared" si="21"/>
        <v>Privat</v>
      </c>
      <c r="C234" s="257" t="s">
        <v>243</v>
      </c>
      <c r="D234" s="343">
        <f t="shared" si="22"/>
        <v>1</v>
      </c>
      <c r="E234" s="343">
        <f t="shared" si="25"/>
        <v>1</v>
      </c>
      <c r="F234" s="343">
        <f t="shared" si="25"/>
        <v>1</v>
      </c>
      <c r="G234" s="343">
        <f t="shared" si="25"/>
        <v>1</v>
      </c>
      <c r="H234" s="343">
        <f t="shared" si="25"/>
        <v>1</v>
      </c>
      <c r="I234" s="343">
        <f t="shared" si="25"/>
        <v>1</v>
      </c>
      <c r="J234" s="343">
        <f t="shared" si="25"/>
        <v>1</v>
      </c>
      <c r="K234" s="343">
        <f t="shared" si="25"/>
        <v>1</v>
      </c>
      <c r="L234" s="343">
        <f t="shared" si="25"/>
        <v>1</v>
      </c>
      <c r="M234" s="343">
        <f t="shared" si="25"/>
        <v>1</v>
      </c>
      <c r="N234" s="343">
        <f t="shared" si="25"/>
        <v>1</v>
      </c>
      <c r="O234" s="343">
        <f t="shared" si="25"/>
        <v>1</v>
      </c>
      <c r="P234" s="343">
        <f t="shared" si="25"/>
        <v>1</v>
      </c>
      <c r="Q234" s="343">
        <f t="shared" si="25"/>
        <v>1</v>
      </c>
      <c r="R234" s="343">
        <f t="shared" si="25"/>
        <v>1</v>
      </c>
      <c r="S234" s="343">
        <f t="shared" si="25"/>
        <v>1</v>
      </c>
      <c r="T234" s="343">
        <f t="shared" si="25"/>
        <v>1</v>
      </c>
      <c r="U234" s="343">
        <f t="shared" si="25"/>
        <v>1</v>
      </c>
      <c r="V234" s="343">
        <f t="shared" si="25"/>
        <v>1</v>
      </c>
      <c r="W234" s="343">
        <f t="shared" si="25"/>
        <v>1</v>
      </c>
      <c r="X234" s="343">
        <f t="shared" si="25"/>
        <v>1</v>
      </c>
      <c r="Y234" s="343">
        <f t="shared" si="25"/>
        <v>1</v>
      </c>
      <c r="Z234" s="343">
        <f t="shared" si="25"/>
        <v>1</v>
      </c>
      <c r="AA234" s="343">
        <f t="shared" si="25"/>
        <v>1</v>
      </c>
      <c r="AB234" s="343">
        <f t="shared" si="25"/>
        <v>1</v>
      </c>
      <c r="AC234" s="343">
        <f t="shared" si="25"/>
        <v>1</v>
      </c>
      <c r="AD234" s="343">
        <f t="shared" si="25"/>
        <v>1</v>
      </c>
      <c r="AE234" s="343">
        <f t="shared" si="25"/>
        <v>1</v>
      </c>
      <c r="AF234" s="343">
        <f t="shared" si="25"/>
        <v>1</v>
      </c>
      <c r="AG234" s="343">
        <f t="shared" si="25"/>
        <v>1</v>
      </c>
      <c r="AH234" s="343">
        <f t="shared" si="25"/>
        <v>1</v>
      </c>
      <c r="AI234" s="343">
        <f t="shared" si="25"/>
        <v>1</v>
      </c>
      <c r="AJ234" s="343">
        <f t="shared" si="25"/>
        <v>1</v>
      </c>
      <c r="AK234" s="343">
        <f t="shared" si="25"/>
        <v>1</v>
      </c>
      <c r="AL234" s="343">
        <f t="shared" si="25"/>
        <v>1</v>
      </c>
      <c r="AM234" s="343">
        <f t="shared" si="25"/>
        <v>1</v>
      </c>
    </row>
    <row r="235" spans="1:39" s="256" customFormat="1" outlineLevel="1" x14ac:dyDescent="0.25">
      <c r="B235" s="256" t="str">
        <f t="shared" si="21"/>
        <v>TyskRest</v>
      </c>
      <c r="C235" s="257" t="s">
        <v>243</v>
      </c>
      <c r="D235" s="343">
        <f t="shared" si="22"/>
        <v>1</v>
      </c>
      <c r="E235" s="343">
        <f t="shared" si="25"/>
        <v>1</v>
      </c>
      <c r="F235" s="343">
        <f t="shared" si="25"/>
        <v>1</v>
      </c>
      <c r="G235" s="343">
        <f t="shared" si="25"/>
        <v>1</v>
      </c>
      <c r="H235" s="343">
        <f t="shared" si="25"/>
        <v>1</v>
      </c>
      <c r="I235" s="343">
        <f t="shared" si="25"/>
        <v>1</v>
      </c>
      <c r="J235" s="343">
        <f t="shared" si="25"/>
        <v>1</v>
      </c>
      <c r="K235" s="343">
        <f t="shared" si="25"/>
        <v>1</v>
      </c>
      <c r="L235" s="343">
        <f t="shared" si="25"/>
        <v>1</v>
      </c>
      <c r="M235" s="343">
        <f t="shared" si="25"/>
        <v>1</v>
      </c>
      <c r="N235" s="343">
        <f t="shared" si="25"/>
        <v>1</v>
      </c>
      <c r="O235" s="343">
        <f t="shared" si="25"/>
        <v>1</v>
      </c>
      <c r="P235" s="343">
        <f t="shared" si="25"/>
        <v>1</v>
      </c>
      <c r="Q235" s="343">
        <f t="shared" si="25"/>
        <v>1</v>
      </c>
      <c r="R235" s="343">
        <f t="shared" si="25"/>
        <v>1</v>
      </c>
      <c r="S235" s="343">
        <f t="shared" si="25"/>
        <v>1</v>
      </c>
      <c r="T235" s="343">
        <f t="shared" si="25"/>
        <v>1</v>
      </c>
      <c r="U235" s="343">
        <f t="shared" si="25"/>
        <v>1</v>
      </c>
      <c r="V235" s="343">
        <f t="shared" si="25"/>
        <v>1</v>
      </c>
      <c r="W235" s="343">
        <f t="shared" si="25"/>
        <v>1</v>
      </c>
      <c r="X235" s="343">
        <f t="shared" si="25"/>
        <v>1</v>
      </c>
      <c r="Y235" s="343">
        <f t="shared" si="25"/>
        <v>1</v>
      </c>
      <c r="Z235" s="343">
        <f t="shared" si="25"/>
        <v>1</v>
      </c>
      <c r="AA235" s="343">
        <f t="shared" si="25"/>
        <v>1</v>
      </c>
      <c r="AB235" s="343">
        <f t="shared" si="25"/>
        <v>1</v>
      </c>
      <c r="AC235" s="343">
        <f t="shared" si="25"/>
        <v>1</v>
      </c>
      <c r="AD235" s="343">
        <f t="shared" si="25"/>
        <v>1</v>
      </c>
      <c r="AE235" s="343">
        <f t="shared" si="25"/>
        <v>1</v>
      </c>
      <c r="AF235" s="343">
        <f t="shared" si="25"/>
        <v>1</v>
      </c>
      <c r="AG235" s="343">
        <f t="shared" si="25"/>
        <v>1</v>
      </c>
      <c r="AH235" s="343">
        <f t="shared" si="25"/>
        <v>1</v>
      </c>
      <c r="AI235" s="343">
        <f t="shared" si="25"/>
        <v>1</v>
      </c>
      <c r="AJ235" s="343">
        <f t="shared" si="25"/>
        <v>1</v>
      </c>
      <c r="AK235" s="343">
        <f t="shared" si="25"/>
        <v>1</v>
      </c>
      <c r="AL235" s="343">
        <f t="shared" si="25"/>
        <v>1</v>
      </c>
      <c r="AM235" s="343">
        <f t="shared" si="25"/>
        <v>1</v>
      </c>
    </row>
    <row r="236" spans="1:39" s="256" customFormat="1" outlineLevel="1" x14ac:dyDescent="0.25">
      <c r="B236" s="256" t="str">
        <f t="shared" si="21"/>
        <v>PolskRest</v>
      </c>
      <c r="C236" s="257" t="s">
        <v>243</v>
      </c>
      <c r="D236" s="343">
        <f t="shared" si="22"/>
        <v>1</v>
      </c>
      <c r="E236" s="343">
        <f t="shared" ref="E236:AM243" si="26">$K20</f>
        <v>1</v>
      </c>
      <c r="F236" s="343">
        <f t="shared" si="26"/>
        <v>1</v>
      </c>
      <c r="G236" s="343">
        <f t="shared" si="26"/>
        <v>1</v>
      </c>
      <c r="H236" s="343">
        <f t="shared" si="26"/>
        <v>1</v>
      </c>
      <c r="I236" s="343">
        <f t="shared" si="26"/>
        <v>1</v>
      </c>
      <c r="J236" s="343">
        <f t="shared" si="26"/>
        <v>1</v>
      </c>
      <c r="K236" s="343">
        <f t="shared" si="26"/>
        <v>1</v>
      </c>
      <c r="L236" s="343">
        <f t="shared" si="26"/>
        <v>1</v>
      </c>
      <c r="M236" s="343">
        <f t="shared" si="26"/>
        <v>1</v>
      </c>
      <c r="N236" s="343">
        <f t="shared" si="26"/>
        <v>1</v>
      </c>
      <c r="O236" s="343">
        <f t="shared" si="26"/>
        <v>1</v>
      </c>
      <c r="P236" s="343">
        <f t="shared" si="26"/>
        <v>1</v>
      </c>
      <c r="Q236" s="343">
        <f t="shared" si="26"/>
        <v>1</v>
      </c>
      <c r="R236" s="343">
        <f t="shared" si="26"/>
        <v>1</v>
      </c>
      <c r="S236" s="343">
        <f t="shared" si="26"/>
        <v>1</v>
      </c>
      <c r="T236" s="343">
        <f t="shared" si="26"/>
        <v>1</v>
      </c>
      <c r="U236" s="343">
        <f t="shared" si="26"/>
        <v>1</v>
      </c>
      <c r="V236" s="343">
        <f t="shared" si="26"/>
        <v>1</v>
      </c>
      <c r="W236" s="343">
        <f t="shared" si="26"/>
        <v>1</v>
      </c>
      <c r="X236" s="343">
        <f t="shared" si="26"/>
        <v>1</v>
      </c>
      <c r="Y236" s="343">
        <f t="shared" si="26"/>
        <v>1</v>
      </c>
      <c r="Z236" s="343">
        <f t="shared" si="26"/>
        <v>1</v>
      </c>
      <c r="AA236" s="343">
        <f t="shared" si="26"/>
        <v>1</v>
      </c>
      <c r="AB236" s="343">
        <f t="shared" si="26"/>
        <v>1</v>
      </c>
      <c r="AC236" s="343">
        <f t="shared" si="26"/>
        <v>1</v>
      </c>
      <c r="AD236" s="343">
        <f t="shared" si="26"/>
        <v>1</v>
      </c>
      <c r="AE236" s="343">
        <f t="shared" si="26"/>
        <v>1</v>
      </c>
      <c r="AF236" s="343">
        <f t="shared" si="26"/>
        <v>1</v>
      </c>
      <c r="AG236" s="343">
        <f t="shared" si="26"/>
        <v>1</v>
      </c>
      <c r="AH236" s="343">
        <f t="shared" si="26"/>
        <v>1</v>
      </c>
      <c r="AI236" s="343">
        <f t="shared" si="26"/>
        <v>1</v>
      </c>
      <c r="AJ236" s="343">
        <f t="shared" si="26"/>
        <v>1</v>
      </c>
      <c r="AK236" s="343">
        <f t="shared" si="26"/>
        <v>1</v>
      </c>
      <c r="AL236" s="343">
        <f t="shared" si="26"/>
        <v>1</v>
      </c>
      <c r="AM236" s="343">
        <f t="shared" si="26"/>
        <v>1</v>
      </c>
    </row>
    <row r="237" spans="1:39" s="256" customFormat="1" outlineLevel="1" x14ac:dyDescent="0.25">
      <c r="B237" s="256" t="str">
        <f t="shared" si="21"/>
        <v>PcbTrae</v>
      </c>
      <c r="C237" s="257" t="s">
        <v>243</v>
      </c>
      <c r="D237" s="343">
        <f t="shared" si="22"/>
        <v>1</v>
      </c>
      <c r="E237" s="343">
        <f t="shared" si="26"/>
        <v>1</v>
      </c>
      <c r="F237" s="343">
        <f t="shared" si="26"/>
        <v>1</v>
      </c>
      <c r="G237" s="343">
        <f t="shared" si="26"/>
        <v>1</v>
      </c>
      <c r="H237" s="343">
        <f t="shared" si="26"/>
        <v>1</v>
      </c>
      <c r="I237" s="343">
        <f t="shared" si="26"/>
        <v>1</v>
      </c>
      <c r="J237" s="343">
        <f t="shared" si="26"/>
        <v>1</v>
      </c>
      <c r="K237" s="343">
        <f t="shared" si="26"/>
        <v>1</v>
      </c>
      <c r="L237" s="343">
        <f t="shared" si="26"/>
        <v>1</v>
      </c>
      <c r="M237" s="343">
        <f t="shared" si="26"/>
        <v>1</v>
      </c>
      <c r="N237" s="343">
        <f t="shared" si="26"/>
        <v>1</v>
      </c>
      <c r="O237" s="343">
        <f t="shared" si="26"/>
        <v>1</v>
      </c>
      <c r="P237" s="343">
        <f t="shared" si="26"/>
        <v>1</v>
      </c>
      <c r="Q237" s="343">
        <f t="shared" si="26"/>
        <v>1</v>
      </c>
      <c r="R237" s="343">
        <f t="shared" si="26"/>
        <v>1</v>
      </c>
      <c r="S237" s="343">
        <f t="shared" si="26"/>
        <v>1</v>
      </c>
      <c r="T237" s="343">
        <f t="shared" si="26"/>
        <v>1</v>
      </c>
      <c r="U237" s="343">
        <f t="shared" si="26"/>
        <v>1</v>
      </c>
      <c r="V237" s="343">
        <f t="shared" si="26"/>
        <v>1</v>
      </c>
      <c r="W237" s="343">
        <f t="shared" si="26"/>
        <v>1</v>
      </c>
      <c r="X237" s="343">
        <f t="shared" si="26"/>
        <v>1</v>
      </c>
      <c r="Y237" s="343">
        <f t="shared" si="26"/>
        <v>1</v>
      </c>
      <c r="Z237" s="343">
        <f t="shared" si="26"/>
        <v>1</v>
      </c>
      <c r="AA237" s="343">
        <f t="shared" si="26"/>
        <v>1</v>
      </c>
      <c r="AB237" s="343">
        <f t="shared" si="26"/>
        <v>1</v>
      </c>
      <c r="AC237" s="343">
        <f t="shared" si="26"/>
        <v>1</v>
      </c>
      <c r="AD237" s="343">
        <f t="shared" si="26"/>
        <v>1</v>
      </c>
      <c r="AE237" s="343">
        <f t="shared" si="26"/>
        <v>1</v>
      </c>
      <c r="AF237" s="343">
        <f t="shared" si="26"/>
        <v>1</v>
      </c>
      <c r="AG237" s="343">
        <f t="shared" si="26"/>
        <v>1</v>
      </c>
      <c r="AH237" s="343">
        <f t="shared" si="26"/>
        <v>1</v>
      </c>
      <c r="AI237" s="343">
        <f t="shared" si="26"/>
        <v>1</v>
      </c>
      <c r="AJ237" s="343">
        <f t="shared" si="26"/>
        <v>1</v>
      </c>
      <c r="AK237" s="343">
        <f t="shared" si="26"/>
        <v>1</v>
      </c>
      <c r="AL237" s="343">
        <f t="shared" si="26"/>
        <v>1</v>
      </c>
      <c r="AM237" s="343">
        <f t="shared" si="26"/>
        <v>1</v>
      </c>
    </row>
    <row r="238" spans="1:39" s="256" customFormat="1" outlineLevel="1" x14ac:dyDescent="0.25">
      <c r="B238" s="256" t="str">
        <f t="shared" si="21"/>
        <v>TraeRekv</v>
      </c>
      <c r="C238" s="257" t="s">
        <v>243</v>
      </c>
      <c r="D238" s="343">
        <f t="shared" si="22"/>
        <v>1</v>
      </c>
      <c r="E238" s="343">
        <f t="shared" si="26"/>
        <v>1</v>
      </c>
      <c r="F238" s="343">
        <f t="shared" si="26"/>
        <v>1</v>
      </c>
      <c r="G238" s="343">
        <f t="shared" si="26"/>
        <v>1</v>
      </c>
      <c r="H238" s="343">
        <f t="shared" si="26"/>
        <v>1</v>
      </c>
      <c r="I238" s="343">
        <f t="shared" si="26"/>
        <v>1</v>
      </c>
      <c r="J238" s="343">
        <f t="shared" si="26"/>
        <v>1</v>
      </c>
      <c r="K238" s="343">
        <f t="shared" si="26"/>
        <v>1</v>
      </c>
      <c r="L238" s="343">
        <f t="shared" si="26"/>
        <v>1</v>
      </c>
      <c r="M238" s="343">
        <f t="shared" si="26"/>
        <v>1</v>
      </c>
      <c r="N238" s="343">
        <f t="shared" si="26"/>
        <v>1</v>
      </c>
      <c r="O238" s="343">
        <f t="shared" si="26"/>
        <v>1</v>
      </c>
      <c r="P238" s="343">
        <f t="shared" si="26"/>
        <v>1</v>
      </c>
      <c r="Q238" s="343">
        <f t="shared" si="26"/>
        <v>1</v>
      </c>
      <c r="R238" s="343">
        <f t="shared" si="26"/>
        <v>1</v>
      </c>
      <c r="S238" s="343">
        <f t="shared" si="26"/>
        <v>1</v>
      </c>
      <c r="T238" s="343">
        <f t="shared" si="26"/>
        <v>1</v>
      </c>
      <c r="U238" s="343">
        <f t="shared" si="26"/>
        <v>1</v>
      </c>
      <c r="V238" s="343">
        <f t="shared" si="26"/>
        <v>1</v>
      </c>
      <c r="W238" s="343">
        <f t="shared" si="26"/>
        <v>1</v>
      </c>
      <c r="X238" s="343">
        <f t="shared" si="26"/>
        <v>1</v>
      </c>
      <c r="Y238" s="343">
        <f t="shared" si="26"/>
        <v>1</v>
      </c>
      <c r="Z238" s="343">
        <f t="shared" si="26"/>
        <v>1</v>
      </c>
      <c r="AA238" s="343">
        <f t="shared" si="26"/>
        <v>1</v>
      </c>
      <c r="AB238" s="343">
        <f t="shared" si="26"/>
        <v>1</v>
      </c>
      <c r="AC238" s="343">
        <f t="shared" si="26"/>
        <v>1</v>
      </c>
      <c r="AD238" s="343">
        <f t="shared" si="26"/>
        <v>1</v>
      </c>
      <c r="AE238" s="343">
        <f t="shared" si="26"/>
        <v>1</v>
      </c>
      <c r="AF238" s="343">
        <f t="shared" si="26"/>
        <v>1</v>
      </c>
      <c r="AG238" s="343">
        <f t="shared" si="26"/>
        <v>1</v>
      </c>
      <c r="AH238" s="343">
        <f t="shared" si="26"/>
        <v>1</v>
      </c>
      <c r="AI238" s="343">
        <f t="shared" si="26"/>
        <v>1</v>
      </c>
      <c r="AJ238" s="343">
        <f t="shared" si="26"/>
        <v>1</v>
      </c>
      <c r="AK238" s="343">
        <f t="shared" si="26"/>
        <v>1</v>
      </c>
      <c r="AL238" s="343">
        <f t="shared" si="26"/>
        <v>1</v>
      </c>
      <c r="AM238" s="343">
        <f t="shared" si="26"/>
        <v>1</v>
      </c>
    </row>
    <row r="239" spans="1:39" s="256" customFormat="1" outlineLevel="1" x14ac:dyDescent="0.25">
      <c r="B239" s="256" t="str">
        <f t="shared" si="21"/>
        <v>Halm</v>
      </c>
      <c r="C239" s="257" t="s">
        <v>243</v>
      </c>
      <c r="D239" s="343">
        <f t="shared" si="22"/>
        <v>1</v>
      </c>
      <c r="E239" s="343">
        <f t="shared" si="26"/>
        <v>1</v>
      </c>
      <c r="F239" s="343">
        <f t="shared" si="26"/>
        <v>1</v>
      </c>
      <c r="G239" s="343">
        <f t="shared" si="26"/>
        <v>1</v>
      </c>
      <c r="H239" s="343">
        <f t="shared" si="26"/>
        <v>1</v>
      </c>
      <c r="I239" s="343">
        <f t="shared" si="26"/>
        <v>1</v>
      </c>
      <c r="J239" s="343">
        <f t="shared" si="26"/>
        <v>1</v>
      </c>
      <c r="K239" s="343">
        <f t="shared" si="26"/>
        <v>1</v>
      </c>
      <c r="L239" s="343">
        <f t="shared" si="26"/>
        <v>1</v>
      </c>
      <c r="M239" s="343">
        <f t="shared" si="26"/>
        <v>1</v>
      </c>
      <c r="N239" s="343">
        <f t="shared" si="26"/>
        <v>1</v>
      </c>
      <c r="O239" s="343">
        <f t="shared" si="26"/>
        <v>1</v>
      </c>
      <c r="P239" s="343">
        <f t="shared" si="26"/>
        <v>1</v>
      </c>
      <c r="Q239" s="343">
        <f t="shared" si="26"/>
        <v>1</v>
      </c>
      <c r="R239" s="343">
        <f t="shared" si="26"/>
        <v>1</v>
      </c>
      <c r="S239" s="343">
        <f t="shared" si="26"/>
        <v>1</v>
      </c>
      <c r="T239" s="343">
        <f t="shared" si="26"/>
        <v>1</v>
      </c>
      <c r="U239" s="343">
        <f t="shared" si="26"/>
        <v>1</v>
      </c>
      <c r="V239" s="343">
        <f t="shared" si="26"/>
        <v>1</v>
      </c>
      <c r="W239" s="343">
        <f t="shared" si="26"/>
        <v>1</v>
      </c>
      <c r="X239" s="343">
        <f t="shared" si="26"/>
        <v>1</v>
      </c>
      <c r="Y239" s="343">
        <f t="shared" si="26"/>
        <v>1</v>
      </c>
      <c r="Z239" s="343">
        <f t="shared" si="26"/>
        <v>1</v>
      </c>
      <c r="AA239" s="343">
        <f t="shared" si="26"/>
        <v>1</v>
      </c>
      <c r="AB239" s="343">
        <f t="shared" si="26"/>
        <v>1</v>
      </c>
      <c r="AC239" s="343">
        <f t="shared" si="26"/>
        <v>1</v>
      </c>
      <c r="AD239" s="343">
        <f t="shared" si="26"/>
        <v>1</v>
      </c>
      <c r="AE239" s="343">
        <f t="shared" si="26"/>
        <v>1</v>
      </c>
      <c r="AF239" s="343">
        <f t="shared" si="26"/>
        <v>1</v>
      </c>
      <c r="AG239" s="343">
        <f t="shared" si="26"/>
        <v>1</v>
      </c>
      <c r="AH239" s="343">
        <f t="shared" si="26"/>
        <v>1</v>
      </c>
      <c r="AI239" s="343">
        <f t="shared" si="26"/>
        <v>1</v>
      </c>
      <c r="AJ239" s="343">
        <f t="shared" si="26"/>
        <v>1</v>
      </c>
      <c r="AK239" s="343">
        <f t="shared" si="26"/>
        <v>1</v>
      </c>
      <c r="AL239" s="343">
        <f t="shared" si="26"/>
        <v>1</v>
      </c>
      <c r="AM239" s="343">
        <f t="shared" si="26"/>
        <v>1</v>
      </c>
    </row>
    <row r="240" spans="1:39" s="256" customFormat="1" outlineLevel="1" x14ac:dyDescent="0.25">
      <c r="A240" s="260"/>
      <c r="B240" s="256" t="str">
        <f t="shared" si="21"/>
        <v>Pulver</v>
      </c>
      <c r="C240" s="257" t="s">
        <v>243</v>
      </c>
      <c r="D240" s="343">
        <f t="shared" si="22"/>
        <v>1</v>
      </c>
      <c r="E240" s="343">
        <f t="shared" si="26"/>
        <v>1</v>
      </c>
      <c r="F240" s="343">
        <f t="shared" si="26"/>
        <v>1</v>
      </c>
      <c r="G240" s="343">
        <f t="shared" si="26"/>
        <v>1</v>
      </c>
      <c r="H240" s="343">
        <f t="shared" si="26"/>
        <v>1</v>
      </c>
      <c r="I240" s="343">
        <f t="shared" si="26"/>
        <v>1</v>
      </c>
      <c r="J240" s="343">
        <f t="shared" si="26"/>
        <v>1</v>
      </c>
      <c r="K240" s="343">
        <f t="shared" si="26"/>
        <v>1</v>
      </c>
      <c r="L240" s="343">
        <f t="shared" si="26"/>
        <v>1</v>
      </c>
      <c r="M240" s="343">
        <f t="shared" si="26"/>
        <v>1</v>
      </c>
      <c r="N240" s="343">
        <f t="shared" si="26"/>
        <v>1</v>
      </c>
      <c r="O240" s="343">
        <f t="shared" si="26"/>
        <v>1</v>
      </c>
      <c r="P240" s="343">
        <f t="shared" si="26"/>
        <v>1</v>
      </c>
      <c r="Q240" s="343">
        <f t="shared" si="26"/>
        <v>1</v>
      </c>
      <c r="R240" s="343">
        <f t="shared" si="26"/>
        <v>1</v>
      </c>
      <c r="S240" s="343">
        <f t="shared" si="26"/>
        <v>1</v>
      </c>
      <c r="T240" s="343">
        <f t="shared" si="26"/>
        <v>1</v>
      </c>
      <c r="U240" s="343">
        <f t="shared" si="26"/>
        <v>1</v>
      </c>
      <c r="V240" s="343">
        <f t="shared" si="26"/>
        <v>1</v>
      </c>
      <c r="W240" s="343">
        <f t="shared" si="26"/>
        <v>1</v>
      </c>
      <c r="X240" s="343">
        <f t="shared" si="26"/>
        <v>1</v>
      </c>
      <c r="Y240" s="343">
        <f t="shared" si="26"/>
        <v>1</v>
      </c>
      <c r="Z240" s="343">
        <f t="shared" si="26"/>
        <v>1</v>
      </c>
      <c r="AA240" s="343">
        <f t="shared" si="26"/>
        <v>1</v>
      </c>
      <c r="AB240" s="343">
        <f t="shared" si="26"/>
        <v>1</v>
      </c>
      <c r="AC240" s="343">
        <f t="shared" si="26"/>
        <v>1</v>
      </c>
      <c r="AD240" s="343">
        <f t="shared" si="26"/>
        <v>1</v>
      </c>
      <c r="AE240" s="343">
        <f t="shared" si="26"/>
        <v>1</v>
      </c>
      <c r="AF240" s="343">
        <f t="shared" si="26"/>
        <v>1</v>
      </c>
      <c r="AG240" s="343">
        <f t="shared" si="26"/>
        <v>1</v>
      </c>
      <c r="AH240" s="343">
        <f t="shared" si="26"/>
        <v>1</v>
      </c>
      <c r="AI240" s="343">
        <f t="shared" si="26"/>
        <v>1</v>
      </c>
      <c r="AJ240" s="343">
        <f t="shared" si="26"/>
        <v>1</v>
      </c>
      <c r="AK240" s="343">
        <f t="shared" si="26"/>
        <v>1</v>
      </c>
      <c r="AL240" s="343">
        <f t="shared" si="26"/>
        <v>1</v>
      </c>
      <c r="AM240" s="343">
        <f t="shared" si="26"/>
        <v>1</v>
      </c>
    </row>
    <row r="241" spans="1:40" s="256" customFormat="1" outlineLevel="1" x14ac:dyDescent="0.25">
      <c r="A241" s="260"/>
      <c r="B241" s="256" t="str">
        <f t="shared" si="21"/>
        <v>FlisAffald</v>
      </c>
      <c r="C241" s="257" t="s">
        <v>243</v>
      </c>
      <c r="D241" s="343">
        <f t="shared" si="22"/>
        <v>1</v>
      </c>
      <c r="E241" s="343">
        <f t="shared" si="26"/>
        <v>1</v>
      </c>
      <c r="F241" s="343">
        <f t="shared" si="26"/>
        <v>1</v>
      </c>
      <c r="G241" s="343">
        <f t="shared" si="26"/>
        <v>1</v>
      </c>
      <c r="H241" s="343">
        <f t="shared" si="26"/>
        <v>1</v>
      </c>
      <c r="I241" s="343">
        <f t="shared" si="26"/>
        <v>1</v>
      </c>
      <c r="J241" s="343">
        <f t="shared" si="26"/>
        <v>1</v>
      </c>
      <c r="K241" s="343">
        <f t="shared" si="26"/>
        <v>1</v>
      </c>
      <c r="L241" s="343">
        <f t="shared" si="26"/>
        <v>1</v>
      </c>
      <c r="M241" s="343">
        <f t="shared" si="26"/>
        <v>1</v>
      </c>
      <c r="N241" s="343">
        <f t="shared" si="26"/>
        <v>1</v>
      </c>
      <c r="O241" s="343">
        <f t="shared" si="26"/>
        <v>1</v>
      </c>
      <c r="P241" s="343">
        <f t="shared" si="26"/>
        <v>1</v>
      </c>
      <c r="Q241" s="343">
        <f t="shared" si="26"/>
        <v>1</v>
      </c>
      <c r="R241" s="343">
        <f t="shared" si="26"/>
        <v>1</v>
      </c>
      <c r="S241" s="343">
        <f t="shared" si="26"/>
        <v>1</v>
      </c>
      <c r="T241" s="343">
        <f t="shared" si="26"/>
        <v>1</v>
      </c>
      <c r="U241" s="343">
        <f t="shared" si="26"/>
        <v>1</v>
      </c>
      <c r="V241" s="343">
        <f t="shared" si="26"/>
        <v>1</v>
      </c>
      <c r="W241" s="343">
        <f t="shared" si="26"/>
        <v>1</v>
      </c>
      <c r="X241" s="343">
        <f t="shared" si="26"/>
        <v>1</v>
      </c>
      <c r="Y241" s="343">
        <f t="shared" si="26"/>
        <v>1</v>
      </c>
      <c r="Z241" s="343">
        <f t="shared" si="26"/>
        <v>1</v>
      </c>
      <c r="AA241" s="343">
        <f t="shared" si="26"/>
        <v>1</v>
      </c>
      <c r="AB241" s="343">
        <f t="shared" si="26"/>
        <v>1</v>
      </c>
      <c r="AC241" s="343">
        <f t="shared" si="26"/>
        <v>1</v>
      </c>
      <c r="AD241" s="343">
        <f t="shared" si="26"/>
        <v>1</v>
      </c>
      <c r="AE241" s="343">
        <f t="shared" si="26"/>
        <v>1</v>
      </c>
      <c r="AF241" s="343">
        <f t="shared" si="26"/>
        <v>1</v>
      </c>
      <c r="AG241" s="343">
        <f t="shared" si="26"/>
        <v>1</v>
      </c>
      <c r="AH241" s="343">
        <f t="shared" si="26"/>
        <v>1</v>
      </c>
      <c r="AI241" s="343">
        <f t="shared" si="26"/>
        <v>1</v>
      </c>
      <c r="AJ241" s="343">
        <f t="shared" si="26"/>
        <v>1</v>
      </c>
      <c r="AK241" s="343">
        <f t="shared" si="26"/>
        <v>1</v>
      </c>
      <c r="AL241" s="343">
        <f t="shared" si="26"/>
        <v>1</v>
      </c>
      <c r="AM241" s="343">
        <f t="shared" si="26"/>
        <v>1</v>
      </c>
    </row>
    <row r="242" spans="1:40" s="256" customFormat="1" outlineLevel="1" x14ac:dyDescent="0.25">
      <c r="A242" s="260"/>
      <c r="B242" s="256" t="str">
        <f t="shared" si="21"/>
        <v>NyAff1</v>
      </c>
      <c r="C242" s="257" t="s">
        <v>243</v>
      </c>
      <c r="D242" s="343">
        <f t="shared" si="22"/>
        <v>1</v>
      </c>
      <c r="E242" s="343">
        <f t="shared" si="26"/>
        <v>1</v>
      </c>
      <c r="F242" s="343">
        <f t="shared" si="26"/>
        <v>1</v>
      </c>
      <c r="G242" s="343">
        <f t="shared" si="26"/>
        <v>1</v>
      </c>
      <c r="H242" s="343">
        <f t="shared" si="26"/>
        <v>1</v>
      </c>
      <c r="I242" s="343">
        <f t="shared" si="26"/>
        <v>1</v>
      </c>
      <c r="J242" s="343">
        <f t="shared" si="26"/>
        <v>1</v>
      </c>
      <c r="K242" s="343">
        <f t="shared" si="26"/>
        <v>1</v>
      </c>
      <c r="L242" s="343">
        <f t="shared" si="26"/>
        <v>1</v>
      </c>
      <c r="M242" s="343">
        <f t="shared" si="26"/>
        <v>1</v>
      </c>
      <c r="N242" s="343">
        <f t="shared" si="26"/>
        <v>1</v>
      </c>
      <c r="O242" s="343">
        <f t="shared" si="26"/>
        <v>1</v>
      </c>
      <c r="P242" s="343">
        <f t="shared" si="26"/>
        <v>1</v>
      </c>
      <c r="Q242" s="343">
        <f t="shared" si="26"/>
        <v>1</v>
      </c>
      <c r="R242" s="343">
        <f t="shared" si="26"/>
        <v>1</v>
      </c>
      <c r="S242" s="343">
        <f t="shared" si="26"/>
        <v>1</v>
      </c>
      <c r="T242" s="343">
        <f t="shared" si="26"/>
        <v>1</v>
      </c>
      <c r="U242" s="343">
        <f t="shared" si="26"/>
        <v>1</v>
      </c>
      <c r="V242" s="343">
        <f t="shared" si="26"/>
        <v>1</v>
      </c>
      <c r="W242" s="343">
        <f t="shared" si="26"/>
        <v>1</v>
      </c>
      <c r="X242" s="343">
        <f t="shared" si="26"/>
        <v>1</v>
      </c>
      <c r="Y242" s="343">
        <f t="shared" si="26"/>
        <v>1</v>
      </c>
      <c r="Z242" s="343">
        <f t="shared" si="26"/>
        <v>1</v>
      </c>
      <c r="AA242" s="343">
        <f t="shared" si="26"/>
        <v>1</v>
      </c>
      <c r="AB242" s="343">
        <f t="shared" si="26"/>
        <v>1</v>
      </c>
      <c r="AC242" s="343">
        <f t="shared" si="26"/>
        <v>1</v>
      </c>
      <c r="AD242" s="343">
        <f t="shared" si="26"/>
        <v>1</v>
      </c>
      <c r="AE242" s="343">
        <f t="shared" si="26"/>
        <v>1</v>
      </c>
      <c r="AF242" s="343">
        <f t="shared" si="26"/>
        <v>1</v>
      </c>
      <c r="AG242" s="343">
        <f t="shared" si="26"/>
        <v>1</v>
      </c>
      <c r="AH242" s="343">
        <f t="shared" si="26"/>
        <v>1</v>
      </c>
      <c r="AI242" s="343">
        <f t="shared" si="26"/>
        <v>1</v>
      </c>
      <c r="AJ242" s="343">
        <f t="shared" si="26"/>
        <v>1</v>
      </c>
      <c r="AK242" s="343">
        <f t="shared" si="26"/>
        <v>1</v>
      </c>
      <c r="AL242" s="343">
        <f t="shared" si="26"/>
        <v>1</v>
      </c>
      <c r="AM242" s="343">
        <f t="shared" si="26"/>
        <v>1</v>
      </c>
    </row>
    <row r="243" spans="1:40" s="256" customFormat="1" outlineLevel="1" x14ac:dyDescent="0.25">
      <c r="B243" s="256" t="str">
        <f t="shared" si="21"/>
        <v>NyAff2</v>
      </c>
      <c r="C243" s="257" t="s">
        <v>243</v>
      </c>
      <c r="D243" s="343">
        <f t="shared" si="22"/>
        <v>1</v>
      </c>
      <c r="E243" s="343">
        <f t="shared" si="26"/>
        <v>1</v>
      </c>
      <c r="F243" s="343">
        <f t="shared" si="26"/>
        <v>1</v>
      </c>
      <c r="G243" s="343">
        <f t="shared" si="26"/>
        <v>1</v>
      </c>
      <c r="H243" s="343">
        <f t="shared" si="26"/>
        <v>1</v>
      </c>
      <c r="I243" s="343">
        <f t="shared" si="26"/>
        <v>1</v>
      </c>
      <c r="J243" s="343">
        <f t="shared" si="26"/>
        <v>1</v>
      </c>
      <c r="K243" s="343">
        <f t="shared" si="26"/>
        <v>1</v>
      </c>
      <c r="L243" s="343">
        <f t="shared" si="26"/>
        <v>1</v>
      </c>
      <c r="M243" s="343">
        <f t="shared" si="26"/>
        <v>1</v>
      </c>
      <c r="N243" s="343">
        <f t="shared" si="26"/>
        <v>1</v>
      </c>
      <c r="O243" s="343">
        <f t="shared" ref="E243:AM249" si="27">$K27</f>
        <v>1</v>
      </c>
      <c r="P243" s="343">
        <f t="shared" si="27"/>
        <v>1</v>
      </c>
      <c r="Q243" s="343">
        <f t="shared" si="27"/>
        <v>1</v>
      </c>
      <c r="R243" s="343">
        <f t="shared" si="27"/>
        <v>1</v>
      </c>
      <c r="S243" s="343">
        <f t="shared" si="27"/>
        <v>1</v>
      </c>
      <c r="T243" s="343">
        <f t="shared" si="27"/>
        <v>1</v>
      </c>
      <c r="U243" s="343">
        <f t="shared" si="27"/>
        <v>1</v>
      </c>
      <c r="V243" s="343">
        <f t="shared" si="27"/>
        <v>1</v>
      </c>
      <c r="W243" s="343">
        <f t="shared" si="27"/>
        <v>1</v>
      </c>
      <c r="X243" s="343">
        <f t="shared" si="27"/>
        <v>1</v>
      </c>
      <c r="Y243" s="343">
        <f t="shared" si="27"/>
        <v>1</v>
      </c>
      <c r="Z243" s="343">
        <f t="shared" si="27"/>
        <v>1</v>
      </c>
      <c r="AA243" s="343">
        <f t="shared" si="27"/>
        <v>1</v>
      </c>
      <c r="AB243" s="343">
        <f t="shared" si="27"/>
        <v>1</v>
      </c>
      <c r="AC243" s="343">
        <f t="shared" si="27"/>
        <v>1</v>
      </c>
      <c r="AD243" s="343">
        <f t="shared" si="27"/>
        <v>1</v>
      </c>
      <c r="AE243" s="343">
        <f t="shared" si="27"/>
        <v>1</v>
      </c>
      <c r="AF243" s="343">
        <f t="shared" si="27"/>
        <v>1</v>
      </c>
      <c r="AG243" s="343">
        <f t="shared" si="27"/>
        <v>1</v>
      </c>
      <c r="AH243" s="343">
        <f t="shared" si="27"/>
        <v>1</v>
      </c>
      <c r="AI243" s="343">
        <f t="shared" si="27"/>
        <v>1</v>
      </c>
      <c r="AJ243" s="343">
        <f t="shared" si="27"/>
        <v>1</v>
      </c>
      <c r="AK243" s="343">
        <f t="shared" si="27"/>
        <v>1</v>
      </c>
      <c r="AL243" s="343">
        <f t="shared" si="27"/>
        <v>1</v>
      </c>
      <c r="AM243" s="343">
        <f t="shared" si="27"/>
        <v>1</v>
      </c>
    </row>
    <row r="244" spans="1:40" s="256" customFormat="1" outlineLevel="1" x14ac:dyDescent="0.25">
      <c r="B244" s="256" t="str">
        <f t="shared" si="21"/>
        <v>NyAff3</v>
      </c>
      <c r="C244" s="257" t="s">
        <v>243</v>
      </c>
      <c r="D244" s="343">
        <f t="shared" si="22"/>
        <v>1</v>
      </c>
      <c r="E244" s="343">
        <f t="shared" si="27"/>
        <v>1</v>
      </c>
      <c r="F244" s="343">
        <f t="shared" si="27"/>
        <v>1</v>
      </c>
      <c r="G244" s="343">
        <f t="shared" si="27"/>
        <v>1</v>
      </c>
      <c r="H244" s="343">
        <f t="shared" si="27"/>
        <v>1</v>
      </c>
      <c r="I244" s="343">
        <f t="shared" si="27"/>
        <v>1</v>
      </c>
      <c r="J244" s="343">
        <f t="shared" si="27"/>
        <v>1</v>
      </c>
      <c r="K244" s="343">
        <f t="shared" si="27"/>
        <v>1</v>
      </c>
      <c r="L244" s="343">
        <f t="shared" si="27"/>
        <v>1</v>
      </c>
      <c r="M244" s="343">
        <f t="shared" si="27"/>
        <v>1</v>
      </c>
      <c r="N244" s="343">
        <f t="shared" si="27"/>
        <v>1</v>
      </c>
      <c r="O244" s="343">
        <f t="shared" si="27"/>
        <v>1</v>
      </c>
      <c r="P244" s="343">
        <f t="shared" si="27"/>
        <v>1</v>
      </c>
      <c r="Q244" s="343">
        <f t="shared" si="27"/>
        <v>1</v>
      </c>
      <c r="R244" s="343">
        <f t="shared" si="27"/>
        <v>1</v>
      </c>
      <c r="S244" s="343">
        <f t="shared" si="27"/>
        <v>1</v>
      </c>
      <c r="T244" s="343">
        <f t="shared" si="27"/>
        <v>1</v>
      </c>
      <c r="U244" s="343">
        <f t="shared" si="27"/>
        <v>1</v>
      </c>
      <c r="V244" s="343">
        <f t="shared" si="27"/>
        <v>1</v>
      </c>
      <c r="W244" s="343">
        <f t="shared" si="27"/>
        <v>1</v>
      </c>
      <c r="X244" s="343">
        <f t="shared" si="27"/>
        <v>1</v>
      </c>
      <c r="Y244" s="343">
        <f t="shared" si="27"/>
        <v>1</v>
      </c>
      <c r="Z244" s="343">
        <f t="shared" si="27"/>
        <v>1</v>
      </c>
      <c r="AA244" s="343">
        <f t="shared" si="27"/>
        <v>1</v>
      </c>
      <c r="AB244" s="343">
        <f t="shared" si="27"/>
        <v>1</v>
      </c>
      <c r="AC244" s="343">
        <f t="shared" si="27"/>
        <v>1</v>
      </c>
      <c r="AD244" s="343">
        <f t="shared" si="27"/>
        <v>1</v>
      </c>
      <c r="AE244" s="343">
        <f t="shared" si="27"/>
        <v>1</v>
      </c>
      <c r="AF244" s="343">
        <f t="shared" si="27"/>
        <v>1</v>
      </c>
      <c r="AG244" s="343">
        <f t="shared" si="27"/>
        <v>1</v>
      </c>
      <c r="AH244" s="343">
        <f t="shared" si="27"/>
        <v>1</v>
      </c>
      <c r="AI244" s="343">
        <f t="shared" si="27"/>
        <v>1</v>
      </c>
      <c r="AJ244" s="343">
        <f t="shared" si="27"/>
        <v>1</v>
      </c>
      <c r="AK244" s="343">
        <f t="shared" si="27"/>
        <v>1</v>
      </c>
      <c r="AL244" s="343">
        <f t="shared" si="27"/>
        <v>1</v>
      </c>
      <c r="AM244" s="343">
        <f t="shared" si="27"/>
        <v>1</v>
      </c>
    </row>
    <row r="245" spans="1:40" s="256" customFormat="1" outlineLevel="1" x14ac:dyDescent="0.25">
      <c r="B245" s="256" t="str">
        <f t="shared" si="21"/>
        <v>NyAff4</v>
      </c>
      <c r="C245" s="257" t="s">
        <v>243</v>
      </c>
      <c r="D245" s="343">
        <f t="shared" si="22"/>
        <v>1</v>
      </c>
      <c r="E245" s="343">
        <f t="shared" si="27"/>
        <v>1</v>
      </c>
      <c r="F245" s="343">
        <f t="shared" si="27"/>
        <v>1</v>
      </c>
      <c r="G245" s="343">
        <f t="shared" si="27"/>
        <v>1</v>
      </c>
      <c r="H245" s="343">
        <f t="shared" si="27"/>
        <v>1</v>
      </c>
      <c r="I245" s="343">
        <f t="shared" si="27"/>
        <v>1</v>
      </c>
      <c r="J245" s="343">
        <f t="shared" si="27"/>
        <v>1</v>
      </c>
      <c r="K245" s="343">
        <f t="shared" si="27"/>
        <v>1</v>
      </c>
      <c r="L245" s="343">
        <f t="shared" si="27"/>
        <v>1</v>
      </c>
      <c r="M245" s="343">
        <f t="shared" si="27"/>
        <v>1</v>
      </c>
      <c r="N245" s="343">
        <f t="shared" si="27"/>
        <v>1</v>
      </c>
      <c r="O245" s="343">
        <f t="shared" si="27"/>
        <v>1</v>
      </c>
      <c r="P245" s="343">
        <f t="shared" si="27"/>
        <v>1</v>
      </c>
      <c r="Q245" s="343">
        <f t="shared" si="27"/>
        <v>1</v>
      </c>
      <c r="R245" s="343">
        <f t="shared" si="27"/>
        <v>1</v>
      </c>
      <c r="S245" s="343">
        <f t="shared" si="27"/>
        <v>1</v>
      </c>
      <c r="T245" s="343">
        <f t="shared" si="27"/>
        <v>1</v>
      </c>
      <c r="U245" s="343">
        <f t="shared" si="27"/>
        <v>1</v>
      </c>
      <c r="V245" s="343">
        <f t="shared" si="27"/>
        <v>1</v>
      </c>
      <c r="W245" s="343">
        <f t="shared" si="27"/>
        <v>1</v>
      </c>
      <c r="X245" s="343">
        <f t="shared" si="27"/>
        <v>1</v>
      </c>
      <c r="Y245" s="343">
        <f t="shared" si="27"/>
        <v>1</v>
      </c>
      <c r="Z245" s="343">
        <f t="shared" si="27"/>
        <v>1</v>
      </c>
      <c r="AA245" s="343">
        <f t="shared" si="27"/>
        <v>1</v>
      </c>
      <c r="AB245" s="343">
        <f t="shared" si="27"/>
        <v>1</v>
      </c>
      <c r="AC245" s="343">
        <f t="shared" si="27"/>
        <v>1</v>
      </c>
      <c r="AD245" s="343">
        <f t="shared" si="27"/>
        <v>1</v>
      </c>
      <c r="AE245" s="343">
        <f t="shared" si="27"/>
        <v>1</v>
      </c>
      <c r="AF245" s="343">
        <f t="shared" si="27"/>
        <v>1</v>
      </c>
      <c r="AG245" s="343">
        <f t="shared" si="27"/>
        <v>1</v>
      </c>
      <c r="AH245" s="343">
        <f t="shared" si="27"/>
        <v>1</v>
      </c>
      <c r="AI245" s="343">
        <f t="shared" si="27"/>
        <v>1</v>
      </c>
      <c r="AJ245" s="343">
        <f t="shared" si="27"/>
        <v>1</v>
      </c>
      <c r="AK245" s="343">
        <f t="shared" si="27"/>
        <v>1</v>
      </c>
      <c r="AL245" s="343">
        <f t="shared" si="27"/>
        <v>1</v>
      </c>
      <c r="AM245" s="343">
        <f t="shared" si="27"/>
        <v>1</v>
      </c>
    </row>
    <row r="246" spans="1:40" s="256" customFormat="1" outlineLevel="1" x14ac:dyDescent="0.25">
      <c r="B246" s="256" t="str">
        <f t="shared" si="21"/>
        <v>NyAff5</v>
      </c>
      <c r="C246" s="257" t="s">
        <v>243</v>
      </c>
      <c r="D246" s="343">
        <f t="shared" si="22"/>
        <v>1</v>
      </c>
      <c r="E246" s="343">
        <f t="shared" si="27"/>
        <v>1</v>
      </c>
      <c r="F246" s="343">
        <f t="shared" si="27"/>
        <v>1</v>
      </c>
      <c r="G246" s="343">
        <f t="shared" si="27"/>
        <v>1</v>
      </c>
      <c r="H246" s="343">
        <f t="shared" si="27"/>
        <v>1</v>
      </c>
      <c r="I246" s="343">
        <f t="shared" si="27"/>
        <v>1</v>
      </c>
      <c r="J246" s="343">
        <f t="shared" si="27"/>
        <v>1</v>
      </c>
      <c r="K246" s="343">
        <f t="shared" si="27"/>
        <v>1</v>
      </c>
      <c r="L246" s="343">
        <f t="shared" si="27"/>
        <v>1</v>
      </c>
      <c r="M246" s="343">
        <f t="shared" si="27"/>
        <v>1</v>
      </c>
      <c r="N246" s="343">
        <f t="shared" si="27"/>
        <v>1</v>
      </c>
      <c r="O246" s="343">
        <f t="shared" si="27"/>
        <v>1</v>
      </c>
      <c r="P246" s="343">
        <f t="shared" si="27"/>
        <v>1</v>
      </c>
      <c r="Q246" s="343">
        <f t="shared" si="27"/>
        <v>1</v>
      </c>
      <c r="R246" s="343">
        <f t="shared" si="27"/>
        <v>1</v>
      </c>
      <c r="S246" s="343">
        <f t="shared" si="27"/>
        <v>1</v>
      </c>
      <c r="T246" s="343">
        <f t="shared" si="27"/>
        <v>1</v>
      </c>
      <c r="U246" s="343">
        <f t="shared" si="27"/>
        <v>1</v>
      </c>
      <c r="V246" s="343">
        <f t="shared" si="27"/>
        <v>1</v>
      </c>
      <c r="W246" s="343">
        <f t="shared" si="27"/>
        <v>1</v>
      </c>
      <c r="X246" s="343">
        <f t="shared" si="27"/>
        <v>1</v>
      </c>
      <c r="Y246" s="343">
        <f t="shared" si="27"/>
        <v>1</v>
      </c>
      <c r="Z246" s="343">
        <f t="shared" si="27"/>
        <v>1</v>
      </c>
      <c r="AA246" s="343">
        <f t="shared" si="27"/>
        <v>1</v>
      </c>
      <c r="AB246" s="343">
        <f t="shared" si="27"/>
        <v>1</v>
      </c>
      <c r="AC246" s="343">
        <f t="shared" si="27"/>
        <v>1</v>
      </c>
      <c r="AD246" s="343">
        <f t="shared" si="27"/>
        <v>1</v>
      </c>
      <c r="AE246" s="343">
        <f t="shared" si="27"/>
        <v>1</v>
      </c>
      <c r="AF246" s="343">
        <f t="shared" si="27"/>
        <v>1</v>
      </c>
      <c r="AG246" s="343">
        <f t="shared" si="27"/>
        <v>1</v>
      </c>
      <c r="AH246" s="343">
        <f t="shared" si="27"/>
        <v>1</v>
      </c>
      <c r="AI246" s="343">
        <f t="shared" si="27"/>
        <v>1</v>
      </c>
      <c r="AJ246" s="343">
        <f t="shared" si="27"/>
        <v>1</v>
      </c>
      <c r="AK246" s="343">
        <f t="shared" si="27"/>
        <v>1</v>
      </c>
      <c r="AL246" s="343">
        <f t="shared" si="27"/>
        <v>1</v>
      </c>
      <c r="AM246" s="343">
        <f t="shared" si="27"/>
        <v>1</v>
      </c>
    </row>
    <row r="247" spans="1:40" outlineLevel="1" x14ac:dyDescent="0.25">
      <c r="A247" s="294"/>
      <c r="B247" t="str" cm="1">
        <f t="array" ref="B247:B249">ØvrigeBrændsler</f>
        <v>Flis</v>
      </c>
      <c r="C247" s="257" t="s">
        <v>243</v>
      </c>
      <c r="D247" s="343">
        <f t="shared" si="22"/>
        <v>0</v>
      </c>
      <c r="E247" s="343">
        <f t="shared" si="27"/>
        <v>0</v>
      </c>
      <c r="F247" s="343">
        <f t="shared" si="27"/>
        <v>0</v>
      </c>
      <c r="G247" s="343">
        <f t="shared" si="27"/>
        <v>0</v>
      </c>
      <c r="H247" s="343">
        <f t="shared" si="27"/>
        <v>0</v>
      </c>
      <c r="I247" s="343">
        <f t="shared" si="27"/>
        <v>0</v>
      </c>
      <c r="J247" s="343">
        <f t="shared" si="27"/>
        <v>0</v>
      </c>
      <c r="K247" s="343">
        <f t="shared" si="27"/>
        <v>0</v>
      </c>
      <c r="L247" s="343">
        <f t="shared" si="27"/>
        <v>0</v>
      </c>
      <c r="M247" s="343">
        <f t="shared" si="27"/>
        <v>0</v>
      </c>
      <c r="N247" s="343">
        <f t="shared" si="27"/>
        <v>0</v>
      </c>
      <c r="O247" s="343">
        <f t="shared" si="27"/>
        <v>0</v>
      </c>
      <c r="P247" s="343">
        <f t="shared" si="27"/>
        <v>0</v>
      </c>
      <c r="Q247" s="343">
        <f t="shared" si="27"/>
        <v>0</v>
      </c>
      <c r="R247" s="343">
        <f t="shared" si="27"/>
        <v>0</v>
      </c>
      <c r="S247" s="343">
        <f t="shared" si="27"/>
        <v>0</v>
      </c>
      <c r="T247" s="343">
        <f t="shared" si="27"/>
        <v>0</v>
      </c>
      <c r="U247" s="343">
        <f t="shared" si="27"/>
        <v>0</v>
      </c>
      <c r="V247" s="343">
        <f t="shared" si="27"/>
        <v>0</v>
      </c>
      <c r="W247" s="343">
        <f t="shared" si="27"/>
        <v>0</v>
      </c>
      <c r="X247" s="343">
        <f t="shared" si="27"/>
        <v>0</v>
      </c>
      <c r="Y247" s="343">
        <f t="shared" si="27"/>
        <v>0</v>
      </c>
      <c r="Z247" s="343">
        <f t="shared" si="27"/>
        <v>0</v>
      </c>
      <c r="AA247" s="343">
        <f t="shared" si="27"/>
        <v>0</v>
      </c>
      <c r="AB247" s="343">
        <f t="shared" si="27"/>
        <v>0</v>
      </c>
      <c r="AC247" s="343">
        <f t="shared" si="27"/>
        <v>0</v>
      </c>
      <c r="AD247" s="343">
        <f t="shared" si="27"/>
        <v>0</v>
      </c>
      <c r="AE247" s="343">
        <f t="shared" si="27"/>
        <v>0</v>
      </c>
      <c r="AF247" s="343">
        <f t="shared" si="27"/>
        <v>0</v>
      </c>
      <c r="AG247" s="343">
        <f t="shared" si="27"/>
        <v>0</v>
      </c>
      <c r="AH247" s="343">
        <f t="shared" si="27"/>
        <v>0</v>
      </c>
      <c r="AI247" s="343">
        <f t="shared" si="27"/>
        <v>0</v>
      </c>
      <c r="AJ247" s="343">
        <f t="shared" si="27"/>
        <v>0</v>
      </c>
      <c r="AK247" s="343">
        <f t="shared" si="27"/>
        <v>0</v>
      </c>
      <c r="AL247" s="343">
        <f t="shared" si="27"/>
        <v>0</v>
      </c>
      <c r="AM247" s="343">
        <f t="shared" si="27"/>
        <v>0</v>
      </c>
    </row>
    <row r="248" spans="1:40" outlineLevel="1" x14ac:dyDescent="0.25">
      <c r="A248" s="295"/>
      <c r="B248" t="str">
        <v>NSvarme</v>
      </c>
      <c r="C248" s="257" t="s">
        <v>243</v>
      </c>
      <c r="D248" s="343">
        <f t="shared" si="22"/>
        <v>0</v>
      </c>
      <c r="E248" s="343">
        <f t="shared" si="27"/>
        <v>0</v>
      </c>
      <c r="F248" s="343">
        <f t="shared" si="27"/>
        <v>0</v>
      </c>
      <c r="G248" s="343">
        <f t="shared" si="27"/>
        <v>0</v>
      </c>
      <c r="H248" s="343">
        <f t="shared" si="27"/>
        <v>0</v>
      </c>
      <c r="I248" s="343">
        <f t="shared" si="27"/>
        <v>0</v>
      </c>
      <c r="J248" s="343">
        <f t="shared" si="27"/>
        <v>0</v>
      </c>
      <c r="K248" s="343">
        <f t="shared" si="27"/>
        <v>0</v>
      </c>
      <c r="L248" s="343">
        <f t="shared" si="27"/>
        <v>0</v>
      </c>
      <c r="M248" s="343">
        <f t="shared" si="27"/>
        <v>0</v>
      </c>
      <c r="N248" s="343">
        <f t="shared" si="27"/>
        <v>0</v>
      </c>
      <c r="O248" s="343">
        <f t="shared" si="27"/>
        <v>0</v>
      </c>
      <c r="P248" s="343">
        <f t="shared" si="27"/>
        <v>0</v>
      </c>
      <c r="Q248" s="343">
        <f t="shared" si="27"/>
        <v>0</v>
      </c>
      <c r="R248" s="343">
        <f t="shared" si="27"/>
        <v>0</v>
      </c>
      <c r="S248" s="343">
        <f t="shared" si="27"/>
        <v>0</v>
      </c>
      <c r="T248" s="343">
        <f t="shared" si="27"/>
        <v>0</v>
      </c>
      <c r="U248" s="343">
        <f t="shared" si="27"/>
        <v>0</v>
      </c>
      <c r="V248" s="343">
        <f t="shared" si="27"/>
        <v>0</v>
      </c>
      <c r="W248" s="343">
        <f t="shared" si="27"/>
        <v>0</v>
      </c>
      <c r="X248" s="343">
        <f t="shared" si="27"/>
        <v>0</v>
      </c>
      <c r="Y248" s="343">
        <f t="shared" si="27"/>
        <v>0</v>
      </c>
      <c r="Z248" s="343">
        <f t="shared" si="27"/>
        <v>0</v>
      </c>
      <c r="AA248" s="343">
        <f t="shared" si="27"/>
        <v>0</v>
      </c>
      <c r="AB248" s="343">
        <f t="shared" si="27"/>
        <v>0</v>
      </c>
      <c r="AC248" s="343">
        <f t="shared" si="27"/>
        <v>0</v>
      </c>
      <c r="AD248" s="343">
        <f t="shared" si="27"/>
        <v>0</v>
      </c>
      <c r="AE248" s="343">
        <f t="shared" si="27"/>
        <v>0</v>
      </c>
      <c r="AF248" s="343">
        <f t="shared" si="27"/>
        <v>0</v>
      </c>
      <c r="AG248" s="343">
        <f t="shared" si="27"/>
        <v>0</v>
      </c>
      <c r="AH248" s="343">
        <f t="shared" si="27"/>
        <v>0</v>
      </c>
      <c r="AI248" s="343">
        <f t="shared" si="27"/>
        <v>0</v>
      </c>
      <c r="AJ248" s="343">
        <f t="shared" si="27"/>
        <v>0</v>
      </c>
      <c r="AK248" s="343">
        <f t="shared" si="27"/>
        <v>0</v>
      </c>
      <c r="AL248" s="343">
        <f t="shared" si="27"/>
        <v>0</v>
      </c>
      <c r="AM248" s="343">
        <f t="shared" si="27"/>
        <v>0</v>
      </c>
    </row>
    <row r="249" spans="1:40" outlineLevel="1" x14ac:dyDescent="0.25">
      <c r="A249" s="295"/>
      <c r="B249" t="str">
        <v>PeakFuel</v>
      </c>
      <c r="C249" s="257" t="s">
        <v>243</v>
      </c>
      <c r="D249" s="343">
        <f t="shared" si="22"/>
        <v>0</v>
      </c>
      <c r="E249" s="343">
        <f t="shared" si="27"/>
        <v>0</v>
      </c>
      <c r="F249" s="343">
        <f t="shared" si="27"/>
        <v>0</v>
      </c>
      <c r="G249" s="343">
        <f t="shared" si="27"/>
        <v>0</v>
      </c>
      <c r="H249" s="343">
        <f t="shared" si="27"/>
        <v>0</v>
      </c>
      <c r="I249" s="343">
        <f t="shared" si="27"/>
        <v>0</v>
      </c>
      <c r="J249" s="343">
        <f t="shared" si="27"/>
        <v>0</v>
      </c>
      <c r="K249" s="343">
        <f t="shared" si="27"/>
        <v>0</v>
      </c>
      <c r="L249" s="343">
        <f t="shared" si="27"/>
        <v>0</v>
      </c>
      <c r="M249" s="343">
        <f t="shared" si="27"/>
        <v>0</v>
      </c>
      <c r="N249" s="343">
        <f t="shared" si="27"/>
        <v>0</v>
      </c>
      <c r="O249" s="343">
        <f t="shared" si="27"/>
        <v>0</v>
      </c>
      <c r="P249" s="343">
        <f t="shared" si="27"/>
        <v>0</v>
      </c>
      <c r="Q249" s="343">
        <f t="shared" si="27"/>
        <v>0</v>
      </c>
      <c r="R249" s="343">
        <f t="shared" si="27"/>
        <v>0</v>
      </c>
      <c r="S249" s="343">
        <f t="shared" si="27"/>
        <v>0</v>
      </c>
      <c r="T249" s="343">
        <f t="shared" si="27"/>
        <v>0</v>
      </c>
      <c r="U249" s="343">
        <f t="shared" si="27"/>
        <v>0</v>
      </c>
      <c r="V249" s="343">
        <f t="shared" si="27"/>
        <v>0</v>
      </c>
      <c r="W249" s="343">
        <f t="shared" si="27"/>
        <v>0</v>
      </c>
      <c r="X249" s="343">
        <f t="shared" si="27"/>
        <v>0</v>
      </c>
      <c r="Y249" s="343">
        <f t="shared" si="27"/>
        <v>0</v>
      </c>
      <c r="Z249" s="343">
        <f t="shared" si="27"/>
        <v>0</v>
      </c>
      <c r="AA249" s="343">
        <f t="shared" si="27"/>
        <v>0</v>
      </c>
      <c r="AB249" s="343">
        <f t="shared" si="27"/>
        <v>0</v>
      </c>
      <c r="AC249" s="343">
        <f t="shared" si="27"/>
        <v>0</v>
      </c>
      <c r="AD249" s="343">
        <f t="shared" si="27"/>
        <v>0</v>
      </c>
      <c r="AE249" s="343">
        <f t="shared" si="27"/>
        <v>0</v>
      </c>
      <c r="AF249" s="343">
        <f t="shared" si="27"/>
        <v>0</v>
      </c>
      <c r="AG249" s="343">
        <f t="shared" si="27"/>
        <v>0</v>
      </c>
      <c r="AH249" s="343">
        <f t="shared" si="27"/>
        <v>0</v>
      </c>
      <c r="AI249" s="343">
        <f t="shared" si="27"/>
        <v>0</v>
      </c>
      <c r="AJ249" s="343">
        <f t="shared" si="27"/>
        <v>0</v>
      </c>
      <c r="AK249" s="343">
        <f t="shared" si="27"/>
        <v>0</v>
      </c>
      <c r="AL249" s="343">
        <f t="shared" si="27"/>
        <v>0</v>
      </c>
      <c r="AM249" s="343">
        <f t="shared" si="27"/>
        <v>0</v>
      </c>
    </row>
    <row r="250" spans="1:40" s="40" customFormat="1" ht="15.75" x14ac:dyDescent="0.25">
      <c r="A250" s="37"/>
      <c r="B250" s="36"/>
      <c r="C250" s="36"/>
      <c r="D250" s="38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8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8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</row>
    <row r="251" spans="1:40" s="40" customFormat="1" ht="15.75" x14ac:dyDescent="0.25">
      <c r="A251" s="37"/>
      <c r="B251" s="36"/>
      <c r="C251" s="36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</row>
    <row r="252" spans="1:40" x14ac:dyDescent="0.25">
      <c r="C252" s="21"/>
    </row>
    <row r="253" spans="1:40" x14ac:dyDescent="0.25">
      <c r="B253" s="27"/>
      <c r="C253" s="21"/>
      <c r="D253" s="35" cm="1">
        <f t="array" ref="D253:AM253">TRANSPOSE(PeriodRange)</f>
        <v>44197</v>
      </c>
      <c r="E253" s="31">
        <v>44228</v>
      </c>
      <c r="F253" s="31">
        <v>44256</v>
      </c>
      <c r="G253" s="31">
        <v>44287</v>
      </c>
      <c r="H253" s="31">
        <v>44317</v>
      </c>
      <c r="I253" s="31">
        <v>44348</v>
      </c>
      <c r="J253" s="31">
        <v>44378</v>
      </c>
      <c r="K253" s="31">
        <v>44409</v>
      </c>
      <c r="L253" s="31">
        <v>44440</v>
      </c>
      <c r="M253" s="31">
        <v>44470</v>
      </c>
      <c r="N253" s="31">
        <v>44501</v>
      </c>
      <c r="O253" s="31">
        <v>44531</v>
      </c>
      <c r="P253" s="33">
        <v>44562</v>
      </c>
      <c r="Q253" s="31">
        <v>44593</v>
      </c>
      <c r="R253" s="31">
        <v>44621</v>
      </c>
      <c r="S253" s="31">
        <v>44652</v>
      </c>
      <c r="T253" s="31">
        <v>44682</v>
      </c>
      <c r="U253" s="31">
        <v>44713</v>
      </c>
      <c r="V253" s="31">
        <v>44743</v>
      </c>
      <c r="W253" s="31">
        <v>44774</v>
      </c>
      <c r="X253" s="31">
        <v>44805</v>
      </c>
      <c r="Y253" s="31">
        <v>44835</v>
      </c>
      <c r="Z253" s="31">
        <v>44866</v>
      </c>
      <c r="AA253" s="31">
        <v>44896</v>
      </c>
      <c r="AB253" s="35">
        <v>44927</v>
      </c>
      <c r="AC253" s="31">
        <v>44958</v>
      </c>
      <c r="AD253" s="31">
        <v>44986</v>
      </c>
      <c r="AE253" s="31">
        <v>45017</v>
      </c>
      <c r="AF253" s="31">
        <v>45047</v>
      </c>
      <c r="AG253" s="31">
        <v>45078</v>
      </c>
      <c r="AH253" s="31">
        <v>45108</v>
      </c>
      <c r="AI253" s="31">
        <v>45139</v>
      </c>
      <c r="AJ253" s="31">
        <v>45170</v>
      </c>
      <c r="AK253" s="31">
        <v>45200</v>
      </c>
      <c r="AL253" s="31">
        <v>45231</v>
      </c>
      <c r="AM253" s="31">
        <v>45261</v>
      </c>
    </row>
    <row r="254" spans="1:40" ht="15.75" x14ac:dyDescent="0.25">
      <c r="A254" s="37" t="s">
        <v>319</v>
      </c>
      <c r="B254" s="41"/>
      <c r="C254" s="29"/>
      <c r="D254" s="314" t="s">
        <v>141</v>
      </c>
      <c r="E254" s="315" t="s">
        <v>142</v>
      </c>
      <c r="F254" s="315" t="s">
        <v>143</v>
      </c>
      <c r="G254" s="315" t="s">
        <v>144</v>
      </c>
      <c r="H254" s="315" t="s">
        <v>145</v>
      </c>
      <c r="I254" s="315" t="s">
        <v>146</v>
      </c>
      <c r="J254" s="315" t="s">
        <v>147</v>
      </c>
      <c r="K254" s="315" t="s">
        <v>148</v>
      </c>
      <c r="L254" s="315" t="s">
        <v>149</v>
      </c>
      <c r="M254" s="315" t="s">
        <v>150</v>
      </c>
      <c r="N254" s="315" t="s">
        <v>151</v>
      </c>
      <c r="O254" s="315" t="s">
        <v>152</v>
      </c>
      <c r="P254" s="314" t="s">
        <v>153</v>
      </c>
      <c r="Q254" s="315" t="s">
        <v>154</v>
      </c>
      <c r="R254" s="315" t="s">
        <v>155</v>
      </c>
      <c r="S254" s="315" t="s">
        <v>156</v>
      </c>
      <c r="T254" s="315" t="s">
        <v>157</v>
      </c>
      <c r="U254" s="315" t="s">
        <v>158</v>
      </c>
      <c r="V254" s="315" t="s">
        <v>159</v>
      </c>
      <c r="W254" s="315" t="s">
        <v>160</v>
      </c>
      <c r="X254" s="315" t="s">
        <v>161</v>
      </c>
      <c r="Y254" s="315" t="s">
        <v>162</v>
      </c>
      <c r="Z254" s="315" t="s">
        <v>163</v>
      </c>
      <c r="AA254" s="315" t="s">
        <v>164</v>
      </c>
      <c r="AB254" s="314" t="s">
        <v>165</v>
      </c>
      <c r="AC254" s="315" t="s">
        <v>166</v>
      </c>
      <c r="AD254" s="315" t="s">
        <v>167</v>
      </c>
      <c r="AE254" s="315" t="s">
        <v>168</v>
      </c>
      <c r="AF254" s="315" t="s">
        <v>169</v>
      </c>
      <c r="AG254" s="315" t="s">
        <v>170</v>
      </c>
      <c r="AH254" s="315" t="s">
        <v>171</v>
      </c>
      <c r="AI254" s="315" t="s">
        <v>172</v>
      </c>
      <c r="AJ254" s="315" t="s">
        <v>173</v>
      </c>
      <c r="AK254" s="315" t="s">
        <v>174</v>
      </c>
      <c r="AL254" s="315" t="s">
        <v>175</v>
      </c>
      <c r="AM254" s="315" t="s">
        <v>176</v>
      </c>
    </row>
    <row r="255" spans="1:40" x14ac:dyDescent="0.25">
      <c r="A255" s="248"/>
      <c r="B255" s="248"/>
      <c r="C255" s="22" t="s">
        <v>66</v>
      </c>
      <c r="D255" s="5">
        <f>Affald2021!C40</f>
        <v>11626.800000000003</v>
      </c>
      <c r="E255" s="5">
        <f>Affald2021!D40</f>
        <v>9473.9599999999991</v>
      </c>
      <c r="F255" s="5">
        <f>Affald2021!E40</f>
        <v>10226.530000000002</v>
      </c>
      <c r="G255" s="5">
        <f>Affald2021!F40</f>
        <v>8992.5099999999984</v>
      </c>
      <c r="H255" s="5">
        <f>Affald2021!G40</f>
        <v>5702.4399999999987</v>
      </c>
      <c r="I255" s="5">
        <f>Affald2021!H40</f>
        <v>4842.76</v>
      </c>
      <c r="J255" s="5">
        <f>Affald2021!I40</f>
        <v>6278.3300000000008</v>
      </c>
      <c r="K255" s="5">
        <f>Affald2021!J40</f>
        <v>6279.509</v>
      </c>
      <c r="L255" s="5">
        <f>Affald2021!K40</f>
        <v>7301.25</v>
      </c>
      <c r="M255" s="5">
        <f>Affald2021!L40</f>
        <v>8522.0199999999986</v>
      </c>
      <c r="N255" s="5">
        <f>Affald2021!M40</f>
        <v>8491.1899999999987</v>
      </c>
      <c r="O255" s="5">
        <f>Affald2021!N40</f>
        <v>9375.9399999999987</v>
      </c>
      <c r="P255" s="316">
        <f t="shared" ref="P255:AM255" si="28">NaN</f>
        <v>-9.99</v>
      </c>
      <c r="Q255" s="316">
        <f t="shared" si="28"/>
        <v>-9.99</v>
      </c>
      <c r="R255" s="316">
        <f t="shared" si="28"/>
        <v>-9.99</v>
      </c>
      <c r="S255" s="316">
        <f t="shared" si="28"/>
        <v>-9.99</v>
      </c>
      <c r="T255" s="316">
        <f t="shared" si="28"/>
        <v>-9.99</v>
      </c>
      <c r="U255" s="316">
        <f t="shared" si="28"/>
        <v>-9.99</v>
      </c>
      <c r="V255" s="316">
        <f t="shared" si="28"/>
        <v>-9.99</v>
      </c>
      <c r="W255" s="316">
        <f t="shared" si="28"/>
        <v>-9.99</v>
      </c>
      <c r="X255" s="316">
        <f t="shared" si="28"/>
        <v>-9.99</v>
      </c>
      <c r="Y255" s="316">
        <f t="shared" si="28"/>
        <v>-9.99</v>
      </c>
      <c r="Z255" s="316">
        <f t="shared" si="28"/>
        <v>-9.99</v>
      </c>
      <c r="AA255" s="316">
        <f t="shared" si="28"/>
        <v>-9.99</v>
      </c>
      <c r="AB255" s="316">
        <f t="shared" si="28"/>
        <v>-9.99</v>
      </c>
      <c r="AC255" s="316">
        <f t="shared" si="28"/>
        <v>-9.99</v>
      </c>
      <c r="AD255" s="316">
        <f t="shared" si="28"/>
        <v>-9.99</v>
      </c>
      <c r="AE255" s="316">
        <f t="shared" si="28"/>
        <v>-9.99</v>
      </c>
      <c r="AF255" s="316">
        <f t="shared" si="28"/>
        <v>-9.99</v>
      </c>
      <c r="AG255" s="316">
        <f t="shared" si="28"/>
        <v>-9.99</v>
      </c>
      <c r="AH255" s="316">
        <f t="shared" si="28"/>
        <v>-9.99</v>
      </c>
      <c r="AI255" s="316">
        <f t="shared" si="28"/>
        <v>-9.99</v>
      </c>
      <c r="AJ255" s="316">
        <f t="shared" si="28"/>
        <v>-9.99</v>
      </c>
      <c r="AK255" s="316">
        <f t="shared" si="28"/>
        <v>-9.99</v>
      </c>
      <c r="AL255" s="316">
        <f t="shared" si="28"/>
        <v>-9.99</v>
      </c>
      <c r="AM255" s="316">
        <f t="shared" si="28"/>
        <v>-9.99</v>
      </c>
      <c r="AN255" s="5"/>
    </row>
  </sheetData>
  <mergeCells count="2">
    <mergeCell ref="U2:W2"/>
    <mergeCell ref="O2:P2"/>
  </mergeCells>
  <phoneticPr fontId="16" type="noConversion"/>
  <conditionalFormatting sqref="T5:T30 T32:T33 U5:U33 O5:P31 D5:F33 H5:H33 M5:N30 L5:L31">
    <cfRule type="cellIs" dxfId="66" priority="29" operator="equal">
      <formula>0</formula>
    </cfRule>
  </conditionalFormatting>
  <conditionalFormatting sqref="D37:AM37">
    <cfRule type="cellIs" dxfId="65" priority="20" operator="greaterThan">
      <formula>0</formula>
    </cfRule>
  </conditionalFormatting>
  <conditionalFormatting sqref="H31">
    <cfRule type="expression" dxfId="64" priority="14">
      <formula>$H31&lt;&gt;0</formula>
    </cfRule>
  </conditionalFormatting>
  <conditionalFormatting sqref="Q5:Q33">
    <cfRule type="cellIs" dxfId="63" priority="8" operator="lessThan">
      <formula>0</formula>
    </cfRule>
  </conditionalFormatting>
  <conditionalFormatting sqref="I31">
    <cfRule type="cellIs" dxfId="62" priority="18" operator="notEqual">
      <formula>0</formula>
    </cfRule>
  </conditionalFormatting>
  <conditionalFormatting sqref="T31 M31:N31">
    <cfRule type="cellIs" dxfId="61" priority="17" operator="equal">
      <formula>0</formula>
    </cfRule>
  </conditionalFormatting>
  <conditionalFormatting sqref="K5:K30">
    <cfRule type="cellIs" dxfId="60" priority="13" operator="equal">
      <formula>0</formula>
    </cfRule>
  </conditionalFormatting>
  <conditionalFormatting sqref="K31">
    <cfRule type="cellIs" dxfId="59" priority="12" operator="equal">
      <formula>0</formula>
    </cfRule>
  </conditionalFormatting>
  <conditionalFormatting sqref="J5:J30">
    <cfRule type="cellIs" dxfId="58" priority="11" operator="equal">
      <formula>0</formula>
    </cfRule>
  </conditionalFormatting>
  <conditionalFormatting sqref="J31">
    <cfRule type="cellIs" dxfId="57" priority="10" operator="equal">
      <formula>0</formula>
    </cfRule>
  </conditionalFormatting>
  <conditionalFormatting sqref="J5:K30">
    <cfRule type="cellIs" dxfId="56" priority="9" operator="equal">
      <formula>0</formula>
    </cfRule>
  </conditionalFormatting>
  <conditionalFormatting sqref="B5:F33 T5:W33 H5:R33">
    <cfRule type="expression" dxfId="55" priority="30">
      <formula>$D5&lt;&gt;0</formula>
    </cfRule>
  </conditionalFormatting>
  <conditionalFormatting sqref="O5:P30">
    <cfRule type="cellIs" dxfId="54" priority="6" operator="lessThan">
      <formula>0</formula>
    </cfRule>
  </conditionalFormatting>
  <conditionalFormatting sqref="S5:S33">
    <cfRule type="expression" dxfId="53" priority="5">
      <formula>$D5&lt;&gt;0</formula>
    </cfRule>
  </conditionalFormatting>
  <conditionalFormatting sqref="G5:G33">
    <cfRule type="cellIs" dxfId="52" priority="3" operator="equal">
      <formula>0</formula>
    </cfRule>
  </conditionalFormatting>
  <conditionalFormatting sqref="G31">
    <cfRule type="expression" dxfId="51" priority="2">
      <formula>$H31&lt;&gt;0</formula>
    </cfRule>
  </conditionalFormatting>
  <conditionalFormatting sqref="G5:G33">
    <cfRule type="expression" dxfId="50" priority="4">
      <formula>$D5&lt;&gt;0</formula>
    </cfRule>
  </conditionalFormatting>
  <conditionalFormatting sqref="D41:O69 D71:O99">
    <cfRule type="expression" dxfId="18" priority="1">
      <formula>FixAffald2021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650E-64D8-4249-AEF1-885527951C80}">
  <sheetPr codeName="Sheet7"/>
  <dimension ref="A2:Z44"/>
  <sheetViews>
    <sheetView zoomScale="85" zoomScaleNormal="85" workbookViewId="0">
      <selection activeCell="S24" sqref="S24"/>
    </sheetView>
  </sheetViews>
  <sheetFormatPr defaultRowHeight="15" x14ac:dyDescent="0.25"/>
  <cols>
    <col min="1" max="1" width="18" customWidth="1"/>
    <col min="2" max="2" width="16" bestFit="1" customWidth="1"/>
  </cols>
  <sheetData>
    <row r="2" spans="1:26" ht="15.75" x14ac:dyDescent="0.25">
      <c r="A2" s="5"/>
      <c r="B2" s="390">
        <v>2021</v>
      </c>
      <c r="C2" s="388" t="s">
        <v>450</v>
      </c>
      <c r="D2" s="389"/>
      <c r="E2" s="389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</row>
    <row r="3" spans="1:26" x14ac:dyDescent="0.25">
      <c r="A3" s="5"/>
      <c r="B3" s="38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6" x14ac:dyDescent="0.25">
      <c r="A4" s="5"/>
      <c r="B4" s="382"/>
      <c r="C4" t="s">
        <v>466</v>
      </c>
      <c r="O4" s="5"/>
      <c r="P4" s="5"/>
    </row>
    <row r="5" spans="1:26" x14ac:dyDescent="0.25">
      <c r="A5" s="5"/>
      <c r="B5" s="382"/>
      <c r="C5" s="5" t="s">
        <v>467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6" x14ac:dyDescent="0.25">
      <c r="A6" s="5"/>
      <c r="B6" s="382"/>
      <c r="C6" s="5" t="s">
        <v>468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26" x14ac:dyDescent="0.25">
      <c r="A7" s="5"/>
      <c r="B7" s="382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1:26" x14ac:dyDescent="0.25">
      <c r="A8" s="5"/>
      <c r="B8" s="382"/>
      <c r="C8" s="383" t="s">
        <v>451</v>
      </c>
      <c r="D8" s="383" t="s">
        <v>452</v>
      </c>
      <c r="E8" s="383" t="s">
        <v>453</v>
      </c>
      <c r="F8" s="383" t="s">
        <v>454</v>
      </c>
      <c r="G8" s="383" t="s">
        <v>455</v>
      </c>
      <c r="H8" s="383" t="s">
        <v>456</v>
      </c>
      <c r="I8" s="383" t="s">
        <v>457</v>
      </c>
      <c r="J8" s="383" t="s">
        <v>458</v>
      </c>
      <c r="K8" s="383" t="s">
        <v>459</v>
      </c>
      <c r="L8" s="383" t="s">
        <v>460</v>
      </c>
      <c r="M8" s="383" t="s">
        <v>461</v>
      </c>
      <c r="N8" s="383" t="s">
        <v>462</v>
      </c>
      <c r="O8" s="5"/>
      <c r="P8" s="5" t="s">
        <v>135</v>
      </c>
      <c r="Q8" s="383" t="s">
        <v>473</v>
      </c>
      <c r="R8" s="383" t="s">
        <v>474</v>
      </c>
      <c r="S8" s="383" t="s">
        <v>475</v>
      </c>
      <c r="T8" s="383" t="s">
        <v>476</v>
      </c>
      <c r="W8" s="395" t="s">
        <v>472</v>
      </c>
      <c r="X8" s="395"/>
    </row>
    <row r="9" spans="1:26" x14ac:dyDescent="0.25">
      <c r="A9" s="5"/>
      <c r="B9" s="384" t="s">
        <v>14</v>
      </c>
      <c r="C9" s="385">
        <v>3908.64</v>
      </c>
      <c r="D9" s="385">
        <v>973</v>
      </c>
      <c r="E9" s="385">
        <v>1702.59</v>
      </c>
      <c r="F9" s="385">
        <v>1267.99</v>
      </c>
      <c r="G9" s="385">
        <v>105.72</v>
      </c>
      <c r="H9" s="385">
        <v>0</v>
      </c>
      <c r="I9" s="385">
        <v>182.36</v>
      </c>
      <c r="J9" s="385">
        <v>161.74</v>
      </c>
      <c r="K9" s="385">
        <v>1474.88</v>
      </c>
      <c r="L9" s="385">
        <v>1389.91</v>
      </c>
      <c r="M9" s="385">
        <v>187.49</v>
      </c>
      <c r="N9" s="385">
        <v>1560.98</v>
      </c>
      <c r="O9" s="5"/>
      <c r="P9" s="5">
        <f>SUM(C9:N9)</f>
        <v>12915.299999999997</v>
      </c>
      <c r="Q9" s="5">
        <f>IFERROR(_xlfn.STDEV.S(C9:N9),0)</f>
        <v>1106.9990592465415</v>
      </c>
      <c r="R9" s="397">
        <f>IF(P9&gt;0,Q9/P9,"")</f>
        <v>8.5712221879982786E-2</v>
      </c>
      <c r="S9" s="5" cm="1">
        <f t="array" ref="S9">IF(P9&gt;0,MAX(-MIN(C9:N9-P9/12),MAX(C9:N9-P9/12)),"")</f>
        <v>2832.3649999999998</v>
      </c>
      <c r="T9" s="396">
        <f>IF(P9&gt;0,S9/(P9/12),"")</f>
        <v>2.6316368957747787</v>
      </c>
      <c r="U9" s="5">
        <v>12915.3125712</v>
      </c>
      <c r="W9" s="5">
        <f>U9-P9</f>
        <v>1.2571200002639671E-2</v>
      </c>
      <c r="X9" s="6"/>
      <c r="Z9" s="5"/>
    </row>
    <row r="10" spans="1:26" x14ac:dyDescent="0.25">
      <c r="A10" s="5"/>
      <c r="B10" s="384" t="s">
        <v>16</v>
      </c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5"/>
      <c r="P10" s="5">
        <f t="shared" ref="P10:P39" si="0">SUM(C10:N10)</f>
        <v>0</v>
      </c>
      <c r="Q10" s="5">
        <f t="shared" ref="Q10:Q29" si="1">IFERROR(_xlfn.STDEV.S(C10:N10),0)</f>
        <v>0</v>
      </c>
      <c r="R10" s="397" t="str">
        <f t="shared" ref="R10:R29" si="2">IF(P10&gt;0,Q10/P10,"")</f>
        <v/>
      </c>
      <c r="S10" s="5" t="str" cm="1">
        <f t="array" ref="S10">IF(P10&gt;0,MAX(-MIN(C10:N10-P10/12),MAX(C10:N10-P10/12)),"")</f>
        <v/>
      </c>
      <c r="T10" s="396" t="str">
        <f t="shared" ref="T10:T29" si="3">IF(P10&gt;0,S10/(P10/12),"")</f>
        <v/>
      </c>
      <c r="U10" s="5">
        <v>-1.1999999999999997E-13</v>
      </c>
      <c r="W10" s="5">
        <f t="shared" ref="W10:W29" si="4">U10-P10</f>
        <v>-1.1999999999999997E-13</v>
      </c>
      <c r="X10" s="6"/>
    </row>
    <row r="11" spans="1:26" x14ac:dyDescent="0.25">
      <c r="A11" s="5"/>
      <c r="B11" s="384" t="s">
        <v>18</v>
      </c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5"/>
      <c r="P11" s="5">
        <f t="shared" si="0"/>
        <v>0</v>
      </c>
      <c r="Q11" s="5">
        <f t="shared" si="1"/>
        <v>0</v>
      </c>
      <c r="R11" s="397" t="str">
        <f t="shared" si="2"/>
        <v/>
      </c>
      <c r="S11" s="5" t="str" cm="1">
        <f t="array" ref="S11">IF(P11&gt;0,MAX(-MIN(C11:N11-P11/12),MAX(C11:N11-P11/12)),"")</f>
        <v/>
      </c>
      <c r="T11" s="396" t="str">
        <f t="shared" si="3"/>
        <v/>
      </c>
      <c r="U11" s="5">
        <v>-1.1999999999999997E-13</v>
      </c>
      <c r="W11" s="5">
        <f t="shared" si="4"/>
        <v>-1.1999999999999997E-13</v>
      </c>
      <c r="X11" s="6"/>
    </row>
    <row r="12" spans="1:26" x14ac:dyDescent="0.25">
      <c r="A12" s="5"/>
      <c r="B12" s="384" t="s">
        <v>20</v>
      </c>
      <c r="C12" s="385">
        <v>2356.98</v>
      </c>
      <c r="D12" s="385">
        <v>2129.9</v>
      </c>
      <c r="E12" s="385">
        <v>2515.21</v>
      </c>
      <c r="F12" s="385">
        <v>2421.34</v>
      </c>
      <c r="G12" s="385">
        <v>2323.06</v>
      </c>
      <c r="H12" s="385">
        <v>2443.7399999999998</v>
      </c>
      <c r="I12" s="385">
        <v>2591.08</v>
      </c>
      <c r="J12" s="385">
        <v>2530.84</v>
      </c>
      <c r="K12" s="385">
        <v>2388.4499999999998</v>
      </c>
      <c r="L12" s="385">
        <v>2269.38</v>
      </c>
      <c r="M12" s="385">
        <v>2350.34</v>
      </c>
      <c r="N12" s="385">
        <v>2446.46</v>
      </c>
      <c r="O12" s="5"/>
      <c r="P12" s="5">
        <f t="shared" si="0"/>
        <v>28766.78</v>
      </c>
      <c r="Q12" s="5">
        <f t="shared" si="1"/>
        <v>124.94535655334462</v>
      </c>
      <c r="R12" s="397">
        <f t="shared" si="2"/>
        <v>4.3433904160752306E-3</v>
      </c>
      <c r="S12" s="5" cm="1">
        <f t="array" ref="S12">IF(P12&gt;0,MAX(-MIN(C12:N12-P12/12),MAX(C12:N12-P12/12)),"")</f>
        <v>267.33166666666648</v>
      </c>
      <c r="T12" s="396">
        <f t="shared" si="3"/>
        <v>0.11151682600555217</v>
      </c>
      <c r="U12" s="5">
        <v>28766.80632304</v>
      </c>
      <c r="W12" s="5">
        <f t="shared" si="4"/>
        <v>2.6323040001443587E-2</v>
      </c>
      <c r="X12" s="6"/>
    </row>
    <row r="13" spans="1:26" x14ac:dyDescent="0.25">
      <c r="A13" s="5"/>
      <c r="B13" s="384" t="s">
        <v>22</v>
      </c>
      <c r="C13" s="385">
        <v>437.56</v>
      </c>
      <c r="D13" s="385">
        <v>345</v>
      </c>
      <c r="E13" s="385">
        <v>540.71</v>
      </c>
      <c r="F13" s="385">
        <v>440.19</v>
      </c>
      <c r="G13" s="385">
        <v>404.17</v>
      </c>
      <c r="H13" s="385">
        <v>104.08</v>
      </c>
      <c r="I13" s="385">
        <v>311.55</v>
      </c>
      <c r="J13" s="385">
        <v>308.589</v>
      </c>
      <c r="K13" s="385">
        <v>384.76</v>
      </c>
      <c r="L13" s="385">
        <v>338.54</v>
      </c>
      <c r="M13" s="385">
        <v>295.89</v>
      </c>
      <c r="N13" s="385">
        <v>321.37</v>
      </c>
      <c r="O13" s="5"/>
      <c r="P13" s="5">
        <f t="shared" si="0"/>
        <v>4232.4090000000006</v>
      </c>
      <c r="Q13" s="5">
        <f t="shared" si="1"/>
        <v>106.08754194456978</v>
      </c>
      <c r="R13" s="397">
        <f t="shared" si="2"/>
        <v>2.5065522246212443E-2</v>
      </c>
      <c r="S13" s="5" cm="1">
        <f t="array" ref="S13">IF(P13&gt;0,MAX(-MIN(C13:N13-P13/12),MAX(C13:N13-P13/12)),"")</f>
        <v>248.62075000000004</v>
      </c>
      <c r="T13" s="396">
        <f t="shared" si="3"/>
        <v>0.70490564593355709</v>
      </c>
      <c r="U13" s="5">
        <v>4232.4125081879683</v>
      </c>
      <c r="W13" s="5">
        <f t="shared" si="4"/>
        <v>3.5081879677818506E-3</v>
      </c>
      <c r="X13" s="6"/>
    </row>
    <row r="14" spans="1:26" x14ac:dyDescent="0.25">
      <c r="A14" s="5"/>
      <c r="B14" s="384" t="s">
        <v>24</v>
      </c>
      <c r="C14" s="385"/>
      <c r="D14" s="385"/>
      <c r="E14" s="385"/>
      <c r="F14" s="385">
        <v>33.35</v>
      </c>
      <c r="G14" s="385"/>
      <c r="H14" s="385"/>
      <c r="I14" s="385"/>
      <c r="J14" s="385"/>
      <c r="K14" s="385"/>
      <c r="L14" s="385"/>
      <c r="M14" s="385"/>
      <c r="N14" s="385"/>
      <c r="O14" s="5"/>
      <c r="P14" s="5">
        <f t="shared" si="0"/>
        <v>33.35</v>
      </c>
      <c r="Q14" s="5">
        <f t="shared" si="1"/>
        <v>0</v>
      </c>
      <c r="R14" s="397">
        <f t="shared" si="2"/>
        <v>0</v>
      </c>
      <c r="S14" s="5" cm="1">
        <f t="array" ref="S14">IF(P14&gt;0,MAX(-MIN(C14:N14-P14/12),MAX(C14:N14-P14/12)),"")</f>
        <v>30.570833333333333</v>
      </c>
      <c r="T14" s="396">
        <f t="shared" si="3"/>
        <v>11</v>
      </c>
      <c r="U14" s="5">
        <v>33.350033350000082</v>
      </c>
      <c r="W14" s="5">
        <f t="shared" si="4"/>
        <v>3.3350000080645259E-5</v>
      </c>
      <c r="X14" s="6"/>
    </row>
    <row r="15" spans="1:26" x14ac:dyDescent="0.25">
      <c r="A15" s="5"/>
      <c r="B15" s="384" t="s">
        <v>26</v>
      </c>
      <c r="C15" s="385">
        <v>291.66000000000003</v>
      </c>
      <c r="D15" s="385">
        <v>260.87</v>
      </c>
      <c r="E15" s="385">
        <v>347.07</v>
      </c>
      <c r="F15" s="385">
        <v>332.39</v>
      </c>
      <c r="G15" s="385">
        <v>330.62</v>
      </c>
      <c r="H15" s="385">
        <v>417.61</v>
      </c>
      <c r="I15" s="385">
        <v>481.77</v>
      </c>
      <c r="J15" s="385">
        <v>404.79</v>
      </c>
      <c r="K15" s="385">
        <v>419.89</v>
      </c>
      <c r="L15" s="385">
        <v>377.54</v>
      </c>
      <c r="M15" s="385">
        <v>311.19</v>
      </c>
      <c r="N15" s="385">
        <v>314.38</v>
      </c>
      <c r="O15" s="5"/>
      <c r="P15" s="5">
        <f t="shared" si="0"/>
        <v>4289.78</v>
      </c>
      <c r="Q15" s="5">
        <f t="shared" si="1"/>
        <v>63.764298337112336</v>
      </c>
      <c r="R15" s="397">
        <f t="shared" si="2"/>
        <v>1.4864235074319042E-2</v>
      </c>
      <c r="S15" s="5" cm="1">
        <f t="array" ref="S15">IF(P15&gt;0,MAX(-MIN(C15:N15-P15/12),MAX(C15:N15-P15/12)),"")</f>
        <v>124.28833333333336</v>
      </c>
      <c r="T15" s="396">
        <f t="shared" si="3"/>
        <v>0.34767750327522634</v>
      </c>
      <c r="U15" s="5">
        <v>4041.3723674673893</v>
      </c>
      <c r="W15" s="5">
        <f t="shared" si="4"/>
        <v>-248.40763253261048</v>
      </c>
      <c r="X15" s="6" t="s">
        <v>471</v>
      </c>
    </row>
    <row r="16" spans="1:26" x14ac:dyDescent="0.25">
      <c r="A16" s="5"/>
      <c r="B16" s="384" t="s">
        <v>28</v>
      </c>
      <c r="C16" s="385">
        <v>6.15</v>
      </c>
      <c r="D16" s="385">
        <v>4.05</v>
      </c>
      <c r="E16" s="385">
        <v>6.72</v>
      </c>
      <c r="F16" s="385">
        <v>18.61</v>
      </c>
      <c r="G16" s="385">
        <v>9.65</v>
      </c>
      <c r="H16" s="385">
        <v>6.24</v>
      </c>
      <c r="I16" s="385">
        <v>13.02</v>
      </c>
      <c r="J16" s="385">
        <v>3.41</v>
      </c>
      <c r="K16" s="385">
        <v>14.3</v>
      </c>
      <c r="L16" s="385">
        <v>12.24</v>
      </c>
      <c r="M16" s="385">
        <v>4.9400000000000004</v>
      </c>
      <c r="N16" s="385">
        <v>7.57</v>
      </c>
      <c r="O16" s="5"/>
      <c r="P16" s="5">
        <f t="shared" si="0"/>
        <v>106.89999999999998</v>
      </c>
      <c r="Q16" s="5">
        <f t="shared" si="1"/>
        <v>4.6966077377639603</v>
      </c>
      <c r="R16" s="397">
        <f t="shared" si="2"/>
        <v>4.3934590624545945E-2</v>
      </c>
      <c r="S16" s="5" cm="1">
        <f t="array" ref="S16">IF(P16&gt;0,MAX(-MIN(C16:N16-P16/12),MAX(C16:N16-P16/12)),"")</f>
        <v>9.701666666666668</v>
      </c>
      <c r="T16" s="396">
        <f t="shared" si="3"/>
        <v>1.0890551917680078</v>
      </c>
      <c r="U16" s="5">
        <v>106.90010065999999</v>
      </c>
      <c r="W16" s="5">
        <f t="shared" si="4"/>
        <v>1.0066000001529574E-4</v>
      </c>
      <c r="X16" s="6"/>
    </row>
    <row r="17" spans="1:24" x14ac:dyDescent="0.25">
      <c r="A17" s="5"/>
      <c r="B17" s="384" t="s">
        <v>30</v>
      </c>
      <c r="C17" s="385">
        <v>257</v>
      </c>
      <c r="D17" s="385">
        <v>257.76</v>
      </c>
      <c r="E17" s="385">
        <v>307.94</v>
      </c>
      <c r="F17" s="385">
        <v>309.31</v>
      </c>
      <c r="G17" s="385">
        <v>337.34</v>
      </c>
      <c r="H17" s="385">
        <v>441.4</v>
      </c>
      <c r="I17" s="385">
        <v>494.33</v>
      </c>
      <c r="J17" s="385">
        <v>298.83999999999997</v>
      </c>
      <c r="K17" s="385">
        <v>458.61</v>
      </c>
      <c r="L17" s="385">
        <v>310.66000000000003</v>
      </c>
      <c r="M17" s="385">
        <v>449.82</v>
      </c>
      <c r="N17" s="385">
        <v>343.27</v>
      </c>
      <c r="O17" s="5"/>
      <c r="P17" s="5">
        <f t="shared" si="0"/>
        <v>4266.2800000000007</v>
      </c>
      <c r="Q17" s="5">
        <f t="shared" si="1"/>
        <v>82.864442350507247</v>
      </c>
      <c r="R17" s="397">
        <f t="shared" si="2"/>
        <v>1.9423113895596922E-2</v>
      </c>
      <c r="S17" s="5" cm="1">
        <f t="array" ref="S17">IF(P17&gt;0,MAX(-MIN(C17:N17-P17/12),MAX(C17:N17-P17/12)),"")</f>
        <v>138.80666666666662</v>
      </c>
      <c r="T17" s="396">
        <f t="shared" si="3"/>
        <v>0.39042913264014534</v>
      </c>
      <c r="U17" s="5">
        <v>4266.2825730999994</v>
      </c>
      <c r="W17" s="5">
        <f t="shared" si="4"/>
        <v>2.5730999986990355E-3</v>
      </c>
      <c r="X17" s="6"/>
    </row>
    <row r="18" spans="1:24" x14ac:dyDescent="0.25">
      <c r="A18" s="5"/>
      <c r="B18" s="384" t="s">
        <v>32</v>
      </c>
      <c r="C18" s="385">
        <v>22.8</v>
      </c>
      <c r="D18" s="385">
        <v>23.96</v>
      </c>
      <c r="E18" s="385">
        <v>21.49</v>
      </c>
      <c r="F18" s="385">
        <v>22.12</v>
      </c>
      <c r="G18" s="385">
        <v>24.73</v>
      </c>
      <c r="H18" s="385">
        <v>27.84</v>
      </c>
      <c r="I18" s="385">
        <v>57.59</v>
      </c>
      <c r="J18" s="385">
        <v>49.56</v>
      </c>
      <c r="K18" s="385">
        <v>33.479999999999997</v>
      </c>
      <c r="L18" s="385">
        <v>43.96</v>
      </c>
      <c r="M18" s="385">
        <v>39.01</v>
      </c>
      <c r="N18" s="385">
        <v>31.92</v>
      </c>
      <c r="O18" s="5"/>
      <c r="P18" s="5">
        <f t="shared" si="0"/>
        <v>398.46</v>
      </c>
      <c r="Q18" s="5">
        <f t="shared" si="1"/>
        <v>11.937985592217803</v>
      </c>
      <c r="R18" s="397">
        <f t="shared" si="2"/>
        <v>2.9960311178582052E-2</v>
      </c>
      <c r="S18" s="5" cm="1">
        <f t="array" ref="S18">IF(P18&gt;0,MAX(-MIN(C18:N18-P18/12),MAX(C18:N18-P18/12)),"")</f>
        <v>24.385000000000005</v>
      </c>
      <c r="T18" s="396">
        <f t="shared" si="3"/>
        <v>0.73437735280831218</v>
      </c>
      <c r="U18" s="5">
        <v>398.46037061999994</v>
      </c>
      <c r="W18" s="5">
        <f t="shared" si="4"/>
        <v>3.7061999995557926E-4</v>
      </c>
      <c r="X18" s="6"/>
    </row>
    <row r="19" spans="1:24" x14ac:dyDescent="0.25">
      <c r="A19" s="5"/>
      <c r="B19" s="384" t="s">
        <v>463</v>
      </c>
      <c r="C19" s="385">
        <v>1016</v>
      </c>
      <c r="D19" s="385">
        <v>1240.74</v>
      </c>
      <c r="E19" s="385">
        <v>783.2</v>
      </c>
      <c r="F19" s="385">
        <v>577.03</v>
      </c>
      <c r="G19" s="385">
        <v>314.81</v>
      </c>
      <c r="H19" s="385">
        <v>84.14</v>
      </c>
      <c r="I19" s="385">
        <v>329.48</v>
      </c>
      <c r="J19" s="385">
        <v>582.48</v>
      </c>
      <c r="K19" s="385">
        <v>237.45</v>
      </c>
      <c r="L19" s="385">
        <v>406.18</v>
      </c>
      <c r="M19" s="385">
        <v>337.86</v>
      </c>
      <c r="N19" s="385">
        <v>232.3</v>
      </c>
      <c r="O19" s="5"/>
      <c r="P19" s="5">
        <f t="shared" si="0"/>
        <v>6141.6699999999992</v>
      </c>
      <c r="Q19" s="5">
        <f t="shared" si="1"/>
        <v>346.17616864193025</v>
      </c>
      <c r="R19" s="397">
        <f t="shared" si="2"/>
        <v>5.6365152904980287E-2</v>
      </c>
      <c r="S19" s="5" cm="1">
        <f t="array" ref="S19">IF(P19&gt;0,MAX(-MIN(C19:N19-P19/12),MAX(C19:N19-P19/12)),"")</f>
        <v>728.93416666666667</v>
      </c>
      <c r="T19" s="396">
        <f t="shared" si="3"/>
        <v>1.4242396611996413</v>
      </c>
      <c r="U19" s="5">
        <v>6141.6760575299995</v>
      </c>
      <c r="W19" s="5">
        <f t="shared" si="4"/>
        <v>6.0575300003620214E-3</v>
      </c>
      <c r="X19" s="6"/>
    </row>
    <row r="20" spans="1:24" x14ac:dyDescent="0.25">
      <c r="A20" s="5"/>
      <c r="B20" s="384" t="s">
        <v>36</v>
      </c>
      <c r="C20" s="385">
        <v>13.53</v>
      </c>
      <c r="D20" s="385">
        <v>1.68</v>
      </c>
      <c r="E20" s="385">
        <v>11.22</v>
      </c>
      <c r="F20" s="385">
        <v>9.2799999999999994</v>
      </c>
      <c r="G20" s="385">
        <v>11.42</v>
      </c>
      <c r="H20" s="385">
        <v>5.75</v>
      </c>
      <c r="I20" s="385">
        <v>3.48</v>
      </c>
      <c r="J20" s="385">
        <v>14.44</v>
      </c>
      <c r="K20" s="385">
        <v>5.71</v>
      </c>
      <c r="L20" s="385">
        <v>44.54</v>
      </c>
      <c r="M20" s="385">
        <v>11.77</v>
      </c>
      <c r="N20" s="385">
        <v>1.37</v>
      </c>
      <c r="O20" s="5"/>
      <c r="P20" s="5">
        <f t="shared" si="0"/>
        <v>134.19</v>
      </c>
      <c r="Q20" s="5">
        <f t="shared" si="1"/>
        <v>11.434552203340065</v>
      </c>
      <c r="R20" s="397">
        <f t="shared" si="2"/>
        <v>8.5211656631195065E-2</v>
      </c>
      <c r="S20" s="5" cm="1">
        <f t="array" ref="S20">IF(P20&gt;0,MAX(-MIN(C20:N20-P20/12),MAX(C20:N20-P20/12)),"")</f>
        <v>33.357500000000002</v>
      </c>
      <c r="T20" s="396">
        <f t="shared" si="3"/>
        <v>2.9830091661077582</v>
      </c>
      <c r="U20" s="5">
        <v>134.19012844000002</v>
      </c>
      <c r="W20" s="5">
        <f t="shared" si="4"/>
        <v>1.2844000002587563E-4</v>
      </c>
      <c r="X20" s="6"/>
    </row>
    <row r="21" spans="1:24" x14ac:dyDescent="0.25">
      <c r="A21" s="5"/>
      <c r="B21" s="384" t="s">
        <v>38</v>
      </c>
      <c r="C21" s="385">
        <v>6.79</v>
      </c>
      <c r="D21" s="385">
        <v>2.12</v>
      </c>
      <c r="E21" s="385">
        <v>4.6399999999999997</v>
      </c>
      <c r="F21" s="385">
        <v>3.35</v>
      </c>
      <c r="G21" s="385">
        <v>8.83</v>
      </c>
      <c r="H21" s="385">
        <v>8.82</v>
      </c>
      <c r="I21" s="385">
        <v>3.03</v>
      </c>
      <c r="J21" s="385">
        <v>1.72</v>
      </c>
      <c r="K21" s="385">
        <v>4.71</v>
      </c>
      <c r="L21" s="385">
        <v>2.21</v>
      </c>
      <c r="M21" s="385">
        <v>4.29</v>
      </c>
      <c r="N21" s="385">
        <v>7.27</v>
      </c>
      <c r="O21" s="5"/>
      <c r="P21" s="5">
        <f t="shared" si="0"/>
        <v>57.78</v>
      </c>
      <c r="Q21" s="5">
        <f t="shared" si="1"/>
        <v>2.5471142316533233</v>
      </c>
      <c r="R21" s="397">
        <f t="shared" si="2"/>
        <v>4.408297389500386E-2</v>
      </c>
      <c r="S21" s="5" cm="1">
        <f t="array" ref="S21">IF(P21&gt;0,MAX(-MIN(C21:N21-P21/12),MAX(C21:N21-P21/12)),"")</f>
        <v>4.0149999999999997</v>
      </c>
      <c r="T21" s="396">
        <f t="shared" si="3"/>
        <v>0.83385254413291787</v>
      </c>
      <c r="U21" s="5">
        <v>48.960039500000001</v>
      </c>
      <c r="W21" s="5">
        <f t="shared" si="4"/>
        <v>-8.8199605000000005</v>
      </c>
      <c r="X21" s="6"/>
    </row>
    <row r="22" spans="1:24" x14ac:dyDescent="0.25">
      <c r="A22" s="5"/>
      <c r="B22" s="384" t="s">
        <v>40</v>
      </c>
      <c r="C22" s="385"/>
      <c r="D22" s="385">
        <v>4.32</v>
      </c>
      <c r="E22" s="385"/>
      <c r="F22" s="385"/>
      <c r="G22" s="385">
        <v>0.45</v>
      </c>
      <c r="H22" s="385"/>
      <c r="I22" s="385">
        <v>2.4700000000000002</v>
      </c>
      <c r="J22" s="385"/>
      <c r="K22" s="385"/>
      <c r="L22" s="385"/>
      <c r="M22" s="385">
        <v>2.5</v>
      </c>
      <c r="N22" s="385">
        <v>3.15</v>
      </c>
      <c r="O22" s="5"/>
      <c r="P22" s="5">
        <f t="shared" si="0"/>
        <v>12.89</v>
      </c>
      <c r="Q22" s="5">
        <f t="shared" si="1"/>
        <v>1.4060476521085619</v>
      </c>
      <c r="R22" s="397">
        <f t="shared" si="2"/>
        <v>0.1090805005514788</v>
      </c>
      <c r="S22" s="5" cm="1">
        <f t="array" ref="S22">IF(P22&gt;0,MAX(-MIN(C22:N22-P22/12),MAX(C22:N22-P22/12)),"")</f>
        <v>3.2458333333333336</v>
      </c>
      <c r="T22" s="396">
        <f t="shared" si="3"/>
        <v>3.0217222653219551</v>
      </c>
      <c r="U22" s="5">
        <v>12.890010420000069</v>
      </c>
      <c r="W22" s="5">
        <f t="shared" si="4"/>
        <v>1.0420000068123159E-5</v>
      </c>
      <c r="X22" s="6"/>
    </row>
    <row r="23" spans="1:24" x14ac:dyDescent="0.25">
      <c r="A23" s="5"/>
      <c r="B23" s="384" t="s">
        <v>42</v>
      </c>
      <c r="C23" s="385">
        <v>3226.38</v>
      </c>
      <c r="D23" s="385">
        <v>4072.27</v>
      </c>
      <c r="E23" s="385">
        <v>3888.09</v>
      </c>
      <c r="F23" s="385">
        <v>3229.34</v>
      </c>
      <c r="G23" s="385">
        <v>1665.58</v>
      </c>
      <c r="H23" s="385">
        <v>1131.17</v>
      </c>
      <c r="I23" s="385">
        <v>1712.01</v>
      </c>
      <c r="J23" s="385">
        <v>1884.5</v>
      </c>
      <c r="K23" s="385">
        <v>1798.93</v>
      </c>
      <c r="L23" s="385">
        <v>3232.96</v>
      </c>
      <c r="M23" s="385">
        <v>4388.75</v>
      </c>
      <c r="N23" s="385">
        <v>4002.71</v>
      </c>
      <c r="O23" s="5"/>
      <c r="P23" s="5">
        <f t="shared" si="0"/>
        <v>34232.69</v>
      </c>
      <c r="Q23" s="5">
        <f t="shared" si="1"/>
        <v>1143.7332689880766</v>
      </c>
      <c r="R23" s="397">
        <f t="shared" si="2"/>
        <v>3.3410557831945915E-2</v>
      </c>
      <c r="S23" s="5" cm="1">
        <f t="array" ref="S23">IF(P23&gt;0,MAX(-MIN(C23:N23-P23/12),MAX(C23:N23-P23/12)),"")</f>
        <v>1721.5541666666668</v>
      </c>
      <c r="T23" s="396">
        <f t="shared" si="3"/>
        <v>0.60347726106245225</v>
      </c>
      <c r="U23" s="5">
        <v>34232.717706079995</v>
      </c>
      <c r="W23" s="5">
        <f t="shared" si="4"/>
        <v>2.7706079992640298E-2</v>
      </c>
      <c r="X23" s="6"/>
    </row>
    <row r="24" spans="1:24" x14ac:dyDescent="0.25">
      <c r="A24" s="5"/>
      <c r="B24" s="384" t="s">
        <v>44</v>
      </c>
      <c r="C24" s="385"/>
      <c r="D24" s="385"/>
      <c r="E24" s="385"/>
      <c r="F24" s="385">
        <v>154.09</v>
      </c>
      <c r="G24" s="385"/>
      <c r="H24" s="385"/>
      <c r="I24" s="385"/>
      <c r="J24" s="385"/>
      <c r="K24" s="385"/>
      <c r="L24" s="385"/>
      <c r="M24" s="385"/>
      <c r="N24" s="385"/>
      <c r="O24" s="5"/>
      <c r="P24" s="5">
        <f t="shared" si="0"/>
        <v>154.09</v>
      </c>
      <c r="Q24" s="5">
        <f t="shared" si="1"/>
        <v>0</v>
      </c>
      <c r="R24" s="397">
        <f t="shared" si="2"/>
        <v>0</v>
      </c>
      <c r="S24" s="5" cm="1">
        <f t="array" ref="S24">IF(P24&gt;0,MAX(-MIN(C24:N24-P24/12),MAX(C24:N24-P24/12)),"")</f>
        <v>141.24916666666667</v>
      </c>
      <c r="T24" s="396">
        <f t="shared" si="3"/>
        <v>11</v>
      </c>
      <c r="U24" s="5">
        <v>154.09015409000003</v>
      </c>
      <c r="W24" s="5">
        <f t="shared" si="4"/>
        <v>1.5409000002364337E-4</v>
      </c>
      <c r="X24" s="6"/>
    </row>
    <row r="25" spans="1:24" x14ac:dyDescent="0.25">
      <c r="A25" s="5"/>
      <c r="B25" s="384" t="s">
        <v>46</v>
      </c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5"/>
      <c r="P25" s="5">
        <f t="shared" si="0"/>
        <v>0</v>
      </c>
      <c r="Q25" s="5">
        <f t="shared" si="1"/>
        <v>0</v>
      </c>
      <c r="R25" s="397" t="str">
        <f t="shared" si="2"/>
        <v/>
      </c>
      <c r="S25" s="5" t="str" cm="1">
        <f t="array" ref="S25">IF(P25&gt;0,MAX(-MIN(C25:N25-P25/12),MAX(C25:N25-P25/12)),"")</f>
        <v/>
      </c>
      <c r="T25" s="396" t="str">
        <f t="shared" si="3"/>
        <v/>
      </c>
      <c r="U25" s="5">
        <v>-1.1999999999999997E-13</v>
      </c>
      <c r="W25" s="5">
        <f t="shared" si="4"/>
        <v>-1.1999999999999997E-13</v>
      </c>
      <c r="X25" s="6"/>
    </row>
    <row r="26" spans="1:24" x14ac:dyDescent="0.25">
      <c r="A26" s="5"/>
      <c r="B26" s="384" t="s">
        <v>50</v>
      </c>
      <c r="C26" s="385">
        <v>57.5</v>
      </c>
      <c r="D26" s="385">
        <v>143.63</v>
      </c>
      <c r="E26" s="385">
        <v>49.69</v>
      </c>
      <c r="F26" s="385">
        <v>116.49</v>
      </c>
      <c r="G26" s="385">
        <v>144.72</v>
      </c>
      <c r="H26" s="385">
        <v>157.86000000000001</v>
      </c>
      <c r="I26" s="385">
        <v>62.1</v>
      </c>
      <c r="J26" s="385">
        <v>2.92</v>
      </c>
      <c r="K26" s="385">
        <v>54.7</v>
      </c>
      <c r="L26" s="385">
        <v>78.22</v>
      </c>
      <c r="M26" s="385">
        <v>92.89</v>
      </c>
      <c r="N26" s="385">
        <v>83.81</v>
      </c>
      <c r="O26" s="5"/>
      <c r="P26" s="5">
        <f t="shared" si="0"/>
        <v>1044.53</v>
      </c>
      <c r="Q26" s="5">
        <f t="shared" si="1"/>
        <v>46.266344229183844</v>
      </c>
      <c r="R26" s="397">
        <f t="shared" si="2"/>
        <v>4.4293935290689444E-2</v>
      </c>
      <c r="S26" s="5" cm="1">
        <f t="array" ref="S26">IF(P26&gt;0,MAX(-MIN(C26:N26-P26/12),MAX(C26:N26-P26/12)),"")</f>
        <v>84.124166666666667</v>
      </c>
      <c r="T26" s="396">
        <f t="shared" si="3"/>
        <v>0.966453811762228</v>
      </c>
      <c r="U26" s="5">
        <v>886.67076695000003</v>
      </c>
      <c r="W26" s="5">
        <f t="shared" si="4"/>
        <v>-157.85923304999994</v>
      </c>
      <c r="X26" s="6" t="s">
        <v>471</v>
      </c>
    </row>
    <row r="27" spans="1:24" x14ac:dyDescent="0.25">
      <c r="A27" s="5"/>
      <c r="B27" s="384" t="s">
        <v>52</v>
      </c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5"/>
      <c r="P27" s="5">
        <f t="shared" si="0"/>
        <v>0</v>
      </c>
      <c r="Q27" s="5">
        <f t="shared" si="1"/>
        <v>0</v>
      </c>
      <c r="R27" s="397" t="str">
        <f t="shared" si="2"/>
        <v/>
      </c>
      <c r="S27" s="5" t="str" cm="1">
        <f t="array" ref="S27">IF(P27&gt;0,MAX(-MIN(C27:N27-P27/12),MAX(C27:N27-P27/12)),"")</f>
        <v/>
      </c>
      <c r="T27" s="396" t="str">
        <f t="shared" si="3"/>
        <v/>
      </c>
      <c r="U27" s="5">
        <v>-1.1999999999999997E-13</v>
      </c>
      <c r="W27" s="5">
        <f t="shared" si="4"/>
        <v>-1.1999999999999997E-13</v>
      </c>
      <c r="X27" s="6"/>
    </row>
    <row r="28" spans="1:24" x14ac:dyDescent="0.25">
      <c r="A28" s="5"/>
      <c r="B28" s="384" t="s">
        <v>55</v>
      </c>
      <c r="C28" s="385">
        <v>10.62</v>
      </c>
      <c r="D28" s="385">
        <v>9.24</v>
      </c>
      <c r="E28" s="385">
        <v>15.29</v>
      </c>
      <c r="F28" s="385">
        <v>9.17</v>
      </c>
      <c r="G28" s="385">
        <v>12.23</v>
      </c>
      <c r="H28" s="385">
        <v>12.06</v>
      </c>
      <c r="I28" s="385">
        <v>10.96</v>
      </c>
      <c r="J28" s="385">
        <v>10.58</v>
      </c>
      <c r="K28" s="385">
        <v>0.91</v>
      </c>
      <c r="L28" s="385">
        <v>0</v>
      </c>
      <c r="M28" s="385">
        <v>9.4700000000000006</v>
      </c>
      <c r="N28" s="385">
        <v>13.41</v>
      </c>
      <c r="O28" s="5"/>
      <c r="P28" s="5">
        <f t="shared" si="0"/>
        <v>113.93999999999998</v>
      </c>
      <c r="Q28" s="5">
        <f t="shared" si="1"/>
        <v>4.5883875163285888</v>
      </c>
      <c r="R28" s="397">
        <f t="shared" si="2"/>
        <v>4.0270208147521407E-2</v>
      </c>
      <c r="S28" s="5" cm="1">
        <f t="array" ref="S28">IF(P28&gt;0,MAX(-MIN(C28:N28-P28/12),MAX(C28:N28-P28/12)),"")</f>
        <v>9.4949999999999992</v>
      </c>
      <c r="T28" s="396">
        <f t="shared" si="3"/>
        <v>1</v>
      </c>
      <c r="U28" s="5">
        <v>101.88007943000001</v>
      </c>
      <c r="W28" s="5">
        <f t="shared" si="4"/>
        <v>-12.059920569999974</v>
      </c>
      <c r="X28" s="6" t="s">
        <v>471</v>
      </c>
    </row>
    <row r="29" spans="1:24" x14ac:dyDescent="0.25">
      <c r="A29" s="5"/>
      <c r="B29" s="384" t="s">
        <v>69</v>
      </c>
      <c r="C29" s="385">
        <v>15.19</v>
      </c>
      <c r="D29" s="385">
        <v>5.42</v>
      </c>
      <c r="E29" s="385">
        <v>32.67</v>
      </c>
      <c r="F29" s="385">
        <v>48.46</v>
      </c>
      <c r="G29" s="385">
        <v>9.11</v>
      </c>
      <c r="H29" s="385">
        <v>2.0499999999999998</v>
      </c>
      <c r="I29" s="385">
        <v>23.1</v>
      </c>
      <c r="J29" s="385">
        <v>25.1</v>
      </c>
      <c r="K29" s="385">
        <v>24.47</v>
      </c>
      <c r="L29" s="385">
        <v>15.68</v>
      </c>
      <c r="M29" s="385">
        <v>4.9800000000000004</v>
      </c>
      <c r="N29" s="385">
        <v>5.97</v>
      </c>
      <c r="O29" s="5"/>
      <c r="P29" s="5">
        <f t="shared" si="0"/>
        <v>212.2</v>
      </c>
      <c r="Q29" s="5">
        <f t="shared" si="1"/>
        <v>13.748748262582991</v>
      </c>
      <c r="R29" s="397">
        <f t="shared" si="2"/>
        <v>6.479146212338828E-2</v>
      </c>
      <c r="S29" s="5" cm="1">
        <f t="array" ref="S29">IF(P29&gt;0,MAX(-MIN(C29:N29-P29/12),MAX(C29:N29-P29/12)),"")</f>
        <v>30.776666666666667</v>
      </c>
      <c r="T29" s="396">
        <f t="shared" si="3"/>
        <v>1.7404335532516495</v>
      </c>
      <c r="U29" s="5">
        <v>212.20021014999998</v>
      </c>
      <c r="W29" s="5">
        <f t="shared" si="4"/>
        <v>2.1014999998669737E-4</v>
      </c>
      <c r="X29" s="6"/>
    </row>
    <row r="30" spans="1:24" x14ac:dyDescent="0.25">
      <c r="A30" s="5"/>
      <c r="B30" s="384" t="s">
        <v>85</v>
      </c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5"/>
      <c r="P30" s="5">
        <f t="shared" si="0"/>
        <v>0</v>
      </c>
      <c r="U30" s="5"/>
    </row>
    <row r="31" spans="1:24" x14ac:dyDescent="0.25">
      <c r="A31" s="5"/>
      <c r="B31" s="384" t="s">
        <v>87</v>
      </c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5"/>
      <c r="P31" s="5">
        <f t="shared" si="0"/>
        <v>0</v>
      </c>
      <c r="U31" s="5"/>
    </row>
    <row r="32" spans="1:24" x14ac:dyDescent="0.25">
      <c r="A32" s="5"/>
      <c r="B32" s="384" t="s">
        <v>102</v>
      </c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5"/>
      <c r="P32" s="5">
        <f t="shared" si="0"/>
        <v>0</v>
      </c>
      <c r="U32" s="5"/>
    </row>
    <row r="33" spans="1:21" x14ac:dyDescent="0.25">
      <c r="A33" s="5"/>
      <c r="B33" s="384" t="s">
        <v>104</v>
      </c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5"/>
      <c r="P33" s="5">
        <f t="shared" si="0"/>
        <v>0</v>
      </c>
      <c r="U33" s="5"/>
    </row>
    <row r="34" spans="1:21" x14ac:dyDescent="0.25">
      <c r="A34" s="5"/>
      <c r="B34" s="384" t="s">
        <v>106</v>
      </c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5"/>
      <c r="P34" s="5">
        <f t="shared" si="0"/>
        <v>0</v>
      </c>
      <c r="U34" s="5"/>
    </row>
    <row r="35" spans="1:21" x14ac:dyDescent="0.25">
      <c r="A35" s="5"/>
      <c r="B35" s="384" t="s">
        <v>48</v>
      </c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5"/>
      <c r="P35" s="5">
        <f t="shared" si="0"/>
        <v>0</v>
      </c>
      <c r="U35" s="5"/>
    </row>
    <row r="36" spans="1:21" x14ac:dyDescent="0.25">
      <c r="A36" s="5"/>
      <c r="B36" s="384" t="s">
        <v>65</v>
      </c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5"/>
      <c r="P36" s="5">
        <f t="shared" si="0"/>
        <v>0</v>
      </c>
      <c r="U36" s="5"/>
    </row>
    <row r="37" spans="1:21" x14ac:dyDescent="0.25">
      <c r="A37" s="5"/>
      <c r="B37" s="384" t="s">
        <v>76</v>
      </c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5"/>
      <c r="P37" s="5">
        <f t="shared" si="0"/>
        <v>0</v>
      </c>
      <c r="U37" s="5"/>
    </row>
    <row r="38" spans="1:21" x14ac:dyDescent="0.25">
      <c r="A38" s="5"/>
      <c r="B38" s="382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>
        <f t="shared" si="0"/>
        <v>0</v>
      </c>
      <c r="U38" s="5"/>
    </row>
    <row r="39" spans="1:21" x14ac:dyDescent="0.25">
      <c r="A39" s="5"/>
      <c r="B39" s="382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>
        <f t="shared" si="0"/>
        <v>0</v>
      </c>
      <c r="U39" s="5"/>
    </row>
    <row r="40" spans="1:21" ht="15.75" thickBot="1" x14ac:dyDescent="0.3">
      <c r="A40" s="5"/>
      <c r="B40" s="386" t="s">
        <v>464</v>
      </c>
      <c r="C40" s="387">
        <f>SUM(C9:C34)</f>
        <v>11626.800000000003</v>
      </c>
      <c r="D40" s="387">
        <f t="shared" ref="D40:P40" si="5">SUM(D9:D34)</f>
        <v>9473.9599999999991</v>
      </c>
      <c r="E40" s="387">
        <f t="shared" si="5"/>
        <v>10226.530000000002</v>
      </c>
      <c r="F40" s="387">
        <f t="shared" si="5"/>
        <v>8992.5099999999984</v>
      </c>
      <c r="G40" s="387">
        <f t="shared" si="5"/>
        <v>5702.4399999999987</v>
      </c>
      <c r="H40" s="387">
        <f t="shared" si="5"/>
        <v>4842.76</v>
      </c>
      <c r="I40" s="387">
        <f t="shared" si="5"/>
        <v>6278.3300000000008</v>
      </c>
      <c r="J40" s="387">
        <f t="shared" si="5"/>
        <v>6279.509</v>
      </c>
      <c r="K40" s="387">
        <f t="shared" si="5"/>
        <v>7301.25</v>
      </c>
      <c r="L40" s="387">
        <f t="shared" si="5"/>
        <v>8522.0199999999986</v>
      </c>
      <c r="M40" s="387">
        <f t="shared" si="5"/>
        <v>8491.1899999999987</v>
      </c>
      <c r="N40" s="387">
        <f t="shared" si="5"/>
        <v>9375.9399999999987</v>
      </c>
      <c r="O40" s="5"/>
      <c r="P40" s="387">
        <f t="shared" si="5"/>
        <v>97113.238999999987</v>
      </c>
      <c r="U40" s="5"/>
    </row>
    <row r="41" spans="1:21" ht="15.75" thickTop="1" x14ac:dyDescent="0.25">
      <c r="U41" s="5"/>
    </row>
    <row r="42" spans="1:21" x14ac:dyDescent="0.25">
      <c r="U42" s="5"/>
    </row>
    <row r="43" spans="1:21" x14ac:dyDescent="0.25">
      <c r="U43" s="5"/>
    </row>
    <row r="44" spans="1:21" x14ac:dyDescent="0.25">
      <c r="U44" s="5"/>
    </row>
  </sheetData>
  <mergeCells count="1">
    <mergeCell ref="W8:X8"/>
  </mergeCells>
  <conditionalFormatting sqref="C9:N37">
    <cfRule type="colorScale" priority="3">
      <colorScale>
        <cfvo type="min"/>
        <cfvo type="max"/>
        <color rgb="FFFCFCFF"/>
        <color rgb="FF63BE7B"/>
      </colorScale>
    </cfRule>
  </conditionalFormatting>
  <conditionalFormatting sqref="C9:N37">
    <cfRule type="cellIs" dxfId="23" priority="2" operator="between">
      <formula>-0.0000000000001</formula>
      <formula>0.0000000000001</formula>
    </cfRule>
  </conditionalFormatting>
  <conditionalFormatting sqref="T9:T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B4160479-AF4F-48B5-B1B0-DFC17782030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Affald2021!C9:N9</xm:f>
              <xm:sqref>A9</xm:sqref>
            </x14:sparkline>
            <x14:sparkline>
              <xm:f>Affald2021!C10:N10</xm:f>
              <xm:sqref>A10</xm:sqref>
            </x14:sparkline>
            <x14:sparkline>
              <xm:f>Affald2021!C11:N11</xm:f>
              <xm:sqref>A11</xm:sqref>
            </x14:sparkline>
            <x14:sparkline>
              <xm:f>Affald2021!C12:N12</xm:f>
              <xm:sqref>A12</xm:sqref>
            </x14:sparkline>
            <x14:sparkline>
              <xm:f>Affald2021!C13:N13</xm:f>
              <xm:sqref>A13</xm:sqref>
            </x14:sparkline>
            <x14:sparkline>
              <xm:f>Affald2021!C14:N14</xm:f>
              <xm:sqref>A14</xm:sqref>
            </x14:sparkline>
            <x14:sparkline>
              <xm:f>Affald2021!C15:N15</xm:f>
              <xm:sqref>A15</xm:sqref>
            </x14:sparkline>
            <x14:sparkline>
              <xm:f>Affald2021!C16:N16</xm:f>
              <xm:sqref>A16</xm:sqref>
            </x14:sparkline>
            <x14:sparkline>
              <xm:f>Affald2021!C17:N17</xm:f>
              <xm:sqref>A17</xm:sqref>
            </x14:sparkline>
            <x14:sparkline>
              <xm:f>Affald2021!C18:N18</xm:f>
              <xm:sqref>A18</xm:sqref>
            </x14:sparkline>
            <x14:sparkline>
              <xm:f>Affald2021!C19:N19</xm:f>
              <xm:sqref>A19</xm:sqref>
            </x14:sparkline>
            <x14:sparkline>
              <xm:f>Affald2021!C20:N20</xm:f>
              <xm:sqref>A20</xm:sqref>
            </x14:sparkline>
            <x14:sparkline>
              <xm:f>Affald2021!C21:N21</xm:f>
              <xm:sqref>A21</xm:sqref>
            </x14:sparkline>
            <x14:sparkline>
              <xm:f>Affald2021!C22:N22</xm:f>
              <xm:sqref>A22</xm:sqref>
            </x14:sparkline>
            <x14:sparkline>
              <xm:f>Affald2021!C23:N23</xm:f>
              <xm:sqref>A23</xm:sqref>
            </x14:sparkline>
            <x14:sparkline>
              <xm:f>Affald2021!C24:N24</xm:f>
              <xm:sqref>A24</xm:sqref>
            </x14:sparkline>
            <x14:sparkline>
              <xm:f>Affald2021!C25:N25</xm:f>
              <xm:sqref>A25</xm:sqref>
            </x14:sparkline>
            <x14:sparkline>
              <xm:f>Affald2021!C26:N26</xm:f>
              <xm:sqref>A26</xm:sqref>
            </x14:sparkline>
            <x14:sparkline>
              <xm:f>Affald2021!C27:N27</xm:f>
              <xm:sqref>A27</xm:sqref>
            </x14:sparkline>
            <x14:sparkline>
              <xm:f>Affald2021!C28:N28</xm:f>
              <xm:sqref>A28</xm:sqref>
            </x14:sparkline>
            <x14:sparkline>
              <xm:f>Affald2021!C29:N29</xm:f>
              <xm:sqref>A29</xm:sqref>
            </x14:sparkline>
            <x14:sparkline>
              <xm:f>Affald2021!C30:N30</xm:f>
              <xm:sqref>A30</xm:sqref>
            </x14:sparkline>
            <x14:sparkline>
              <xm:f>Affald2021!C31:N31</xm:f>
              <xm:sqref>A31</xm:sqref>
            </x14:sparkline>
            <x14:sparkline>
              <xm:f>Affald2021!C32:N32</xm:f>
              <xm:sqref>A32</xm:sqref>
            </x14:sparkline>
            <x14:sparkline>
              <xm:f>Affald2021!C33:N33</xm:f>
              <xm:sqref>A33</xm:sqref>
            </x14:sparkline>
            <x14:sparkline>
              <xm:f>Affald2021!C34:N34</xm:f>
              <xm:sqref>A34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sheetPr codeName="Sheet8"/>
  <dimension ref="A2:M89"/>
  <sheetViews>
    <sheetView zoomScale="85" zoomScaleNormal="85" workbookViewId="0">
      <selection activeCell="K4" sqref="K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285</v>
      </c>
      <c r="C2" s="275">
        <v>0.56999999999999995</v>
      </c>
      <c r="D2" s="276" t="s">
        <v>286</v>
      </c>
    </row>
    <row r="3" spans="1:13" x14ac:dyDescent="0.25">
      <c r="B3" s="21" t="s">
        <v>275</v>
      </c>
      <c r="C3" s="275">
        <v>0.85499999999999998</v>
      </c>
      <c r="D3" s="276" t="s">
        <v>282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278</v>
      </c>
      <c r="C4" s="275">
        <v>0.15</v>
      </c>
      <c r="D4" s="276" t="s">
        <v>283</v>
      </c>
    </row>
    <row r="5" spans="1:13" x14ac:dyDescent="0.25">
      <c r="B5" s="21"/>
      <c r="C5" s="21"/>
      <c r="D5" s="276"/>
    </row>
    <row r="6" spans="1:13" x14ac:dyDescent="0.25">
      <c r="D6" t="s">
        <v>276</v>
      </c>
      <c r="F6" t="s">
        <v>277</v>
      </c>
    </row>
    <row r="7" spans="1:13" x14ac:dyDescent="0.25">
      <c r="A7" s="1" t="s">
        <v>284</v>
      </c>
      <c r="B7" s="21" t="s">
        <v>270</v>
      </c>
      <c r="C7" s="21" t="s">
        <v>269</v>
      </c>
      <c r="D7" s="21" t="s">
        <v>279</v>
      </c>
      <c r="E7" s="21" t="s">
        <v>280</v>
      </c>
      <c r="F7" s="21" t="s">
        <v>271</v>
      </c>
      <c r="G7" s="21" t="s">
        <v>272</v>
      </c>
      <c r="H7" s="21" t="s">
        <v>273</v>
      </c>
      <c r="I7" s="21" t="s">
        <v>274</v>
      </c>
      <c r="J7" s="21"/>
      <c r="K7" s="277" t="s">
        <v>281</v>
      </c>
    </row>
    <row r="8" spans="1:13" x14ac:dyDescent="0.25">
      <c r="A8" s="274">
        <v>0</v>
      </c>
      <c r="B8" s="274">
        <f>$C$3-C8+$C$4</f>
        <v>1.0049999999999999</v>
      </c>
      <c r="C8" s="274">
        <f>A8*$C$2</f>
        <v>0</v>
      </c>
      <c r="D8" s="53">
        <f>C8/0.67</f>
        <v>0</v>
      </c>
      <c r="E8" s="53">
        <f>MIN(1-B8/1.2,C8/0.35)</f>
        <v>0</v>
      </c>
      <c r="F8" s="53">
        <f>1-D8</f>
        <v>1</v>
      </c>
      <c r="G8" s="53">
        <f>1-E8</f>
        <v>1</v>
      </c>
      <c r="H8" s="53">
        <f>B8/1.2</f>
        <v>0.83749999999999991</v>
      </c>
      <c r="I8" s="53">
        <f>1-C8/0.35</f>
        <v>1</v>
      </c>
      <c r="J8" s="53"/>
      <c r="K8" s="278" t="str">
        <f>IF(C8&gt;0,(B8+C8)/(1.55*C8),"")</f>
        <v/>
      </c>
    </row>
    <row r="9" spans="1:13" x14ac:dyDescent="0.25">
      <c r="A9" s="274">
        <v>5.0000000000000001E-3</v>
      </c>
      <c r="B9" s="274">
        <f t="shared" ref="B9:B28" si="0">$C$3-C9+$C$4</f>
        <v>1.0021499999999999</v>
      </c>
      <c r="C9" s="274">
        <f t="shared" ref="C9:C72" si="1">A9*$C$2</f>
        <v>2.8499999999999997E-3</v>
      </c>
      <c r="D9" s="53">
        <f t="shared" ref="D9:D28" si="2">C9/0.67</f>
        <v>4.2537313432835814E-3</v>
      </c>
      <c r="E9" s="53">
        <f t="shared" ref="E9:E28" si="3">MIN(1-B9/1.2,C9/0.35)</f>
        <v>8.1428571428571427E-3</v>
      </c>
      <c r="F9" s="53">
        <f t="shared" ref="F9:F28" si="4">1-D9</f>
        <v>0.99574626865671645</v>
      </c>
      <c r="G9" s="53">
        <f t="shared" ref="G9:G28" si="5">1-E9</f>
        <v>0.99185714285714288</v>
      </c>
      <c r="H9" s="53">
        <f t="shared" ref="H9:H28" si="6">B9/1.2</f>
        <v>0.8351249999999999</v>
      </c>
      <c r="I9" s="53">
        <f t="shared" ref="I9:I28" si="7">1-C9/0.35</f>
        <v>0.99185714285714288</v>
      </c>
      <c r="J9" s="53"/>
      <c r="K9" s="278">
        <f t="shared" ref="K9:K72" si="8">IF(C9&gt;0,(B9+C9)/(1.55*C9),"")</f>
        <v>227.50424448217316</v>
      </c>
    </row>
    <row r="10" spans="1:13" x14ac:dyDescent="0.25">
      <c r="A10" s="274">
        <v>0.01</v>
      </c>
      <c r="B10" s="274">
        <f t="shared" si="0"/>
        <v>0.99929999999999997</v>
      </c>
      <c r="C10" s="274">
        <f t="shared" si="1"/>
        <v>5.6999999999999993E-3</v>
      </c>
      <c r="D10" s="53">
        <f t="shared" si="2"/>
        <v>8.5074626865671629E-3</v>
      </c>
      <c r="E10" s="53">
        <f t="shared" si="3"/>
        <v>1.6285714285714285E-2</v>
      </c>
      <c r="F10" s="53">
        <f t="shared" si="4"/>
        <v>0.99149253731343279</v>
      </c>
      <c r="G10" s="53">
        <f t="shared" si="5"/>
        <v>0.98371428571428576</v>
      </c>
      <c r="H10" s="53">
        <f t="shared" si="6"/>
        <v>0.83274999999999999</v>
      </c>
      <c r="I10" s="53">
        <f t="shared" si="7"/>
        <v>0.98371428571428576</v>
      </c>
      <c r="J10" s="53"/>
      <c r="K10" s="278">
        <f t="shared" si="8"/>
        <v>113.75212224108658</v>
      </c>
    </row>
    <row r="11" spans="1:13" x14ac:dyDescent="0.25">
      <c r="A11" s="274">
        <v>1.4999999999999999E-2</v>
      </c>
      <c r="B11" s="274">
        <f t="shared" si="0"/>
        <v>0.99645000000000006</v>
      </c>
      <c r="C11" s="274">
        <f t="shared" si="1"/>
        <v>8.5499999999999986E-3</v>
      </c>
      <c r="D11" s="53">
        <f t="shared" si="2"/>
        <v>1.2761194029850743E-2</v>
      </c>
      <c r="E11" s="53">
        <f t="shared" si="3"/>
        <v>2.4428571428571424E-2</v>
      </c>
      <c r="F11" s="53">
        <f t="shared" si="4"/>
        <v>0.98723880597014924</v>
      </c>
      <c r="G11" s="53">
        <f t="shared" si="5"/>
        <v>0.97557142857142853</v>
      </c>
      <c r="H11" s="53">
        <f t="shared" si="6"/>
        <v>0.83037500000000009</v>
      </c>
      <c r="I11" s="53">
        <f t="shared" si="7"/>
        <v>0.97557142857142853</v>
      </c>
      <c r="J11" s="53"/>
      <c r="K11" s="278">
        <f t="shared" si="8"/>
        <v>75.834748160724402</v>
      </c>
    </row>
    <row r="12" spans="1:13" x14ac:dyDescent="0.25">
      <c r="A12" s="274">
        <v>0.02</v>
      </c>
      <c r="B12" s="274">
        <f t="shared" si="0"/>
        <v>0.99360000000000004</v>
      </c>
      <c r="C12" s="274">
        <f t="shared" si="1"/>
        <v>1.1399999999999999E-2</v>
      </c>
      <c r="D12" s="53">
        <f t="shared" si="2"/>
        <v>1.7014925373134326E-2</v>
      </c>
      <c r="E12" s="53">
        <f t="shared" si="3"/>
        <v>3.2571428571428571E-2</v>
      </c>
      <c r="F12" s="53">
        <f t="shared" si="4"/>
        <v>0.98298507462686568</v>
      </c>
      <c r="G12" s="53">
        <f t="shared" si="5"/>
        <v>0.96742857142857142</v>
      </c>
      <c r="H12" s="53">
        <f t="shared" si="6"/>
        <v>0.82800000000000007</v>
      </c>
      <c r="I12" s="53">
        <f t="shared" si="7"/>
        <v>0.96742857142857142</v>
      </c>
      <c r="J12" s="53"/>
      <c r="K12" s="278">
        <f t="shared" si="8"/>
        <v>56.876061120543305</v>
      </c>
    </row>
    <row r="13" spans="1:13" x14ac:dyDescent="0.25">
      <c r="A13" s="274">
        <v>2.5000000000000001E-2</v>
      </c>
      <c r="B13" s="274">
        <f t="shared" si="0"/>
        <v>0.99075000000000002</v>
      </c>
      <c r="C13" s="274">
        <f t="shared" si="1"/>
        <v>1.4249999999999999E-2</v>
      </c>
      <c r="D13" s="53">
        <f t="shared" si="2"/>
        <v>2.1268656716417908E-2</v>
      </c>
      <c r="E13" s="53">
        <f t="shared" si="3"/>
        <v>4.0714285714285717E-2</v>
      </c>
      <c r="F13" s="53">
        <f t="shared" si="4"/>
        <v>0.97873134328358213</v>
      </c>
      <c r="G13" s="53">
        <f t="shared" si="5"/>
        <v>0.9592857142857143</v>
      </c>
      <c r="H13" s="53">
        <f t="shared" si="6"/>
        <v>0.82562500000000005</v>
      </c>
      <c r="I13" s="53">
        <f t="shared" si="7"/>
        <v>0.9592857142857143</v>
      </c>
      <c r="J13" s="53"/>
      <c r="K13" s="278">
        <f t="shared" si="8"/>
        <v>45.50084889643464</v>
      </c>
    </row>
    <row r="14" spans="1:13" x14ac:dyDescent="0.25">
      <c r="A14" s="274">
        <v>0.03</v>
      </c>
      <c r="B14" s="274">
        <f t="shared" si="0"/>
        <v>0.9879</v>
      </c>
      <c r="C14" s="274">
        <f t="shared" si="1"/>
        <v>1.7099999999999997E-2</v>
      </c>
      <c r="D14" s="53">
        <f t="shared" si="2"/>
        <v>2.5522388059701487E-2</v>
      </c>
      <c r="E14" s="53">
        <f t="shared" si="3"/>
        <v>4.8857142857142849E-2</v>
      </c>
      <c r="F14" s="53">
        <f t="shared" si="4"/>
        <v>0.97447761194029847</v>
      </c>
      <c r="G14" s="53">
        <f t="shared" si="5"/>
        <v>0.95114285714285718</v>
      </c>
      <c r="H14" s="53">
        <f t="shared" si="6"/>
        <v>0.82325000000000004</v>
      </c>
      <c r="I14" s="53">
        <f t="shared" si="7"/>
        <v>0.95114285714285718</v>
      </c>
      <c r="J14" s="53"/>
      <c r="K14" s="278">
        <f t="shared" si="8"/>
        <v>37.917374080362194</v>
      </c>
    </row>
    <row r="15" spans="1:13" x14ac:dyDescent="0.25">
      <c r="A15" s="274">
        <v>3.5000000000000003E-2</v>
      </c>
      <c r="B15" s="274">
        <f t="shared" si="0"/>
        <v>0.98504999999999998</v>
      </c>
      <c r="C15" s="274">
        <f t="shared" si="1"/>
        <v>1.9949999999999999E-2</v>
      </c>
      <c r="D15" s="53">
        <f t="shared" si="2"/>
        <v>2.9776119402985073E-2</v>
      </c>
      <c r="E15" s="53">
        <f t="shared" si="3"/>
        <v>5.7000000000000002E-2</v>
      </c>
      <c r="F15" s="53">
        <f t="shared" si="4"/>
        <v>0.97022388059701492</v>
      </c>
      <c r="G15" s="53">
        <f t="shared" si="5"/>
        <v>0.94299999999999995</v>
      </c>
      <c r="H15" s="53">
        <f t="shared" si="6"/>
        <v>0.82087500000000002</v>
      </c>
      <c r="I15" s="53">
        <f t="shared" si="7"/>
        <v>0.94299999999999995</v>
      </c>
      <c r="J15" s="53"/>
      <c r="K15" s="278">
        <f t="shared" si="8"/>
        <v>32.500606354596165</v>
      </c>
    </row>
    <row r="16" spans="1:13" x14ac:dyDescent="0.25">
      <c r="A16" s="274">
        <v>0.04</v>
      </c>
      <c r="B16" s="274">
        <f t="shared" si="0"/>
        <v>0.98219999999999996</v>
      </c>
      <c r="C16" s="274">
        <f t="shared" si="1"/>
        <v>2.2799999999999997E-2</v>
      </c>
      <c r="D16" s="53">
        <f t="shared" si="2"/>
        <v>3.4029850746268651E-2</v>
      </c>
      <c r="E16" s="53">
        <f t="shared" si="3"/>
        <v>6.5142857142857141E-2</v>
      </c>
      <c r="F16" s="53">
        <f t="shared" si="4"/>
        <v>0.96597014925373137</v>
      </c>
      <c r="G16" s="53">
        <f t="shared" si="5"/>
        <v>0.93485714285714283</v>
      </c>
      <c r="H16" s="53">
        <f t="shared" si="6"/>
        <v>0.81850000000000001</v>
      </c>
      <c r="I16" s="53">
        <f t="shared" si="7"/>
        <v>0.93485714285714283</v>
      </c>
      <c r="J16" s="53"/>
      <c r="K16" s="278">
        <f t="shared" si="8"/>
        <v>28.438030560271645</v>
      </c>
    </row>
    <row r="17" spans="1:11" x14ac:dyDescent="0.25">
      <c r="A17" s="274">
        <v>4.4999999999999998E-2</v>
      </c>
      <c r="B17" s="274">
        <f t="shared" si="0"/>
        <v>0.97935000000000005</v>
      </c>
      <c r="C17" s="274">
        <f t="shared" si="1"/>
        <v>2.5649999999999996E-2</v>
      </c>
      <c r="D17" s="53">
        <f t="shared" si="2"/>
        <v>3.828358208955223E-2</v>
      </c>
      <c r="E17" s="53">
        <f t="shared" si="3"/>
        <v>7.3285714285714273E-2</v>
      </c>
      <c r="F17" s="53">
        <f t="shared" si="4"/>
        <v>0.96171641791044782</v>
      </c>
      <c r="G17" s="53">
        <f t="shared" si="5"/>
        <v>0.92671428571428571</v>
      </c>
      <c r="H17" s="53">
        <f t="shared" si="6"/>
        <v>0.8161250000000001</v>
      </c>
      <c r="I17" s="53">
        <f t="shared" si="7"/>
        <v>0.92671428571428571</v>
      </c>
      <c r="J17" s="53"/>
      <c r="K17" s="278">
        <f t="shared" si="8"/>
        <v>25.278249386908136</v>
      </c>
    </row>
    <row r="18" spans="1:11" x14ac:dyDescent="0.25">
      <c r="A18" s="274">
        <v>0.05</v>
      </c>
      <c r="B18" s="274">
        <f t="shared" si="0"/>
        <v>0.97650000000000003</v>
      </c>
      <c r="C18" s="274">
        <f t="shared" si="1"/>
        <v>2.8499999999999998E-2</v>
      </c>
      <c r="D18" s="53">
        <f t="shared" si="2"/>
        <v>4.2537313432835816E-2</v>
      </c>
      <c r="E18" s="53">
        <f t="shared" si="3"/>
        <v>8.1428571428571433E-2</v>
      </c>
      <c r="F18" s="53">
        <f t="shared" si="4"/>
        <v>0.95746268656716416</v>
      </c>
      <c r="G18" s="53">
        <f t="shared" si="5"/>
        <v>0.91857142857142859</v>
      </c>
      <c r="H18" s="53">
        <f t="shared" si="6"/>
        <v>0.81375000000000008</v>
      </c>
      <c r="I18" s="53">
        <f t="shared" si="7"/>
        <v>0.91857142857142859</v>
      </c>
      <c r="J18" s="53"/>
      <c r="K18" s="278">
        <f t="shared" si="8"/>
        <v>22.75042444821732</v>
      </c>
    </row>
    <row r="19" spans="1:11" x14ac:dyDescent="0.25">
      <c r="A19" s="274">
        <v>5.5E-2</v>
      </c>
      <c r="B19" s="274">
        <f t="shared" si="0"/>
        <v>0.97365000000000002</v>
      </c>
      <c r="C19" s="274">
        <f t="shared" si="1"/>
        <v>3.1349999999999996E-2</v>
      </c>
      <c r="D19" s="53">
        <f t="shared" si="2"/>
        <v>4.6791044776119395E-2</v>
      </c>
      <c r="E19" s="53">
        <f t="shared" si="3"/>
        <v>8.9571428571428566E-2</v>
      </c>
      <c r="F19" s="53">
        <f t="shared" si="4"/>
        <v>0.95320895522388061</v>
      </c>
      <c r="G19" s="53">
        <f t="shared" si="5"/>
        <v>0.91042857142857148</v>
      </c>
      <c r="H19" s="53">
        <f t="shared" si="6"/>
        <v>0.81137500000000007</v>
      </c>
      <c r="I19" s="53">
        <f t="shared" si="7"/>
        <v>0.91042857142857148</v>
      </c>
      <c r="J19" s="53"/>
      <c r="K19" s="278">
        <f t="shared" si="8"/>
        <v>20.682204043833927</v>
      </c>
    </row>
    <row r="20" spans="1:11" x14ac:dyDescent="0.25">
      <c r="A20" s="274">
        <v>0.06</v>
      </c>
      <c r="B20" s="274">
        <f t="shared" si="0"/>
        <v>0.9708</v>
      </c>
      <c r="C20" s="274">
        <f t="shared" si="1"/>
        <v>3.4199999999999994E-2</v>
      </c>
      <c r="D20" s="53">
        <f t="shared" si="2"/>
        <v>5.1044776119402974E-2</v>
      </c>
      <c r="E20" s="53">
        <f t="shared" si="3"/>
        <v>9.7714285714285698E-2</v>
      </c>
      <c r="F20" s="53">
        <f t="shared" si="4"/>
        <v>0.94895522388059705</v>
      </c>
      <c r="G20" s="53">
        <f t="shared" si="5"/>
        <v>0.90228571428571436</v>
      </c>
      <c r="H20" s="53">
        <f t="shared" si="6"/>
        <v>0.80900000000000005</v>
      </c>
      <c r="I20" s="53">
        <f t="shared" si="7"/>
        <v>0.90228571428571436</v>
      </c>
      <c r="J20" s="53"/>
      <c r="K20" s="278">
        <f t="shared" si="8"/>
        <v>18.958687040181097</v>
      </c>
    </row>
    <row r="21" spans="1:11" x14ac:dyDescent="0.25">
      <c r="A21" s="274">
        <v>6.5000000000000002E-2</v>
      </c>
      <c r="B21" s="274">
        <f t="shared" si="0"/>
        <v>0.96794999999999998</v>
      </c>
      <c r="C21" s="274">
        <f t="shared" si="1"/>
        <v>3.705E-2</v>
      </c>
      <c r="D21" s="53">
        <f t="shared" si="2"/>
        <v>5.5298507462686566E-2</v>
      </c>
      <c r="E21" s="53">
        <f t="shared" si="3"/>
        <v>0.10585714285714286</v>
      </c>
      <c r="F21" s="53">
        <f t="shared" si="4"/>
        <v>0.94470149253731339</v>
      </c>
      <c r="G21" s="53">
        <f t="shared" si="5"/>
        <v>0.89414285714285713</v>
      </c>
      <c r="H21" s="53">
        <f t="shared" si="6"/>
        <v>0.80662500000000004</v>
      </c>
      <c r="I21" s="53">
        <f t="shared" si="7"/>
        <v>0.89414285714285713</v>
      </c>
      <c r="J21" s="53"/>
      <c r="K21" s="278">
        <f t="shared" si="8"/>
        <v>17.500326498628706</v>
      </c>
    </row>
    <row r="22" spans="1:11" x14ac:dyDescent="0.25">
      <c r="A22" s="274">
        <v>7.0000000000000007E-2</v>
      </c>
      <c r="B22" s="274">
        <f t="shared" si="0"/>
        <v>0.96509999999999996</v>
      </c>
      <c r="C22" s="274">
        <f t="shared" si="1"/>
        <v>3.9899999999999998E-2</v>
      </c>
      <c r="D22" s="53">
        <f t="shared" si="2"/>
        <v>5.9552238805970145E-2</v>
      </c>
      <c r="E22" s="53">
        <f t="shared" si="3"/>
        <v>0.114</v>
      </c>
      <c r="F22" s="53">
        <f t="shared" si="4"/>
        <v>0.94044776119402984</v>
      </c>
      <c r="G22" s="53">
        <f t="shared" si="5"/>
        <v>0.88600000000000001</v>
      </c>
      <c r="H22" s="53">
        <f t="shared" si="6"/>
        <v>0.80425000000000002</v>
      </c>
      <c r="I22" s="53">
        <f t="shared" si="7"/>
        <v>0.88600000000000001</v>
      </c>
      <c r="J22" s="53"/>
      <c r="K22" s="278">
        <f t="shared" si="8"/>
        <v>16.250303177298083</v>
      </c>
    </row>
    <row r="23" spans="1:11" x14ac:dyDescent="0.25">
      <c r="A23" s="274">
        <v>7.4999999999999997E-2</v>
      </c>
      <c r="B23" s="274">
        <f t="shared" si="0"/>
        <v>0.96225000000000005</v>
      </c>
      <c r="C23" s="274">
        <f t="shared" si="1"/>
        <v>4.2749999999999996E-2</v>
      </c>
      <c r="D23" s="53">
        <f t="shared" si="2"/>
        <v>6.3805970149253724E-2</v>
      </c>
      <c r="E23" s="53">
        <f t="shared" si="3"/>
        <v>0.12214285714285714</v>
      </c>
      <c r="F23" s="53">
        <f t="shared" si="4"/>
        <v>0.93619402985074629</v>
      </c>
      <c r="G23" s="53">
        <f t="shared" si="5"/>
        <v>0.87785714285714289</v>
      </c>
      <c r="H23" s="53">
        <f t="shared" si="6"/>
        <v>0.80187500000000012</v>
      </c>
      <c r="I23" s="53">
        <f t="shared" si="7"/>
        <v>0.87785714285714289</v>
      </c>
      <c r="J23" s="53"/>
      <c r="K23" s="278">
        <f t="shared" si="8"/>
        <v>15.166949632144879</v>
      </c>
    </row>
    <row r="24" spans="1:11" x14ac:dyDescent="0.25">
      <c r="A24" s="274">
        <v>0.08</v>
      </c>
      <c r="B24" s="274">
        <f t="shared" si="0"/>
        <v>0.95940000000000003</v>
      </c>
      <c r="C24" s="274">
        <f t="shared" si="1"/>
        <v>4.5599999999999995E-2</v>
      </c>
      <c r="D24" s="53">
        <f t="shared" si="2"/>
        <v>6.8059701492537303E-2</v>
      </c>
      <c r="E24" s="53">
        <f t="shared" si="3"/>
        <v>0.13028571428571428</v>
      </c>
      <c r="F24" s="53">
        <f t="shared" si="4"/>
        <v>0.93194029850746274</v>
      </c>
      <c r="G24" s="53">
        <f t="shared" si="5"/>
        <v>0.86971428571428566</v>
      </c>
      <c r="H24" s="53">
        <f t="shared" si="6"/>
        <v>0.7995000000000001</v>
      </c>
      <c r="I24" s="53">
        <f t="shared" si="7"/>
        <v>0.86971428571428566</v>
      </c>
      <c r="J24" s="53"/>
      <c r="K24" s="278">
        <f t="shared" si="8"/>
        <v>14.219015280135826</v>
      </c>
    </row>
    <row r="25" spans="1:11" x14ac:dyDescent="0.25">
      <c r="A25" s="274">
        <v>8.5000000000000006E-2</v>
      </c>
      <c r="B25" s="274">
        <f t="shared" si="0"/>
        <v>0.95655000000000001</v>
      </c>
      <c r="C25" s="274">
        <f t="shared" si="1"/>
        <v>4.845E-2</v>
      </c>
      <c r="D25" s="53">
        <f t="shared" si="2"/>
        <v>7.2313432835820896E-2</v>
      </c>
      <c r="E25" s="53">
        <f t="shared" si="3"/>
        <v>0.13842857142857143</v>
      </c>
      <c r="F25" s="53">
        <f t="shared" si="4"/>
        <v>0.92768656716417908</v>
      </c>
      <c r="G25" s="53">
        <f t="shared" si="5"/>
        <v>0.86157142857142854</v>
      </c>
      <c r="H25" s="53">
        <f t="shared" si="6"/>
        <v>0.79712500000000008</v>
      </c>
      <c r="I25" s="53">
        <f t="shared" si="7"/>
        <v>0.86157142857142854</v>
      </c>
      <c r="J25" s="53"/>
      <c r="K25" s="278">
        <f t="shared" si="8"/>
        <v>13.382602616598424</v>
      </c>
    </row>
    <row r="26" spans="1:11" x14ac:dyDescent="0.25">
      <c r="A26" s="274">
        <v>0.09</v>
      </c>
      <c r="B26" s="274">
        <f t="shared" si="0"/>
        <v>0.95369999999999999</v>
      </c>
      <c r="C26" s="274">
        <f t="shared" si="1"/>
        <v>5.1299999999999991E-2</v>
      </c>
      <c r="D26" s="53">
        <f t="shared" si="2"/>
        <v>7.656716417910446E-2</v>
      </c>
      <c r="E26" s="53">
        <f t="shared" si="3"/>
        <v>0.14657142857142855</v>
      </c>
      <c r="F26" s="53">
        <f t="shared" si="4"/>
        <v>0.92343283582089553</v>
      </c>
      <c r="G26" s="53">
        <f t="shared" si="5"/>
        <v>0.85342857142857143</v>
      </c>
      <c r="H26" s="53">
        <f t="shared" si="6"/>
        <v>0.79475000000000007</v>
      </c>
      <c r="I26" s="53">
        <f t="shared" si="7"/>
        <v>0.85342857142857143</v>
      </c>
      <c r="J26" s="53"/>
      <c r="K26" s="278">
        <f t="shared" si="8"/>
        <v>12.639124693454066</v>
      </c>
    </row>
    <row r="27" spans="1:11" x14ac:dyDescent="0.25">
      <c r="A27" s="274">
        <v>9.5000000000000001E-2</v>
      </c>
      <c r="B27" s="274">
        <f t="shared" si="0"/>
        <v>0.95084999999999997</v>
      </c>
      <c r="C27" s="274">
        <f t="shared" si="1"/>
        <v>5.4149999999999997E-2</v>
      </c>
      <c r="D27" s="53">
        <f t="shared" si="2"/>
        <v>8.0820895522388053E-2</v>
      </c>
      <c r="E27" s="53">
        <f t="shared" si="3"/>
        <v>0.15471428571428572</v>
      </c>
      <c r="F27" s="53">
        <f t="shared" si="4"/>
        <v>0.91917910447761197</v>
      </c>
      <c r="G27" s="53">
        <f t="shared" si="5"/>
        <v>0.84528571428571431</v>
      </c>
      <c r="H27" s="53">
        <f t="shared" si="6"/>
        <v>0.79237500000000005</v>
      </c>
      <c r="I27" s="53">
        <f t="shared" si="7"/>
        <v>0.84528571428571431</v>
      </c>
      <c r="J27" s="53"/>
      <c r="K27" s="278">
        <f t="shared" si="8"/>
        <v>11.973907604324904</v>
      </c>
    </row>
    <row r="28" spans="1:11" x14ac:dyDescent="0.25">
      <c r="A28" s="274">
        <v>0.1</v>
      </c>
      <c r="B28" s="274">
        <f t="shared" si="0"/>
        <v>0.94800000000000006</v>
      </c>
      <c r="C28" s="274">
        <f t="shared" si="1"/>
        <v>5.6999999999999995E-2</v>
      </c>
      <c r="D28" s="53">
        <f t="shared" si="2"/>
        <v>8.5074626865671632E-2</v>
      </c>
      <c r="E28" s="53">
        <f t="shared" si="3"/>
        <v>0.16285714285714287</v>
      </c>
      <c r="F28" s="53">
        <f t="shared" si="4"/>
        <v>0.91492537313432831</v>
      </c>
      <c r="G28" s="53">
        <f t="shared" si="5"/>
        <v>0.83714285714285719</v>
      </c>
      <c r="H28" s="53">
        <f t="shared" si="6"/>
        <v>0.79</v>
      </c>
      <c r="I28" s="53">
        <f t="shared" si="7"/>
        <v>0.83714285714285719</v>
      </c>
      <c r="J28" s="53"/>
      <c r="K28" s="278">
        <f t="shared" si="8"/>
        <v>11.37521222410866</v>
      </c>
    </row>
    <row r="29" spans="1:11" x14ac:dyDescent="0.25">
      <c r="A29" s="274">
        <v>0.105</v>
      </c>
      <c r="B29" s="274">
        <f t="shared" ref="B29:B88" si="9">$C$3-C29+$C$4</f>
        <v>0.94515000000000005</v>
      </c>
      <c r="C29" s="274">
        <f t="shared" si="1"/>
        <v>5.9849999999999993E-2</v>
      </c>
      <c r="D29" s="53">
        <f t="shared" ref="D29:D88" si="10">C29/0.67</f>
        <v>8.9328358208955211E-2</v>
      </c>
      <c r="E29" s="53">
        <f t="shared" ref="E29:E88" si="11">MIN(1-B29/1.2,C29/0.35)</f>
        <v>0.17099999999999999</v>
      </c>
      <c r="F29" s="53">
        <f t="shared" ref="F29:F88" si="12">1-D29</f>
        <v>0.91067164179104476</v>
      </c>
      <c r="G29" s="53">
        <f t="shared" ref="G29:G88" si="13">1-E29</f>
        <v>0.82899999999999996</v>
      </c>
      <c r="H29" s="53">
        <f t="shared" ref="H29:H88" si="14">B29/1.2</f>
        <v>0.78762500000000002</v>
      </c>
      <c r="I29" s="53">
        <f t="shared" ref="I29:I88" si="15">1-C29/0.35</f>
        <v>0.82899999999999996</v>
      </c>
      <c r="J29" s="53"/>
      <c r="K29" s="278">
        <f t="shared" si="8"/>
        <v>10.833535451532059</v>
      </c>
    </row>
    <row r="30" spans="1:11" x14ac:dyDescent="0.25">
      <c r="A30" s="274">
        <v>0.11</v>
      </c>
      <c r="B30" s="274">
        <f t="shared" si="9"/>
        <v>0.94230000000000003</v>
      </c>
      <c r="C30" s="274">
        <f t="shared" si="1"/>
        <v>6.2699999999999992E-2</v>
      </c>
      <c r="D30" s="53">
        <f t="shared" si="10"/>
        <v>9.358208955223879E-2</v>
      </c>
      <c r="E30" s="53">
        <f t="shared" si="11"/>
        <v>0.17914285714285713</v>
      </c>
      <c r="F30" s="53">
        <f t="shared" si="12"/>
        <v>0.90641791044776121</v>
      </c>
      <c r="G30" s="53">
        <f t="shared" si="13"/>
        <v>0.82085714285714284</v>
      </c>
      <c r="H30" s="53">
        <f t="shared" si="14"/>
        <v>0.78525</v>
      </c>
      <c r="I30" s="53">
        <f t="shared" si="15"/>
        <v>0.82085714285714284</v>
      </c>
      <c r="J30" s="53"/>
      <c r="K30" s="278">
        <f t="shared" si="8"/>
        <v>10.341102021916964</v>
      </c>
    </row>
    <row r="31" spans="1:11" x14ac:dyDescent="0.25">
      <c r="A31" s="274">
        <v>0.115</v>
      </c>
      <c r="B31" s="274">
        <f t="shared" si="9"/>
        <v>0.93945000000000001</v>
      </c>
      <c r="C31" s="274">
        <f t="shared" si="1"/>
        <v>6.5549999999999997E-2</v>
      </c>
      <c r="D31" s="53">
        <f t="shared" si="10"/>
        <v>9.7835820895522382E-2</v>
      </c>
      <c r="E31" s="53">
        <f t="shared" si="11"/>
        <v>0.18728571428571428</v>
      </c>
      <c r="F31" s="53">
        <f t="shared" si="12"/>
        <v>0.90216417910447766</v>
      </c>
      <c r="G31" s="53">
        <f t="shared" si="13"/>
        <v>0.81271428571428572</v>
      </c>
      <c r="H31" s="53">
        <f t="shared" si="14"/>
        <v>0.78287499999999999</v>
      </c>
      <c r="I31" s="53">
        <f t="shared" si="15"/>
        <v>0.81271428571428572</v>
      </c>
      <c r="J31" s="53"/>
      <c r="K31" s="278">
        <f t="shared" si="8"/>
        <v>9.8914888905292671</v>
      </c>
    </row>
    <row r="32" spans="1:11" x14ac:dyDescent="0.25">
      <c r="A32" s="274">
        <v>0.12</v>
      </c>
      <c r="B32" s="274">
        <f t="shared" si="9"/>
        <v>0.93659999999999999</v>
      </c>
      <c r="C32" s="274">
        <f t="shared" si="1"/>
        <v>6.8399999999999989E-2</v>
      </c>
      <c r="D32" s="53">
        <f t="shared" si="10"/>
        <v>0.10208955223880595</v>
      </c>
      <c r="E32" s="53">
        <f t="shared" si="11"/>
        <v>0.1954285714285714</v>
      </c>
      <c r="F32" s="53">
        <f t="shared" si="12"/>
        <v>0.89791044776119411</v>
      </c>
      <c r="G32" s="53">
        <f t="shared" si="13"/>
        <v>0.8045714285714286</v>
      </c>
      <c r="H32" s="53">
        <f t="shared" si="14"/>
        <v>0.78049999999999997</v>
      </c>
      <c r="I32" s="53">
        <f t="shared" si="15"/>
        <v>0.8045714285714286</v>
      </c>
      <c r="J32" s="53"/>
      <c r="K32" s="278">
        <f t="shared" si="8"/>
        <v>9.4793435200905485</v>
      </c>
    </row>
    <row r="33" spans="1:11" x14ac:dyDescent="0.25">
      <c r="A33" s="274">
        <v>0.125</v>
      </c>
      <c r="B33" s="274">
        <f t="shared" si="9"/>
        <v>0.93374999999999997</v>
      </c>
      <c r="C33" s="274">
        <f t="shared" si="1"/>
        <v>7.1249999999999994E-2</v>
      </c>
      <c r="D33" s="53">
        <f t="shared" si="10"/>
        <v>0.10634328358208954</v>
      </c>
      <c r="E33" s="53">
        <f t="shared" si="11"/>
        <v>0.20357142857142857</v>
      </c>
      <c r="F33" s="53">
        <f t="shared" si="12"/>
        <v>0.89365671641791045</v>
      </c>
      <c r="G33" s="53">
        <f t="shared" si="13"/>
        <v>0.79642857142857149</v>
      </c>
      <c r="H33" s="53">
        <f t="shared" si="14"/>
        <v>0.77812499999999996</v>
      </c>
      <c r="I33" s="53">
        <f t="shared" si="15"/>
        <v>0.79642857142857149</v>
      </c>
      <c r="J33" s="53"/>
      <c r="K33" s="278">
        <f t="shared" si="8"/>
        <v>9.1001697792869258</v>
      </c>
    </row>
    <row r="34" spans="1:11" x14ac:dyDescent="0.25">
      <c r="A34" s="274">
        <v>0.13</v>
      </c>
      <c r="B34" s="274">
        <f t="shared" si="9"/>
        <v>0.93089999999999995</v>
      </c>
      <c r="C34" s="274">
        <f t="shared" si="1"/>
        <v>7.4099999999999999E-2</v>
      </c>
      <c r="D34" s="53">
        <f t="shared" si="10"/>
        <v>0.11059701492537313</v>
      </c>
      <c r="E34" s="53">
        <f t="shared" si="11"/>
        <v>0.21171428571428572</v>
      </c>
      <c r="F34" s="53">
        <f t="shared" si="12"/>
        <v>0.8894029850746269</v>
      </c>
      <c r="G34" s="53">
        <f t="shared" si="13"/>
        <v>0.78828571428571426</v>
      </c>
      <c r="H34" s="53">
        <f t="shared" si="14"/>
        <v>0.77574999999999994</v>
      </c>
      <c r="I34" s="53">
        <f t="shared" si="15"/>
        <v>0.78828571428571426</v>
      </c>
      <c r="J34" s="53"/>
      <c r="K34" s="278">
        <f t="shared" si="8"/>
        <v>8.7501632493143529</v>
      </c>
    </row>
    <row r="35" spans="1:11" x14ac:dyDescent="0.25">
      <c r="A35" s="274">
        <v>0.13500000000000001</v>
      </c>
      <c r="B35" s="274">
        <f t="shared" si="9"/>
        <v>0.92805000000000004</v>
      </c>
      <c r="C35" s="274">
        <f t="shared" si="1"/>
        <v>7.6950000000000005E-2</v>
      </c>
      <c r="D35" s="53">
        <f t="shared" si="10"/>
        <v>0.11485074626865671</v>
      </c>
      <c r="E35" s="53">
        <f t="shared" si="11"/>
        <v>0.21985714285714289</v>
      </c>
      <c r="F35" s="53">
        <f t="shared" si="12"/>
        <v>0.88514925373134323</v>
      </c>
      <c r="G35" s="53">
        <f t="shared" si="13"/>
        <v>0.78014285714285714</v>
      </c>
      <c r="H35" s="53">
        <f t="shared" si="14"/>
        <v>0.77337500000000003</v>
      </c>
      <c r="I35" s="53">
        <f t="shared" si="15"/>
        <v>0.78014285714285714</v>
      </c>
      <c r="J35" s="53"/>
      <c r="K35" s="278">
        <f t="shared" si="8"/>
        <v>8.4260831289693776</v>
      </c>
    </row>
    <row r="36" spans="1:11" x14ac:dyDescent="0.25">
      <c r="A36" s="274">
        <v>0.14000000000000001</v>
      </c>
      <c r="B36" s="274">
        <f t="shared" si="9"/>
        <v>0.92520000000000002</v>
      </c>
      <c r="C36" s="274">
        <f t="shared" si="1"/>
        <v>7.9799999999999996E-2</v>
      </c>
      <c r="D36" s="53">
        <f t="shared" si="10"/>
        <v>0.11910447761194029</v>
      </c>
      <c r="E36" s="53">
        <f t="shared" si="11"/>
        <v>0.22800000000000001</v>
      </c>
      <c r="F36" s="53">
        <f t="shared" si="12"/>
        <v>0.88089552238805968</v>
      </c>
      <c r="G36" s="53">
        <f t="shared" si="13"/>
        <v>0.77200000000000002</v>
      </c>
      <c r="H36" s="53">
        <f t="shared" si="14"/>
        <v>0.77100000000000002</v>
      </c>
      <c r="I36" s="53">
        <f t="shared" si="15"/>
        <v>0.77200000000000002</v>
      </c>
      <c r="J36" s="53"/>
      <c r="K36" s="278">
        <f t="shared" si="8"/>
        <v>8.1251515886490431</v>
      </c>
    </row>
    <row r="37" spans="1:11" x14ac:dyDescent="0.25">
      <c r="A37" s="274">
        <v>0.14499999999999999</v>
      </c>
      <c r="B37" s="274">
        <f t="shared" si="9"/>
        <v>0.92235</v>
      </c>
      <c r="C37" s="274">
        <f t="shared" si="1"/>
        <v>8.2649999999999987E-2</v>
      </c>
      <c r="D37" s="53">
        <f t="shared" si="10"/>
        <v>0.12335820895522386</v>
      </c>
      <c r="E37" s="53">
        <f t="shared" si="11"/>
        <v>0.231375</v>
      </c>
      <c r="F37" s="53">
        <f t="shared" si="12"/>
        <v>0.87664179104477613</v>
      </c>
      <c r="G37" s="53">
        <f t="shared" si="13"/>
        <v>0.768625</v>
      </c>
      <c r="H37" s="53">
        <f t="shared" si="14"/>
        <v>0.768625</v>
      </c>
      <c r="I37" s="53">
        <f t="shared" si="15"/>
        <v>0.7638571428571429</v>
      </c>
      <c r="J37" s="53"/>
      <c r="K37" s="278">
        <f t="shared" si="8"/>
        <v>7.8449739476611438</v>
      </c>
    </row>
    <row r="38" spans="1:11" x14ac:dyDescent="0.25">
      <c r="A38" s="274">
        <v>0.15</v>
      </c>
      <c r="B38" s="274">
        <f t="shared" si="9"/>
        <v>0.91949999999999998</v>
      </c>
      <c r="C38" s="274">
        <f t="shared" si="1"/>
        <v>8.5499999999999993E-2</v>
      </c>
      <c r="D38" s="53">
        <f t="shared" si="10"/>
        <v>0.12761194029850745</v>
      </c>
      <c r="E38" s="53">
        <f t="shared" si="11"/>
        <v>0.23375000000000001</v>
      </c>
      <c r="F38" s="53">
        <f t="shared" si="12"/>
        <v>0.87238805970149258</v>
      </c>
      <c r="G38" s="53">
        <f t="shared" si="13"/>
        <v>0.76624999999999999</v>
      </c>
      <c r="H38" s="53">
        <f t="shared" si="14"/>
        <v>0.76624999999999999</v>
      </c>
      <c r="I38" s="53">
        <f t="shared" si="15"/>
        <v>0.75571428571428578</v>
      </c>
      <c r="J38" s="53"/>
      <c r="K38" s="278">
        <f t="shared" si="8"/>
        <v>7.5834748160724379</v>
      </c>
    </row>
    <row r="39" spans="1:11" x14ac:dyDescent="0.25">
      <c r="A39" s="274">
        <v>0.155</v>
      </c>
      <c r="B39" s="274">
        <f t="shared" si="9"/>
        <v>0.91664999999999996</v>
      </c>
      <c r="C39" s="274">
        <f t="shared" si="1"/>
        <v>8.8349999999999998E-2</v>
      </c>
      <c r="D39" s="53">
        <f t="shared" si="10"/>
        <v>0.13186567164179103</v>
      </c>
      <c r="E39" s="53">
        <f t="shared" si="11"/>
        <v>0.23612500000000003</v>
      </c>
      <c r="F39" s="53">
        <f t="shared" si="12"/>
        <v>0.86813432835820903</v>
      </c>
      <c r="G39" s="53">
        <f t="shared" si="13"/>
        <v>0.76387499999999997</v>
      </c>
      <c r="H39" s="53">
        <f t="shared" si="14"/>
        <v>0.76387499999999997</v>
      </c>
      <c r="I39" s="53">
        <f t="shared" si="15"/>
        <v>0.74757142857142855</v>
      </c>
      <c r="J39" s="53"/>
      <c r="K39" s="278">
        <f t="shared" si="8"/>
        <v>7.3388465961991338</v>
      </c>
    </row>
    <row r="40" spans="1:11" x14ac:dyDescent="0.25">
      <c r="A40" s="274">
        <v>0.16</v>
      </c>
      <c r="B40" s="274">
        <f t="shared" si="9"/>
        <v>0.91380000000000006</v>
      </c>
      <c r="C40" s="274">
        <f t="shared" si="1"/>
        <v>9.1199999999999989E-2</v>
      </c>
      <c r="D40" s="53">
        <f t="shared" si="10"/>
        <v>0.13611940298507461</v>
      </c>
      <c r="E40" s="53">
        <f t="shared" si="11"/>
        <v>0.23849999999999993</v>
      </c>
      <c r="F40" s="53">
        <f t="shared" si="12"/>
        <v>0.86388059701492537</v>
      </c>
      <c r="G40" s="53">
        <f t="shared" si="13"/>
        <v>0.76150000000000007</v>
      </c>
      <c r="H40" s="53">
        <f t="shared" si="14"/>
        <v>0.76150000000000007</v>
      </c>
      <c r="I40" s="53">
        <f t="shared" si="15"/>
        <v>0.73942857142857144</v>
      </c>
      <c r="J40" s="53"/>
      <c r="K40" s="278">
        <f t="shared" si="8"/>
        <v>7.1095076400679131</v>
      </c>
    </row>
    <row r="41" spans="1:11" x14ac:dyDescent="0.25">
      <c r="A41" s="274">
        <v>0.16500000000000001</v>
      </c>
      <c r="B41" s="274">
        <f t="shared" si="9"/>
        <v>0.91095000000000004</v>
      </c>
      <c r="C41" s="274">
        <f t="shared" si="1"/>
        <v>9.4049999999999995E-2</v>
      </c>
      <c r="D41" s="53">
        <f t="shared" si="10"/>
        <v>0.14037313432835818</v>
      </c>
      <c r="E41" s="53">
        <f t="shared" si="11"/>
        <v>0.24087499999999995</v>
      </c>
      <c r="F41" s="53">
        <f t="shared" si="12"/>
        <v>0.85962686567164182</v>
      </c>
      <c r="G41" s="53">
        <f t="shared" si="13"/>
        <v>0.75912500000000005</v>
      </c>
      <c r="H41" s="53">
        <f t="shared" si="14"/>
        <v>0.75912500000000005</v>
      </c>
      <c r="I41" s="53">
        <f t="shared" si="15"/>
        <v>0.73128571428571432</v>
      </c>
      <c r="J41" s="53"/>
      <c r="K41" s="278">
        <f t="shared" si="8"/>
        <v>6.8940680146113094</v>
      </c>
    </row>
    <row r="42" spans="1:11" x14ac:dyDescent="0.25">
      <c r="A42" s="274">
        <v>0.17</v>
      </c>
      <c r="B42" s="274">
        <f t="shared" si="9"/>
        <v>0.90810000000000002</v>
      </c>
      <c r="C42" s="274">
        <f t="shared" si="1"/>
        <v>9.69E-2</v>
      </c>
      <c r="D42" s="53">
        <f t="shared" si="10"/>
        <v>0.14462686567164179</v>
      </c>
      <c r="E42" s="53">
        <f t="shared" si="11"/>
        <v>0.24324999999999997</v>
      </c>
      <c r="F42" s="53">
        <f t="shared" si="12"/>
        <v>0.85537313432835815</v>
      </c>
      <c r="G42" s="53">
        <f t="shared" si="13"/>
        <v>0.75675000000000003</v>
      </c>
      <c r="H42" s="53">
        <f t="shared" si="14"/>
        <v>0.75675000000000003</v>
      </c>
      <c r="I42" s="53">
        <f t="shared" si="15"/>
        <v>0.72314285714285709</v>
      </c>
      <c r="J42" s="53"/>
      <c r="K42" s="278">
        <f t="shared" si="8"/>
        <v>6.6913013082992121</v>
      </c>
    </row>
    <row r="43" spans="1:11" x14ac:dyDescent="0.25">
      <c r="A43" s="274">
        <v>0.17499999999999999</v>
      </c>
      <c r="B43" s="274">
        <f t="shared" si="9"/>
        <v>0.90525</v>
      </c>
      <c r="C43" s="274">
        <f t="shared" si="1"/>
        <v>9.9749999999999991E-2</v>
      </c>
      <c r="D43" s="53">
        <f t="shared" si="10"/>
        <v>0.14888059701492534</v>
      </c>
      <c r="E43" s="53">
        <f t="shared" si="11"/>
        <v>0.24562499999999998</v>
      </c>
      <c r="F43" s="53">
        <f t="shared" si="12"/>
        <v>0.8511194029850746</v>
      </c>
      <c r="G43" s="53">
        <f t="shared" si="13"/>
        <v>0.75437500000000002</v>
      </c>
      <c r="H43" s="53">
        <f t="shared" si="14"/>
        <v>0.75437500000000002</v>
      </c>
      <c r="I43" s="53">
        <f t="shared" si="15"/>
        <v>0.71500000000000008</v>
      </c>
      <c r="J43" s="53"/>
      <c r="K43" s="278">
        <f t="shared" si="8"/>
        <v>6.5001212709192338</v>
      </c>
    </row>
    <row r="44" spans="1:11" x14ac:dyDescent="0.25">
      <c r="A44" s="274">
        <v>0.18</v>
      </c>
      <c r="B44" s="274">
        <f t="shared" si="9"/>
        <v>0.90239999999999998</v>
      </c>
      <c r="C44" s="274">
        <f t="shared" si="1"/>
        <v>0.10259999999999998</v>
      </c>
      <c r="D44" s="53">
        <f t="shared" si="10"/>
        <v>0.15313432835820892</v>
      </c>
      <c r="E44" s="53">
        <f t="shared" si="11"/>
        <v>0.248</v>
      </c>
      <c r="F44" s="53">
        <f t="shared" si="12"/>
        <v>0.84686567164179105</v>
      </c>
      <c r="G44" s="53">
        <f t="shared" si="13"/>
        <v>0.752</v>
      </c>
      <c r="H44" s="53">
        <f t="shared" si="14"/>
        <v>0.752</v>
      </c>
      <c r="I44" s="53">
        <f t="shared" si="15"/>
        <v>0.70685714285714285</v>
      </c>
      <c r="J44" s="53"/>
      <c r="K44" s="278">
        <f t="shared" si="8"/>
        <v>6.3195623467270332</v>
      </c>
    </row>
    <row r="45" spans="1:11" x14ac:dyDescent="0.25">
      <c r="A45" s="274">
        <v>0.185</v>
      </c>
      <c r="B45" s="274">
        <f t="shared" si="9"/>
        <v>0.89954999999999996</v>
      </c>
      <c r="C45" s="274">
        <f t="shared" si="1"/>
        <v>0.10544999999999999</v>
      </c>
      <c r="D45" s="53">
        <f t="shared" si="10"/>
        <v>0.1573880597014925</v>
      </c>
      <c r="E45" s="53">
        <f t="shared" si="11"/>
        <v>0.25037500000000001</v>
      </c>
      <c r="F45" s="53">
        <f t="shared" si="12"/>
        <v>0.8426119402985075</v>
      </c>
      <c r="G45" s="53">
        <f t="shared" si="13"/>
        <v>0.74962499999999999</v>
      </c>
      <c r="H45" s="53">
        <f t="shared" si="14"/>
        <v>0.74962499999999999</v>
      </c>
      <c r="I45" s="53">
        <f t="shared" si="15"/>
        <v>0.69871428571428573</v>
      </c>
      <c r="J45" s="53"/>
      <c r="K45" s="278">
        <f t="shared" si="8"/>
        <v>6.1487633643830586</v>
      </c>
    </row>
    <row r="46" spans="1:11" x14ac:dyDescent="0.25">
      <c r="A46" s="274">
        <v>0.19</v>
      </c>
      <c r="B46" s="274">
        <f t="shared" si="9"/>
        <v>0.89670000000000005</v>
      </c>
      <c r="C46" s="274">
        <f t="shared" si="1"/>
        <v>0.10829999999999999</v>
      </c>
      <c r="D46" s="53">
        <f t="shared" si="10"/>
        <v>0.16164179104477611</v>
      </c>
      <c r="E46" s="53">
        <f t="shared" si="11"/>
        <v>0.25274999999999992</v>
      </c>
      <c r="F46" s="53">
        <f t="shared" si="12"/>
        <v>0.83835820895522395</v>
      </c>
      <c r="G46" s="53">
        <f t="shared" si="13"/>
        <v>0.74725000000000008</v>
      </c>
      <c r="H46" s="53">
        <f t="shared" si="14"/>
        <v>0.74725000000000008</v>
      </c>
      <c r="I46" s="53">
        <f t="shared" si="15"/>
        <v>0.69057142857142861</v>
      </c>
      <c r="J46" s="53"/>
      <c r="K46" s="278">
        <f t="shared" si="8"/>
        <v>5.9869538021624535</v>
      </c>
    </row>
    <row r="47" spans="1:11" x14ac:dyDescent="0.25">
      <c r="A47" s="274">
        <v>0.19500000000000001</v>
      </c>
      <c r="B47" s="274">
        <f t="shared" si="9"/>
        <v>0.89385000000000003</v>
      </c>
      <c r="C47" s="274">
        <f t="shared" si="1"/>
        <v>0.11115</v>
      </c>
      <c r="D47" s="53">
        <f t="shared" si="10"/>
        <v>0.16589552238805969</v>
      </c>
      <c r="E47" s="53">
        <f t="shared" si="11"/>
        <v>0.25512499999999994</v>
      </c>
      <c r="F47" s="53">
        <f t="shared" si="12"/>
        <v>0.83410447761194029</v>
      </c>
      <c r="G47" s="53">
        <f t="shared" si="13"/>
        <v>0.74487500000000006</v>
      </c>
      <c r="H47" s="53">
        <f t="shared" si="14"/>
        <v>0.74487500000000006</v>
      </c>
      <c r="I47" s="53">
        <f t="shared" si="15"/>
        <v>0.68242857142857138</v>
      </c>
      <c r="J47" s="53"/>
      <c r="K47" s="278">
        <f t="shared" si="8"/>
        <v>5.8334421662095695</v>
      </c>
    </row>
    <row r="48" spans="1:11" x14ac:dyDescent="0.25">
      <c r="A48" s="274">
        <v>0.2</v>
      </c>
      <c r="B48" s="274">
        <f t="shared" si="9"/>
        <v>0.89100000000000001</v>
      </c>
      <c r="C48" s="274">
        <f t="shared" si="1"/>
        <v>0.11399999999999999</v>
      </c>
      <c r="D48" s="53">
        <f t="shared" si="10"/>
        <v>0.17014925373134326</v>
      </c>
      <c r="E48" s="53">
        <f t="shared" si="11"/>
        <v>0.25749999999999995</v>
      </c>
      <c r="F48" s="53">
        <f t="shared" si="12"/>
        <v>0.82985074626865674</v>
      </c>
      <c r="G48" s="53">
        <f t="shared" si="13"/>
        <v>0.74250000000000005</v>
      </c>
      <c r="H48" s="53">
        <f t="shared" si="14"/>
        <v>0.74250000000000005</v>
      </c>
      <c r="I48" s="53">
        <f t="shared" si="15"/>
        <v>0.67428571428571427</v>
      </c>
      <c r="J48" s="53"/>
      <c r="K48" s="278">
        <f t="shared" si="8"/>
        <v>5.6876061120543291</v>
      </c>
    </row>
    <row r="49" spans="1:11" x14ac:dyDescent="0.25">
      <c r="A49" s="274">
        <v>0.20499999999999999</v>
      </c>
      <c r="B49" s="274">
        <f t="shared" si="9"/>
        <v>0.88815</v>
      </c>
      <c r="C49" s="274">
        <f t="shared" si="1"/>
        <v>0.11684999999999998</v>
      </c>
      <c r="D49" s="53">
        <f t="shared" si="10"/>
        <v>0.17440298507462682</v>
      </c>
      <c r="E49" s="53">
        <f t="shared" si="11"/>
        <v>0.25987499999999997</v>
      </c>
      <c r="F49" s="53">
        <f t="shared" si="12"/>
        <v>0.82559701492537318</v>
      </c>
      <c r="G49" s="53">
        <f t="shared" si="13"/>
        <v>0.74012500000000003</v>
      </c>
      <c r="H49" s="53">
        <f t="shared" si="14"/>
        <v>0.74012500000000003</v>
      </c>
      <c r="I49" s="53">
        <f t="shared" si="15"/>
        <v>0.66614285714285715</v>
      </c>
      <c r="J49" s="53"/>
      <c r="K49" s="278">
        <f t="shared" si="8"/>
        <v>5.5488840117603209</v>
      </c>
    </row>
    <row r="50" spans="1:11" x14ac:dyDescent="0.25">
      <c r="A50" s="274">
        <v>0.21</v>
      </c>
      <c r="B50" s="274">
        <f t="shared" si="9"/>
        <v>0.88529999999999998</v>
      </c>
      <c r="C50" s="274">
        <f t="shared" si="1"/>
        <v>0.11969999999999999</v>
      </c>
      <c r="D50" s="53">
        <f t="shared" si="10"/>
        <v>0.17865671641791042</v>
      </c>
      <c r="E50" s="53">
        <f t="shared" si="11"/>
        <v>0.26224999999999998</v>
      </c>
      <c r="F50" s="53">
        <f t="shared" si="12"/>
        <v>0.82134328358208952</v>
      </c>
      <c r="G50" s="53">
        <f t="shared" si="13"/>
        <v>0.73775000000000002</v>
      </c>
      <c r="H50" s="53">
        <f t="shared" si="14"/>
        <v>0.73775000000000002</v>
      </c>
      <c r="I50" s="53">
        <f t="shared" si="15"/>
        <v>0.65800000000000003</v>
      </c>
      <c r="J50" s="53"/>
      <c r="K50" s="278">
        <f t="shared" si="8"/>
        <v>5.4167677257660278</v>
      </c>
    </row>
    <row r="51" spans="1:11" x14ac:dyDescent="0.25">
      <c r="A51" s="274">
        <v>0.215</v>
      </c>
      <c r="B51" s="274">
        <f t="shared" si="9"/>
        <v>0.88245000000000007</v>
      </c>
      <c r="C51" s="274">
        <f t="shared" si="1"/>
        <v>0.12254999999999999</v>
      </c>
      <c r="D51" s="53">
        <f t="shared" si="10"/>
        <v>0.182910447761194</v>
      </c>
      <c r="E51" s="53">
        <f t="shared" si="11"/>
        <v>0.26462499999999989</v>
      </c>
      <c r="F51" s="53">
        <f t="shared" si="12"/>
        <v>0.81708955223880597</v>
      </c>
      <c r="G51" s="53">
        <f t="shared" si="13"/>
        <v>0.73537500000000011</v>
      </c>
      <c r="H51" s="53">
        <f t="shared" si="14"/>
        <v>0.73537500000000011</v>
      </c>
      <c r="I51" s="53">
        <f t="shared" si="15"/>
        <v>0.64985714285714291</v>
      </c>
      <c r="J51" s="53"/>
      <c r="K51" s="278">
        <f t="shared" si="8"/>
        <v>5.290796383306354</v>
      </c>
    </row>
    <row r="52" spans="1:11" x14ac:dyDescent="0.25">
      <c r="A52" s="274">
        <v>0.22</v>
      </c>
      <c r="B52" s="274">
        <f t="shared" si="9"/>
        <v>0.87960000000000005</v>
      </c>
      <c r="C52" s="274">
        <f t="shared" si="1"/>
        <v>0.12539999999999998</v>
      </c>
      <c r="D52" s="53">
        <f t="shared" si="10"/>
        <v>0.18716417910447758</v>
      </c>
      <c r="E52" s="53">
        <f t="shared" si="11"/>
        <v>0.2669999999999999</v>
      </c>
      <c r="F52" s="53">
        <f t="shared" si="12"/>
        <v>0.81283582089552242</v>
      </c>
      <c r="G52" s="53">
        <f t="shared" si="13"/>
        <v>0.7330000000000001</v>
      </c>
      <c r="H52" s="53">
        <f t="shared" si="14"/>
        <v>0.7330000000000001</v>
      </c>
      <c r="I52" s="53">
        <f t="shared" si="15"/>
        <v>0.64171428571428568</v>
      </c>
      <c r="J52" s="53"/>
      <c r="K52" s="278">
        <f t="shared" si="8"/>
        <v>5.1705510109584818</v>
      </c>
    </row>
    <row r="53" spans="1:11" x14ac:dyDescent="0.25">
      <c r="A53" s="274">
        <v>0.22500000000000001</v>
      </c>
      <c r="B53" s="274">
        <f t="shared" si="9"/>
        <v>0.87675000000000003</v>
      </c>
      <c r="C53" s="274">
        <f t="shared" si="1"/>
        <v>0.12825</v>
      </c>
      <c r="D53" s="53">
        <f t="shared" si="10"/>
        <v>0.19141791044776119</v>
      </c>
      <c r="E53" s="53">
        <f t="shared" si="11"/>
        <v>0.26937499999999992</v>
      </c>
      <c r="F53" s="53">
        <f t="shared" si="12"/>
        <v>0.80858208955223887</v>
      </c>
      <c r="G53" s="53">
        <f t="shared" si="13"/>
        <v>0.73062500000000008</v>
      </c>
      <c r="H53" s="53">
        <f t="shared" si="14"/>
        <v>0.73062500000000008</v>
      </c>
      <c r="I53" s="53">
        <f t="shared" si="15"/>
        <v>0.63357142857142856</v>
      </c>
      <c r="J53" s="53"/>
      <c r="K53" s="278">
        <f t="shared" si="8"/>
        <v>5.0556498773816267</v>
      </c>
    </row>
    <row r="54" spans="1:11" x14ac:dyDescent="0.25">
      <c r="A54" s="274">
        <v>0.23</v>
      </c>
      <c r="B54" s="274">
        <f t="shared" si="9"/>
        <v>0.87390000000000001</v>
      </c>
      <c r="C54" s="274">
        <f t="shared" si="1"/>
        <v>0.13109999999999999</v>
      </c>
      <c r="D54" s="53">
        <f t="shared" si="10"/>
        <v>0.19567164179104476</v>
      </c>
      <c r="E54" s="53">
        <f t="shared" si="11"/>
        <v>0.27174999999999994</v>
      </c>
      <c r="F54" s="53">
        <f t="shared" si="12"/>
        <v>0.80432835820895521</v>
      </c>
      <c r="G54" s="53">
        <f t="shared" si="13"/>
        <v>0.72825000000000006</v>
      </c>
      <c r="H54" s="53">
        <f t="shared" si="14"/>
        <v>0.72825000000000006</v>
      </c>
      <c r="I54" s="53">
        <f t="shared" si="15"/>
        <v>0.62542857142857144</v>
      </c>
      <c r="J54" s="53"/>
      <c r="K54" s="278">
        <f t="shared" si="8"/>
        <v>4.9457444452646335</v>
      </c>
    </row>
    <row r="55" spans="1:11" x14ac:dyDescent="0.25">
      <c r="A55" s="274">
        <v>0.23499999999999999</v>
      </c>
      <c r="B55" s="274">
        <f t="shared" si="9"/>
        <v>0.87104999999999999</v>
      </c>
      <c r="C55" s="274">
        <f t="shared" si="1"/>
        <v>0.13394999999999999</v>
      </c>
      <c r="D55" s="53">
        <f t="shared" si="10"/>
        <v>0.19992537313432832</v>
      </c>
      <c r="E55" s="53">
        <f t="shared" si="11"/>
        <v>0.27412499999999995</v>
      </c>
      <c r="F55" s="53">
        <f t="shared" si="12"/>
        <v>0.80007462686567166</v>
      </c>
      <c r="G55" s="53">
        <f t="shared" si="13"/>
        <v>0.72587500000000005</v>
      </c>
      <c r="H55" s="53">
        <f t="shared" si="14"/>
        <v>0.72587500000000005</v>
      </c>
      <c r="I55" s="53">
        <f t="shared" si="15"/>
        <v>0.61728571428571433</v>
      </c>
      <c r="J55" s="53"/>
      <c r="K55" s="278">
        <f t="shared" si="8"/>
        <v>4.8405158400462378</v>
      </c>
    </row>
    <row r="56" spans="1:11" x14ac:dyDescent="0.25">
      <c r="A56" s="274">
        <v>0.24</v>
      </c>
      <c r="B56" s="274">
        <f t="shared" si="9"/>
        <v>0.86819999999999997</v>
      </c>
      <c r="C56" s="274">
        <f t="shared" si="1"/>
        <v>0.13679999999999998</v>
      </c>
      <c r="D56" s="53">
        <f t="shared" si="10"/>
        <v>0.20417910447761189</v>
      </c>
      <c r="E56" s="53">
        <f t="shared" si="11"/>
        <v>0.27649999999999997</v>
      </c>
      <c r="F56" s="53">
        <f t="shared" si="12"/>
        <v>0.79582089552238811</v>
      </c>
      <c r="G56" s="53">
        <f t="shared" si="13"/>
        <v>0.72350000000000003</v>
      </c>
      <c r="H56" s="53">
        <f t="shared" si="14"/>
        <v>0.72350000000000003</v>
      </c>
      <c r="I56" s="53">
        <f t="shared" si="15"/>
        <v>0.60914285714285721</v>
      </c>
      <c r="J56" s="53"/>
      <c r="K56" s="278">
        <f t="shared" si="8"/>
        <v>4.7396717600452742</v>
      </c>
    </row>
    <row r="57" spans="1:11" x14ac:dyDescent="0.25">
      <c r="A57" s="274">
        <v>0.245</v>
      </c>
      <c r="B57" s="274">
        <f t="shared" si="9"/>
        <v>0.86534999999999995</v>
      </c>
      <c r="C57" s="274">
        <f t="shared" si="1"/>
        <v>0.13965</v>
      </c>
      <c r="D57" s="53">
        <f t="shared" si="10"/>
        <v>0.2084328358208955</v>
      </c>
      <c r="E57" s="53">
        <f t="shared" si="11"/>
        <v>0.27887499999999998</v>
      </c>
      <c r="F57" s="53">
        <f t="shared" si="12"/>
        <v>0.79156716417910444</v>
      </c>
      <c r="G57" s="53">
        <f t="shared" si="13"/>
        <v>0.72112500000000002</v>
      </c>
      <c r="H57" s="53">
        <f t="shared" si="14"/>
        <v>0.72112500000000002</v>
      </c>
      <c r="I57" s="53">
        <f t="shared" si="15"/>
        <v>0.60099999999999998</v>
      </c>
      <c r="J57" s="53"/>
      <c r="K57" s="278">
        <f t="shared" si="8"/>
        <v>4.6429437649423093</v>
      </c>
    </row>
    <row r="58" spans="1:11" x14ac:dyDescent="0.25">
      <c r="A58" s="274">
        <v>0.25</v>
      </c>
      <c r="B58" s="274">
        <f t="shared" si="9"/>
        <v>0.86250000000000004</v>
      </c>
      <c r="C58" s="274">
        <f t="shared" si="1"/>
        <v>0.14249999999999999</v>
      </c>
      <c r="D58" s="53">
        <f t="shared" si="10"/>
        <v>0.21268656716417908</v>
      </c>
      <c r="E58" s="53">
        <f t="shared" si="11"/>
        <v>0.28124999999999989</v>
      </c>
      <c r="F58" s="53">
        <f t="shared" si="12"/>
        <v>0.78731343283582089</v>
      </c>
      <c r="G58" s="53">
        <f t="shared" si="13"/>
        <v>0.71875000000000011</v>
      </c>
      <c r="H58" s="53">
        <f t="shared" si="14"/>
        <v>0.71875000000000011</v>
      </c>
      <c r="I58" s="53">
        <f t="shared" si="15"/>
        <v>0.59285714285714286</v>
      </c>
      <c r="J58" s="53"/>
      <c r="K58" s="278">
        <f t="shared" si="8"/>
        <v>4.5500848896434647</v>
      </c>
    </row>
    <row r="59" spans="1:11" x14ac:dyDescent="0.25">
      <c r="A59" s="274">
        <v>0.255</v>
      </c>
      <c r="B59" s="274">
        <f t="shared" si="9"/>
        <v>0.85965000000000003</v>
      </c>
      <c r="C59" s="274">
        <f t="shared" si="1"/>
        <v>0.14534999999999998</v>
      </c>
      <c r="D59" s="53">
        <f t="shared" si="10"/>
        <v>0.21694029850746263</v>
      </c>
      <c r="E59" s="53">
        <f t="shared" si="11"/>
        <v>0.2836249999999999</v>
      </c>
      <c r="F59" s="53">
        <f t="shared" si="12"/>
        <v>0.78305970149253734</v>
      </c>
      <c r="G59" s="53">
        <f t="shared" si="13"/>
        <v>0.7163750000000001</v>
      </c>
      <c r="H59" s="53">
        <f t="shared" si="14"/>
        <v>0.7163750000000001</v>
      </c>
      <c r="I59" s="53">
        <f t="shared" si="15"/>
        <v>0.58471428571428574</v>
      </c>
      <c r="J59" s="53"/>
      <c r="K59" s="278">
        <f t="shared" si="8"/>
        <v>4.4608675388661405</v>
      </c>
    </row>
    <row r="60" spans="1:11" x14ac:dyDescent="0.25">
      <c r="A60" s="274">
        <v>0.26</v>
      </c>
      <c r="B60" s="274">
        <f t="shared" si="9"/>
        <v>0.85680000000000001</v>
      </c>
      <c r="C60" s="274">
        <f t="shared" si="1"/>
        <v>0.1482</v>
      </c>
      <c r="D60" s="53">
        <f t="shared" si="10"/>
        <v>0.22119402985074627</v>
      </c>
      <c r="E60" s="53">
        <f t="shared" si="11"/>
        <v>0.28599999999999992</v>
      </c>
      <c r="F60" s="53">
        <f t="shared" si="12"/>
        <v>0.77880597014925379</v>
      </c>
      <c r="G60" s="53">
        <f t="shared" si="13"/>
        <v>0.71400000000000008</v>
      </c>
      <c r="H60" s="53">
        <f t="shared" si="14"/>
        <v>0.71400000000000008</v>
      </c>
      <c r="I60" s="53">
        <f t="shared" si="15"/>
        <v>0.57657142857142851</v>
      </c>
      <c r="J60" s="53"/>
      <c r="K60" s="278">
        <f t="shared" si="8"/>
        <v>4.3750816246571764</v>
      </c>
    </row>
    <row r="61" spans="1:11" x14ac:dyDescent="0.25">
      <c r="A61" s="274">
        <v>0.26500000000000001</v>
      </c>
      <c r="B61" s="274">
        <f t="shared" si="9"/>
        <v>0.85394999999999999</v>
      </c>
      <c r="C61" s="274">
        <f t="shared" si="1"/>
        <v>0.15104999999999999</v>
      </c>
      <c r="D61" s="53">
        <f t="shared" si="10"/>
        <v>0.22544776119402982</v>
      </c>
      <c r="E61" s="53">
        <f t="shared" si="11"/>
        <v>0.28837499999999994</v>
      </c>
      <c r="F61" s="53">
        <f t="shared" si="12"/>
        <v>0.77455223880597024</v>
      </c>
      <c r="G61" s="53">
        <f t="shared" si="13"/>
        <v>0.71162500000000006</v>
      </c>
      <c r="H61" s="53">
        <f t="shared" si="14"/>
        <v>0.71162500000000006</v>
      </c>
      <c r="I61" s="53">
        <f t="shared" si="15"/>
        <v>0.56842857142857151</v>
      </c>
      <c r="J61" s="53"/>
      <c r="K61" s="278">
        <f t="shared" si="8"/>
        <v>4.2925329147579845</v>
      </c>
    </row>
    <row r="62" spans="1:11" x14ac:dyDescent="0.25">
      <c r="A62" s="274">
        <v>0.27</v>
      </c>
      <c r="B62" s="274">
        <f t="shared" si="9"/>
        <v>0.85109999999999997</v>
      </c>
      <c r="C62" s="274">
        <f t="shared" si="1"/>
        <v>0.15390000000000001</v>
      </c>
      <c r="D62" s="53">
        <f t="shared" si="10"/>
        <v>0.22970149253731342</v>
      </c>
      <c r="E62" s="53">
        <f t="shared" si="11"/>
        <v>0.29074999999999995</v>
      </c>
      <c r="F62" s="53">
        <f t="shared" si="12"/>
        <v>0.77029850746268658</v>
      </c>
      <c r="G62" s="53">
        <f t="shared" si="13"/>
        <v>0.70925000000000005</v>
      </c>
      <c r="H62" s="53">
        <f t="shared" si="14"/>
        <v>0.70925000000000005</v>
      </c>
      <c r="I62" s="53">
        <f t="shared" si="15"/>
        <v>0.56028571428571428</v>
      </c>
      <c r="J62" s="53"/>
      <c r="K62" s="278">
        <f t="shared" si="8"/>
        <v>4.2130415644846879</v>
      </c>
    </row>
    <row r="63" spans="1:11" x14ac:dyDescent="0.25">
      <c r="A63" s="274">
        <v>0.27500000000000002</v>
      </c>
      <c r="B63" s="274">
        <f t="shared" si="9"/>
        <v>0.84825000000000006</v>
      </c>
      <c r="C63" s="274">
        <f t="shared" si="1"/>
        <v>0.15675</v>
      </c>
      <c r="D63" s="53">
        <f t="shared" si="10"/>
        <v>0.233955223880597</v>
      </c>
      <c r="E63" s="53">
        <f t="shared" si="11"/>
        <v>0.29312499999999997</v>
      </c>
      <c r="F63" s="53">
        <f t="shared" si="12"/>
        <v>0.76604477611940303</v>
      </c>
      <c r="G63" s="53">
        <f t="shared" si="13"/>
        <v>0.70687500000000003</v>
      </c>
      <c r="H63" s="53">
        <f t="shared" si="14"/>
        <v>0.70687500000000003</v>
      </c>
      <c r="I63" s="53">
        <f t="shared" si="15"/>
        <v>0.55214285714285705</v>
      </c>
      <c r="J63" s="53"/>
      <c r="K63" s="278">
        <f t="shared" si="8"/>
        <v>4.1364408087667854</v>
      </c>
    </row>
    <row r="64" spans="1:11" x14ac:dyDescent="0.25">
      <c r="A64" s="274">
        <v>0.28000000000000003</v>
      </c>
      <c r="B64" s="274">
        <f t="shared" si="9"/>
        <v>0.84540000000000004</v>
      </c>
      <c r="C64" s="274">
        <f t="shared" si="1"/>
        <v>0.15959999999999999</v>
      </c>
      <c r="D64" s="53">
        <f t="shared" si="10"/>
        <v>0.23820895522388058</v>
      </c>
      <c r="E64" s="53">
        <f t="shared" si="11"/>
        <v>0.29549999999999998</v>
      </c>
      <c r="F64" s="53">
        <f t="shared" si="12"/>
        <v>0.76179104477611936</v>
      </c>
      <c r="G64" s="53">
        <f t="shared" si="13"/>
        <v>0.70450000000000002</v>
      </c>
      <c r="H64" s="53">
        <f t="shared" si="14"/>
        <v>0.70450000000000002</v>
      </c>
      <c r="I64" s="53">
        <f t="shared" si="15"/>
        <v>0.54400000000000004</v>
      </c>
      <c r="J64" s="53"/>
      <c r="K64" s="278">
        <f t="shared" si="8"/>
        <v>4.0625757943245215</v>
      </c>
    </row>
    <row r="65" spans="1:11" x14ac:dyDescent="0.25">
      <c r="A65" s="274">
        <v>0.28499999999999998</v>
      </c>
      <c r="B65" s="274">
        <f t="shared" si="9"/>
        <v>0.84255000000000002</v>
      </c>
      <c r="C65" s="274">
        <f t="shared" si="1"/>
        <v>0.16244999999999998</v>
      </c>
      <c r="D65" s="53">
        <f t="shared" si="10"/>
        <v>0.24246268656716413</v>
      </c>
      <c r="E65" s="53">
        <f t="shared" si="11"/>
        <v>0.297875</v>
      </c>
      <c r="F65" s="53">
        <f t="shared" si="12"/>
        <v>0.75753731343283581</v>
      </c>
      <c r="G65" s="53">
        <f t="shared" si="13"/>
        <v>0.702125</v>
      </c>
      <c r="H65" s="53">
        <f t="shared" si="14"/>
        <v>0.702125</v>
      </c>
      <c r="I65" s="53">
        <f t="shared" si="15"/>
        <v>0.53585714285714281</v>
      </c>
      <c r="J65" s="53"/>
      <c r="K65" s="278">
        <f t="shared" si="8"/>
        <v>3.9913025347749675</v>
      </c>
    </row>
    <row r="66" spans="1:11" x14ac:dyDescent="0.25">
      <c r="A66" s="274">
        <v>0.28999999999999998</v>
      </c>
      <c r="B66" s="274">
        <f t="shared" si="9"/>
        <v>0.8397</v>
      </c>
      <c r="C66" s="274">
        <f t="shared" si="1"/>
        <v>0.16529999999999997</v>
      </c>
      <c r="D66" s="53">
        <f t="shared" si="10"/>
        <v>0.24671641791044771</v>
      </c>
      <c r="E66" s="53">
        <f t="shared" si="11"/>
        <v>0.30025000000000002</v>
      </c>
      <c r="F66" s="53">
        <f t="shared" si="12"/>
        <v>0.75328358208955226</v>
      </c>
      <c r="G66" s="53">
        <f t="shared" si="13"/>
        <v>0.69974999999999998</v>
      </c>
      <c r="H66" s="53">
        <f t="shared" si="14"/>
        <v>0.69974999999999998</v>
      </c>
      <c r="I66" s="53">
        <f t="shared" si="15"/>
        <v>0.5277142857142858</v>
      </c>
      <c r="J66" s="53"/>
      <c r="K66" s="278">
        <f t="shared" si="8"/>
        <v>3.9224869738305719</v>
      </c>
    </row>
    <row r="67" spans="1:11" x14ac:dyDescent="0.25">
      <c r="A67" s="274">
        <v>0.29499999999999998</v>
      </c>
      <c r="B67" s="274">
        <f t="shared" si="9"/>
        <v>0.83684999999999998</v>
      </c>
      <c r="C67" s="274">
        <f t="shared" si="1"/>
        <v>0.16814999999999997</v>
      </c>
      <c r="D67" s="53">
        <f t="shared" si="10"/>
        <v>0.25097014925373129</v>
      </c>
      <c r="E67" s="53">
        <f t="shared" si="11"/>
        <v>0.30262500000000003</v>
      </c>
      <c r="F67" s="53">
        <f t="shared" si="12"/>
        <v>0.74902985074626871</v>
      </c>
      <c r="G67" s="53">
        <f t="shared" si="13"/>
        <v>0.69737499999999997</v>
      </c>
      <c r="H67" s="53">
        <f t="shared" si="14"/>
        <v>0.69737499999999997</v>
      </c>
      <c r="I67" s="53">
        <f t="shared" si="15"/>
        <v>0.51957142857142857</v>
      </c>
      <c r="J67" s="53"/>
      <c r="K67" s="278">
        <f t="shared" si="8"/>
        <v>3.8560041437656478</v>
      </c>
    </row>
    <row r="68" spans="1:11" x14ac:dyDescent="0.25">
      <c r="A68" s="274">
        <v>0.3</v>
      </c>
      <c r="B68" s="274">
        <f t="shared" si="9"/>
        <v>0.83399999999999996</v>
      </c>
      <c r="C68" s="274">
        <f t="shared" si="1"/>
        <v>0.17099999999999999</v>
      </c>
      <c r="D68" s="53">
        <f t="shared" si="10"/>
        <v>0.2552238805970149</v>
      </c>
      <c r="E68" s="53">
        <f t="shared" si="11"/>
        <v>0.30500000000000005</v>
      </c>
      <c r="F68" s="53">
        <f t="shared" si="12"/>
        <v>0.74477611940298516</v>
      </c>
      <c r="G68" s="53">
        <f t="shared" si="13"/>
        <v>0.69499999999999995</v>
      </c>
      <c r="H68" s="53">
        <f t="shared" si="14"/>
        <v>0.69499999999999995</v>
      </c>
      <c r="I68" s="53">
        <f t="shared" si="15"/>
        <v>0.51142857142857145</v>
      </c>
      <c r="J68" s="53"/>
      <c r="K68" s="278">
        <f t="shared" si="8"/>
        <v>3.7917374080362189</v>
      </c>
    </row>
    <row r="69" spans="1:11" x14ac:dyDescent="0.25">
      <c r="A69" s="274">
        <v>0.30499999999999999</v>
      </c>
      <c r="B69" s="274">
        <f t="shared" si="9"/>
        <v>0.83115000000000006</v>
      </c>
      <c r="C69" s="274">
        <f t="shared" si="1"/>
        <v>0.17384999999999998</v>
      </c>
      <c r="D69" s="53">
        <f t="shared" si="10"/>
        <v>0.25947761194029845</v>
      </c>
      <c r="E69" s="53">
        <f t="shared" si="11"/>
        <v>0.30737499999999995</v>
      </c>
      <c r="F69" s="53">
        <f t="shared" si="12"/>
        <v>0.74052238805970161</v>
      </c>
      <c r="G69" s="53">
        <f t="shared" si="13"/>
        <v>0.69262500000000005</v>
      </c>
      <c r="H69" s="53">
        <f t="shared" si="14"/>
        <v>0.69262500000000005</v>
      </c>
      <c r="I69" s="53">
        <f t="shared" si="15"/>
        <v>0.50328571428571434</v>
      </c>
      <c r="J69" s="53"/>
      <c r="K69" s="278">
        <f t="shared" si="8"/>
        <v>3.7295777783962825</v>
      </c>
    </row>
    <row r="70" spans="1:11" x14ac:dyDescent="0.25">
      <c r="A70" s="274">
        <v>0.31</v>
      </c>
      <c r="B70" s="274">
        <f t="shared" si="9"/>
        <v>0.82830000000000004</v>
      </c>
      <c r="C70" s="274">
        <f t="shared" si="1"/>
        <v>0.1767</v>
      </c>
      <c r="D70" s="53">
        <f t="shared" si="10"/>
        <v>0.26373134328358205</v>
      </c>
      <c r="E70" s="53">
        <f t="shared" si="11"/>
        <v>0.30974999999999997</v>
      </c>
      <c r="F70" s="53">
        <f t="shared" si="12"/>
        <v>0.73626865671641795</v>
      </c>
      <c r="G70" s="53">
        <f t="shared" si="13"/>
        <v>0.69025000000000003</v>
      </c>
      <c r="H70" s="53">
        <f t="shared" si="14"/>
        <v>0.69025000000000003</v>
      </c>
      <c r="I70" s="53">
        <f t="shared" si="15"/>
        <v>0.49514285714285711</v>
      </c>
      <c r="J70" s="53"/>
      <c r="K70" s="278">
        <f t="shared" si="8"/>
        <v>3.6694232980995678</v>
      </c>
    </row>
    <row r="71" spans="1:11" x14ac:dyDescent="0.25">
      <c r="A71" s="274">
        <v>0.315</v>
      </c>
      <c r="B71" s="274">
        <f t="shared" si="9"/>
        <v>0.82545000000000002</v>
      </c>
      <c r="C71" s="274">
        <f t="shared" si="1"/>
        <v>0.17954999999999999</v>
      </c>
      <c r="D71" s="53">
        <f t="shared" si="10"/>
        <v>0.26798507462686566</v>
      </c>
      <c r="E71" s="53">
        <f t="shared" si="11"/>
        <v>0.31212499999999999</v>
      </c>
      <c r="F71" s="53">
        <f t="shared" si="12"/>
        <v>0.73201492537313428</v>
      </c>
      <c r="G71" s="53">
        <f t="shared" si="13"/>
        <v>0.68787500000000001</v>
      </c>
      <c r="H71" s="53">
        <f t="shared" si="14"/>
        <v>0.68787500000000001</v>
      </c>
      <c r="I71" s="53">
        <f t="shared" si="15"/>
        <v>0.48699999999999999</v>
      </c>
      <c r="J71" s="53"/>
      <c r="K71" s="278">
        <f t="shared" si="8"/>
        <v>3.611178483844018</v>
      </c>
    </row>
    <row r="72" spans="1:11" x14ac:dyDescent="0.25">
      <c r="A72" s="274">
        <v>0.32</v>
      </c>
      <c r="B72" s="274">
        <f t="shared" si="9"/>
        <v>0.8226</v>
      </c>
      <c r="C72" s="274">
        <f t="shared" si="1"/>
        <v>0.18239999999999998</v>
      </c>
      <c r="D72" s="53">
        <f t="shared" si="10"/>
        <v>0.27223880597014921</v>
      </c>
      <c r="E72" s="53">
        <f t="shared" si="11"/>
        <v>0.3145</v>
      </c>
      <c r="F72" s="53">
        <f t="shared" si="12"/>
        <v>0.72776119402985073</v>
      </c>
      <c r="G72" s="53">
        <f t="shared" si="13"/>
        <v>0.6855</v>
      </c>
      <c r="H72" s="53">
        <f t="shared" si="14"/>
        <v>0.6855</v>
      </c>
      <c r="I72" s="53">
        <f t="shared" si="15"/>
        <v>0.47885714285714287</v>
      </c>
      <c r="J72" s="53"/>
      <c r="K72" s="278">
        <f t="shared" si="8"/>
        <v>3.5547538200339557</v>
      </c>
    </row>
    <row r="73" spans="1:11" x14ac:dyDescent="0.25">
      <c r="A73" s="274">
        <v>0.32500000000000001</v>
      </c>
      <c r="B73" s="274">
        <f t="shared" si="9"/>
        <v>0.81974999999999998</v>
      </c>
      <c r="C73" s="274">
        <f t="shared" ref="C73:C88" si="16">A73*$C$2</f>
        <v>0.18525</v>
      </c>
      <c r="D73" s="53">
        <f t="shared" si="10"/>
        <v>0.27649253731343282</v>
      </c>
      <c r="E73" s="53">
        <f t="shared" si="11"/>
        <v>0.31687500000000002</v>
      </c>
      <c r="F73" s="53">
        <f t="shared" si="12"/>
        <v>0.72350746268656718</v>
      </c>
      <c r="G73" s="53">
        <f t="shared" si="13"/>
        <v>0.68312499999999998</v>
      </c>
      <c r="H73" s="53">
        <f t="shared" si="14"/>
        <v>0.68312499999999998</v>
      </c>
      <c r="I73" s="53">
        <f t="shared" si="15"/>
        <v>0.47071428571428564</v>
      </c>
      <c r="J73" s="53"/>
      <c r="K73" s="278">
        <f t="shared" ref="K73:K89" si="17">IF(C73&gt;0,(B73+C73)/(1.55*C73),"")</f>
        <v>3.5000652997257409</v>
      </c>
    </row>
    <row r="74" spans="1:11" x14ac:dyDescent="0.25">
      <c r="A74" s="274">
        <v>0.33</v>
      </c>
      <c r="B74" s="274">
        <f t="shared" si="9"/>
        <v>0.81690000000000007</v>
      </c>
      <c r="C74" s="274">
        <f t="shared" si="16"/>
        <v>0.18809999999999999</v>
      </c>
      <c r="D74" s="53">
        <f t="shared" si="10"/>
        <v>0.28074626865671637</v>
      </c>
      <c r="E74" s="53">
        <f t="shared" si="11"/>
        <v>0.31924999999999992</v>
      </c>
      <c r="F74" s="53">
        <f t="shared" si="12"/>
        <v>0.71925373134328363</v>
      </c>
      <c r="G74" s="53">
        <f t="shared" si="13"/>
        <v>0.68075000000000008</v>
      </c>
      <c r="H74" s="53">
        <f t="shared" si="14"/>
        <v>0.68075000000000008</v>
      </c>
      <c r="I74" s="53">
        <f t="shared" si="15"/>
        <v>0.46257142857142852</v>
      </c>
      <c r="J74" s="53"/>
      <c r="K74" s="278">
        <f t="shared" si="17"/>
        <v>3.4470340073056547</v>
      </c>
    </row>
    <row r="75" spans="1:11" x14ac:dyDescent="0.25">
      <c r="A75" s="274">
        <v>0.33500000000000002</v>
      </c>
      <c r="B75" s="274">
        <f t="shared" si="9"/>
        <v>0.81405000000000005</v>
      </c>
      <c r="C75" s="274">
        <f t="shared" si="16"/>
        <v>0.19095000000000001</v>
      </c>
      <c r="D75" s="53">
        <f t="shared" si="10"/>
        <v>0.28499999999999998</v>
      </c>
      <c r="E75" s="53">
        <f t="shared" si="11"/>
        <v>0.32162499999999994</v>
      </c>
      <c r="F75" s="53">
        <f t="shared" si="12"/>
        <v>0.71500000000000008</v>
      </c>
      <c r="G75" s="53">
        <f t="shared" si="13"/>
        <v>0.67837500000000006</v>
      </c>
      <c r="H75" s="53">
        <f t="shared" si="14"/>
        <v>0.67837500000000006</v>
      </c>
      <c r="I75" s="53">
        <f t="shared" si="15"/>
        <v>0.4544285714285714</v>
      </c>
      <c r="J75" s="53"/>
      <c r="K75" s="278">
        <f t="shared" si="17"/>
        <v>3.3955857385398982</v>
      </c>
    </row>
    <row r="76" spans="1:11" x14ac:dyDescent="0.25">
      <c r="A76" s="274">
        <v>0.34</v>
      </c>
      <c r="B76" s="274">
        <f t="shared" si="9"/>
        <v>0.81120000000000003</v>
      </c>
      <c r="C76" s="274">
        <f t="shared" si="16"/>
        <v>0.1938</v>
      </c>
      <c r="D76" s="53">
        <f t="shared" si="10"/>
        <v>0.28925373134328358</v>
      </c>
      <c r="E76" s="53">
        <f t="shared" si="11"/>
        <v>0.32399999999999995</v>
      </c>
      <c r="F76" s="53">
        <f t="shared" si="12"/>
        <v>0.71074626865671642</v>
      </c>
      <c r="G76" s="53">
        <f t="shared" si="13"/>
        <v>0.67600000000000005</v>
      </c>
      <c r="H76" s="53">
        <f t="shared" si="14"/>
        <v>0.67600000000000005</v>
      </c>
      <c r="I76" s="53">
        <f t="shared" si="15"/>
        <v>0.44628571428571429</v>
      </c>
      <c r="J76" s="53"/>
      <c r="K76" s="278">
        <f t="shared" si="17"/>
        <v>3.3456506541496061</v>
      </c>
    </row>
    <row r="77" spans="1:11" x14ac:dyDescent="0.25">
      <c r="A77" s="274">
        <v>0.34499999999999997</v>
      </c>
      <c r="B77" s="274">
        <f t="shared" si="9"/>
        <v>0.80835000000000001</v>
      </c>
      <c r="C77" s="274">
        <f t="shared" si="16"/>
        <v>0.19664999999999996</v>
      </c>
      <c r="D77" s="53">
        <f t="shared" si="10"/>
        <v>0.29350746268656708</v>
      </c>
      <c r="E77" s="53">
        <f t="shared" si="11"/>
        <v>0.32637499999999997</v>
      </c>
      <c r="F77" s="53">
        <f t="shared" si="12"/>
        <v>0.70649253731343298</v>
      </c>
      <c r="G77" s="53">
        <f t="shared" si="13"/>
        <v>0.67362500000000003</v>
      </c>
      <c r="H77" s="53">
        <f t="shared" si="14"/>
        <v>0.67362500000000003</v>
      </c>
      <c r="I77" s="53">
        <f t="shared" si="15"/>
        <v>0.43814285714285717</v>
      </c>
      <c r="J77" s="53"/>
      <c r="K77" s="278">
        <f t="shared" si="17"/>
        <v>3.2971629635097561</v>
      </c>
    </row>
    <row r="78" spans="1:11" x14ac:dyDescent="0.25">
      <c r="A78" s="274">
        <v>0.35</v>
      </c>
      <c r="B78" s="274">
        <f t="shared" si="9"/>
        <v>0.80549999999999999</v>
      </c>
      <c r="C78" s="274">
        <f t="shared" si="16"/>
        <v>0.19949999999999998</v>
      </c>
      <c r="D78" s="53">
        <f t="shared" si="10"/>
        <v>0.29776119402985068</v>
      </c>
      <c r="E78" s="53">
        <f t="shared" si="11"/>
        <v>0.32874999999999999</v>
      </c>
      <c r="F78" s="53">
        <f t="shared" si="12"/>
        <v>0.70223880597014932</v>
      </c>
      <c r="G78" s="53">
        <f t="shared" si="13"/>
        <v>0.67125000000000001</v>
      </c>
      <c r="H78" s="53">
        <f t="shared" si="14"/>
        <v>0.67125000000000001</v>
      </c>
      <c r="I78" s="53">
        <f t="shared" si="15"/>
        <v>0.43000000000000005</v>
      </c>
      <c r="J78" s="53"/>
      <c r="K78" s="278">
        <f t="shared" si="17"/>
        <v>3.2500606354596169</v>
      </c>
    </row>
    <row r="79" spans="1:11" x14ac:dyDescent="0.25">
      <c r="A79" s="274">
        <v>0.35499999999999998</v>
      </c>
      <c r="B79" s="274">
        <f t="shared" si="9"/>
        <v>0.80264999999999997</v>
      </c>
      <c r="C79" s="274">
        <f t="shared" si="16"/>
        <v>0.20234999999999997</v>
      </c>
      <c r="D79" s="53">
        <f t="shared" si="10"/>
        <v>0.30201492537313429</v>
      </c>
      <c r="E79" s="53">
        <f t="shared" si="11"/>
        <v>0.331125</v>
      </c>
      <c r="F79" s="53">
        <f t="shared" si="12"/>
        <v>0.69798507462686565</v>
      </c>
      <c r="G79" s="53">
        <f t="shared" si="13"/>
        <v>0.668875</v>
      </c>
      <c r="H79" s="53">
        <f t="shared" si="14"/>
        <v>0.668875</v>
      </c>
      <c r="I79" s="53">
        <f t="shared" si="15"/>
        <v>0.42185714285714293</v>
      </c>
      <c r="J79" s="53"/>
      <c r="K79" s="278">
        <f t="shared" si="17"/>
        <v>3.2042851335517346</v>
      </c>
    </row>
    <row r="80" spans="1:11" x14ac:dyDescent="0.25">
      <c r="A80" s="274">
        <v>0.36</v>
      </c>
      <c r="B80" s="274">
        <f t="shared" si="9"/>
        <v>0.79980000000000007</v>
      </c>
      <c r="C80" s="274">
        <f t="shared" si="16"/>
        <v>0.20519999999999997</v>
      </c>
      <c r="D80" s="53">
        <f t="shared" si="10"/>
        <v>0.30626865671641784</v>
      </c>
      <c r="E80" s="53">
        <f t="shared" si="11"/>
        <v>0.33349999999999991</v>
      </c>
      <c r="F80" s="53">
        <f t="shared" si="12"/>
        <v>0.6937313432835821</v>
      </c>
      <c r="G80" s="53">
        <f t="shared" si="13"/>
        <v>0.66650000000000009</v>
      </c>
      <c r="H80" s="53">
        <f t="shared" si="14"/>
        <v>0.66650000000000009</v>
      </c>
      <c r="I80" s="53">
        <f t="shared" si="15"/>
        <v>0.41371428571428581</v>
      </c>
      <c r="J80" s="53"/>
      <c r="K80" s="278">
        <f t="shared" si="17"/>
        <v>3.159781173363517</v>
      </c>
    </row>
    <row r="81" spans="1:11" x14ac:dyDescent="0.25">
      <c r="A81" s="274">
        <v>0.36499999999999999</v>
      </c>
      <c r="B81" s="274">
        <f t="shared" si="9"/>
        <v>0.79695000000000005</v>
      </c>
      <c r="C81" s="274">
        <f t="shared" si="16"/>
        <v>0.20804999999999998</v>
      </c>
      <c r="D81" s="53">
        <f t="shared" si="10"/>
        <v>0.31052238805970145</v>
      </c>
      <c r="E81" s="53">
        <f t="shared" si="11"/>
        <v>0.33587499999999992</v>
      </c>
      <c r="F81" s="53">
        <f t="shared" si="12"/>
        <v>0.68947761194029855</v>
      </c>
      <c r="G81" s="53">
        <f t="shared" si="13"/>
        <v>0.66412500000000008</v>
      </c>
      <c r="H81" s="53">
        <f t="shared" si="14"/>
        <v>0.66412500000000008</v>
      </c>
      <c r="I81" s="53">
        <f t="shared" si="15"/>
        <v>0.40557142857142858</v>
      </c>
      <c r="J81" s="53"/>
      <c r="K81" s="278">
        <f t="shared" si="17"/>
        <v>3.1164964997557973</v>
      </c>
    </row>
    <row r="82" spans="1:11" x14ac:dyDescent="0.25">
      <c r="A82" s="274">
        <v>0.37</v>
      </c>
      <c r="B82" s="274">
        <f t="shared" si="9"/>
        <v>0.79410000000000003</v>
      </c>
      <c r="C82" s="274">
        <f t="shared" si="16"/>
        <v>0.21089999999999998</v>
      </c>
      <c r="D82" s="53">
        <f t="shared" si="10"/>
        <v>0.314776119402985</v>
      </c>
      <c r="E82" s="53">
        <f t="shared" si="11"/>
        <v>0.33824999999999994</v>
      </c>
      <c r="F82" s="53">
        <f t="shared" si="12"/>
        <v>0.685223880597015</v>
      </c>
      <c r="G82" s="53">
        <f t="shared" si="13"/>
        <v>0.66175000000000006</v>
      </c>
      <c r="H82" s="53">
        <f t="shared" si="14"/>
        <v>0.66175000000000006</v>
      </c>
      <c r="I82" s="53">
        <f t="shared" si="15"/>
        <v>0.39742857142857146</v>
      </c>
      <c r="J82" s="53"/>
      <c r="K82" s="278">
        <f t="shared" si="17"/>
        <v>3.0743816821915293</v>
      </c>
    </row>
    <row r="83" spans="1:11" x14ac:dyDescent="0.25">
      <c r="A83" s="274">
        <v>0.375</v>
      </c>
      <c r="B83" s="274">
        <f t="shared" si="9"/>
        <v>0.79125000000000001</v>
      </c>
      <c r="C83" s="274">
        <f t="shared" si="16"/>
        <v>0.21375</v>
      </c>
      <c r="D83" s="53">
        <f t="shared" si="10"/>
        <v>0.31902985074626861</v>
      </c>
      <c r="E83" s="53">
        <f t="shared" si="11"/>
        <v>0.34062499999999996</v>
      </c>
      <c r="F83" s="53">
        <f t="shared" si="12"/>
        <v>0.68097014925373145</v>
      </c>
      <c r="G83" s="53">
        <f t="shared" si="13"/>
        <v>0.65937500000000004</v>
      </c>
      <c r="H83" s="53">
        <f t="shared" si="14"/>
        <v>0.65937500000000004</v>
      </c>
      <c r="I83" s="53">
        <f t="shared" si="15"/>
        <v>0.38928571428571423</v>
      </c>
      <c r="J83" s="53"/>
      <c r="K83" s="278">
        <f t="shared" si="17"/>
        <v>3.0333899264289754</v>
      </c>
    </row>
    <row r="84" spans="1:11" x14ac:dyDescent="0.25">
      <c r="A84" s="274">
        <v>0.38</v>
      </c>
      <c r="B84" s="274">
        <f t="shared" si="9"/>
        <v>0.78839999999999999</v>
      </c>
      <c r="C84" s="274">
        <f t="shared" si="16"/>
        <v>0.21659999999999999</v>
      </c>
      <c r="D84" s="53">
        <f t="shared" si="10"/>
        <v>0.32328358208955221</v>
      </c>
      <c r="E84" s="53">
        <f t="shared" si="11"/>
        <v>0.34299999999999997</v>
      </c>
      <c r="F84" s="53">
        <f t="shared" si="12"/>
        <v>0.67671641791044779</v>
      </c>
      <c r="G84" s="53">
        <f t="shared" si="13"/>
        <v>0.65700000000000003</v>
      </c>
      <c r="H84" s="53">
        <f t="shared" si="14"/>
        <v>0.65700000000000003</v>
      </c>
      <c r="I84" s="53">
        <f t="shared" si="15"/>
        <v>0.38114285714285712</v>
      </c>
      <c r="J84" s="53"/>
      <c r="K84" s="278">
        <f t="shared" si="17"/>
        <v>2.9934769010812259</v>
      </c>
    </row>
    <row r="85" spans="1:11" x14ac:dyDescent="0.25">
      <c r="A85" s="274">
        <v>0.38500000000000001</v>
      </c>
      <c r="B85" s="274">
        <f t="shared" si="9"/>
        <v>0.78555000000000008</v>
      </c>
      <c r="C85" s="274">
        <f t="shared" si="16"/>
        <v>0.21944999999999998</v>
      </c>
      <c r="D85" s="53">
        <f t="shared" si="10"/>
        <v>0.32753731343283576</v>
      </c>
      <c r="E85" s="53">
        <f t="shared" si="11"/>
        <v>0.34537499999999988</v>
      </c>
      <c r="F85" s="53">
        <f t="shared" si="12"/>
        <v>0.67246268656716424</v>
      </c>
      <c r="G85" s="53">
        <f t="shared" si="13"/>
        <v>0.65462500000000012</v>
      </c>
      <c r="H85" s="53">
        <f t="shared" si="14"/>
        <v>0.65462500000000012</v>
      </c>
      <c r="I85" s="53">
        <f t="shared" si="15"/>
        <v>0.373</v>
      </c>
      <c r="J85" s="53"/>
      <c r="K85" s="278">
        <f t="shared" si="17"/>
        <v>2.9546005776905613</v>
      </c>
    </row>
    <row r="86" spans="1:11" x14ac:dyDescent="0.25">
      <c r="A86" s="274">
        <v>0.39</v>
      </c>
      <c r="B86" s="274">
        <f t="shared" si="9"/>
        <v>0.78270000000000006</v>
      </c>
      <c r="C86" s="274">
        <f t="shared" si="16"/>
        <v>0.2223</v>
      </c>
      <c r="D86" s="53">
        <f t="shared" si="10"/>
        <v>0.33179104477611937</v>
      </c>
      <c r="E86" s="53">
        <f t="shared" si="11"/>
        <v>0.34774999999999989</v>
      </c>
      <c r="F86" s="53">
        <f t="shared" si="12"/>
        <v>0.66820895522388057</v>
      </c>
      <c r="G86" s="53">
        <f t="shared" si="13"/>
        <v>0.65225000000000011</v>
      </c>
      <c r="H86" s="53">
        <f t="shared" si="14"/>
        <v>0.65225000000000011</v>
      </c>
      <c r="I86" s="53">
        <f t="shared" si="15"/>
        <v>0.36485714285714277</v>
      </c>
      <c r="J86" s="53"/>
      <c r="K86" s="278">
        <f t="shared" si="17"/>
        <v>2.9167210831047847</v>
      </c>
    </row>
    <row r="87" spans="1:11" x14ac:dyDescent="0.25">
      <c r="A87" s="274">
        <v>0.39500000000000002</v>
      </c>
      <c r="B87" s="274">
        <f t="shared" si="9"/>
        <v>0.77985000000000004</v>
      </c>
      <c r="C87" s="274">
        <f t="shared" si="16"/>
        <v>0.22514999999999999</v>
      </c>
      <c r="D87" s="53">
        <f t="shared" si="10"/>
        <v>0.33604477611940292</v>
      </c>
      <c r="E87" s="53">
        <f t="shared" si="11"/>
        <v>0.35012499999999991</v>
      </c>
      <c r="F87" s="53">
        <f t="shared" si="12"/>
        <v>0.66395522388059702</v>
      </c>
      <c r="G87" s="53">
        <f t="shared" si="13"/>
        <v>0.64987500000000009</v>
      </c>
      <c r="H87" s="53">
        <f t="shared" si="14"/>
        <v>0.64987500000000009</v>
      </c>
      <c r="I87" s="53">
        <f t="shared" si="15"/>
        <v>0.35671428571428565</v>
      </c>
      <c r="J87" s="53"/>
      <c r="K87" s="278">
        <f t="shared" si="17"/>
        <v>2.8798005630654839</v>
      </c>
    </row>
    <row r="88" spans="1:11" x14ac:dyDescent="0.25">
      <c r="A88" s="274">
        <v>0.4</v>
      </c>
      <c r="B88" s="274">
        <f t="shared" si="9"/>
        <v>0.77700000000000002</v>
      </c>
      <c r="C88" s="274">
        <f t="shared" si="16"/>
        <v>0.22799999999999998</v>
      </c>
      <c r="D88" s="53">
        <f t="shared" si="10"/>
        <v>0.34029850746268653</v>
      </c>
      <c r="E88" s="53">
        <f t="shared" si="11"/>
        <v>0.35249999999999992</v>
      </c>
      <c r="F88" s="53">
        <f t="shared" si="12"/>
        <v>0.65970149253731347</v>
      </c>
      <c r="G88" s="53">
        <f t="shared" si="13"/>
        <v>0.64750000000000008</v>
      </c>
      <c r="H88" s="53">
        <f t="shared" si="14"/>
        <v>0.64750000000000008</v>
      </c>
      <c r="I88" s="53">
        <f t="shared" si="15"/>
        <v>0.34857142857142853</v>
      </c>
      <c r="J88" s="53"/>
      <c r="K88" s="278">
        <f t="shared" si="17"/>
        <v>2.8438030560271645</v>
      </c>
    </row>
    <row r="89" spans="1:11" x14ac:dyDescent="0.25">
      <c r="K89" s="278" t="str">
        <f t="shared" si="17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sheetPr codeName="Sheet9"/>
  <dimension ref="A1:AM59"/>
  <sheetViews>
    <sheetView zoomScale="70" zoomScaleNormal="70" workbookViewId="0">
      <selection activeCell="B3" sqref="B3"/>
    </sheetView>
  </sheetViews>
  <sheetFormatPr defaultRowHeight="15" x14ac:dyDescent="0.25"/>
  <cols>
    <col min="2" max="2" width="12.5703125" style="280" bestFit="1" customWidth="1"/>
    <col min="3" max="3" width="17.28515625" style="280" bestFit="1" customWidth="1"/>
    <col min="4" max="4" width="10.140625" style="280" bestFit="1" customWidth="1"/>
    <col min="5" max="5" width="12" style="280" customWidth="1"/>
    <col min="6" max="6" width="15.85546875" style="280" customWidth="1"/>
    <col min="7" max="7" width="12.5703125" style="280" bestFit="1" customWidth="1"/>
    <col min="8" max="9" width="14.5703125" style="280" bestFit="1" customWidth="1"/>
    <col min="10" max="10" width="8.5703125" style="280" bestFit="1" customWidth="1"/>
    <col min="11" max="11" width="11" style="280" bestFit="1" customWidth="1"/>
    <col min="12" max="12" width="13.28515625" style="280" customWidth="1"/>
    <col min="13" max="13" width="14.5703125" style="280" customWidth="1"/>
    <col min="14" max="14" width="15" style="280" customWidth="1"/>
    <col min="15" max="15" width="17" style="280" customWidth="1"/>
    <col min="16" max="16" width="12.42578125" style="280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299</v>
      </c>
      <c r="E1" s="280">
        <f>COUNTA(E4:E30)</f>
        <v>2</v>
      </c>
      <c r="R1" s="279" t="s">
        <v>293</v>
      </c>
      <c r="S1" t="s">
        <v>295</v>
      </c>
      <c r="T1" s="281" t="s">
        <v>294</v>
      </c>
    </row>
    <row r="2" spans="1:26" x14ac:dyDescent="0.25">
      <c r="B2" s="335" t="s">
        <v>287</v>
      </c>
      <c r="C2" s="335" t="s">
        <v>290</v>
      </c>
      <c r="J2" s="335" t="s">
        <v>291</v>
      </c>
      <c r="O2" s="347" t="s">
        <v>402</v>
      </c>
      <c r="S2" t="s">
        <v>296</v>
      </c>
      <c r="T2" s="281" t="s">
        <v>297</v>
      </c>
    </row>
    <row r="3" spans="1:26" x14ac:dyDescent="0.25">
      <c r="B3" s="336" t="s">
        <v>292</v>
      </c>
      <c r="C3" s="337" t="str" cm="1">
        <f t="array" ref="C3:H3">TRANSPOSE(B4:B9)&amp;"2"</f>
        <v>Control2</v>
      </c>
      <c r="D3" s="337" t="str">
        <v>Plant2</v>
      </c>
      <c r="E3" s="337" t="str">
        <v>Storage2</v>
      </c>
      <c r="F3" s="337" t="str">
        <v>Prognoses2</v>
      </c>
      <c r="G3" s="337" t="str">
        <v>Fuel2</v>
      </c>
      <c r="H3" s="337" t="str">
        <v>FuelBounds2</v>
      </c>
      <c r="I3" s="337"/>
      <c r="J3" s="338" t="str" cm="1">
        <f t="array" ref="J3:O3">TRANSPOSE(B4:B9)&amp;"3"</f>
        <v>Control3</v>
      </c>
      <c r="K3" s="338" t="str">
        <v>Plant3</v>
      </c>
      <c r="L3" s="338" t="str">
        <v>Storage3</v>
      </c>
      <c r="M3" s="338" t="str">
        <v>Prognoses3</v>
      </c>
      <c r="N3" s="338" t="str">
        <v>Fuel3</v>
      </c>
      <c r="O3" s="338" t="str">
        <v>FuelBounds3</v>
      </c>
      <c r="P3" s="338"/>
    </row>
    <row r="4" spans="1:26" x14ac:dyDescent="0.25">
      <c r="B4" s="280" t="s">
        <v>366</v>
      </c>
      <c r="C4" s="280" t="str" cm="1">
        <f t="array" ref="C4:C15">_xlfn.LET(_xlpm.ran,listDataCtrl,_xlfn._xlws.FILTER(_xlpm.ran,(LEN(_xlpm.ran)&gt;0)))</f>
        <v>RunScenarios</v>
      </c>
      <c r="D4" s="280" t="str" cm="1">
        <f t="array" ref="D4:D9">listUnitsName</f>
        <v>Ovn2</v>
      </c>
      <c r="E4" s="280" t="str" cm="1">
        <f t="array" ref="E4:E5">_xlfn._xlws.FILTER(listStorageName,LEN(listStorageName)&gt;0)</f>
        <v>sto1</v>
      </c>
      <c r="F4" s="280" t="str" cm="1">
        <f t="array" ref="F4:F28">_xlfn.LET(_xlpm.ran,TRANSPOSE(listPrognosisAttr),_xlpm.ran)</f>
        <v>Aktiv</v>
      </c>
      <c r="G4" s="280" t="str" cm="1">
        <f t="array" ref="G4:G32">listFuelName</f>
        <v>DepoSort</v>
      </c>
      <c r="H4" s="280" t="str" cm="1">
        <f t="array" ref="H4:H32">listFuelName</f>
        <v>DepoSort</v>
      </c>
      <c r="J4" s="280" t="s">
        <v>370</v>
      </c>
      <c r="K4" s="280" t="str" cm="1">
        <f t="array" ref="K4:K17">_xlfn.LET(_xlpm.ran,TRANSPOSE(listUnitAttr),_xlpm.ran)</f>
        <v>Aktiv</v>
      </c>
      <c r="L4" s="280" t="str" cm="1">
        <f t="array" ref="L4:L15">TRANSPOSE(listStorageAttr)</f>
        <v>Aktiv</v>
      </c>
      <c r="M4" s="280" t="s">
        <v>370</v>
      </c>
      <c r="N4" s="280" t="str" cm="1">
        <f t="array" ref="N4:N20">_xlfn.LET(_xlpm.ran,TRANSPOSE(listFuelAttr),_xlpm.ran)</f>
        <v>Aktiv</v>
      </c>
      <c r="O4" s="280" t="s">
        <v>242</v>
      </c>
      <c r="R4" s="1" t="s">
        <v>287</v>
      </c>
      <c r="S4" s="1" t="s">
        <v>290</v>
      </c>
      <c r="T4" s="1" t="s">
        <v>291</v>
      </c>
      <c r="U4" s="1" t="s">
        <v>298</v>
      </c>
      <c r="V4" s="21" t="s">
        <v>300</v>
      </c>
    </row>
    <row r="5" spans="1:26" x14ac:dyDescent="0.25">
      <c r="B5" s="280" t="s">
        <v>368</v>
      </c>
      <c r="C5" s="280" t="str">
        <v>IncludeGSF</v>
      </c>
      <c r="D5" s="280" t="str">
        <v>Ovn3</v>
      </c>
      <c r="E5" s="280" t="str">
        <v>sto2</v>
      </c>
      <c r="F5" s="280" t="str">
        <v>Ndage</v>
      </c>
      <c r="G5" s="280" t="str">
        <v>DepoSmaat</v>
      </c>
      <c r="H5" s="280" t="str">
        <v>DepoSmaat</v>
      </c>
      <c r="K5" s="280" t="str">
        <v>Ukind</v>
      </c>
      <c r="L5" s="280" t="str">
        <v>StoKind</v>
      </c>
      <c r="N5" s="280" t="str">
        <v>Fkind</v>
      </c>
      <c r="O5" s="280" t="s">
        <v>243</v>
      </c>
      <c r="R5" t="s">
        <v>368</v>
      </c>
      <c r="S5" t="s">
        <v>78</v>
      </c>
      <c r="T5" t="s">
        <v>184</v>
      </c>
      <c r="U5" s="282">
        <v>44197</v>
      </c>
      <c r="V5" s="283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s="280" t="s">
        <v>369</v>
      </c>
      <c r="C6" s="280" t="str">
        <v>VirtuelVarme</v>
      </c>
      <c r="D6" s="280" t="str">
        <v>FlisK</v>
      </c>
      <c r="F6" s="280" t="str">
        <v>Ovn2</v>
      </c>
      <c r="G6" s="280" t="str">
        <v>DepoNedd</v>
      </c>
      <c r="H6" s="280" t="str">
        <v>DepoNedd</v>
      </c>
      <c r="K6" s="280" t="str">
        <v>Prioritet</v>
      </c>
      <c r="L6" s="280" t="str">
        <v>LoadInit</v>
      </c>
      <c r="N6" s="280" t="str">
        <v>Lagerbar</v>
      </c>
      <c r="O6" s="280" t="s">
        <v>254</v>
      </c>
      <c r="R6" t="s">
        <v>368</v>
      </c>
      <c r="S6" t="s">
        <v>78</v>
      </c>
      <c r="T6" t="s">
        <v>184</v>
      </c>
      <c r="U6" s="282">
        <v>44531</v>
      </c>
      <c r="V6" s="283"/>
      <c r="X6" t="str">
        <f ca="1"/>
        <v>Ovn3</v>
      </c>
      <c r="Z6" t="str">
        <f ca="1"/>
        <v>sto2</v>
      </c>
    </row>
    <row r="7" spans="1:26" x14ac:dyDescent="0.25">
      <c r="B7" s="280" t="s">
        <v>328</v>
      </c>
      <c r="C7" s="280" t="str">
        <v>VirtuelAffald</v>
      </c>
      <c r="D7" s="280" t="str">
        <v>NS</v>
      </c>
      <c r="F7" s="280" t="str">
        <v>Ovn3</v>
      </c>
      <c r="G7" s="280" t="str">
        <v>Dagren</v>
      </c>
      <c r="H7" s="280" t="str">
        <v>Dagren</v>
      </c>
      <c r="K7" s="280" t="str">
        <v>MinLhv</v>
      </c>
      <c r="L7" s="280" t="str">
        <v>LoadMin</v>
      </c>
      <c r="N7" s="280" t="str">
        <v>Fri</v>
      </c>
      <c r="O7" s="280" t="s">
        <v>255</v>
      </c>
      <c r="R7" t="s">
        <v>368</v>
      </c>
      <c r="S7" t="s">
        <v>77</v>
      </c>
      <c r="T7" t="s">
        <v>184</v>
      </c>
      <c r="U7" s="282">
        <v>44531</v>
      </c>
      <c r="V7" s="283"/>
      <c r="X7" t="str">
        <f ca="1"/>
        <v>FlisK</v>
      </c>
      <c r="Z7">
        <f ca="1"/>
        <v>0</v>
      </c>
    </row>
    <row r="8" spans="1:26" x14ac:dyDescent="0.25">
      <c r="B8" s="280" t="s">
        <v>367</v>
      </c>
      <c r="C8" s="280" t="str">
        <v>Skorstensmetode</v>
      </c>
      <c r="D8" s="280" t="str">
        <v>Cooler</v>
      </c>
      <c r="F8" s="280" t="str">
        <v>FlisK</v>
      </c>
      <c r="G8" s="280" t="str">
        <v>AndetBrand</v>
      </c>
      <c r="H8" s="280" t="str">
        <v>AndetBrand</v>
      </c>
      <c r="K8" s="280" t="str">
        <v>MaxLhv</v>
      </c>
      <c r="L8" s="280" t="str">
        <v>LoadMax</v>
      </c>
      <c r="N8" s="280" t="str">
        <v>Flex</v>
      </c>
      <c r="O8" s="280" t="s">
        <v>256</v>
      </c>
      <c r="R8" t="s">
        <v>368</v>
      </c>
      <c r="U8" s="282">
        <v>44197</v>
      </c>
      <c r="V8" s="283"/>
      <c r="X8" t="str">
        <f ca="1"/>
        <v>NS</v>
      </c>
      <c r="Z8">
        <f ca="1"/>
        <v>0</v>
      </c>
    </row>
    <row r="9" spans="1:26" x14ac:dyDescent="0.25">
      <c r="B9" s="359" t="s">
        <v>289</v>
      </c>
      <c r="C9" s="280" t="str">
        <v>FixAffald2021</v>
      </c>
      <c r="D9" s="280" t="str">
        <v>PeakK</v>
      </c>
      <c r="F9" s="280" t="str">
        <v>NS</v>
      </c>
      <c r="G9" s="280" t="str">
        <v>Trae</v>
      </c>
      <c r="H9" s="280" t="str">
        <v>Trae</v>
      </c>
      <c r="K9" s="280" t="str">
        <v>MinTon</v>
      </c>
      <c r="L9" s="280" t="str">
        <v>DLoadMax</v>
      </c>
      <c r="N9" s="280" t="str">
        <v>Bortskaf</v>
      </c>
      <c r="O9" s="280" t="s">
        <v>393</v>
      </c>
      <c r="R9" t="s">
        <v>369</v>
      </c>
      <c r="S9" t="s">
        <v>225</v>
      </c>
      <c r="U9" s="282">
        <v>44682</v>
      </c>
      <c r="V9" s="283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s="280" t="str">
        <v>FixAffaldSum</v>
      </c>
      <c r="F10" s="280" t="str">
        <v>Cooler</v>
      </c>
      <c r="G10" s="280" t="str">
        <v>DagrenRast</v>
      </c>
      <c r="H10" s="280" t="str">
        <v>DagrenRast</v>
      </c>
      <c r="K10" s="280" t="str">
        <v>MaxTon</v>
      </c>
      <c r="L10" s="280" t="str">
        <v>LossRate</v>
      </c>
      <c r="N10" s="280" t="str">
        <v>TilOvn2</v>
      </c>
      <c r="O10" s="280" t="s">
        <v>259</v>
      </c>
      <c r="R10" t="s">
        <v>368</v>
      </c>
      <c r="S10" t="s">
        <v>77</v>
      </c>
      <c r="U10" s="282">
        <v>47665</v>
      </c>
      <c r="V10" s="283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s="280" t="str">
        <v>DeltaTonAktiv</v>
      </c>
      <c r="F11" s="280" t="str">
        <v>PeakK</v>
      </c>
      <c r="G11" s="280" t="str">
        <v>DagrenInst</v>
      </c>
      <c r="H11" s="280" t="str">
        <v>DagrenInst</v>
      </c>
      <c r="K11" s="280" t="str">
        <v>KapQNom</v>
      </c>
      <c r="L11" s="280" t="str">
        <v>LoadCost</v>
      </c>
      <c r="N11" s="280" t="str">
        <v>TilOvn3</v>
      </c>
      <c r="R11" t="s">
        <v>368</v>
      </c>
      <c r="U11" s="282"/>
      <c r="V11" s="283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s="280" t="str">
        <v>RgkRabatSats</v>
      </c>
      <c r="F12" s="280" t="str">
        <v>Turbine</v>
      </c>
      <c r="G12" s="280" t="str">
        <v>DagrenHandel</v>
      </c>
      <c r="H12" s="280" t="str">
        <v>DagrenHandel</v>
      </c>
      <c r="K12" s="280" t="str">
        <v>KapRgk</v>
      </c>
      <c r="L12" s="280" t="str">
        <v>DLoadCost</v>
      </c>
      <c r="N12" s="280" t="str">
        <v>DeltaTon</v>
      </c>
      <c r="R12" t="s">
        <v>368</v>
      </c>
      <c r="S12" t="s">
        <v>246</v>
      </c>
      <c r="U12" s="282"/>
      <c r="V12" s="283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s="280" t="str">
        <v>RgkAndelRabat</v>
      </c>
      <c r="F13" s="280" t="str">
        <v>Varmebehov</v>
      </c>
      <c r="G13" s="280" t="str">
        <v>DagrenRestau</v>
      </c>
      <c r="H13" s="280" t="str">
        <v>DagrenRestau</v>
      </c>
      <c r="K13" s="280" t="str">
        <v>KapE</v>
      </c>
      <c r="L13" s="280" t="str">
        <v>ResetFirst</v>
      </c>
      <c r="N13" s="280" t="str">
        <v>MinTonnage</v>
      </c>
      <c r="R13" t="s">
        <v>368</v>
      </c>
      <c r="S13" t="s">
        <v>246</v>
      </c>
      <c r="U13" s="282"/>
      <c r="V13" s="283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s="280" t="str">
        <v>Varmesalgspris</v>
      </c>
      <c r="F14" s="280" t="str">
        <v>NSprod</v>
      </c>
      <c r="G14" s="280" t="str">
        <v>Erhverv</v>
      </c>
      <c r="H14" s="280" t="str">
        <v>Erhverv</v>
      </c>
      <c r="K14" s="280" t="str">
        <v>EtaE</v>
      </c>
      <c r="L14" s="280" t="str">
        <v>ResetIntv</v>
      </c>
      <c r="N14" s="280" t="str">
        <v>MaxTonnage</v>
      </c>
      <c r="R14" t="s">
        <v>368</v>
      </c>
      <c r="U14" s="282"/>
      <c r="V14" s="283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C15" s="280" t="str">
        <v>EgetforbrugKVV</v>
      </c>
      <c r="F15" s="280" t="str">
        <v>ELprod</v>
      </c>
      <c r="G15" s="280" t="str">
        <v>DagrenErhverv</v>
      </c>
      <c r="H15" s="280" t="str">
        <v>DagrenErhverv</v>
      </c>
      <c r="K15" s="280" t="str">
        <v>EtaQ</v>
      </c>
      <c r="L15" s="280" t="str">
        <v>ResetLast</v>
      </c>
      <c r="N15" s="280" t="str">
        <v>InitSto1</v>
      </c>
      <c r="R15" t="s">
        <v>368</v>
      </c>
      <c r="U15" s="282"/>
      <c r="V15" s="283"/>
      <c r="X15">
        <f ca="1"/>
        <v>0</v>
      </c>
      <c r="Z15">
        <f ca="1"/>
        <v>0</v>
      </c>
    </row>
    <row r="16" spans="1:26" x14ac:dyDescent="0.25">
      <c r="F16" s="280" t="str">
        <v>Bypass</v>
      </c>
      <c r="G16" s="280" t="str">
        <v>HandelKontor</v>
      </c>
      <c r="H16" s="280" t="str">
        <v>HandelKontor</v>
      </c>
      <c r="K16" s="280" t="str">
        <v>DVMWhq</v>
      </c>
      <c r="N16" s="280" t="str">
        <v>InitSto2</v>
      </c>
      <c r="R16" t="s">
        <v>368</v>
      </c>
      <c r="U16" s="282"/>
      <c r="V16" s="283"/>
      <c r="Z16">
        <f ca="1"/>
        <v>0</v>
      </c>
    </row>
    <row r="17" spans="2:26" x14ac:dyDescent="0.25">
      <c r="F17" s="280" t="str">
        <v>Elpris</v>
      </c>
      <c r="G17" s="280" t="str">
        <v>Privat</v>
      </c>
      <c r="H17" s="280" t="str">
        <v>Privat</v>
      </c>
      <c r="K17" s="280" t="str">
        <v>DVtime</v>
      </c>
      <c r="N17" s="280" t="str">
        <v>Pris</v>
      </c>
      <c r="U17" s="282"/>
      <c r="V17" s="283"/>
      <c r="Z17">
        <f ca="1"/>
        <v>0</v>
      </c>
    </row>
    <row r="18" spans="2:26" x14ac:dyDescent="0.25">
      <c r="F18" s="280" t="str">
        <v>ETS</v>
      </c>
      <c r="G18" s="280" t="str">
        <v>TyskRest</v>
      </c>
      <c r="H18" s="280" t="str">
        <v>TyskRest</v>
      </c>
      <c r="N18" s="280" t="str">
        <v>LHV</v>
      </c>
      <c r="U18" s="282"/>
      <c r="V18" s="283"/>
      <c r="Z18">
        <f ca="1"/>
        <v>0</v>
      </c>
    </row>
    <row r="19" spans="2:26" x14ac:dyDescent="0.25">
      <c r="F19" s="280" t="str">
        <v>AFV</v>
      </c>
      <c r="G19" s="280" t="str">
        <v>PolskRest</v>
      </c>
      <c r="H19" s="280" t="str">
        <v>PolskRest</v>
      </c>
      <c r="N19" s="280" t="str">
        <v>NOxKgTon</v>
      </c>
      <c r="U19" s="282"/>
      <c r="V19" s="283"/>
      <c r="Z19">
        <f ca="1"/>
        <v>0</v>
      </c>
    </row>
    <row r="20" spans="2:26" x14ac:dyDescent="0.25">
      <c r="F20" s="280" t="str">
        <v>ATL</v>
      </c>
      <c r="G20" s="280" t="str">
        <v>PcbTrae</v>
      </c>
      <c r="H20" s="280" t="str">
        <v>PcbTrae</v>
      </c>
      <c r="N20" s="280" t="str">
        <v>CO2kgGJ</v>
      </c>
      <c r="U20" s="282"/>
      <c r="V20" s="283"/>
      <c r="Z20">
        <f ca="1"/>
        <v>0</v>
      </c>
    </row>
    <row r="21" spans="2:26" x14ac:dyDescent="0.25">
      <c r="F21" s="280" t="str">
        <v>CO2aff</v>
      </c>
      <c r="G21" s="280" t="str">
        <v>TraeRekv</v>
      </c>
      <c r="H21" s="280" t="str">
        <v>TraeRekv</v>
      </c>
      <c r="U21" s="282"/>
      <c r="V21" s="283"/>
      <c r="Z21">
        <f ca="1"/>
        <v>0</v>
      </c>
    </row>
    <row r="22" spans="2:26" x14ac:dyDescent="0.25">
      <c r="B22" s="280" t="s">
        <v>288</v>
      </c>
      <c r="F22" s="280" t="str">
        <v>ETSaff</v>
      </c>
      <c r="G22" s="280" t="str">
        <v>Halm</v>
      </c>
      <c r="H22" s="280" t="str">
        <v>Halm</v>
      </c>
      <c r="U22" s="282"/>
      <c r="V22" s="283"/>
      <c r="Z22">
        <f ca="1"/>
        <v>0</v>
      </c>
    </row>
    <row r="23" spans="2:26" x14ac:dyDescent="0.25">
      <c r="F23" s="280" t="str">
        <v>CO2afgAff</v>
      </c>
      <c r="G23" s="280" t="str">
        <v>Pulver</v>
      </c>
      <c r="H23" s="280" t="str">
        <v>Pulver</v>
      </c>
      <c r="U23" s="282"/>
      <c r="V23" s="283"/>
      <c r="Z23">
        <f ca="1"/>
        <v>0</v>
      </c>
    </row>
    <row r="24" spans="2:26" x14ac:dyDescent="0.25">
      <c r="F24" s="280" t="str">
        <v>NOxAff</v>
      </c>
      <c r="G24" s="280" t="str">
        <v>FlisAffald</v>
      </c>
      <c r="H24" s="280" t="str">
        <v>FlisAffald</v>
      </c>
      <c r="U24" s="282"/>
      <c r="V24" s="283"/>
      <c r="Z24">
        <f ca="1"/>
        <v>0</v>
      </c>
    </row>
    <row r="25" spans="2:26" x14ac:dyDescent="0.25">
      <c r="F25" s="280" t="str">
        <v>NOxFlis</v>
      </c>
      <c r="G25" s="280" t="str">
        <v>NyAff1</v>
      </c>
      <c r="H25" s="280" t="str">
        <v>NyAff1</v>
      </c>
      <c r="U25" s="282"/>
      <c r="V25" s="283"/>
    </row>
    <row r="26" spans="2:26" x14ac:dyDescent="0.25">
      <c r="F26" s="280" t="str">
        <v>EnrPeak</v>
      </c>
      <c r="G26" s="280" t="str">
        <v>NyAff2</v>
      </c>
      <c r="H26" s="280" t="str">
        <v>NyAff2</v>
      </c>
      <c r="U26" s="282"/>
      <c r="V26" s="283"/>
    </row>
    <row r="27" spans="2:26" x14ac:dyDescent="0.25">
      <c r="F27" s="280" t="str">
        <v>CO2peak</v>
      </c>
      <c r="G27" s="280" t="str">
        <v>NyAff3</v>
      </c>
      <c r="H27" s="280" t="str">
        <v>NyAff3</v>
      </c>
      <c r="U27" s="282"/>
      <c r="V27" s="283"/>
    </row>
    <row r="28" spans="2:26" x14ac:dyDescent="0.25">
      <c r="F28" s="280" t="str">
        <v>NOxPeak</v>
      </c>
      <c r="G28" s="280" t="str">
        <v>NyAff4</v>
      </c>
      <c r="H28" s="280" t="str">
        <v>NyAff4</v>
      </c>
      <c r="U28" s="282"/>
      <c r="V28" s="283"/>
    </row>
    <row r="29" spans="2:26" x14ac:dyDescent="0.25">
      <c r="G29" s="280" t="str">
        <v>NyAff5</v>
      </c>
      <c r="H29" s="280" t="str">
        <v>NyAff5</v>
      </c>
      <c r="U29" s="282"/>
      <c r="V29" s="283"/>
    </row>
    <row r="30" spans="2:26" x14ac:dyDescent="0.25">
      <c r="G30" s="280" t="str">
        <v>Flis</v>
      </c>
      <c r="H30" s="280" t="str">
        <v>Flis</v>
      </c>
      <c r="U30" s="282"/>
      <c r="V30" s="283"/>
    </row>
    <row r="31" spans="2:26" x14ac:dyDescent="0.25">
      <c r="G31" s="280" t="str">
        <v>NSvarme</v>
      </c>
      <c r="H31" s="280" t="str">
        <v>NSvarme</v>
      </c>
      <c r="U31" s="282"/>
      <c r="V31" s="283"/>
    </row>
    <row r="32" spans="2:26" x14ac:dyDescent="0.25">
      <c r="G32" s="280" t="str">
        <v>PeakFuel</v>
      </c>
      <c r="H32" s="280" t="str">
        <v>PeakFuel</v>
      </c>
      <c r="U32" s="282"/>
      <c r="V32" s="283"/>
    </row>
    <row r="33" spans="1:31" x14ac:dyDescent="0.25">
      <c r="U33" s="282"/>
      <c r="V33" s="283"/>
    </row>
    <row r="34" spans="1:31" x14ac:dyDescent="0.25">
      <c r="U34" s="282"/>
      <c r="V34" s="283"/>
    </row>
    <row r="35" spans="1:31" x14ac:dyDescent="0.25">
      <c r="U35" s="282"/>
      <c r="V35" s="283"/>
    </row>
    <row r="36" spans="1:31" x14ac:dyDescent="0.25">
      <c r="U36" s="282"/>
      <c r="V36" s="283"/>
    </row>
    <row r="37" spans="1:31" x14ac:dyDescent="0.25">
      <c r="U37" s="282"/>
      <c r="V37" s="283"/>
    </row>
    <row r="38" spans="1:31" x14ac:dyDescent="0.25">
      <c r="A38" t="s">
        <v>375</v>
      </c>
      <c r="B38" s="335" t="s">
        <v>373</v>
      </c>
      <c r="U38" s="282"/>
      <c r="V38" s="283"/>
    </row>
    <row r="39" spans="1:31" x14ac:dyDescent="0.25">
      <c r="A39" s="6">
        <f>COUNTA(_xlfn.ANCHORARRAY(C39))</f>
        <v>12</v>
      </c>
      <c r="B39" s="280" t="str">
        <f>B4</f>
        <v>Control</v>
      </c>
      <c r="C39" s="280" t="str" cm="1">
        <f t="array" ref="C39:N39">TRANSPOSE(_xlfn.ANCHORARRAY(C4))</f>
        <v>RunScenarios</v>
      </c>
      <c r="D39" s="280" t="str">
        <v>IncludeGSF</v>
      </c>
      <c r="E39" s="280" t="str">
        <v>VirtuelVarme</v>
      </c>
      <c r="F39" s="280" t="str">
        <v>VirtuelAffald</v>
      </c>
      <c r="G39" s="280" t="str">
        <v>Skorstensmetode</v>
      </c>
      <c r="H39" s="280" t="str">
        <v>FixAffald2021</v>
      </c>
      <c r="I39" s="280" t="str">
        <v>FixAffaldSum</v>
      </c>
      <c r="J39" s="280" t="str">
        <v>DeltaTonAktiv</v>
      </c>
      <c r="K39" s="280" t="str">
        <v>RgkRabatSats</v>
      </c>
      <c r="L39" s="280" t="str">
        <v>RgkAndelRabat</v>
      </c>
      <c r="M39" s="280" t="str">
        <v>Varmesalgspris</v>
      </c>
      <c r="N39" s="280" t="str">
        <v>EgetforbrugKVV</v>
      </c>
      <c r="U39" s="282"/>
      <c r="V39" s="283"/>
    </row>
    <row r="40" spans="1:31" x14ac:dyDescent="0.25">
      <c r="A40" s="6">
        <f t="shared" ref="A40:A44" si="0">COUNTA(_xlfn.ANCHORARRAY(C40))</f>
        <v>6</v>
      </c>
      <c r="B40" s="280" t="str">
        <f t="shared" ref="B40:B44" si="1">B5</f>
        <v>Plant</v>
      </c>
      <c r="C40" s="280" t="str" cm="1">
        <f t="array" ref="C40:H40">TRANSPOSE(_xlfn.ANCHORARRAY(D4))</f>
        <v>Ovn2</v>
      </c>
      <c r="D40" s="280" t="str">
        <v>Ovn3</v>
      </c>
      <c r="E40" s="280" t="str">
        <v>FlisK</v>
      </c>
      <c r="F40" s="280" t="str">
        <v>NS</v>
      </c>
      <c r="G40" s="280" t="str">
        <v>Cooler</v>
      </c>
      <c r="H40" s="280" t="str">
        <v>PeakK</v>
      </c>
      <c r="U40" s="282"/>
      <c r="V40" s="283"/>
    </row>
    <row r="41" spans="1:31" x14ac:dyDescent="0.25">
      <c r="A41" s="6">
        <f t="shared" si="0"/>
        <v>2</v>
      </c>
      <c r="B41" s="280" t="str">
        <f t="shared" si="1"/>
        <v>Storage</v>
      </c>
      <c r="C41" s="280" t="str" cm="1">
        <f t="array" ref="C41:D41">TRANSPOSE(_xlfn.ANCHORARRAY(E4))</f>
        <v>sto1</v>
      </c>
      <c r="D41" s="280" t="str">
        <v>sto2</v>
      </c>
      <c r="U41" s="280"/>
    </row>
    <row r="42" spans="1:31" x14ac:dyDescent="0.25">
      <c r="A42" s="6">
        <f t="shared" si="0"/>
        <v>25</v>
      </c>
      <c r="B42" s="280" t="str">
        <f t="shared" si="1"/>
        <v>Prognoses</v>
      </c>
      <c r="C42" s="280" t="str" cm="1">
        <f t="array" ref="C42:AA42">TRANSPOSE(_xlfn.ANCHORARRAY(F4))</f>
        <v>Aktiv</v>
      </c>
      <c r="D42" s="280" t="str">
        <v>Ndage</v>
      </c>
      <c r="E42" s="280" t="str">
        <v>Ovn2</v>
      </c>
      <c r="F42" s="280" t="str">
        <v>Ovn3</v>
      </c>
      <c r="G42" s="280" t="str">
        <v>FlisK</v>
      </c>
      <c r="H42" s="280" t="str">
        <v>NS</v>
      </c>
      <c r="I42" s="280" t="str">
        <v>Cooler</v>
      </c>
      <c r="J42" s="280" t="str">
        <v>PeakK</v>
      </c>
      <c r="K42" s="280" t="str">
        <v>Turbine</v>
      </c>
      <c r="L42" s="280" t="str">
        <v>Varmebehov</v>
      </c>
      <c r="M42" s="280" t="str">
        <v>NSprod</v>
      </c>
      <c r="N42" s="280" t="str">
        <v>ELprod</v>
      </c>
      <c r="O42" s="280" t="str">
        <v>Bypass</v>
      </c>
      <c r="P42" s="280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s="280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6">
        <f t="shared" si="0"/>
        <v>29</v>
      </c>
      <c r="B43" s="280" t="str">
        <f t="shared" si="1"/>
        <v>Fuel</v>
      </c>
      <c r="C43" s="280" t="str" cm="1">
        <f t="array" ref="C43:AE43">TRANSPOSE(_xlfn.ANCHORARRAY(G4))</f>
        <v>DepoSort</v>
      </c>
      <c r="D43" s="280" t="str">
        <v>DepoSmaat</v>
      </c>
      <c r="E43" s="280" t="str">
        <v>DepoNedd</v>
      </c>
      <c r="F43" s="280" t="str">
        <v>Dagren</v>
      </c>
      <c r="G43" s="280" t="str">
        <v>AndetBrand</v>
      </c>
      <c r="H43" s="280" t="str">
        <v>Trae</v>
      </c>
      <c r="I43" s="280" t="str">
        <v>DagrenRast</v>
      </c>
      <c r="J43" s="280" t="str">
        <v>DagrenInst</v>
      </c>
      <c r="K43" s="280" t="str">
        <v>DagrenHandel</v>
      </c>
      <c r="L43" s="280" t="str">
        <v>DagrenRestau</v>
      </c>
      <c r="M43" s="280" t="str">
        <v>Erhverv</v>
      </c>
      <c r="N43" s="280" t="str">
        <v>DagrenErhverv</v>
      </c>
      <c r="O43" s="280" t="str">
        <v>HandelKontor</v>
      </c>
      <c r="P43" s="280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s="280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6">
        <f t="shared" si="0"/>
        <v>29</v>
      </c>
      <c r="B44" s="280" t="str">
        <f t="shared" si="1"/>
        <v>FuelBounds</v>
      </c>
      <c r="C44" s="280" t="str" cm="1">
        <f t="array" ref="C44:AE44">TRANSPOSE(_xlfn.ANCHORARRAY(H4))</f>
        <v>DepoSort</v>
      </c>
      <c r="D44" s="280" t="str">
        <v>DepoSmaat</v>
      </c>
      <c r="E44" s="280" t="str">
        <v>DepoNedd</v>
      </c>
      <c r="F44" s="280" t="str">
        <v>Dagren</v>
      </c>
      <c r="G44" s="280" t="str">
        <v>AndetBrand</v>
      </c>
      <c r="H44" s="280" t="str">
        <v>Trae</v>
      </c>
      <c r="I44" s="280" t="str">
        <v>DagrenRast</v>
      </c>
      <c r="J44" s="280" t="str">
        <v>DagrenInst</v>
      </c>
      <c r="K44" s="280" t="str">
        <v>DagrenHandel</v>
      </c>
      <c r="L44" s="280" t="str">
        <v>DagrenRestau</v>
      </c>
      <c r="M44" s="280" t="str">
        <v>Erhverv</v>
      </c>
      <c r="N44" s="280" t="str">
        <v>DagrenErhverv</v>
      </c>
      <c r="O44" s="280" t="str">
        <v>HandelKontor</v>
      </c>
      <c r="P44" s="280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s="280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6"/>
      <c r="U45" s="280"/>
    </row>
    <row r="46" spans="1:31" x14ac:dyDescent="0.25">
      <c r="A46" s="6"/>
      <c r="U46" s="280"/>
    </row>
    <row r="47" spans="1:31" x14ac:dyDescent="0.25">
      <c r="A47" s="6"/>
      <c r="B47" s="335" t="s">
        <v>374</v>
      </c>
    </row>
    <row r="48" spans="1:31" x14ac:dyDescent="0.25">
      <c r="A48" s="6"/>
      <c r="B48" s="280" t="str">
        <f>B4</f>
        <v>Control</v>
      </c>
      <c r="C48" s="280" t="s">
        <v>370</v>
      </c>
    </row>
    <row r="49" spans="1:39" x14ac:dyDescent="0.25">
      <c r="A49" s="6">
        <f>COUNTA(_xlfn.ANCHORARRAY(C49))</f>
        <v>14</v>
      </c>
      <c r="B49" s="280" t="str">
        <f t="shared" ref="B49:B53" si="2">B5</f>
        <v>Plant</v>
      </c>
      <c r="C49" s="280" t="str" cm="1">
        <f t="array" ref="C49:P49">TRANSPOSE(_xlfn.ANCHORARRAY(K4))</f>
        <v>Aktiv</v>
      </c>
      <c r="D49" s="280" t="str">
        <v>Ukind</v>
      </c>
      <c r="E49" s="280" t="str">
        <v>Prioritet</v>
      </c>
      <c r="F49" s="280" t="str">
        <v>MinLhv</v>
      </c>
      <c r="G49" s="280" t="str">
        <v>MaxLhv</v>
      </c>
      <c r="H49" s="280" t="str">
        <v>MinTon</v>
      </c>
      <c r="I49" s="280" t="str">
        <v>MaxTon</v>
      </c>
      <c r="J49" s="280" t="str">
        <v>KapQNom</v>
      </c>
      <c r="K49" s="280" t="str">
        <v>KapRgk</v>
      </c>
      <c r="L49" s="280" t="str">
        <v>KapE</v>
      </c>
      <c r="M49" s="280" t="str">
        <v>EtaE</v>
      </c>
      <c r="N49" s="280" t="str">
        <v>EtaQ</v>
      </c>
      <c r="O49" s="280" t="str">
        <v>DVMWhq</v>
      </c>
      <c r="P49" s="280" t="str">
        <v>DVtime</v>
      </c>
    </row>
    <row r="50" spans="1:39" x14ac:dyDescent="0.25">
      <c r="A50" s="6">
        <f>COUNTA(_xlfn.ANCHORARRAY(C50))</f>
        <v>12</v>
      </c>
      <c r="B50" s="280" t="str">
        <f t="shared" si="2"/>
        <v>Storage</v>
      </c>
      <c r="C50" s="280" t="str" cm="1">
        <f t="array" ref="C50:N50">TRANSPOSE(_xlfn.ANCHORARRAY(L4))</f>
        <v>Aktiv</v>
      </c>
      <c r="D50" s="280" t="str">
        <v>StoKind</v>
      </c>
      <c r="E50" s="280" t="str">
        <v>LoadInit</v>
      </c>
      <c r="F50" s="280" t="str">
        <v>LoadMin</v>
      </c>
      <c r="G50" s="280" t="str">
        <v>LoadMax</v>
      </c>
      <c r="H50" s="280" t="str">
        <v>DLoadMax</v>
      </c>
      <c r="I50" s="280" t="str">
        <v>LossRate</v>
      </c>
      <c r="J50" s="280" t="str">
        <v>LoadCost</v>
      </c>
      <c r="K50" s="280" t="str">
        <v>DLoadCost</v>
      </c>
      <c r="L50" s="280" t="str">
        <v>ResetFirst</v>
      </c>
      <c r="M50" s="280" t="str">
        <v>ResetIntv</v>
      </c>
      <c r="N50" s="280" t="str">
        <v>ResetLast</v>
      </c>
    </row>
    <row r="51" spans="1:39" x14ac:dyDescent="0.25">
      <c r="A51" s="6">
        <f>COUNTA(_xlfn.ANCHORARRAY(C51))</f>
        <v>1</v>
      </c>
      <c r="B51" s="280" t="str">
        <f t="shared" si="2"/>
        <v>Prognoses</v>
      </c>
      <c r="C51" s="280" t="s">
        <v>370</v>
      </c>
    </row>
    <row r="52" spans="1:39" x14ac:dyDescent="0.25">
      <c r="A52" s="6">
        <f>COUNTA(_xlfn.ANCHORARRAY(C52))</f>
        <v>17</v>
      </c>
      <c r="B52" s="280" t="str">
        <f t="shared" si="2"/>
        <v>Fuel</v>
      </c>
      <c r="C52" s="280" t="str" cm="1">
        <f t="array" ref="C52:S52">TRANSPOSE(_xlfn.ANCHORARRAY(N4))</f>
        <v>Aktiv</v>
      </c>
      <c r="D52" s="280" t="str">
        <v>Fkind</v>
      </c>
      <c r="E52" s="280" t="str">
        <v>Lagerbar</v>
      </c>
      <c r="F52" s="280" t="str">
        <v>Fri</v>
      </c>
      <c r="G52" s="280" t="str">
        <v>Flex</v>
      </c>
      <c r="H52" s="280" t="str">
        <v>Bortskaf</v>
      </c>
      <c r="I52" s="280" t="str">
        <v>TilOvn2</v>
      </c>
      <c r="J52" s="280" t="str">
        <v>TilOvn3</v>
      </c>
      <c r="K52" s="280" t="str">
        <v>DeltaTon</v>
      </c>
      <c r="L52" s="280" t="str">
        <v>MinTonnage</v>
      </c>
      <c r="M52" s="280" t="str">
        <v>MaxTonnage</v>
      </c>
      <c r="N52" s="280" t="str">
        <v>InitSto1</v>
      </c>
      <c r="O52" s="280" t="str">
        <v>InitSto2</v>
      </c>
      <c r="P52" s="280" t="str">
        <v>Pris</v>
      </c>
      <c r="Q52" t="str">
        <v>LHV</v>
      </c>
      <c r="R52" t="str">
        <v>NOxKgTon</v>
      </c>
      <c r="S52" t="str">
        <v>CO2kgGJ</v>
      </c>
    </row>
    <row r="53" spans="1:39" x14ac:dyDescent="0.25">
      <c r="A53" s="6">
        <f>COUNTA(_xlfn.ANCHORARRAY(C53))</f>
        <v>7</v>
      </c>
      <c r="B53" s="280" t="str">
        <f t="shared" si="2"/>
        <v>FuelBounds</v>
      </c>
      <c r="C53" s="280" t="str" cm="1">
        <f t="array" ref="C53:I53">TRANSPOSE(O4:O10)</f>
        <v>TilOvn2</v>
      </c>
      <c r="D53" s="280" t="str">
        <v>TilOvn3</v>
      </c>
      <c r="E53" s="280" t="str">
        <v>MinTonnage</v>
      </c>
      <c r="F53" s="280" t="str">
        <v>MaxTonnage</v>
      </c>
      <c r="G53" s="280" t="str">
        <v>Pris</v>
      </c>
      <c r="H53" s="280" t="str">
        <v>LHV</v>
      </c>
      <c r="I53" s="280" t="str">
        <v>CO2kgGJ</v>
      </c>
    </row>
    <row r="54" spans="1:39" x14ac:dyDescent="0.25">
      <c r="A54" s="6"/>
    </row>
    <row r="56" spans="1:39" x14ac:dyDescent="0.25">
      <c r="A56" t="s">
        <v>376</v>
      </c>
      <c r="B56" s="280">
        <v>5</v>
      </c>
    </row>
    <row r="57" spans="1:39" x14ac:dyDescent="0.25">
      <c r="B57" s="280">
        <f ca="1">OFFSET(OfzNiveau2,B56+1,COLUMNS(arrNiv2))</f>
        <v>0</v>
      </c>
    </row>
    <row r="59" spans="1:39" x14ac:dyDescent="0.25">
      <c r="B59" s="280" t="str" cm="1">
        <f t="array" aca="1" ref="B59:AM59" ca="1">OFFSET(OfzNiveau2,B56+1,1,1,COLUMNS(arrNiv2))</f>
        <v>DepoSort</v>
      </c>
      <c r="C59" s="280" t="str">
        <f ca="1"/>
        <v>DepoSmaat</v>
      </c>
      <c r="D59" s="280" t="str">
        <f ca="1"/>
        <v>DepoNedd</v>
      </c>
      <c r="E59" s="280" t="str">
        <f ca="1"/>
        <v>Dagren</v>
      </c>
      <c r="F59" s="280" t="str">
        <f ca="1"/>
        <v>AndetBrand</v>
      </c>
      <c r="G59" s="280" t="str">
        <f ca="1"/>
        <v>Trae</v>
      </c>
      <c r="H59" s="280" t="str">
        <f ca="1"/>
        <v>DagrenRast</v>
      </c>
      <c r="I59" s="280" t="str">
        <f ca="1"/>
        <v>DagrenInst</v>
      </c>
      <c r="J59" s="280" t="str">
        <f ca="1"/>
        <v>DagrenHandel</v>
      </c>
      <c r="K59" s="280" t="str">
        <f ca="1"/>
        <v>DagrenRestau</v>
      </c>
      <c r="L59" s="280" t="str">
        <f ca="1"/>
        <v>Erhverv</v>
      </c>
      <c r="M59" s="280" t="str">
        <f ca="1"/>
        <v>DagrenErhverv</v>
      </c>
      <c r="N59" s="280" t="str">
        <f ca="1"/>
        <v>HandelKontor</v>
      </c>
      <c r="O59" s="280" t="str">
        <f ca="1"/>
        <v>Privat</v>
      </c>
      <c r="P59" s="280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phoneticPr fontId="16" type="noConversion"/>
  <dataValidations disablePrompts="1"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 codeName="Sheet10"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138</v>
      </c>
      <c r="C1" s="42">
        <v>44521.465421678244</v>
      </c>
      <c r="D1" s="43"/>
      <c r="E1" s="43"/>
    </row>
    <row r="3" spans="1:17" x14ac:dyDescent="0.25">
      <c r="A3" s="25" t="s">
        <v>139</v>
      </c>
    </row>
    <row r="4" spans="1:17" x14ac:dyDescent="0.25">
      <c r="A4" s="44">
        <v>-57700178.241019867</v>
      </c>
      <c r="B4" t="s">
        <v>117</v>
      </c>
    </row>
    <row r="6" spans="1:17" ht="18.75" x14ac:dyDescent="0.3">
      <c r="A6" s="109" t="s">
        <v>195</v>
      </c>
      <c r="B6" s="110" t="s">
        <v>67</v>
      </c>
      <c r="C6" s="109"/>
      <c r="D6" s="109" t="s">
        <v>1</v>
      </c>
      <c r="E6" s="109" t="s">
        <v>2</v>
      </c>
      <c r="F6" s="110" t="s">
        <v>3</v>
      </c>
      <c r="G6" s="112" t="s">
        <v>4</v>
      </c>
      <c r="H6" s="112" t="s">
        <v>5</v>
      </c>
      <c r="I6" s="112" t="s">
        <v>6</v>
      </c>
      <c r="J6" s="112" t="s">
        <v>7</v>
      </c>
      <c r="K6" s="112" t="s">
        <v>8</v>
      </c>
      <c r="L6" s="112" t="s">
        <v>9</v>
      </c>
      <c r="M6" s="112" t="s">
        <v>10</v>
      </c>
      <c r="N6" s="112" t="s">
        <v>11</v>
      </c>
      <c r="O6" s="112" t="s">
        <v>12</v>
      </c>
      <c r="P6" s="47"/>
    </row>
    <row r="7" spans="1:17" outlineLevel="1" x14ac:dyDescent="0.25">
      <c r="A7" s="48">
        <f>(SUM(A9:A10)-A8)/A12</f>
        <v>240.41740933758268</v>
      </c>
      <c r="B7" s="48" t="s">
        <v>56</v>
      </c>
      <c r="C7" s="49" t="s">
        <v>118</v>
      </c>
      <c r="D7" s="50">
        <v>248.69814944957898</v>
      </c>
      <c r="E7" s="50">
        <v>256.23001215146189</v>
      </c>
      <c r="F7" s="50">
        <v>209.69936718896827</v>
      </c>
      <c r="G7" s="50">
        <v>143.97630596505891</v>
      </c>
      <c r="H7" s="50">
        <v>-1481.314428784332</v>
      </c>
      <c r="I7" s="50">
        <v>-80.563878856965232</v>
      </c>
      <c r="J7" s="50">
        <v>-100.41242987829122</v>
      </c>
      <c r="K7" s="50">
        <v>-93.520487743528903</v>
      </c>
      <c r="L7" s="50">
        <v>-103.26597469171678</v>
      </c>
      <c r="M7" s="50">
        <v>194.46744737997128</v>
      </c>
      <c r="N7" s="50">
        <v>242.67725284515367</v>
      </c>
      <c r="O7" s="50">
        <v>283.78796503322184</v>
      </c>
    </row>
    <row r="8" spans="1:17" outlineLevel="1" x14ac:dyDescent="0.25">
      <c r="A8" s="44">
        <f t="shared" ref="A8:A57" si="0">SUM(D8:O8)</f>
        <v>52891062.777246669</v>
      </c>
      <c r="B8" s="44" t="s">
        <v>117</v>
      </c>
      <c r="C8" s="49" t="s">
        <v>119</v>
      </c>
      <c r="D8" s="44">
        <v>5323841.9465547586</v>
      </c>
      <c r="E8" s="44">
        <v>4757254.2545277048</v>
      </c>
      <c r="F8" s="44">
        <v>5323892.2235661708</v>
      </c>
      <c r="G8" s="44">
        <v>4936272.1632842282</v>
      </c>
      <c r="H8" s="44">
        <v>3902557.8026688457</v>
      </c>
      <c r="I8" s="44">
        <v>3769347.2004480772</v>
      </c>
      <c r="J8" s="44">
        <v>3614540.3333312459</v>
      </c>
      <c r="K8" s="44">
        <v>3614540.3333312464</v>
      </c>
      <c r="L8" s="44">
        <v>3769347.2004480772</v>
      </c>
      <c r="M8" s="44">
        <v>4255623.5108062718</v>
      </c>
      <c r="N8" s="44">
        <v>5132620.1014971845</v>
      </c>
      <c r="O8" s="44">
        <v>4491225.7067828588</v>
      </c>
      <c r="Q8" s="51"/>
    </row>
    <row r="9" spans="1:17" outlineLevel="1" x14ac:dyDescent="0.25">
      <c r="A9" s="44">
        <f t="shared" si="0"/>
        <v>11784734.032626823</v>
      </c>
      <c r="B9" s="44" t="s">
        <v>117</v>
      </c>
      <c r="C9" s="49" t="s">
        <v>120</v>
      </c>
      <c r="D9" s="44">
        <v>1036199.653513659</v>
      </c>
      <c r="E9" s="44">
        <v>1112695.0265424303</v>
      </c>
      <c r="F9" s="44">
        <v>1163618.2238234447</v>
      </c>
      <c r="G9" s="44">
        <v>847880</v>
      </c>
      <c r="H9" s="44">
        <v>826067.99999999977</v>
      </c>
      <c r="I9" s="44">
        <v>959770.79343254189</v>
      </c>
      <c r="J9" s="44">
        <v>839896.34888055758</v>
      </c>
      <c r="K9" s="44">
        <v>854896.34888055758</v>
      </c>
      <c r="L9" s="44">
        <v>944770.79343254189</v>
      </c>
      <c r="M9" s="44">
        <v>837476</v>
      </c>
      <c r="N9" s="44">
        <v>1095311.291627646</v>
      </c>
      <c r="O9" s="44">
        <v>1266151.5524934444</v>
      </c>
    </row>
    <row r="10" spans="1:17" outlineLevel="1" x14ac:dyDescent="0.25">
      <c r="A10" s="44">
        <f t="shared" si="0"/>
        <v>98806506.985639691</v>
      </c>
      <c r="B10" s="44" t="s">
        <v>117</v>
      </c>
      <c r="C10" s="49" t="s">
        <v>121</v>
      </c>
      <c r="D10" s="44">
        <v>13066686.968611237</v>
      </c>
      <c r="E10" s="44">
        <v>11843919.616832055</v>
      </c>
      <c r="F10" s="44">
        <v>10346405.33181729</v>
      </c>
      <c r="G10" s="44">
        <v>6967918.2825854067</v>
      </c>
      <c r="H10" s="44">
        <v>5539026.9090799065</v>
      </c>
      <c r="I10" s="44">
        <v>5017714.6767668258</v>
      </c>
      <c r="J10" s="44">
        <v>5006123.5287068645</v>
      </c>
      <c r="K10" s="44">
        <v>5071764.1491979938</v>
      </c>
      <c r="L10" s="44">
        <v>5396781.0343534015</v>
      </c>
      <c r="M10" s="44">
        <v>7249156.2241917057</v>
      </c>
      <c r="N10" s="44">
        <v>10710933.263111265</v>
      </c>
      <c r="O10" s="44">
        <v>12590077.000385735</v>
      </c>
    </row>
    <row r="11" spans="1:17" outlineLevel="1" x14ac:dyDescent="0.25">
      <c r="A11" s="28">
        <f t="shared" si="0"/>
        <v>44527.120283982847</v>
      </c>
      <c r="B11" s="28" t="s">
        <v>66</v>
      </c>
      <c r="C11" s="49" t="s">
        <v>122</v>
      </c>
      <c r="D11" s="52">
        <v>5923.8334170674761</v>
      </c>
      <c r="E11" s="52">
        <v>4239.6534316444831</v>
      </c>
      <c r="F11" s="52">
        <v>4180.824954264167</v>
      </c>
      <c r="G11" s="52">
        <v>3805.528553846153</v>
      </c>
      <c r="H11" s="52">
        <v>3170.035042461539</v>
      </c>
      <c r="I11" s="52">
        <v>3088.1946502759765</v>
      </c>
      <c r="J11" s="52">
        <v>3088.1946502759752</v>
      </c>
      <c r="K11" s="52">
        <v>3088.1946502759756</v>
      </c>
      <c r="L11" s="52">
        <v>3088.1946502759761</v>
      </c>
      <c r="M11" s="52">
        <v>3375.6181628458489</v>
      </c>
      <c r="N11" s="52">
        <v>4003.5481646284152</v>
      </c>
      <c r="O11" s="52">
        <v>3475.2999561208535</v>
      </c>
    </row>
    <row r="12" spans="1:17" outlineLevel="1" x14ac:dyDescent="0.25">
      <c r="A12" s="28">
        <f t="shared" si="0"/>
        <v>240000</v>
      </c>
      <c r="B12" s="28" t="s">
        <v>60</v>
      </c>
      <c r="C12" s="49" t="s">
        <v>123</v>
      </c>
      <c r="D12" s="52">
        <v>35300</v>
      </c>
      <c r="E12" s="52">
        <v>32000</v>
      </c>
      <c r="F12" s="52">
        <v>29500</v>
      </c>
      <c r="G12" s="52">
        <v>20000</v>
      </c>
      <c r="H12" s="52">
        <v>13000</v>
      </c>
      <c r="I12" s="52">
        <v>7500</v>
      </c>
      <c r="J12" s="52">
        <v>7500</v>
      </c>
      <c r="K12" s="52">
        <v>7000</v>
      </c>
      <c r="L12" s="52">
        <v>8000</v>
      </c>
      <c r="M12" s="52">
        <v>19700</v>
      </c>
      <c r="N12" s="52">
        <v>27500</v>
      </c>
      <c r="O12" s="52">
        <v>33000</v>
      </c>
    </row>
    <row r="13" spans="1:17" outlineLevel="1" x14ac:dyDescent="0.25">
      <c r="A13" s="52">
        <f>AVERAGE(D13:O13)</f>
        <v>22998.453343440819</v>
      </c>
      <c r="B13" s="28" t="s">
        <v>60</v>
      </c>
      <c r="C13" s="49" t="s">
        <v>124</v>
      </c>
      <c r="D13" s="52">
        <v>35300</v>
      </c>
      <c r="E13" s="52">
        <v>32000</v>
      </c>
      <c r="F13" s="52">
        <v>29500</v>
      </c>
      <c r="G13" s="52">
        <v>20000</v>
      </c>
      <c r="H13" s="52">
        <v>16665.599999999999</v>
      </c>
      <c r="I13" s="52">
        <v>16227.134917906773</v>
      </c>
      <c r="J13" s="52">
        <v>14930.785142738123</v>
      </c>
      <c r="K13" s="52">
        <v>14930.785142738123</v>
      </c>
      <c r="L13" s="52">
        <v>16227.134917906773</v>
      </c>
      <c r="M13" s="52">
        <v>19700</v>
      </c>
      <c r="N13" s="52">
        <v>27500</v>
      </c>
      <c r="O13" s="52">
        <v>33000</v>
      </c>
    </row>
    <row r="14" spans="1:17" outlineLevel="1" x14ac:dyDescent="0.25">
      <c r="A14" s="52">
        <f>AVERAGE(D14:O14)</f>
        <v>2628.8211545461631</v>
      </c>
      <c r="B14" s="28" t="s">
        <v>60</v>
      </c>
      <c r="C14" s="49" t="s">
        <v>125</v>
      </c>
      <c r="D14" s="52">
        <v>4389.4583343832583</v>
      </c>
      <c r="E14" s="52">
        <v>3967.9672043794671</v>
      </c>
      <c r="F14" s="52">
        <v>4389.4415059367557</v>
      </c>
      <c r="G14" s="52">
        <v>1803.2000000000003</v>
      </c>
      <c r="H14" s="52">
        <v>1583.232</v>
      </c>
      <c r="I14" s="52">
        <v>1539.0994442534738</v>
      </c>
      <c r="J14" s="52">
        <v>1E-14</v>
      </c>
      <c r="K14" s="52">
        <v>1E-14</v>
      </c>
      <c r="L14" s="52">
        <v>1539.0994442534738</v>
      </c>
      <c r="M14" s="52">
        <v>3542.7067193675903</v>
      </c>
      <c r="N14" s="52">
        <v>4204.3069964652113</v>
      </c>
      <c r="O14" s="52">
        <v>4587.3422055147348</v>
      </c>
    </row>
    <row r="15" spans="1:17" outlineLevel="1" x14ac:dyDescent="0.25">
      <c r="A15" s="28"/>
      <c r="B15" s="28"/>
      <c r="C15" s="49" t="s">
        <v>126</v>
      </c>
      <c r="D15" s="53">
        <v>0.17987223138450009</v>
      </c>
      <c r="E15" s="53">
        <v>0.17988446638748851</v>
      </c>
      <c r="F15" s="53">
        <v>0.17987222400387193</v>
      </c>
      <c r="G15" s="53">
        <v>9.0160000000000018E-2</v>
      </c>
      <c r="H15" s="53">
        <v>9.5000000000000001E-2</v>
      </c>
      <c r="I15" s="53">
        <v>9.4847269837823642E-2</v>
      </c>
      <c r="J15" s="53">
        <v>1E-14</v>
      </c>
      <c r="K15" s="53">
        <v>1E-14</v>
      </c>
      <c r="L15" s="53">
        <v>9.4847269837823642E-2</v>
      </c>
      <c r="M15" s="53">
        <v>0.17983282839429393</v>
      </c>
      <c r="N15" s="53">
        <v>0.17988272947856143</v>
      </c>
      <c r="O15" s="53">
        <v>0.17999259156624522</v>
      </c>
    </row>
    <row r="16" spans="1:17" outlineLevel="1" x14ac:dyDescent="0.25">
      <c r="A16" s="44">
        <f t="shared" si="0"/>
        <v>1989503.7772717127</v>
      </c>
      <c r="B16" s="44" t="s">
        <v>117</v>
      </c>
      <c r="C16" s="49" t="s">
        <v>127</v>
      </c>
      <c r="D16" s="44">
        <v>232806.54377663299</v>
      </c>
      <c r="E16" s="44">
        <v>210437.33174958016</v>
      </c>
      <c r="F16" s="44">
        <v>232805.660788045</v>
      </c>
      <c r="G16" s="44">
        <v>190800</v>
      </c>
      <c r="H16" s="44">
        <v>158989.82400000002</v>
      </c>
      <c r="I16" s="44">
        <v>154806.86711683063</v>
      </c>
      <c r="J16" s="44">
        <v>1E-14</v>
      </c>
      <c r="K16" s="44">
        <v>1E-14</v>
      </c>
      <c r="L16" s="44">
        <v>154806.86711683063</v>
      </c>
      <c r="M16" s="44">
        <v>187938.00000000003</v>
      </c>
      <c r="N16" s="44">
        <v>222973.53871905949</v>
      </c>
      <c r="O16" s="44">
        <v>243139.14400473406</v>
      </c>
    </row>
    <row r="17" spans="1:16" outlineLevel="1" x14ac:dyDescent="0.25">
      <c r="A17" s="28">
        <f t="shared" si="0"/>
        <v>35981.440121289794</v>
      </c>
      <c r="B17" s="28" t="s">
        <v>60</v>
      </c>
      <c r="C17" s="49" t="s">
        <v>128</v>
      </c>
      <c r="D17" s="28">
        <v>1E-14</v>
      </c>
      <c r="E17" s="28">
        <v>1E-14</v>
      </c>
      <c r="F17" s="28">
        <v>1E-14</v>
      </c>
      <c r="G17" s="28">
        <v>1E-14</v>
      </c>
      <c r="H17" s="28">
        <v>3665.5999999999976</v>
      </c>
      <c r="I17" s="28">
        <v>8727.1349179067729</v>
      </c>
      <c r="J17" s="28">
        <v>7430.7851427381229</v>
      </c>
      <c r="K17" s="28">
        <v>7930.7851427381229</v>
      </c>
      <c r="L17" s="28">
        <v>8227.1349179067729</v>
      </c>
      <c r="M17" s="28">
        <v>1E-14</v>
      </c>
      <c r="N17" s="28">
        <v>1E-14</v>
      </c>
      <c r="O17" s="28">
        <v>1E-14</v>
      </c>
    </row>
    <row r="18" spans="1:16" outlineLevel="1" x14ac:dyDescent="0.25"/>
    <row r="19" spans="1:16" x14ac:dyDescent="0.25">
      <c r="A19" s="54" t="s">
        <v>190</v>
      </c>
      <c r="B19" s="45" t="s">
        <v>67</v>
      </c>
      <c r="C19" s="46" t="s">
        <v>196</v>
      </c>
      <c r="D19" s="55" t="s">
        <v>1</v>
      </c>
      <c r="E19" s="55" t="s">
        <v>2</v>
      </c>
      <c r="F19" s="55" t="s">
        <v>3</v>
      </c>
      <c r="G19" s="55" t="s">
        <v>4</v>
      </c>
      <c r="H19" s="55" t="s">
        <v>5</v>
      </c>
      <c r="I19" s="55" t="s">
        <v>6</v>
      </c>
      <c r="J19" s="55" t="s">
        <v>7</v>
      </c>
      <c r="K19" s="55" t="s">
        <v>8</v>
      </c>
      <c r="L19" s="55" t="s">
        <v>9</v>
      </c>
      <c r="M19" s="55" t="s">
        <v>10</v>
      </c>
      <c r="N19" s="55" t="s">
        <v>11</v>
      </c>
      <c r="O19" s="55" t="s">
        <v>12</v>
      </c>
      <c r="P19" s="47"/>
    </row>
    <row r="20" spans="1:16" x14ac:dyDescent="0.25">
      <c r="A20" s="56">
        <f t="shared" si="0"/>
        <v>57424.012416524813</v>
      </c>
      <c r="B20" s="28" t="s">
        <v>60</v>
      </c>
      <c r="C20" s="49" t="s">
        <v>129</v>
      </c>
      <c r="D20" s="56">
        <v>6007.1587364254392</v>
      </c>
      <c r="E20" s="56">
        <v>5395.8205789473677</v>
      </c>
      <c r="F20" s="56">
        <v>6007.1587364254392</v>
      </c>
      <c r="G20" s="56">
        <v>4788</v>
      </c>
      <c r="H20" s="56">
        <v>4947.5999999999995</v>
      </c>
      <c r="I20" s="56">
        <v>4887.1349179067756</v>
      </c>
      <c r="J20" s="56">
        <v>1974.1388888888891</v>
      </c>
      <c r="K20" s="56">
        <v>1974.1388888888891</v>
      </c>
      <c r="L20" s="56">
        <v>4887.1349179067756</v>
      </c>
      <c r="M20" s="56">
        <v>4947.5999999999995</v>
      </c>
      <c r="N20" s="56">
        <v>5722.3966597678354</v>
      </c>
      <c r="O20" s="56">
        <v>5885.7300913673971</v>
      </c>
    </row>
    <row r="21" spans="1:16" x14ac:dyDescent="0.25">
      <c r="A21" s="56">
        <f t="shared" si="0"/>
        <v>180980.9307485859</v>
      </c>
      <c r="B21" s="28" t="s">
        <v>60</v>
      </c>
      <c r="C21" s="49" t="s">
        <v>130</v>
      </c>
      <c r="D21" s="56">
        <v>18396.042917309675</v>
      </c>
      <c r="E21" s="56">
        <v>16662.599939876545</v>
      </c>
      <c r="F21" s="56">
        <v>18395.950360853909</v>
      </c>
      <c r="G21" s="56">
        <v>15212</v>
      </c>
      <c r="H21" s="56">
        <v>11717.999999999998</v>
      </c>
      <c r="I21" s="56">
        <v>11339.999999999998</v>
      </c>
      <c r="J21" s="56">
        <v>12956.646253849234</v>
      </c>
      <c r="K21" s="56">
        <v>12956.646253849234</v>
      </c>
      <c r="L21" s="56">
        <v>11339.999999999998</v>
      </c>
      <c r="M21" s="56">
        <v>14752.400000000001</v>
      </c>
      <c r="N21" s="56">
        <v>17650.091675563344</v>
      </c>
      <c r="O21" s="56">
        <v>19600.553347283967</v>
      </c>
    </row>
    <row r="22" spans="1:16" x14ac:dyDescent="0.25">
      <c r="A22" s="56">
        <f t="shared" si="0"/>
        <v>23794.119128738108</v>
      </c>
      <c r="B22" s="28" t="s">
        <v>60</v>
      </c>
      <c r="C22" s="49" t="s">
        <v>131</v>
      </c>
      <c r="D22" s="56">
        <v>1E-14</v>
      </c>
      <c r="E22" s="56">
        <v>7056</v>
      </c>
      <c r="F22" s="56">
        <v>5096.8909027206537</v>
      </c>
      <c r="G22" s="56">
        <v>1E-14</v>
      </c>
      <c r="H22" s="56">
        <v>1E-14</v>
      </c>
      <c r="I22" s="56">
        <v>1E-14</v>
      </c>
      <c r="J22" s="56">
        <v>1E-14</v>
      </c>
      <c r="K22" s="56">
        <v>1E-14</v>
      </c>
      <c r="L22" s="56">
        <v>1E-14</v>
      </c>
      <c r="M22" s="56">
        <v>1E-14</v>
      </c>
      <c r="N22" s="56">
        <v>4127.5116646688184</v>
      </c>
      <c r="O22" s="56">
        <v>7513.7165613486359</v>
      </c>
    </row>
    <row r="23" spans="1:16" x14ac:dyDescent="0.25">
      <c r="A23" s="56">
        <f t="shared" si="0"/>
        <v>13782.377827440974</v>
      </c>
      <c r="B23" s="28" t="s">
        <v>60</v>
      </c>
      <c r="C23" s="49" t="s">
        <v>132</v>
      </c>
      <c r="D23" s="56">
        <v>10896.798346264888</v>
      </c>
      <c r="E23" s="56">
        <v>2885.5794811760861</v>
      </c>
      <c r="F23" s="56">
        <v>1E-14</v>
      </c>
      <c r="G23" s="56">
        <v>1E-14</v>
      </c>
      <c r="H23" s="56">
        <v>1E-14</v>
      </c>
      <c r="I23" s="56">
        <v>1E-14</v>
      </c>
      <c r="J23" s="56">
        <v>1E-14</v>
      </c>
      <c r="K23" s="56">
        <v>1E-14</v>
      </c>
      <c r="L23" s="56">
        <v>1E-14</v>
      </c>
      <c r="M23" s="56">
        <v>1E-14</v>
      </c>
      <c r="N23" s="56">
        <v>1E-14</v>
      </c>
      <c r="O23" s="56">
        <v>1E-14</v>
      </c>
    </row>
    <row r="24" spans="1:16" x14ac:dyDescent="0.25">
      <c r="A24" s="56">
        <f t="shared" si="0"/>
        <v>1.1999999999999997E-13</v>
      </c>
      <c r="B24" s="28" t="s">
        <v>60</v>
      </c>
      <c r="C24" s="49" t="s">
        <v>133</v>
      </c>
      <c r="D24" s="56">
        <v>1E-14</v>
      </c>
      <c r="E24" s="56">
        <v>1E-14</v>
      </c>
      <c r="F24" s="56">
        <v>1E-14</v>
      </c>
      <c r="G24" s="56">
        <v>1E-14</v>
      </c>
      <c r="H24" s="56">
        <v>1E-14</v>
      </c>
      <c r="I24" s="56">
        <v>1E-14</v>
      </c>
      <c r="J24" s="56">
        <v>1E-14</v>
      </c>
      <c r="K24" s="56">
        <v>1E-14</v>
      </c>
      <c r="L24" s="56">
        <v>1E-14</v>
      </c>
      <c r="M24" s="56">
        <v>1E-14</v>
      </c>
      <c r="N24" s="56">
        <v>1E-14</v>
      </c>
      <c r="O24" s="56">
        <v>1E-14</v>
      </c>
    </row>
    <row r="25" spans="1:16" x14ac:dyDescent="0.25">
      <c r="A25" s="56">
        <f t="shared" si="0"/>
        <v>-35981.440121289794</v>
      </c>
      <c r="B25" s="28" t="s">
        <v>60</v>
      </c>
      <c r="C25" s="49" t="s">
        <v>134</v>
      </c>
      <c r="D25" s="56">
        <v>-1E-14</v>
      </c>
      <c r="E25" s="56">
        <v>-1E-14</v>
      </c>
      <c r="F25" s="56">
        <v>-1E-14</v>
      </c>
      <c r="G25" s="56">
        <v>-1E-14</v>
      </c>
      <c r="H25" s="56">
        <v>-3665.5999999999976</v>
      </c>
      <c r="I25" s="56">
        <v>-8727.1349179067729</v>
      </c>
      <c r="J25" s="56">
        <v>-7430.7851427381229</v>
      </c>
      <c r="K25" s="56">
        <v>-7930.7851427381229</v>
      </c>
      <c r="L25" s="56">
        <v>-8227.1349179067729</v>
      </c>
      <c r="M25" s="56">
        <v>-1E-14</v>
      </c>
      <c r="N25" s="56">
        <v>-1E-14</v>
      </c>
      <c r="O25" s="56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5" t="s">
        <v>197</v>
      </c>
      <c r="B27" s="45" t="s">
        <v>67</v>
      </c>
      <c r="C27" s="46"/>
      <c r="D27" s="55" t="s">
        <v>1</v>
      </c>
      <c r="E27" s="55" t="s">
        <v>2</v>
      </c>
      <c r="F27" s="55" t="s">
        <v>3</v>
      </c>
      <c r="G27" s="55" t="s">
        <v>4</v>
      </c>
      <c r="H27" s="55" t="s">
        <v>5</v>
      </c>
      <c r="I27" s="55" t="s">
        <v>6</v>
      </c>
      <c r="J27" s="55" t="s">
        <v>7</v>
      </c>
      <c r="K27" s="55" t="s">
        <v>8</v>
      </c>
      <c r="L27" s="55" t="s">
        <v>9</v>
      </c>
      <c r="M27" s="55" t="s">
        <v>10</v>
      </c>
      <c r="N27" s="55" t="s">
        <v>11</v>
      </c>
      <c r="O27" s="55" t="s">
        <v>12</v>
      </c>
    </row>
    <row r="28" spans="1:16" x14ac:dyDescent="0.25">
      <c r="A28" s="57">
        <f t="shared" si="0"/>
        <v>9093</v>
      </c>
      <c r="B28" s="58" t="s">
        <v>66</v>
      </c>
      <c r="C28" s="59" t="s">
        <v>14</v>
      </c>
      <c r="D28" s="57">
        <v>2811.7131287083421</v>
      </c>
      <c r="E28" s="57">
        <v>1777.5390037083337</v>
      </c>
      <c r="F28" s="57">
        <v>2812.1621287083417</v>
      </c>
      <c r="G28" s="57">
        <v>1E-14</v>
      </c>
      <c r="H28" s="57">
        <v>1E-14</v>
      </c>
      <c r="I28" s="57">
        <v>1E-14</v>
      </c>
      <c r="J28" s="57">
        <v>1E-14</v>
      </c>
      <c r="K28" s="57">
        <v>1E-14</v>
      </c>
      <c r="L28" s="57">
        <v>1E-14</v>
      </c>
      <c r="M28" s="57">
        <v>1E-14</v>
      </c>
      <c r="N28" s="57">
        <v>1691.5857388749826</v>
      </c>
      <c r="O28" s="57">
        <v>1E-14</v>
      </c>
    </row>
    <row r="29" spans="1:16" x14ac:dyDescent="0.25">
      <c r="A29" s="57">
        <f t="shared" si="0"/>
        <v>1.1999999999999997E-13</v>
      </c>
      <c r="B29" s="58" t="s">
        <v>66</v>
      </c>
      <c r="C29" s="59" t="s">
        <v>16</v>
      </c>
      <c r="D29" s="57">
        <v>1E-14</v>
      </c>
      <c r="E29" s="57">
        <v>1E-14</v>
      </c>
      <c r="F29" s="57">
        <v>1E-14</v>
      </c>
      <c r="G29" s="57">
        <v>1E-14</v>
      </c>
      <c r="H29" s="57">
        <v>1E-14</v>
      </c>
      <c r="I29" s="57">
        <v>1E-14</v>
      </c>
      <c r="J29" s="57">
        <v>1E-14</v>
      </c>
      <c r="K29" s="57">
        <v>1E-14</v>
      </c>
      <c r="L29" s="57">
        <v>1E-14</v>
      </c>
      <c r="M29" s="57">
        <v>1E-14</v>
      </c>
      <c r="N29" s="57">
        <v>1E-14</v>
      </c>
      <c r="O29" s="57">
        <v>1E-14</v>
      </c>
    </row>
    <row r="30" spans="1:16" x14ac:dyDescent="0.25">
      <c r="A30" s="57">
        <f t="shared" si="0"/>
        <v>1.1999999999999997E-13</v>
      </c>
      <c r="B30" s="58" t="s">
        <v>66</v>
      </c>
      <c r="C30" s="59" t="s">
        <v>18</v>
      </c>
      <c r="D30" s="57">
        <v>1E-14</v>
      </c>
      <c r="E30" s="57">
        <v>1E-14</v>
      </c>
      <c r="F30" s="57">
        <v>1E-14</v>
      </c>
      <c r="G30" s="57">
        <v>1E-14</v>
      </c>
      <c r="H30" s="57">
        <v>1E-14</v>
      </c>
      <c r="I30" s="57">
        <v>1E-14</v>
      </c>
      <c r="J30" s="57">
        <v>1E-14</v>
      </c>
      <c r="K30" s="57">
        <v>1E-14</v>
      </c>
      <c r="L30" s="57">
        <v>1E-14</v>
      </c>
      <c r="M30" s="57">
        <v>1E-14</v>
      </c>
      <c r="N30" s="57">
        <v>1E-14</v>
      </c>
      <c r="O30" s="57">
        <v>1E-14</v>
      </c>
    </row>
    <row r="31" spans="1:16" x14ac:dyDescent="0.25">
      <c r="A31" s="57">
        <f t="shared" si="0"/>
        <v>28869</v>
      </c>
      <c r="B31" s="58" t="s">
        <v>66</v>
      </c>
      <c r="C31" s="59" t="s">
        <v>20</v>
      </c>
      <c r="D31" s="57">
        <v>2405.9905749999998</v>
      </c>
      <c r="E31" s="57">
        <v>2404.7877000000008</v>
      </c>
      <c r="F31" s="57">
        <v>2405.9905749999998</v>
      </c>
      <c r="G31" s="57">
        <v>2405.75</v>
      </c>
      <c r="H31" s="57">
        <v>2405.75</v>
      </c>
      <c r="I31" s="57">
        <v>2405.75</v>
      </c>
      <c r="J31" s="57">
        <v>2405.75</v>
      </c>
      <c r="K31" s="57">
        <v>2405.75</v>
      </c>
      <c r="L31" s="57">
        <v>2405.75</v>
      </c>
      <c r="M31" s="57">
        <v>2405.75</v>
      </c>
      <c r="N31" s="57">
        <v>2405.9905749999998</v>
      </c>
      <c r="O31" s="57">
        <v>2405.9905749999998</v>
      </c>
    </row>
    <row r="32" spans="1:16" x14ac:dyDescent="0.25">
      <c r="A32" s="57">
        <f t="shared" si="0"/>
        <v>3500</v>
      </c>
      <c r="B32" s="58" t="s">
        <v>66</v>
      </c>
      <c r="C32" s="59" t="s">
        <v>22</v>
      </c>
      <c r="D32" s="57">
        <v>291.69583333333333</v>
      </c>
      <c r="E32" s="57">
        <v>291.6375000000001</v>
      </c>
      <c r="F32" s="57">
        <v>291.66666666666669</v>
      </c>
      <c r="G32" s="57">
        <v>291.66666666666669</v>
      </c>
      <c r="H32" s="57">
        <v>291.66666666666669</v>
      </c>
      <c r="I32" s="57">
        <v>291.66666666666669</v>
      </c>
      <c r="J32" s="57">
        <v>291.66666666666669</v>
      </c>
      <c r="K32" s="57">
        <v>291.66666666666669</v>
      </c>
      <c r="L32" s="57">
        <v>291.66666666666669</v>
      </c>
      <c r="M32" s="57">
        <v>291.66666666666669</v>
      </c>
      <c r="N32" s="57">
        <v>291.66666666666669</v>
      </c>
      <c r="O32" s="57">
        <v>291.66666666666669</v>
      </c>
    </row>
    <row r="33" spans="1:15" x14ac:dyDescent="0.25">
      <c r="A33" s="57">
        <f t="shared" si="0"/>
        <v>1.1999999999999997E-13</v>
      </c>
      <c r="B33" s="58" t="s">
        <v>66</v>
      </c>
      <c r="C33" s="59" t="s">
        <v>24</v>
      </c>
      <c r="D33" s="57">
        <v>1E-14</v>
      </c>
      <c r="E33" s="57">
        <v>1E-14</v>
      </c>
      <c r="F33" s="57">
        <v>1E-14</v>
      </c>
      <c r="G33" s="57">
        <v>1E-14</v>
      </c>
      <c r="H33" s="57">
        <v>1E-14</v>
      </c>
      <c r="I33" s="57">
        <v>1E-14</v>
      </c>
      <c r="J33" s="57">
        <v>1E-14</v>
      </c>
      <c r="K33" s="57">
        <v>1E-14</v>
      </c>
      <c r="L33" s="57">
        <v>1E-14</v>
      </c>
      <c r="M33" s="57">
        <v>1E-14</v>
      </c>
      <c r="N33" s="57">
        <v>1E-14</v>
      </c>
      <c r="O33" s="57">
        <v>1E-14</v>
      </c>
    </row>
    <row r="34" spans="1:15" x14ac:dyDescent="0.25">
      <c r="A34" s="57">
        <f t="shared" si="0"/>
        <v>1.1999999999999997E-13</v>
      </c>
      <c r="B34" s="58" t="s">
        <v>66</v>
      </c>
      <c r="C34" s="59" t="s">
        <v>26</v>
      </c>
      <c r="D34" s="57">
        <v>1E-14</v>
      </c>
      <c r="E34" s="57">
        <v>1E-14</v>
      </c>
      <c r="F34" s="57">
        <v>1E-14</v>
      </c>
      <c r="G34" s="57">
        <v>1E-14</v>
      </c>
      <c r="H34" s="57">
        <v>1E-14</v>
      </c>
      <c r="I34" s="57">
        <v>1E-14</v>
      </c>
      <c r="J34" s="57">
        <v>1E-14</v>
      </c>
      <c r="K34" s="57">
        <v>1E-14</v>
      </c>
      <c r="L34" s="57">
        <v>1E-14</v>
      </c>
      <c r="M34" s="57">
        <v>1E-14</v>
      </c>
      <c r="N34" s="57">
        <v>1E-14</v>
      </c>
      <c r="O34" s="57">
        <v>1E-14</v>
      </c>
    </row>
    <row r="35" spans="1:15" x14ac:dyDescent="0.25">
      <c r="A35" s="57">
        <f t="shared" si="0"/>
        <v>7800.0000000000009</v>
      </c>
      <c r="B35" s="58" t="s">
        <v>66</v>
      </c>
      <c r="C35" s="59" t="s">
        <v>28</v>
      </c>
      <c r="D35" s="57">
        <v>650.06499999999994</v>
      </c>
      <c r="E35" s="57">
        <v>649.54500000000189</v>
      </c>
      <c r="F35" s="57">
        <v>650.06499999999994</v>
      </c>
      <c r="G35" s="57">
        <v>650.06499999999994</v>
      </c>
      <c r="H35" s="57">
        <v>650.06499999999994</v>
      </c>
      <c r="I35" s="57">
        <v>650</v>
      </c>
      <c r="J35" s="57">
        <v>650</v>
      </c>
      <c r="K35" s="57">
        <v>650</v>
      </c>
      <c r="L35" s="57">
        <v>650</v>
      </c>
      <c r="M35" s="57">
        <v>650.06499999999994</v>
      </c>
      <c r="N35" s="57">
        <v>650.06499999999994</v>
      </c>
      <c r="O35" s="57">
        <v>650.06499999999994</v>
      </c>
    </row>
    <row r="36" spans="1:15" x14ac:dyDescent="0.25">
      <c r="A36" s="57">
        <f t="shared" si="0"/>
        <v>1.1999999999999997E-13</v>
      </c>
      <c r="B36" s="58" t="s">
        <v>66</v>
      </c>
      <c r="C36" s="59" t="s">
        <v>30</v>
      </c>
      <c r="D36" s="57">
        <v>1E-14</v>
      </c>
      <c r="E36" s="57">
        <v>1E-14</v>
      </c>
      <c r="F36" s="57">
        <v>1E-14</v>
      </c>
      <c r="G36" s="57">
        <v>1E-14</v>
      </c>
      <c r="H36" s="57">
        <v>1E-14</v>
      </c>
      <c r="I36" s="57">
        <v>1E-14</v>
      </c>
      <c r="J36" s="57">
        <v>1E-14</v>
      </c>
      <c r="K36" s="57">
        <v>1E-14</v>
      </c>
      <c r="L36" s="57">
        <v>1E-14</v>
      </c>
      <c r="M36" s="57">
        <v>1E-14</v>
      </c>
      <c r="N36" s="57">
        <v>1E-14</v>
      </c>
      <c r="O36" s="57">
        <v>1E-14</v>
      </c>
    </row>
    <row r="37" spans="1:15" x14ac:dyDescent="0.25">
      <c r="A37" s="57">
        <f t="shared" si="0"/>
        <v>1.1999999999999997E-13</v>
      </c>
      <c r="B37" s="58" t="s">
        <v>66</v>
      </c>
      <c r="C37" s="59" t="s">
        <v>32</v>
      </c>
      <c r="D37" s="57">
        <v>1E-14</v>
      </c>
      <c r="E37" s="57">
        <v>1E-14</v>
      </c>
      <c r="F37" s="57">
        <v>1E-14</v>
      </c>
      <c r="G37" s="57">
        <v>1E-14</v>
      </c>
      <c r="H37" s="57">
        <v>1E-14</v>
      </c>
      <c r="I37" s="57">
        <v>1E-14</v>
      </c>
      <c r="J37" s="57">
        <v>1E-14</v>
      </c>
      <c r="K37" s="57">
        <v>1E-14</v>
      </c>
      <c r="L37" s="57">
        <v>1E-14</v>
      </c>
      <c r="M37" s="57">
        <v>1E-14</v>
      </c>
      <c r="N37" s="57">
        <v>1E-14</v>
      </c>
      <c r="O37" s="57">
        <v>1E-14</v>
      </c>
    </row>
    <row r="38" spans="1:15" x14ac:dyDescent="0.25">
      <c r="A38" s="57">
        <f t="shared" si="0"/>
        <v>5200</v>
      </c>
      <c r="B38" s="58" t="s">
        <v>66</v>
      </c>
      <c r="C38" s="59" t="s">
        <v>34</v>
      </c>
      <c r="D38" s="57">
        <v>1E-14</v>
      </c>
      <c r="E38" s="57">
        <v>1E-14</v>
      </c>
      <c r="F38" s="57">
        <v>1E-14</v>
      </c>
      <c r="G38" s="57">
        <v>2154.090866577109</v>
      </c>
      <c r="H38" s="57">
        <v>245.70194350018937</v>
      </c>
      <c r="I38" s="57">
        <v>1E-14</v>
      </c>
      <c r="J38" s="57">
        <v>1E-14</v>
      </c>
      <c r="K38" s="57">
        <v>1E-14</v>
      </c>
      <c r="L38" s="57">
        <v>1E-14</v>
      </c>
      <c r="M38" s="57">
        <v>863.06867138100085</v>
      </c>
      <c r="N38" s="57">
        <v>774.97638983335946</v>
      </c>
      <c r="O38" s="57">
        <v>1162.1621287083412</v>
      </c>
    </row>
    <row r="39" spans="1:15" x14ac:dyDescent="0.25">
      <c r="A39" s="57">
        <f t="shared" si="0"/>
        <v>500</v>
      </c>
      <c r="B39" s="58" t="s">
        <v>66</v>
      </c>
      <c r="C39" s="59" t="s">
        <v>36</v>
      </c>
      <c r="D39" s="57">
        <v>41.670833333333327</v>
      </c>
      <c r="E39" s="57">
        <v>41.662499999999959</v>
      </c>
      <c r="F39" s="57">
        <v>41.666666666666664</v>
      </c>
      <c r="G39" s="57">
        <v>41.666666666666664</v>
      </c>
      <c r="H39" s="57">
        <v>41.666666666666664</v>
      </c>
      <c r="I39" s="57">
        <v>41.666666666666664</v>
      </c>
      <c r="J39" s="57">
        <v>41.666666666666664</v>
      </c>
      <c r="K39" s="57">
        <v>41.666666666666664</v>
      </c>
      <c r="L39" s="57">
        <v>41.666666666666664</v>
      </c>
      <c r="M39" s="57">
        <v>41.666666666666664</v>
      </c>
      <c r="N39" s="57">
        <v>41.666666666666664</v>
      </c>
      <c r="O39" s="57">
        <v>41.666666666666664</v>
      </c>
    </row>
    <row r="40" spans="1:15" x14ac:dyDescent="0.25">
      <c r="A40" s="57">
        <f t="shared" si="0"/>
        <v>1.1999999999999997E-13</v>
      </c>
      <c r="B40" s="58" t="s">
        <v>66</v>
      </c>
      <c r="C40" s="59" t="s">
        <v>38</v>
      </c>
      <c r="D40" s="57">
        <v>1E-14</v>
      </c>
      <c r="E40" s="57">
        <v>1E-14</v>
      </c>
      <c r="F40" s="57">
        <v>1E-14</v>
      </c>
      <c r="G40" s="57">
        <v>1E-14</v>
      </c>
      <c r="H40" s="57">
        <v>1E-14</v>
      </c>
      <c r="I40" s="57">
        <v>1E-14</v>
      </c>
      <c r="J40" s="57">
        <v>1E-14</v>
      </c>
      <c r="K40" s="57">
        <v>1E-14</v>
      </c>
      <c r="L40" s="57">
        <v>1E-14</v>
      </c>
      <c r="M40" s="57">
        <v>1E-14</v>
      </c>
      <c r="N40" s="57">
        <v>1E-14</v>
      </c>
      <c r="O40" s="57">
        <v>1E-14</v>
      </c>
    </row>
    <row r="41" spans="1:15" x14ac:dyDescent="0.25">
      <c r="A41" s="57">
        <f t="shared" si="0"/>
        <v>1.1999999999999997E-13</v>
      </c>
      <c r="B41" s="58" t="s">
        <v>66</v>
      </c>
      <c r="C41" s="59" t="s">
        <v>40</v>
      </c>
      <c r="D41" s="57">
        <v>1E-14</v>
      </c>
      <c r="E41" s="57">
        <v>1E-14</v>
      </c>
      <c r="F41" s="57">
        <v>1E-14</v>
      </c>
      <c r="G41" s="57">
        <v>1E-14</v>
      </c>
      <c r="H41" s="57">
        <v>1E-14</v>
      </c>
      <c r="I41" s="57">
        <v>1E-14</v>
      </c>
      <c r="J41" s="57">
        <v>1E-14</v>
      </c>
      <c r="K41" s="57">
        <v>1E-14</v>
      </c>
      <c r="L41" s="57">
        <v>1E-14</v>
      </c>
      <c r="M41" s="57">
        <v>1E-14</v>
      </c>
      <c r="N41" s="57">
        <v>1E-14</v>
      </c>
      <c r="O41" s="57">
        <v>1E-14</v>
      </c>
    </row>
    <row r="42" spans="1:15" x14ac:dyDescent="0.25">
      <c r="A42" s="57">
        <f t="shared" si="0"/>
        <v>1.1999999999999997E-13</v>
      </c>
      <c r="B42" s="58" t="s">
        <v>66</v>
      </c>
      <c r="C42" s="59" t="s">
        <v>42</v>
      </c>
      <c r="D42" s="57">
        <v>1E-14</v>
      </c>
      <c r="E42" s="57">
        <v>1E-14</v>
      </c>
      <c r="F42" s="57">
        <v>1E-14</v>
      </c>
      <c r="G42" s="57">
        <v>1E-14</v>
      </c>
      <c r="H42" s="57">
        <v>1E-14</v>
      </c>
      <c r="I42" s="57">
        <v>1E-14</v>
      </c>
      <c r="J42" s="57">
        <v>1E-14</v>
      </c>
      <c r="K42" s="57">
        <v>1E-14</v>
      </c>
      <c r="L42" s="57">
        <v>1E-14</v>
      </c>
      <c r="M42" s="57">
        <v>1E-14</v>
      </c>
      <c r="N42" s="57">
        <v>1E-14</v>
      </c>
      <c r="O42" s="57">
        <v>1E-14</v>
      </c>
    </row>
    <row r="43" spans="1:15" x14ac:dyDescent="0.25">
      <c r="A43" s="57">
        <f t="shared" si="0"/>
        <v>1.1999999999999997E-13</v>
      </c>
      <c r="B43" s="58" t="s">
        <v>66</v>
      </c>
      <c r="C43" s="59" t="s">
        <v>44</v>
      </c>
      <c r="D43" s="57">
        <v>1E-14</v>
      </c>
      <c r="E43" s="57">
        <v>1E-14</v>
      </c>
      <c r="F43" s="57">
        <v>1E-14</v>
      </c>
      <c r="G43" s="57">
        <v>1E-14</v>
      </c>
      <c r="H43" s="57">
        <v>1E-14</v>
      </c>
      <c r="I43" s="57">
        <v>1E-14</v>
      </c>
      <c r="J43" s="57">
        <v>1E-14</v>
      </c>
      <c r="K43" s="57">
        <v>1E-14</v>
      </c>
      <c r="L43" s="57">
        <v>1E-14</v>
      </c>
      <c r="M43" s="57">
        <v>1E-14</v>
      </c>
      <c r="N43" s="57">
        <v>1E-14</v>
      </c>
      <c r="O43" s="57">
        <v>1E-14</v>
      </c>
    </row>
    <row r="44" spans="1:15" x14ac:dyDescent="0.25">
      <c r="A44" s="57">
        <f t="shared" si="0"/>
        <v>1.1999999999999997E-13</v>
      </c>
      <c r="B44" s="58" t="s">
        <v>66</v>
      </c>
      <c r="C44" s="59" t="s">
        <v>46</v>
      </c>
      <c r="D44" s="57">
        <v>1E-14</v>
      </c>
      <c r="E44" s="57">
        <v>1E-14</v>
      </c>
      <c r="F44" s="57">
        <v>1E-14</v>
      </c>
      <c r="G44" s="57">
        <v>1E-14</v>
      </c>
      <c r="H44" s="57">
        <v>1E-14</v>
      </c>
      <c r="I44" s="57">
        <v>1E-14</v>
      </c>
      <c r="J44" s="57">
        <v>1E-14</v>
      </c>
      <c r="K44" s="57">
        <v>1E-14</v>
      </c>
      <c r="L44" s="57">
        <v>1E-14</v>
      </c>
      <c r="M44" s="57">
        <v>1E-14</v>
      </c>
      <c r="N44" s="57">
        <v>1E-14</v>
      </c>
      <c r="O44" s="57">
        <v>1E-14</v>
      </c>
    </row>
    <row r="45" spans="1:15" x14ac:dyDescent="0.25">
      <c r="A45" s="57">
        <f t="shared" si="0"/>
        <v>150.00000000000011</v>
      </c>
      <c r="B45" s="58" t="s">
        <v>66</v>
      </c>
      <c r="C45" s="59" t="s">
        <v>69</v>
      </c>
      <c r="D45" s="57">
        <v>1E-14</v>
      </c>
      <c r="E45" s="57">
        <v>1E-14</v>
      </c>
      <c r="F45" s="57">
        <v>1E-14</v>
      </c>
      <c r="G45" s="57">
        <v>1E-14</v>
      </c>
      <c r="H45" s="57">
        <v>1E-14</v>
      </c>
      <c r="I45" s="57">
        <v>1E-14</v>
      </c>
      <c r="J45" s="57">
        <v>1E-14</v>
      </c>
      <c r="K45" s="57">
        <v>1E-14</v>
      </c>
      <c r="L45" s="57">
        <v>1E-14</v>
      </c>
      <c r="M45" s="57">
        <v>1E-14</v>
      </c>
      <c r="N45" s="57">
        <v>1E-14</v>
      </c>
      <c r="O45" s="57">
        <v>150</v>
      </c>
    </row>
    <row r="46" spans="1:15" x14ac:dyDescent="0.25">
      <c r="A46" s="57">
        <f t="shared" si="0"/>
        <v>1500</v>
      </c>
      <c r="B46" s="58" t="s">
        <v>66</v>
      </c>
      <c r="C46" s="59" t="s">
        <v>50</v>
      </c>
      <c r="D46" s="57">
        <v>1E-14</v>
      </c>
      <c r="E46" s="57">
        <v>1E-14</v>
      </c>
      <c r="F46" s="57">
        <v>1E-14</v>
      </c>
      <c r="G46" s="57">
        <v>1E-14</v>
      </c>
      <c r="H46" s="57">
        <v>1E-14</v>
      </c>
      <c r="I46" s="57">
        <v>1E-14</v>
      </c>
      <c r="J46" s="57">
        <v>1E-14</v>
      </c>
      <c r="K46" s="57">
        <v>1E-14</v>
      </c>
      <c r="L46" s="57">
        <v>1E-14</v>
      </c>
      <c r="M46" s="57">
        <v>1E-14</v>
      </c>
      <c r="N46" s="57">
        <v>1E-14</v>
      </c>
      <c r="O46" s="57">
        <v>1500</v>
      </c>
    </row>
    <row r="47" spans="1:15" x14ac:dyDescent="0.25">
      <c r="A47" s="57">
        <f t="shared" si="0"/>
        <v>1.1999999999999997E-13</v>
      </c>
      <c r="B47" s="58" t="s">
        <v>66</v>
      </c>
      <c r="C47" s="59" t="s">
        <v>52</v>
      </c>
      <c r="D47" s="57">
        <v>1E-14</v>
      </c>
      <c r="E47" s="57">
        <v>1E-14</v>
      </c>
      <c r="F47" s="57">
        <v>1E-14</v>
      </c>
      <c r="G47" s="57">
        <v>1E-14</v>
      </c>
      <c r="H47" s="57">
        <v>1E-14</v>
      </c>
      <c r="I47" s="57">
        <v>1E-14</v>
      </c>
      <c r="J47" s="57">
        <v>1E-14</v>
      </c>
      <c r="K47" s="57">
        <v>1E-14</v>
      </c>
      <c r="L47" s="57">
        <v>1E-14</v>
      </c>
      <c r="M47" s="57">
        <v>1E-14</v>
      </c>
      <c r="N47" s="57">
        <v>1E-14</v>
      </c>
      <c r="O47" s="57">
        <v>1E-14</v>
      </c>
    </row>
    <row r="48" spans="1:15" x14ac:dyDescent="0.25">
      <c r="A48" s="57">
        <f t="shared" si="0"/>
        <v>120</v>
      </c>
      <c r="B48" s="58" t="s">
        <v>66</v>
      </c>
      <c r="C48" s="59" t="s">
        <v>55</v>
      </c>
      <c r="D48" s="57">
        <v>10</v>
      </c>
      <c r="E48" s="57">
        <v>9.9969999999999857</v>
      </c>
      <c r="F48" s="57">
        <v>10.000999999999999</v>
      </c>
      <c r="G48" s="57">
        <v>10</v>
      </c>
      <c r="H48" s="57">
        <v>10</v>
      </c>
      <c r="I48" s="57">
        <v>10</v>
      </c>
      <c r="J48" s="57">
        <v>10</v>
      </c>
      <c r="K48" s="57">
        <v>10</v>
      </c>
      <c r="L48" s="57">
        <v>10</v>
      </c>
      <c r="M48" s="57">
        <v>10</v>
      </c>
      <c r="N48" s="57">
        <v>10.000999999999999</v>
      </c>
      <c r="O48" s="57">
        <v>10.000999999999999</v>
      </c>
    </row>
    <row r="49" spans="1:16" x14ac:dyDescent="0.25">
      <c r="A49" s="57">
        <f t="shared" si="0"/>
        <v>50000</v>
      </c>
      <c r="B49" s="58" t="s">
        <v>66</v>
      </c>
      <c r="C49" s="59" t="s">
        <v>85</v>
      </c>
      <c r="D49" s="57">
        <v>4167.0833333333339</v>
      </c>
      <c r="E49" s="57">
        <v>4166.2500000000045</v>
      </c>
      <c r="F49" s="57">
        <v>4166.666666666667</v>
      </c>
      <c r="G49" s="57">
        <v>4166.666666666667</v>
      </c>
      <c r="H49" s="57">
        <v>4166.666666666667</v>
      </c>
      <c r="I49" s="57">
        <v>4166.666666666667</v>
      </c>
      <c r="J49" s="57">
        <v>4166.666666666667</v>
      </c>
      <c r="K49" s="57">
        <v>4166.666666666667</v>
      </c>
      <c r="L49" s="57">
        <v>4166.666666666667</v>
      </c>
      <c r="M49" s="57">
        <v>4166.666666666667</v>
      </c>
      <c r="N49" s="57">
        <v>4166.666666666667</v>
      </c>
      <c r="O49" s="57">
        <v>4166.666666666667</v>
      </c>
    </row>
    <row r="50" spans="1:16" x14ac:dyDescent="0.25">
      <c r="A50" s="57">
        <f t="shared" si="0"/>
        <v>4024.5755554999</v>
      </c>
      <c r="B50" s="58" t="s">
        <v>66</v>
      </c>
      <c r="C50" s="59" t="s">
        <v>87</v>
      </c>
      <c r="D50" s="57">
        <v>335.38129629165815</v>
      </c>
      <c r="E50" s="57">
        <v>335.38129629165883</v>
      </c>
      <c r="F50" s="57">
        <v>335.3812962916586</v>
      </c>
      <c r="G50" s="57">
        <v>335.3812962916586</v>
      </c>
      <c r="H50" s="57">
        <v>335.38129629165837</v>
      </c>
      <c r="I50" s="57">
        <v>335.38129629165837</v>
      </c>
      <c r="J50" s="57">
        <v>335.38129629165746</v>
      </c>
      <c r="K50" s="57">
        <v>335.38129629165837</v>
      </c>
      <c r="L50" s="57">
        <v>335.38129629165837</v>
      </c>
      <c r="M50" s="57">
        <v>335.38129629165837</v>
      </c>
      <c r="N50" s="57">
        <v>335.38129629165837</v>
      </c>
      <c r="O50" s="57">
        <v>335.3812962916586</v>
      </c>
    </row>
    <row r="51" spans="1:16" x14ac:dyDescent="0.25">
      <c r="A51" s="57">
        <f>SUM(D51:O51)</f>
        <v>0</v>
      </c>
      <c r="B51" s="58" t="s">
        <v>66</v>
      </c>
      <c r="C51" s="59" t="s">
        <v>102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</row>
    <row r="52" spans="1:16" x14ac:dyDescent="0.25">
      <c r="A52" s="57">
        <f>SUM(D52:O52)</f>
        <v>0</v>
      </c>
      <c r="B52" s="58" t="s">
        <v>66</v>
      </c>
      <c r="C52" s="59" t="s">
        <v>104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</row>
    <row r="53" spans="1:16" x14ac:dyDescent="0.25">
      <c r="A53" s="57">
        <f>SUM(D53:O53)</f>
        <v>0</v>
      </c>
      <c r="B53" s="58" t="s">
        <v>66</v>
      </c>
      <c r="C53" s="59" t="s">
        <v>106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</row>
    <row r="54" spans="1:16" x14ac:dyDescent="0.25">
      <c r="A54" s="57">
        <f t="shared" si="0"/>
        <v>10720.754551121048</v>
      </c>
      <c r="B54" s="58" t="s">
        <v>66</v>
      </c>
      <c r="C54" s="59" t="s">
        <v>48</v>
      </c>
      <c r="D54" s="57">
        <v>1E-14</v>
      </c>
      <c r="E54" s="57">
        <v>3179.1739674593241</v>
      </c>
      <c r="F54" s="57">
        <v>2296.4714955937861</v>
      </c>
      <c r="G54" s="57">
        <v>1E-14</v>
      </c>
      <c r="H54" s="57">
        <v>1E-14</v>
      </c>
      <c r="I54" s="57">
        <v>1E-14</v>
      </c>
      <c r="J54" s="57">
        <v>1E-14</v>
      </c>
      <c r="K54" s="57">
        <v>1E-14</v>
      </c>
      <c r="L54" s="57">
        <v>1E-14</v>
      </c>
      <c r="M54" s="57">
        <v>1E-14</v>
      </c>
      <c r="N54" s="57">
        <v>1859.7048802012198</v>
      </c>
      <c r="O54" s="57">
        <v>3385.4042078667194</v>
      </c>
    </row>
    <row r="55" spans="1:16" x14ac:dyDescent="0.25">
      <c r="A55" s="57">
        <f t="shared" si="0"/>
        <v>1.1999999999999997E-13</v>
      </c>
      <c r="B55" s="58" t="s">
        <v>66</v>
      </c>
      <c r="C55" s="59" t="s">
        <v>65</v>
      </c>
      <c r="D55" s="57">
        <v>1E-14</v>
      </c>
      <c r="E55" s="57">
        <v>1E-14</v>
      </c>
      <c r="F55" s="57">
        <v>1E-14</v>
      </c>
      <c r="G55" s="57">
        <v>1E-14</v>
      </c>
      <c r="H55" s="57">
        <v>1E-14</v>
      </c>
      <c r="I55" s="57">
        <v>1E-14</v>
      </c>
      <c r="J55" s="57">
        <v>1E-14</v>
      </c>
      <c r="K55" s="57">
        <v>1E-14</v>
      </c>
      <c r="L55" s="57">
        <v>1E-14</v>
      </c>
      <c r="M55" s="57">
        <v>1E-14</v>
      </c>
      <c r="N55" s="57">
        <v>1E-14</v>
      </c>
      <c r="O55" s="57">
        <v>1E-14</v>
      </c>
    </row>
    <row r="56" spans="1:16" x14ac:dyDescent="0.25">
      <c r="A56" s="57">
        <f t="shared" si="0"/>
        <v>1127.6490949724432</v>
      </c>
      <c r="B56" s="58" t="s">
        <v>66</v>
      </c>
      <c r="C56" s="59" t="s">
        <v>76</v>
      </c>
      <c r="D56" s="57">
        <v>891.55622833076347</v>
      </c>
      <c r="E56" s="57">
        <v>236.09286664167976</v>
      </c>
      <c r="F56" s="57">
        <v>1E-14</v>
      </c>
      <c r="G56" s="57">
        <v>1E-14</v>
      </c>
      <c r="H56" s="57">
        <v>1E-14</v>
      </c>
      <c r="I56" s="57">
        <v>1E-14</v>
      </c>
      <c r="J56" s="57">
        <v>1E-14</v>
      </c>
      <c r="K56" s="57">
        <v>1E-14</v>
      </c>
      <c r="L56" s="57">
        <v>1E-14</v>
      </c>
      <c r="M56" s="57">
        <v>1E-14</v>
      </c>
      <c r="N56" s="57">
        <v>1E-14</v>
      </c>
      <c r="O56" s="57">
        <v>1E-14</v>
      </c>
    </row>
    <row r="57" spans="1:16" x14ac:dyDescent="0.25">
      <c r="A57" s="28">
        <f t="shared" si="0"/>
        <v>0</v>
      </c>
      <c r="B57" s="58" t="s">
        <v>66</v>
      </c>
      <c r="C57" s="59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</row>
    <row r="58" spans="1:16" x14ac:dyDescent="0.25">
      <c r="A58" s="28"/>
      <c r="B58" s="28"/>
      <c r="C58" s="60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5" t="s">
        <v>135</v>
      </c>
      <c r="B59" s="45"/>
      <c r="C59" s="46" t="s">
        <v>136</v>
      </c>
      <c r="D59" s="55" t="s">
        <v>1</v>
      </c>
      <c r="E59" s="55" t="s">
        <v>2</v>
      </c>
      <c r="F59" s="55" t="s">
        <v>3</v>
      </c>
      <c r="G59" s="55" t="s">
        <v>4</v>
      </c>
      <c r="H59" s="55" t="s">
        <v>5</v>
      </c>
      <c r="I59" s="55" t="s">
        <v>6</v>
      </c>
      <c r="J59" s="55" t="s">
        <v>7</v>
      </c>
      <c r="K59" s="55" t="s">
        <v>8</v>
      </c>
      <c r="L59" s="55" t="s">
        <v>9</v>
      </c>
      <c r="M59" s="55" t="s">
        <v>10</v>
      </c>
      <c r="N59" s="55" t="s">
        <v>11</v>
      </c>
      <c r="O59" s="55" t="s">
        <v>12</v>
      </c>
      <c r="P59" s="47"/>
    </row>
    <row r="60" spans="1:16" x14ac:dyDescent="0.25">
      <c r="A60" s="61">
        <f t="shared" ref="A60:A85" si="1">SUM(D60:O60)</f>
        <v>4773825</v>
      </c>
      <c r="B60" s="62" t="s">
        <v>117</v>
      </c>
      <c r="C60" s="59" t="s">
        <v>14</v>
      </c>
      <c r="D60" s="61">
        <v>1476149.3925718796</v>
      </c>
      <c r="E60" s="61">
        <v>933207.97694687522</v>
      </c>
      <c r="F60" s="61">
        <v>1476385.1175718794</v>
      </c>
      <c r="G60" s="61">
        <v>1E-14</v>
      </c>
      <c r="H60" s="61">
        <v>1E-14</v>
      </c>
      <c r="I60" s="61">
        <v>1E-14</v>
      </c>
      <c r="J60" s="61">
        <v>1E-14</v>
      </c>
      <c r="K60" s="61">
        <v>1E-14</v>
      </c>
      <c r="L60" s="61">
        <v>1E-14</v>
      </c>
      <c r="M60" s="61">
        <v>1E-14</v>
      </c>
      <c r="N60" s="61">
        <v>888082.51290936582</v>
      </c>
      <c r="O60" s="61">
        <v>1E-14</v>
      </c>
    </row>
    <row r="61" spans="1:16" x14ac:dyDescent="0.25">
      <c r="A61" s="61">
        <f t="shared" si="1"/>
        <v>1.1999999999999997E-13</v>
      </c>
      <c r="B61" s="62" t="s">
        <v>117</v>
      </c>
      <c r="C61" s="59" t="s">
        <v>16</v>
      </c>
      <c r="D61" s="61">
        <v>1E-14</v>
      </c>
      <c r="E61" s="61">
        <v>1E-14</v>
      </c>
      <c r="F61" s="61">
        <v>1E-14</v>
      </c>
      <c r="G61" s="61">
        <v>1E-14</v>
      </c>
      <c r="H61" s="61">
        <v>1E-14</v>
      </c>
      <c r="I61" s="61">
        <v>1E-14</v>
      </c>
      <c r="J61" s="61">
        <v>1E-14</v>
      </c>
      <c r="K61" s="61">
        <v>1E-14</v>
      </c>
      <c r="L61" s="61">
        <v>1E-14</v>
      </c>
      <c r="M61" s="61">
        <v>1E-14</v>
      </c>
      <c r="N61" s="61">
        <v>1E-14</v>
      </c>
      <c r="O61" s="61">
        <v>1E-14</v>
      </c>
    </row>
    <row r="62" spans="1:16" x14ac:dyDescent="0.25">
      <c r="A62" s="61">
        <f t="shared" si="1"/>
        <v>1.1999999999999997E-13</v>
      </c>
      <c r="B62" s="62" t="s">
        <v>117</v>
      </c>
      <c r="C62" s="59" t="s">
        <v>18</v>
      </c>
      <c r="D62" s="61">
        <v>1E-14</v>
      </c>
      <c r="E62" s="61">
        <v>1E-14</v>
      </c>
      <c r="F62" s="61">
        <v>1E-14</v>
      </c>
      <c r="G62" s="61">
        <v>1E-14</v>
      </c>
      <c r="H62" s="61">
        <v>1E-14</v>
      </c>
      <c r="I62" s="61">
        <v>1E-14</v>
      </c>
      <c r="J62" s="61">
        <v>1E-14</v>
      </c>
      <c r="K62" s="61">
        <v>1E-14</v>
      </c>
      <c r="L62" s="61">
        <v>1E-14</v>
      </c>
      <c r="M62" s="61">
        <v>1E-14</v>
      </c>
      <c r="N62" s="61">
        <v>1E-14</v>
      </c>
      <c r="O62" s="61">
        <v>1E-14</v>
      </c>
    </row>
    <row r="63" spans="1:16" x14ac:dyDescent="0.25">
      <c r="A63" s="61">
        <f t="shared" si="1"/>
        <v>15156225</v>
      </c>
      <c r="B63" s="62" t="s">
        <v>117</v>
      </c>
      <c r="C63" s="59" t="s">
        <v>20</v>
      </c>
      <c r="D63" s="61">
        <v>1263145.0518749999</v>
      </c>
      <c r="E63" s="61">
        <v>1262513.5425000004</v>
      </c>
      <c r="F63" s="61">
        <v>1263145.0518749999</v>
      </c>
      <c r="G63" s="61">
        <v>1263018.75</v>
      </c>
      <c r="H63" s="61">
        <v>1263018.75</v>
      </c>
      <c r="I63" s="61">
        <v>1263018.75</v>
      </c>
      <c r="J63" s="61">
        <v>1263018.75</v>
      </c>
      <c r="K63" s="61">
        <v>1263018.75</v>
      </c>
      <c r="L63" s="61">
        <v>1263018.75</v>
      </c>
      <c r="M63" s="61">
        <v>1263018.75</v>
      </c>
      <c r="N63" s="61">
        <v>1263145.0518749999</v>
      </c>
      <c r="O63" s="61">
        <v>1263145.0518749999</v>
      </c>
    </row>
    <row r="64" spans="1:16" x14ac:dyDescent="0.25">
      <c r="A64" s="61">
        <f t="shared" si="1"/>
        <v>1837500</v>
      </c>
      <c r="B64" s="62" t="s">
        <v>117</v>
      </c>
      <c r="C64" s="59" t="s">
        <v>22</v>
      </c>
      <c r="D64" s="61">
        <v>153140.3125</v>
      </c>
      <c r="E64" s="61">
        <v>153109.68750000006</v>
      </c>
      <c r="F64" s="61">
        <v>153125</v>
      </c>
      <c r="G64" s="61">
        <v>153125</v>
      </c>
      <c r="H64" s="61">
        <v>153125</v>
      </c>
      <c r="I64" s="61">
        <v>153125</v>
      </c>
      <c r="J64" s="61">
        <v>153125</v>
      </c>
      <c r="K64" s="61">
        <v>153125</v>
      </c>
      <c r="L64" s="61">
        <v>153125</v>
      </c>
      <c r="M64" s="61">
        <v>153125</v>
      </c>
      <c r="N64" s="61">
        <v>153125</v>
      </c>
      <c r="O64" s="61">
        <v>153125</v>
      </c>
    </row>
    <row r="65" spans="1:15" x14ac:dyDescent="0.25">
      <c r="A65" s="61">
        <f t="shared" si="1"/>
        <v>1.1999999999999997E-13</v>
      </c>
      <c r="B65" s="62" t="s">
        <v>117</v>
      </c>
      <c r="C65" s="59" t="s">
        <v>24</v>
      </c>
      <c r="D65" s="61">
        <v>1E-14</v>
      </c>
      <c r="E65" s="61">
        <v>1E-14</v>
      </c>
      <c r="F65" s="61">
        <v>1E-14</v>
      </c>
      <c r="G65" s="61">
        <v>1E-14</v>
      </c>
      <c r="H65" s="61">
        <v>1E-14</v>
      </c>
      <c r="I65" s="61">
        <v>1E-14</v>
      </c>
      <c r="J65" s="61">
        <v>1E-14</v>
      </c>
      <c r="K65" s="61">
        <v>1E-14</v>
      </c>
      <c r="L65" s="61">
        <v>1E-14</v>
      </c>
      <c r="M65" s="61">
        <v>1E-14</v>
      </c>
      <c r="N65" s="61">
        <v>1E-14</v>
      </c>
      <c r="O65" s="61">
        <v>1E-14</v>
      </c>
    </row>
    <row r="66" spans="1:15" x14ac:dyDescent="0.25">
      <c r="A66" s="61">
        <f t="shared" si="1"/>
        <v>1.1999999999999997E-13</v>
      </c>
      <c r="B66" s="62" t="s">
        <v>117</v>
      </c>
      <c r="C66" s="59" t="s">
        <v>26</v>
      </c>
      <c r="D66" s="61">
        <v>1E-14</v>
      </c>
      <c r="E66" s="61">
        <v>1E-14</v>
      </c>
      <c r="F66" s="61">
        <v>1E-14</v>
      </c>
      <c r="G66" s="61">
        <v>1E-14</v>
      </c>
      <c r="H66" s="61">
        <v>1E-14</v>
      </c>
      <c r="I66" s="61">
        <v>1E-14</v>
      </c>
      <c r="J66" s="61">
        <v>1E-14</v>
      </c>
      <c r="K66" s="61">
        <v>1E-14</v>
      </c>
      <c r="L66" s="61">
        <v>1E-14</v>
      </c>
      <c r="M66" s="61">
        <v>1E-14</v>
      </c>
      <c r="N66" s="61">
        <v>1E-14</v>
      </c>
      <c r="O66" s="61">
        <v>1E-14</v>
      </c>
    </row>
    <row r="67" spans="1:15" x14ac:dyDescent="0.25">
      <c r="A67" s="61">
        <f t="shared" si="1"/>
        <v>4095000.0000000009</v>
      </c>
      <c r="B67" s="62" t="s">
        <v>117</v>
      </c>
      <c r="C67" s="59" t="s">
        <v>28</v>
      </c>
      <c r="D67" s="61">
        <v>341284.12499999994</v>
      </c>
      <c r="E67" s="61">
        <v>341011.12500000099</v>
      </c>
      <c r="F67" s="61">
        <v>341284.12499999994</v>
      </c>
      <c r="G67" s="61">
        <v>341284.12499999994</v>
      </c>
      <c r="H67" s="61">
        <v>341284.12499999994</v>
      </c>
      <c r="I67" s="61">
        <v>341250</v>
      </c>
      <c r="J67" s="61">
        <v>341250</v>
      </c>
      <c r="K67" s="61">
        <v>341250</v>
      </c>
      <c r="L67" s="61">
        <v>341250</v>
      </c>
      <c r="M67" s="61">
        <v>341284.12499999994</v>
      </c>
      <c r="N67" s="61">
        <v>341284.12499999994</v>
      </c>
      <c r="O67" s="61">
        <v>341284.12499999994</v>
      </c>
    </row>
    <row r="68" spans="1:15" x14ac:dyDescent="0.25">
      <c r="A68" s="61">
        <f t="shared" si="1"/>
        <v>1.1999999999999997E-13</v>
      </c>
      <c r="B68" s="62" t="s">
        <v>117</v>
      </c>
      <c r="C68" s="59" t="s">
        <v>30</v>
      </c>
      <c r="D68" s="61">
        <v>1E-14</v>
      </c>
      <c r="E68" s="61">
        <v>1E-14</v>
      </c>
      <c r="F68" s="61">
        <v>1E-14</v>
      </c>
      <c r="G68" s="61">
        <v>1E-14</v>
      </c>
      <c r="H68" s="61">
        <v>1E-14</v>
      </c>
      <c r="I68" s="61">
        <v>1E-14</v>
      </c>
      <c r="J68" s="61">
        <v>1E-14</v>
      </c>
      <c r="K68" s="61">
        <v>1E-14</v>
      </c>
      <c r="L68" s="61">
        <v>1E-14</v>
      </c>
      <c r="M68" s="61">
        <v>1E-14</v>
      </c>
      <c r="N68" s="61">
        <v>1E-14</v>
      </c>
      <c r="O68" s="61">
        <v>1E-14</v>
      </c>
    </row>
    <row r="69" spans="1:15" x14ac:dyDescent="0.25">
      <c r="A69" s="61">
        <f t="shared" si="1"/>
        <v>1.1999999999999997E-13</v>
      </c>
      <c r="B69" s="62" t="s">
        <v>117</v>
      </c>
      <c r="C69" s="59" t="s">
        <v>32</v>
      </c>
      <c r="D69" s="61">
        <v>1E-14</v>
      </c>
      <c r="E69" s="61">
        <v>1E-14</v>
      </c>
      <c r="F69" s="61">
        <v>1E-14</v>
      </c>
      <c r="G69" s="61">
        <v>1E-14</v>
      </c>
      <c r="H69" s="61">
        <v>1E-14</v>
      </c>
      <c r="I69" s="61">
        <v>1E-14</v>
      </c>
      <c r="J69" s="61">
        <v>1E-14</v>
      </c>
      <c r="K69" s="61">
        <v>1E-14</v>
      </c>
      <c r="L69" s="61">
        <v>1E-14</v>
      </c>
      <c r="M69" s="61">
        <v>1E-14</v>
      </c>
      <c r="N69" s="61">
        <v>1E-14</v>
      </c>
      <c r="O69" s="61">
        <v>1E-14</v>
      </c>
    </row>
    <row r="70" spans="1:15" x14ac:dyDescent="0.25">
      <c r="A70" s="61">
        <f t="shared" si="1"/>
        <v>2730000</v>
      </c>
      <c r="B70" s="62" t="s">
        <v>117</v>
      </c>
      <c r="C70" s="59" t="s">
        <v>34</v>
      </c>
      <c r="D70" s="61">
        <v>1E-14</v>
      </c>
      <c r="E70" s="61">
        <v>1E-14</v>
      </c>
      <c r="F70" s="61">
        <v>1E-14</v>
      </c>
      <c r="G70" s="61">
        <v>1130897.7049529823</v>
      </c>
      <c r="H70" s="61">
        <v>128993.52033759942</v>
      </c>
      <c r="I70" s="61">
        <v>1E-14</v>
      </c>
      <c r="J70" s="61">
        <v>1E-14</v>
      </c>
      <c r="K70" s="61">
        <v>1E-14</v>
      </c>
      <c r="L70" s="61">
        <v>1E-14</v>
      </c>
      <c r="M70" s="61">
        <v>453111.05247502547</v>
      </c>
      <c r="N70" s="61">
        <v>406862.60466251371</v>
      </c>
      <c r="O70" s="61">
        <v>610135.11757187918</v>
      </c>
    </row>
    <row r="71" spans="1:15" x14ac:dyDescent="0.25">
      <c r="A71" s="61">
        <f t="shared" si="1"/>
        <v>392499.99999999994</v>
      </c>
      <c r="B71" s="62" t="s">
        <v>117</v>
      </c>
      <c r="C71" s="59" t="s">
        <v>36</v>
      </c>
      <c r="D71" s="61">
        <v>32711.604166666661</v>
      </c>
      <c r="E71" s="61">
        <v>32705.062499999967</v>
      </c>
      <c r="F71" s="61">
        <v>32708.333333333332</v>
      </c>
      <c r="G71" s="61">
        <v>32708.333333333332</v>
      </c>
      <c r="H71" s="61">
        <v>32708.333333333332</v>
      </c>
      <c r="I71" s="61">
        <v>32708.333333333332</v>
      </c>
      <c r="J71" s="61">
        <v>32708.333333333332</v>
      </c>
      <c r="K71" s="61">
        <v>32708.333333333332</v>
      </c>
      <c r="L71" s="61">
        <v>32708.333333333332</v>
      </c>
      <c r="M71" s="61">
        <v>32708.333333333332</v>
      </c>
      <c r="N71" s="61">
        <v>32708.333333333332</v>
      </c>
      <c r="O71" s="61">
        <v>32708.333333333332</v>
      </c>
    </row>
    <row r="72" spans="1:15" x14ac:dyDescent="0.25">
      <c r="A72" s="61">
        <f t="shared" si="1"/>
        <v>1.1999999999999997E-13</v>
      </c>
      <c r="B72" s="62" t="s">
        <v>117</v>
      </c>
      <c r="C72" s="59" t="s">
        <v>38</v>
      </c>
      <c r="D72" s="61">
        <v>1E-14</v>
      </c>
      <c r="E72" s="61">
        <v>1E-14</v>
      </c>
      <c r="F72" s="61">
        <v>1E-14</v>
      </c>
      <c r="G72" s="61">
        <v>1E-14</v>
      </c>
      <c r="H72" s="61">
        <v>1E-14</v>
      </c>
      <c r="I72" s="61">
        <v>1E-14</v>
      </c>
      <c r="J72" s="61">
        <v>1E-14</v>
      </c>
      <c r="K72" s="61">
        <v>1E-14</v>
      </c>
      <c r="L72" s="61">
        <v>1E-14</v>
      </c>
      <c r="M72" s="61">
        <v>1E-14</v>
      </c>
      <c r="N72" s="61">
        <v>1E-14</v>
      </c>
      <c r="O72" s="61">
        <v>1E-14</v>
      </c>
    </row>
    <row r="73" spans="1:15" x14ac:dyDescent="0.25">
      <c r="A73" s="61">
        <f t="shared" si="1"/>
        <v>1.1999999999999997E-13</v>
      </c>
      <c r="B73" s="62" t="s">
        <v>117</v>
      </c>
      <c r="C73" s="59" t="s">
        <v>40</v>
      </c>
      <c r="D73" s="61">
        <v>1E-14</v>
      </c>
      <c r="E73" s="61">
        <v>1E-14</v>
      </c>
      <c r="F73" s="61">
        <v>1E-14</v>
      </c>
      <c r="G73" s="61">
        <v>1E-14</v>
      </c>
      <c r="H73" s="61">
        <v>1E-14</v>
      </c>
      <c r="I73" s="61">
        <v>1E-14</v>
      </c>
      <c r="J73" s="61">
        <v>1E-14</v>
      </c>
      <c r="K73" s="61">
        <v>1E-14</v>
      </c>
      <c r="L73" s="61">
        <v>1E-14</v>
      </c>
      <c r="M73" s="61">
        <v>1E-14</v>
      </c>
      <c r="N73" s="61">
        <v>1E-14</v>
      </c>
      <c r="O73" s="61">
        <v>1E-14</v>
      </c>
    </row>
    <row r="74" spans="1:15" x14ac:dyDescent="0.25">
      <c r="A74" s="61">
        <f t="shared" si="1"/>
        <v>1.1999999999999997E-13</v>
      </c>
      <c r="B74" s="62" t="s">
        <v>117</v>
      </c>
      <c r="C74" s="59" t="s">
        <v>42</v>
      </c>
      <c r="D74" s="61">
        <v>1E-14</v>
      </c>
      <c r="E74" s="61">
        <v>1E-14</v>
      </c>
      <c r="F74" s="61">
        <v>1E-14</v>
      </c>
      <c r="G74" s="61">
        <v>1E-14</v>
      </c>
      <c r="H74" s="61">
        <v>1E-14</v>
      </c>
      <c r="I74" s="61">
        <v>1E-14</v>
      </c>
      <c r="J74" s="61">
        <v>1E-14</v>
      </c>
      <c r="K74" s="61">
        <v>1E-14</v>
      </c>
      <c r="L74" s="61">
        <v>1E-14</v>
      </c>
      <c r="M74" s="61">
        <v>1E-14</v>
      </c>
      <c r="N74" s="61">
        <v>1E-14</v>
      </c>
      <c r="O74" s="61">
        <v>1E-14</v>
      </c>
    </row>
    <row r="75" spans="1:15" x14ac:dyDescent="0.25">
      <c r="A75" s="61">
        <f t="shared" si="1"/>
        <v>1.1999999999999997E-13</v>
      </c>
      <c r="B75" s="62" t="s">
        <v>117</v>
      </c>
      <c r="C75" s="59" t="s">
        <v>44</v>
      </c>
      <c r="D75" s="61">
        <v>1E-14</v>
      </c>
      <c r="E75" s="61">
        <v>1E-14</v>
      </c>
      <c r="F75" s="61">
        <v>1E-14</v>
      </c>
      <c r="G75" s="61">
        <v>1E-14</v>
      </c>
      <c r="H75" s="61">
        <v>1E-14</v>
      </c>
      <c r="I75" s="61">
        <v>1E-14</v>
      </c>
      <c r="J75" s="61">
        <v>1E-14</v>
      </c>
      <c r="K75" s="61">
        <v>1E-14</v>
      </c>
      <c r="L75" s="61">
        <v>1E-14</v>
      </c>
      <c r="M75" s="61">
        <v>1E-14</v>
      </c>
      <c r="N75" s="61">
        <v>1E-14</v>
      </c>
      <c r="O75" s="61">
        <v>1E-14</v>
      </c>
    </row>
    <row r="76" spans="1:15" x14ac:dyDescent="0.25">
      <c r="A76" s="61">
        <f t="shared" si="1"/>
        <v>1.1999999999999997E-13</v>
      </c>
      <c r="B76" s="62" t="s">
        <v>117</v>
      </c>
      <c r="C76" s="59" t="s">
        <v>46</v>
      </c>
      <c r="D76" s="61">
        <v>1E-14</v>
      </c>
      <c r="E76" s="61">
        <v>1E-14</v>
      </c>
      <c r="F76" s="61">
        <v>1E-14</v>
      </c>
      <c r="G76" s="61">
        <v>1E-14</v>
      </c>
      <c r="H76" s="61">
        <v>1E-14</v>
      </c>
      <c r="I76" s="61">
        <v>1E-14</v>
      </c>
      <c r="J76" s="61">
        <v>1E-14</v>
      </c>
      <c r="K76" s="61">
        <v>1E-14</v>
      </c>
      <c r="L76" s="61">
        <v>1E-14</v>
      </c>
      <c r="M76" s="61">
        <v>1E-14</v>
      </c>
      <c r="N76" s="61">
        <v>1E-14</v>
      </c>
      <c r="O76" s="61">
        <v>1E-14</v>
      </c>
    </row>
    <row r="77" spans="1:15" x14ac:dyDescent="0.25">
      <c r="A77" s="61">
        <f t="shared" si="1"/>
        <v>23250</v>
      </c>
      <c r="B77" s="62" t="s">
        <v>117</v>
      </c>
      <c r="C77" s="59" t="s">
        <v>69</v>
      </c>
      <c r="D77" s="61">
        <v>1E-14</v>
      </c>
      <c r="E77" s="61">
        <v>1E-14</v>
      </c>
      <c r="F77" s="61">
        <v>1E-14</v>
      </c>
      <c r="G77" s="61">
        <v>1E-14</v>
      </c>
      <c r="H77" s="61">
        <v>1E-14</v>
      </c>
      <c r="I77" s="61">
        <v>1E-14</v>
      </c>
      <c r="J77" s="61">
        <v>1E-14</v>
      </c>
      <c r="K77" s="61">
        <v>1E-14</v>
      </c>
      <c r="L77" s="61">
        <v>1E-14</v>
      </c>
      <c r="M77" s="61">
        <v>1E-14</v>
      </c>
      <c r="N77" s="61">
        <v>1E-14</v>
      </c>
      <c r="O77" s="61">
        <v>23250</v>
      </c>
    </row>
    <row r="78" spans="1:15" x14ac:dyDescent="0.25">
      <c r="A78" s="61">
        <f t="shared" si="1"/>
        <v>1.1999999999999997E-13</v>
      </c>
      <c r="B78" s="62" t="s">
        <v>117</v>
      </c>
      <c r="C78" s="59" t="s">
        <v>50</v>
      </c>
      <c r="D78" s="61">
        <v>1E-14</v>
      </c>
      <c r="E78" s="61">
        <v>1E-14</v>
      </c>
      <c r="F78" s="61">
        <v>1E-14</v>
      </c>
      <c r="G78" s="61">
        <v>1E-14</v>
      </c>
      <c r="H78" s="61">
        <v>1E-14</v>
      </c>
      <c r="I78" s="61">
        <v>1E-14</v>
      </c>
      <c r="J78" s="61">
        <v>1E-14</v>
      </c>
      <c r="K78" s="61">
        <v>1E-14</v>
      </c>
      <c r="L78" s="61">
        <v>1E-14</v>
      </c>
      <c r="M78" s="61">
        <v>1E-14</v>
      </c>
      <c r="N78" s="61">
        <v>1E-14</v>
      </c>
      <c r="O78" s="61">
        <v>1E-14</v>
      </c>
    </row>
    <row r="79" spans="1:15" x14ac:dyDescent="0.25">
      <c r="A79" s="61">
        <f t="shared" si="1"/>
        <v>1.1999999999999997E-13</v>
      </c>
      <c r="B79" s="62" t="s">
        <v>117</v>
      </c>
      <c r="C79" s="59" t="s">
        <v>52</v>
      </c>
      <c r="D79" s="61">
        <v>1E-14</v>
      </c>
      <c r="E79" s="61">
        <v>1E-14</v>
      </c>
      <c r="F79" s="61">
        <v>1E-14</v>
      </c>
      <c r="G79" s="61">
        <v>1E-14</v>
      </c>
      <c r="H79" s="61">
        <v>1E-14</v>
      </c>
      <c r="I79" s="61">
        <v>1E-14</v>
      </c>
      <c r="J79" s="61">
        <v>1E-14</v>
      </c>
      <c r="K79" s="61">
        <v>1E-14</v>
      </c>
      <c r="L79" s="61">
        <v>1E-14</v>
      </c>
      <c r="M79" s="61">
        <v>1E-14</v>
      </c>
      <c r="N79" s="61">
        <v>1E-14</v>
      </c>
      <c r="O79" s="61">
        <v>1E-14</v>
      </c>
    </row>
    <row r="80" spans="1:15" x14ac:dyDescent="0.25">
      <c r="A80" s="61">
        <f t="shared" si="1"/>
        <v>82199.999999999985</v>
      </c>
      <c r="B80" s="62" t="s">
        <v>117</v>
      </c>
      <c r="C80" s="59" t="s">
        <v>55</v>
      </c>
      <c r="D80" s="61">
        <v>6850</v>
      </c>
      <c r="E80" s="61">
        <v>6847.9449999999906</v>
      </c>
      <c r="F80" s="61">
        <v>6850.6849999999995</v>
      </c>
      <c r="G80" s="61">
        <v>6850</v>
      </c>
      <c r="H80" s="61">
        <v>6850</v>
      </c>
      <c r="I80" s="61">
        <v>6850</v>
      </c>
      <c r="J80" s="61">
        <v>6850</v>
      </c>
      <c r="K80" s="61">
        <v>6850</v>
      </c>
      <c r="L80" s="61">
        <v>6850</v>
      </c>
      <c r="M80" s="61">
        <v>6850</v>
      </c>
      <c r="N80" s="61">
        <v>6850.6849999999995</v>
      </c>
      <c r="O80" s="61">
        <v>6850.6849999999995</v>
      </c>
    </row>
    <row r="81" spans="1:16" x14ac:dyDescent="0.25">
      <c r="A81" s="61">
        <f t="shared" si="1"/>
        <v>20000000.000000004</v>
      </c>
      <c r="B81" s="62" t="s">
        <v>117</v>
      </c>
      <c r="C81" s="59" t="s">
        <v>85</v>
      </c>
      <c r="D81" s="61">
        <v>1666833.3333333335</v>
      </c>
      <c r="E81" s="61">
        <v>1666500.0000000019</v>
      </c>
      <c r="F81" s="61">
        <v>1666666.6666666667</v>
      </c>
      <c r="G81" s="61">
        <v>1666666.6666666667</v>
      </c>
      <c r="H81" s="61">
        <v>1666666.6666666667</v>
      </c>
      <c r="I81" s="61">
        <v>1666666.6666666667</v>
      </c>
      <c r="J81" s="61">
        <v>1666666.666666667</v>
      </c>
      <c r="K81" s="61">
        <v>1666666.666666667</v>
      </c>
      <c r="L81" s="61">
        <v>1666666.6666666667</v>
      </c>
      <c r="M81" s="61">
        <v>1666666.6666666665</v>
      </c>
      <c r="N81" s="61">
        <v>1666666.6666666667</v>
      </c>
      <c r="O81" s="61">
        <v>1666666.6666666667</v>
      </c>
    </row>
    <row r="82" spans="1:16" x14ac:dyDescent="0.25">
      <c r="A82" s="61">
        <f t="shared" si="1"/>
        <v>1811058.9999749558</v>
      </c>
      <c r="B82" s="62" t="s">
        <v>117</v>
      </c>
      <c r="C82" s="59" t="s">
        <v>87</v>
      </c>
      <c r="D82" s="61">
        <v>150921.58333124616</v>
      </c>
      <c r="E82" s="61">
        <v>150921.58333124648</v>
      </c>
      <c r="F82" s="61">
        <v>150921.58333124637</v>
      </c>
      <c r="G82" s="61">
        <v>150921.58333124637</v>
      </c>
      <c r="H82" s="61">
        <v>150921.58333124628</v>
      </c>
      <c r="I82" s="61">
        <v>150921.58333124628</v>
      </c>
      <c r="J82" s="61">
        <v>150921.58333124587</v>
      </c>
      <c r="K82" s="61">
        <v>150921.58333124628</v>
      </c>
      <c r="L82" s="61">
        <v>150921.58333124628</v>
      </c>
      <c r="M82" s="61">
        <v>150921.58333124628</v>
      </c>
      <c r="N82" s="61">
        <v>150921.58333124628</v>
      </c>
      <c r="O82" s="61">
        <v>150921.58333124637</v>
      </c>
    </row>
    <row r="83" spans="1:16" x14ac:dyDescent="0.25">
      <c r="A83" s="61">
        <f t="shared" si="1"/>
        <v>-5038754.6390268933</v>
      </c>
      <c r="B83" s="62" t="s">
        <v>117</v>
      </c>
      <c r="C83" s="59" t="s">
        <v>48</v>
      </c>
      <c r="D83" s="61">
        <v>1E-14</v>
      </c>
      <c r="E83" s="61">
        <v>-1494211.7647058822</v>
      </c>
      <c r="F83" s="61">
        <v>-1079341.6029290794</v>
      </c>
      <c r="G83" s="61">
        <v>1E-14</v>
      </c>
      <c r="H83" s="61">
        <v>1E-14</v>
      </c>
      <c r="I83" s="61">
        <v>1E-14</v>
      </c>
      <c r="J83" s="61">
        <v>1E-14</v>
      </c>
      <c r="K83" s="61">
        <v>1E-14</v>
      </c>
      <c r="L83" s="61">
        <v>1E-14</v>
      </c>
      <c r="M83" s="61">
        <v>1E-14</v>
      </c>
      <c r="N83" s="61">
        <v>-874061.29369457334</v>
      </c>
      <c r="O83" s="61">
        <v>-1591139.977697358</v>
      </c>
    </row>
    <row r="84" spans="1:16" x14ac:dyDescent="0.25">
      <c r="A84" s="61">
        <f t="shared" si="1"/>
        <v>1.1999999999999997E-13</v>
      </c>
      <c r="B84" s="62" t="s">
        <v>117</v>
      </c>
      <c r="C84" s="59" t="s">
        <v>65</v>
      </c>
      <c r="D84" s="61">
        <v>1E-14</v>
      </c>
      <c r="E84" s="61">
        <v>1E-14</v>
      </c>
      <c r="F84" s="61">
        <v>1E-14</v>
      </c>
      <c r="G84" s="61">
        <v>1E-14</v>
      </c>
      <c r="H84" s="61">
        <v>1E-14</v>
      </c>
      <c r="I84" s="61">
        <v>1E-14</v>
      </c>
      <c r="J84" s="61">
        <v>1E-14</v>
      </c>
      <c r="K84" s="61">
        <v>1E-14</v>
      </c>
      <c r="L84" s="61">
        <v>1E-14</v>
      </c>
      <c r="M84" s="61">
        <v>1E-14</v>
      </c>
      <c r="N84" s="61">
        <v>1E-14</v>
      </c>
      <c r="O84" s="61">
        <v>1E-14</v>
      </c>
    </row>
    <row r="85" spans="1:16" x14ac:dyDescent="0.25">
      <c r="A85" s="61">
        <f t="shared" si="1"/>
        <v>-5638245.474862216</v>
      </c>
      <c r="B85" s="62" t="s">
        <v>117</v>
      </c>
      <c r="C85" s="59" t="s">
        <v>76</v>
      </c>
      <c r="D85" s="61">
        <v>-4457781.1416538171</v>
      </c>
      <c r="E85" s="61">
        <v>-1180464.3332083989</v>
      </c>
      <c r="F85" s="61">
        <v>1E-14</v>
      </c>
      <c r="G85" s="61">
        <v>1E-14</v>
      </c>
      <c r="H85" s="61">
        <v>1E-14</v>
      </c>
      <c r="I85" s="61">
        <v>1E-14</v>
      </c>
      <c r="J85" s="61">
        <v>1E-14</v>
      </c>
      <c r="K85" s="61">
        <v>1E-14</v>
      </c>
      <c r="L85" s="61">
        <v>1E-14</v>
      </c>
      <c r="M85" s="61">
        <v>1E-14</v>
      </c>
      <c r="N85" s="61">
        <v>1E-14</v>
      </c>
      <c r="O85" s="61">
        <v>1E-14</v>
      </c>
    </row>
    <row r="87" spans="1:16" x14ac:dyDescent="0.25">
      <c r="A87" s="54"/>
      <c r="B87" s="54"/>
      <c r="C87" s="46" t="s">
        <v>137</v>
      </c>
      <c r="D87" s="55" t="s">
        <v>1</v>
      </c>
      <c r="E87" s="55" t="s">
        <v>2</v>
      </c>
      <c r="F87" s="55" t="s">
        <v>3</v>
      </c>
      <c r="G87" s="55" t="s">
        <v>4</v>
      </c>
      <c r="H87" s="55" t="s">
        <v>5</v>
      </c>
      <c r="I87" s="55" t="s">
        <v>6</v>
      </c>
      <c r="J87" s="55" t="s">
        <v>7</v>
      </c>
      <c r="K87" s="55" t="s">
        <v>8</v>
      </c>
      <c r="L87" s="55" t="s">
        <v>9</v>
      </c>
      <c r="M87" s="55" t="s">
        <v>10</v>
      </c>
      <c r="N87" s="55" t="s">
        <v>11</v>
      </c>
      <c r="O87" s="55" t="s">
        <v>12</v>
      </c>
      <c r="P87" s="47"/>
    </row>
    <row r="88" spans="1:16" x14ac:dyDescent="0.25">
      <c r="C88" s="49" t="s">
        <v>129</v>
      </c>
      <c r="D88" s="63">
        <v>0.70209896405159411</v>
      </c>
      <c r="E88" s="63">
        <v>0.69821694862155381</v>
      </c>
      <c r="F88" s="63">
        <v>0.70209896405159411</v>
      </c>
      <c r="G88" s="63">
        <v>0.57826086956521738</v>
      </c>
      <c r="H88" s="63">
        <v>0.57826086956521727</v>
      </c>
      <c r="I88" s="63">
        <v>0.59023368573753332</v>
      </c>
      <c r="J88" s="63">
        <v>0.71526771336553951</v>
      </c>
      <c r="K88" s="63">
        <v>0.71526771336553951</v>
      </c>
      <c r="L88" s="63">
        <v>0.59023368573753332</v>
      </c>
      <c r="M88" s="63">
        <v>0.57826086956521727</v>
      </c>
      <c r="N88" s="63">
        <v>0.69111070770142935</v>
      </c>
      <c r="O88" s="63">
        <v>0.6879067427965635</v>
      </c>
    </row>
    <row r="89" spans="1:16" x14ac:dyDescent="0.25">
      <c r="C89" s="49" t="s">
        <v>130</v>
      </c>
      <c r="D89" s="63">
        <v>0.89912233222432425</v>
      </c>
      <c r="E89" s="63">
        <v>0.90165584090241047</v>
      </c>
      <c r="F89" s="63">
        <v>0.89911780844838263</v>
      </c>
      <c r="G89" s="63">
        <v>0.76828282828282823</v>
      </c>
      <c r="H89" s="63">
        <v>0.57272727272727264</v>
      </c>
      <c r="I89" s="63">
        <v>0.57272727272727264</v>
      </c>
      <c r="J89" s="63">
        <v>0.6332671678323184</v>
      </c>
      <c r="K89" s="63">
        <v>0.6332671678323184</v>
      </c>
      <c r="L89" s="63">
        <v>0.57272727272727264</v>
      </c>
      <c r="M89" s="63">
        <v>0.72103616813294236</v>
      </c>
      <c r="N89" s="63">
        <v>0.89141877149309823</v>
      </c>
      <c r="O89" s="63">
        <v>0.95799380974017434</v>
      </c>
    </row>
    <row r="90" spans="1:16" x14ac:dyDescent="0.25">
      <c r="C90" s="49" t="s">
        <v>131</v>
      </c>
      <c r="D90" s="63">
        <v>1E-14</v>
      </c>
      <c r="E90" s="63">
        <v>1</v>
      </c>
      <c r="F90" s="63">
        <v>0.6524437919509285</v>
      </c>
      <c r="G90" s="63">
        <v>1E-14</v>
      </c>
      <c r="H90" s="63">
        <v>1E-14</v>
      </c>
      <c r="I90" s="63">
        <v>1E-14</v>
      </c>
      <c r="J90" s="63">
        <v>1E-14</v>
      </c>
      <c r="K90" s="63">
        <v>1E-14</v>
      </c>
      <c r="L90" s="63">
        <v>1E-14</v>
      </c>
      <c r="M90" s="63">
        <v>1E-14</v>
      </c>
      <c r="N90" s="63">
        <v>0.54596715141121932</v>
      </c>
      <c r="O90" s="63">
        <v>0.96181727615829948</v>
      </c>
    </row>
    <row r="91" spans="1:16" x14ac:dyDescent="0.25">
      <c r="C91" s="49" t="s">
        <v>132</v>
      </c>
      <c r="D91" s="63">
        <v>0.14646234336377537</v>
      </c>
      <c r="E91" s="63">
        <v>4.2940170850834618E-2</v>
      </c>
      <c r="F91" s="63">
        <v>1E-14</v>
      </c>
      <c r="G91" s="63">
        <v>1E-14</v>
      </c>
      <c r="H91" s="63">
        <v>1E-14</v>
      </c>
      <c r="I91" s="63">
        <v>1E-14</v>
      </c>
      <c r="J91" s="63">
        <v>1E-14</v>
      </c>
      <c r="K91" s="63">
        <v>1E-14</v>
      </c>
      <c r="L91" s="63">
        <v>1E-14</v>
      </c>
      <c r="M91" s="63">
        <v>1E-14</v>
      </c>
      <c r="N91" s="63">
        <v>1E-14</v>
      </c>
      <c r="O91" s="63">
        <v>1E-14</v>
      </c>
    </row>
    <row r="92" spans="1:16" x14ac:dyDescent="0.25">
      <c r="C92" s="49" t="s">
        <v>133</v>
      </c>
      <c r="D92" s="63">
        <v>1E-14</v>
      </c>
      <c r="E92" s="63">
        <v>1E-14</v>
      </c>
      <c r="F92" s="63">
        <v>1E-14</v>
      </c>
      <c r="G92" s="63">
        <v>1E-14</v>
      </c>
      <c r="H92" s="63">
        <v>1E-14</v>
      </c>
      <c r="I92" s="63">
        <v>1E-14</v>
      </c>
      <c r="J92" s="63">
        <v>1E-14</v>
      </c>
      <c r="K92" s="63">
        <v>1E-14</v>
      </c>
      <c r="L92" s="63">
        <v>1E-14</v>
      </c>
      <c r="M92" s="63">
        <v>1E-14</v>
      </c>
      <c r="N92" s="63">
        <v>1E-14</v>
      </c>
      <c r="O92" s="63">
        <v>1E-14</v>
      </c>
    </row>
    <row r="93" spans="1:16" x14ac:dyDescent="0.25">
      <c r="C93" s="49" t="s">
        <v>134</v>
      </c>
      <c r="D93" s="63">
        <v>1E-14</v>
      </c>
      <c r="E93" s="63">
        <v>1E-14</v>
      </c>
      <c r="F93" s="63">
        <v>1E-14</v>
      </c>
      <c r="G93" s="63">
        <v>1E-14</v>
      </c>
      <c r="H93" s="63">
        <v>0.32845878136200696</v>
      </c>
      <c r="I93" s="63">
        <v>0.80806804795433085</v>
      </c>
      <c r="J93" s="63">
        <v>0.66584096261094294</v>
      </c>
      <c r="K93" s="63">
        <v>0.71064382999445541</v>
      </c>
      <c r="L93" s="63">
        <v>0.76177175165803457</v>
      </c>
      <c r="M93" s="63">
        <v>1E-14</v>
      </c>
      <c r="N93" s="63">
        <v>1E-14</v>
      </c>
      <c r="O93" s="63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22" priority="10" operator="lessThan">
      <formula>0.0000000000012</formula>
    </cfRule>
  </conditionalFormatting>
  <conditionalFormatting sqref="D88:O93">
    <cfRule type="cellIs" dxfId="21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20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19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ModelParms</vt:lpstr>
      <vt:lpstr>INFO</vt:lpstr>
      <vt:lpstr>Scen</vt:lpstr>
      <vt:lpstr>DataCtrl</vt:lpstr>
      <vt:lpstr>DataU</vt:lpstr>
      <vt:lpstr>DataFuel</vt:lpstr>
      <vt:lpstr>Affald2021</vt:lpstr>
      <vt:lpstr>E-V</vt:lpstr>
      <vt:lpstr>Lister</vt:lpstr>
      <vt:lpstr>Resultater</vt:lpstr>
      <vt:lpstr>OptimDump</vt:lpstr>
      <vt:lpstr>Affaldsfraktioner</vt:lpstr>
      <vt:lpstr>arrNiv2</vt:lpstr>
      <vt:lpstr>arrNiv3</vt:lpstr>
      <vt:lpstr>FixAffald2021</vt:lpstr>
      <vt:lpstr>listDataCtrl</vt:lpstr>
      <vt:lpstr>listFuelAttr</vt:lpstr>
      <vt:lpstr>listFuelBounds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OfzNiveau2</vt:lpstr>
      <vt:lpstr>OfzNiveau3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2022-03-03T10:22:27Z</dcterms:modified>
</cp:coreProperties>
</file>