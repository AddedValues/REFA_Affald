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5.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omments6.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GitHub\REFA Affald\GAMS\"/>
    </mc:Choice>
  </mc:AlternateContent>
  <xr:revisionPtr revIDLastSave="0" documentId="13_ncr:1_{26AAD91A-66F0-4035-BDC9-B4995D050D81}" xr6:coauthVersionLast="47" xr6:coauthVersionMax="47" xr10:uidLastSave="{00000000-0000-0000-0000-000000000000}"/>
  <bookViews>
    <workbookView xWindow="-120" yWindow="-120" windowWidth="29040" windowHeight="17520" tabRatio="841" firstSheet="2" activeTab="3" xr2:uid="{15369939-A677-4414-B524-DF263B3097DC}"/>
  </bookViews>
  <sheets>
    <sheet name="ModelParms" sheetId="5" state="hidden" r:id="rId1"/>
    <sheet name="INFO" sheetId="16" r:id="rId2"/>
    <sheet name="Scen" sheetId="15" r:id="rId3"/>
    <sheet name="DataCtrl" sheetId="10" r:id="rId4"/>
    <sheet name="DataU" sheetId="2" r:id="rId5"/>
    <sheet name="DataFuel" sheetId="1" r:id="rId6"/>
    <sheet name="Affald2021" sheetId="17" r:id="rId7"/>
    <sheet name="E-V" sheetId="11" r:id="rId8"/>
    <sheet name="Lister" sheetId="12" r:id="rId9"/>
    <sheet name="Resultater" sheetId="8" state="hidden" r:id="rId10"/>
    <sheet name="OptimDump" sheetId="9" state="hidden" r:id="rId11"/>
  </sheets>
  <externalReferences>
    <externalReference r:id="rId12"/>
  </externalReferences>
  <definedNames>
    <definedName name="__DIM1" hidden="1">" "</definedName>
    <definedName name="__DIM2" hidden="1">" "</definedName>
    <definedName name="__DIM3" hidden="1">" "</definedName>
    <definedName name="__DIM4" hidden="1">" "</definedName>
    <definedName name="_CreateBy">"Mette Skov"</definedName>
    <definedName name="_CreateDate" hidden="1">"2021-06-08"</definedName>
    <definedName name="_CreateTime" hidden="1">"09:26:36"</definedName>
    <definedName name="_DATABUD" hidden="1">"Std"</definedName>
    <definedName name="_DATAMONTH" hidden="1">1</definedName>
    <definedName name="_DATAMONTH2" hidden="1">4</definedName>
    <definedName name="_DATATYPE" hidden="1">"REA/REA"</definedName>
    <definedName name="_DATAUPDATE" hidden="1">TRUE</definedName>
    <definedName name="_DATAYEAR1" hidden="1">2021</definedName>
    <definedName name="_DATAYEAR2" hidden="1">2020</definedName>
    <definedName name="_DIM1" hidden="1">" "</definedName>
    <definedName name="_DIM2" hidden="1">" "</definedName>
    <definedName name="_DIM3" hidden="1">" "</definedName>
    <definedName name="_DIM4" hidden="1">" "</definedName>
    <definedName name="_INDEX">'[1]Toolpack®'!$B$8</definedName>
    <definedName name="_INSERTTOTALS" hidden="1">TRUE</definedName>
    <definedName name="_lastupdate" hidden="1">"2021-06-08 09:26:37 (DW: 08-06-2021 09:02:37)"</definedName>
    <definedName name="_P1" hidden="1">2021</definedName>
    <definedName name="_P2" hidden="1">2020</definedName>
    <definedName name="_PERIODE" hidden="1">FALSE</definedName>
    <definedName name="_TRANSLATE" hidden="1">[1]language!$B$2:$G$70</definedName>
    <definedName name="_xlpm.a" hidden="1" xlm="1">#NAME?</definedName>
    <definedName name="_xlpm.b" hidden="1" xlm="1">#NAME?</definedName>
    <definedName name="_xlpm.ba" hidden="1" xlm="1">#NAME?</definedName>
    <definedName name="_xlpm.d" hidden="1" xlm="1">#NAME?</definedName>
    <definedName name="_xlpm.icol" hidden="1" xlm="1">#NAME?</definedName>
    <definedName name="_xlpm.pmax" hidden="1" xlm="1">#NAME?</definedName>
    <definedName name="_xlpm.ran" hidden="1" xlm="1">#NAME?</definedName>
    <definedName name="Affaldsfraktioner">DataFuel!$C$5:$C$30</definedName>
    <definedName name="arrNiv2">Lister!$A$39:$AL$44</definedName>
    <definedName name="arrNiv3">Lister!$A$48:$AJ$53</definedName>
    <definedName name="BALANCE" hidden="1">" "</definedName>
    <definedName name="BCONCERN" hidden="1">FALSE</definedName>
    <definedName name="BMINUS" hidden="1">TRUE</definedName>
    <definedName name="BSIMONSHEET" hidden="1">FALSE</definedName>
    <definedName name="BTHOUSAND" hidden="1">TRUE</definedName>
    <definedName name="BUDGET">2022</definedName>
    <definedName name="BUDGETNAME" hidden="1">2012</definedName>
    <definedName name="BUDGETPERIOD" hidden="1">"01-01-2022..31-12-2022"</definedName>
    <definedName name="BUSECONCERN" hidden="1">TRUE</definedName>
    <definedName name="COMBO" hidden="1">"Afdelinger"</definedName>
    <definedName name="COMPANY" hidden="1">" "</definedName>
    <definedName name="CURRENCYVALUE" hidden="1">100</definedName>
    <definedName name="CURRENCYVALUE2" hidden="1">100</definedName>
    <definedName name="CUTDATE" hidden="1">38352</definedName>
    <definedName name="dFilter">" "</definedName>
    <definedName name="dFilterStart">" "</definedName>
    <definedName name="DropDown2">_xlfn.LET(_xlpm.icol,MATCH(Lister!$R1&amp;"2",listHeaders,0)-1,_xlpm.ran,OFFSET(Lister!$B$3,1,_xlpm.icol,40,1),OFFSET(Lister!$B$3,1,_xlpm.icol,COUNTA(_xlpm.ran)-COUNTIF(_xlpm.ran,"=0"),1))</definedName>
    <definedName name="DropDown3">_xlfn.LET(_xlpm.icol,MATCH(Lister!$R1&amp;"3",listHeaders,0)-1,_xlpm.ran,OFFSET(Lister!$B$3,1,_xlpm.icol,40,1),OFFSET(Lister!$B$3,1,_xlpm.icol,COUNTA(_xlpm.ran)-COUNTIF(_xlpm.ran,"=0"),1))</definedName>
    <definedName name="DropDownLevel2">Lister!$A$5=_xlfn.LET(_xlpm.a,MATCH(Lister!$R1&amp;"2",listHeaders,0)-1,_xlpm.b,OFFSET(Lister!$B$3,1,_xlpm.a,40,1),OFFSET(Lister!$B$3,1,_xlpm.a,COUNTA(_xlpm.b)-COUNTIF(_xlpm.b,"=0"),1))</definedName>
    <definedName name="DropDownScen2">_xlfn.LET(_xlpm.icol,MATCH(Scen!$E1&amp;"2",listHeaders,0)-1,_xlpm.ran,OFFSET(Lister!$B$3,1,_xlpm.icol,40,1),OFFSET(Lister!$B$3,1,_xlpm.icol,COUNTA(_xlpm.ran)-COUNTIF(_xlpm.ran,"=0"),1))</definedName>
    <definedName name="DropDownScen3">_xlfn.LET(_xlpm.icol,MATCH(Scen!$E1&amp;"3",listHeaders,0)-1,_xlpm.ran,OFFSET(Lister!$B$3,1,_xlpm.icol,40,1),OFFSET(Lister!$B$3,1,_xlpm.icol,COUNTA(_xlpm.ran)-COUNTIF(_xlpm.ran,"=0"),1))</definedName>
    <definedName name="DSN" hidden="1">" "</definedName>
    <definedName name="ENDDATE" hidden="1">" "</definedName>
    <definedName name="FixAffald2021">DataCtrl!$C$9</definedName>
    <definedName name="INCOME" hidden="1">" "</definedName>
    <definedName name="KIBS_DIMREP" hidden="1">" "</definedName>
    <definedName name="KIBSBUDGET" hidden="1">TRUE</definedName>
    <definedName name="KIBSCASHFLOW" hidden="1">TRUE</definedName>
    <definedName name="lindex">" "</definedName>
    <definedName name="listDataCtrl">DataCtrl!$B$4:$B$20</definedName>
    <definedName name="listFuelAttr">DataFuel!$D$4:$T$4</definedName>
    <definedName name="listFuelBounds">Lister!$P$4:$P$8</definedName>
    <definedName name="listFuelName">DataFuel!$C$5:$C$33</definedName>
    <definedName name="listHeaders">Lister!$B$3:$P$3</definedName>
    <definedName name="listPrognosisAttr">DataU!$E$22:$AC$22</definedName>
    <definedName name="listRoot">Lister!$B$4:$B$9</definedName>
    <definedName name="listScheduleCols">DataU!$B$3:$E$3</definedName>
    <definedName name="listScheduleRows">DataU!$A$4:$A$6</definedName>
    <definedName name="listStorageAttr">DataU!$R$11:$AC$11</definedName>
    <definedName name="listStorageName">DataU!$Q$12:$Q$17</definedName>
    <definedName name="listUnitAttr">DataU!$B$11:$O$11</definedName>
    <definedName name="listUnitsName">DataU!$A$12:$A$17</definedName>
    <definedName name="MANREP_KIBS" hidden="1">"MANREP_KIBS"</definedName>
    <definedName name="MONTH" hidden="1">"januar"</definedName>
    <definedName name="MONTHNUMBER">1</definedName>
    <definedName name="MONTHVAT" hidden="1">TRUE</definedName>
    <definedName name="NaN">DataCtrl!$J$4</definedName>
    <definedName name="nFuelA">ModelParms!#REF!</definedName>
    <definedName name="NUMBERFACTOR" hidden="1">1</definedName>
    <definedName name="OfzNiveau2">Lister!$B$38</definedName>
    <definedName name="OfzNiveau3">Lister!$B$47</definedName>
    <definedName name="Penalty_QRgkMiss">ModelParms!$C$6</definedName>
    <definedName name="PerDataFirst">DataU!$B$6</definedName>
    <definedName name="PerDataLast">DataU!$C$6</definedName>
    <definedName name="PeriodRange">DataU!$C$23:$C$58</definedName>
    <definedName name="PerSlut">DataU!$E$6</definedName>
    <definedName name="PerStart">DataU!$D$6</definedName>
    <definedName name="PROTECT" hidden="1">FALSE</definedName>
    <definedName name="QUATERVAT" hidden="1">FALSE</definedName>
    <definedName name="RgkRabatMinShare">ModelParms!$C$8</definedName>
    <definedName name="RgkRabatSats">ModelParms!$C$9</definedName>
    <definedName name="SCDim">" "</definedName>
    <definedName name="ScenProtoTHIS">!A1</definedName>
    <definedName name="STARTDATE" hidden="1">" "</definedName>
    <definedName name="TEMPLATE" hidden="1">"Budget"</definedName>
    <definedName name="USEBORDERS" hidden="1">"ON"</definedName>
    <definedName name="USENEXTYEAR">!A1</definedName>
    <definedName name="VCONSOLID" hidden="1">TRUE</definedName>
    <definedName name="VEXPORT" hidden="1">TRUE</definedName>
    <definedName name="YEAR">2022</definedName>
    <definedName name="ØvrigeBrændsler">DataFuel!$C$31:$C$33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24" i="2" l="1"/>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23" i="2"/>
  <c r="H21" i="15"/>
  <c r="H19" i="15"/>
  <c r="H18" i="15"/>
  <c r="H17" i="15"/>
  <c r="H16" i="15"/>
  <c r="M26" i="1" l="1"/>
  <c r="S36" i="2" l="1"/>
  <c r="S37" i="2"/>
  <c r="S38" i="2"/>
  <c r="S39" i="2"/>
  <c r="S40" i="2"/>
  <c r="S41" i="2"/>
  <c r="S42" i="2"/>
  <c r="S43" i="2"/>
  <c r="S44" i="2"/>
  <c r="S45" i="2"/>
  <c r="S46" i="2"/>
  <c r="S35" i="2"/>
  <c r="H25" i="15" l="1"/>
  <c r="H24" i="15"/>
  <c r="H23" i="15"/>
  <c r="H22" i="15"/>
  <c r="Q71" i="1" l="1"/>
  <c r="R71" i="1"/>
  <c r="S71" i="1"/>
  <c r="T71" i="1"/>
  <c r="U71" i="1"/>
  <c r="V71" i="1"/>
  <c r="W71" i="1"/>
  <c r="X71" i="1"/>
  <c r="Y71" i="1"/>
  <c r="Z71" i="1"/>
  <c r="AA71" i="1"/>
  <c r="AB71" i="1"/>
  <c r="AC71" i="1"/>
  <c r="AD71" i="1"/>
  <c r="AE71" i="1"/>
  <c r="AF71" i="1"/>
  <c r="AG71" i="1"/>
  <c r="AH71" i="1"/>
  <c r="AI71" i="1"/>
  <c r="AJ71" i="1"/>
  <c r="AK71" i="1"/>
  <c r="AL71" i="1"/>
  <c r="AM71" i="1"/>
  <c r="Q72" i="1"/>
  <c r="R72" i="1"/>
  <c r="S72" i="1"/>
  <c r="T72" i="1"/>
  <c r="U72" i="1"/>
  <c r="V72" i="1"/>
  <c r="W72" i="1"/>
  <c r="X72" i="1"/>
  <c r="Y72" i="1"/>
  <c r="Z72" i="1"/>
  <c r="AA72" i="1"/>
  <c r="AB72" i="1"/>
  <c r="AC72" i="1"/>
  <c r="AD72" i="1"/>
  <c r="AE72" i="1"/>
  <c r="AF72" i="1"/>
  <c r="AG72" i="1"/>
  <c r="AH72" i="1"/>
  <c r="AI72" i="1"/>
  <c r="AJ72" i="1"/>
  <c r="AK72" i="1"/>
  <c r="AL72" i="1"/>
  <c r="AM72" i="1"/>
  <c r="Q73" i="1"/>
  <c r="R73" i="1"/>
  <c r="S73" i="1"/>
  <c r="T73" i="1"/>
  <c r="U73" i="1"/>
  <c r="V73" i="1"/>
  <c r="W73" i="1"/>
  <c r="X73" i="1"/>
  <c r="Y73" i="1"/>
  <c r="Z73" i="1"/>
  <c r="AA73" i="1"/>
  <c r="AB73" i="1"/>
  <c r="AC73" i="1"/>
  <c r="AD73" i="1"/>
  <c r="AE73" i="1"/>
  <c r="AF73" i="1"/>
  <c r="AG73" i="1"/>
  <c r="AH73" i="1"/>
  <c r="AI73" i="1"/>
  <c r="AJ73" i="1"/>
  <c r="AK73" i="1"/>
  <c r="AL73" i="1"/>
  <c r="AM73" i="1"/>
  <c r="Q74" i="1"/>
  <c r="R74" i="1"/>
  <c r="S74" i="1"/>
  <c r="T74" i="1"/>
  <c r="U74" i="1"/>
  <c r="V74" i="1"/>
  <c r="W74" i="1"/>
  <c r="X74" i="1"/>
  <c r="Y74" i="1"/>
  <c r="Z74" i="1"/>
  <c r="AA74" i="1"/>
  <c r="AB74" i="1"/>
  <c r="AC74" i="1"/>
  <c r="AD74" i="1"/>
  <c r="AE74" i="1"/>
  <c r="AF74" i="1"/>
  <c r="AG74" i="1"/>
  <c r="AH74" i="1"/>
  <c r="AI74" i="1"/>
  <c r="AJ74" i="1"/>
  <c r="AK74" i="1"/>
  <c r="AL74" i="1"/>
  <c r="AM74" i="1"/>
  <c r="Q75" i="1"/>
  <c r="R75" i="1"/>
  <c r="S75" i="1"/>
  <c r="T75" i="1"/>
  <c r="U75" i="1"/>
  <c r="V75" i="1"/>
  <c r="W75" i="1"/>
  <c r="X75" i="1"/>
  <c r="Y75" i="1"/>
  <c r="Z75" i="1"/>
  <c r="AA75" i="1"/>
  <c r="AB75" i="1"/>
  <c r="AC75" i="1"/>
  <c r="AD75" i="1"/>
  <c r="AE75" i="1"/>
  <c r="AF75" i="1"/>
  <c r="AG75" i="1"/>
  <c r="AH75" i="1"/>
  <c r="AI75" i="1"/>
  <c r="AJ75" i="1"/>
  <c r="AK75" i="1"/>
  <c r="AL75" i="1"/>
  <c r="AM75" i="1"/>
  <c r="Q76" i="1"/>
  <c r="R76" i="1"/>
  <c r="S76" i="1"/>
  <c r="T76" i="1"/>
  <c r="U76" i="1"/>
  <c r="V76" i="1"/>
  <c r="W76" i="1"/>
  <c r="X76" i="1"/>
  <c r="Y76" i="1"/>
  <c r="Z76" i="1"/>
  <c r="AA76" i="1"/>
  <c r="AB76" i="1"/>
  <c r="AC76" i="1"/>
  <c r="AD76" i="1"/>
  <c r="AE76" i="1"/>
  <c r="AF76" i="1"/>
  <c r="AG76" i="1"/>
  <c r="AH76" i="1"/>
  <c r="AI76" i="1"/>
  <c r="AJ76" i="1"/>
  <c r="AK76" i="1"/>
  <c r="AL76" i="1"/>
  <c r="AM76" i="1"/>
  <c r="Q77" i="1"/>
  <c r="R77" i="1"/>
  <c r="S77" i="1"/>
  <c r="T77" i="1"/>
  <c r="U77" i="1"/>
  <c r="V77" i="1"/>
  <c r="W77" i="1"/>
  <c r="X77" i="1"/>
  <c r="Y77" i="1"/>
  <c r="Z77" i="1"/>
  <c r="AA77" i="1"/>
  <c r="AB77" i="1"/>
  <c r="AC77" i="1"/>
  <c r="AD77" i="1"/>
  <c r="AE77" i="1"/>
  <c r="AF77" i="1"/>
  <c r="AG77" i="1"/>
  <c r="AH77" i="1"/>
  <c r="AI77" i="1"/>
  <c r="AJ77" i="1"/>
  <c r="AK77" i="1"/>
  <c r="AL77" i="1"/>
  <c r="AM77" i="1"/>
  <c r="Q78" i="1"/>
  <c r="R78" i="1"/>
  <c r="S78" i="1"/>
  <c r="T78" i="1"/>
  <c r="U78" i="1"/>
  <c r="V78" i="1"/>
  <c r="W78" i="1"/>
  <c r="X78" i="1"/>
  <c r="Y78" i="1"/>
  <c r="Z78" i="1"/>
  <c r="AA78" i="1"/>
  <c r="AB78" i="1"/>
  <c r="AC78" i="1"/>
  <c r="AD78" i="1"/>
  <c r="AE78" i="1"/>
  <c r="AF78" i="1"/>
  <c r="AG78" i="1"/>
  <c r="AH78" i="1"/>
  <c r="AI78" i="1"/>
  <c r="AJ78" i="1"/>
  <c r="AK78" i="1"/>
  <c r="AL78" i="1"/>
  <c r="AM78" i="1"/>
  <c r="Q79" i="1"/>
  <c r="R79" i="1"/>
  <c r="S79" i="1"/>
  <c r="T79" i="1"/>
  <c r="U79" i="1"/>
  <c r="V79" i="1"/>
  <c r="W79" i="1"/>
  <c r="X79" i="1"/>
  <c r="Y79" i="1"/>
  <c r="Z79" i="1"/>
  <c r="AA79" i="1"/>
  <c r="AB79" i="1"/>
  <c r="AC79" i="1"/>
  <c r="AD79" i="1"/>
  <c r="AE79" i="1"/>
  <c r="AF79" i="1"/>
  <c r="AG79" i="1"/>
  <c r="AH79" i="1"/>
  <c r="AI79" i="1"/>
  <c r="AJ79" i="1"/>
  <c r="AK79" i="1"/>
  <c r="AL79" i="1"/>
  <c r="AM79" i="1"/>
  <c r="Q80" i="1"/>
  <c r="R80" i="1"/>
  <c r="S80" i="1"/>
  <c r="T80" i="1"/>
  <c r="U80" i="1"/>
  <c r="V80" i="1"/>
  <c r="W80" i="1"/>
  <c r="X80" i="1"/>
  <c r="Y80" i="1"/>
  <c r="Z80" i="1"/>
  <c r="AA80" i="1"/>
  <c r="AB80" i="1"/>
  <c r="AC80" i="1"/>
  <c r="AD80" i="1"/>
  <c r="AE80" i="1"/>
  <c r="AF80" i="1"/>
  <c r="AG80" i="1"/>
  <c r="AH80" i="1"/>
  <c r="AI80" i="1"/>
  <c r="AJ80" i="1"/>
  <c r="AK80" i="1"/>
  <c r="AL80" i="1"/>
  <c r="AM80" i="1"/>
  <c r="Q81" i="1"/>
  <c r="R81" i="1"/>
  <c r="S81" i="1"/>
  <c r="T81" i="1"/>
  <c r="U81" i="1"/>
  <c r="V81" i="1"/>
  <c r="W81" i="1"/>
  <c r="X81" i="1"/>
  <c r="Y81" i="1"/>
  <c r="Z81" i="1"/>
  <c r="AA81" i="1"/>
  <c r="AB81" i="1"/>
  <c r="AC81" i="1"/>
  <c r="AD81" i="1"/>
  <c r="AE81" i="1"/>
  <c r="AF81" i="1"/>
  <c r="AG81" i="1"/>
  <c r="AH81" i="1"/>
  <c r="AI81" i="1"/>
  <c r="AJ81" i="1"/>
  <c r="AK81" i="1"/>
  <c r="AL81" i="1"/>
  <c r="AM81" i="1"/>
  <c r="Q82" i="1"/>
  <c r="R82" i="1"/>
  <c r="S82" i="1"/>
  <c r="T82" i="1"/>
  <c r="U82" i="1"/>
  <c r="V82" i="1"/>
  <c r="W82" i="1"/>
  <c r="X82" i="1"/>
  <c r="Y82" i="1"/>
  <c r="Z82" i="1"/>
  <c r="AA82" i="1"/>
  <c r="AB82" i="1"/>
  <c r="AC82" i="1"/>
  <c r="AD82" i="1"/>
  <c r="AE82" i="1"/>
  <c r="AF82" i="1"/>
  <c r="AG82" i="1"/>
  <c r="AH82" i="1"/>
  <c r="AI82" i="1"/>
  <c r="AJ82" i="1"/>
  <c r="AK82" i="1"/>
  <c r="AL82" i="1"/>
  <c r="AM82" i="1"/>
  <c r="Q83" i="1"/>
  <c r="R83" i="1"/>
  <c r="S83" i="1"/>
  <c r="T83" i="1"/>
  <c r="U83" i="1"/>
  <c r="V83" i="1"/>
  <c r="W83" i="1"/>
  <c r="X83" i="1"/>
  <c r="Y83" i="1"/>
  <c r="Z83" i="1"/>
  <c r="AA83" i="1"/>
  <c r="AB83" i="1"/>
  <c r="AC83" i="1"/>
  <c r="AD83" i="1"/>
  <c r="AE83" i="1"/>
  <c r="AF83" i="1"/>
  <c r="AG83" i="1"/>
  <c r="AH83" i="1"/>
  <c r="AI83" i="1"/>
  <c r="AJ83" i="1"/>
  <c r="AK83" i="1"/>
  <c r="AL83" i="1"/>
  <c r="AM83" i="1"/>
  <c r="Q84" i="1"/>
  <c r="R84" i="1"/>
  <c r="S84" i="1"/>
  <c r="T84" i="1"/>
  <c r="U84" i="1"/>
  <c r="V84" i="1"/>
  <c r="W84" i="1"/>
  <c r="X84" i="1"/>
  <c r="Y84" i="1"/>
  <c r="Z84" i="1"/>
  <c r="AA84" i="1"/>
  <c r="AB84" i="1"/>
  <c r="AC84" i="1"/>
  <c r="AD84" i="1"/>
  <c r="AE84" i="1"/>
  <c r="AF84" i="1"/>
  <c r="AG84" i="1"/>
  <c r="AH84" i="1"/>
  <c r="AI84" i="1"/>
  <c r="AJ84" i="1"/>
  <c r="AK84" i="1"/>
  <c r="AL84" i="1"/>
  <c r="AM84" i="1"/>
  <c r="Q85" i="1"/>
  <c r="R85" i="1"/>
  <c r="S85" i="1"/>
  <c r="T85" i="1"/>
  <c r="U85" i="1"/>
  <c r="V85" i="1"/>
  <c r="W85" i="1"/>
  <c r="X85" i="1"/>
  <c r="Y85" i="1"/>
  <c r="Z85" i="1"/>
  <c r="AA85" i="1"/>
  <c r="AB85" i="1"/>
  <c r="AC85" i="1"/>
  <c r="AD85" i="1"/>
  <c r="AE85" i="1"/>
  <c r="AF85" i="1"/>
  <c r="AG85" i="1"/>
  <c r="AH85" i="1"/>
  <c r="AI85" i="1"/>
  <c r="AJ85" i="1"/>
  <c r="AK85" i="1"/>
  <c r="AL85" i="1"/>
  <c r="AM85" i="1"/>
  <c r="Q86" i="1"/>
  <c r="R86" i="1"/>
  <c r="S86" i="1"/>
  <c r="T86" i="1"/>
  <c r="U86" i="1"/>
  <c r="V86" i="1"/>
  <c r="W86" i="1"/>
  <c r="X86" i="1"/>
  <c r="Y86" i="1"/>
  <c r="Z86" i="1"/>
  <c r="AA86" i="1"/>
  <c r="AB86" i="1"/>
  <c r="AC86" i="1"/>
  <c r="AD86" i="1"/>
  <c r="AE86" i="1"/>
  <c r="AF86" i="1"/>
  <c r="AG86" i="1"/>
  <c r="AH86" i="1"/>
  <c r="AI86" i="1"/>
  <c r="AJ86" i="1"/>
  <c r="AK86" i="1"/>
  <c r="AL86" i="1"/>
  <c r="AM86" i="1"/>
  <c r="Q87" i="1"/>
  <c r="R87" i="1"/>
  <c r="S87" i="1"/>
  <c r="T87" i="1"/>
  <c r="U87" i="1"/>
  <c r="V87" i="1"/>
  <c r="W87" i="1"/>
  <c r="X87" i="1"/>
  <c r="Y87" i="1"/>
  <c r="Z87" i="1"/>
  <c r="AA87" i="1"/>
  <c r="AB87" i="1"/>
  <c r="AC87" i="1"/>
  <c r="AD87" i="1"/>
  <c r="AE87" i="1"/>
  <c r="AF87" i="1"/>
  <c r="AG87" i="1"/>
  <c r="AH87" i="1"/>
  <c r="AI87" i="1"/>
  <c r="AJ87" i="1"/>
  <c r="AK87" i="1"/>
  <c r="AL87" i="1"/>
  <c r="AM87" i="1"/>
  <c r="Q88" i="1"/>
  <c r="R88" i="1"/>
  <c r="S88" i="1"/>
  <c r="T88" i="1"/>
  <c r="U88" i="1"/>
  <c r="V88" i="1"/>
  <c r="W88" i="1"/>
  <c r="X88" i="1"/>
  <c r="Y88" i="1"/>
  <c r="Z88" i="1"/>
  <c r="AA88" i="1"/>
  <c r="AB88" i="1"/>
  <c r="AC88" i="1"/>
  <c r="AD88" i="1"/>
  <c r="AE88" i="1"/>
  <c r="AF88" i="1"/>
  <c r="AG88" i="1"/>
  <c r="AH88" i="1"/>
  <c r="AI88" i="1"/>
  <c r="AJ88" i="1"/>
  <c r="AK88" i="1"/>
  <c r="AL88" i="1"/>
  <c r="AM88" i="1"/>
  <c r="Q89" i="1"/>
  <c r="R89" i="1"/>
  <c r="S89" i="1"/>
  <c r="T89" i="1"/>
  <c r="U89" i="1"/>
  <c r="V89" i="1"/>
  <c r="W89" i="1"/>
  <c r="X89" i="1"/>
  <c r="Y89" i="1"/>
  <c r="Z89" i="1"/>
  <c r="AA89" i="1"/>
  <c r="AB89" i="1"/>
  <c r="AC89" i="1"/>
  <c r="AD89" i="1"/>
  <c r="AE89" i="1"/>
  <c r="AF89" i="1"/>
  <c r="AG89" i="1"/>
  <c r="AH89" i="1"/>
  <c r="AI89" i="1"/>
  <c r="AJ89" i="1"/>
  <c r="AK89" i="1"/>
  <c r="AL89" i="1"/>
  <c r="AM89" i="1"/>
  <c r="Q90" i="1"/>
  <c r="R90" i="1"/>
  <c r="S90" i="1"/>
  <c r="T90" i="1"/>
  <c r="U90" i="1"/>
  <c r="V90" i="1"/>
  <c r="W90" i="1"/>
  <c r="X90" i="1"/>
  <c r="Y90" i="1"/>
  <c r="Z90" i="1"/>
  <c r="AA90" i="1"/>
  <c r="AB90" i="1"/>
  <c r="AC90" i="1"/>
  <c r="AD90" i="1"/>
  <c r="AE90" i="1"/>
  <c r="AF90" i="1"/>
  <c r="AG90" i="1"/>
  <c r="AH90" i="1"/>
  <c r="AI90" i="1"/>
  <c r="AJ90" i="1"/>
  <c r="AK90" i="1"/>
  <c r="AL90" i="1"/>
  <c r="AM90" i="1"/>
  <c r="Q91" i="1"/>
  <c r="R91" i="1"/>
  <c r="S91" i="1"/>
  <c r="T91" i="1"/>
  <c r="U91" i="1"/>
  <c r="V91" i="1"/>
  <c r="W91" i="1"/>
  <c r="X91" i="1"/>
  <c r="Y91" i="1"/>
  <c r="Z91" i="1"/>
  <c r="AA91" i="1"/>
  <c r="AB91" i="1"/>
  <c r="AC91" i="1"/>
  <c r="AD91" i="1"/>
  <c r="AE91" i="1"/>
  <c r="AF91" i="1"/>
  <c r="AG91" i="1"/>
  <c r="AH91" i="1"/>
  <c r="AI91" i="1"/>
  <c r="AJ91" i="1"/>
  <c r="AK91" i="1"/>
  <c r="AL91" i="1"/>
  <c r="AM91" i="1"/>
  <c r="Q92" i="1"/>
  <c r="R92" i="1"/>
  <c r="S92" i="1"/>
  <c r="T92" i="1"/>
  <c r="U92" i="1"/>
  <c r="V92" i="1"/>
  <c r="W92" i="1"/>
  <c r="X92" i="1"/>
  <c r="Y92" i="1"/>
  <c r="Z92" i="1"/>
  <c r="AA92" i="1"/>
  <c r="AB92" i="1"/>
  <c r="AC92" i="1"/>
  <c r="AD92" i="1"/>
  <c r="AE92" i="1"/>
  <c r="AF92" i="1"/>
  <c r="AG92" i="1"/>
  <c r="AH92" i="1"/>
  <c r="AI92" i="1"/>
  <c r="AJ92" i="1"/>
  <c r="AK92" i="1"/>
  <c r="AL92" i="1"/>
  <c r="AM92" i="1"/>
  <c r="Q93" i="1"/>
  <c r="R93" i="1"/>
  <c r="S93" i="1"/>
  <c r="T93" i="1"/>
  <c r="U93" i="1"/>
  <c r="V93" i="1"/>
  <c r="W93" i="1"/>
  <c r="X93" i="1"/>
  <c r="Y93" i="1"/>
  <c r="Z93" i="1"/>
  <c r="AA93" i="1"/>
  <c r="AB93" i="1"/>
  <c r="AC93" i="1"/>
  <c r="AD93" i="1"/>
  <c r="AE93" i="1"/>
  <c r="AF93" i="1"/>
  <c r="AG93" i="1"/>
  <c r="AH93" i="1"/>
  <c r="AI93" i="1"/>
  <c r="AJ93" i="1"/>
  <c r="AK93" i="1"/>
  <c r="AL93" i="1"/>
  <c r="AM93" i="1"/>
  <c r="Q94" i="1"/>
  <c r="R94" i="1"/>
  <c r="S94" i="1"/>
  <c r="T94" i="1"/>
  <c r="U94" i="1"/>
  <c r="V94" i="1"/>
  <c r="W94" i="1"/>
  <c r="X94" i="1"/>
  <c r="Y94" i="1"/>
  <c r="Z94" i="1"/>
  <c r="AA94" i="1"/>
  <c r="AB94" i="1"/>
  <c r="AC94" i="1"/>
  <c r="AD94" i="1"/>
  <c r="AE94" i="1"/>
  <c r="AF94" i="1"/>
  <c r="AG94" i="1"/>
  <c r="AH94" i="1"/>
  <c r="AI94" i="1"/>
  <c r="AJ94" i="1"/>
  <c r="AK94" i="1"/>
  <c r="AL94" i="1"/>
  <c r="AM94" i="1"/>
  <c r="Q95" i="1"/>
  <c r="R95" i="1"/>
  <c r="S95" i="1"/>
  <c r="T95" i="1"/>
  <c r="U95" i="1"/>
  <c r="V95" i="1"/>
  <c r="W95" i="1"/>
  <c r="X95" i="1"/>
  <c r="Y95" i="1"/>
  <c r="Z95" i="1"/>
  <c r="AA95" i="1"/>
  <c r="AB95" i="1"/>
  <c r="AC95" i="1"/>
  <c r="AD95" i="1"/>
  <c r="AE95" i="1"/>
  <c r="AF95" i="1"/>
  <c r="AG95" i="1"/>
  <c r="AH95" i="1"/>
  <c r="AI95" i="1"/>
  <c r="AJ95" i="1"/>
  <c r="AK95" i="1"/>
  <c r="AL95" i="1"/>
  <c r="AM95" i="1"/>
  <c r="Q96" i="1"/>
  <c r="R96" i="1"/>
  <c r="S96" i="1"/>
  <c r="T96" i="1"/>
  <c r="U96" i="1"/>
  <c r="V96" i="1"/>
  <c r="W96" i="1"/>
  <c r="X96" i="1"/>
  <c r="Y96" i="1"/>
  <c r="Z96" i="1"/>
  <c r="AA96" i="1"/>
  <c r="AB96" i="1"/>
  <c r="AC96" i="1"/>
  <c r="AD96" i="1"/>
  <c r="AE96" i="1"/>
  <c r="AF96" i="1"/>
  <c r="AG96" i="1"/>
  <c r="AH96" i="1"/>
  <c r="AI96" i="1"/>
  <c r="AJ96" i="1"/>
  <c r="AK96" i="1"/>
  <c r="AL96" i="1"/>
  <c r="AM96" i="1"/>
  <c r="Q97" i="1"/>
  <c r="R97" i="1"/>
  <c r="S97" i="1"/>
  <c r="T97" i="1"/>
  <c r="U97" i="1"/>
  <c r="V97" i="1"/>
  <c r="W97" i="1"/>
  <c r="X97" i="1"/>
  <c r="Y97" i="1"/>
  <c r="Z97" i="1"/>
  <c r="AA97" i="1"/>
  <c r="AB97" i="1"/>
  <c r="AC97" i="1"/>
  <c r="AD97" i="1"/>
  <c r="AE97" i="1"/>
  <c r="AF97" i="1"/>
  <c r="AG97" i="1"/>
  <c r="AH97" i="1"/>
  <c r="AI97" i="1"/>
  <c r="AJ97" i="1"/>
  <c r="AK97" i="1"/>
  <c r="AL97" i="1"/>
  <c r="AM97" i="1"/>
  <c r="Q98" i="1"/>
  <c r="R98" i="1"/>
  <c r="S98" i="1"/>
  <c r="T98" i="1"/>
  <c r="U98" i="1"/>
  <c r="V98" i="1"/>
  <c r="W98" i="1"/>
  <c r="X98" i="1"/>
  <c r="Y98" i="1"/>
  <c r="Z98" i="1"/>
  <c r="AA98" i="1"/>
  <c r="AB98" i="1"/>
  <c r="AC98" i="1"/>
  <c r="AD98" i="1"/>
  <c r="AE98" i="1"/>
  <c r="AF98" i="1"/>
  <c r="AG98" i="1"/>
  <c r="AH98" i="1"/>
  <c r="AI98" i="1"/>
  <c r="AJ98" i="1"/>
  <c r="AK98" i="1"/>
  <c r="AL98" i="1"/>
  <c r="AM98" i="1"/>
  <c r="Q99" i="1"/>
  <c r="R99" i="1"/>
  <c r="S99" i="1"/>
  <c r="T99" i="1"/>
  <c r="U99" i="1"/>
  <c r="V99" i="1"/>
  <c r="W99" i="1"/>
  <c r="X99" i="1"/>
  <c r="Y99" i="1"/>
  <c r="Z99" i="1"/>
  <c r="AA99" i="1"/>
  <c r="AB99" i="1"/>
  <c r="AC99" i="1"/>
  <c r="AD99" i="1"/>
  <c r="AE99" i="1"/>
  <c r="AF99" i="1"/>
  <c r="AG99" i="1"/>
  <c r="AH99" i="1"/>
  <c r="AI99" i="1"/>
  <c r="AJ99" i="1"/>
  <c r="AK99" i="1"/>
  <c r="AL99" i="1"/>
  <c r="AM99"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71" i="1"/>
  <c r="Q41" i="1"/>
  <c r="R41" i="1"/>
  <c r="S41" i="1"/>
  <c r="T41" i="1"/>
  <c r="U41" i="1"/>
  <c r="V41" i="1"/>
  <c r="W41" i="1"/>
  <c r="X41" i="1"/>
  <c r="Y41" i="1"/>
  <c r="Z41" i="1"/>
  <c r="AA41" i="1"/>
  <c r="AB41" i="1"/>
  <c r="AC41" i="1"/>
  <c r="AD41" i="1"/>
  <c r="AE41" i="1"/>
  <c r="AF41" i="1"/>
  <c r="AG41" i="1"/>
  <c r="AH41" i="1"/>
  <c r="AI41" i="1"/>
  <c r="AJ41" i="1"/>
  <c r="AK41" i="1"/>
  <c r="AL41" i="1"/>
  <c r="AM41" i="1"/>
  <c r="Q42" i="1"/>
  <c r="R42" i="1"/>
  <c r="S42" i="1"/>
  <c r="T42" i="1"/>
  <c r="U42" i="1"/>
  <c r="V42" i="1"/>
  <c r="W42" i="1"/>
  <c r="X42" i="1"/>
  <c r="Y42" i="1"/>
  <c r="Z42" i="1"/>
  <c r="AA42" i="1"/>
  <c r="AB42" i="1"/>
  <c r="AC42" i="1"/>
  <c r="AD42" i="1"/>
  <c r="AE42" i="1"/>
  <c r="AF42" i="1"/>
  <c r="AG42" i="1"/>
  <c r="AH42" i="1"/>
  <c r="AI42" i="1"/>
  <c r="AJ42" i="1"/>
  <c r="AK42" i="1"/>
  <c r="AL42" i="1"/>
  <c r="AM42" i="1"/>
  <c r="Q43" i="1"/>
  <c r="R43" i="1"/>
  <c r="S43" i="1"/>
  <c r="T43" i="1"/>
  <c r="U43" i="1"/>
  <c r="V43" i="1"/>
  <c r="W43" i="1"/>
  <c r="X43" i="1"/>
  <c r="Y43" i="1"/>
  <c r="Z43" i="1"/>
  <c r="AA43" i="1"/>
  <c r="AB43" i="1"/>
  <c r="AC43" i="1"/>
  <c r="AD43" i="1"/>
  <c r="AE43" i="1"/>
  <c r="AF43" i="1"/>
  <c r="AG43" i="1"/>
  <c r="AH43" i="1"/>
  <c r="AI43" i="1"/>
  <c r="AJ43" i="1"/>
  <c r="AK43" i="1"/>
  <c r="AL43" i="1"/>
  <c r="AM43" i="1"/>
  <c r="Q44" i="1"/>
  <c r="R44" i="1"/>
  <c r="S44" i="1"/>
  <c r="T44" i="1"/>
  <c r="U44" i="1"/>
  <c r="V44" i="1"/>
  <c r="W44" i="1"/>
  <c r="X44" i="1"/>
  <c r="Y44" i="1"/>
  <c r="Z44" i="1"/>
  <c r="AA44" i="1"/>
  <c r="AB44" i="1"/>
  <c r="AC44" i="1"/>
  <c r="AD44" i="1"/>
  <c r="AE44" i="1"/>
  <c r="AF44" i="1"/>
  <c r="AG44" i="1"/>
  <c r="AH44" i="1"/>
  <c r="AI44" i="1"/>
  <c r="AJ44" i="1"/>
  <c r="AK44" i="1"/>
  <c r="AL44" i="1"/>
  <c r="AM44" i="1"/>
  <c r="Q45" i="1"/>
  <c r="R45" i="1"/>
  <c r="S45" i="1"/>
  <c r="T45" i="1"/>
  <c r="U45" i="1"/>
  <c r="V45" i="1"/>
  <c r="W45" i="1"/>
  <c r="X45" i="1"/>
  <c r="Y45" i="1"/>
  <c r="Z45" i="1"/>
  <c r="AA45" i="1"/>
  <c r="AB45" i="1"/>
  <c r="AC45" i="1"/>
  <c r="AD45" i="1"/>
  <c r="AE45" i="1"/>
  <c r="AF45" i="1"/>
  <c r="AG45" i="1"/>
  <c r="AH45" i="1"/>
  <c r="AI45" i="1"/>
  <c r="AJ45" i="1"/>
  <c r="AK45" i="1"/>
  <c r="AL45" i="1"/>
  <c r="AM45" i="1"/>
  <c r="Q46" i="1"/>
  <c r="R46" i="1"/>
  <c r="S46" i="1"/>
  <c r="T46" i="1"/>
  <c r="U46" i="1"/>
  <c r="V46" i="1"/>
  <c r="W46" i="1"/>
  <c r="X46" i="1"/>
  <c r="Y46" i="1"/>
  <c r="Z46" i="1"/>
  <c r="AA46" i="1"/>
  <c r="AB46" i="1"/>
  <c r="AC46" i="1"/>
  <c r="AD46" i="1"/>
  <c r="AE46" i="1"/>
  <c r="AF46" i="1"/>
  <c r="AG46" i="1"/>
  <c r="AH46" i="1"/>
  <c r="AI46" i="1"/>
  <c r="AJ46" i="1"/>
  <c r="AK46" i="1"/>
  <c r="AL46" i="1"/>
  <c r="AM46" i="1"/>
  <c r="Q47" i="1"/>
  <c r="R47" i="1"/>
  <c r="S47" i="1"/>
  <c r="T47" i="1"/>
  <c r="U47" i="1"/>
  <c r="V47" i="1"/>
  <c r="W47" i="1"/>
  <c r="X47" i="1"/>
  <c r="Y47" i="1"/>
  <c r="Z47" i="1"/>
  <c r="AA47" i="1"/>
  <c r="AB47" i="1"/>
  <c r="AC47" i="1"/>
  <c r="AD47" i="1"/>
  <c r="AE47" i="1"/>
  <c r="AF47" i="1"/>
  <c r="AG47" i="1"/>
  <c r="AH47" i="1"/>
  <c r="AI47" i="1"/>
  <c r="AJ47" i="1"/>
  <c r="AK47" i="1"/>
  <c r="AL47" i="1"/>
  <c r="AM47" i="1"/>
  <c r="Q48" i="1"/>
  <c r="R48" i="1"/>
  <c r="S48" i="1"/>
  <c r="T48" i="1"/>
  <c r="U48" i="1"/>
  <c r="V48" i="1"/>
  <c r="W48" i="1"/>
  <c r="X48" i="1"/>
  <c r="Y48" i="1"/>
  <c r="Z48" i="1"/>
  <c r="AA48" i="1"/>
  <c r="AB48" i="1"/>
  <c r="AC48" i="1"/>
  <c r="AD48" i="1"/>
  <c r="AE48" i="1"/>
  <c r="AF48" i="1"/>
  <c r="AG48" i="1"/>
  <c r="AH48" i="1"/>
  <c r="AI48" i="1"/>
  <c r="AJ48" i="1"/>
  <c r="AK48" i="1"/>
  <c r="AL48" i="1"/>
  <c r="AM48" i="1"/>
  <c r="Q49" i="1"/>
  <c r="R49" i="1"/>
  <c r="S49" i="1"/>
  <c r="T49" i="1"/>
  <c r="U49" i="1"/>
  <c r="V49" i="1"/>
  <c r="W49" i="1"/>
  <c r="X49" i="1"/>
  <c r="Y49" i="1"/>
  <c r="Z49" i="1"/>
  <c r="AA49" i="1"/>
  <c r="AB49" i="1"/>
  <c r="AC49" i="1"/>
  <c r="AD49" i="1"/>
  <c r="AE49" i="1"/>
  <c r="AF49" i="1"/>
  <c r="AG49" i="1"/>
  <c r="AH49" i="1"/>
  <c r="AI49" i="1"/>
  <c r="AJ49" i="1"/>
  <c r="AK49" i="1"/>
  <c r="AL49" i="1"/>
  <c r="AM49" i="1"/>
  <c r="Q50" i="1"/>
  <c r="R50" i="1"/>
  <c r="S50" i="1"/>
  <c r="T50" i="1"/>
  <c r="U50" i="1"/>
  <c r="V50" i="1"/>
  <c r="W50" i="1"/>
  <c r="X50" i="1"/>
  <c r="Y50" i="1"/>
  <c r="Z50" i="1"/>
  <c r="AA50" i="1"/>
  <c r="AB50" i="1"/>
  <c r="AC50" i="1"/>
  <c r="AD50" i="1"/>
  <c r="AE50" i="1"/>
  <c r="AF50" i="1"/>
  <c r="AG50" i="1"/>
  <c r="AH50" i="1"/>
  <c r="AI50" i="1"/>
  <c r="AJ50" i="1"/>
  <c r="AK50" i="1"/>
  <c r="AL50" i="1"/>
  <c r="AM50" i="1"/>
  <c r="Q51" i="1"/>
  <c r="R51" i="1"/>
  <c r="S51" i="1"/>
  <c r="T51" i="1"/>
  <c r="U51" i="1"/>
  <c r="V51" i="1"/>
  <c r="W51" i="1"/>
  <c r="X51" i="1"/>
  <c r="Y51" i="1"/>
  <c r="Z51" i="1"/>
  <c r="AA51" i="1"/>
  <c r="AB51" i="1"/>
  <c r="AC51" i="1"/>
  <c r="AD51" i="1"/>
  <c r="AE51" i="1"/>
  <c r="AF51" i="1"/>
  <c r="AG51" i="1"/>
  <c r="AH51" i="1"/>
  <c r="AI51" i="1"/>
  <c r="AJ51" i="1"/>
  <c r="AK51" i="1"/>
  <c r="AL51" i="1"/>
  <c r="AM51" i="1"/>
  <c r="Q52" i="1"/>
  <c r="R52" i="1"/>
  <c r="S52" i="1"/>
  <c r="T52" i="1"/>
  <c r="U52" i="1"/>
  <c r="V52" i="1"/>
  <c r="W52" i="1"/>
  <c r="X52" i="1"/>
  <c r="Y52" i="1"/>
  <c r="Z52" i="1"/>
  <c r="AA52" i="1"/>
  <c r="AB52" i="1"/>
  <c r="AC52" i="1"/>
  <c r="AD52" i="1"/>
  <c r="AE52" i="1"/>
  <c r="AF52" i="1"/>
  <c r="AG52" i="1"/>
  <c r="AH52" i="1"/>
  <c r="AI52" i="1"/>
  <c r="AJ52" i="1"/>
  <c r="AK52" i="1"/>
  <c r="AL52" i="1"/>
  <c r="AM52" i="1"/>
  <c r="Q53" i="1"/>
  <c r="R53" i="1"/>
  <c r="S53" i="1"/>
  <c r="T53" i="1"/>
  <c r="U53" i="1"/>
  <c r="V53" i="1"/>
  <c r="W53" i="1"/>
  <c r="X53" i="1"/>
  <c r="Y53" i="1"/>
  <c r="Z53" i="1"/>
  <c r="AA53" i="1"/>
  <c r="AB53" i="1"/>
  <c r="AC53" i="1"/>
  <c r="AD53" i="1"/>
  <c r="AE53" i="1"/>
  <c r="AF53" i="1"/>
  <c r="AG53" i="1"/>
  <c r="AH53" i="1"/>
  <c r="AI53" i="1"/>
  <c r="AJ53" i="1"/>
  <c r="AK53" i="1"/>
  <c r="AL53" i="1"/>
  <c r="AM53" i="1"/>
  <c r="Q54" i="1"/>
  <c r="R54" i="1"/>
  <c r="S54" i="1"/>
  <c r="T54" i="1"/>
  <c r="U54" i="1"/>
  <c r="V54" i="1"/>
  <c r="W54" i="1"/>
  <c r="X54" i="1"/>
  <c r="Y54" i="1"/>
  <c r="Z54" i="1"/>
  <c r="AA54" i="1"/>
  <c r="AB54" i="1"/>
  <c r="AC54" i="1"/>
  <c r="AD54" i="1"/>
  <c r="AE54" i="1"/>
  <c r="AF54" i="1"/>
  <c r="AG54" i="1"/>
  <c r="AH54" i="1"/>
  <c r="AI54" i="1"/>
  <c r="AJ54" i="1"/>
  <c r="AK54" i="1"/>
  <c r="AL54" i="1"/>
  <c r="AM54" i="1"/>
  <c r="Q55" i="1"/>
  <c r="R55" i="1"/>
  <c r="S55" i="1"/>
  <c r="T55" i="1"/>
  <c r="U55" i="1"/>
  <c r="V55" i="1"/>
  <c r="W55" i="1"/>
  <c r="X55" i="1"/>
  <c r="Y55" i="1"/>
  <c r="Z55" i="1"/>
  <c r="AA55" i="1"/>
  <c r="AB55" i="1"/>
  <c r="AC55" i="1"/>
  <c r="AD55" i="1"/>
  <c r="AE55" i="1"/>
  <c r="AF55" i="1"/>
  <c r="AG55" i="1"/>
  <c r="AH55" i="1"/>
  <c r="AI55" i="1"/>
  <c r="AJ55" i="1"/>
  <c r="AK55" i="1"/>
  <c r="AL55" i="1"/>
  <c r="AM55" i="1"/>
  <c r="Q56" i="1"/>
  <c r="R56" i="1"/>
  <c r="S56" i="1"/>
  <c r="T56" i="1"/>
  <c r="U56" i="1"/>
  <c r="V56" i="1"/>
  <c r="W56" i="1"/>
  <c r="X56" i="1"/>
  <c r="Y56" i="1"/>
  <c r="Z56" i="1"/>
  <c r="AA56" i="1"/>
  <c r="AB56" i="1"/>
  <c r="AC56" i="1"/>
  <c r="AD56" i="1"/>
  <c r="AE56" i="1"/>
  <c r="AF56" i="1"/>
  <c r="AG56" i="1"/>
  <c r="AH56" i="1"/>
  <c r="AI56" i="1"/>
  <c r="AJ56" i="1"/>
  <c r="AK56" i="1"/>
  <c r="AL56" i="1"/>
  <c r="AM56" i="1"/>
  <c r="Q57" i="1"/>
  <c r="R57" i="1"/>
  <c r="S57" i="1"/>
  <c r="T57" i="1"/>
  <c r="U57" i="1"/>
  <c r="V57" i="1"/>
  <c r="W57" i="1"/>
  <c r="X57" i="1"/>
  <c r="Y57" i="1"/>
  <c r="Z57" i="1"/>
  <c r="AA57" i="1"/>
  <c r="AB57" i="1"/>
  <c r="AC57" i="1"/>
  <c r="AD57" i="1"/>
  <c r="AE57" i="1"/>
  <c r="AF57" i="1"/>
  <c r="AG57" i="1"/>
  <c r="AH57" i="1"/>
  <c r="AI57" i="1"/>
  <c r="AJ57" i="1"/>
  <c r="AK57" i="1"/>
  <c r="AL57" i="1"/>
  <c r="AM57" i="1"/>
  <c r="Q58" i="1"/>
  <c r="R58" i="1"/>
  <c r="S58" i="1"/>
  <c r="T58" i="1"/>
  <c r="U58" i="1"/>
  <c r="V58" i="1"/>
  <c r="W58" i="1"/>
  <c r="X58" i="1"/>
  <c r="Y58" i="1"/>
  <c r="Z58" i="1"/>
  <c r="AA58" i="1"/>
  <c r="AB58" i="1"/>
  <c r="AC58" i="1"/>
  <c r="AD58" i="1"/>
  <c r="AE58" i="1"/>
  <c r="AF58" i="1"/>
  <c r="AG58" i="1"/>
  <c r="AH58" i="1"/>
  <c r="AI58" i="1"/>
  <c r="AJ58" i="1"/>
  <c r="AK58" i="1"/>
  <c r="AL58" i="1"/>
  <c r="AM58" i="1"/>
  <c r="Q59" i="1"/>
  <c r="R59" i="1"/>
  <c r="S59" i="1"/>
  <c r="T59" i="1"/>
  <c r="U59" i="1"/>
  <c r="V59" i="1"/>
  <c r="W59" i="1"/>
  <c r="X59" i="1"/>
  <c r="Y59" i="1"/>
  <c r="Z59" i="1"/>
  <c r="AA59" i="1"/>
  <c r="AB59" i="1"/>
  <c r="AC59" i="1"/>
  <c r="AD59" i="1"/>
  <c r="AE59" i="1"/>
  <c r="AF59" i="1"/>
  <c r="AG59" i="1"/>
  <c r="AH59" i="1"/>
  <c r="AI59" i="1"/>
  <c r="AJ59" i="1"/>
  <c r="AK59" i="1"/>
  <c r="AL59" i="1"/>
  <c r="AM59" i="1"/>
  <c r="Q60" i="1"/>
  <c r="R60" i="1"/>
  <c r="S60" i="1"/>
  <c r="T60" i="1"/>
  <c r="U60" i="1"/>
  <c r="V60" i="1"/>
  <c r="W60" i="1"/>
  <c r="X60" i="1"/>
  <c r="Y60" i="1"/>
  <c r="Z60" i="1"/>
  <c r="AA60" i="1"/>
  <c r="AB60" i="1"/>
  <c r="AC60" i="1"/>
  <c r="AD60" i="1"/>
  <c r="AE60" i="1"/>
  <c r="AF60" i="1"/>
  <c r="AG60" i="1"/>
  <c r="AH60" i="1"/>
  <c r="AI60" i="1"/>
  <c r="AJ60" i="1"/>
  <c r="AK60" i="1"/>
  <c r="AL60" i="1"/>
  <c r="AM60" i="1"/>
  <c r="Q61" i="1"/>
  <c r="R61" i="1"/>
  <c r="S61" i="1"/>
  <c r="T61" i="1"/>
  <c r="U61" i="1"/>
  <c r="V61" i="1"/>
  <c r="W61" i="1"/>
  <c r="X61" i="1"/>
  <c r="Y61" i="1"/>
  <c r="Z61" i="1"/>
  <c r="AA61" i="1"/>
  <c r="AB61" i="1"/>
  <c r="AC61" i="1"/>
  <c r="AD61" i="1"/>
  <c r="AE61" i="1"/>
  <c r="AF61" i="1"/>
  <c r="AG61" i="1"/>
  <c r="AH61" i="1"/>
  <c r="AI61" i="1"/>
  <c r="AJ61" i="1"/>
  <c r="AK61" i="1"/>
  <c r="AL61" i="1"/>
  <c r="AM61" i="1"/>
  <c r="Q62" i="1"/>
  <c r="R62" i="1"/>
  <c r="S62" i="1"/>
  <c r="T62" i="1"/>
  <c r="U62" i="1"/>
  <c r="V62" i="1"/>
  <c r="W62" i="1"/>
  <c r="X62" i="1"/>
  <c r="Y62" i="1"/>
  <c r="Z62" i="1"/>
  <c r="AA62" i="1"/>
  <c r="AB62" i="1"/>
  <c r="AC62" i="1"/>
  <c r="AD62" i="1"/>
  <c r="AE62" i="1"/>
  <c r="AF62" i="1"/>
  <c r="AG62" i="1"/>
  <c r="AH62" i="1"/>
  <c r="AI62" i="1"/>
  <c r="AJ62" i="1"/>
  <c r="AK62" i="1"/>
  <c r="AL62" i="1"/>
  <c r="AM62" i="1"/>
  <c r="Q63" i="1"/>
  <c r="R63" i="1"/>
  <c r="S63" i="1"/>
  <c r="T63" i="1"/>
  <c r="U63" i="1"/>
  <c r="V63" i="1"/>
  <c r="W63" i="1"/>
  <c r="X63" i="1"/>
  <c r="Y63" i="1"/>
  <c r="Z63" i="1"/>
  <c r="AA63" i="1"/>
  <c r="AB63" i="1"/>
  <c r="AC63" i="1"/>
  <c r="AD63" i="1"/>
  <c r="AE63" i="1"/>
  <c r="AF63" i="1"/>
  <c r="AG63" i="1"/>
  <c r="AH63" i="1"/>
  <c r="AI63" i="1"/>
  <c r="AJ63" i="1"/>
  <c r="AK63" i="1"/>
  <c r="AL63" i="1"/>
  <c r="AM63" i="1"/>
  <c r="Q64" i="1"/>
  <c r="R64" i="1"/>
  <c r="S64" i="1"/>
  <c r="T64" i="1"/>
  <c r="U64" i="1"/>
  <c r="V64" i="1"/>
  <c r="W64" i="1"/>
  <c r="X64" i="1"/>
  <c r="Y64" i="1"/>
  <c r="Z64" i="1"/>
  <c r="AA64" i="1"/>
  <c r="AB64" i="1"/>
  <c r="AC64" i="1"/>
  <c r="AD64" i="1"/>
  <c r="AE64" i="1"/>
  <c r="AF64" i="1"/>
  <c r="AG64" i="1"/>
  <c r="AH64" i="1"/>
  <c r="AI64" i="1"/>
  <c r="AJ64" i="1"/>
  <c r="AK64" i="1"/>
  <c r="AL64" i="1"/>
  <c r="AM64" i="1"/>
  <c r="Q65" i="1"/>
  <c r="R65" i="1"/>
  <c r="S65" i="1"/>
  <c r="T65" i="1"/>
  <c r="U65" i="1"/>
  <c r="V65" i="1"/>
  <c r="W65" i="1"/>
  <c r="X65" i="1"/>
  <c r="Y65" i="1"/>
  <c r="Z65" i="1"/>
  <c r="AA65" i="1"/>
  <c r="AB65" i="1"/>
  <c r="AC65" i="1"/>
  <c r="AD65" i="1"/>
  <c r="AE65" i="1"/>
  <c r="AF65" i="1"/>
  <c r="AG65" i="1"/>
  <c r="AH65" i="1"/>
  <c r="AI65" i="1"/>
  <c r="AJ65" i="1"/>
  <c r="AK65" i="1"/>
  <c r="AL65" i="1"/>
  <c r="AM65" i="1"/>
  <c r="Q66" i="1"/>
  <c r="R66" i="1"/>
  <c r="S66" i="1"/>
  <c r="T66" i="1"/>
  <c r="U66" i="1"/>
  <c r="V66" i="1"/>
  <c r="W66" i="1"/>
  <c r="X66" i="1"/>
  <c r="Y66" i="1"/>
  <c r="Z66" i="1"/>
  <c r="AA66" i="1"/>
  <c r="AB66" i="1"/>
  <c r="AC66" i="1"/>
  <c r="AD66" i="1"/>
  <c r="AE66" i="1"/>
  <c r="AF66" i="1"/>
  <c r="AG66" i="1"/>
  <c r="AH66" i="1"/>
  <c r="AI66" i="1"/>
  <c r="AJ66" i="1"/>
  <c r="AK66" i="1"/>
  <c r="AL66" i="1"/>
  <c r="AM66" i="1"/>
  <c r="P42" i="1"/>
  <c r="P43" i="1"/>
  <c r="P44" i="1"/>
  <c r="P45" i="1"/>
  <c r="P46" i="1"/>
  <c r="P47" i="1"/>
  <c r="P48" i="1"/>
  <c r="P49" i="1"/>
  <c r="P50" i="1"/>
  <c r="P51" i="1"/>
  <c r="P52" i="1"/>
  <c r="P53" i="1"/>
  <c r="P54" i="1"/>
  <c r="P55" i="1"/>
  <c r="P56" i="1"/>
  <c r="P57" i="1"/>
  <c r="P58" i="1"/>
  <c r="P59" i="1"/>
  <c r="P60" i="1"/>
  <c r="P61" i="1"/>
  <c r="P62" i="1"/>
  <c r="P63" i="1"/>
  <c r="P64" i="1"/>
  <c r="P65" i="1"/>
  <c r="P66" i="1"/>
  <c r="P41" i="1"/>
  <c r="E71" i="1" l="1"/>
  <c r="F71" i="1"/>
  <c r="G71" i="1"/>
  <c r="H71" i="1"/>
  <c r="I71" i="1"/>
  <c r="J71" i="1"/>
  <c r="K71" i="1"/>
  <c r="L71" i="1"/>
  <c r="M71" i="1"/>
  <c r="N71" i="1"/>
  <c r="O71" i="1"/>
  <c r="E72" i="1"/>
  <c r="F72" i="1"/>
  <c r="G72" i="1"/>
  <c r="H72" i="1"/>
  <c r="I72" i="1"/>
  <c r="J72" i="1"/>
  <c r="K72" i="1"/>
  <c r="L72" i="1"/>
  <c r="M72" i="1"/>
  <c r="N72" i="1"/>
  <c r="O72" i="1"/>
  <c r="E73" i="1"/>
  <c r="F73" i="1"/>
  <c r="G73" i="1"/>
  <c r="H73" i="1"/>
  <c r="I73" i="1"/>
  <c r="J73" i="1"/>
  <c r="K73" i="1"/>
  <c r="L73" i="1"/>
  <c r="M73" i="1"/>
  <c r="N73" i="1"/>
  <c r="O73" i="1"/>
  <c r="E74" i="1"/>
  <c r="F74" i="1"/>
  <c r="G74" i="1"/>
  <c r="H74" i="1"/>
  <c r="I74" i="1"/>
  <c r="J74" i="1"/>
  <c r="K74" i="1"/>
  <c r="L74" i="1"/>
  <c r="M74" i="1"/>
  <c r="N74" i="1"/>
  <c r="O74" i="1"/>
  <c r="E75" i="1"/>
  <c r="F75" i="1"/>
  <c r="G75" i="1"/>
  <c r="H75" i="1"/>
  <c r="I75" i="1"/>
  <c r="J75" i="1"/>
  <c r="K75" i="1"/>
  <c r="L75" i="1"/>
  <c r="M75" i="1"/>
  <c r="N75" i="1"/>
  <c r="O75" i="1"/>
  <c r="E76" i="1"/>
  <c r="F76" i="1"/>
  <c r="G76" i="1"/>
  <c r="H76" i="1"/>
  <c r="I76" i="1"/>
  <c r="J76" i="1"/>
  <c r="K76" i="1"/>
  <c r="L76" i="1"/>
  <c r="M76" i="1"/>
  <c r="N76" i="1"/>
  <c r="O76" i="1"/>
  <c r="E77" i="1"/>
  <c r="F77" i="1"/>
  <c r="G77" i="1"/>
  <c r="H77" i="1"/>
  <c r="I77" i="1"/>
  <c r="J77" i="1"/>
  <c r="K77" i="1"/>
  <c r="L77" i="1"/>
  <c r="M77" i="1"/>
  <c r="N77" i="1"/>
  <c r="O77" i="1"/>
  <c r="E78" i="1"/>
  <c r="F78" i="1"/>
  <c r="G78" i="1"/>
  <c r="H78" i="1"/>
  <c r="I78" i="1"/>
  <c r="J78" i="1"/>
  <c r="K78" i="1"/>
  <c r="L78" i="1"/>
  <c r="M78" i="1"/>
  <c r="N78" i="1"/>
  <c r="O78" i="1"/>
  <c r="E79" i="1"/>
  <c r="F79" i="1"/>
  <c r="G79" i="1"/>
  <c r="H79" i="1"/>
  <c r="I79" i="1"/>
  <c r="J79" i="1"/>
  <c r="K79" i="1"/>
  <c r="L79" i="1"/>
  <c r="M79" i="1"/>
  <c r="N79" i="1"/>
  <c r="O79" i="1"/>
  <c r="E80" i="1"/>
  <c r="F80" i="1"/>
  <c r="G80" i="1"/>
  <c r="H80" i="1"/>
  <c r="I80" i="1"/>
  <c r="J80" i="1"/>
  <c r="K80" i="1"/>
  <c r="L80" i="1"/>
  <c r="M80" i="1"/>
  <c r="N80" i="1"/>
  <c r="O80" i="1"/>
  <c r="E81" i="1"/>
  <c r="F81" i="1"/>
  <c r="G81" i="1"/>
  <c r="H81" i="1"/>
  <c r="I81" i="1"/>
  <c r="J81" i="1"/>
  <c r="K81" i="1"/>
  <c r="L81" i="1"/>
  <c r="M81" i="1"/>
  <c r="N81" i="1"/>
  <c r="O81" i="1"/>
  <c r="E82" i="1"/>
  <c r="F82" i="1"/>
  <c r="G82" i="1"/>
  <c r="H82" i="1"/>
  <c r="I82" i="1"/>
  <c r="J82" i="1"/>
  <c r="K82" i="1"/>
  <c r="L82" i="1"/>
  <c r="M82" i="1"/>
  <c r="N82" i="1"/>
  <c r="O82" i="1"/>
  <c r="E83" i="1"/>
  <c r="F83" i="1"/>
  <c r="G83" i="1"/>
  <c r="H83" i="1"/>
  <c r="I83" i="1"/>
  <c r="J83" i="1"/>
  <c r="K83" i="1"/>
  <c r="L83" i="1"/>
  <c r="M83" i="1"/>
  <c r="N83" i="1"/>
  <c r="O83" i="1"/>
  <c r="E84" i="1"/>
  <c r="F84" i="1"/>
  <c r="G84" i="1"/>
  <c r="H84" i="1"/>
  <c r="I84" i="1"/>
  <c r="J84" i="1"/>
  <c r="K84" i="1"/>
  <c r="L84" i="1"/>
  <c r="M84" i="1"/>
  <c r="N84" i="1"/>
  <c r="O84" i="1"/>
  <c r="E85" i="1"/>
  <c r="F85" i="1"/>
  <c r="G85" i="1"/>
  <c r="H85" i="1"/>
  <c r="I85" i="1"/>
  <c r="J85" i="1"/>
  <c r="K85" i="1"/>
  <c r="L85" i="1"/>
  <c r="M85" i="1"/>
  <c r="N85" i="1"/>
  <c r="O85" i="1"/>
  <c r="E86" i="1"/>
  <c r="F86" i="1"/>
  <c r="G86" i="1"/>
  <c r="H86" i="1"/>
  <c r="I86" i="1"/>
  <c r="J86" i="1"/>
  <c r="K86" i="1"/>
  <c r="L86" i="1"/>
  <c r="M86" i="1"/>
  <c r="N86" i="1"/>
  <c r="O86" i="1"/>
  <c r="E87" i="1"/>
  <c r="F87" i="1"/>
  <c r="G87" i="1"/>
  <c r="H87" i="1"/>
  <c r="I87" i="1"/>
  <c r="J87" i="1"/>
  <c r="K87" i="1"/>
  <c r="L87" i="1"/>
  <c r="M87" i="1"/>
  <c r="N87" i="1"/>
  <c r="O87" i="1"/>
  <c r="E88" i="1"/>
  <c r="F88" i="1"/>
  <c r="G88" i="1"/>
  <c r="H88" i="1"/>
  <c r="I88" i="1"/>
  <c r="J88" i="1"/>
  <c r="K88" i="1"/>
  <c r="L88" i="1"/>
  <c r="M88" i="1"/>
  <c r="N88" i="1"/>
  <c r="O88" i="1"/>
  <c r="E89" i="1"/>
  <c r="F89" i="1"/>
  <c r="G89" i="1"/>
  <c r="H89" i="1"/>
  <c r="I89" i="1"/>
  <c r="J89" i="1"/>
  <c r="K89" i="1"/>
  <c r="L89" i="1"/>
  <c r="M89" i="1"/>
  <c r="N89" i="1"/>
  <c r="O89" i="1"/>
  <c r="E90" i="1"/>
  <c r="F90" i="1"/>
  <c r="G90" i="1"/>
  <c r="H90" i="1"/>
  <c r="I90" i="1"/>
  <c r="J90" i="1"/>
  <c r="K90" i="1"/>
  <c r="L90" i="1"/>
  <c r="M90" i="1"/>
  <c r="N90" i="1"/>
  <c r="O90" i="1"/>
  <c r="E91" i="1"/>
  <c r="F91" i="1"/>
  <c r="G91" i="1"/>
  <c r="H91" i="1"/>
  <c r="I91" i="1"/>
  <c r="J91" i="1"/>
  <c r="K91" i="1"/>
  <c r="L91" i="1"/>
  <c r="M91" i="1"/>
  <c r="N91" i="1"/>
  <c r="O91" i="1"/>
  <c r="E92" i="1"/>
  <c r="F92" i="1"/>
  <c r="G92" i="1"/>
  <c r="H92" i="1"/>
  <c r="I92" i="1"/>
  <c r="J92" i="1"/>
  <c r="K92" i="1"/>
  <c r="L92" i="1"/>
  <c r="M92" i="1"/>
  <c r="N92" i="1"/>
  <c r="O92" i="1"/>
  <c r="E93" i="1"/>
  <c r="F93" i="1"/>
  <c r="G93" i="1"/>
  <c r="H93" i="1"/>
  <c r="I93" i="1"/>
  <c r="J93" i="1"/>
  <c r="K93" i="1"/>
  <c r="L93" i="1"/>
  <c r="M93" i="1"/>
  <c r="N93" i="1"/>
  <c r="O93" i="1"/>
  <c r="E94" i="1"/>
  <c r="F94" i="1"/>
  <c r="G94" i="1"/>
  <c r="H94" i="1"/>
  <c r="I94" i="1"/>
  <c r="J94" i="1"/>
  <c r="K94" i="1"/>
  <c r="L94" i="1"/>
  <c r="M94" i="1"/>
  <c r="N94" i="1"/>
  <c r="O94" i="1"/>
  <c r="E95" i="1"/>
  <c r="F95" i="1"/>
  <c r="G95" i="1"/>
  <c r="H95" i="1"/>
  <c r="I95" i="1"/>
  <c r="J95" i="1"/>
  <c r="K95" i="1"/>
  <c r="L95" i="1"/>
  <c r="M95" i="1"/>
  <c r="N95" i="1"/>
  <c r="O95" i="1"/>
  <c r="E96" i="1"/>
  <c r="F96" i="1"/>
  <c r="G96" i="1"/>
  <c r="H96" i="1"/>
  <c r="I96" i="1"/>
  <c r="J96" i="1"/>
  <c r="K96" i="1"/>
  <c r="L96" i="1"/>
  <c r="M96" i="1"/>
  <c r="N96" i="1"/>
  <c r="O96" i="1"/>
  <c r="E97" i="1"/>
  <c r="F97" i="1"/>
  <c r="G97" i="1"/>
  <c r="H97" i="1"/>
  <c r="I97" i="1"/>
  <c r="J97" i="1"/>
  <c r="K97" i="1"/>
  <c r="L97" i="1"/>
  <c r="M97" i="1"/>
  <c r="N97" i="1"/>
  <c r="O97" i="1"/>
  <c r="E98" i="1"/>
  <c r="F98" i="1"/>
  <c r="G98" i="1"/>
  <c r="H98" i="1"/>
  <c r="I98" i="1"/>
  <c r="J98" i="1"/>
  <c r="K98" i="1"/>
  <c r="L98" i="1"/>
  <c r="M98" i="1"/>
  <c r="N98" i="1"/>
  <c r="O98" i="1"/>
  <c r="E99" i="1"/>
  <c r="F99" i="1"/>
  <c r="G99" i="1"/>
  <c r="H99" i="1"/>
  <c r="I99" i="1"/>
  <c r="J99" i="1"/>
  <c r="K99" i="1"/>
  <c r="L99" i="1"/>
  <c r="M99" i="1"/>
  <c r="N99" i="1"/>
  <c r="O99"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71" i="1"/>
  <c r="AA6" i="1"/>
  <c r="AA5" i="1"/>
  <c r="E41" i="1"/>
  <c r="F41" i="1"/>
  <c r="G41" i="1"/>
  <c r="H41" i="1"/>
  <c r="I41" i="1"/>
  <c r="J41" i="1"/>
  <c r="K41" i="1"/>
  <c r="L41" i="1"/>
  <c r="M41" i="1"/>
  <c r="N41" i="1"/>
  <c r="O41" i="1"/>
  <c r="E42" i="1"/>
  <c r="F42" i="1"/>
  <c r="G42" i="1"/>
  <c r="H42" i="1"/>
  <c r="I42" i="1"/>
  <c r="J42" i="1"/>
  <c r="K42" i="1"/>
  <c r="L42" i="1"/>
  <c r="M42" i="1"/>
  <c r="N42" i="1"/>
  <c r="O42" i="1"/>
  <c r="E43" i="1"/>
  <c r="F43" i="1"/>
  <c r="G43" i="1"/>
  <c r="H43" i="1"/>
  <c r="I43" i="1"/>
  <c r="J43" i="1"/>
  <c r="K43" i="1"/>
  <c r="L43" i="1"/>
  <c r="M43" i="1"/>
  <c r="N43" i="1"/>
  <c r="O43" i="1"/>
  <c r="E44" i="1"/>
  <c r="F44" i="1"/>
  <c r="G44" i="1"/>
  <c r="H44" i="1"/>
  <c r="I44" i="1"/>
  <c r="J44" i="1"/>
  <c r="K44" i="1"/>
  <c r="L44" i="1"/>
  <c r="M44" i="1"/>
  <c r="N44" i="1"/>
  <c r="O44" i="1"/>
  <c r="E45" i="1"/>
  <c r="F45" i="1"/>
  <c r="G45" i="1"/>
  <c r="H45" i="1"/>
  <c r="I45" i="1"/>
  <c r="J45" i="1"/>
  <c r="K45" i="1"/>
  <c r="L45" i="1"/>
  <c r="M45" i="1"/>
  <c r="N45" i="1"/>
  <c r="O45" i="1"/>
  <c r="E46" i="1"/>
  <c r="F46" i="1"/>
  <c r="G46" i="1"/>
  <c r="H46" i="1"/>
  <c r="I46" i="1"/>
  <c r="J46" i="1"/>
  <c r="K46" i="1"/>
  <c r="L46" i="1"/>
  <c r="M46" i="1"/>
  <c r="N46" i="1"/>
  <c r="O46" i="1"/>
  <c r="E47" i="1"/>
  <c r="F47" i="1"/>
  <c r="G47" i="1"/>
  <c r="H47" i="1"/>
  <c r="I47" i="1"/>
  <c r="J47" i="1"/>
  <c r="K47" i="1"/>
  <c r="L47" i="1"/>
  <c r="M47" i="1"/>
  <c r="N47" i="1"/>
  <c r="O47" i="1"/>
  <c r="E48" i="1"/>
  <c r="F48" i="1"/>
  <c r="G48" i="1"/>
  <c r="H48" i="1"/>
  <c r="I48" i="1"/>
  <c r="J48" i="1"/>
  <c r="K48" i="1"/>
  <c r="L48" i="1"/>
  <c r="M48" i="1"/>
  <c r="N48" i="1"/>
  <c r="O48" i="1"/>
  <c r="E49" i="1"/>
  <c r="F49" i="1"/>
  <c r="G49" i="1"/>
  <c r="H49" i="1"/>
  <c r="I49" i="1"/>
  <c r="J49" i="1"/>
  <c r="K49" i="1"/>
  <c r="L49" i="1"/>
  <c r="M49" i="1"/>
  <c r="N49" i="1"/>
  <c r="O49" i="1"/>
  <c r="E50" i="1"/>
  <c r="F50" i="1"/>
  <c r="G50" i="1"/>
  <c r="H50" i="1"/>
  <c r="I50" i="1"/>
  <c r="J50" i="1"/>
  <c r="K50" i="1"/>
  <c r="L50" i="1"/>
  <c r="M50" i="1"/>
  <c r="N50" i="1"/>
  <c r="O50" i="1"/>
  <c r="E51" i="1"/>
  <c r="F51" i="1"/>
  <c r="G51" i="1"/>
  <c r="H51" i="1"/>
  <c r="I51" i="1"/>
  <c r="J51" i="1"/>
  <c r="K51" i="1"/>
  <c r="L51" i="1"/>
  <c r="M51" i="1"/>
  <c r="N51" i="1"/>
  <c r="O51" i="1"/>
  <c r="E52" i="1"/>
  <c r="F52" i="1"/>
  <c r="G52" i="1"/>
  <c r="H52" i="1"/>
  <c r="I52" i="1"/>
  <c r="J52" i="1"/>
  <c r="K52" i="1"/>
  <c r="L52" i="1"/>
  <c r="M52" i="1"/>
  <c r="N52" i="1"/>
  <c r="O52" i="1"/>
  <c r="E53" i="1"/>
  <c r="F53" i="1"/>
  <c r="G53" i="1"/>
  <c r="H53" i="1"/>
  <c r="I53" i="1"/>
  <c r="J53" i="1"/>
  <c r="K53" i="1"/>
  <c r="L53" i="1"/>
  <c r="M53" i="1"/>
  <c r="N53" i="1"/>
  <c r="O53" i="1"/>
  <c r="E54" i="1"/>
  <c r="F54" i="1"/>
  <c r="G54" i="1"/>
  <c r="H54" i="1"/>
  <c r="I54" i="1"/>
  <c r="J54" i="1"/>
  <c r="K54" i="1"/>
  <c r="L54" i="1"/>
  <c r="M54" i="1"/>
  <c r="N54" i="1"/>
  <c r="O54" i="1"/>
  <c r="E55" i="1"/>
  <c r="F55" i="1"/>
  <c r="G55" i="1"/>
  <c r="H55" i="1"/>
  <c r="I55" i="1"/>
  <c r="J55" i="1"/>
  <c r="K55" i="1"/>
  <c r="L55" i="1"/>
  <c r="M55" i="1"/>
  <c r="N55" i="1"/>
  <c r="O55" i="1"/>
  <c r="E56" i="1"/>
  <c r="F56" i="1"/>
  <c r="G56" i="1"/>
  <c r="H56" i="1"/>
  <c r="I56" i="1"/>
  <c r="J56" i="1"/>
  <c r="K56" i="1"/>
  <c r="L56" i="1"/>
  <c r="M56" i="1"/>
  <c r="N56" i="1"/>
  <c r="O56" i="1"/>
  <c r="E57" i="1"/>
  <c r="F57" i="1"/>
  <c r="G57" i="1"/>
  <c r="H57" i="1"/>
  <c r="I57" i="1"/>
  <c r="J57" i="1"/>
  <c r="K57" i="1"/>
  <c r="L57" i="1"/>
  <c r="M57" i="1"/>
  <c r="N57" i="1"/>
  <c r="O57" i="1"/>
  <c r="E58" i="1"/>
  <c r="F58" i="1"/>
  <c r="G58" i="1"/>
  <c r="H58" i="1"/>
  <c r="I58" i="1"/>
  <c r="J58" i="1"/>
  <c r="K58" i="1"/>
  <c r="L58" i="1"/>
  <c r="M58" i="1"/>
  <c r="N58" i="1"/>
  <c r="O58" i="1"/>
  <c r="E59" i="1"/>
  <c r="F59" i="1"/>
  <c r="G59" i="1"/>
  <c r="H59" i="1"/>
  <c r="I59" i="1"/>
  <c r="J59" i="1"/>
  <c r="K59" i="1"/>
  <c r="L59" i="1"/>
  <c r="M59" i="1"/>
  <c r="N59" i="1"/>
  <c r="O59" i="1"/>
  <c r="E60" i="1"/>
  <c r="F60" i="1"/>
  <c r="G60" i="1"/>
  <c r="H60" i="1"/>
  <c r="I60" i="1"/>
  <c r="J60" i="1"/>
  <c r="K60" i="1"/>
  <c r="L60" i="1"/>
  <c r="M60" i="1"/>
  <c r="N60" i="1"/>
  <c r="O60" i="1"/>
  <c r="E61" i="1"/>
  <c r="F61" i="1"/>
  <c r="G61" i="1"/>
  <c r="H61" i="1"/>
  <c r="I61" i="1"/>
  <c r="J61" i="1"/>
  <c r="K61" i="1"/>
  <c r="L61" i="1"/>
  <c r="M61" i="1"/>
  <c r="N61" i="1"/>
  <c r="O61" i="1"/>
  <c r="E62" i="1"/>
  <c r="F62" i="1"/>
  <c r="G62" i="1"/>
  <c r="H62" i="1"/>
  <c r="I62" i="1"/>
  <c r="J62" i="1"/>
  <c r="K62" i="1"/>
  <c r="L62" i="1"/>
  <c r="M62" i="1"/>
  <c r="N62" i="1"/>
  <c r="O62" i="1"/>
  <c r="E63" i="1"/>
  <c r="F63" i="1"/>
  <c r="G63" i="1"/>
  <c r="H63" i="1"/>
  <c r="I63" i="1"/>
  <c r="J63" i="1"/>
  <c r="K63" i="1"/>
  <c r="L63" i="1"/>
  <c r="M63" i="1"/>
  <c r="N63" i="1"/>
  <c r="O63" i="1"/>
  <c r="E64" i="1"/>
  <c r="F64" i="1"/>
  <c r="G64" i="1"/>
  <c r="H64" i="1"/>
  <c r="I64" i="1"/>
  <c r="J64" i="1"/>
  <c r="K64" i="1"/>
  <c r="L64" i="1"/>
  <c r="M64" i="1"/>
  <c r="N64" i="1"/>
  <c r="O64" i="1"/>
  <c r="E65" i="1"/>
  <c r="F65" i="1"/>
  <c r="G65" i="1"/>
  <c r="H65" i="1"/>
  <c r="I65" i="1"/>
  <c r="J65" i="1"/>
  <c r="K65" i="1"/>
  <c r="L65" i="1"/>
  <c r="M65" i="1"/>
  <c r="N65" i="1"/>
  <c r="O65" i="1"/>
  <c r="E66" i="1"/>
  <c r="F66" i="1"/>
  <c r="G66" i="1"/>
  <c r="H66" i="1"/>
  <c r="I66" i="1"/>
  <c r="J66" i="1"/>
  <c r="K66" i="1"/>
  <c r="L66" i="1"/>
  <c r="M66" i="1"/>
  <c r="N66" i="1"/>
  <c r="O66" i="1"/>
  <c r="D42" i="1"/>
  <c r="D43" i="1"/>
  <c r="D44" i="1"/>
  <c r="D45" i="1"/>
  <c r="D46" i="1"/>
  <c r="D47" i="1"/>
  <c r="D48" i="1"/>
  <c r="D49" i="1"/>
  <c r="D50" i="1"/>
  <c r="D51" i="1"/>
  <c r="D52" i="1"/>
  <c r="D53" i="1"/>
  <c r="D54" i="1"/>
  <c r="D55" i="1"/>
  <c r="D56" i="1"/>
  <c r="D57" i="1"/>
  <c r="D58" i="1"/>
  <c r="D59" i="1"/>
  <c r="D60" i="1"/>
  <c r="D61" i="1"/>
  <c r="D62" i="1"/>
  <c r="D63" i="1"/>
  <c r="D64" i="1"/>
  <c r="D65" i="1"/>
  <c r="D66" i="1"/>
  <c r="D41" i="1"/>
  <c r="T10" i="17" l="1"/>
  <c r="T11" i="17"/>
  <c r="T12" i="17"/>
  <c r="T13" i="17"/>
  <c r="T14" i="17"/>
  <c r="T15" i="17"/>
  <c r="T16" i="17"/>
  <c r="T17" i="17"/>
  <c r="T18" i="17"/>
  <c r="T19" i="17"/>
  <c r="T20" i="17"/>
  <c r="T21" i="17"/>
  <c r="T22" i="17"/>
  <c r="T23" i="17"/>
  <c r="T24" i="17"/>
  <c r="T25" i="17"/>
  <c r="T26" i="17"/>
  <c r="T27" i="17"/>
  <c r="T28" i="17"/>
  <c r="T29" i="17"/>
  <c r="T9" i="17"/>
  <c r="S10" i="17" a="1"/>
  <c r="S10" i="17" s="1"/>
  <c r="S11" i="17" a="1"/>
  <c r="S11" i="17" s="1"/>
  <c r="S12" i="17" a="1"/>
  <c r="S12" i="17"/>
  <c r="S13" i="17" a="1"/>
  <c r="S13" i="17" s="1"/>
  <c r="S14" i="17" a="1"/>
  <c r="S14" i="17" s="1"/>
  <c r="S15" i="17" a="1"/>
  <c r="S15" i="17" s="1"/>
  <c r="S16" i="17" a="1"/>
  <c r="S16" i="17"/>
  <c r="S17" i="17" a="1"/>
  <c r="S17" i="17" s="1"/>
  <c r="S18" i="17" a="1"/>
  <c r="S18" i="17" s="1"/>
  <c r="S19" i="17" a="1"/>
  <c r="S19" i="17" s="1"/>
  <c r="S20" i="17" a="1"/>
  <c r="S20" i="17"/>
  <c r="S21" i="17" a="1"/>
  <c r="S21" i="17" s="1"/>
  <c r="S22" i="17" a="1"/>
  <c r="S22" i="17" s="1"/>
  <c r="S23" i="17" a="1"/>
  <c r="S23" i="17" s="1"/>
  <c r="S24" i="17" a="1"/>
  <c r="S24" i="17"/>
  <c r="S25" i="17" a="1"/>
  <c r="S25" i="17" s="1"/>
  <c r="S26" i="17" a="1"/>
  <c r="S26" i="17" s="1"/>
  <c r="S27" i="17" a="1"/>
  <c r="S27" i="17" s="1"/>
  <c r="S28" i="17" a="1"/>
  <c r="S28" i="17"/>
  <c r="S29" i="17" a="1"/>
  <c r="S29" i="17" s="1"/>
  <c r="S9" i="17" a="1"/>
  <c r="S9" i="17" s="1"/>
  <c r="R10" i="17"/>
  <c r="R11" i="17"/>
  <c r="R12" i="17"/>
  <c r="R13" i="17"/>
  <c r="R14" i="17"/>
  <c r="R15" i="17"/>
  <c r="R16" i="17"/>
  <c r="R17" i="17"/>
  <c r="R18" i="17"/>
  <c r="R19" i="17"/>
  <c r="R20" i="17"/>
  <c r="R21" i="17"/>
  <c r="R22" i="17"/>
  <c r="R23" i="17"/>
  <c r="R24" i="17"/>
  <c r="R25" i="17"/>
  <c r="R26" i="17"/>
  <c r="R27" i="17"/>
  <c r="R28" i="17"/>
  <c r="R29" i="17"/>
  <c r="R9" i="17"/>
  <c r="Q10" i="17"/>
  <c r="Q11" i="17"/>
  <c r="Q12" i="17"/>
  <c r="Q13" i="17"/>
  <c r="Q14" i="17"/>
  <c r="Q15" i="17"/>
  <c r="Q16" i="17"/>
  <c r="Q17" i="17"/>
  <c r="Q18" i="17"/>
  <c r="Q19" i="17"/>
  <c r="Q20" i="17"/>
  <c r="Q21" i="17"/>
  <c r="Q22" i="17"/>
  <c r="Q23" i="17"/>
  <c r="Q24" i="17"/>
  <c r="Q25" i="17"/>
  <c r="Q26" i="17"/>
  <c r="Q27" i="17"/>
  <c r="Q28" i="17"/>
  <c r="Q29" i="17"/>
  <c r="Q9" i="17"/>
  <c r="K255" i="1" l="1"/>
  <c r="B37" i="1"/>
  <c r="N40" i="17"/>
  <c r="O255" i="1" s="1"/>
  <c r="M40" i="17"/>
  <c r="N255" i="1" s="1"/>
  <c r="L40" i="17"/>
  <c r="M255" i="1" s="1"/>
  <c r="K40" i="17"/>
  <c r="L255" i="1" s="1"/>
  <c r="J40" i="17"/>
  <c r="I40" i="17"/>
  <c r="J255" i="1" s="1"/>
  <c r="H40" i="17"/>
  <c r="I255" i="1" s="1"/>
  <c r="G40" i="17"/>
  <c r="H255" i="1" s="1"/>
  <c r="F40" i="17"/>
  <c r="G255" i="1" s="1"/>
  <c r="E40" i="17"/>
  <c r="F255" i="1" s="1"/>
  <c r="D40" i="17"/>
  <c r="E255" i="1" s="1"/>
  <c r="C40" i="17"/>
  <c r="D255" i="1" s="1"/>
  <c r="P39" i="17"/>
  <c r="P38" i="17"/>
  <c r="P37" i="17"/>
  <c r="P36" i="17"/>
  <c r="P35" i="17"/>
  <c r="P34" i="17"/>
  <c r="P33" i="17"/>
  <c r="P32" i="17"/>
  <c r="P31" i="17"/>
  <c r="P30" i="17"/>
  <c r="P29" i="17"/>
  <c r="W29" i="17" s="1"/>
  <c r="P28" i="17"/>
  <c r="W28" i="17" s="1"/>
  <c r="P27" i="17"/>
  <c r="W27" i="17" s="1"/>
  <c r="P26" i="17"/>
  <c r="W26" i="17" s="1"/>
  <c r="P25" i="17"/>
  <c r="W25" i="17" s="1"/>
  <c r="P24" i="17"/>
  <c r="W24" i="17" s="1"/>
  <c r="P23" i="17"/>
  <c r="W23" i="17" s="1"/>
  <c r="P22" i="17"/>
  <c r="W22" i="17" s="1"/>
  <c r="P21" i="17"/>
  <c r="W21" i="17" s="1"/>
  <c r="P20" i="17"/>
  <c r="W20" i="17" s="1"/>
  <c r="P19" i="17"/>
  <c r="W19" i="17" s="1"/>
  <c r="P18" i="17"/>
  <c r="W18" i="17" s="1"/>
  <c r="P17" i="17"/>
  <c r="W17" i="17" s="1"/>
  <c r="P16" i="17"/>
  <c r="W16" i="17" s="1"/>
  <c r="P15" i="17"/>
  <c r="W15" i="17" s="1"/>
  <c r="P14" i="17"/>
  <c r="W14" i="17" s="1"/>
  <c r="P13" i="17"/>
  <c r="W13" i="17" s="1"/>
  <c r="P12" i="17"/>
  <c r="W12" i="17" s="1"/>
  <c r="P11" i="17"/>
  <c r="W11" i="17" s="1"/>
  <c r="P10" i="17"/>
  <c r="W10" i="17" s="1"/>
  <c r="P9" i="17"/>
  <c r="W9" i="17" s="1"/>
  <c r="P40" i="17" l="1"/>
  <c r="AW22" i="15" l="1"/>
  <c r="AX22" i="15"/>
  <c r="AY22" i="15"/>
  <c r="AZ22" i="15" s="1"/>
  <c r="AW23" i="15"/>
  <c r="AX23" i="15"/>
  <c r="AY23" i="15"/>
  <c r="AZ23" i="15" s="1"/>
  <c r="AW24" i="15"/>
  <c r="AX24" i="15"/>
  <c r="AY24" i="15"/>
  <c r="AZ24" i="15" s="1"/>
  <c r="AW25" i="15"/>
  <c r="AX25" i="15"/>
  <c r="AY25" i="15"/>
  <c r="BA25" i="15" s="1"/>
  <c r="AW26" i="15"/>
  <c r="AX26" i="15"/>
  <c r="AY26" i="15"/>
  <c r="BA26" i="15" s="1"/>
  <c r="AZ26" i="15"/>
  <c r="AW27" i="15"/>
  <c r="AX27" i="15"/>
  <c r="AY27" i="15"/>
  <c r="BA27" i="15" s="1"/>
  <c r="AZ27" i="15"/>
  <c r="AW28" i="15"/>
  <c r="AX28" i="15"/>
  <c r="AY28" i="15"/>
  <c r="BA28" i="15" s="1"/>
  <c r="AZ28" i="15"/>
  <c r="AW29" i="15"/>
  <c r="AX29" i="15"/>
  <c r="AY29" i="15"/>
  <c r="AZ29" i="15" s="1"/>
  <c r="BA29" i="15"/>
  <c r="AW30" i="15"/>
  <c r="AX30" i="15"/>
  <c r="AY30" i="15"/>
  <c r="AZ30" i="15" s="1"/>
  <c r="AW31" i="15"/>
  <c r="AX31" i="15"/>
  <c r="AY31" i="15"/>
  <c r="AZ31" i="15" s="1"/>
  <c r="AW32" i="15"/>
  <c r="AX32" i="15"/>
  <c r="AY32" i="15"/>
  <c r="AZ32" i="15" s="1"/>
  <c r="AW33" i="15"/>
  <c r="AX33" i="15"/>
  <c r="AY33" i="15"/>
  <c r="BA33" i="15" s="1"/>
  <c r="AW34" i="15"/>
  <c r="AX34" i="15"/>
  <c r="AY34" i="15"/>
  <c r="BA34" i="15" s="1"/>
  <c r="AW35" i="15"/>
  <c r="AX35" i="15"/>
  <c r="AY35" i="15"/>
  <c r="BA35" i="15" s="1"/>
  <c r="AW36" i="15"/>
  <c r="AX36" i="15"/>
  <c r="AY36" i="15"/>
  <c r="AZ36" i="15" s="1"/>
  <c r="AW37" i="15"/>
  <c r="AX37" i="15"/>
  <c r="AY37" i="15"/>
  <c r="AZ37" i="15"/>
  <c r="BA37" i="15"/>
  <c r="AW38" i="15"/>
  <c r="AX38" i="15"/>
  <c r="AY38" i="15"/>
  <c r="AZ38" i="15" s="1"/>
  <c r="AW39" i="15"/>
  <c r="AX39" i="15"/>
  <c r="AY39" i="15"/>
  <c r="AZ39" i="15" s="1"/>
  <c r="AW40" i="15"/>
  <c r="AX40" i="15"/>
  <c r="AY40" i="15"/>
  <c r="AZ40" i="15" s="1"/>
  <c r="AW41" i="15"/>
  <c r="AX41" i="15"/>
  <c r="AY41" i="15"/>
  <c r="BA41" i="15" s="1"/>
  <c r="AW42" i="15"/>
  <c r="AX42" i="15"/>
  <c r="AY42" i="15"/>
  <c r="BA42" i="15" s="1"/>
  <c r="AZ42" i="15"/>
  <c r="AW43" i="15"/>
  <c r="AX43" i="15"/>
  <c r="AY43" i="15"/>
  <c r="BA43" i="15" s="1"/>
  <c r="AW44" i="15"/>
  <c r="AX44" i="15"/>
  <c r="AY44" i="15"/>
  <c r="BA44" i="15" s="1"/>
  <c r="AZ44" i="15"/>
  <c r="AW45" i="15"/>
  <c r="AX45" i="15"/>
  <c r="AY45" i="15"/>
  <c r="AZ45" i="15" s="1"/>
  <c r="BA36" i="15" l="1"/>
  <c r="AZ34" i="15"/>
  <c r="BA45" i="15"/>
  <c r="AZ35" i="15"/>
  <c r="AZ33" i="15"/>
  <c r="AZ43" i="15"/>
  <c r="AZ41" i="15"/>
  <c r="AZ25" i="15"/>
  <c r="BA40" i="15"/>
  <c r="BA24" i="15"/>
  <c r="BA32" i="15"/>
  <c r="BA38" i="15"/>
  <c r="BA22" i="15"/>
  <c r="BA30" i="15"/>
  <c r="BA39" i="15"/>
  <c r="BA23" i="15"/>
  <c r="BA31" i="15"/>
  <c r="AF6" i="1" l="1"/>
  <c r="AF7" i="1"/>
  <c r="AF8" i="1"/>
  <c r="AF9" i="1"/>
  <c r="AF10" i="1"/>
  <c r="AF11" i="1"/>
  <c r="AF12" i="1"/>
  <c r="AF13" i="1"/>
  <c r="AF14" i="1"/>
  <c r="AF15" i="1"/>
  <c r="AF16" i="1"/>
  <c r="AF17" i="1"/>
  <c r="AF18" i="1"/>
  <c r="AF19" i="1"/>
  <c r="AF20" i="1"/>
  <c r="AF21" i="1"/>
  <c r="AF22" i="1"/>
  <c r="AF23" i="1"/>
  <c r="AF24" i="1"/>
  <c r="AF25" i="1"/>
  <c r="AF26" i="1"/>
  <c r="AF27" i="1"/>
  <c r="AF28" i="1"/>
  <c r="AF29" i="1"/>
  <c r="AF30" i="1"/>
  <c r="AF5" i="1"/>
  <c r="B34" i="1" l="1"/>
  <c r="D34" i="1"/>
  <c r="BB10" i="15" l="1"/>
  <c r="AV7" i="15"/>
  <c r="AV8" i="15"/>
  <c r="AV9" i="15"/>
  <c r="AV10" i="15"/>
  <c r="AV11" i="15"/>
  <c r="AV12" i="15"/>
  <c r="AV13" i="15"/>
  <c r="AV14" i="15"/>
  <c r="AV15" i="15"/>
  <c r="AV16" i="15"/>
  <c r="AV17" i="15"/>
  <c r="AV18" i="15"/>
  <c r="AV19" i="15"/>
  <c r="AV20" i="15"/>
  <c r="AV21" i="15"/>
  <c r="AV22" i="15"/>
  <c r="AV23" i="15"/>
  <c r="AV24" i="15"/>
  <c r="AV25" i="15"/>
  <c r="AV26" i="15"/>
  <c r="AV27" i="15"/>
  <c r="AV28" i="15"/>
  <c r="AV29" i="15"/>
  <c r="AV30" i="15"/>
  <c r="AV31" i="15"/>
  <c r="AV32" i="15"/>
  <c r="AV33" i="15"/>
  <c r="AV34" i="15"/>
  <c r="AV35" i="15"/>
  <c r="AV36" i="15"/>
  <c r="AV37" i="15"/>
  <c r="AV38" i="15"/>
  <c r="AV39" i="15"/>
  <c r="AV40" i="15"/>
  <c r="AV41" i="15"/>
  <c r="AV42" i="15"/>
  <c r="AV43" i="15"/>
  <c r="AV44" i="15"/>
  <c r="AV45" i="15"/>
  <c r="AV6" i="15"/>
  <c r="BB11" i="15"/>
  <c r="BB14" i="15"/>
  <c r="BB15" i="15"/>
  <c r="BB18" i="15"/>
  <c r="BB19" i="15"/>
  <c r="BB20" i="15"/>
  <c r="BB21" i="15"/>
  <c r="BB16" i="15"/>
  <c r="BB17" i="15"/>
  <c r="BK5" i="15" l="1"/>
  <c r="BS5" i="15"/>
  <c r="CA5" i="15"/>
  <c r="CI5" i="15"/>
  <c r="BH13" i="15"/>
  <c r="BF12" i="15"/>
  <c r="BH12" i="15"/>
  <c r="BB12" i="15"/>
  <c r="BB8" i="15"/>
  <c r="BB9" i="15"/>
  <c r="AT13" i="15"/>
  <c r="AT14" i="15"/>
  <c r="AT15" i="15"/>
  <c r="AT16" i="15"/>
  <c r="AT17" i="15"/>
  <c r="AT18" i="15"/>
  <c r="AT19" i="15"/>
  <c r="AT20" i="15"/>
  <c r="AT21" i="15"/>
  <c r="AT22" i="15"/>
  <c r="AT23" i="15"/>
  <c r="AT24" i="15"/>
  <c r="AT25" i="15"/>
  <c r="AT26" i="15"/>
  <c r="AT27" i="15"/>
  <c r="AT28" i="15"/>
  <c r="AT29" i="15"/>
  <c r="AT30" i="15"/>
  <c r="AT31" i="15"/>
  <c r="AT32" i="15"/>
  <c r="AT33" i="15"/>
  <c r="AT34" i="15"/>
  <c r="AT35" i="15"/>
  <c r="AT36" i="15"/>
  <c r="AT37" i="15"/>
  <c r="AT38" i="15"/>
  <c r="AT39" i="15"/>
  <c r="AT40" i="15"/>
  <c r="AT41" i="15"/>
  <c r="AT42" i="15"/>
  <c r="AT43" i="15"/>
  <c r="AT44" i="15"/>
  <c r="AT45" i="15"/>
  <c r="BD6" i="15"/>
  <c r="BE6" i="15"/>
  <c r="BF6" i="15"/>
  <c r="BG6" i="15"/>
  <c r="BH6" i="15"/>
  <c r="BI6" i="15"/>
  <c r="BJ6" i="15"/>
  <c r="BK6" i="15"/>
  <c r="BL6" i="15"/>
  <c r="BM6" i="15"/>
  <c r="BN6" i="15"/>
  <c r="BO6" i="15"/>
  <c r="BP6" i="15"/>
  <c r="BQ6" i="15"/>
  <c r="BR6" i="15"/>
  <c r="BS6" i="15"/>
  <c r="BT6" i="15"/>
  <c r="BU6" i="15"/>
  <c r="BV6" i="15"/>
  <c r="BW6" i="15"/>
  <c r="BX6" i="15"/>
  <c r="BY6" i="15"/>
  <c r="BZ6" i="15"/>
  <c r="CA6" i="15"/>
  <c r="CB6" i="15"/>
  <c r="CC6" i="15"/>
  <c r="CD6" i="15"/>
  <c r="CE6" i="15"/>
  <c r="CF6" i="15"/>
  <c r="CG6" i="15"/>
  <c r="CH6" i="15"/>
  <c r="CI6" i="15"/>
  <c r="CJ6" i="15"/>
  <c r="CK6" i="15"/>
  <c r="CL6" i="15"/>
  <c r="BD7" i="15"/>
  <c r="BE7" i="15"/>
  <c r="BF7" i="15"/>
  <c r="BG7" i="15"/>
  <c r="BH7" i="15"/>
  <c r="BI7" i="15"/>
  <c r="BJ7" i="15"/>
  <c r="BK7" i="15"/>
  <c r="BL7" i="15"/>
  <c r="BM7" i="15"/>
  <c r="BN7" i="15"/>
  <c r="BO7" i="15"/>
  <c r="BP7" i="15"/>
  <c r="BQ7" i="15"/>
  <c r="BR7" i="15"/>
  <c r="BS7" i="15"/>
  <c r="BT7" i="15"/>
  <c r="BU7" i="15"/>
  <c r="BV7" i="15"/>
  <c r="BW7" i="15"/>
  <c r="BX7" i="15"/>
  <c r="BY7" i="15"/>
  <c r="BZ7" i="15"/>
  <c r="CA7" i="15"/>
  <c r="CB7" i="15"/>
  <c r="CC7" i="15"/>
  <c r="CD7" i="15"/>
  <c r="CE7" i="15"/>
  <c r="CF7" i="15"/>
  <c r="CG7" i="15"/>
  <c r="CH7" i="15"/>
  <c r="CI7" i="15"/>
  <c r="CJ7" i="15"/>
  <c r="CK7" i="15"/>
  <c r="CL7" i="15"/>
  <c r="BD8" i="15"/>
  <c r="BE8" i="15"/>
  <c r="BF8" i="15"/>
  <c r="BG8" i="15"/>
  <c r="BH8" i="15"/>
  <c r="BI8" i="15"/>
  <c r="BJ8" i="15"/>
  <c r="BK8" i="15"/>
  <c r="BL8" i="15"/>
  <c r="BM8" i="15"/>
  <c r="BN8" i="15"/>
  <c r="BO8" i="15"/>
  <c r="BP8" i="15"/>
  <c r="BQ8" i="15"/>
  <c r="BR8" i="15"/>
  <c r="BS8" i="15"/>
  <c r="BT8" i="15"/>
  <c r="BU8" i="15"/>
  <c r="BV8" i="15"/>
  <c r="BW8" i="15"/>
  <c r="BX8" i="15"/>
  <c r="BY8" i="15"/>
  <c r="BZ8" i="15"/>
  <c r="CA8" i="15"/>
  <c r="CB8" i="15"/>
  <c r="CC8" i="15"/>
  <c r="CD8" i="15"/>
  <c r="CE8" i="15"/>
  <c r="CF8" i="15"/>
  <c r="CG8" i="15"/>
  <c r="CH8" i="15"/>
  <c r="CI8" i="15"/>
  <c r="CJ8" i="15"/>
  <c r="CK8" i="15"/>
  <c r="CL8" i="15"/>
  <c r="BD9" i="15"/>
  <c r="BE9" i="15"/>
  <c r="BF9" i="15"/>
  <c r="BG9" i="15"/>
  <c r="BH9" i="15"/>
  <c r="BI9" i="15"/>
  <c r="BJ9" i="15"/>
  <c r="BK9" i="15"/>
  <c r="BL9" i="15"/>
  <c r="BM9" i="15"/>
  <c r="BN9" i="15"/>
  <c r="BO9" i="15"/>
  <c r="BP9" i="15"/>
  <c r="BQ9" i="15"/>
  <c r="BR9" i="15"/>
  <c r="BS9" i="15"/>
  <c r="BT9" i="15"/>
  <c r="BU9" i="15"/>
  <c r="BV9" i="15"/>
  <c r="BW9" i="15"/>
  <c r="BX9" i="15"/>
  <c r="BY9" i="15"/>
  <c r="BZ9" i="15"/>
  <c r="CA9" i="15"/>
  <c r="CB9" i="15"/>
  <c r="CC9" i="15"/>
  <c r="CD9" i="15"/>
  <c r="CE9" i="15"/>
  <c r="CF9" i="15"/>
  <c r="CG9" i="15"/>
  <c r="CH9" i="15"/>
  <c r="CI9" i="15"/>
  <c r="CJ9" i="15"/>
  <c r="CK9" i="15"/>
  <c r="CL9" i="15"/>
  <c r="BD10" i="15"/>
  <c r="BE10" i="15"/>
  <c r="BF10" i="15"/>
  <c r="BG10" i="15"/>
  <c r="BH10" i="15"/>
  <c r="BI10" i="15"/>
  <c r="BJ10" i="15"/>
  <c r="BK10" i="15"/>
  <c r="BL10" i="15"/>
  <c r="BM10" i="15"/>
  <c r="BN10" i="15"/>
  <c r="BO10" i="15"/>
  <c r="BP10" i="15"/>
  <c r="BQ10" i="15"/>
  <c r="BR10" i="15"/>
  <c r="BS10" i="15"/>
  <c r="BT10" i="15"/>
  <c r="BU10" i="15"/>
  <c r="BV10" i="15"/>
  <c r="BW10" i="15"/>
  <c r="BX10" i="15"/>
  <c r="BY10" i="15"/>
  <c r="BZ10" i="15"/>
  <c r="CA10" i="15"/>
  <c r="CB10" i="15"/>
  <c r="CC10" i="15"/>
  <c r="CD10" i="15"/>
  <c r="CE10" i="15"/>
  <c r="CF10" i="15"/>
  <c r="CG10" i="15"/>
  <c r="CH10" i="15"/>
  <c r="CI10" i="15"/>
  <c r="CJ10" i="15"/>
  <c r="CK10" i="15"/>
  <c r="CL10" i="15"/>
  <c r="BD11" i="15"/>
  <c r="BE11" i="15"/>
  <c r="BF11" i="15"/>
  <c r="BG11" i="15"/>
  <c r="BH11" i="15"/>
  <c r="BI11" i="15"/>
  <c r="BJ11" i="15"/>
  <c r="BK11" i="15"/>
  <c r="BL11" i="15"/>
  <c r="BM11" i="15"/>
  <c r="BN11" i="15"/>
  <c r="BO11" i="15"/>
  <c r="BP11" i="15"/>
  <c r="BQ11" i="15"/>
  <c r="BR11" i="15"/>
  <c r="BS11" i="15"/>
  <c r="BT11" i="15"/>
  <c r="BU11" i="15"/>
  <c r="BV11" i="15"/>
  <c r="BW11" i="15"/>
  <c r="BX11" i="15"/>
  <c r="BY11" i="15"/>
  <c r="BZ11" i="15"/>
  <c r="CA11" i="15"/>
  <c r="CB11" i="15"/>
  <c r="CC11" i="15"/>
  <c r="CD11" i="15"/>
  <c r="CE11" i="15"/>
  <c r="CF11" i="15"/>
  <c r="CG11" i="15"/>
  <c r="CH11" i="15"/>
  <c r="CI11" i="15"/>
  <c r="CJ11" i="15"/>
  <c r="CK11" i="15"/>
  <c r="CL11" i="15"/>
  <c r="BD12" i="15"/>
  <c r="BE12" i="15"/>
  <c r="BG12" i="15"/>
  <c r="BI12" i="15"/>
  <c r="BJ12" i="15"/>
  <c r="BK12" i="15"/>
  <c r="BL12" i="15"/>
  <c r="BM12" i="15"/>
  <c r="BN12" i="15"/>
  <c r="BO12" i="15"/>
  <c r="BP12" i="15"/>
  <c r="BQ12" i="15"/>
  <c r="BR12" i="15"/>
  <c r="BS12" i="15"/>
  <c r="BT12" i="15"/>
  <c r="BU12" i="15"/>
  <c r="BV12" i="15"/>
  <c r="BW12" i="15"/>
  <c r="BX12" i="15"/>
  <c r="BY12" i="15"/>
  <c r="BZ12" i="15"/>
  <c r="CA12" i="15"/>
  <c r="CB12" i="15"/>
  <c r="CC12" i="15"/>
  <c r="CD12" i="15"/>
  <c r="CE12" i="15"/>
  <c r="CF12" i="15"/>
  <c r="CG12" i="15"/>
  <c r="CH12" i="15"/>
  <c r="CI12" i="15"/>
  <c r="CJ12" i="15"/>
  <c r="CK12" i="15"/>
  <c r="CL12" i="15"/>
  <c r="BD13" i="15"/>
  <c r="BE13" i="15"/>
  <c r="BF13" i="15"/>
  <c r="BG13" i="15"/>
  <c r="BI13" i="15"/>
  <c r="BJ13" i="15"/>
  <c r="BK13" i="15"/>
  <c r="BL13" i="15"/>
  <c r="BM13" i="15"/>
  <c r="BN13" i="15"/>
  <c r="BO13" i="15"/>
  <c r="BP13" i="15"/>
  <c r="BQ13" i="15"/>
  <c r="BR13" i="15"/>
  <c r="BS13" i="15"/>
  <c r="BT13" i="15"/>
  <c r="BU13" i="15"/>
  <c r="BV13" i="15"/>
  <c r="BW13" i="15"/>
  <c r="BX13" i="15"/>
  <c r="BY13" i="15"/>
  <c r="BZ13" i="15"/>
  <c r="CA13" i="15"/>
  <c r="CB13" i="15"/>
  <c r="CC13" i="15"/>
  <c r="CD13" i="15"/>
  <c r="CE13" i="15"/>
  <c r="CF13" i="15"/>
  <c r="CG13" i="15"/>
  <c r="CH13" i="15"/>
  <c r="CI13" i="15"/>
  <c r="CJ13" i="15"/>
  <c r="CK13" i="15"/>
  <c r="CL13" i="15"/>
  <c r="BD14" i="15"/>
  <c r="BE14" i="15"/>
  <c r="BF14" i="15"/>
  <c r="BG14" i="15"/>
  <c r="BH14" i="15"/>
  <c r="BI14" i="15"/>
  <c r="BJ14" i="15"/>
  <c r="BK14" i="15"/>
  <c r="BL14" i="15"/>
  <c r="BM14" i="15"/>
  <c r="BN14" i="15"/>
  <c r="BO14" i="15"/>
  <c r="BP14" i="15"/>
  <c r="BQ14" i="15"/>
  <c r="BR14" i="15"/>
  <c r="BS14" i="15"/>
  <c r="BT14" i="15"/>
  <c r="BU14" i="15"/>
  <c r="BV14" i="15"/>
  <c r="BW14" i="15"/>
  <c r="BX14" i="15"/>
  <c r="BY14" i="15"/>
  <c r="BZ14" i="15"/>
  <c r="CA14" i="15"/>
  <c r="CB14" i="15"/>
  <c r="CC14" i="15"/>
  <c r="CD14" i="15"/>
  <c r="CE14" i="15"/>
  <c r="CF14" i="15"/>
  <c r="CG14" i="15"/>
  <c r="CH14" i="15"/>
  <c r="CI14" i="15"/>
  <c r="CJ14" i="15"/>
  <c r="CK14" i="15"/>
  <c r="CL14" i="15"/>
  <c r="BD15" i="15"/>
  <c r="BE15" i="15"/>
  <c r="BF15" i="15"/>
  <c r="BG15" i="15"/>
  <c r="BH15" i="15"/>
  <c r="BI15" i="15"/>
  <c r="BJ15" i="15"/>
  <c r="BK15" i="15"/>
  <c r="BL15" i="15"/>
  <c r="BM15" i="15"/>
  <c r="BN15" i="15"/>
  <c r="BO15" i="15"/>
  <c r="BP15" i="15"/>
  <c r="BQ15" i="15"/>
  <c r="BR15" i="15"/>
  <c r="BS15" i="15"/>
  <c r="BT15" i="15"/>
  <c r="BU15" i="15"/>
  <c r="BV15" i="15"/>
  <c r="BW15" i="15"/>
  <c r="BX15" i="15"/>
  <c r="BY15" i="15"/>
  <c r="BZ15" i="15"/>
  <c r="CA15" i="15"/>
  <c r="CB15" i="15"/>
  <c r="CC15" i="15"/>
  <c r="CD15" i="15"/>
  <c r="CE15" i="15"/>
  <c r="CF15" i="15"/>
  <c r="CG15" i="15"/>
  <c r="CH15" i="15"/>
  <c r="CI15" i="15"/>
  <c r="CJ15" i="15"/>
  <c r="CK15" i="15"/>
  <c r="CL15" i="15"/>
  <c r="BD16" i="15"/>
  <c r="BE16" i="15"/>
  <c r="BF16" i="15"/>
  <c r="BG16" i="15"/>
  <c r="BH16" i="15"/>
  <c r="BI16" i="15"/>
  <c r="BJ16" i="15"/>
  <c r="BK16" i="15"/>
  <c r="BL16" i="15"/>
  <c r="BM16" i="15"/>
  <c r="BN16" i="15"/>
  <c r="BO16" i="15"/>
  <c r="BP16" i="15"/>
  <c r="BQ16" i="15"/>
  <c r="BR16" i="15"/>
  <c r="BS16" i="15"/>
  <c r="BT16" i="15"/>
  <c r="BU16" i="15"/>
  <c r="BV16" i="15"/>
  <c r="BW16" i="15"/>
  <c r="BX16" i="15"/>
  <c r="BY16" i="15"/>
  <c r="BZ16" i="15"/>
  <c r="CA16" i="15"/>
  <c r="CB16" i="15"/>
  <c r="CC16" i="15"/>
  <c r="CD16" i="15"/>
  <c r="CE16" i="15"/>
  <c r="CF16" i="15"/>
  <c r="CG16" i="15"/>
  <c r="CH16" i="15"/>
  <c r="CI16" i="15"/>
  <c r="CJ16" i="15"/>
  <c r="CK16" i="15"/>
  <c r="CL16" i="15"/>
  <c r="BD17" i="15"/>
  <c r="BE17" i="15"/>
  <c r="BF17" i="15"/>
  <c r="BG17" i="15"/>
  <c r="BH17" i="15"/>
  <c r="BI17" i="15"/>
  <c r="BJ17" i="15"/>
  <c r="BK17" i="15"/>
  <c r="BL17" i="15"/>
  <c r="BM17" i="15"/>
  <c r="BN17" i="15"/>
  <c r="BO17" i="15"/>
  <c r="BP17" i="15"/>
  <c r="BQ17" i="15"/>
  <c r="BR17" i="15"/>
  <c r="BS17" i="15"/>
  <c r="BT17" i="15"/>
  <c r="BU17" i="15"/>
  <c r="BV17" i="15"/>
  <c r="BW17" i="15"/>
  <c r="BX17" i="15"/>
  <c r="BY17" i="15"/>
  <c r="BZ17" i="15"/>
  <c r="CA17" i="15"/>
  <c r="CB17" i="15"/>
  <c r="CC17" i="15"/>
  <c r="CD17" i="15"/>
  <c r="CE17" i="15"/>
  <c r="CF17" i="15"/>
  <c r="CG17" i="15"/>
  <c r="CH17" i="15"/>
  <c r="CI17" i="15"/>
  <c r="CJ17" i="15"/>
  <c r="CK17" i="15"/>
  <c r="CL17" i="15"/>
  <c r="BD18" i="15"/>
  <c r="BE18" i="15"/>
  <c r="BF18" i="15"/>
  <c r="BG18" i="15"/>
  <c r="BH18" i="15"/>
  <c r="BI18" i="15"/>
  <c r="BJ18" i="15"/>
  <c r="BK18" i="15"/>
  <c r="BL18" i="15"/>
  <c r="BM18" i="15"/>
  <c r="BN18" i="15"/>
  <c r="BO18" i="15"/>
  <c r="BP18" i="15"/>
  <c r="BQ18" i="15"/>
  <c r="BR18" i="15"/>
  <c r="BS18" i="15"/>
  <c r="BT18" i="15"/>
  <c r="BU18" i="15"/>
  <c r="BV18" i="15"/>
  <c r="BW18" i="15"/>
  <c r="BX18" i="15"/>
  <c r="BY18" i="15"/>
  <c r="BZ18" i="15"/>
  <c r="CA18" i="15"/>
  <c r="CB18" i="15"/>
  <c r="CC18" i="15"/>
  <c r="CD18" i="15"/>
  <c r="CE18" i="15"/>
  <c r="CF18" i="15"/>
  <c r="CG18" i="15"/>
  <c r="CH18" i="15"/>
  <c r="CI18" i="15"/>
  <c r="CJ18" i="15"/>
  <c r="CK18" i="15"/>
  <c r="CL18" i="15"/>
  <c r="BD19" i="15"/>
  <c r="BE19" i="15"/>
  <c r="BF19" i="15"/>
  <c r="BG19" i="15"/>
  <c r="BH19" i="15"/>
  <c r="BI19" i="15"/>
  <c r="BJ19" i="15"/>
  <c r="BK19" i="15"/>
  <c r="BL19" i="15"/>
  <c r="BM19" i="15"/>
  <c r="BN19" i="15"/>
  <c r="BO19" i="15"/>
  <c r="BP19" i="15"/>
  <c r="BQ19" i="15"/>
  <c r="BR19" i="15"/>
  <c r="BS19" i="15"/>
  <c r="BT19" i="15"/>
  <c r="BU19" i="15"/>
  <c r="BV19" i="15"/>
  <c r="BW19" i="15"/>
  <c r="BX19" i="15"/>
  <c r="BY19" i="15"/>
  <c r="BZ19" i="15"/>
  <c r="CA19" i="15"/>
  <c r="CB19" i="15"/>
  <c r="CC19" i="15"/>
  <c r="CD19" i="15"/>
  <c r="CE19" i="15"/>
  <c r="CF19" i="15"/>
  <c r="CG19" i="15"/>
  <c r="CH19" i="15"/>
  <c r="CI19" i="15"/>
  <c r="CJ19" i="15"/>
  <c r="CK19" i="15"/>
  <c r="CL19" i="15"/>
  <c r="BD20" i="15"/>
  <c r="BE20" i="15"/>
  <c r="BF20" i="15"/>
  <c r="BG20" i="15"/>
  <c r="BH20" i="15"/>
  <c r="BI20" i="15"/>
  <c r="BJ20" i="15"/>
  <c r="BK20" i="15"/>
  <c r="BL20" i="15"/>
  <c r="BM20" i="15"/>
  <c r="BN20" i="15"/>
  <c r="BO20" i="15"/>
  <c r="BP20" i="15"/>
  <c r="BQ20" i="15"/>
  <c r="BR20" i="15"/>
  <c r="BS20" i="15"/>
  <c r="BT20" i="15"/>
  <c r="BU20" i="15"/>
  <c r="BV20" i="15"/>
  <c r="BW20" i="15"/>
  <c r="BX20" i="15"/>
  <c r="BY20" i="15"/>
  <c r="BZ20" i="15"/>
  <c r="CA20" i="15"/>
  <c r="CB20" i="15"/>
  <c r="CC20" i="15"/>
  <c r="CD20" i="15"/>
  <c r="CE20" i="15"/>
  <c r="CF20" i="15"/>
  <c r="CG20" i="15"/>
  <c r="CH20" i="15"/>
  <c r="CI20" i="15"/>
  <c r="CJ20" i="15"/>
  <c r="CK20" i="15"/>
  <c r="CL20" i="15"/>
  <c r="BD21" i="15"/>
  <c r="BE21" i="15"/>
  <c r="BF21" i="15"/>
  <c r="BG21" i="15"/>
  <c r="BH21" i="15"/>
  <c r="BI21" i="15"/>
  <c r="BJ21" i="15"/>
  <c r="BK21" i="15"/>
  <c r="BL21" i="15"/>
  <c r="BM21" i="15"/>
  <c r="BN21" i="15"/>
  <c r="BO21" i="15"/>
  <c r="BP21" i="15"/>
  <c r="BQ21" i="15"/>
  <c r="BR21" i="15"/>
  <c r="BS21" i="15"/>
  <c r="BT21" i="15"/>
  <c r="BU21" i="15"/>
  <c r="BV21" i="15"/>
  <c r="BW21" i="15"/>
  <c r="BX21" i="15"/>
  <c r="BY21" i="15"/>
  <c r="BZ21" i="15"/>
  <c r="CA21" i="15"/>
  <c r="CB21" i="15"/>
  <c r="CC21" i="15"/>
  <c r="CD21" i="15"/>
  <c r="CE21" i="15"/>
  <c r="CF21" i="15"/>
  <c r="CG21" i="15"/>
  <c r="CH21" i="15"/>
  <c r="CI21" i="15"/>
  <c r="CJ21" i="15"/>
  <c r="CK21" i="15"/>
  <c r="CL21" i="15"/>
  <c r="BD22" i="15"/>
  <c r="BE22" i="15"/>
  <c r="BF22" i="15"/>
  <c r="BG22" i="15"/>
  <c r="BH22" i="15"/>
  <c r="BI22" i="15"/>
  <c r="BJ22" i="15"/>
  <c r="BK22" i="15"/>
  <c r="BL22" i="15"/>
  <c r="BM22" i="15"/>
  <c r="BN22" i="15"/>
  <c r="BO22" i="15"/>
  <c r="BP22" i="15"/>
  <c r="BQ22" i="15"/>
  <c r="BR22" i="15"/>
  <c r="BS22" i="15"/>
  <c r="BT22" i="15"/>
  <c r="BU22" i="15"/>
  <c r="BV22" i="15"/>
  <c r="BW22" i="15"/>
  <c r="BX22" i="15"/>
  <c r="BY22" i="15"/>
  <c r="BZ22" i="15"/>
  <c r="CA22" i="15"/>
  <c r="CB22" i="15"/>
  <c r="CC22" i="15"/>
  <c r="CD22" i="15"/>
  <c r="CE22" i="15"/>
  <c r="CF22" i="15"/>
  <c r="CG22" i="15"/>
  <c r="CH22" i="15"/>
  <c r="CI22" i="15"/>
  <c r="CJ22" i="15"/>
  <c r="CK22" i="15"/>
  <c r="CL22" i="15"/>
  <c r="BD23" i="15"/>
  <c r="BE23" i="15"/>
  <c r="BF23" i="15"/>
  <c r="BG23" i="15"/>
  <c r="BH23" i="15"/>
  <c r="BI23" i="15"/>
  <c r="BJ23" i="15"/>
  <c r="BK23" i="15"/>
  <c r="BL23" i="15"/>
  <c r="BM23" i="15"/>
  <c r="BN23" i="15"/>
  <c r="BO23" i="15"/>
  <c r="BP23" i="15"/>
  <c r="BQ23" i="15"/>
  <c r="BR23" i="15"/>
  <c r="BS23" i="15"/>
  <c r="BT23" i="15"/>
  <c r="BU23" i="15"/>
  <c r="BV23" i="15"/>
  <c r="BW23" i="15"/>
  <c r="BX23" i="15"/>
  <c r="BY23" i="15"/>
  <c r="BZ23" i="15"/>
  <c r="CA23" i="15"/>
  <c r="CB23" i="15"/>
  <c r="CC23" i="15"/>
  <c r="CD23" i="15"/>
  <c r="CE23" i="15"/>
  <c r="CF23" i="15"/>
  <c r="CG23" i="15"/>
  <c r="CH23" i="15"/>
  <c r="CI23" i="15"/>
  <c r="CJ23" i="15"/>
  <c r="CK23" i="15"/>
  <c r="CL23" i="15"/>
  <c r="BD24" i="15"/>
  <c r="BE24" i="15"/>
  <c r="BF24" i="15"/>
  <c r="BG24" i="15"/>
  <c r="BH24" i="15"/>
  <c r="BI24" i="15"/>
  <c r="BJ24" i="15"/>
  <c r="BK24" i="15"/>
  <c r="BL24" i="15"/>
  <c r="BM24" i="15"/>
  <c r="BN24" i="15"/>
  <c r="BO24" i="15"/>
  <c r="BP24" i="15"/>
  <c r="BQ24" i="15"/>
  <c r="BR24" i="15"/>
  <c r="BS24" i="15"/>
  <c r="BT24" i="15"/>
  <c r="BU24" i="15"/>
  <c r="BV24" i="15"/>
  <c r="BW24" i="15"/>
  <c r="BX24" i="15"/>
  <c r="BY24" i="15"/>
  <c r="BZ24" i="15"/>
  <c r="CA24" i="15"/>
  <c r="CB24" i="15"/>
  <c r="CC24" i="15"/>
  <c r="CD24" i="15"/>
  <c r="CE24" i="15"/>
  <c r="CF24" i="15"/>
  <c r="CG24" i="15"/>
  <c r="CH24" i="15"/>
  <c r="CI24" i="15"/>
  <c r="CJ24" i="15"/>
  <c r="CK24" i="15"/>
  <c r="CL24" i="15"/>
  <c r="BD25" i="15"/>
  <c r="BE25" i="15"/>
  <c r="BF25" i="15"/>
  <c r="BG25" i="15"/>
  <c r="BH25" i="15"/>
  <c r="BI25" i="15"/>
  <c r="BJ25" i="15"/>
  <c r="BK25" i="15"/>
  <c r="BL25" i="15"/>
  <c r="BM25" i="15"/>
  <c r="BN25" i="15"/>
  <c r="BO25" i="15"/>
  <c r="BP25" i="15"/>
  <c r="BQ25" i="15"/>
  <c r="BR25" i="15"/>
  <c r="BS25" i="15"/>
  <c r="BT25" i="15"/>
  <c r="BU25" i="15"/>
  <c r="BV25" i="15"/>
  <c r="BW25" i="15"/>
  <c r="BX25" i="15"/>
  <c r="BY25" i="15"/>
  <c r="BZ25" i="15"/>
  <c r="CA25" i="15"/>
  <c r="CB25" i="15"/>
  <c r="CC25" i="15"/>
  <c r="CD25" i="15"/>
  <c r="CE25" i="15"/>
  <c r="CF25" i="15"/>
  <c r="CG25" i="15"/>
  <c r="CH25" i="15"/>
  <c r="CI25" i="15"/>
  <c r="CJ25" i="15"/>
  <c r="CK25" i="15"/>
  <c r="CL25" i="15"/>
  <c r="BD26" i="15"/>
  <c r="BE26" i="15"/>
  <c r="BF26" i="15"/>
  <c r="BG26" i="15"/>
  <c r="BH26" i="15"/>
  <c r="BI26" i="15"/>
  <c r="BJ26" i="15"/>
  <c r="BK26" i="15"/>
  <c r="BL26" i="15"/>
  <c r="BM26" i="15"/>
  <c r="BN26" i="15"/>
  <c r="BO26" i="15"/>
  <c r="BP26" i="15"/>
  <c r="BQ26" i="15"/>
  <c r="BR26" i="15"/>
  <c r="BS26" i="15"/>
  <c r="BT26" i="15"/>
  <c r="BU26" i="15"/>
  <c r="BV26" i="15"/>
  <c r="BW26" i="15"/>
  <c r="BX26" i="15"/>
  <c r="BY26" i="15"/>
  <c r="BZ26" i="15"/>
  <c r="CA26" i="15"/>
  <c r="CB26" i="15"/>
  <c r="CC26" i="15"/>
  <c r="CD26" i="15"/>
  <c r="CE26" i="15"/>
  <c r="CF26" i="15"/>
  <c r="CG26" i="15"/>
  <c r="CH26" i="15"/>
  <c r="CI26" i="15"/>
  <c r="CJ26" i="15"/>
  <c r="CK26" i="15"/>
  <c r="CL26" i="15"/>
  <c r="BD27" i="15"/>
  <c r="BE27" i="15"/>
  <c r="BF27" i="15"/>
  <c r="BG27" i="15"/>
  <c r="BH27" i="15"/>
  <c r="BI27" i="15"/>
  <c r="BJ27" i="15"/>
  <c r="BK27" i="15"/>
  <c r="BL27" i="15"/>
  <c r="BM27" i="15"/>
  <c r="BN27" i="15"/>
  <c r="BO27" i="15"/>
  <c r="BP27" i="15"/>
  <c r="BQ27" i="15"/>
  <c r="BR27" i="15"/>
  <c r="BS27" i="15"/>
  <c r="BT27" i="15"/>
  <c r="BU27" i="15"/>
  <c r="BV27" i="15"/>
  <c r="BW27" i="15"/>
  <c r="BX27" i="15"/>
  <c r="BY27" i="15"/>
  <c r="BZ27" i="15"/>
  <c r="CA27" i="15"/>
  <c r="CB27" i="15"/>
  <c r="CC27" i="15"/>
  <c r="CD27" i="15"/>
  <c r="CE27" i="15"/>
  <c r="CF27" i="15"/>
  <c r="CG27" i="15"/>
  <c r="CH27" i="15"/>
  <c r="CI27" i="15"/>
  <c r="CJ27" i="15"/>
  <c r="CK27" i="15"/>
  <c r="CL27" i="15"/>
  <c r="BD28" i="15"/>
  <c r="BE28" i="15"/>
  <c r="BF28" i="15"/>
  <c r="BG28" i="15"/>
  <c r="BH28" i="15"/>
  <c r="BI28" i="15"/>
  <c r="BJ28" i="15"/>
  <c r="BK28" i="15"/>
  <c r="BL28" i="15"/>
  <c r="BM28" i="15"/>
  <c r="BN28" i="15"/>
  <c r="BO28" i="15"/>
  <c r="BP28" i="15"/>
  <c r="BQ28" i="15"/>
  <c r="BR28" i="15"/>
  <c r="BS28" i="15"/>
  <c r="BT28" i="15"/>
  <c r="BU28" i="15"/>
  <c r="BV28" i="15"/>
  <c r="BW28" i="15"/>
  <c r="BX28" i="15"/>
  <c r="BY28" i="15"/>
  <c r="BZ28" i="15"/>
  <c r="CA28" i="15"/>
  <c r="CB28" i="15"/>
  <c r="CC28" i="15"/>
  <c r="CD28" i="15"/>
  <c r="CE28" i="15"/>
  <c r="CF28" i="15"/>
  <c r="CG28" i="15"/>
  <c r="CH28" i="15"/>
  <c r="CI28" i="15"/>
  <c r="CJ28" i="15"/>
  <c r="CK28" i="15"/>
  <c r="CL28" i="15"/>
  <c r="BD29" i="15"/>
  <c r="BE29" i="15"/>
  <c r="BF29" i="15"/>
  <c r="BG29" i="15"/>
  <c r="BH29" i="15"/>
  <c r="BI29" i="15"/>
  <c r="BJ29" i="15"/>
  <c r="BK29" i="15"/>
  <c r="BL29" i="15"/>
  <c r="BM29" i="15"/>
  <c r="BN29" i="15"/>
  <c r="BO29" i="15"/>
  <c r="BP29" i="15"/>
  <c r="BQ29" i="15"/>
  <c r="BR29" i="15"/>
  <c r="BS29" i="15"/>
  <c r="BT29" i="15"/>
  <c r="BU29" i="15"/>
  <c r="BV29" i="15"/>
  <c r="BW29" i="15"/>
  <c r="BX29" i="15"/>
  <c r="BY29" i="15"/>
  <c r="BZ29" i="15"/>
  <c r="CA29" i="15"/>
  <c r="CB29" i="15"/>
  <c r="CC29" i="15"/>
  <c r="CD29" i="15"/>
  <c r="CE29" i="15"/>
  <c r="CF29" i="15"/>
  <c r="CG29" i="15"/>
  <c r="CH29" i="15"/>
  <c r="CI29" i="15"/>
  <c r="CJ29" i="15"/>
  <c r="CK29" i="15"/>
  <c r="CL29" i="15"/>
  <c r="BD30" i="15"/>
  <c r="BE30" i="15"/>
  <c r="BF30" i="15"/>
  <c r="BG30" i="15"/>
  <c r="BH30" i="15"/>
  <c r="BI30" i="15"/>
  <c r="BJ30" i="15"/>
  <c r="BK30" i="15"/>
  <c r="BL30" i="15"/>
  <c r="BM30" i="15"/>
  <c r="BN30" i="15"/>
  <c r="BO30" i="15"/>
  <c r="BP30" i="15"/>
  <c r="BQ30" i="15"/>
  <c r="BR30" i="15"/>
  <c r="BS30" i="15"/>
  <c r="BT30" i="15"/>
  <c r="BU30" i="15"/>
  <c r="BV30" i="15"/>
  <c r="BW30" i="15"/>
  <c r="BX30" i="15"/>
  <c r="BY30" i="15"/>
  <c r="BZ30" i="15"/>
  <c r="CA30" i="15"/>
  <c r="CB30" i="15"/>
  <c r="CC30" i="15"/>
  <c r="CD30" i="15"/>
  <c r="CE30" i="15"/>
  <c r="CF30" i="15"/>
  <c r="CG30" i="15"/>
  <c r="CH30" i="15"/>
  <c r="CI30" i="15"/>
  <c r="CJ30" i="15"/>
  <c r="CK30" i="15"/>
  <c r="CL30" i="15"/>
  <c r="BD31" i="15"/>
  <c r="BE31" i="15"/>
  <c r="BF31" i="15"/>
  <c r="BG31" i="15"/>
  <c r="BH31" i="15"/>
  <c r="BI31" i="15"/>
  <c r="BJ31" i="15"/>
  <c r="BK31" i="15"/>
  <c r="BL31" i="15"/>
  <c r="BM31" i="15"/>
  <c r="BN31" i="15"/>
  <c r="BO31" i="15"/>
  <c r="BP31" i="15"/>
  <c r="BQ31" i="15"/>
  <c r="BR31" i="15"/>
  <c r="BS31" i="15"/>
  <c r="BT31" i="15"/>
  <c r="BU31" i="15"/>
  <c r="BV31" i="15"/>
  <c r="BW31" i="15"/>
  <c r="BX31" i="15"/>
  <c r="BY31" i="15"/>
  <c r="BZ31" i="15"/>
  <c r="CA31" i="15"/>
  <c r="CB31" i="15"/>
  <c r="CC31" i="15"/>
  <c r="CD31" i="15"/>
  <c r="CE31" i="15"/>
  <c r="CF31" i="15"/>
  <c r="CG31" i="15"/>
  <c r="CH31" i="15"/>
  <c r="CI31" i="15"/>
  <c r="CJ31" i="15"/>
  <c r="CK31" i="15"/>
  <c r="CL31" i="15"/>
  <c r="BD32" i="15"/>
  <c r="BE32" i="15"/>
  <c r="BF32" i="15"/>
  <c r="BG32" i="15"/>
  <c r="BH32" i="15"/>
  <c r="BI32" i="15"/>
  <c r="BJ32" i="15"/>
  <c r="BK32" i="15"/>
  <c r="BL32" i="15"/>
  <c r="BM32" i="15"/>
  <c r="BN32" i="15"/>
  <c r="BO32" i="15"/>
  <c r="BP32" i="15"/>
  <c r="BQ32" i="15"/>
  <c r="BR32" i="15"/>
  <c r="BS32" i="15"/>
  <c r="BT32" i="15"/>
  <c r="BU32" i="15"/>
  <c r="BV32" i="15"/>
  <c r="BW32" i="15"/>
  <c r="BX32" i="15"/>
  <c r="BY32" i="15"/>
  <c r="BZ32" i="15"/>
  <c r="CA32" i="15"/>
  <c r="CB32" i="15"/>
  <c r="CC32" i="15"/>
  <c r="CD32" i="15"/>
  <c r="CE32" i="15"/>
  <c r="CF32" i="15"/>
  <c r="CG32" i="15"/>
  <c r="CH32" i="15"/>
  <c r="CI32" i="15"/>
  <c r="CJ32" i="15"/>
  <c r="CK32" i="15"/>
  <c r="CL32" i="15"/>
  <c r="BD33" i="15"/>
  <c r="BE33" i="15"/>
  <c r="BF33" i="15"/>
  <c r="BG33" i="15"/>
  <c r="BH33" i="15"/>
  <c r="BI33" i="15"/>
  <c r="BJ33" i="15"/>
  <c r="BK33" i="15"/>
  <c r="BL33" i="15"/>
  <c r="BM33" i="15"/>
  <c r="BN33" i="15"/>
  <c r="BO33" i="15"/>
  <c r="BP33" i="15"/>
  <c r="BQ33" i="15"/>
  <c r="BR33" i="15"/>
  <c r="BS33" i="15"/>
  <c r="BT33" i="15"/>
  <c r="BU33" i="15"/>
  <c r="BV33" i="15"/>
  <c r="BW33" i="15"/>
  <c r="BX33" i="15"/>
  <c r="BY33" i="15"/>
  <c r="BZ33" i="15"/>
  <c r="CA33" i="15"/>
  <c r="CB33" i="15"/>
  <c r="CC33" i="15"/>
  <c r="CD33" i="15"/>
  <c r="CE33" i="15"/>
  <c r="CF33" i="15"/>
  <c r="CG33" i="15"/>
  <c r="CH33" i="15"/>
  <c r="CI33" i="15"/>
  <c r="CJ33" i="15"/>
  <c r="CK33" i="15"/>
  <c r="CL33" i="15"/>
  <c r="BD34" i="15"/>
  <c r="BE34" i="15"/>
  <c r="BF34" i="15"/>
  <c r="BG34" i="15"/>
  <c r="BH34" i="15"/>
  <c r="BI34" i="15"/>
  <c r="BJ34" i="15"/>
  <c r="BK34" i="15"/>
  <c r="BL34" i="15"/>
  <c r="BM34" i="15"/>
  <c r="BN34" i="15"/>
  <c r="BO34" i="15"/>
  <c r="BP34" i="15"/>
  <c r="BQ34" i="15"/>
  <c r="BR34" i="15"/>
  <c r="BS34" i="15"/>
  <c r="BT34" i="15"/>
  <c r="BU34" i="15"/>
  <c r="BV34" i="15"/>
  <c r="BW34" i="15"/>
  <c r="BX34" i="15"/>
  <c r="BY34" i="15"/>
  <c r="BZ34" i="15"/>
  <c r="CA34" i="15"/>
  <c r="CB34" i="15"/>
  <c r="CC34" i="15"/>
  <c r="CD34" i="15"/>
  <c r="CE34" i="15"/>
  <c r="CF34" i="15"/>
  <c r="CG34" i="15"/>
  <c r="CH34" i="15"/>
  <c r="CI34" i="15"/>
  <c r="CJ34" i="15"/>
  <c r="CK34" i="15"/>
  <c r="CL34" i="15"/>
  <c r="BD35" i="15"/>
  <c r="BE35" i="15"/>
  <c r="BF35" i="15"/>
  <c r="BG35" i="15"/>
  <c r="BH35" i="15"/>
  <c r="BI35" i="15"/>
  <c r="BJ35" i="15"/>
  <c r="BK35" i="15"/>
  <c r="BL35" i="15"/>
  <c r="BM35" i="15"/>
  <c r="BN35" i="15"/>
  <c r="BO35" i="15"/>
  <c r="BP35" i="15"/>
  <c r="BQ35" i="15"/>
  <c r="BR35" i="15"/>
  <c r="BS35" i="15"/>
  <c r="BT35" i="15"/>
  <c r="BU35" i="15"/>
  <c r="BV35" i="15"/>
  <c r="BW35" i="15"/>
  <c r="BX35" i="15"/>
  <c r="BY35" i="15"/>
  <c r="BZ35" i="15"/>
  <c r="CA35" i="15"/>
  <c r="CB35" i="15"/>
  <c r="CC35" i="15"/>
  <c r="CD35" i="15"/>
  <c r="CE35" i="15"/>
  <c r="CF35" i="15"/>
  <c r="CG35" i="15"/>
  <c r="CH35" i="15"/>
  <c r="CI35" i="15"/>
  <c r="CJ35" i="15"/>
  <c r="CK35" i="15"/>
  <c r="CL35" i="15"/>
  <c r="BD36" i="15"/>
  <c r="BE36" i="15"/>
  <c r="BF36" i="15"/>
  <c r="BG36" i="15"/>
  <c r="BH36" i="15"/>
  <c r="BI36" i="15"/>
  <c r="BJ36" i="15"/>
  <c r="BK36" i="15"/>
  <c r="BL36" i="15"/>
  <c r="BM36" i="15"/>
  <c r="BN36" i="15"/>
  <c r="BO36" i="15"/>
  <c r="BP36" i="15"/>
  <c r="BQ36" i="15"/>
  <c r="BR36" i="15"/>
  <c r="BS36" i="15"/>
  <c r="BT36" i="15"/>
  <c r="BU36" i="15"/>
  <c r="BV36" i="15"/>
  <c r="BW36" i="15"/>
  <c r="BX36" i="15"/>
  <c r="BY36" i="15"/>
  <c r="BZ36" i="15"/>
  <c r="CA36" i="15"/>
  <c r="CB36" i="15"/>
  <c r="CC36" i="15"/>
  <c r="CD36" i="15"/>
  <c r="CE36" i="15"/>
  <c r="CF36" i="15"/>
  <c r="CG36" i="15"/>
  <c r="CH36" i="15"/>
  <c r="CI36" i="15"/>
  <c r="CJ36" i="15"/>
  <c r="CK36" i="15"/>
  <c r="CL36" i="15"/>
  <c r="BD37" i="15"/>
  <c r="BE37" i="15"/>
  <c r="BF37" i="15"/>
  <c r="BG37" i="15"/>
  <c r="BH37" i="15"/>
  <c r="BI37" i="15"/>
  <c r="BJ37" i="15"/>
  <c r="BK37" i="15"/>
  <c r="BL37" i="15"/>
  <c r="BM37" i="15"/>
  <c r="BN37" i="15"/>
  <c r="BO37" i="15"/>
  <c r="BP37" i="15"/>
  <c r="BQ37" i="15"/>
  <c r="BR37" i="15"/>
  <c r="BS37" i="15"/>
  <c r="BT37" i="15"/>
  <c r="BU37" i="15"/>
  <c r="BV37" i="15"/>
  <c r="BW37" i="15"/>
  <c r="BX37" i="15"/>
  <c r="BY37" i="15"/>
  <c r="BZ37" i="15"/>
  <c r="CA37" i="15"/>
  <c r="CB37" i="15"/>
  <c r="CC37" i="15"/>
  <c r="CD37" i="15"/>
  <c r="CE37" i="15"/>
  <c r="CF37" i="15"/>
  <c r="CG37" i="15"/>
  <c r="CH37" i="15"/>
  <c r="CI37" i="15"/>
  <c r="CJ37" i="15"/>
  <c r="CK37" i="15"/>
  <c r="CL37" i="15"/>
  <c r="BD38" i="15"/>
  <c r="BE38" i="15"/>
  <c r="BF38" i="15"/>
  <c r="BG38" i="15"/>
  <c r="BH38" i="15"/>
  <c r="BI38" i="15"/>
  <c r="BJ38" i="15"/>
  <c r="BK38" i="15"/>
  <c r="BL38" i="15"/>
  <c r="BM38" i="15"/>
  <c r="BN38" i="15"/>
  <c r="BO38" i="15"/>
  <c r="BP38" i="15"/>
  <c r="BQ38" i="15"/>
  <c r="BR38" i="15"/>
  <c r="BS38" i="15"/>
  <c r="BT38" i="15"/>
  <c r="BU38" i="15"/>
  <c r="BV38" i="15"/>
  <c r="BW38" i="15"/>
  <c r="BX38" i="15"/>
  <c r="BY38" i="15"/>
  <c r="BZ38" i="15"/>
  <c r="CA38" i="15"/>
  <c r="CB38" i="15"/>
  <c r="CC38" i="15"/>
  <c r="CD38" i="15"/>
  <c r="CE38" i="15"/>
  <c r="CF38" i="15"/>
  <c r="CG38" i="15"/>
  <c r="CH38" i="15"/>
  <c r="CI38" i="15"/>
  <c r="CJ38" i="15"/>
  <c r="CK38" i="15"/>
  <c r="CL38" i="15"/>
  <c r="BD39" i="15"/>
  <c r="BE39" i="15"/>
  <c r="BF39" i="15"/>
  <c r="BG39" i="15"/>
  <c r="BH39" i="15"/>
  <c r="BI39" i="15"/>
  <c r="BJ39" i="15"/>
  <c r="BK39" i="15"/>
  <c r="BL39" i="15"/>
  <c r="BM39" i="15"/>
  <c r="BN39" i="15"/>
  <c r="BO39" i="15"/>
  <c r="BP39" i="15"/>
  <c r="BQ39" i="15"/>
  <c r="BR39" i="15"/>
  <c r="BS39" i="15"/>
  <c r="BT39" i="15"/>
  <c r="BU39" i="15"/>
  <c r="BV39" i="15"/>
  <c r="BW39" i="15"/>
  <c r="BX39" i="15"/>
  <c r="BY39" i="15"/>
  <c r="BZ39" i="15"/>
  <c r="CA39" i="15"/>
  <c r="CB39" i="15"/>
  <c r="CC39" i="15"/>
  <c r="CD39" i="15"/>
  <c r="CE39" i="15"/>
  <c r="CF39" i="15"/>
  <c r="CG39" i="15"/>
  <c r="CH39" i="15"/>
  <c r="CI39" i="15"/>
  <c r="CJ39" i="15"/>
  <c r="CK39" i="15"/>
  <c r="CL39" i="15"/>
  <c r="BD40" i="15"/>
  <c r="BE40" i="15"/>
  <c r="BF40" i="15"/>
  <c r="BG40" i="15"/>
  <c r="BH40" i="15"/>
  <c r="BI40" i="15"/>
  <c r="BJ40" i="15"/>
  <c r="BK40" i="15"/>
  <c r="BL40" i="15"/>
  <c r="BM40" i="15"/>
  <c r="BN40" i="15"/>
  <c r="BO40" i="15"/>
  <c r="BP40" i="15"/>
  <c r="BQ40" i="15"/>
  <c r="BR40" i="15"/>
  <c r="BS40" i="15"/>
  <c r="BT40" i="15"/>
  <c r="BU40" i="15"/>
  <c r="BV40" i="15"/>
  <c r="BW40" i="15"/>
  <c r="BX40" i="15"/>
  <c r="BY40" i="15"/>
  <c r="BZ40" i="15"/>
  <c r="CA40" i="15"/>
  <c r="CB40" i="15"/>
  <c r="CC40" i="15"/>
  <c r="CD40" i="15"/>
  <c r="CE40" i="15"/>
  <c r="CF40" i="15"/>
  <c r="CG40" i="15"/>
  <c r="CH40" i="15"/>
  <c r="CI40" i="15"/>
  <c r="CJ40" i="15"/>
  <c r="CK40" i="15"/>
  <c r="CL40" i="15"/>
  <c r="BD41" i="15"/>
  <c r="BE41" i="15"/>
  <c r="BF41" i="15"/>
  <c r="BG41" i="15"/>
  <c r="BH41" i="15"/>
  <c r="BI41" i="15"/>
  <c r="BJ41" i="15"/>
  <c r="BK41" i="15"/>
  <c r="BL41" i="15"/>
  <c r="BM41" i="15"/>
  <c r="BN41" i="15"/>
  <c r="BO41" i="15"/>
  <c r="BP41" i="15"/>
  <c r="BQ41" i="15"/>
  <c r="BR41" i="15"/>
  <c r="BS41" i="15"/>
  <c r="BT41" i="15"/>
  <c r="BU41" i="15"/>
  <c r="BV41" i="15"/>
  <c r="BW41" i="15"/>
  <c r="BX41" i="15"/>
  <c r="BY41" i="15"/>
  <c r="BZ41" i="15"/>
  <c r="CA41" i="15"/>
  <c r="CB41" i="15"/>
  <c r="CC41" i="15"/>
  <c r="CD41" i="15"/>
  <c r="CE41" i="15"/>
  <c r="CF41" i="15"/>
  <c r="CG41" i="15"/>
  <c r="CH41" i="15"/>
  <c r="CI41" i="15"/>
  <c r="CJ41" i="15"/>
  <c r="CK41" i="15"/>
  <c r="CL41" i="15"/>
  <c r="BD42" i="15"/>
  <c r="BE42" i="15"/>
  <c r="BF42" i="15"/>
  <c r="BG42" i="15"/>
  <c r="BH42" i="15"/>
  <c r="BI42" i="15"/>
  <c r="BJ42" i="15"/>
  <c r="BK42" i="15"/>
  <c r="BL42" i="15"/>
  <c r="BM42" i="15"/>
  <c r="BN42" i="15"/>
  <c r="BO42" i="15"/>
  <c r="BP42" i="15"/>
  <c r="BQ42" i="15"/>
  <c r="BR42" i="15"/>
  <c r="BS42" i="15"/>
  <c r="BT42" i="15"/>
  <c r="BU42" i="15"/>
  <c r="BV42" i="15"/>
  <c r="BW42" i="15"/>
  <c r="BX42" i="15"/>
  <c r="BY42" i="15"/>
  <c r="BZ42" i="15"/>
  <c r="CA42" i="15"/>
  <c r="CB42" i="15"/>
  <c r="CC42" i="15"/>
  <c r="CD42" i="15"/>
  <c r="CE42" i="15"/>
  <c r="CF42" i="15"/>
  <c r="CG42" i="15"/>
  <c r="CH42" i="15"/>
  <c r="CI42" i="15"/>
  <c r="CJ42" i="15"/>
  <c r="CK42" i="15"/>
  <c r="CL42" i="15"/>
  <c r="BD43" i="15"/>
  <c r="BE43" i="15"/>
  <c r="BF43" i="15"/>
  <c r="BG43" i="15"/>
  <c r="BH43" i="15"/>
  <c r="BI43" i="15"/>
  <c r="BJ43" i="15"/>
  <c r="BK43" i="15"/>
  <c r="BL43" i="15"/>
  <c r="BM43" i="15"/>
  <c r="BN43" i="15"/>
  <c r="BO43" i="15"/>
  <c r="BP43" i="15"/>
  <c r="BQ43" i="15"/>
  <c r="BR43" i="15"/>
  <c r="BS43" i="15"/>
  <c r="BT43" i="15"/>
  <c r="BU43" i="15"/>
  <c r="BV43" i="15"/>
  <c r="BW43" i="15"/>
  <c r="BX43" i="15"/>
  <c r="BY43" i="15"/>
  <c r="BZ43" i="15"/>
  <c r="CA43" i="15"/>
  <c r="CB43" i="15"/>
  <c r="CC43" i="15"/>
  <c r="CD43" i="15"/>
  <c r="CE43" i="15"/>
  <c r="CF43" i="15"/>
  <c r="CG43" i="15"/>
  <c r="CH43" i="15"/>
  <c r="CI43" i="15"/>
  <c r="CJ43" i="15"/>
  <c r="CK43" i="15"/>
  <c r="CL43" i="15"/>
  <c r="BD44" i="15"/>
  <c r="BE44" i="15"/>
  <c r="BF44" i="15"/>
  <c r="BG44" i="15"/>
  <c r="BH44" i="15"/>
  <c r="BI44" i="15"/>
  <c r="BJ44" i="15"/>
  <c r="BK44" i="15"/>
  <c r="BL44" i="15"/>
  <c r="BM44" i="15"/>
  <c r="BN44" i="15"/>
  <c r="BO44" i="15"/>
  <c r="BP44" i="15"/>
  <c r="BQ44" i="15"/>
  <c r="BR44" i="15"/>
  <c r="BS44" i="15"/>
  <c r="BT44" i="15"/>
  <c r="BU44" i="15"/>
  <c r="BV44" i="15"/>
  <c r="BW44" i="15"/>
  <c r="BX44" i="15"/>
  <c r="BY44" i="15"/>
  <c r="BZ44" i="15"/>
  <c r="CA44" i="15"/>
  <c r="CB44" i="15"/>
  <c r="CC44" i="15"/>
  <c r="CD44" i="15"/>
  <c r="CE44" i="15"/>
  <c r="CF44" i="15"/>
  <c r="CG44" i="15"/>
  <c r="CH44" i="15"/>
  <c r="CI44" i="15"/>
  <c r="CJ44" i="15"/>
  <c r="CK44" i="15"/>
  <c r="CL44" i="15"/>
  <c r="BD45" i="15"/>
  <c r="BE45" i="15"/>
  <c r="BF45" i="15"/>
  <c r="BG45" i="15"/>
  <c r="BH45" i="15"/>
  <c r="BI45" i="15"/>
  <c r="BJ45" i="15"/>
  <c r="BK45" i="15"/>
  <c r="BL45" i="15"/>
  <c r="BM45" i="15"/>
  <c r="BN45" i="15"/>
  <c r="BO45" i="15"/>
  <c r="BP45" i="15"/>
  <c r="BQ45" i="15"/>
  <c r="BR45" i="15"/>
  <c r="BS45" i="15"/>
  <c r="BT45" i="15"/>
  <c r="BU45" i="15"/>
  <c r="BV45" i="15"/>
  <c r="BW45" i="15"/>
  <c r="BX45" i="15"/>
  <c r="BY45" i="15"/>
  <c r="BZ45" i="15"/>
  <c r="CA45" i="15"/>
  <c r="CB45" i="15"/>
  <c r="CC45" i="15"/>
  <c r="CD45" i="15"/>
  <c r="CE45" i="15"/>
  <c r="CF45" i="15"/>
  <c r="CG45" i="15"/>
  <c r="CH45" i="15"/>
  <c r="CI45" i="15"/>
  <c r="CJ45" i="15"/>
  <c r="CK45" i="15"/>
  <c r="CL45" i="15"/>
  <c r="BC7" i="15"/>
  <c r="BC8" i="15"/>
  <c r="BC9" i="15"/>
  <c r="BC10" i="15"/>
  <c r="BC11" i="15"/>
  <c r="BC12" i="15"/>
  <c r="BC13" i="15"/>
  <c r="BC14" i="15"/>
  <c r="BC15" i="15"/>
  <c r="BC16" i="15"/>
  <c r="BC17" i="15"/>
  <c r="BC18" i="15"/>
  <c r="BC19" i="15"/>
  <c r="BC20" i="15"/>
  <c r="BC21" i="15"/>
  <c r="BC22" i="15"/>
  <c r="BC23" i="15"/>
  <c r="BC24" i="15"/>
  <c r="BC25" i="15"/>
  <c r="BC26" i="15"/>
  <c r="BC27" i="15"/>
  <c r="BC28" i="15"/>
  <c r="BC29" i="15"/>
  <c r="BC30" i="15"/>
  <c r="BC31" i="15"/>
  <c r="BC32" i="15"/>
  <c r="BC33" i="15"/>
  <c r="BC34" i="15"/>
  <c r="BC35" i="15"/>
  <c r="BC36" i="15"/>
  <c r="BC37" i="15"/>
  <c r="BC38" i="15"/>
  <c r="BC39" i="15"/>
  <c r="BC40" i="15"/>
  <c r="BC41" i="15"/>
  <c r="BC42" i="15"/>
  <c r="BC43" i="15"/>
  <c r="BC44" i="15"/>
  <c r="BC45" i="15"/>
  <c r="BC6" i="15"/>
  <c r="BB22" i="15"/>
  <c r="BB23" i="15"/>
  <c r="BB24" i="15"/>
  <c r="BB25" i="15"/>
  <c r="H26" i="15"/>
  <c r="BB26" i="15" s="1"/>
  <c r="H27" i="15"/>
  <c r="BB27" i="15" s="1"/>
  <c r="H28" i="15"/>
  <c r="BB28" i="15" s="1"/>
  <c r="H29" i="15"/>
  <c r="BB29" i="15" s="1"/>
  <c r="H30" i="15"/>
  <c r="BB30" i="15" s="1"/>
  <c r="H31" i="15"/>
  <c r="BB31" i="15" s="1"/>
  <c r="H32" i="15"/>
  <c r="BB32" i="15" s="1"/>
  <c r="H33" i="15"/>
  <c r="BB33" i="15" s="1"/>
  <c r="H34" i="15"/>
  <c r="BB34" i="15" s="1"/>
  <c r="H35" i="15"/>
  <c r="BB35" i="15" s="1"/>
  <c r="H36" i="15"/>
  <c r="BB36" i="15" s="1"/>
  <c r="H37" i="15"/>
  <c r="BB37" i="15" s="1"/>
  <c r="H38" i="15"/>
  <c r="BB38" i="15" s="1"/>
  <c r="H39" i="15"/>
  <c r="BB39" i="15" s="1"/>
  <c r="H40" i="15"/>
  <c r="BB40" i="15" s="1"/>
  <c r="H41" i="15"/>
  <c r="BB41" i="15" s="1"/>
  <c r="H42" i="15"/>
  <c r="BB42" i="15" s="1"/>
  <c r="H43" i="15"/>
  <c r="BB43" i="15" s="1"/>
  <c r="H44" i="15"/>
  <c r="BB44" i="15" s="1"/>
  <c r="H45" i="15"/>
  <c r="BB45" i="15" s="1"/>
  <c r="BB13" i="15"/>
  <c r="CJ5" i="15"/>
  <c r="CK5" i="15"/>
  <c r="CL5" i="15"/>
  <c r="CD5" i="15"/>
  <c r="CE5" i="15"/>
  <c r="CF5" i="15"/>
  <c r="CG5" i="15"/>
  <c r="CH5" i="15"/>
  <c r="BD5" i="15"/>
  <c r="BE5" i="15"/>
  <c r="BF5" i="15"/>
  <c r="BG5" i="15"/>
  <c r="BH5" i="15"/>
  <c r="BI5" i="15"/>
  <c r="BJ5" i="15"/>
  <c r="BL5" i="15"/>
  <c r="BM5" i="15"/>
  <c r="BN5" i="15"/>
  <c r="BO5" i="15"/>
  <c r="BP5" i="15"/>
  <c r="BQ5" i="15"/>
  <c r="BR5" i="15"/>
  <c r="BT5" i="15"/>
  <c r="BU5" i="15"/>
  <c r="BV5" i="15"/>
  <c r="BW5" i="15"/>
  <c r="BX5" i="15"/>
  <c r="BY5" i="15"/>
  <c r="BZ5" i="15"/>
  <c r="CB5" i="15"/>
  <c r="CC5" i="15"/>
  <c r="BC5" i="15"/>
  <c r="I4" i="15" a="1"/>
  <c r="I4" i="15" s="1"/>
  <c r="BC4" i="15" s="1"/>
  <c r="BY4" i="15" l="1"/>
  <c r="BQ4" i="15"/>
  <c r="BI4" i="15"/>
  <c r="CE4" i="15"/>
  <c r="BH4" i="15"/>
  <c r="BW4" i="15"/>
  <c r="BO4" i="15"/>
  <c r="BG4" i="15"/>
  <c r="BV4" i="15"/>
  <c r="BN4" i="15"/>
  <c r="BF4" i="15"/>
  <c r="BP4" i="15"/>
  <c r="CC4" i="15"/>
  <c r="BU4" i="15"/>
  <c r="BM4" i="15"/>
  <c r="BE4" i="15"/>
  <c r="CI4" i="15"/>
  <c r="BX4" i="15"/>
  <c r="CD4" i="15"/>
  <c r="CB4" i="15"/>
  <c r="BT4" i="15"/>
  <c r="BL4" i="15"/>
  <c r="BD4" i="15"/>
  <c r="CH4" i="15"/>
  <c r="CL4" i="15"/>
  <c r="CA4" i="15"/>
  <c r="BS4" i="15"/>
  <c r="BK4" i="15"/>
  <c r="CG4" i="15"/>
  <c r="CK4" i="15"/>
  <c r="BZ4" i="15"/>
  <c r="BR4" i="15"/>
  <c r="BJ4" i="15"/>
  <c r="CF4" i="15"/>
  <c r="CJ4" i="15"/>
  <c r="AT7" i="15" l="1"/>
  <c r="AT8" i="15"/>
  <c r="AT9" i="15"/>
  <c r="AT10" i="15"/>
  <c r="AT11" i="15"/>
  <c r="AT12" i="15"/>
  <c r="AT6" i="15"/>
  <c r="F4" i="12" a="1"/>
  <c r="F4" i="12" s="1"/>
  <c r="C42" i="12" s="1" a="1"/>
  <c r="C42" i="12" s="1"/>
  <c r="A42" i="12" s="1"/>
  <c r="K4" i="12" a="1"/>
  <c r="K4" i="12" s="1"/>
  <c r="C49" i="12" s="1" a="1"/>
  <c r="C49" i="12" s="1"/>
  <c r="A49" i="12" s="1"/>
  <c r="N4" i="12" a="1"/>
  <c r="N4" i="12" s="1"/>
  <c r="C52" i="12" s="1" a="1"/>
  <c r="C52" i="12" s="1"/>
  <c r="A52" i="12" s="1"/>
  <c r="C53" i="12" a="1"/>
  <c r="C53" i="12" s="1"/>
  <c r="C4" i="12" a="1"/>
  <c r="C4" i="12" s="1"/>
  <c r="C39" i="12" s="1" a="1"/>
  <c r="C39" i="12" s="1"/>
  <c r="A39" i="12" s="1"/>
  <c r="B49" i="12"/>
  <c r="B50" i="12"/>
  <c r="B51" i="12"/>
  <c r="B52" i="12"/>
  <c r="B53" i="12"/>
  <c r="B48" i="12"/>
  <c r="B40" i="12"/>
  <c r="B41" i="12"/>
  <c r="B42" i="12"/>
  <c r="B43" i="12"/>
  <c r="B44" i="12"/>
  <c r="B39" i="12"/>
  <c r="L4" i="12" a="1"/>
  <c r="L4" i="12" s="1"/>
  <c r="H4" i="12" a="1"/>
  <c r="H4" i="12" s="1"/>
  <c r="G4" i="12" a="1"/>
  <c r="G4" i="12" s="1"/>
  <c r="C43" i="12" s="1" a="1"/>
  <c r="C43" i="12" s="1"/>
  <c r="E4" i="12" a="1"/>
  <c r="E4" i="12" s="1"/>
  <c r="D4" i="12" a="1"/>
  <c r="D4" i="12" s="1"/>
  <c r="C40" i="12" s="1" a="1"/>
  <c r="E221" i="1"/>
  <c r="F221" i="1"/>
  <c r="G221" i="1"/>
  <c r="H221" i="1"/>
  <c r="I221" i="1"/>
  <c r="J221" i="1"/>
  <c r="K221" i="1"/>
  <c r="L221" i="1"/>
  <c r="M221" i="1"/>
  <c r="N221" i="1"/>
  <c r="O221" i="1"/>
  <c r="P221" i="1"/>
  <c r="Q221" i="1"/>
  <c r="R221" i="1"/>
  <c r="S221" i="1"/>
  <c r="T221" i="1"/>
  <c r="U221" i="1"/>
  <c r="V221" i="1"/>
  <c r="W221" i="1"/>
  <c r="X221" i="1"/>
  <c r="Y221" i="1"/>
  <c r="Z221" i="1"/>
  <c r="AA221" i="1"/>
  <c r="AB221" i="1"/>
  <c r="AC221" i="1"/>
  <c r="AD221" i="1"/>
  <c r="AE221" i="1"/>
  <c r="AF221" i="1"/>
  <c r="AG221" i="1"/>
  <c r="AH221" i="1"/>
  <c r="AI221" i="1"/>
  <c r="AJ221" i="1"/>
  <c r="AK221" i="1"/>
  <c r="AL221" i="1"/>
  <c r="AM221" i="1"/>
  <c r="E222" i="1"/>
  <c r="F222" i="1"/>
  <c r="G222" i="1"/>
  <c r="H222" i="1"/>
  <c r="I222" i="1"/>
  <c r="J222" i="1"/>
  <c r="K222" i="1"/>
  <c r="L222" i="1"/>
  <c r="M222" i="1"/>
  <c r="N222" i="1"/>
  <c r="O222" i="1"/>
  <c r="P222" i="1"/>
  <c r="Q222" i="1"/>
  <c r="R222" i="1"/>
  <c r="S222" i="1"/>
  <c r="T222" i="1"/>
  <c r="U222" i="1"/>
  <c r="V222" i="1"/>
  <c r="W222" i="1"/>
  <c r="X222" i="1"/>
  <c r="Y222" i="1"/>
  <c r="Z222" i="1"/>
  <c r="AA222" i="1"/>
  <c r="AB222" i="1"/>
  <c r="AC222" i="1"/>
  <c r="AD222" i="1"/>
  <c r="AE222" i="1"/>
  <c r="AF222" i="1"/>
  <c r="AG222" i="1"/>
  <c r="AH222" i="1"/>
  <c r="AI222" i="1"/>
  <c r="AJ222" i="1"/>
  <c r="AK222" i="1"/>
  <c r="AL222" i="1"/>
  <c r="AM222" i="1"/>
  <c r="E223" i="1"/>
  <c r="F223" i="1"/>
  <c r="G223" i="1"/>
  <c r="H223" i="1"/>
  <c r="I223" i="1"/>
  <c r="J223" i="1"/>
  <c r="K223" i="1"/>
  <c r="L223" i="1"/>
  <c r="M223" i="1"/>
  <c r="N223" i="1"/>
  <c r="O223" i="1"/>
  <c r="P223" i="1"/>
  <c r="Q223" i="1"/>
  <c r="R223" i="1"/>
  <c r="S223" i="1"/>
  <c r="T223" i="1"/>
  <c r="U223" i="1"/>
  <c r="V223" i="1"/>
  <c r="W223" i="1"/>
  <c r="X223" i="1"/>
  <c r="Y223" i="1"/>
  <c r="Z223" i="1"/>
  <c r="AA223" i="1"/>
  <c r="AB223" i="1"/>
  <c r="AC223" i="1"/>
  <c r="AD223" i="1"/>
  <c r="AE223" i="1"/>
  <c r="AF223" i="1"/>
  <c r="AG223" i="1"/>
  <c r="AH223" i="1"/>
  <c r="AI223" i="1"/>
  <c r="AJ223" i="1"/>
  <c r="AK223" i="1"/>
  <c r="AL223" i="1"/>
  <c r="AM223" i="1"/>
  <c r="E224" i="1"/>
  <c r="F224" i="1"/>
  <c r="G224" i="1"/>
  <c r="H224" i="1"/>
  <c r="I224" i="1"/>
  <c r="J224" i="1"/>
  <c r="K224" i="1"/>
  <c r="L224" i="1"/>
  <c r="M224" i="1"/>
  <c r="N224" i="1"/>
  <c r="O224" i="1"/>
  <c r="P224" i="1"/>
  <c r="Q224" i="1"/>
  <c r="R224" i="1"/>
  <c r="S224" i="1"/>
  <c r="T224" i="1"/>
  <c r="U224" i="1"/>
  <c r="V224" i="1"/>
  <c r="W224" i="1"/>
  <c r="X224" i="1"/>
  <c r="Y224" i="1"/>
  <c r="Z224" i="1"/>
  <c r="AA224" i="1"/>
  <c r="AB224" i="1"/>
  <c r="AC224" i="1"/>
  <c r="AD224" i="1"/>
  <c r="AE224" i="1"/>
  <c r="AF224" i="1"/>
  <c r="AG224" i="1"/>
  <c r="AH224" i="1"/>
  <c r="AI224" i="1"/>
  <c r="AJ224" i="1"/>
  <c r="AK224" i="1"/>
  <c r="AL224" i="1"/>
  <c r="AM224" i="1"/>
  <c r="E225" i="1"/>
  <c r="F225" i="1"/>
  <c r="G225" i="1"/>
  <c r="H225" i="1"/>
  <c r="I225" i="1"/>
  <c r="J225" i="1"/>
  <c r="K225" i="1"/>
  <c r="L225" i="1"/>
  <c r="M225" i="1"/>
  <c r="N225" i="1"/>
  <c r="O225" i="1"/>
  <c r="P225" i="1"/>
  <c r="Q225" i="1"/>
  <c r="R225" i="1"/>
  <c r="S225" i="1"/>
  <c r="T225" i="1"/>
  <c r="U225" i="1"/>
  <c r="V225" i="1"/>
  <c r="W225" i="1"/>
  <c r="X225" i="1"/>
  <c r="Y225" i="1"/>
  <c r="Z225" i="1"/>
  <c r="AA225" i="1"/>
  <c r="AB225" i="1"/>
  <c r="AC225" i="1"/>
  <c r="AD225" i="1"/>
  <c r="AE225" i="1"/>
  <c r="AF225" i="1"/>
  <c r="AG225" i="1"/>
  <c r="AH225" i="1"/>
  <c r="AI225" i="1"/>
  <c r="AJ225" i="1"/>
  <c r="AK225" i="1"/>
  <c r="AL225" i="1"/>
  <c r="AM225" i="1"/>
  <c r="E226" i="1"/>
  <c r="F226" i="1"/>
  <c r="G226" i="1"/>
  <c r="H226" i="1"/>
  <c r="I226" i="1"/>
  <c r="J226" i="1"/>
  <c r="K226" i="1"/>
  <c r="L226" i="1"/>
  <c r="M226" i="1"/>
  <c r="N226" i="1"/>
  <c r="O226" i="1"/>
  <c r="P226" i="1"/>
  <c r="Q226" i="1"/>
  <c r="R226" i="1"/>
  <c r="S226" i="1"/>
  <c r="T226" i="1"/>
  <c r="U226" i="1"/>
  <c r="V226" i="1"/>
  <c r="W226" i="1"/>
  <c r="X226" i="1"/>
  <c r="Y226" i="1"/>
  <c r="Z226" i="1"/>
  <c r="AA226" i="1"/>
  <c r="AB226" i="1"/>
  <c r="AC226" i="1"/>
  <c r="AD226" i="1"/>
  <c r="AE226" i="1"/>
  <c r="AF226" i="1"/>
  <c r="AG226" i="1"/>
  <c r="AH226" i="1"/>
  <c r="AI226" i="1"/>
  <c r="AJ226" i="1"/>
  <c r="AK226" i="1"/>
  <c r="AL226" i="1"/>
  <c r="AM226" i="1"/>
  <c r="E227" i="1"/>
  <c r="F227" i="1"/>
  <c r="G227" i="1"/>
  <c r="H227" i="1"/>
  <c r="I227" i="1"/>
  <c r="J227" i="1"/>
  <c r="K227" i="1"/>
  <c r="L227" i="1"/>
  <c r="M227" i="1"/>
  <c r="N227" i="1"/>
  <c r="O227" i="1"/>
  <c r="P227" i="1"/>
  <c r="Q227" i="1"/>
  <c r="R227" i="1"/>
  <c r="S227" i="1"/>
  <c r="T227" i="1"/>
  <c r="U227" i="1"/>
  <c r="V227" i="1"/>
  <c r="W227" i="1"/>
  <c r="X227" i="1"/>
  <c r="Y227" i="1"/>
  <c r="Z227" i="1"/>
  <c r="AA227" i="1"/>
  <c r="AB227" i="1"/>
  <c r="AC227" i="1"/>
  <c r="AD227" i="1"/>
  <c r="AE227" i="1"/>
  <c r="AF227" i="1"/>
  <c r="AG227" i="1"/>
  <c r="AH227" i="1"/>
  <c r="AI227" i="1"/>
  <c r="AJ227" i="1"/>
  <c r="AK227" i="1"/>
  <c r="AL227" i="1"/>
  <c r="AM227" i="1"/>
  <c r="E228" i="1"/>
  <c r="F228" i="1"/>
  <c r="G228" i="1"/>
  <c r="H228" i="1"/>
  <c r="I228" i="1"/>
  <c r="J228" i="1"/>
  <c r="K228" i="1"/>
  <c r="L228" i="1"/>
  <c r="M228" i="1"/>
  <c r="N228" i="1"/>
  <c r="O228" i="1"/>
  <c r="P228" i="1"/>
  <c r="Q228" i="1"/>
  <c r="R228" i="1"/>
  <c r="S228" i="1"/>
  <c r="T228" i="1"/>
  <c r="U228" i="1"/>
  <c r="V228" i="1"/>
  <c r="W228" i="1"/>
  <c r="X228" i="1"/>
  <c r="Y228" i="1"/>
  <c r="Z228" i="1"/>
  <c r="AA228" i="1"/>
  <c r="AB228" i="1"/>
  <c r="AC228" i="1"/>
  <c r="AD228" i="1"/>
  <c r="AE228" i="1"/>
  <c r="AF228" i="1"/>
  <c r="AG228" i="1"/>
  <c r="AH228" i="1"/>
  <c r="AI228" i="1"/>
  <c r="AJ228" i="1"/>
  <c r="AK228" i="1"/>
  <c r="AL228" i="1"/>
  <c r="AM228" i="1"/>
  <c r="E229" i="1"/>
  <c r="F229" i="1"/>
  <c r="G229" i="1"/>
  <c r="H229" i="1"/>
  <c r="I229" i="1"/>
  <c r="J229" i="1"/>
  <c r="K229" i="1"/>
  <c r="L229" i="1"/>
  <c r="M229" i="1"/>
  <c r="N229" i="1"/>
  <c r="O229" i="1"/>
  <c r="P229" i="1"/>
  <c r="Q229" i="1"/>
  <c r="R229" i="1"/>
  <c r="S229" i="1"/>
  <c r="T229" i="1"/>
  <c r="U229" i="1"/>
  <c r="V229" i="1"/>
  <c r="W229" i="1"/>
  <c r="X229" i="1"/>
  <c r="Y229" i="1"/>
  <c r="Z229" i="1"/>
  <c r="AA229" i="1"/>
  <c r="AB229" i="1"/>
  <c r="AC229" i="1"/>
  <c r="AD229" i="1"/>
  <c r="AE229" i="1"/>
  <c r="AF229" i="1"/>
  <c r="AG229" i="1"/>
  <c r="AH229" i="1"/>
  <c r="AI229" i="1"/>
  <c r="AJ229" i="1"/>
  <c r="AK229" i="1"/>
  <c r="AL229" i="1"/>
  <c r="AM229" i="1"/>
  <c r="E230" i="1"/>
  <c r="F230" i="1"/>
  <c r="G230" i="1"/>
  <c r="H230" i="1"/>
  <c r="I230" i="1"/>
  <c r="J230" i="1"/>
  <c r="K230" i="1"/>
  <c r="L230" i="1"/>
  <c r="M230" i="1"/>
  <c r="N230" i="1"/>
  <c r="O230" i="1"/>
  <c r="P230" i="1"/>
  <c r="Q230" i="1"/>
  <c r="R230" i="1"/>
  <c r="S230" i="1"/>
  <c r="T230" i="1"/>
  <c r="U230" i="1"/>
  <c r="V230" i="1"/>
  <c r="W230" i="1"/>
  <c r="X230" i="1"/>
  <c r="Y230" i="1"/>
  <c r="Z230" i="1"/>
  <c r="AA230" i="1"/>
  <c r="AB230" i="1"/>
  <c r="AC230" i="1"/>
  <c r="AD230" i="1"/>
  <c r="AE230" i="1"/>
  <c r="AF230" i="1"/>
  <c r="AG230" i="1"/>
  <c r="AH230" i="1"/>
  <c r="AI230" i="1"/>
  <c r="AJ230" i="1"/>
  <c r="AK230" i="1"/>
  <c r="AL230" i="1"/>
  <c r="AM230" i="1"/>
  <c r="E231" i="1"/>
  <c r="F231" i="1"/>
  <c r="G231" i="1"/>
  <c r="H231" i="1"/>
  <c r="I231" i="1"/>
  <c r="J231" i="1"/>
  <c r="K231" i="1"/>
  <c r="L231" i="1"/>
  <c r="M231" i="1"/>
  <c r="N231" i="1"/>
  <c r="O231" i="1"/>
  <c r="P231" i="1"/>
  <c r="Q231" i="1"/>
  <c r="R231" i="1"/>
  <c r="S231" i="1"/>
  <c r="T231" i="1"/>
  <c r="U231" i="1"/>
  <c r="V231" i="1"/>
  <c r="W231" i="1"/>
  <c r="X231" i="1"/>
  <c r="Y231" i="1"/>
  <c r="Z231" i="1"/>
  <c r="AA231" i="1"/>
  <c r="AB231" i="1"/>
  <c r="AC231" i="1"/>
  <c r="AD231" i="1"/>
  <c r="AE231" i="1"/>
  <c r="AF231" i="1"/>
  <c r="AG231" i="1"/>
  <c r="AH231" i="1"/>
  <c r="AI231" i="1"/>
  <c r="AJ231" i="1"/>
  <c r="AK231" i="1"/>
  <c r="AL231" i="1"/>
  <c r="AM231" i="1"/>
  <c r="E232" i="1"/>
  <c r="F232" i="1"/>
  <c r="G232" i="1"/>
  <c r="H232" i="1"/>
  <c r="I232" i="1"/>
  <c r="J232" i="1"/>
  <c r="K232" i="1"/>
  <c r="L232" i="1"/>
  <c r="M232" i="1"/>
  <c r="N232" i="1"/>
  <c r="O232" i="1"/>
  <c r="P232" i="1"/>
  <c r="Q232" i="1"/>
  <c r="R232" i="1"/>
  <c r="S232" i="1"/>
  <c r="T232" i="1"/>
  <c r="U232" i="1"/>
  <c r="V232" i="1"/>
  <c r="W232" i="1"/>
  <c r="X232" i="1"/>
  <c r="Y232" i="1"/>
  <c r="Z232" i="1"/>
  <c r="AA232" i="1"/>
  <c r="AB232" i="1"/>
  <c r="AC232" i="1"/>
  <c r="AD232" i="1"/>
  <c r="AE232" i="1"/>
  <c r="AF232" i="1"/>
  <c r="AG232" i="1"/>
  <c r="AH232" i="1"/>
  <c r="AI232" i="1"/>
  <c r="AJ232" i="1"/>
  <c r="AK232" i="1"/>
  <c r="AL232" i="1"/>
  <c r="AM232" i="1"/>
  <c r="E233" i="1"/>
  <c r="F233" i="1"/>
  <c r="G233" i="1"/>
  <c r="H233" i="1"/>
  <c r="I233" i="1"/>
  <c r="J233" i="1"/>
  <c r="K233" i="1"/>
  <c r="L233" i="1"/>
  <c r="M233" i="1"/>
  <c r="N233" i="1"/>
  <c r="O233" i="1"/>
  <c r="P233" i="1"/>
  <c r="Q233" i="1"/>
  <c r="R233" i="1"/>
  <c r="S233" i="1"/>
  <c r="T233" i="1"/>
  <c r="U233" i="1"/>
  <c r="V233" i="1"/>
  <c r="W233" i="1"/>
  <c r="X233" i="1"/>
  <c r="Y233" i="1"/>
  <c r="Z233" i="1"/>
  <c r="AA233" i="1"/>
  <c r="AB233" i="1"/>
  <c r="AC233" i="1"/>
  <c r="AD233" i="1"/>
  <c r="AE233" i="1"/>
  <c r="AF233" i="1"/>
  <c r="AG233" i="1"/>
  <c r="AH233" i="1"/>
  <c r="AI233" i="1"/>
  <c r="AJ233" i="1"/>
  <c r="AK233" i="1"/>
  <c r="AL233" i="1"/>
  <c r="AM233" i="1"/>
  <c r="E234" i="1"/>
  <c r="F234" i="1"/>
  <c r="G234" i="1"/>
  <c r="H234" i="1"/>
  <c r="I234" i="1"/>
  <c r="J234" i="1"/>
  <c r="K234" i="1"/>
  <c r="L234" i="1"/>
  <c r="M234" i="1"/>
  <c r="N234" i="1"/>
  <c r="O234" i="1"/>
  <c r="P234" i="1"/>
  <c r="Q234" i="1"/>
  <c r="R234" i="1"/>
  <c r="S234" i="1"/>
  <c r="T234" i="1"/>
  <c r="U234" i="1"/>
  <c r="V234" i="1"/>
  <c r="W234" i="1"/>
  <c r="X234" i="1"/>
  <c r="Y234" i="1"/>
  <c r="Z234" i="1"/>
  <c r="AA234" i="1"/>
  <c r="AB234" i="1"/>
  <c r="AC234" i="1"/>
  <c r="AD234" i="1"/>
  <c r="AE234" i="1"/>
  <c r="AF234" i="1"/>
  <c r="AG234" i="1"/>
  <c r="AH234" i="1"/>
  <c r="AI234" i="1"/>
  <c r="AJ234" i="1"/>
  <c r="AK234" i="1"/>
  <c r="AL234" i="1"/>
  <c r="AM234" i="1"/>
  <c r="E235" i="1"/>
  <c r="F235" i="1"/>
  <c r="G235" i="1"/>
  <c r="H235" i="1"/>
  <c r="I235" i="1"/>
  <c r="J235" i="1"/>
  <c r="K235" i="1"/>
  <c r="L235" i="1"/>
  <c r="M235" i="1"/>
  <c r="N235" i="1"/>
  <c r="O235" i="1"/>
  <c r="P235" i="1"/>
  <c r="Q235" i="1"/>
  <c r="R235" i="1"/>
  <c r="S235" i="1"/>
  <c r="T235" i="1"/>
  <c r="U235" i="1"/>
  <c r="V235" i="1"/>
  <c r="W235" i="1"/>
  <c r="X235" i="1"/>
  <c r="Y235" i="1"/>
  <c r="Z235" i="1"/>
  <c r="AA235" i="1"/>
  <c r="AB235" i="1"/>
  <c r="AC235" i="1"/>
  <c r="AD235" i="1"/>
  <c r="AE235" i="1"/>
  <c r="AF235" i="1"/>
  <c r="AG235" i="1"/>
  <c r="AH235" i="1"/>
  <c r="AI235" i="1"/>
  <c r="AJ235" i="1"/>
  <c r="AK235" i="1"/>
  <c r="AL235" i="1"/>
  <c r="AM235" i="1"/>
  <c r="E236" i="1"/>
  <c r="F236" i="1"/>
  <c r="G236" i="1"/>
  <c r="H236" i="1"/>
  <c r="I236" i="1"/>
  <c r="J236" i="1"/>
  <c r="K236" i="1"/>
  <c r="L236" i="1"/>
  <c r="M236" i="1"/>
  <c r="N236" i="1"/>
  <c r="O236" i="1"/>
  <c r="P236" i="1"/>
  <c r="Q236" i="1"/>
  <c r="R236" i="1"/>
  <c r="S236" i="1"/>
  <c r="T236" i="1"/>
  <c r="U236" i="1"/>
  <c r="V236" i="1"/>
  <c r="W236" i="1"/>
  <c r="X236" i="1"/>
  <c r="Y236" i="1"/>
  <c r="Z236" i="1"/>
  <c r="AA236" i="1"/>
  <c r="AB236" i="1"/>
  <c r="AC236" i="1"/>
  <c r="AD236" i="1"/>
  <c r="AE236" i="1"/>
  <c r="AF236" i="1"/>
  <c r="AG236" i="1"/>
  <c r="AH236" i="1"/>
  <c r="AI236" i="1"/>
  <c r="AJ236" i="1"/>
  <c r="AK236" i="1"/>
  <c r="AL236" i="1"/>
  <c r="AM236" i="1"/>
  <c r="E237" i="1"/>
  <c r="F237" i="1"/>
  <c r="G237" i="1"/>
  <c r="H237" i="1"/>
  <c r="I237" i="1"/>
  <c r="J237" i="1"/>
  <c r="K237" i="1"/>
  <c r="L237" i="1"/>
  <c r="M237" i="1"/>
  <c r="N237" i="1"/>
  <c r="O237" i="1"/>
  <c r="P237" i="1"/>
  <c r="Q237" i="1"/>
  <c r="R237" i="1"/>
  <c r="S237" i="1"/>
  <c r="T237" i="1"/>
  <c r="U237" i="1"/>
  <c r="V237" i="1"/>
  <c r="W237" i="1"/>
  <c r="X237" i="1"/>
  <c r="Y237" i="1"/>
  <c r="Z237" i="1"/>
  <c r="AA237" i="1"/>
  <c r="AB237" i="1"/>
  <c r="AC237" i="1"/>
  <c r="AD237" i="1"/>
  <c r="AE237" i="1"/>
  <c r="AF237" i="1"/>
  <c r="AG237" i="1"/>
  <c r="AH237" i="1"/>
  <c r="AI237" i="1"/>
  <c r="AJ237" i="1"/>
  <c r="AK237" i="1"/>
  <c r="AL237" i="1"/>
  <c r="AM237" i="1"/>
  <c r="E238" i="1"/>
  <c r="F238" i="1"/>
  <c r="G238" i="1"/>
  <c r="H238" i="1"/>
  <c r="I238" i="1"/>
  <c r="J238" i="1"/>
  <c r="K238" i="1"/>
  <c r="L238" i="1"/>
  <c r="M238" i="1"/>
  <c r="N238" i="1"/>
  <c r="O238" i="1"/>
  <c r="P238" i="1"/>
  <c r="Q238" i="1"/>
  <c r="R238" i="1"/>
  <c r="S238" i="1"/>
  <c r="T238" i="1"/>
  <c r="U238" i="1"/>
  <c r="V238" i="1"/>
  <c r="W238" i="1"/>
  <c r="X238" i="1"/>
  <c r="Y238" i="1"/>
  <c r="Z238" i="1"/>
  <c r="AA238" i="1"/>
  <c r="AB238" i="1"/>
  <c r="AC238" i="1"/>
  <c r="AD238" i="1"/>
  <c r="AE238" i="1"/>
  <c r="AF238" i="1"/>
  <c r="AG238" i="1"/>
  <c r="AH238" i="1"/>
  <c r="AI238" i="1"/>
  <c r="AJ238" i="1"/>
  <c r="AK238" i="1"/>
  <c r="AL238" i="1"/>
  <c r="AM238" i="1"/>
  <c r="E239" i="1"/>
  <c r="F239" i="1"/>
  <c r="G239" i="1"/>
  <c r="H239" i="1"/>
  <c r="I239" i="1"/>
  <c r="J239" i="1"/>
  <c r="K239" i="1"/>
  <c r="L239" i="1"/>
  <c r="M239" i="1"/>
  <c r="N239" i="1"/>
  <c r="O239" i="1"/>
  <c r="P239" i="1"/>
  <c r="Q239" i="1"/>
  <c r="R239" i="1"/>
  <c r="S239" i="1"/>
  <c r="T239" i="1"/>
  <c r="U239" i="1"/>
  <c r="V239" i="1"/>
  <c r="W239" i="1"/>
  <c r="X239" i="1"/>
  <c r="Y239" i="1"/>
  <c r="Z239" i="1"/>
  <c r="AA239" i="1"/>
  <c r="AB239" i="1"/>
  <c r="AC239" i="1"/>
  <c r="AD239" i="1"/>
  <c r="AE239" i="1"/>
  <c r="AF239" i="1"/>
  <c r="AG239" i="1"/>
  <c r="AH239" i="1"/>
  <c r="AI239" i="1"/>
  <c r="AJ239" i="1"/>
  <c r="AK239" i="1"/>
  <c r="AL239" i="1"/>
  <c r="AM239" i="1"/>
  <c r="E240" i="1"/>
  <c r="F240" i="1"/>
  <c r="G240" i="1"/>
  <c r="H240" i="1"/>
  <c r="I240" i="1"/>
  <c r="J240" i="1"/>
  <c r="K240" i="1"/>
  <c r="L240" i="1"/>
  <c r="M240" i="1"/>
  <c r="N240" i="1"/>
  <c r="O240" i="1"/>
  <c r="P240" i="1"/>
  <c r="Q240" i="1"/>
  <c r="R240" i="1"/>
  <c r="S240" i="1"/>
  <c r="T240" i="1"/>
  <c r="U240" i="1"/>
  <c r="V240" i="1"/>
  <c r="W240" i="1"/>
  <c r="X240" i="1"/>
  <c r="Y240" i="1"/>
  <c r="Z240" i="1"/>
  <c r="AA240" i="1"/>
  <c r="AB240" i="1"/>
  <c r="AC240" i="1"/>
  <c r="AD240" i="1"/>
  <c r="AE240" i="1"/>
  <c r="AF240" i="1"/>
  <c r="AG240" i="1"/>
  <c r="AH240" i="1"/>
  <c r="AI240" i="1"/>
  <c r="AJ240" i="1"/>
  <c r="AK240" i="1"/>
  <c r="AL240" i="1"/>
  <c r="AM240" i="1"/>
  <c r="E241" i="1"/>
  <c r="F241" i="1"/>
  <c r="G241" i="1"/>
  <c r="H241" i="1"/>
  <c r="I241" i="1"/>
  <c r="J241" i="1"/>
  <c r="K241" i="1"/>
  <c r="L241" i="1"/>
  <c r="M241" i="1"/>
  <c r="N241" i="1"/>
  <c r="O241" i="1"/>
  <c r="P241" i="1"/>
  <c r="Q241" i="1"/>
  <c r="R241" i="1"/>
  <c r="S241" i="1"/>
  <c r="T241" i="1"/>
  <c r="U241" i="1"/>
  <c r="V241" i="1"/>
  <c r="W241" i="1"/>
  <c r="X241" i="1"/>
  <c r="Y241" i="1"/>
  <c r="Z241" i="1"/>
  <c r="AA241" i="1"/>
  <c r="AB241" i="1"/>
  <c r="AC241" i="1"/>
  <c r="AD241" i="1"/>
  <c r="AE241" i="1"/>
  <c r="AF241" i="1"/>
  <c r="AG241" i="1"/>
  <c r="AH241" i="1"/>
  <c r="AI241" i="1"/>
  <c r="AJ241" i="1"/>
  <c r="AK241" i="1"/>
  <c r="AL241" i="1"/>
  <c r="AM241" i="1"/>
  <c r="E242" i="1"/>
  <c r="F242" i="1"/>
  <c r="G242" i="1"/>
  <c r="H242" i="1"/>
  <c r="I242" i="1"/>
  <c r="J242" i="1"/>
  <c r="K242" i="1"/>
  <c r="L242" i="1"/>
  <c r="M242" i="1"/>
  <c r="N242" i="1"/>
  <c r="O242" i="1"/>
  <c r="P242" i="1"/>
  <c r="Q242" i="1"/>
  <c r="R242" i="1"/>
  <c r="S242" i="1"/>
  <c r="T242" i="1"/>
  <c r="U242" i="1"/>
  <c r="V242" i="1"/>
  <c r="W242" i="1"/>
  <c r="X242" i="1"/>
  <c r="Y242" i="1"/>
  <c r="Z242" i="1"/>
  <c r="AA242" i="1"/>
  <c r="AB242" i="1"/>
  <c r="AC242" i="1"/>
  <c r="AD242" i="1"/>
  <c r="AE242" i="1"/>
  <c r="AF242" i="1"/>
  <c r="AG242" i="1"/>
  <c r="AH242" i="1"/>
  <c r="AI242" i="1"/>
  <c r="AJ242" i="1"/>
  <c r="AK242" i="1"/>
  <c r="AL242" i="1"/>
  <c r="AM242" i="1"/>
  <c r="E243" i="1"/>
  <c r="F243" i="1"/>
  <c r="G243" i="1"/>
  <c r="H243" i="1"/>
  <c r="I243" i="1"/>
  <c r="J243" i="1"/>
  <c r="K243" i="1"/>
  <c r="L243" i="1"/>
  <c r="M243" i="1"/>
  <c r="N243" i="1"/>
  <c r="O243" i="1"/>
  <c r="P243" i="1"/>
  <c r="Q243" i="1"/>
  <c r="R243" i="1"/>
  <c r="S243" i="1"/>
  <c r="T243" i="1"/>
  <c r="U243" i="1"/>
  <c r="V243" i="1"/>
  <c r="W243" i="1"/>
  <c r="X243" i="1"/>
  <c r="Y243" i="1"/>
  <c r="Z243" i="1"/>
  <c r="AA243" i="1"/>
  <c r="AB243" i="1"/>
  <c r="AC243" i="1"/>
  <c r="AD243" i="1"/>
  <c r="AE243" i="1"/>
  <c r="AF243" i="1"/>
  <c r="AG243" i="1"/>
  <c r="AH243" i="1"/>
  <c r="AI243" i="1"/>
  <c r="AJ243" i="1"/>
  <c r="AK243" i="1"/>
  <c r="AL243" i="1"/>
  <c r="AM243" i="1"/>
  <c r="E244" i="1"/>
  <c r="F244" i="1"/>
  <c r="G244" i="1"/>
  <c r="H244" i="1"/>
  <c r="I244" i="1"/>
  <c r="J244" i="1"/>
  <c r="K244" i="1"/>
  <c r="L244" i="1"/>
  <c r="M244" i="1"/>
  <c r="N244" i="1"/>
  <c r="O244" i="1"/>
  <c r="P244" i="1"/>
  <c r="Q244" i="1"/>
  <c r="R244" i="1"/>
  <c r="S244" i="1"/>
  <c r="T244" i="1"/>
  <c r="U244" i="1"/>
  <c r="V244" i="1"/>
  <c r="W244" i="1"/>
  <c r="X244" i="1"/>
  <c r="Y244" i="1"/>
  <c r="Z244" i="1"/>
  <c r="AA244" i="1"/>
  <c r="AB244" i="1"/>
  <c r="AC244" i="1"/>
  <c r="AD244" i="1"/>
  <c r="AE244" i="1"/>
  <c r="AF244" i="1"/>
  <c r="AG244" i="1"/>
  <c r="AH244" i="1"/>
  <c r="AI244" i="1"/>
  <c r="AJ244" i="1"/>
  <c r="AK244" i="1"/>
  <c r="AL244" i="1"/>
  <c r="AM244" i="1"/>
  <c r="E245" i="1"/>
  <c r="F245" i="1"/>
  <c r="G245" i="1"/>
  <c r="H245" i="1"/>
  <c r="I245" i="1"/>
  <c r="J245" i="1"/>
  <c r="K245" i="1"/>
  <c r="L245" i="1"/>
  <c r="M245" i="1"/>
  <c r="N245" i="1"/>
  <c r="O245" i="1"/>
  <c r="P245" i="1"/>
  <c r="Q245" i="1"/>
  <c r="R245" i="1"/>
  <c r="S245" i="1"/>
  <c r="T245" i="1"/>
  <c r="U245" i="1"/>
  <c r="V245" i="1"/>
  <c r="W245" i="1"/>
  <c r="X245" i="1"/>
  <c r="Y245" i="1"/>
  <c r="Z245" i="1"/>
  <c r="AA245" i="1"/>
  <c r="AB245" i="1"/>
  <c r="AC245" i="1"/>
  <c r="AD245" i="1"/>
  <c r="AE245" i="1"/>
  <c r="AF245" i="1"/>
  <c r="AG245" i="1"/>
  <c r="AH245" i="1"/>
  <c r="AI245" i="1"/>
  <c r="AJ245" i="1"/>
  <c r="AK245" i="1"/>
  <c r="AL245" i="1"/>
  <c r="AM245" i="1"/>
  <c r="E246" i="1"/>
  <c r="F246" i="1"/>
  <c r="G246" i="1"/>
  <c r="H246" i="1"/>
  <c r="I246" i="1"/>
  <c r="J246" i="1"/>
  <c r="K246" i="1"/>
  <c r="L246" i="1"/>
  <c r="M246" i="1"/>
  <c r="N246" i="1"/>
  <c r="O246" i="1"/>
  <c r="P246" i="1"/>
  <c r="Q246" i="1"/>
  <c r="R246" i="1"/>
  <c r="S246" i="1"/>
  <c r="T246" i="1"/>
  <c r="U246" i="1"/>
  <c r="V246" i="1"/>
  <c r="W246" i="1"/>
  <c r="X246" i="1"/>
  <c r="Y246" i="1"/>
  <c r="Z246" i="1"/>
  <c r="AA246" i="1"/>
  <c r="AB246" i="1"/>
  <c r="AC246" i="1"/>
  <c r="AD246" i="1"/>
  <c r="AE246" i="1"/>
  <c r="AF246" i="1"/>
  <c r="AG246" i="1"/>
  <c r="AH246" i="1"/>
  <c r="AI246" i="1"/>
  <c r="AJ246" i="1"/>
  <c r="AK246" i="1"/>
  <c r="AL246" i="1"/>
  <c r="AM246" i="1"/>
  <c r="E247" i="1"/>
  <c r="F247" i="1"/>
  <c r="G247" i="1"/>
  <c r="H247" i="1"/>
  <c r="I247" i="1"/>
  <c r="J247" i="1"/>
  <c r="K247" i="1"/>
  <c r="L247" i="1"/>
  <c r="M247" i="1"/>
  <c r="N247" i="1"/>
  <c r="O247" i="1"/>
  <c r="P247" i="1"/>
  <c r="Q247" i="1"/>
  <c r="R247" i="1"/>
  <c r="S247" i="1"/>
  <c r="T247" i="1"/>
  <c r="U247" i="1"/>
  <c r="V247" i="1"/>
  <c r="W247" i="1"/>
  <c r="X247" i="1"/>
  <c r="Y247" i="1"/>
  <c r="Z247" i="1"/>
  <c r="AA247" i="1"/>
  <c r="AB247" i="1"/>
  <c r="AC247" i="1"/>
  <c r="AD247" i="1"/>
  <c r="AE247" i="1"/>
  <c r="AF247" i="1"/>
  <c r="AG247" i="1"/>
  <c r="AH247" i="1"/>
  <c r="AI247" i="1"/>
  <c r="AJ247" i="1"/>
  <c r="AK247" i="1"/>
  <c r="AL247" i="1"/>
  <c r="AM247" i="1"/>
  <c r="E248" i="1"/>
  <c r="F248" i="1"/>
  <c r="G248" i="1"/>
  <c r="H248" i="1"/>
  <c r="I248" i="1"/>
  <c r="J248" i="1"/>
  <c r="K248" i="1"/>
  <c r="L248" i="1"/>
  <c r="M248" i="1"/>
  <c r="N248" i="1"/>
  <c r="O248" i="1"/>
  <c r="P248" i="1"/>
  <c r="Q248" i="1"/>
  <c r="R248" i="1"/>
  <c r="S248" i="1"/>
  <c r="T248" i="1"/>
  <c r="U248" i="1"/>
  <c r="V248" i="1"/>
  <c r="W248" i="1"/>
  <c r="X248" i="1"/>
  <c r="Y248" i="1"/>
  <c r="Z248" i="1"/>
  <c r="AA248" i="1"/>
  <c r="AB248" i="1"/>
  <c r="AC248" i="1"/>
  <c r="AD248" i="1"/>
  <c r="AE248" i="1"/>
  <c r="AF248" i="1"/>
  <c r="AG248" i="1"/>
  <c r="AH248" i="1"/>
  <c r="AI248" i="1"/>
  <c r="AJ248" i="1"/>
  <c r="AK248" i="1"/>
  <c r="AL248" i="1"/>
  <c r="AM248" i="1"/>
  <c r="E249" i="1"/>
  <c r="F249" i="1"/>
  <c r="G249" i="1"/>
  <c r="H249" i="1"/>
  <c r="I249" i="1"/>
  <c r="J249" i="1"/>
  <c r="K249" i="1"/>
  <c r="L249" i="1"/>
  <c r="M249" i="1"/>
  <c r="N249" i="1"/>
  <c r="O249" i="1"/>
  <c r="P249" i="1"/>
  <c r="Q249" i="1"/>
  <c r="R249" i="1"/>
  <c r="S249" i="1"/>
  <c r="T249" i="1"/>
  <c r="U249" i="1"/>
  <c r="V249" i="1"/>
  <c r="W249" i="1"/>
  <c r="X249" i="1"/>
  <c r="Y249" i="1"/>
  <c r="Z249" i="1"/>
  <c r="AA249" i="1"/>
  <c r="AB249" i="1"/>
  <c r="AC249" i="1"/>
  <c r="AD249" i="1"/>
  <c r="AE249" i="1"/>
  <c r="AF249" i="1"/>
  <c r="AG249" i="1"/>
  <c r="AH249" i="1"/>
  <c r="AI249" i="1"/>
  <c r="AJ249" i="1"/>
  <c r="AK249" i="1"/>
  <c r="AL249" i="1"/>
  <c r="AM249"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2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E206" i="1"/>
  <c r="F206" i="1"/>
  <c r="G206" i="1"/>
  <c r="H206" i="1"/>
  <c r="I206" i="1"/>
  <c r="J206" i="1"/>
  <c r="K206" i="1"/>
  <c r="L206" i="1"/>
  <c r="M206" i="1"/>
  <c r="N206" i="1"/>
  <c r="O206" i="1"/>
  <c r="P206" i="1"/>
  <c r="Q206" i="1"/>
  <c r="R206" i="1"/>
  <c r="S206" i="1"/>
  <c r="T206" i="1"/>
  <c r="U206" i="1"/>
  <c r="V206" i="1"/>
  <c r="W206" i="1"/>
  <c r="X206" i="1"/>
  <c r="Y206" i="1"/>
  <c r="Z206" i="1"/>
  <c r="AA206" i="1"/>
  <c r="AB206" i="1"/>
  <c r="AC206" i="1"/>
  <c r="AD206" i="1"/>
  <c r="AE206" i="1"/>
  <c r="AF206" i="1"/>
  <c r="AG206" i="1"/>
  <c r="AH206" i="1"/>
  <c r="AI206" i="1"/>
  <c r="AJ206" i="1"/>
  <c r="AK206" i="1"/>
  <c r="AL206" i="1"/>
  <c r="AM206" i="1"/>
  <c r="E207" i="1"/>
  <c r="F207" i="1"/>
  <c r="G207" i="1"/>
  <c r="H207" i="1"/>
  <c r="I207" i="1"/>
  <c r="J207" i="1"/>
  <c r="K207" i="1"/>
  <c r="L207" i="1"/>
  <c r="M207" i="1"/>
  <c r="N207" i="1"/>
  <c r="O207" i="1"/>
  <c r="P207" i="1"/>
  <c r="Q207" i="1"/>
  <c r="R207" i="1"/>
  <c r="S207" i="1"/>
  <c r="T207" i="1"/>
  <c r="U207" i="1"/>
  <c r="V207" i="1"/>
  <c r="W207" i="1"/>
  <c r="X207" i="1"/>
  <c r="Y207" i="1"/>
  <c r="Z207" i="1"/>
  <c r="AA207" i="1"/>
  <c r="AB207" i="1"/>
  <c r="AC207" i="1"/>
  <c r="AD207" i="1"/>
  <c r="AE207" i="1"/>
  <c r="AF207" i="1"/>
  <c r="AG207" i="1"/>
  <c r="AH207" i="1"/>
  <c r="AI207" i="1"/>
  <c r="AJ207" i="1"/>
  <c r="AK207" i="1"/>
  <c r="AL207" i="1"/>
  <c r="AM207" i="1"/>
  <c r="E208" i="1"/>
  <c r="F208" i="1"/>
  <c r="G208" i="1"/>
  <c r="H208" i="1"/>
  <c r="I208" i="1"/>
  <c r="J208" i="1"/>
  <c r="K208" i="1"/>
  <c r="L208" i="1"/>
  <c r="M208" i="1"/>
  <c r="N208" i="1"/>
  <c r="O208" i="1"/>
  <c r="P208" i="1"/>
  <c r="Q208" i="1"/>
  <c r="R208" i="1"/>
  <c r="S208" i="1"/>
  <c r="T208" i="1"/>
  <c r="U208" i="1"/>
  <c r="V208" i="1"/>
  <c r="W208" i="1"/>
  <c r="X208" i="1"/>
  <c r="Y208" i="1"/>
  <c r="Z208" i="1"/>
  <c r="AA208" i="1"/>
  <c r="AB208" i="1"/>
  <c r="AC208" i="1"/>
  <c r="AD208" i="1"/>
  <c r="AE208" i="1"/>
  <c r="AF208" i="1"/>
  <c r="AG208" i="1"/>
  <c r="AH208" i="1"/>
  <c r="AI208" i="1"/>
  <c r="AJ208" i="1"/>
  <c r="AK208" i="1"/>
  <c r="AL208" i="1"/>
  <c r="AM208" i="1"/>
  <c r="E209" i="1"/>
  <c r="F209" i="1"/>
  <c r="G209" i="1"/>
  <c r="H209" i="1"/>
  <c r="I209" i="1"/>
  <c r="J209" i="1"/>
  <c r="K209" i="1"/>
  <c r="L209" i="1"/>
  <c r="M209" i="1"/>
  <c r="N209" i="1"/>
  <c r="O209" i="1"/>
  <c r="P209" i="1"/>
  <c r="Q209" i="1"/>
  <c r="R209" i="1"/>
  <c r="S209" i="1"/>
  <c r="T209" i="1"/>
  <c r="U209" i="1"/>
  <c r="V209" i="1"/>
  <c r="W209" i="1"/>
  <c r="X209" i="1"/>
  <c r="Y209" i="1"/>
  <c r="Z209" i="1"/>
  <c r="AA209" i="1"/>
  <c r="AB209" i="1"/>
  <c r="AC209" i="1"/>
  <c r="AD209" i="1"/>
  <c r="AE209" i="1"/>
  <c r="AF209" i="1"/>
  <c r="AG209" i="1"/>
  <c r="AH209" i="1"/>
  <c r="AI209" i="1"/>
  <c r="AJ209" i="1"/>
  <c r="AK209" i="1"/>
  <c r="AL209" i="1"/>
  <c r="AM209" i="1"/>
  <c r="E210" i="1"/>
  <c r="F210" i="1"/>
  <c r="G210" i="1"/>
  <c r="H210" i="1"/>
  <c r="I210" i="1"/>
  <c r="J210" i="1"/>
  <c r="K210" i="1"/>
  <c r="L210" i="1"/>
  <c r="M210" i="1"/>
  <c r="N210" i="1"/>
  <c r="O210" i="1"/>
  <c r="P210" i="1"/>
  <c r="Q210" i="1"/>
  <c r="R210" i="1"/>
  <c r="S210" i="1"/>
  <c r="T210" i="1"/>
  <c r="U210" i="1"/>
  <c r="V210" i="1"/>
  <c r="W210" i="1"/>
  <c r="X210" i="1"/>
  <c r="Y210" i="1"/>
  <c r="Z210" i="1"/>
  <c r="AA210" i="1"/>
  <c r="AB210" i="1"/>
  <c r="AC210" i="1"/>
  <c r="AD210" i="1"/>
  <c r="AE210" i="1"/>
  <c r="AF210" i="1"/>
  <c r="AG210" i="1"/>
  <c r="AH210" i="1"/>
  <c r="AI210" i="1"/>
  <c r="AJ210" i="1"/>
  <c r="AK210" i="1"/>
  <c r="AL210" i="1"/>
  <c r="AM210" i="1"/>
  <c r="E211" i="1"/>
  <c r="F211" i="1"/>
  <c r="G211" i="1"/>
  <c r="H211" i="1"/>
  <c r="I211" i="1"/>
  <c r="J211" i="1"/>
  <c r="K211" i="1"/>
  <c r="L211" i="1"/>
  <c r="M211" i="1"/>
  <c r="N211" i="1"/>
  <c r="O211" i="1"/>
  <c r="P211" i="1"/>
  <c r="Q211" i="1"/>
  <c r="R211" i="1"/>
  <c r="S211" i="1"/>
  <c r="T211" i="1"/>
  <c r="U211" i="1"/>
  <c r="V211" i="1"/>
  <c r="W211" i="1"/>
  <c r="X211" i="1"/>
  <c r="Y211" i="1"/>
  <c r="Z211" i="1"/>
  <c r="AA211" i="1"/>
  <c r="AB211" i="1"/>
  <c r="AC211" i="1"/>
  <c r="AD211" i="1"/>
  <c r="AE211" i="1"/>
  <c r="AF211" i="1"/>
  <c r="AG211" i="1"/>
  <c r="AH211" i="1"/>
  <c r="AI211" i="1"/>
  <c r="AJ211" i="1"/>
  <c r="AK211" i="1"/>
  <c r="AL211" i="1"/>
  <c r="AM211" i="1"/>
  <c r="E212" i="1"/>
  <c r="F212" i="1"/>
  <c r="G212" i="1"/>
  <c r="H212" i="1"/>
  <c r="I212" i="1"/>
  <c r="J212" i="1"/>
  <c r="K212" i="1"/>
  <c r="L212" i="1"/>
  <c r="M212" i="1"/>
  <c r="N212" i="1"/>
  <c r="O212" i="1"/>
  <c r="P212" i="1"/>
  <c r="Q212" i="1"/>
  <c r="R212" i="1"/>
  <c r="S212" i="1"/>
  <c r="T212" i="1"/>
  <c r="U212" i="1"/>
  <c r="V212" i="1"/>
  <c r="W212" i="1"/>
  <c r="X212" i="1"/>
  <c r="Y212" i="1"/>
  <c r="Z212" i="1"/>
  <c r="AA212" i="1"/>
  <c r="AB212" i="1"/>
  <c r="AC212" i="1"/>
  <c r="AD212" i="1"/>
  <c r="AE212" i="1"/>
  <c r="AF212" i="1"/>
  <c r="AG212" i="1"/>
  <c r="AH212" i="1"/>
  <c r="AI212" i="1"/>
  <c r="AJ212" i="1"/>
  <c r="AK212" i="1"/>
  <c r="AL212" i="1"/>
  <c r="AM212" i="1"/>
  <c r="E213" i="1"/>
  <c r="F213" i="1"/>
  <c r="G213" i="1"/>
  <c r="H213" i="1"/>
  <c r="I213" i="1"/>
  <c r="J213" i="1"/>
  <c r="K213" i="1"/>
  <c r="L213" i="1"/>
  <c r="M213" i="1"/>
  <c r="N213" i="1"/>
  <c r="O213" i="1"/>
  <c r="P213" i="1"/>
  <c r="Q213" i="1"/>
  <c r="R213" i="1"/>
  <c r="S213" i="1"/>
  <c r="T213" i="1"/>
  <c r="U213" i="1"/>
  <c r="V213" i="1"/>
  <c r="W213" i="1"/>
  <c r="X213" i="1"/>
  <c r="Y213" i="1"/>
  <c r="Z213" i="1"/>
  <c r="AA213" i="1"/>
  <c r="AB213" i="1"/>
  <c r="AC213" i="1"/>
  <c r="AD213" i="1"/>
  <c r="AE213" i="1"/>
  <c r="AF213" i="1"/>
  <c r="AG213" i="1"/>
  <c r="AH213" i="1"/>
  <c r="AI213" i="1"/>
  <c r="AJ213" i="1"/>
  <c r="AK213" i="1"/>
  <c r="AL213" i="1"/>
  <c r="AM213" i="1"/>
  <c r="E214" i="1"/>
  <c r="F214" i="1"/>
  <c r="G214" i="1"/>
  <c r="H214" i="1"/>
  <c r="I214" i="1"/>
  <c r="J214" i="1"/>
  <c r="K214" i="1"/>
  <c r="L214" i="1"/>
  <c r="M214" i="1"/>
  <c r="N214" i="1"/>
  <c r="O214" i="1"/>
  <c r="P214" i="1"/>
  <c r="Q214" i="1"/>
  <c r="R214" i="1"/>
  <c r="S214" i="1"/>
  <c r="T214" i="1"/>
  <c r="U214" i="1"/>
  <c r="V214" i="1"/>
  <c r="W214" i="1"/>
  <c r="X214" i="1"/>
  <c r="Y214" i="1"/>
  <c r="Z214" i="1"/>
  <c r="AA214" i="1"/>
  <c r="AB214" i="1"/>
  <c r="AC214" i="1"/>
  <c r="AD214" i="1"/>
  <c r="AE214" i="1"/>
  <c r="AF214" i="1"/>
  <c r="AG214" i="1"/>
  <c r="AH214" i="1"/>
  <c r="AI214" i="1"/>
  <c r="AJ214" i="1"/>
  <c r="AK214" i="1"/>
  <c r="AL214" i="1"/>
  <c r="AM214" i="1"/>
  <c r="E215" i="1"/>
  <c r="F215" i="1"/>
  <c r="G215" i="1"/>
  <c r="H215" i="1"/>
  <c r="I215" i="1"/>
  <c r="J215" i="1"/>
  <c r="K215" i="1"/>
  <c r="L215" i="1"/>
  <c r="M215" i="1"/>
  <c r="N215" i="1"/>
  <c r="O215" i="1"/>
  <c r="P215" i="1"/>
  <c r="Q215" i="1"/>
  <c r="R215" i="1"/>
  <c r="S215" i="1"/>
  <c r="T215" i="1"/>
  <c r="U215" i="1"/>
  <c r="V215" i="1"/>
  <c r="W215" i="1"/>
  <c r="X215" i="1"/>
  <c r="Y215" i="1"/>
  <c r="Z215" i="1"/>
  <c r="AA215" i="1"/>
  <c r="AB215" i="1"/>
  <c r="AC215" i="1"/>
  <c r="AD215" i="1"/>
  <c r="AE215" i="1"/>
  <c r="AF215" i="1"/>
  <c r="AG215" i="1"/>
  <c r="AH215" i="1"/>
  <c r="AI215" i="1"/>
  <c r="AJ215" i="1"/>
  <c r="AK215" i="1"/>
  <c r="AL215" i="1"/>
  <c r="AM215" i="1"/>
  <c r="E216" i="1"/>
  <c r="F216" i="1"/>
  <c r="G216" i="1"/>
  <c r="H216" i="1"/>
  <c r="I216" i="1"/>
  <c r="J216" i="1"/>
  <c r="K216" i="1"/>
  <c r="L216" i="1"/>
  <c r="M216" i="1"/>
  <c r="N216" i="1"/>
  <c r="O216" i="1"/>
  <c r="P216" i="1"/>
  <c r="Q216" i="1"/>
  <c r="R216" i="1"/>
  <c r="S216" i="1"/>
  <c r="T216" i="1"/>
  <c r="U216" i="1"/>
  <c r="V216" i="1"/>
  <c r="W216" i="1"/>
  <c r="X216" i="1"/>
  <c r="Y216" i="1"/>
  <c r="Z216" i="1"/>
  <c r="AA216" i="1"/>
  <c r="AB216" i="1"/>
  <c r="AC216" i="1"/>
  <c r="AD216" i="1"/>
  <c r="AE216" i="1"/>
  <c r="AF216" i="1"/>
  <c r="AG216" i="1"/>
  <c r="AH216" i="1"/>
  <c r="AI216" i="1"/>
  <c r="AJ216" i="1"/>
  <c r="AK216" i="1"/>
  <c r="AL216" i="1"/>
  <c r="AM216" i="1"/>
  <c r="E217" i="1"/>
  <c r="F217" i="1"/>
  <c r="G217" i="1"/>
  <c r="H217" i="1"/>
  <c r="I217" i="1"/>
  <c r="J217" i="1"/>
  <c r="K217" i="1"/>
  <c r="L217" i="1"/>
  <c r="M217" i="1"/>
  <c r="N217" i="1"/>
  <c r="O217" i="1"/>
  <c r="P217" i="1"/>
  <c r="Q217" i="1"/>
  <c r="R217" i="1"/>
  <c r="S217" i="1"/>
  <c r="T217" i="1"/>
  <c r="U217" i="1"/>
  <c r="V217" i="1"/>
  <c r="W217" i="1"/>
  <c r="X217" i="1"/>
  <c r="Y217" i="1"/>
  <c r="Z217" i="1"/>
  <c r="AA217" i="1"/>
  <c r="AB217" i="1"/>
  <c r="AC217" i="1"/>
  <c r="AD217" i="1"/>
  <c r="AE217" i="1"/>
  <c r="AF217" i="1"/>
  <c r="AG217" i="1"/>
  <c r="AH217" i="1"/>
  <c r="AI217" i="1"/>
  <c r="AJ217" i="1"/>
  <c r="AK217" i="1"/>
  <c r="AL217" i="1"/>
  <c r="AM217" i="1"/>
  <c r="E218" i="1"/>
  <c r="F218" i="1"/>
  <c r="G218" i="1"/>
  <c r="H218" i="1"/>
  <c r="I218" i="1"/>
  <c r="J218" i="1"/>
  <c r="K218" i="1"/>
  <c r="L218" i="1"/>
  <c r="M218" i="1"/>
  <c r="N218" i="1"/>
  <c r="O218" i="1"/>
  <c r="P218" i="1"/>
  <c r="Q218" i="1"/>
  <c r="R218" i="1"/>
  <c r="S218" i="1"/>
  <c r="T218" i="1"/>
  <c r="U218" i="1"/>
  <c r="V218" i="1"/>
  <c r="W218" i="1"/>
  <c r="X218" i="1"/>
  <c r="Y218" i="1"/>
  <c r="Z218" i="1"/>
  <c r="AA218" i="1"/>
  <c r="AB218" i="1"/>
  <c r="AC218" i="1"/>
  <c r="AD218" i="1"/>
  <c r="AE218" i="1"/>
  <c r="AF218" i="1"/>
  <c r="AG218" i="1"/>
  <c r="AH218" i="1"/>
  <c r="AI218" i="1"/>
  <c r="AJ218" i="1"/>
  <c r="AK218" i="1"/>
  <c r="AL218" i="1"/>
  <c r="AM218" i="1"/>
  <c r="E219" i="1"/>
  <c r="F219" i="1"/>
  <c r="G219" i="1"/>
  <c r="H219" i="1"/>
  <c r="I219" i="1"/>
  <c r="J219" i="1"/>
  <c r="K219" i="1"/>
  <c r="L219" i="1"/>
  <c r="M219" i="1"/>
  <c r="N219" i="1"/>
  <c r="O219" i="1"/>
  <c r="P219" i="1"/>
  <c r="Q219" i="1"/>
  <c r="R219" i="1"/>
  <c r="S219" i="1"/>
  <c r="T219" i="1"/>
  <c r="U219" i="1"/>
  <c r="V219" i="1"/>
  <c r="W219" i="1"/>
  <c r="X219" i="1"/>
  <c r="Y219" i="1"/>
  <c r="Z219" i="1"/>
  <c r="AA219" i="1"/>
  <c r="AB219" i="1"/>
  <c r="AC219" i="1"/>
  <c r="AD219" i="1"/>
  <c r="AE219" i="1"/>
  <c r="AF219" i="1"/>
  <c r="AG219" i="1"/>
  <c r="AH219" i="1"/>
  <c r="AI219" i="1"/>
  <c r="AJ219" i="1"/>
  <c r="AK219" i="1"/>
  <c r="AL219" i="1"/>
  <c r="AM219"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191" i="1"/>
  <c r="O6" i="1"/>
  <c r="P6" i="1"/>
  <c r="B247" i="1" a="1"/>
  <c r="B247" i="1" s="1"/>
  <c r="B217" i="1" a="1"/>
  <c r="B217" i="1" s="1"/>
  <c r="B67" i="1" a="1"/>
  <c r="B67" i="1" s="1"/>
  <c r="B97" i="1" a="1"/>
  <c r="B97" i="1" s="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B187" i="1" a="1"/>
  <c r="B187" i="1" s="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B127" i="1" a="1"/>
  <c r="B127" i="1" s="1"/>
  <c r="AW18" i="15"/>
  <c r="AX18" i="15"/>
  <c r="AY18" i="15"/>
  <c r="AW19" i="15"/>
  <c r="AX19" i="15"/>
  <c r="AY19" i="15"/>
  <c r="AW20" i="15"/>
  <c r="AX20" i="15"/>
  <c r="AY20" i="15"/>
  <c r="AW21" i="15"/>
  <c r="AX21" i="15"/>
  <c r="AY21" i="15"/>
  <c r="AY7" i="15"/>
  <c r="AY8" i="15"/>
  <c r="AY9" i="15"/>
  <c r="AY10" i="15"/>
  <c r="AY11" i="15"/>
  <c r="AY12" i="15"/>
  <c r="AY13" i="15"/>
  <c r="AY14" i="15"/>
  <c r="AY15" i="15"/>
  <c r="AY16" i="15"/>
  <c r="AY17" i="15"/>
  <c r="AY6" i="15"/>
  <c r="BA6" i="15" s="1"/>
  <c r="AW10" i="15"/>
  <c r="AX10" i="15"/>
  <c r="AW11" i="15"/>
  <c r="AX11" i="15"/>
  <c r="AW12" i="15"/>
  <c r="AX12" i="15"/>
  <c r="AW13" i="15"/>
  <c r="AX13" i="15"/>
  <c r="AW14" i="15"/>
  <c r="AX14" i="15"/>
  <c r="AW15" i="15"/>
  <c r="AX15" i="15"/>
  <c r="AW16" i="15"/>
  <c r="AX16" i="15"/>
  <c r="AW17" i="15"/>
  <c r="AX17" i="15"/>
  <c r="AX7" i="15"/>
  <c r="AX8" i="15"/>
  <c r="AX9" i="15"/>
  <c r="AX6" i="15"/>
  <c r="AW7" i="15"/>
  <c r="AW8" i="15"/>
  <c r="AW9" i="15"/>
  <c r="AW6" i="15"/>
  <c r="B57" i="12"/>
  <c r="BB7" i="15"/>
  <c r="BB6" i="15"/>
  <c r="A51" i="12"/>
  <c r="BB5" i="15"/>
  <c r="BA13" i="15" l="1"/>
  <c r="BA14" i="15"/>
  <c r="Z5" i="12" a="1"/>
  <c r="Z5" i="12" s="1"/>
  <c r="C41" i="12" a="1"/>
  <c r="C41" i="12" s="1"/>
  <c r="AZ10" i="15"/>
  <c r="BA21" i="15"/>
  <c r="BA20" i="15"/>
  <c r="C40" i="12"/>
  <c r="AZ8" i="15" s="1"/>
  <c r="BA10" i="15"/>
  <c r="AZ6" i="15"/>
  <c r="BA17" i="15"/>
  <c r="BA7" i="15"/>
  <c r="A43" i="12"/>
  <c r="A41" i="12" l="1"/>
  <c r="AZ9" i="15"/>
  <c r="A40" i="12"/>
  <c r="AZ7" i="15"/>
  <c r="Q26" i="1"/>
  <c r="M33" i="2" l="1"/>
  <c r="M34" i="2"/>
  <c r="M35" i="2"/>
  <c r="M36" i="2"/>
  <c r="M37" i="2"/>
  <c r="M38" i="2"/>
  <c r="M39" i="2"/>
  <c r="M40" i="2"/>
  <c r="M41" i="2"/>
  <c r="M42" i="2"/>
  <c r="M43" i="2"/>
  <c r="M44" i="2"/>
  <c r="M45" i="2"/>
  <c r="M46" i="2"/>
  <c r="M47" i="2"/>
  <c r="M48" i="2"/>
  <c r="M49" i="2"/>
  <c r="M50" i="2"/>
  <c r="M51" i="2"/>
  <c r="M52" i="2"/>
  <c r="M53" i="2"/>
  <c r="M54" i="2"/>
  <c r="M55" i="2"/>
  <c r="M56" i="2"/>
  <c r="M57" i="2"/>
  <c r="M58" i="2"/>
  <c r="M32" i="2"/>
  <c r="M31" i="2"/>
  <c r="H24" i="2"/>
  <c r="M24" i="2" s="1"/>
  <c r="M25" i="2"/>
  <c r="M26" i="2"/>
  <c r="M27" i="2"/>
  <c r="M23" i="2"/>
  <c r="M28" i="2"/>
  <c r="M30" i="2" l="1"/>
  <c r="M29" i="2"/>
  <c r="M27" i="1"/>
  <c r="M28" i="1"/>
  <c r="M29" i="1"/>
  <c r="M30" i="1"/>
  <c r="G34" i="1" l="1"/>
  <c r="P255" i="1" l="1"/>
  <c r="Q255" i="1"/>
  <c r="R255" i="1"/>
  <c r="S255" i="1"/>
  <c r="T255" i="1"/>
  <c r="U255" i="1"/>
  <c r="V255" i="1"/>
  <c r="W255" i="1"/>
  <c r="X255" i="1"/>
  <c r="Y255" i="1"/>
  <c r="Z255" i="1"/>
  <c r="AA255" i="1"/>
  <c r="AB255" i="1"/>
  <c r="AC255" i="1"/>
  <c r="AD255" i="1"/>
  <c r="AE255" i="1"/>
  <c r="AF255" i="1"/>
  <c r="AG255" i="1"/>
  <c r="AH255" i="1"/>
  <c r="AI255" i="1"/>
  <c r="AJ255" i="1"/>
  <c r="AK255" i="1"/>
  <c r="AL255" i="1"/>
  <c r="AM255" i="1"/>
  <c r="Q31" i="1" l="1"/>
  <c r="T33" i="1" l="1"/>
  <c r="D189" i="1" l="1"/>
  <c r="L189" i="1"/>
  <c r="T189" i="1"/>
  <c r="AB189" i="1"/>
  <c r="AJ189" i="1"/>
  <c r="E189" i="1"/>
  <c r="M189" i="1"/>
  <c r="U189" i="1"/>
  <c r="AC189" i="1"/>
  <c r="AK189" i="1"/>
  <c r="F189" i="1"/>
  <c r="N189" i="1"/>
  <c r="V189" i="1"/>
  <c r="AD189" i="1"/>
  <c r="AL189" i="1"/>
  <c r="G189" i="1"/>
  <c r="O189" i="1"/>
  <c r="W189" i="1"/>
  <c r="AE189" i="1"/>
  <c r="AM189" i="1"/>
  <c r="H189" i="1"/>
  <c r="P189" i="1"/>
  <c r="X189" i="1"/>
  <c r="AF189" i="1"/>
  <c r="AH189" i="1"/>
  <c r="I189" i="1"/>
  <c r="Q189" i="1"/>
  <c r="Y189" i="1"/>
  <c r="AG189" i="1"/>
  <c r="J189" i="1"/>
  <c r="R189" i="1"/>
  <c r="Z189" i="1"/>
  <c r="K189" i="1"/>
  <c r="S189" i="1"/>
  <c r="AA189" i="1"/>
  <c r="AI189" i="1"/>
  <c r="S24" i="2" l="1"/>
  <c r="S25" i="2"/>
  <c r="S26" i="2"/>
  <c r="S27" i="2"/>
  <c r="S28" i="2"/>
  <c r="S29" i="2"/>
  <c r="S30" i="2"/>
  <c r="S31" i="2"/>
  <c r="S32" i="2"/>
  <c r="S33" i="2"/>
  <c r="S34" i="2"/>
  <c r="S23" i="2"/>
  <c r="AM159" i="1" l="1"/>
  <c r="AL159" i="1"/>
  <c r="AK159" i="1"/>
  <c r="AJ159" i="1"/>
  <c r="AI159" i="1"/>
  <c r="AH159" i="1"/>
  <c r="AG159" i="1"/>
  <c r="AF159" i="1"/>
  <c r="AE159" i="1"/>
  <c r="AD159" i="1"/>
  <c r="AC159" i="1"/>
  <c r="AB159" i="1"/>
  <c r="AA159" i="1"/>
  <c r="Z159" i="1"/>
  <c r="Y159" i="1"/>
  <c r="X159" i="1"/>
  <c r="W159" i="1"/>
  <c r="V159" i="1"/>
  <c r="U159" i="1"/>
  <c r="T159" i="1"/>
  <c r="S159" i="1"/>
  <c r="R159" i="1"/>
  <c r="Q159" i="1"/>
  <c r="P159" i="1"/>
  <c r="O159" i="1"/>
  <c r="N159" i="1"/>
  <c r="M159" i="1"/>
  <c r="L159" i="1"/>
  <c r="K159" i="1"/>
  <c r="J159" i="1"/>
  <c r="I159" i="1"/>
  <c r="H159" i="1"/>
  <c r="G159" i="1"/>
  <c r="F159" i="1"/>
  <c r="E159" i="1"/>
  <c r="D159" i="1"/>
  <c r="B157" i="1" a="1"/>
  <c r="B157" i="1" s="1"/>
  <c r="G22" i="2" a="1"/>
  <c r="G22" i="2" s="1"/>
  <c r="H12" i="2" l="1"/>
  <c r="Q32" i="1" l="1"/>
  <c r="AI158" i="1" l="1"/>
  <c r="AA158" i="1"/>
  <c r="S158" i="1"/>
  <c r="K158" i="1"/>
  <c r="AH158" i="1"/>
  <c r="Z158" i="1"/>
  <c r="AG158" i="1"/>
  <c r="Y158" i="1"/>
  <c r="Q158" i="1"/>
  <c r="I158" i="1"/>
  <c r="AF158" i="1"/>
  <c r="X158" i="1"/>
  <c r="H158" i="1"/>
  <c r="P158" i="1"/>
  <c r="AM158" i="1"/>
  <c r="AE158" i="1"/>
  <c r="W158" i="1"/>
  <c r="O158" i="1"/>
  <c r="G158" i="1"/>
  <c r="AB158" i="1"/>
  <c r="J158" i="1"/>
  <c r="AL158" i="1"/>
  <c r="AD158" i="1"/>
  <c r="V158" i="1"/>
  <c r="N158" i="1"/>
  <c r="F158" i="1"/>
  <c r="AK158" i="1"/>
  <c r="AC158" i="1"/>
  <c r="U158" i="1"/>
  <c r="M158" i="1"/>
  <c r="E158" i="1"/>
  <c r="AJ158" i="1"/>
  <c r="T158" i="1"/>
  <c r="L158" i="1"/>
  <c r="D158" i="1"/>
  <c r="R158" i="1"/>
  <c r="C50" i="12" a="1"/>
  <c r="C50" i="12" s="1"/>
  <c r="E1" i="12"/>
  <c r="C3" i="12" a="1"/>
  <c r="C3" i="12" s="1"/>
  <c r="J3" i="12" a="1"/>
  <c r="J3" i="12" s="1"/>
  <c r="M3" i="11"/>
  <c r="C9" i="11"/>
  <c r="B9" i="11" s="1"/>
  <c r="H9" i="11" s="1"/>
  <c r="C10" i="11"/>
  <c r="I10" i="11" s="1"/>
  <c r="C11" i="11"/>
  <c r="I11" i="11" s="1"/>
  <c r="C12" i="11"/>
  <c r="I12" i="11" s="1"/>
  <c r="C13" i="11"/>
  <c r="B13" i="11" s="1"/>
  <c r="H13" i="11" s="1"/>
  <c r="C14" i="11"/>
  <c r="I14" i="11" s="1"/>
  <c r="C15" i="11"/>
  <c r="I15" i="11" s="1"/>
  <c r="C16" i="11"/>
  <c r="C17" i="11"/>
  <c r="I17" i="11" s="1"/>
  <c r="C18" i="11"/>
  <c r="I18" i="11" s="1"/>
  <c r="C19" i="11"/>
  <c r="B19" i="11" s="1"/>
  <c r="E19" i="11" s="1"/>
  <c r="G19" i="11" s="1"/>
  <c r="C20" i="11"/>
  <c r="D20" i="11" s="1"/>
  <c r="F20" i="11" s="1"/>
  <c r="C21" i="11"/>
  <c r="D21" i="11" s="1"/>
  <c r="F21" i="11" s="1"/>
  <c r="C22" i="11"/>
  <c r="I22" i="11" s="1"/>
  <c r="C23" i="11"/>
  <c r="D23" i="11" s="1"/>
  <c r="F23" i="11" s="1"/>
  <c r="C24" i="11"/>
  <c r="I24" i="11" s="1"/>
  <c r="C25" i="11"/>
  <c r="I25" i="11" s="1"/>
  <c r="C26" i="11"/>
  <c r="D26" i="11" s="1"/>
  <c r="F26" i="11" s="1"/>
  <c r="C27" i="11"/>
  <c r="I27" i="11" s="1"/>
  <c r="C28" i="11"/>
  <c r="D28" i="11" s="1"/>
  <c r="F28" i="11" s="1"/>
  <c r="C29" i="11"/>
  <c r="I29" i="11" s="1"/>
  <c r="C30" i="11"/>
  <c r="D30" i="11" s="1"/>
  <c r="F30" i="11" s="1"/>
  <c r="C31" i="11"/>
  <c r="B31" i="11" s="1"/>
  <c r="E31" i="11" s="1"/>
  <c r="G31" i="11" s="1"/>
  <c r="C32" i="11"/>
  <c r="D32" i="11" s="1"/>
  <c r="F32" i="11" s="1"/>
  <c r="C33" i="11"/>
  <c r="B33" i="11" s="1"/>
  <c r="E33" i="11" s="1"/>
  <c r="G33" i="11" s="1"/>
  <c r="C34" i="11"/>
  <c r="D34" i="11" s="1"/>
  <c r="F34" i="11" s="1"/>
  <c r="C35" i="11"/>
  <c r="D35" i="11" s="1"/>
  <c r="F35" i="11" s="1"/>
  <c r="C36" i="11"/>
  <c r="B36" i="11" s="1"/>
  <c r="H36" i="11" s="1"/>
  <c r="C37" i="11"/>
  <c r="D37" i="11" s="1"/>
  <c r="F37" i="11" s="1"/>
  <c r="C38" i="11"/>
  <c r="D38" i="11" s="1"/>
  <c r="F38" i="11" s="1"/>
  <c r="C39" i="11"/>
  <c r="B39" i="11" s="1"/>
  <c r="E39" i="11" s="1"/>
  <c r="G39" i="11" s="1"/>
  <c r="C40" i="11"/>
  <c r="D40" i="11" s="1"/>
  <c r="F40" i="11" s="1"/>
  <c r="C41" i="11"/>
  <c r="I41" i="11" s="1"/>
  <c r="C42" i="11"/>
  <c r="B42" i="11" s="1"/>
  <c r="H42" i="11" s="1"/>
  <c r="C43" i="11"/>
  <c r="D43" i="11" s="1"/>
  <c r="F43" i="11" s="1"/>
  <c r="C44" i="11"/>
  <c r="I44" i="11" s="1"/>
  <c r="C45" i="11"/>
  <c r="I45" i="11" s="1"/>
  <c r="C46" i="11"/>
  <c r="D46" i="11" s="1"/>
  <c r="F46" i="11" s="1"/>
  <c r="C47" i="11"/>
  <c r="D47" i="11" s="1"/>
  <c r="F47" i="11" s="1"/>
  <c r="C48" i="11"/>
  <c r="D48" i="11" s="1"/>
  <c r="F48" i="11" s="1"/>
  <c r="C49" i="11"/>
  <c r="D49" i="11" s="1"/>
  <c r="F49" i="11" s="1"/>
  <c r="C50" i="11"/>
  <c r="D50" i="11" s="1"/>
  <c r="F50" i="11" s="1"/>
  <c r="C51" i="11"/>
  <c r="D51" i="11" s="1"/>
  <c r="F51" i="11" s="1"/>
  <c r="C52" i="11"/>
  <c r="B52" i="11" s="1"/>
  <c r="E52" i="11" s="1"/>
  <c r="G52" i="11" s="1"/>
  <c r="C53" i="11"/>
  <c r="I53" i="11" s="1"/>
  <c r="C54" i="11"/>
  <c r="D54" i="11" s="1"/>
  <c r="F54" i="11" s="1"/>
  <c r="C55" i="11"/>
  <c r="I55" i="11" s="1"/>
  <c r="C56" i="11"/>
  <c r="D56" i="11" s="1"/>
  <c r="F56" i="11" s="1"/>
  <c r="C57" i="11"/>
  <c r="D57" i="11" s="1"/>
  <c r="F57" i="11" s="1"/>
  <c r="C58" i="11"/>
  <c r="I58" i="11" s="1"/>
  <c r="C59" i="11"/>
  <c r="B59" i="11" s="1"/>
  <c r="H59" i="11" s="1"/>
  <c r="C60" i="11"/>
  <c r="B60" i="11" s="1"/>
  <c r="H60" i="11" s="1"/>
  <c r="C61" i="11"/>
  <c r="I61" i="11" s="1"/>
  <c r="C62" i="11"/>
  <c r="I62" i="11" s="1"/>
  <c r="C63" i="11"/>
  <c r="D63" i="11" s="1"/>
  <c r="F63" i="11" s="1"/>
  <c r="C64" i="11"/>
  <c r="D64" i="11" s="1"/>
  <c r="F64" i="11" s="1"/>
  <c r="C65" i="11"/>
  <c r="I65" i="11" s="1"/>
  <c r="C66" i="11"/>
  <c r="I66" i="11" s="1"/>
  <c r="C67" i="11"/>
  <c r="D67" i="11" s="1"/>
  <c r="F67" i="11" s="1"/>
  <c r="C68" i="11"/>
  <c r="I68" i="11" s="1"/>
  <c r="C69" i="11"/>
  <c r="I69" i="11" s="1"/>
  <c r="C70" i="11"/>
  <c r="D70" i="11" s="1"/>
  <c r="F70" i="11" s="1"/>
  <c r="C71" i="11"/>
  <c r="B71" i="11" s="1"/>
  <c r="E71" i="11" s="1"/>
  <c r="G71" i="11" s="1"/>
  <c r="C72" i="11"/>
  <c r="D72" i="11" s="1"/>
  <c r="F72" i="11" s="1"/>
  <c r="C73" i="11"/>
  <c r="I73" i="11" s="1"/>
  <c r="C74" i="11"/>
  <c r="D74" i="11" s="1"/>
  <c r="F74" i="11" s="1"/>
  <c r="C75" i="11"/>
  <c r="B75" i="11" s="1"/>
  <c r="E75" i="11" s="1"/>
  <c r="G75" i="11" s="1"/>
  <c r="C76" i="11"/>
  <c r="I76" i="11" s="1"/>
  <c r="C77" i="11"/>
  <c r="D77" i="11" s="1"/>
  <c r="F77" i="11" s="1"/>
  <c r="C78" i="11"/>
  <c r="B78" i="11" s="1"/>
  <c r="H78" i="11" s="1"/>
  <c r="C79" i="11"/>
  <c r="I79" i="11" s="1"/>
  <c r="C80" i="11"/>
  <c r="D80" i="11" s="1"/>
  <c r="F80" i="11" s="1"/>
  <c r="C81" i="11"/>
  <c r="I81" i="11" s="1"/>
  <c r="C82" i="11"/>
  <c r="D82" i="11" s="1"/>
  <c r="F82" i="11" s="1"/>
  <c r="C83" i="11"/>
  <c r="D83" i="11" s="1"/>
  <c r="F83" i="11" s="1"/>
  <c r="C84" i="11"/>
  <c r="B84" i="11" s="1"/>
  <c r="E84" i="11" s="1"/>
  <c r="G84" i="11" s="1"/>
  <c r="C85" i="11"/>
  <c r="D85" i="11" s="1"/>
  <c r="F85" i="11" s="1"/>
  <c r="C86" i="11"/>
  <c r="I86" i="11" s="1"/>
  <c r="C87" i="11"/>
  <c r="B87" i="11" s="1"/>
  <c r="H87" i="11" s="1"/>
  <c r="C88" i="11"/>
  <c r="D88" i="11" s="1"/>
  <c r="F88" i="11" s="1"/>
  <c r="C8" i="11"/>
  <c r="K8" i="11" s="1"/>
  <c r="K89" i="11"/>
  <c r="BA9" i="15" l="1"/>
  <c r="BA16" i="15"/>
  <c r="BA15" i="15"/>
  <c r="BA8" i="15"/>
  <c r="BA19" i="15"/>
  <c r="BA12" i="15"/>
  <c r="W9" i="12" a="1"/>
  <c r="W9" i="12" s="1"/>
  <c r="X5" i="12" a="1"/>
  <c r="X5" i="12" s="1"/>
  <c r="C44" i="12" a="1"/>
  <c r="C44" i="12" s="1"/>
  <c r="BA18" i="15"/>
  <c r="A53" i="12"/>
  <c r="BA11" i="15"/>
  <c r="A50" i="12"/>
  <c r="D15" i="11"/>
  <c r="F15" i="11" s="1"/>
  <c r="D55" i="11"/>
  <c r="F55" i="11" s="1"/>
  <c r="B63" i="11"/>
  <c r="E63" i="11" s="1"/>
  <c r="G63" i="11" s="1"/>
  <c r="I28" i="11"/>
  <c r="D8" i="11"/>
  <c r="F8" i="11" s="1"/>
  <c r="I9" i="11"/>
  <c r="I57" i="11"/>
  <c r="D41" i="11"/>
  <c r="F41" i="11" s="1"/>
  <c r="B47" i="11"/>
  <c r="E47" i="11" s="1"/>
  <c r="G47" i="11" s="1"/>
  <c r="I33" i="11"/>
  <c r="D25" i="11"/>
  <c r="F25" i="11" s="1"/>
  <c r="I23" i="11"/>
  <c r="D33" i="11"/>
  <c r="F33" i="11" s="1"/>
  <c r="B17" i="11"/>
  <c r="H17" i="11" s="1"/>
  <c r="I39" i="11"/>
  <c r="D79" i="11"/>
  <c r="F79" i="11" s="1"/>
  <c r="D73" i="11"/>
  <c r="F73" i="11" s="1"/>
  <c r="I31" i="11"/>
  <c r="B73" i="11"/>
  <c r="E73" i="11" s="1"/>
  <c r="G73" i="11" s="1"/>
  <c r="D65" i="11"/>
  <c r="F65" i="11" s="1"/>
  <c r="D9" i="11"/>
  <c r="F9" i="11" s="1"/>
  <c r="B85" i="11"/>
  <c r="E85" i="11" s="1"/>
  <c r="G85" i="11" s="1"/>
  <c r="I35" i="11"/>
  <c r="I71" i="11"/>
  <c r="B43" i="11"/>
  <c r="E43" i="11" s="1"/>
  <c r="G43" i="11" s="1"/>
  <c r="D11" i="11"/>
  <c r="F11" i="11" s="1"/>
  <c r="D69" i="11"/>
  <c r="F69" i="11" s="1"/>
  <c r="B12" i="11"/>
  <c r="H12" i="11" s="1"/>
  <c r="I85" i="11"/>
  <c r="B61" i="11"/>
  <c r="E61" i="11" s="1"/>
  <c r="G61" i="11" s="1"/>
  <c r="D81" i="11"/>
  <c r="F81" i="11" s="1"/>
  <c r="D53" i="11"/>
  <c r="F53" i="11" s="1"/>
  <c r="I20" i="11"/>
  <c r="B70" i="11"/>
  <c r="H70" i="11" s="1"/>
  <c r="B69" i="11"/>
  <c r="E69" i="11" s="1"/>
  <c r="G69" i="11" s="1"/>
  <c r="B49" i="11"/>
  <c r="H49" i="11" s="1"/>
  <c r="I49" i="11"/>
  <c r="D29" i="11"/>
  <c r="F29" i="11" s="1"/>
  <c r="B21" i="11"/>
  <c r="H21" i="11" s="1"/>
  <c r="B45" i="11"/>
  <c r="E45" i="11" s="1"/>
  <c r="G45" i="11" s="1"/>
  <c r="I37" i="11"/>
  <c r="B83" i="11"/>
  <c r="E83" i="11" s="1"/>
  <c r="G83" i="11" s="1"/>
  <c r="B53" i="11"/>
  <c r="H53" i="11" s="1"/>
  <c r="B77" i="11"/>
  <c r="E77" i="11" s="1"/>
  <c r="G77" i="11" s="1"/>
  <c r="B50" i="11"/>
  <c r="H50" i="11" s="1"/>
  <c r="B29" i="11"/>
  <c r="E29" i="11" s="1"/>
  <c r="G29" i="11" s="1"/>
  <c r="I77" i="11"/>
  <c r="D61" i="11"/>
  <c r="F61" i="11" s="1"/>
  <c r="D45" i="11"/>
  <c r="F45" i="11" s="1"/>
  <c r="D13" i="11"/>
  <c r="F13" i="11" s="1"/>
  <c r="I21" i="11"/>
  <c r="B54" i="11"/>
  <c r="H54" i="11" s="1"/>
  <c r="D86" i="11"/>
  <c r="F86" i="11" s="1"/>
  <c r="D59" i="11"/>
  <c r="F59" i="11" s="1"/>
  <c r="I13" i="11"/>
  <c r="B35" i="11"/>
  <c r="H35" i="11" s="1"/>
  <c r="D27" i="11"/>
  <c r="F27" i="11" s="1"/>
  <c r="B37" i="11"/>
  <c r="H37" i="11" s="1"/>
  <c r="I83" i="11"/>
  <c r="D19" i="11"/>
  <c r="F19" i="11" s="1"/>
  <c r="D78" i="11"/>
  <c r="F78" i="11" s="1"/>
  <c r="D44" i="11"/>
  <c r="F44" i="11" s="1"/>
  <c r="B82" i="11"/>
  <c r="H82" i="11" s="1"/>
  <c r="D76" i="11"/>
  <c r="F76" i="11" s="1"/>
  <c r="I52" i="11"/>
  <c r="D60" i="11"/>
  <c r="F60" i="11" s="1"/>
  <c r="B76" i="11"/>
  <c r="H76" i="11" s="1"/>
  <c r="B44" i="11"/>
  <c r="H44" i="11" s="1"/>
  <c r="I84" i="11"/>
  <c r="D52" i="11"/>
  <c r="F52" i="11" s="1"/>
  <c r="D58" i="11"/>
  <c r="F58" i="11" s="1"/>
  <c r="I47" i="11"/>
  <c r="B28" i="11"/>
  <c r="H28" i="11" s="1"/>
  <c r="D68" i="11"/>
  <c r="F68" i="11" s="1"/>
  <c r="D12" i="11"/>
  <c r="F12" i="11" s="1"/>
  <c r="B68" i="11"/>
  <c r="E68" i="11" s="1"/>
  <c r="G68" i="11" s="1"/>
  <c r="D71" i="11"/>
  <c r="F71" i="11" s="1"/>
  <c r="I63" i="11"/>
  <c r="I43" i="11"/>
  <c r="I19" i="11"/>
  <c r="B55" i="11"/>
  <c r="H55" i="11" s="1"/>
  <c r="B46" i="11"/>
  <c r="H46" i="11" s="1"/>
  <c r="D62" i="11"/>
  <c r="F62" i="11" s="1"/>
  <c r="B11" i="11"/>
  <c r="E11" i="11" s="1"/>
  <c r="G11" i="11" s="1"/>
  <c r="B15" i="11"/>
  <c r="H15" i="11" s="1"/>
  <c r="B27" i="11"/>
  <c r="E27" i="11" s="1"/>
  <c r="G27" i="11" s="1"/>
  <c r="D39" i="11"/>
  <c r="F39" i="11" s="1"/>
  <c r="B79" i="11"/>
  <c r="H79" i="11" s="1"/>
  <c r="B38" i="11"/>
  <c r="E38" i="11" s="1"/>
  <c r="G38" i="11" s="1"/>
  <c r="I87" i="11"/>
  <c r="D75" i="11"/>
  <c r="F75" i="11" s="1"/>
  <c r="I67" i="11"/>
  <c r="I30" i="11"/>
  <c r="B23" i="11"/>
  <c r="H23" i="11" s="1"/>
  <c r="I75" i="11"/>
  <c r="D31" i="11"/>
  <c r="F31" i="11" s="1"/>
  <c r="B67" i="11"/>
  <c r="H67" i="11" s="1"/>
  <c r="B51" i="11"/>
  <c r="E51" i="11" s="1"/>
  <c r="G51" i="11" s="1"/>
  <c r="D87" i="11"/>
  <c r="F87" i="11" s="1"/>
  <c r="I59" i="11"/>
  <c r="I51" i="11"/>
  <c r="B86" i="11"/>
  <c r="E86" i="11" s="1"/>
  <c r="G86" i="11" s="1"/>
  <c r="I70" i="11"/>
  <c r="I26" i="11"/>
  <c r="I42" i="11"/>
  <c r="B66" i="11"/>
  <c r="H66" i="11" s="1"/>
  <c r="B57" i="11"/>
  <c r="E57" i="11" s="1"/>
  <c r="G57" i="11" s="1"/>
  <c r="B30" i="11"/>
  <c r="H30" i="11" s="1"/>
  <c r="D84" i="11"/>
  <c r="F84" i="11" s="1"/>
  <c r="D66" i="11"/>
  <c r="F66" i="11" s="1"/>
  <c r="I46" i="11"/>
  <c r="D42" i="11"/>
  <c r="F42" i="11" s="1"/>
  <c r="I36" i="11"/>
  <c r="B10" i="11"/>
  <c r="E10" i="11" s="1"/>
  <c r="G10" i="11" s="1"/>
  <c r="D17" i="11"/>
  <c r="F17" i="11" s="1"/>
  <c r="B20" i="11"/>
  <c r="H20" i="11" s="1"/>
  <c r="B58" i="11"/>
  <c r="E58" i="11" s="1"/>
  <c r="G58" i="11" s="1"/>
  <c r="B74" i="11"/>
  <c r="H74" i="11" s="1"/>
  <c r="B65" i="11"/>
  <c r="E65" i="11" s="1"/>
  <c r="G65" i="11" s="1"/>
  <c r="B41" i="11"/>
  <c r="H41" i="11" s="1"/>
  <c r="I78" i="11"/>
  <c r="I74" i="11"/>
  <c r="I60" i="11"/>
  <c r="D36" i="11"/>
  <c r="F36" i="11" s="1"/>
  <c r="D10" i="11"/>
  <c r="F10" i="11" s="1"/>
  <c r="B25" i="11"/>
  <c r="H25" i="11" s="1"/>
  <c r="I50" i="11"/>
  <c r="B18" i="11"/>
  <c r="H18" i="11" s="1"/>
  <c r="B81" i="11"/>
  <c r="H81" i="11" s="1"/>
  <c r="B62" i="11"/>
  <c r="E62" i="11" s="1"/>
  <c r="G62" i="11" s="1"/>
  <c r="B34" i="11"/>
  <c r="E34" i="11" s="1"/>
  <c r="G34" i="11" s="1"/>
  <c r="I82" i="11"/>
  <c r="I54" i="11"/>
  <c r="D18" i="11"/>
  <c r="F18" i="11" s="1"/>
  <c r="I34" i="11"/>
  <c r="B26" i="11"/>
  <c r="E26" i="11" s="1"/>
  <c r="G26" i="11" s="1"/>
  <c r="I38" i="11"/>
  <c r="B64" i="11"/>
  <c r="H64" i="11" s="1"/>
  <c r="B56" i="11"/>
  <c r="E56" i="11" s="1"/>
  <c r="G56" i="11" s="1"/>
  <c r="B16" i="11"/>
  <c r="E16" i="11" s="1"/>
  <c r="G16" i="11" s="1"/>
  <c r="B24" i="11"/>
  <c r="E24" i="11" s="1"/>
  <c r="G24" i="11" s="1"/>
  <c r="B72" i="11"/>
  <c r="H72" i="11" s="1"/>
  <c r="D16" i="11"/>
  <c r="F16" i="11" s="1"/>
  <c r="D24" i="11"/>
  <c r="F24" i="11" s="1"/>
  <c r="B88" i="11"/>
  <c r="H88" i="11" s="1"/>
  <c r="B32" i="11"/>
  <c r="E32" i="11" s="1"/>
  <c r="G32" i="11" s="1"/>
  <c r="B40" i="11"/>
  <c r="H40" i="11" s="1"/>
  <c r="B14" i="11"/>
  <c r="H14" i="11" s="1"/>
  <c r="I16" i="11"/>
  <c r="B22" i="11"/>
  <c r="H22" i="11" s="1"/>
  <c r="B80" i="11"/>
  <c r="E80" i="11" s="1"/>
  <c r="G80" i="11" s="1"/>
  <c r="B48" i="11"/>
  <c r="H48" i="11" s="1"/>
  <c r="I88" i="11"/>
  <c r="I80" i="11"/>
  <c r="I72" i="11"/>
  <c r="I64" i="11"/>
  <c r="I56" i="11"/>
  <c r="I48" i="11"/>
  <c r="I40" i="11"/>
  <c r="I32" i="11"/>
  <c r="D14" i="11"/>
  <c r="F14" i="11" s="1"/>
  <c r="D22" i="11"/>
  <c r="F22" i="11" s="1"/>
  <c r="I8" i="11"/>
  <c r="B8" i="11"/>
  <c r="E8" i="11" s="1"/>
  <c r="G8" i="11" s="1"/>
  <c r="K19" i="11"/>
  <c r="K33" i="11"/>
  <c r="K87" i="11"/>
  <c r="K71" i="11"/>
  <c r="K39" i="11"/>
  <c r="K31" i="11"/>
  <c r="K78" i="11"/>
  <c r="K13" i="11"/>
  <c r="K84" i="11"/>
  <c r="K60" i="11"/>
  <c r="K52" i="11"/>
  <c r="K36" i="11"/>
  <c r="K75" i="11"/>
  <c r="K59" i="11"/>
  <c r="K42" i="11"/>
  <c r="K9" i="11"/>
  <c r="H19" i="11"/>
  <c r="E9" i="11"/>
  <c r="G9" i="11" s="1"/>
  <c r="E13" i="11"/>
  <c r="G13" i="11" s="1"/>
  <c r="E87" i="11"/>
  <c r="G87" i="11" s="1"/>
  <c r="H84" i="11"/>
  <c r="E78" i="11"/>
  <c r="G78" i="11" s="1"/>
  <c r="H52" i="11"/>
  <c r="H31" i="11"/>
  <c r="H39" i="11"/>
  <c r="E36" i="11"/>
  <c r="G36" i="11" s="1"/>
  <c r="E59" i="11"/>
  <c r="G59" i="11" s="1"/>
  <c r="H75" i="11"/>
  <c r="E60" i="11"/>
  <c r="G60" i="11" s="1"/>
  <c r="E42" i="11"/>
  <c r="G42" i="11" s="1"/>
  <c r="H33" i="11"/>
  <c r="H71" i="11"/>
  <c r="AZ13" i="15" l="1"/>
  <c r="AZ20" i="15"/>
  <c r="AZ17" i="15"/>
  <c r="AZ14" i="15"/>
  <c r="AZ21" i="15"/>
  <c r="AZ15" i="15"/>
  <c r="AZ16" i="15"/>
  <c r="AZ12" i="15"/>
  <c r="AZ19" i="15"/>
  <c r="B59" i="12" a="1"/>
  <c r="B59" i="12" s="1"/>
  <c r="A44" i="12"/>
  <c r="AZ18" i="15"/>
  <c r="AZ11" i="15"/>
  <c r="H63" i="11"/>
  <c r="K63" i="11"/>
  <c r="H73" i="11"/>
  <c r="E41" i="11"/>
  <c r="G41" i="11" s="1"/>
  <c r="K46" i="11"/>
  <c r="H83" i="11"/>
  <c r="E70" i="11"/>
  <c r="G70" i="11" s="1"/>
  <c r="K37" i="11"/>
  <c r="E17" i="11"/>
  <c r="G17" i="11" s="1"/>
  <c r="H69" i="11"/>
  <c r="K27" i="11"/>
  <c r="K55" i="11"/>
  <c r="K28" i="11"/>
  <c r="H47" i="11"/>
  <c r="K45" i="11"/>
  <c r="K79" i="11"/>
  <c r="E79" i="11"/>
  <c r="G79" i="11" s="1"/>
  <c r="K43" i="11"/>
  <c r="K35" i="11"/>
  <c r="K17" i="11"/>
  <c r="K81" i="11"/>
  <c r="E48" i="11"/>
  <c r="G48" i="11" s="1"/>
  <c r="H43" i="11"/>
  <c r="K49" i="11"/>
  <c r="K62" i="11"/>
  <c r="E81" i="11"/>
  <c r="G81" i="11" s="1"/>
  <c r="E88" i="11"/>
  <c r="G88" i="11" s="1"/>
  <c r="E28" i="11"/>
  <c r="G28" i="11" s="1"/>
  <c r="K47" i="11"/>
  <c r="K50" i="11"/>
  <c r="K69" i="11"/>
  <c r="K73" i="11"/>
  <c r="E82" i="11"/>
  <c r="G82" i="11" s="1"/>
  <c r="E21" i="11"/>
  <c r="G21" i="11" s="1"/>
  <c r="K21" i="11"/>
  <c r="H29" i="11"/>
  <c r="K70" i="11"/>
  <c r="H51" i="11"/>
  <c r="H86" i="11"/>
  <c r="K29" i="11"/>
  <c r="H85" i="11"/>
  <c r="K85" i="11"/>
  <c r="H45" i="11"/>
  <c r="K12" i="11"/>
  <c r="E35" i="11"/>
  <c r="G35" i="11" s="1"/>
  <c r="E18" i="11"/>
  <c r="G18" i="11" s="1"/>
  <c r="K61" i="11"/>
  <c r="H26" i="11"/>
  <c r="K74" i="11"/>
  <c r="K41" i="11"/>
  <c r="H61" i="11"/>
  <c r="K26" i="11"/>
  <c r="E49" i="11"/>
  <c r="G49" i="11" s="1"/>
  <c r="E53" i="11"/>
  <c r="G53" i="11" s="1"/>
  <c r="E12" i="11"/>
  <c r="G12" i="11" s="1"/>
  <c r="E50" i="11"/>
  <c r="G50" i="11" s="1"/>
  <c r="H16" i="11"/>
  <c r="E44" i="11"/>
  <c r="G44" i="11" s="1"/>
  <c r="K83" i="11"/>
  <c r="E37" i="11"/>
  <c r="G37" i="11" s="1"/>
  <c r="H62" i="11"/>
  <c r="H68" i="11"/>
  <c r="K53" i="11"/>
  <c r="K76" i="11"/>
  <c r="K20" i="11"/>
  <c r="K77" i="11"/>
  <c r="K64" i="11"/>
  <c r="E67" i="11"/>
  <c r="G67" i="11" s="1"/>
  <c r="H38" i="11"/>
  <c r="E46" i="11"/>
  <c r="G46" i="11" s="1"/>
  <c r="K11" i="11"/>
  <c r="K54" i="11"/>
  <c r="K68" i="11"/>
  <c r="K10" i="11"/>
  <c r="K51" i="11"/>
  <c r="H77" i="11"/>
  <c r="E76" i="11"/>
  <c r="G76" i="11" s="1"/>
  <c r="E54" i="11"/>
  <c r="G54" i="11" s="1"/>
  <c r="K82" i="11"/>
  <c r="K44" i="11"/>
  <c r="K14" i="11"/>
  <c r="H58" i="11"/>
  <c r="K48" i="11"/>
  <c r="E74" i="11"/>
  <c r="G74" i="11" s="1"/>
  <c r="E30" i="11"/>
  <c r="G30" i="11" s="1"/>
  <c r="H27" i="11"/>
  <c r="K67" i="11"/>
  <c r="K30" i="11"/>
  <c r="K15" i="11"/>
  <c r="K65" i="11"/>
  <c r="H65" i="11"/>
  <c r="E25" i="11"/>
  <c r="G25" i="11" s="1"/>
  <c r="E72" i="11"/>
  <c r="G72" i="11" s="1"/>
  <c r="E23" i="11"/>
  <c r="G23" i="11" s="1"/>
  <c r="K86" i="11"/>
  <c r="E20" i="11"/>
  <c r="G20" i="11" s="1"/>
  <c r="H11" i="11"/>
  <c r="K38" i="11"/>
  <c r="K23" i="11"/>
  <c r="K24" i="11"/>
  <c r="E22" i="11"/>
  <c r="G22" i="11" s="1"/>
  <c r="E55" i="11"/>
  <c r="G55" i="11" s="1"/>
  <c r="H24" i="11"/>
  <c r="E15" i="11"/>
  <c r="G15" i="11" s="1"/>
  <c r="K25" i="11"/>
  <c r="K58" i="11"/>
  <c r="K88" i="11"/>
  <c r="H34" i="11"/>
  <c r="K22" i="11"/>
  <c r="K57" i="11"/>
  <c r="K56" i="11"/>
  <c r="K18" i="11"/>
  <c r="H57" i="11"/>
  <c r="E66" i="11"/>
  <c r="G66" i="11" s="1"/>
  <c r="H10" i="11"/>
  <c r="K66" i="11"/>
  <c r="K40" i="11"/>
  <c r="E40" i="11"/>
  <c r="G40" i="11" s="1"/>
  <c r="H32" i="11"/>
  <c r="H56" i="11"/>
  <c r="K34" i="11"/>
  <c r="K72" i="11"/>
  <c r="K80" i="11"/>
  <c r="H80" i="11"/>
  <c r="E14" i="11"/>
  <c r="G14" i="11" s="1"/>
  <c r="E64" i="11"/>
  <c r="G64" i="11" s="1"/>
  <c r="K32" i="11"/>
  <c r="K16" i="11"/>
  <c r="H8" i="11"/>
  <c r="Y47" i="2" l="1"/>
  <c r="Y48" i="2"/>
  <c r="Y49" i="2"/>
  <c r="Y50" i="2"/>
  <c r="Y51" i="2"/>
  <c r="Y52" i="2"/>
  <c r="Y53" i="2"/>
  <c r="Y54" i="2"/>
  <c r="Y55" i="2"/>
  <c r="Y56" i="2"/>
  <c r="Y57" i="2"/>
  <c r="Y58" i="2"/>
  <c r="AD2" i="1"/>
  <c r="O7" i="1" l="1"/>
  <c r="P7" i="1"/>
  <c r="O8" i="1"/>
  <c r="P8" i="1"/>
  <c r="O9" i="1"/>
  <c r="P9" i="1"/>
  <c r="O10" i="1"/>
  <c r="P10" i="1"/>
  <c r="O11" i="1"/>
  <c r="P11" i="1"/>
  <c r="O12" i="1"/>
  <c r="P12" i="1"/>
  <c r="O13" i="1"/>
  <c r="P13" i="1"/>
  <c r="O14" i="1"/>
  <c r="P14" i="1"/>
  <c r="P15" i="1"/>
  <c r="O16" i="1"/>
  <c r="P16" i="1"/>
  <c r="O17" i="1"/>
  <c r="P17" i="1"/>
  <c r="O18" i="1"/>
  <c r="P18" i="1"/>
  <c r="O19" i="1"/>
  <c r="P19" i="1"/>
  <c r="O20" i="1"/>
  <c r="P20" i="1"/>
  <c r="O21" i="1"/>
  <c r="P21" i="1"/>
  <c r="O22" i="1"/>
  <c r="P22" i="1"/>
  <c r="O23" i="1"/>
  <c r="P23" i="1"/>
  <c r="O24" i="1"/>
  <c r="P24" i="1"/>
  <c r="O25" i="1"/>
  <c r="P25" i="1"/>
  <c r="O27" i="1"/>
  <c r="P27" i="1"/>
  <c r="O28" i="1"/>
  <c r="P28" i="1"/>
  <c r="O29" i="1"/>
  <c r="P29" i="1"/>
  <c r="O30" i="1"/>
  <c r="P30" i="1"/>
  <c r="P5" i="1"/>
  <c r="O5" i="1"/>
  <c r="J115" i="1" l="1"/>
  <c r="K115" i="1"/>
  <c r="L115" i="1"/>
  <c r="M115" i="1"/>
  <c r="N115" i="1"/>
  <c r="O115" i="1"/>
  <c r="W8" i="1" l="1"/>
  <c r="W9" i="1"/>
  <c r="W12" i="1"/>
  <c r="W15" i="1"/>
  <c r="W16" i="1"/>
  <c r="W19" i="1"/>
  <c r="W20" i="1"/>
  <c r="W22" i="1"/>
  <c r="W24" i="1"/>
  <c r="W25" i="1"/>
  <c r="W26" i="1"/>
  <c r="W27" i="1"/>
  <c r="W28" i="1"/>
  <c r="W29" i="1"/>
  <c r="W30" i="1"/>
  <c r="W31" i="1"/>
  <c r="W32" i="1"/>
  <c r="W33" i="1"/>
  <c r="W5" i="1"/>
  <c r="U6" i="1" l="1"/>
  <c r="U7" i="1"/>
  <c r="U8" i="1"/>
  <c r="U9" i="1"/>
  <c r="U10" i="1"/>
  <c r="U11" i="1"/>
  <c r="U12" i="1"/>
  <c r="U13" i="1"/>
  <c r="U14" i="1"/>
  <c r="U15" i="1"/>
  <c r="U16" i="1"/>
  <c r="U17" i="1"/>
  <c r="U18" i="1"/>
  <c r="U19" i="1"/>
  <c r="U20" i="1"/>
  <c r="U21" i="1"/>
  <c r="U22" i="1"/>
  <c r="U23" i="1"/>
  <c r="U24" i="1"/>
  <c r="U25" i="1"/>
  <c r="U26" i="1"/>
  <c r="U27" i="1"/>
  <c r="U28" i="1"/>
  <c r="U29" i="1"/>
  <c r="U30" i="1"/>
  <c r="U31" i="1"/>
  <c r="U32" i="1"/>
  <c r="U33" i="1"/>
  <c r="U5" i="1"/>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23" i="2"/>
  <c r="Z24" i="2"/>
  <c r="AC24" i="2"/>
  <c r="Z25" i="2"/>
  <c r="AC25" i="2"/>
  <c r="Z26" i="2"/>
  <c r="AC26" i="2"/>
  <c r="Z27" i="2"/>
  <c r="AC27" i="2"/>
  <c r="Z28" i="2"/>
  <c r="AC28" i="2"/>
  <c r="Z29" i="2"/>
  <c r="AC29" i="2"/>
  <c r="Z30" i="2"/>
  <c r="AC30" i="2"/>
  <c r="Z31" i="2"/>
  <c r="AC31" i="2"/>
  <c r="Z32" i="2"/>
  <c r="AC32" i="2"/>
  <c r="Z33" i="2"/>
  <c r="AC33" i="2"/>
  <c r="Z34" i="2"/>
  <c r="AC34" i="2"/>
  <c r="Z35" i="2"/>
  <c r="AC35" i="2"/>
  <c r="Z36" i="2"/>
  <c r="AC36" i="2"/>
  <c r="Z37" i="2"/>
  <c r="AC37" i="2"/>
  <c r="Z38" i="2"/>
  <c r="AC38" i="2"/>
  <c r="Z39" i="2"/>
  <c r="AC39" i="2"/>
  <c r="Z40" i="2"/>
  <c r="AC40" i="2"/>
  <c r="Z41" i="2"/>
  <c r="AC41" i="2"/>
  <c r="Z42" i="2"/>
  <c r="AC42" i="2"/>
  <c r="Z43" i="2"/>
  <c r="AC43" i="2"/>
  <c r="Z44" i="2"/>
  <c r="AC44" i="2"/>
  <c r="Z45" i="2"/>
  <c r="AC45" i="2"/>
  <c r="Z46" i="2"/>
  <c r="AC46" i="2"/>
  <c r="Z47" i="2"/>
  <c r="AC47" i="2"/>
  <c r="Z48" i="2"/>
  <c r="AC48" i="2"/>
  <c r="Z49" i="2"/>
  <c r="AC49" i="2"/>
  <c r="Z50" i="2"/>
  <c r="AC50" i="2"/>
  <c r="Z51" i="2"/>
  <c r="AC51" i="2"/>
  <c r="Z52" i="2"/>
  <c r="AC52" i="2"/>
  <c r="Z53" i="2"/>
  <c r="AC53" i="2"/>
  <c r="Z54" i="2"/>
  <c r="AC54" i="2"/>
  <c r="Z55" i="2"/>
  <c r="AC55" i="2"/>
  <c r="Z56" i="2"/>
  <c r="AC56" i="2"/>
  <c r="Z57" i="2"/>
  <c r="AC57" i="2"/>
  <c r="Z58" i="2"/>
  <c r="AC58" i="2"/>
  <c r="Z23" i="2"/>
  <c r="AC23" i="2"/>
  <c r="AM157" i="1" l="1"/>
  <c r="AE157" i="1"/>
  <c r="W157" i="1"/>
  <c r="O157" i="1"/>
  <c r="G157" i="1"/>
  <c r="AL157" i="1"/>
  <c r="N157" i="1"/>
  <c r="AK157" i="1"/>
  <c r="AC157" i="1"/>
  <c r="U157" i="1"/>
  <c r="M157" i="1"/>
  <c r="E157" i="1"/>
  <c r="AJ157" i="1"/>
  <c r="AB157" i="1"/>
  <c r="T157" i="1"/>
  <c r="L157" i="1"/>
  <c r="D157" i="1"/>
  <c r="AI157" i="1"/>
  <c r="AA157" i="1"/>
  <c r="S157" i="1"/>
  <c r="K157" i="1"/>
  <c r="AF157" i="1"/>
  <c r="AH157" i="1"/>
  <c r="Z157" i="1"/>
  <c r="R157" i="1"/>
  <c r="J157" i="1"/>
  <c r="AG157" i="1"/>
  <c r="Y157" i="1"/>
  <c r="Q157" i="1"/>
  <c r="I157" i="1"/>
  <c r="X157" i="1"/>
  <c r="P157" i="1"/>
  <c r="H157" i="1"/>
  <c r="AD157" i="1"/>
  <c r="V157" i="1"/>
  <c r="F157" i="1"/>
  <c r="I34" i="1"/>
  <c r="F34" i="1"/>
  <c r="H34" i="1"/>
  <c r="N176" i="1"/>
  <c r="A7" i="8"/>
  <c r="A51" i="8"/>
  <c r="A52" i="8"/>
  <c r="A53" i="8"/>
  <c r="A85" i="8"/>
  <c r="A84" i="8"/>
  <c r="A83" i="8"/>
  <c r="A82" i="8"/>
  <c r="A81" i="8"/>
  <c r="A80" i="8"/>
  <c r="A79" i="8"/>
  <c r="A78" i="8"/>
  <c r="A77" i="8"/>
  <c r="A76" i="8"/>
  <c r="A75" i="8"/>
  <c r="A74" i="8"/>
  <c r="A73" i="8"/>
  <c r="A72" i="8"/>
  <c r="A71" i="8"/>
  <c r="A70" i="8"/>
  <c r="A69" i="8"/>
  <c r="A68" i="8"/>
  <c r="A67" i="8"/>
  <c r="A66" i="8"/>
  <c r="A65" i="8"/>
  <c r="A64" i="8"/>
  <c r="A63" i="8"/>
  <c r="A62" i="8"/>
  <c r="A61" i="8"/>
  <c r="A60" i="8"/>
  <c r="A57" i="8"/>
  <c r="A56" i="8"/>
  <c r="A55" i="8"/>
  <c r="A54" i="8"/>
  <c r="A50" i="8"/>
  <c r="A49" i="8"/>
  <c r="A48" i="8"/>
  <c r="A47" i="8"/>
  <c r="A46" i="8"/>
  <c r="A45" i="8"/>
  <c r="A44" i="8"/>
  <c r="A43" i="8"/>
  <c r="A42" i="8"/>
  <c r="A41" i="8"/>
  <c r="A40" i="8"/>
  <c r="A39" i="8"/>
  <c r="A38" i="8"/>
  <c r="A37" i="8"/>
  <c r="A36" i="8"/>
  <c r="A35" i="8"/>
  <c r="A34" i="8"/>
  <c r="A33" i="8"/>
  <c r="A32" i="8"/>
  <c r="A31" i="8"/>
  <c r="A30" i="8"/>
  <c r="A29" i="8"/>
  <c r="A28" i="8"/>
  <c r="A25" i="8"/>
  <c r="A24" i="8"/>
  <c r="A23" i="8"/>
  <c r="A22" i="8"/>
  <c r="A21" i="8"/>
  <c r="A20" i="8"/>
  <c r="A17" i="8"/>
  <c r="A16" i="8"/>
  <c r="A14" i="8"/>
  <c r="A13" i="8"/>
  <c r="A12" i="8"/>
  <c r="A11" i="8"/>
  <c r="A10" i="8"/>
  <c r="A9" i="8"/>
  <c r="A8" i="8"/>
  <c r="AM126" i="1" l="1"/>
  <c r="AL126" i="1"/>
  <c r="AK126" i="1"/>
  <c r="AJ126" i="1"/>
  <c r="AI126" i="1"/>
  <c r="AH126" i="1"/>
  <c r="AG126" i="1"/>
  <c r="AF126" i="1"/>
  <c r="AE126" i="1"/>
  <c r="AD126" i="1"/>
  <c r="AC126" i="1"/>
  <c r="AB126" i="1"/>
  <c r="AM125" i="1"/>
  <c r="AL125" i="1"/>
  <c r="AK125" i="1"/>
  <c r="AJ125" i="1"/>
  <c r="AI125" i="1"/>
  <c r="AH125" i="1"/>
  <c r="AG125" i="1"/>
  <c r="AF125" i="1"/>
  <c r="AE125" i="1"/>
  <c r="AD125" i="1"/>
  <c r="AC125" i="1"/>
  <c r="AB125" i="1"/>
  <c r="AM124" i="1"/>
  <c r="AL124" i="1"/>
  <c r="AK124" i="1"/>
  <c r="AJ124" i="1"/>
  <c r="AI124" i="1"/>
  <c r="AH124" i="1"/>
  <c r="AG124" i="1"/>
  <c r="AF124" i="1"/>
  <c r="AE124" i="1"/>
  <c r="AD124" i="1"/>
  <c r="AC124" i="1"/>
  <c r="AB124" i="1"/>
  <c r="AM123" i="1"/>
  <c r="AL123" i="1"/>
  <c r="AK123" i="1"/>
  <c r="AJ123" i="1"/>
  <c r="AI123" i="1"/>
  <c r="AH123" i="1"/>
  <c r="AG123" i="1"/>
  <c r="AF123" i="1"/>
  <c r="AE123" i="1"/>
  <c r="AD123" i="1"/>
  <c r="AC123" i="1"/>
  <c r="AB123" i="1"/>
  <c r="AM122" i="1"/>
  <c r="AL122" i="1"/>
  <c r="AK122" i="1"/>
  <c r="AJ122" i="1"/>
  <c r="AI122" i="1"/>
  <c r="AH122" i="1"/>
  <c r="AG122" i="1"/>
  <c r="AF122" i="1"/>
  <c r="AE122" i="1"/>
  <c r="AD122" i="1"/>
  <c r="AC122" i="1"/>
  <c r="AB122" i="1"/>
  <c r="AM121" i="1"/>
  <c r="AL121" i="1"/>
  <c r="AK121" i="1"/>
  <c r="AJ121" i="1"/>
  <c r="AI121" i="1"/>
  <c r="AH121" i="1"/>
  <c r="AG121" i="1"/>
  <c r="AF121" i="1"/>
  <c r="AE121" i="1"/>
  <c r="AD121" i="1"/>
  <c r="AC121" i="1"/>
  <c r="AB121" i="1"/>
  <c r="AM120" i="1"/>
  <c r="AL120" i="1"/>
  <c r="AK120" i="1"/>
  <c r="AJ120" i="1"/>
  <c r="AI120" i="1"/>
  <c r="AH120" i="1"/>
  <c r="AG120" i="1"/>
  <c r="AF120" i="1"/>
  <c r="AE120" i="1"/>
  <c r="AD120" i="1"/>
  <c r="AC120" i="1"/>
  <c r="AB120" i="1"/>
  <c r="AM119" i="1"/>
  <c r="AL119" i="1"/>
  <c r="AK119" i="1"/>
  <c r="AJ119" i="1"/>
  <c r="AI119" i="1"/>
  <c r="AH119" i="1"/>
  <c r="AG119" i="1"/>
  <c r="AF119" i="1"/>
  <c r="AE119" i="1"/>
  <c r="AD119" i="1"/>
  <c r="AC119" i="1"/>
  <c r="AB119" i="1"/>
  <c r="AM118" i="1"/>
  <c r="AL118" i="1"/>
  <c r="AK118" i="1"/>
  <c r="AJ118" i="1"/>
  <c r="AI118" i="1"/>
  <c r="AH118" i="1"/>
  <c r="AG118" i="1"/>
  <c r="AF118" i="1"/>
  <c r="AE118" i="1"/>
  <c r="AD118" i="1"/>
  <c r="AC118" i="1"/>
  <c r="AB118" i="1"/>
  <c r="AM117" i="1"/>
  <c r="AL117" i="1"/>
  <c r="AK117" i="1"/>
  <c r="AJ117" i="1"/>
  <c r="AI117" i="1"/>
  <c r="AH117" i="1"/>
  <c r="AG117" i="1"/>
  <c r="AF117" i="1"/>
  <c r="AE117" i="1"/>
  <c r="AD117" i="1"/>
  <c r="AC117" i="1"/>
  <c r="AB117" i="1"/>
  <c r="AM116" i="1"/>
  <c r="AL116" i="1"/>
  <c r="AK116" i="1"/>
  <c r="AJ116" i="1"/>
  <c r="AI116" i="1"/>
  <c r="AH116" i="1"/>
  <c r="AG116" i="1"/>
  <c r="AF116" i="1"/>
  <c r="AE116" i="1"/>
  <c r="AD116" i="1"/>
  <c r="AC116" i="1"/>
  <c r="AB116" i="1"/>
  <c r="AM115" i="1"/>
  <c r="AL115" i="1"/>
  <c r="AK115" i="1"/>
  <c r="AJ115" i="1"/>
  <c r="AI115" i="1"/>
  <c r="AH115" i="1"/>
  <c r="AG115" i="1"/>
  <c r="AF115" i="1"/>
  <c r="AE115" i="1"/>
  <c r="AD115" i="1"/>
  <c r="AC115" i="1"/>
  <c r="AB115" i="1"/>
  <c r="AM114" i="1"/>
  <c r="AL114" i="1"/>
  <c r="AK114" i="1"/>
  <c r="AJ114" i="1"/>
  <c r="AI114" i="1"/>
  <c r="AH114" i="1"/>
  <c r="AG114" i="1"/>
  <c r="AF114" i="1"/>
  <c r="AE114" i="1"/>
  <c r="AD114" i="1"/>
  <c r="AC114" i="1"/>
  <c r="AB114" i="1"/>
  <c r="AM113" i="1"/>
  <c r="AL113" i="1"/>
  <c r="AK113" i="1"/>
  <c r="AJ113" i="1"/>
  <c r="AI113" i="1"/>
  <c r="AH113" i="1"/>
  <c r="AG113" i="1"/>
  <c r="AF113" i="1"/>
  <c r="AE113" i="1"/>
  <c r="AD113" i="1"/>
  <c r="AC113" i="1"/>
  <c r="AB113" i="1"/>
  <c r="AM112" i="1"/>
  <c r="AL112" i="1"/>
  <c r="AK112" i="1"/>
  <c r="AJ112" i="1"/>
  <c r="AI112" i="1"/>
  <c r="AH112" i="1"/>
  <c r="AG112" i="1"/>
  <c r="AF112" i="1"/>
  <c r="AE112" i="1"/>
  <c r="AD112" i="1"/>
  <c r="AC112" i="1"/>
  <c r="AB112" i="1"/>
  <c r="AM111" i="1"/>
  <c r="AL111" i="1"/>
  <c r="AK111" i="1"/>
  <c r="AJ111" i="1"/>
  <c r="AI111" i="1"/>
  <c r="AH111" i="1"/>
  <c r="AG111" i="1"/>
  <c r="AF111" i="1"/>
  <c r="AE111" i="1"/>
  <c r="AD111" i="1"/>
  <c r="AC111" i="1"/>
  <c r="AB111" i="1"/>
  <c r="AM110" i="1"/>
  <c r="AL110" i="1"/>
  <c r="AK110" i="1"/>
  <c r="AJ110" i="1"/>
  <c r="AI110" i="1"/>
  <c r="AH110" i="1"/>
  <c r="AG110" i="1"/>
  <c r="AF110" i="1"/>
  <c r="AE110" i="1"/>
  <c r="AD110" i="1"/>
  <c r="AC110" i="1"/>
  <c r="AB110" i="1"/>
  <c r="AM109" i="1"/>
  <c r="AL109" i="1"/>
  <c r="AK109" i="1"/>
  <c r="AJ109" i="1"/>
  <c r="AI109" i="1"/>
  <c r="AH109" i="1"/>
  <c r="AG109" i="1"/>
  <c r="AF109" i="1"/>
  <c r="AE109" i="1"/>
  <c r="AD109" i="1"/>
  <c r="AC109" i="1"/>
  <c r="AB109" i="1"/>
  <c r="AM108" i="1"/>
  <c r="AL108" i="1"/>
  <c r="AK108" i="1"/>
  <c r="AJ108" i="1"/>
  <c r="AI108" i="1"/>
  <c r="AH108" i="1"/>
  <c r="AG108" i="1"/>
  <c r="AF108" i="1"/>
  <c r="AE108" i="1"/>
  <c r="AD108" i="1"/>
  <c r="AC108" i="1"/>
  <c r="AB108" i="1"/>
  <c r="AM107" i="1"/>
  <c r="AL107" i="1"/>
  <c r="AK107" i="1"/>
  <c r="AJ107" i="1"/>
  <c r="AI107" i="1"/>
  <c r="AH107" i="1"/>
  <c r="AG107" i="1"/>
  <c r="AF107" i="1"/>
  <c r="AE107" i="1"/>
  <c r="AD107" i="1"/>
  <c r="AC107" i="1"/>
  <c r="AB107" i="1"/>
  <c r="AM106" i="1"/>
  <c r="AL106" i="1"/>
  <c r="AK106" i="1"/>
  <c r="AJ106" i="1"/>
  <c r="AI106" i="1"/>
  <c r="AH106" i="1"/>
  <c r="AG106" i="1"/>
  <c r="AF106" i="1"/>
  <c r="AE106" i="1"/>
  <c r="AD106" i="1"/>
  <c r="AC106" i="1"/>
  <c r="AB106" i="1"/>
  <c r="AM105" i="1"/>
  <c r="AL105" i="1"/>
  <c r="AK105" i="1"/>
  <c r="AJ105" i="1"/>
  <c r="AI105" i="1"/>
  <c r="AH105" i="1"/>
  <c r="AG105" i="1"/>
  <c r="AF105" i="1"/>
  <c r="AE105" i="1"/>
  <c r="AD105" i="1"/>
  <c r="AC105" i="1"/>
  <c r="AB105" i="1"/>
  <c r="AM104" i="1"/>
  <c r="AL104" i="1"/>
  <c r="AK104" i="1"/>
  <c r="AJ104" i="1"/>
  <c r="AI104" i="1"/>
  <c r="AH104" i="1"/>
  <c r="AG104" i="1"/>
  <c r="AF104" i="1"/>
  <c r="AE104" i="1"/>
  <c r="AD104" i="1"/>
  <c r="AC104" i="1"/>
  <c r="AB104" i="1"/>
  <c r="AM103" i="1"/>
  <c r="AL103" i="1"/>
  <c r="AK103" i="1"/>
  <c r="AJ103" i="1"/>
  <c r="AI103" i="1"/>
  <c r="AH103" i="1"/>
  <c r="AG103" i="1"/>
  <c r="AF103" i="1"/>
  <c r="AE103" i="1"/>
  <c r="AD103" i="1"/>
  <c r="AC103" i="1"/>
  <c r="AB103" i="1"/>
  <c r="AM102" i="1"/>
  <c r="AL102" i="1"/>
  <c r="AK102" i="1"/>
  <c r="AJ102" i="1"/>
  <c r="AI102" i="1"/>
  <c r="AH102" i="1"/>
  <c r="AG102" i="1"/>
  <c r="AF102" i="1"/>
  <c r="AE102" i="1"/>
  <c r="AD102" i="1"/>
  <c r="AC102" i="1"/>
  <c r="AB102" i="1"/>
  <c r="AM101" i="1"/>
  <c r="AL101" i="1"/>
  <c r="AK101" i="1"/>
  <c r="AJ101" i="1"/>
  <c r="AI101" i="1"/>
  <c r="AH101" i="1"/>
  <c r="AG101" i="1"/>
  <c r="AF101" i="1"/>
  <c r="AE101" i="1"/>
  <c r="AD101" i="1"/>
  <c r="AC101" i="1"/>
  <c r="AB101" i="1"/>
  <c r="AA126" i="1"/>
  <c r="Z126" i="1"/>
  <c r="Y126" i="1"/>
  <c r="X126" i="1"/>
  <c r="W126" i="1"/>
  <c r="V126" i="1"/>
  <c r="U126" i="1"/>
  <c r="T126" i="1"/>
  <c r="S126" i="1"/>
  <c r="R126" i="1"/>
  <c r="Q126" i="1"/>
  <c r="P126" i="1"/>
  <c r="AA125" i="1"/>
  <c r="Z125" i="1"/>
  <c r="Y125" i="1"/>
  <c r="X125" i="1"/>
  <c r="W125" i="1"/>
  <c r="V125" i="1"/>
  <c r="U125" i="1"/>
  <c r="T125" i="1"/>
  <c r="S125" i="1"/>
  <c r="R125" i="1"/>
  <c r="Q125" i="1"/>
  <c r="P125" i="1"/>
  <c r="AA124" i="1"/>
  <c r="Z124" i="1"/>
  <c r="Y124" i="1"/>
  <c r="X124" i="1"/>
  <c r="W124" i="1"/>
  <c r="V124" i="1"/>
  <c r="U124" i="1"/>
  <c r="T124" i="1"/>
  <c r="S124" i="1"/>
  <c r="R124" i="1"/>
  <c r="Q124" i="1"/>
  <c r="P124" i="1"/>
  <c r="AA123" i="1"/>
  <c r="Z123" i="1"/>
  <c r="Y123" i="1"/>
  <c r="X123" i="1"/>
  <c r="W123" i="1"/>
  <c r="V123" i="1"/>
  <c r="U123" i="1"/>
  <c r="T123" i="1"/>
  <c r="S123" i="1"/>
  <c r="R123" i="1"/>
  <c r="Q123" i="1"/>
  <c r="P123" i="1"/>
  <c r="AA122" i="1"/>
  <c r="Z122" i="1"/>
  <c r="Y122" i="1"/>
  <c r="X122" i="1"/>
  <c r="W122" i="1"/>
  <c r="V122" i="1"/>
  <c r="U122" i="1"/>
  <c r="T122" i="1"/>
  <c r="S122" i="1"/>
  <c r="R122" i="1"/>
  <c r="Q122" i="1"/>
  <c r="P122" i="1"/>
  <c r="AA121" i="1"/>
  <c r="Z121" i="1"/>
  <c r="Y121" i="1"/>
  <c r="X121" i="1"/>
  <c r="W121" i="1"/>
  <c r="V121" i="1"/>
  <c r="U121" i="1"/>
  <c r="T121" i="1"/>
  <c r="S121" i="1"/>
  <c r="R121" i="1"/>
  <c r="Q121" i="1"/>
  <c r="P121" i="1"/>
  <c r="AA120" i="1"/>
  <c r="Z120" i="1"/>
  <c r="Y120" i="1"/>
  <c r="X120" i="1"/>
  <c r="W120" i="1"/>
  <c r="V120" i="1"/>
  <c r="U120" i="1"/>
  <c r="T120" i="1"/>
  <c r="S120" i="1"/>
  <c r="R120" i="1"/>
  <c r="Q120" i="1"/>
  <c r="P120" i="1"/>
  <c r="AA119" i="1"/>
  <c r="Z119" i="1"/>
  <c r="Y119" i="1"/>
  <c r="X119" i="1"/>
  <c r="W119" i="1"/>
  <c r="V119" i="1"/>
  <c r="U119" i="1"/>
  <c r="T119" i="1"/>
  <c r="S119" i="1"/>
  <c r="R119" i="1"/>
  <c r="Q119" i="1"/>
  <c r="P119" i="1"/>
  <c r="AA118" i="1"/>
  <c r="Z118" i="1"/>
  <c r="Y118" i="1"/>
  <c r="X118" i="1"/>
  <c r="W118" i="1"/>
  <c r="V118" i="1"/>
  <c r="U118" i="1"/>
  <c r="T118" i="1"/>
  <c r="S118" i="1"/>
  <c r="R118" i="1"/>
  <c r="Q118" i="1"/>
  <c r="P118" i="1"/>
  <c r="AA117" i="1"/>
  <c r="Z117" i="1"/>
  <c r="Y117" i="1"/>
  <c r="X117" i="1"/>
  <c r="W117" i="1"/>
  <c r="V117" i="1"/>
  <c r="U117" i="1"/>
  <c r="T117" i="1"/>
  <c r="S117" i="1"/>
  <c r="R117" i="1"/>
  <c r="Q117" i="1"/>
  <c r="P117" i="1"/>
  <c r="AA116" i="1"/>
  <c r="Z116" i="1"/>
  <c r="Y116" i="1"/>
  <c r="X116" i="1"/>
  <c r="W116" i="1"/>
  <c r="V116" i="1"/>
  <c r="U116" i="1"/>
  <c r="T116" i="1"/>
  <c r="S116" i="1"/>
  <c r="R116" i="1"/>
  <c r="Q116" i="1"/>
  <c r="P116" i="1"/>
  <c r="AA115" i="1"/>
  <c r="Z115" i="1"/>
  <c r="Y115" i="1"/>
  <c r="X115" i="1"/>
  <c r="W115" i="1"/>
  <c r="V115" i="1"/>
  <c r="U115" i="1"/>
  <c r="T115" i="1"/>
  <c r="S115" i="1"/>
  <c r="R115" i="1"/>
  <c r="Q115" i="1"/>
  <c r="P115" i="1"/>
  <c r="AA114" i="1"/>
  <c r="Z114" i="1"/>
  <c r="Y114" i="1"/>
  <c r="X114" i="1"/>
  <c r="W114" i="1"/>
  <c r="V114" i="1"/>
  <c r="U114" i="1"/>
  <c r="T114" i="1"/>
  <c r="S114" i="1"/>
  <c r="R114" i="1"/>
  <c r="Q114" i="1"/>
  <c r="P114" i="1"/>
  <c r="AA113" i="1"/>
  <c r="Z113" i="1"/>
  <c r="Y113" i="1"/>
  <c r="X113" i="1"/>
  <c r="W113" i="1"/>
  <c r="V113" i="1"/>
  <c r="U113" i="1"/>
  <c r="T113" i="1"/>
  <c r="S113" i="1"/>
  <c r="R113" i="1"/>
  <c r="Q113" i="1"/>
  <c r="P113" i="1"/>
  <c r="AA112" i="1"/>
  <c r="Z112" i="1"/>
  <c r="Y112" i="1"/>
  <c r="X112" i="1"/>
  <c r="W112" i="1"/>
  <c r="V112" i="1"/>
  <c r="U112" i="1"/>
  <c r="T112" i="1"/>
  <c r="S112" i="1"/>
  <c r="R112" i="1"/>
  <c r="Q112" i="1"/>
  <c r="P112" i="1"/>
  <c r="AA111" i="1"/>
  <c r="Z111" i="1"/>
  <c r="Y111" i="1"/>
  <c r="X111" i="1"/>
  <c r="W111" i="1"/>
  <c r="V111" i="1"/>
  <c r="U111" i="1"/>
  <c r="T111" i="1"/>
  <c r="S111" i="1"/>
  <c r="R111" i="1"/>
  <c r="Q111" i="1"/>
  <c r="P111" i="1"/>
  <c r="AA110" i="1"/>
  <c r="Z110" i="1"/>
  <c r="Y110" i="1"/>
  <c r="X110" i="1"/>
  <c r="W110" i="1"/>
  <c r="V110" i="1"/>
  <c r="U110" i="1"/>
  <c r="T110" i="1"/>
  <c r="S110" i="1"/>
  <c r="R110" i="1"/>
  <c r="Q110" i="1"/>
  <c r="P110" i="1"/>
  <c r="AA109" i="1"/>
  <c r="Z109" i="1"/>
  <c r="Y109" i="1"/>
  <c r="X109" i="1"/>
  <c r="W109" i="1"/>
  <c r="V109" i="1"/>
  <c r="U109" i="1"/>
  <c r="T109" i="1"/>
  <c r="S109" i="1"/>
  <c r="R109" i="1"/>
  <c r="Q109" i="1"/>
  <c r="P109" i="1"/>
  <c r="AA108" i="1"/>
  <c r="Z108" i="1"/>
  <c r="Y108" i="1"/>
  <c r="X108" i="1"/>
  <c r="W108" i="1"/>
  <c r="V108" i="1"/>
  <c r="U108" i="1"/>
  <c r="T108" i="1"/>
  <c r="S108" i="1"/>
  <c r="R108" i="1"/>
  <c r="Q108" i="1"/>
  <c r="P108" i="1"/>
  <c r="AA107" i="1"/>
  <c r="Z107" i="1"/>
  <c r="Y107" i="1"/>
  <c r="X107" i="1"/>
  <c r="W107" i="1"/>
  <c r="V107" i="1"/>
  <c r="U107" i="1"/>
  <c r="T107" i="1"/>
  <c r="S107" i="1"/>
  <c r="R107" i="1"/>
  <c r="Q107" i="1"/>
  <c r="P107" i="1"/>
  <c r="AA106" i="1"/>
  <c r="Z106" i="1"/>
  <c r="Y106" i="1"/>
  <c r="X106" i="1"/>
  <c r="W106" i="1"/>
  <c r="V106" i="1"/>
  <c r="U106" i="1"/>
  <c r="T106" i="1"/>
  <c r="S106" i="1"/>
  <c r="R106" i="1"/>
  <c r="Q106" i="1"/>
  <c r="P106" i="1"/>
  <c r="AA105" i="1"/>
  <c r="Z105" i="1"/>
  <c r="Y105" i="1"/>
  <c r="X105" i="1"/>
  <c r="W105" i="1"/>
  <c r="V105" i="1"/>
  <c r="U105" i="1"/>
  <c r="T105" i="1"/>
  <c r="S105" i="1"/>
  <c r="R105" i="1"/>
  <c r="Q105" i="1"/>
  <c r="P105" i="1"/>
  <c r="AA104" i="1"/>
  <c r="Z104" i="1"/>
  <c r="Y104" i="1"/>
  <c r="X104" i="1"/>
  <c r="W104" i="1"/>
  <c r="V104" i="1"/>
  <c r="U104" i="1"/>
  <c r="T104" i="1"/>
  <c r="S104" i="1"/>
  <c r="R104" i="1"/>
  <c r="Q104" i="1"/>
  <c r="P104" i="1"/>
  <c r="AA103" i="1"/>
  <c r="Z103" i="1"/>
  <c r="Y103" i="1"/>
  <c r="X103" i="1"/>
  <c r="W103" i="1"/>
  <c r="V103" i="1"/>
  <c r="U103" i="1"/>
  <c r="T103" i="1"/>
  <c r="S103" i="1"/>
  <c r="R103" i="1"/>
  <c r="Q103" i="1"/>
  <c r="P103" i="1"/>
  <c r="AA102" i="1"/>
  <c r="Z102" i="1"/>
  <c r="Y102" i="1"/>
  <c r="X102" i="1"/>
  <c r="W102" i="1"/>
  <c r="V102" i="1"/>
  <c r="U102" i="1"/>
  <c r="T102" i="1"/>
  <c r="S102" i="1"/>
  <c r="R102" i="1"/>
  <c r="Q102" i="1"/>
  <c r="P102" i="1"/>
  <c r="AA101" i="1"/>
  <c r="Z101" i="1"/>
  <c r="Y101" i="1"/>
  <c r="X101" i="1"/>
  <c r="W101" i="1"/>
  <c r="V101" i="1"/>
  <c r="U101" i="1"/>
  <c r="T101" i="1"/>
  <c r="S101" i="1"/>
  <c r="R101" i="1"/>
  <c r="Q101" i="1"/>
  <c r="P101" i="1"/>
  <c r="AM156" i="1"/>
  <c r="AL156" i="1"/>
  <c r="AK156" i="1"/>
  <c r="AJ156" i="1"/>
  <c r="AI156" i="1"/>
  <c r="AH156" i="1"/>
  <c r="AG156" i="1"/>
  <c r="AF156" i="1"/>
  <c r="AE156" i="1"/>
  <c r="AD156" i="1"/>
  <c r="AC156" i="1"/>
  <c r="AB156" i="1"/>
  <c r="AM155" i="1"/>
  <c r="AL155" i="1"/>
  <c r="AK155" i="1"/>
  <c r="AJ155" i="1"/>
  <c r="AI155" i="1"/>
  <c r="AH155" i="1"/>
  <c r="AG155" i="1"/>
  <c r="AF155" i="1"/>
  <c r="AE155" i="1"/>
  <c r="AD155" i="1"/>
  <c r="AC155" i="1"/>
  <c r="AB155" i="1"/>
  <c r="AM154" i="1"/>
  <c r="AL154" i="1"/>
  <c r="AK154" i="1"/>
  <c r="AJ154" i="1"/>
  <c r="AI154" i="1"/>
  <c r="AH154" i="1"/>
  <c r="AG154" i="1"/>
  <c r="AF154" i="1"/>
  <c r="AE154" i="1"/>
  <c r="AD154" i="1"/>
  <c r="AC154" i="1"/>
  <c r="AB154" i="1"/>
  <c r="AM153" i="1"/>
  <c r="AL153" i="1"/>
  <c r="AK153" i="1"/>
  <c r="AJ153" i="1"/>
  <c r="AI153" i="1"/>
  <c r="AH153" i="1"/>
  <c r="AG153" i="1"/>
  <c r="AF153" i="1"/>
  <c r="AE153" i="1"/>
  <c r="AD153" i="1"/>
  <c r="AC153" i="1"/>
  <c r="AB153" i="1"/>
  <c r="AM152" i="1"/>
  <c r="AL152" i="1"/>
  <c r="AK152" i="1"/>
  <c r="AJ152" i="1"/>
  <c r="AI152" i="1"/>
  <c r="AH152" i="1"/>
  <c r="AG152" i="1"/>
  <c r="AF152" i="1"/>
  <c r="AE152" i="1"/>
  <c r="AD152" i="1"/>
  <c r="AC152" i="1"/>
  <c r="AB152" i="1"/>
  <c r="AM151" i="1"/>
  <c r="AL151" i="1"/>
  <c r="AK151" i="1"/>
  <c r="AJ151" i="1"/>
  <c r="AI151" i="1"/>
  <c r="AH151" i="1"/>
  <c r="AG151" i="1"/>
  <c r="AF151" i="1"/>
  <c r="AE151" i="1"/>
  <c r="AD151" i="1"/>
  <c r="AC151" i="1"/>
  <c r="AB151" i="1"/>
  <c r="AM150" i="1"/>
  <c r="AL150" i="1"/>
  <c r="AK150" i="1"/>
  <c r="AJ150" i="1"/>
  <c r="AI150" i="1"/>
  <c r="AH150" i="1"/>
  <c r="AG150" i="1"/>
  <c r="AF150" i="1"/>
  <c r="AE150" i="1"/>
  <c r="AD150" i="1"/>
  <c r="AC150" i="1"/>
  <c r="AB150" i="1"/>
  <c r="AM149" i="1"/>
  <c r="AL149" i="1"/>
  <c r="AK149" i="1"/>
  <c r="AJ149" i="1"/>
  <c r="AI149" i="1"/>
  <c r="AH149" i="1"/>
  <c r="AG149" i="1"/>
  <c r="AF149" i="1"/>
  <c r="AE149" i="1"/>
  <c r="AD149" i="1"/>
  <c r="AC149" i="1"/>
  <c r="AB149" i="1"/>
  <c r="AM148" i="1"/>
  <c r="AL148" i="1"/>
  <c r="AK148" i="1"/>
  <c r="AJ148" i="1"/>
  <c r="AI148" i="1"/>
  <c r="AH148" i="1"/>
  <c r="AG148" i="1"/>
  <c r="AF148" i="1"/>
  <c r="AE148" i="1"/>
  <c r="AD148" i="1"/>
  <c r="AC148" i="1"/>
  <c r="AB148" i="1"/>
  <c r="AM147" i="1"/>
  <c r="AL147" i="1"/>
  <c r="AK147" i="1"/>
  <c r="AJ147" i="1"/>
  <c r="AI147" i="1"/>
  <c r="AH147" i="1"/>
  <c r="AG147" i="1"/>
  <c r="AF147" i="1"/>
  <c r="AE147" i="1"/>
  <c r="AD147" i="1"/>
  <c r="AC147" i="1"/>
  <c r="AB147" i="1"/>
  <c r="AM146" i="1"/>
  <c r="AL146" i="1"/>
  <c r="AK146" i="1"/>
  <c r="AJ146" i="1"/>
  <c r="AI146" i="1"/>
  <c r="AH146" i="1"/>
  <c r="AG146" i="1"/>
  <c r="AF146" i="1"/>
  <c r="AE146" i="1"/>
  <c r="AD146" i="1"/>
  <c r="AC146" i="1"/>
  <c r="AB146" i="1"/>
  <c r="AM145" i="1"/>
  <c r="AL145" i="1"/>
  <c r="AK145" i="1"/>
  <c r="AJ145" i="1"/>
  <c r="AI145" i="1"/>
  <c r="AH145" i="1"/>
  <c r="AG145" i="1"/>
  <c r="AF145" i="1"/>
  <c r="AE145" i="1"/>
  <c r="AD145" i="1"/>
  <c r="AC145" i="1"/>
  <c r="AB145" i="1"/>
  <c r="AM144" i="1"/>
  <c r="AL144" i="1"/>
  <c r="AK144" i="1"/>
  <c r="AJ144" i="1"/>
  <c r="AI144" i="1"/>
  <c r="AH144" i="1"/>
  <c r="AG144" i="1"/>
  <c r="AF144" i="1"/>
  <c r="AE144" i="1"/>
  <c r="AD144" i="1"/>
  <c r="AC144" i="1"/>
  <c r="AB144" i="1"/>
  <c r="AM143" i="1"/>
  <c r="AL143" i="1"/>
  <c r="AK143" i="1"/>
  <c r="AJ143" i="1"/>
  <c r="AI143" i="1"/>
  <c r="AH143" i="1"/>
  <c r="AG143" i="1"/>
  <c r="AF143" i="1"/>
  <c r="AE143" i="1"/>
  <c r="AD143" i="1"/>
  <c r="AC143" i="1"/>
  <c r="AB143" i="1"/>
  <c r="AM142" i="1"/>
  <c r="AL142" i="1"/>
  <c r="AK142" i="1"/>
  <c r="AJ142" i="1"/>
  <c r="AI142" i="1"/>
  <c r="AH142" i="1"/>
  <c r="AG142" i="1"/>
  <c r="AF142" i="1"/>
  <c r="AE142" i="1"/>
  <c r="AD142" i="1"/>
  <c r="AC142" i="1"/>
  <c r="AB142" i="1"/>
  <c r="AM141" i="1"/>
  <c r="AL141" i="1"/>
  <c r="AK141" i="1"/>
  <c r="AJ141" i="1"/>
  <c r="AI141" i="1"/>
  <c r="AH141" i="1"/>
  <c r="AG141" i="1"/>
  <c r="AF141" i="1"/>
  <c r="AE141" i="1"/>
  <c r="AD141" i="1"/>
  <c r="AC141" i="1"/>
  <c r="AB141" i="1"/>
  <c r="AM140" i="1"/>
  <c r="AL140" i="1"/>
  <c r="AK140" i="1"/>
  <c r="AJ140" i="1"/>
  <c r="AI140" i="1"/>
  <c r="AH140" i="1"/>
  <c r="AG140" i="1"/>
  <c r="AF140" i="1"/>
  <c r="AE140" i="1"/>
  <c r="AD140" i="1"/>
  <c r="AC140" i="1"/>
  <c r="AB140" i="1"/>
  <c r="AM139" i="1"/>
  <c r="AL139" i="1"/>
  <c r="AK139" i="1"/>
  <c r="AJ139" i="1"/>
  <c r="AI139" i="1"/>
  <c r="AH139" i="1"/>
  <c r="AG139" i="1"/>
  <c r="AF139" i="1"/>
  <c r="AE139" i="1"/>
  <c r="AD139" i="1"/>
  <c r="AC139" i="1"/>
  <c r="AB139" i="1"/>
  <c r="AM138" i="1"/>
  <c r="AL138" i="1"/>
  <c r="AK138" i="1"/>
  <c r="AJ138" i="1"/>
  <c r="AI138" i="1"/>
  <c r="AH138" i="1"/>
  <c r="AG138" i="1"/>
  <c r="AF138" i="1"/>
  <c r="AE138" i="1"/>
  <c r="AD138" i="1"/>
  <c r="AC138" i="1"/>
  <c r="AB138" i="1"/>
  <c r="AM137" i="1"/>
  <c r="AL137" i="1"/>
  <c r="AK137" i="1"/>
  <c r="AJ137" i="1"/>
  <c r="AI137" i="1"/>
  <c r="AH137" i="1"/>
  <c r="AG137" i="1"/>
  <c r="AF137" i="1"/>
  <c r="AE137" i="1"/>
  <c r="AD137" i="1"/>
  <c r="AC137" i="1"/>
  <c r="AB137" i="1"/>
  <c r="AM136" i="1"/>
  <c r="AL136" i="1"/>
  <c r="AK136" i="1"/>
  <c r="AJ136" i="1"/>
  <c r="AI136" i="1"/>
  <c r="AH136" i="1"/>
  <c r="AG136" i="1"/>
  <c r="AF136" i="1"/>
  <c r="AE136" i="1"/>
  <c r="AD136" i="1"/>
  <c r="AC136" i="1"/>
  <c r="AB136" i="1"/>
  <c r="AM135" i="1"/>
  <c r="AL135" i="1"/>
  <c r="AK135" i="1"/>
  <c r="AJ135" i="1"/>
  <c r="AI135" i="1"/>
  <c r="AH135" i="1"/>
  <c r="AG135" i="1"/>
  <c r="AF135" i="1"/>
  <c r="AE135" i="1"/>
  <c r="AD135" i="1"/>
  <c r="AC135" i="1"/>
  <c r="AB135" i="1"/>
  <c r="AM134" i="1"/>
  <c r="AL134" i="1"/>
  <c r="AK134" i="1"/>
  <c r="AJ134" i="1"/>
  <c r="AI134" i="1"/>
  <c r="AH134" i="1"/>
  <c r="AG134" i="1"/>
  <c r="AF134" i="1"/>
  <c r="AE134" i="1"/>
  <c r="AD134" i="1"/>
  <c r="AC134" i="1"/>
  <c r="AB134" i="1"/>
  <c r="AM133" i="1"/>
  <c r="AL133" i="1"/>
  <c r="AK133" i="1"/>
  <c r="AJ133" i="1"/>
  <c r="AI133" i="1"/>
  <c r="AH133" i="1"/>
  <c r="AG133" i="1"/>
  <c r="AF133" i="1"/>
  <c r="AE133" i="1"/>
  <c r="AD133" i="1"/>
  <c r="AC133" i="1"/>
  <c r="AB133" i="1"/>
  <c r="AM132" i="1"/>
  <c r="AL132" i="1"/>
  <c r="AK132" i="1"/>
  <c r="AJ132" i="1"/>
  <c r="AI132" i="1"/>
  <c r="AH132" i="1"/>
  <c r="AG132" i="1"/>
  <c r="AF132" i="1"/>
  <c r="AE132" i="1"/>
  <c r="AD132" i="1"/>
  <c r="AC132" i="1"/>
  <c r="AB132" i="1"/>
  <c r="AM131" i="1"/>
  <c r="AL131" i="1"/>
  <c r="AK131" i="1"/>
  <c r="AJ131" i="1"/>
  <c r="AI131" i="1"/>
  <c r="AH131" i="1"/>
  <c r="AG131" i="1"/>
  <c r="AF131" i="1"/>
  <c r="AE131" i="1"/>
  <c r="AD131" i="1"/>
  <c r="AC131" i="1"/>
  <c r="AB131" i="1"/>
  <c r="AA156" i="1"/>
  <c r="Z156" i="1"/>
  <c r="Y156" i="1"/>
  <c r="X156" i="1"/>
  <c r="W156" i="1"/>
  <c r="V156" i="1"/>
  <c r="U156" i="1"/>
  <c r="T156" i="1"/>
  <c r="S156" i="1"/>
  <c r="R156" i="1"/>
  <c r="Q156" i="1"/>
  <c r="P156" i="1"/>
  <c r="AA155" i="1"/>
  <c r="Z155" i="1"/>
  <c r="Y155" i="1"/>
  <c r="X155" i="1"/>
  <c r="W155" i="1"/>
  <c r="V155" i="1"/>
  <c r="U155" i="1"/>
  <c r="T155" i="1"/>
  <c r="S155" i="1"/>
  <c r="R155" i="1"/>
  <c r="Q155" i="1"/>
  <c r="P155" i="1"/>
  <c r="AA154" i="1"/>
  <c r="Z154" i="1"/>
  <c r="Y154" i="1"/>
  <c r="X154" i="1"/>
  <c r="W154" i="1"/>
  <c r="V154" i="1"/>
  <c r="U154" i="1"/>
  <c r="T154" i="1"/>
  <c r="S154" i="1"/>
  <c r="R154" i="1"/>
  <c r="Q154" i="1"/>
  <c r="P154" i="1"/>
  <c r="AA153" i="1"/>
  <c r="Z153" i="1"/>
  <c r="Y153" i="1"/>
  <c r="X153" i="1"/>
  <c r="W153" i="1"/>
  <c r="V153" i="1"/>
  <c r="U153" i="1"/>
  <c r="T153" i="1"/>
  <c r="S153" i="1"/>
  <c r="R153" i="1"/>
  <c r="Q153" i="1"/>
  <c r="P153" i="1"/>
  <c r="AA152" i="1"/>
  <c r="Z152" i="1"/>
  <c r="Y152" i="1"/>
  <c r="X152" i="1"/>
  <c r="W152" i="1"/>
  <c r="V152" i="1"/>
  <c r="U152" i="1"/>
  <c r="T152" i="1"/>
  <c r="S152" i="1"/>
  <c r="R152" i="1"/>
  <c r="Q152" i="1"/>
  <c r="P152" i="1"/>
  <c r="AA151" i="1"/>
  <c r="Z151" i="1"/>
  <c r="Y151" i="1"/>
  <c r="X151" i="1"/>
  <c r="W151" i="1"/>
  <c r="V151" i="1"/>
  <c r="U151" i="1"/>
  <c r="T151" i="1"/>
  <c r="S151" i="1"/>
  <c r="R151" i="1"/>
  <c r="Q151" i="1"/>
  <c r="P151" i="1"/>
  <c r="AA150" i="1"/>
  <c r="Z150" i="1"/>
  <c r="Y150" i="1"/>
  <c r="X150" i="1"/>
  <c r="W150" i="1"/>
  <c r="V150" i="1"/>
  <c r="U150" i="1"/>
  <c r="T150" i="1"/>
  <c r="S150" i="1"/>
  <c r="R150" i="1"/>
  <c r="Q150" i="1"/>
  <c r="P150" i="1"/>
  <c r="AA149" i="1"/>
  <c r="Z149" i="1"/>
  <c r="Y149" i="1"/>
  <c r="X149" i="1"/>
  <c r="W149" i="1"/>
  <c r="V149" i="1"/>
  <c r="U149" i="1"/>
  <c r="T149" i="1"/>
  <c r="S149" i="1"/>
  <c r="R149" i="1"/>
  <c r="Q149" i="1"/>
  <c r="P149" i="1"/>
  <c r="AA148" i="1"/>
  <c r="Z148" i="1"/>
  <c r="Y148" i="1"/>
  <c r="X148" i="1"/>
  <c r="W148" i="1"/>
  <c r="V148" i="1"/>
  <c r="U148" i="1"/>
  <c r="T148" i="1"/>
  <c r="S148" i="1"/>
  <c r="R148" i="1"/>
  <c r="Q148" i="1"/>
  <c r="P148" i="1"/>
  <c r="AA147" i="1"/>
  <c r="Z147" i="1"/>
  <c r="Y147" i="1"/>
  <c r="X147" i="1"/>
  <c r="W147" i="1"/>
  <c r="V147" i="1"/>
  <c r="U147" i="1"/>
  <c r="T147" i="1"/>
  <c r="S147" i="1"/>
  <c r="R147" i="1"/>
  <c r="Q147" i="1"/>
  <c r="P147" i="1"/>
  <c r="AA146" i="1"/>
  <c r="Z146" i="1"/>
  <c r="Y146" i="1"/>
  <c r="X146" i="1"/>
  <c r="W146" i="1"/>
  <c r="V146" i="1"/>
  <c r="U146" i="1"/>
  <c r="T146" i="1"/>
  <c r="S146" i="1"/>
  <c r="R146" i="1"/>
  <c r="Q146" i="1"/>
  <c r="P146" i="1"/>
  <c r="AA145" i="1"/>
  <c r="Z145" i="1"/>
  <c r="Y145" i="1"/>
  <c r="X145" i="1"/>
  <c r="W145" i="1"/>
  <c r="V145" i="1"/>
  <c r="U145" i="1"/>
  <c r="T145" i="1"/>
  <c r="S145" i="1"/>
  <c r="R145" i="1"/>
  <c r="Q145" i="1"/>
  <c r="P145" i="1"/>
  <c r="AA144" i="1"/>
  <c r="Z144" i="1"/>
  <c r="Y144" i="1"/>
  <c r="X144" i="1"/>
  <c r="W144" i="1"/>
  <c r="V144" i="1"/>
  <c r="U144" i="1"/>
  <c r="T144" i="1"/>
  <c r="S144" i="1"/>
  <c r="R144" i="1"/>
  <c r="Q144" i="1"/>
  <c r="P144" i="1"/>
  <c r="AA143" i="1"/>
  <c r="Z143" i="1"/>
  <c r="Y143" i="1"/>
  <c r="X143" i="1"/>
  <c r="W143" i="1"/>
  <c r="V143" i="1"/>
  <c r="U143" i="1"/>
  <c r="T143" i="1"/>
  <c r="S143" i="1"/>
  <c r="R143" i="1"/>
  <c r="Q143" i="1"/>
  <c r="P143" i="1"/>
  <c r="AA142" i="1"/>
  <c r="Z142" i="1"/>
  <c r="Y142" i="1"/>
  <c r="X142" i="1"/>
  <c r="W142" i="1"/>
  <c r="V142" i="1"/>
  <c r="U142" i="1"/>
  <c r="T142" i="1"/>
  <c r="S142" i="1"/>
  <c r="R142" i="1"/>
  <c r="Q142" i="1"/>
  <c r="P142" i="1"/>
  <c r="AA141" i="1"/>
  <c r="Z141" i="1"/>
  <c r="Y141" i="1"/>
  <c r="X141" i="1"/>
  <c r="W141" i="1"/>
  <c r="V141" i="1"/>
  <c r="U141" i="1"/>
  <c r="T141" i="1"/>
  <c r="S141" i="1"/>
  <c r="R141" i="1"/>
  <c r="Q141" i="1"/>
  <c r="P141" i="1"/>
  <c r="AA140" i="1"/>
  <c r="Z140" i="1"/>
  <c r="Y140" i="1"/>
  <c r="X140" i="1"/>
  <c r="W140" i="1"/>
  <c r="V140" i="1"/>
  <c r="U140" i="1"/>
  <c r="T140" i="1"/>
  <c r="S140" i="1"/>
  <c r="R140" i="1"/>
  <c r="Q140" i="1"/>
  <c r="P140" i="1"/>
  <c r="AA139" i="1"/>
  <c r="Z139" i="1"/>
  <c r="Y139" i="1"/>
  <c r="X139" i="1"/>
  <c r="W139" i="1"/>
  <c r="V139" i="1"/>
  <c r="U139" i="1"/>
  <c r="T139" i="1"/>
  <c r="S139" i="1"/>
  <c r="R139" i="1"/>
  <c r="Q139" i="1"/>
  <c r="P139" i="1"/>
  <c r="AA138" i="1"/>
  <c r="Z138" i="1"/>
  <c r="Y138" i="1"/>
  <c r="X138" i="1"/>
  <c r="W138" i="1"/>
  <c r="V138" i="1"/>
  <c r="U138" i="1"/>
  <c r="T138" i="1"/>
  <c r="S138" i="1"/>
  <c r="R138" i="1"/>
  <c r="Q138" i="1"/>
  <c r="P138" i="1"/>
  <c r="AA137" i="1"/>
  <c r="Z137" i="1"/>
  <c r="Y137" i="1"/>
  <c r="X137" i="1"/>
  <c r="W137" i="1"/>
  <c r="V137" i="1"/>
  <c r="U137" i="1"/>
  <c r="T137" i="1"/>
  <c r="S137" i="1"/>
  <c r="R137" i="1"/>
  <c r="Q137" i="1"/>
  <c r="P137" i="1"/>
  <c r="AA136" i="1"/>
  <c r="Z136" i="1"/>
  <c r="Y136" i="1"/>
  <c r="X136" i="1"/>
  <c r="W136" i="1"/>
  <c r="V136" i="1"/>
  <c r="U136" i="1"/>
  <c r="T136" i="1"/>
  <c r="S136" i="1"/>
  <c r="R136" i="1"/>
  <c r="Q136" i="1"/>
  <c r="P136" i="1"/>
  <c r="AA135" i="1"/>
  <c r="Z135" i="1"/>
  <c r="Y135" i="1"/>
  <c r="X135" i="1"/>
  <c r="W135" i="1"/>
  <c r="V135" i="1"/>
  <c r="U135" i="1"/>
  <c r="T135" i="1"/>
  <c r="S135" i="1"/>
  <c r="R135" i="1"/>
  <c r="Q135" i="1"/>
  <c r="P135" i="1"/>
  <c r="AA134" i="1"/>
  <c r="Z134" i="1"/>
  <c r="Y134" i="1"/>
  <c r="X134" i="1"/>
  <c r="W134" i="1"/>
  <c r="V134" i="1"/>
  <c r="U134" i="1"/>
  <c r="T134" i="1"/>
  <c r="S134" i="1"/>
  <c r="R134" i="1"/>
  <c r="Q134" i="1"/>
  <c r="P134" i="1"/>
  <c r="AA133" i="1"/>
  <c r="Z133" i="1"/>
  <c r="Y133" i="1"/>
  <c r="X133" i="1"/>
  <c r="W133" i="1"/>
  <c r="V133" i="1"/>
  <c r="U133" i="1"/>
  <c r="T133" i="1"/>
  <c r="S133" i="1"/>
  <c r="R133" i="1"/>
  <c r="Q133" i="1"/>
  <c r="P133" i="1"/>
  <c r="AA132" i="1"/>
  <c r="Z132" i="1"/>
  <c r="Y132" i="1"/>
  <c r="X132" i="1"/>
  <c r="W132" i="1"/>
  <c r="V132" i="1"/>
  <c r="U132" i="1"/>
  <c r="T132" i="1"/>
  <c r="S132" i="1"/>
  <c r="R132" i="1"/>
  <c r="Q132" i="1"/>
  <c r="P132" i="1"/>
  <c r="AA131" i="1"/>
  <c r="Z131" i="1"/>
  <c r="Y131" i="1"/>
  <c r="X131" i="1"/>
  <c r="W131" i="1"/>
  <c r="V131" i="1"/>
  <c r="U131" i="1"/>
  <c r="T131" i="1"/>
  <c r="S131" i="1"/>
  <c r="R131" i="1"/>
  <c r="Q131" i="1"/>
  <c r="P131"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D177" i="1"/>
  <c r="D178" i="1"/>
  <c r="D179" i="1"/>
  <c r="D180" i="1"/>
  <c r="D181" i="1"/>
  <c r="D132" i="1"/>
  <c r="E132" i="1"/>
  <c r="F132" i="1"/>
  <c r="G132" i="1"/>
  <c r="H132" i="1"/>
  <c r="I132" i="1"/>
  <c r="J132" i="1"/>
  <c r="K132" i="1"/>
  <c r="L132" i="1"/>
  <c r="M132" i="1"/>
  <c r="N132" i="1"/>
  <c r="O132" i="1"/>
  <c r="D133" i="1"/>
  <c r="E133" i="1"/>
  <c r="F133" i="1"/>
  <c r="G133" i="1"/>
  <c r="H133" i="1"/>
  <c r="I133" i="1"/>
  <c r="J133" i="1"/>
  <c r="K133" i="1"/>
  <c r="L133" i="1"/>
  <c r="M133" i="1"/>
  <c r="N133" i="1"/>
  <c r="O133" i="1"/>
  <c r="D134" i="1"/>
  <c r="E134" i="1"/>
  <c r="F134" i="1"/>
  <c r="G134" i="1"/>
  <c r="H134" i="1"/>
  <c r="I134" i="1"/>
  <c r="J134" i="1"/>
  <c r="K134" i="1"/>
  <c r="L134" i="1"/>
  <c r="M134" i="1"/>
  <c r="N134" i="1"/>
  <c r="O134" i="1"/>
  <c r="D135" i="1"/>
  <c r="E135" i="1"/>
  <c r="F135" i="1"/>
  <c r="G135" i="1"/>
  <c r="H135" i="1"/>
  <c r="I135" i="1"/>
  <c r="J135" i="1"/>
  <c r="K135" i="1"/>
  <c r="L135" i="1"/>
  <c r="M135" i="1"/>
  <c r="N135" i="1"/>
  <c r="O135" i="1"/>
  <c r="D136" i="1"/>
  <c r="E136" i="1"/>
  <c r="F136" i="1"/>
  <c r="G136" i="1"/>
  <c r="H136" i="1"/>
  <c r="I136" i="1"/>
  <c r="J136" i="1"/>
  <c r="K136" i="1"/>
  <c r="L136" i="1"/>
  <c r="M136" i="1"/>
  <c r="N136" i="1"/>
  <c r="O136" i="1"/>
  <c r="D137" i="1"/>
  <c r="E137" i="1"/>
  <c r="F137" i="1"/>
  <c r="G137" i="1"/>
  <c r="H137" i="1"/>
  <c r="I137" i="1"/>
  <c r="J137" i="1"/>
  <c r="K137" i="1"/>
  <c r="L137" i="1"/>
  <c r="M137" i="1"/>
  <c r="N137" i="1"/>
  <c r="O137" i="1"/>
  <c r="D138" i="1"/>
  <c r="E138" i="1"/>
  <c r="F138" i="1"/>
  <c r="G138" i="1"/>
  <c r="H138" i="1"/>
  <c r="I138" i="1"/>
  <c r="J138" i="1"/>
  <c r="K138" i="1"/>
  <c r="L138" i="1"/>
  <c r="M138" i="1"/>
  <c r="N138" i="1"/>
  <c r="O138" i="1"/>
  <c r="D139" i="1"/>
  <c r="E139" i="1"/>
  <c r="F139" i="1"/>
  <c r="G139" i="1"/>
  <c r="H139" i="1"/>
  <c r="I139" i="1"/>
  <c r="J139" i="1"/>
  <c r="K139" i="1"/>
  <c r="L139" i="1"/>
  <c r="M139" i="1"/>
  <c r="N139" i="1"/>
  <c r="O139" i="1"/>
  <c r="D140" i="1"/>
  <c r="E140" i="1"/>
  <c r="F140" i="1"/>
  <c r="G140" i="1"/>
  <c r="H140" i="1"/>
  <c r="I140" i="1"/>
  <c r="J140" i="1"/>
  <c r="K140" i="1"/>
  <c r="L140" i="1"/>
  <c r="M140" i="1"/>
  <c r="N140" i="1"/>
  <c r="O140" i="1"/>
  <c r="D141" i="1"/>
  <c r="E141" i="1"/>
  <c r="F141" i="1"/>
  <c r="G141" i="1"/>
  <c r="H141" i="1"/>
  <c r="I141" i="1"/>
  <c r="J141" i="1"/>
  <c r="K141" i="1"/>
  <c r="L141" i="1"/>
  <c r="M141" i="1"/>
  <c r="N141" i="1"/>
  <c r="O141" i="1"/>
  <c r="D142" i="1"/>
  <c r="E142" i="1"/>
  <c r="F142" i="1"/>
  <c r="G142" i="1"/>
  <c r="H142" i="1"/>
  <c r="I142" i="1"/>
  <c r="J142" i="1"/>
  <c r="K142" i="1"/>
  <c r="L142" i="1"/>
  <c r="M142" i="1"/>
  <c r="N142" i="1"/>
  <c r="O142" i="1"/>
  <c r="D143" i="1"/>
  <c r="E143" i="1"/>
  <c r="F143" i="1"/>
  <c r="G143" i="1"/>
  <c r="H143" i="1"/>
  <c r="I143" i="1"/>
  <c r="J143" i="1"/>
  <c r="K143" i="1"/>
  <c r="L143" i="1"/>
  <c r="M143" i="1"/>
  <c r="N143" i="1"/>
  <c r="O143" i="1"/>
  <c r="D144" i="1"/>
  <c r="E144" i="1"/>
  <c r="F144" i="1"/>
  <c r="G144" i="1"/>
  <c r="H144" i="1"/>
  <c r="I144" i="1"/>
  <c r="J144" i="1"/>
  <c r="K144" i="1"/>
  <c r="L144" i="1"/>
  <c r="M144" i="1"/>
  <c r="N144" i="1"/>
  <c r="O144" i="1"/>
  <c r="D145" i="1"/>
  <c r="E145" i="1"/>
  <c r="F145" i="1"/>
  <c r="G145" i="1"/>
  <c r="H145" i="1"/>
  <c r="I145" i="1"/>
  <c r="J145" i="1"/>
  <c r="K145" i="1"/>
  <c r="L145" i="1"/>
  <c r="M145" i="1"/>
  <c r="N145" i="1"/>
  <c r="O145" i="1"/>
  <c r="D146" i="1"/>
  <c r="E146" i="1"/>
  <c r="F146" i="1"/>
  <c r="G146" i="1"/>
  <c r="H146" i="1"/>
  <c r="I146" i="1"/>
  <c r="J146" i="1"/>
  <c r="K146" i="1"/>
  <c r="L146" i="1"/>
  <c r="M146" i="1"/>
  <c r="N146" i="1"/>
  <c r="O146" i="1"/>
  <c r="D147" i="1"/>
  <c r="E147" i="1"/>
  <c r="F147" i="1"/>
  <c r="G147" i="1"/>
  <c r="H147" i="1"/>
  <c r="I147" i="1"/>
  <c r="J147" i="1"/>
  <c r="K147" i="1"/>
  <c r="L147" i="1"/>
  <c r="M147" i="1"/>
  <c r="N147" i="1"/>
  <c r="O147" i="1"/>
  <c r="D148" i="1"/>
  <c r="E148" i="1"/>
  <c r="F148" i="1"/>
  <c r="G148" i="1"/>
  <c r="H148" i="1"/>
  <c r="I148" i="1"/>
  <c r="J148" i="1"/>
  <c r="K148" i="1"/>
  <c r="L148" i="1"/>
  <c r="M148" i="1"/>
  <c r="N148" i="1"/>
  <c r="O148" i="1"/>
  <c r="D149" i="1"/>
  <c r="E149" i="1"/>
  <c r="F149" i="1"/>
  <c r="G149" i="1"/>
  <c r="H149" i="1"/>
  <c r="I149" i="1"/>
  <c r="J149" i="1"/>
  <c r="K149" i="1"/>
  <c r="L149" i="1"/>
  <c r="M149" i="1"/>
  <c r="N149" i="1"/>
  <c r="O149" i="1"/>
  <c r="D150" i="1"/>
  <c r="E150" i="1"/>
  <c r="F150" i="1"/>
  <c r="G150" i="1"/>
  <c r="H150" i="1"/>
  <c r="I150" i="1"/>
  <c r="J150" i="1"/>
  <c r="K150" i="1"/>
  <c r="L150" i="1"/>
  <c r="M150" i="1"/>
  <c r="N150" i="1"/>
  <c r="O150" i="1"/>
  <c r="D151" i="1"/>
  <c r="E151" i="1"/>
  <c r="F151" i="1"/>
  <c r="G151" i="1"/>
  <c r="H151" i="1"/>
  <c r="I151" i="1"/>
  <c r="J151" i="1"/>
  <c r="K151" i="1"/>
  <c r="L151" i="1"/>
  <c r="M151" i="1"/>
  <c r="N151" i="1"/>
  <c r="O151" i="1"/>
  <c r="D152" i="1"/>
  <c r="E152" i="1"/>
  <c r="F152" i="1"/>
  <c r="G152" i="1"/>
  <c r="H152" i="1"/>
  <c r="I152" i="1"/>
  <c r="J152" i="1"/>
  <c r="K152" i="1"/>
  <c r="L152" i="1"/>
  <c r="M152" i="1"/>
  <c r="N152" i="1"/>
  <c r="O152" i="1"/>
  <c r="D153" i="1"/>
  <c r="E153" i="1"/>
  <c r="F153" i="1"/>
  <c r="G153" i="1"/>
  <c r="H153" i="1"/>
  <c r="I153" i="1"/>
  <c r="J153" i="1"/>
  <c r="K153" i="1"/>
  <c r="L153" i="1"/>
  <c r="M153" i="1"/>
  <c r="N153" i="1"/>
  <c r="O153" i="1"/>
  <c r="D154" i="1"/>
  <c r="E154" i="1"/>
  <c r="F154" i="1"/>
  <c r="G154" i="1"/>
  <c r="H154" i="1"/>
  <c r="I154" i="1"/>
  <c r="J154" i="1"/>
  <c r="K154" i="1"/>
  <c r="L154" i="1"/>
  <c r="M154" i="1"/>
  <c r="N154" i="1"/>
  <c r="O154" i="1"/>
  <c r="D155" i="1"/>
  <c r="E155" i="1"/>
  <c r="F155" i="1"/>
  <c r="G155" i="1"/>
  <c r="H155" i="1"/>
  <c r="I155" i="1"/>
  <c r="J155" i="1"/>
  <c r="K155" i="1"/>
  <c r="L155" i="1"/>
  <c r="M155" i="1"/>
  <c r="N155" i="1"/>
  <c r="O155" i="1"/>
  <c r="D156" i="1"/>
  <c r="E156" i="1"/>
  <c r="F156" i="1"/>
  <c r="G156" i="1"/>
  <c r="H156" i="1"/>
  <c r="I156" i="1"/>
  <c r="J156" i="1"/>
  <c r="K156" i="1"/>
  <c r="L156" i="1"/>
  <c r="M156" i="1"/>
  <c r="N156" i="1"/>
  <c r="O156" i="1"/>
  <c r="E131" i="1"/>
  <c r="F131" i="1"/>
  <c r="G131" i="1"/>
  <c r="H131" i="1"/>
  <c r="I131" i="1"/>
  <c r="J131" i="1"/>
  <c r="K131" i="1"/>
  <c r="L131" i="1"/>
  <c r="M131" i="1"/>
  <c r="N131" i="1"/>
  <c r="O131" i="1"/>
  <c r="D131" i="1"/>
  <c r="D102" i="1"/>
  <c r="E102" i="1"/>
  <c r="F102" i="1"/>
  <c r="G102" i="1"/>
  <c r="H102" i="1"/>
  <c r="I102" i="1"/>
  <c r="J102" i="1"/>
  <c r="K102" i="1"/>
  <c r="L102" i="1"/>
  <c r="M102" i="1"/>
  <c r="N102" i="1"/>
  <c r="O102" i="1"/>
  <c r="D103" i="1"/>
  <c r="E103" i="1"/>
  <c r="F103" i="1"/>
  <c r="G103" i="1"/>
  <c r="H103" i="1"/>
  <c r="I103" i="1"/>
  <c r="J103" i="1"/>
  <c r="K103" i="1"/>
  <c r="L103" i="1"/>
  <c r="M103" i="1"/>
  <c r="N103" i="1"/>
  <c r="O103" i="1"/>
  <c r="D104" i="1"/>
  <c r="E104" i="1"/>
  <c r="F104" i="1"/>
  <c r="G104" i="1"/>
  <c r="H104" i="1"/>
  <c r="I104" i="1"/>
  <c r="J104" i="1"/>
  <c r="K104" i="1"/>
  <c r="L104" i="1"/>
  <c r="M104" i="1"/>
  <c r="N104" i="1"/>
  <c r="O104" i="1"/>
  <c r="D105" i="1"/>
  <c r="E105" i="1"/>
  <c r="F105" i="1"/>
  <c r="G105" i="1"/>
  <c r="H105" i="1"/>
  <c r="I105" i="1"/>
  <c r="J105" i="1"/>
  <c r="K105" i="1"/>
  <c r="L105" i="1"/>
  <c r="M105" i="1"/>
  <c r="N105" i="1"/>
  <c r="O105" i="1"/>
  <c r="D106" i="1"/>
  <c r="E106" i="1"/>
  <c r="F106" i="1"/>
  <c r="G106" i="1"/>
  <c r="H106" i="1"/>
  <c r="I106" i="1"/>
  <c r="J106" i="1"/>
  <c r="K106" i="1"/>
  <c r="L106" i="1"/>
  <c r="M106" i="1"/>
  <c r="N106" i="1"/>
  <c r="O106" i="1"/>
  <c r="D107" i="1"/>
  <c r="E107" i="1"/>
  <c r="F107" i="1"/>
  <c r="G107" i="1"/>
  <c r="H107" i="1"/>
  <c r="I107" i="1"/>
  <c r="J107" i="1"/>
  <c r="K107" i="1"/>
  <c r="L107" i="1"/>
  <c r="M107" i="1"/>
  <c r="N107" i="1"/>
  <c r="O107" i="1"/>
  <c r="D108" i="1"/>
  <c r="E108" i="1"/>
  <c r="F108" i="1"/>
  <c r="G108" i="1"/>
  <c r="H108" i="1"/>
  <c r="I108" i="1"/>
  <c r="J108" i="1"/>
  <c r="K108" i="1"/>
  <c r="L108" i="1"/>
  <c r="M108" i="1"/>
  <c r="N108" i="1"/>
  <c r="O108" i="1"/>
  <c r="D109" i="1"/>
  <c r="E109" i="1"/>
  <c r="F109" i="1"/>
  <c r="G109" i="1"/>
  <c r="H109" i="1"/>
  <c r="I109" i="1"/>
  <c r="J109" i="1"/>
  <c r="K109" i="1"/>
  <c r="L109" i="1"/>
  <c r="M109" i="1"/>
  <c r="N109" i="1"/>
  <c r="O109" i="1"/>
  <c r="D110" i="1"/>
  <c r="E110" i="1"/>
  <c r="F110" i="1"/>
  <c r="G110" i="1"/>
  <c r="H110" i="1"/>
  <c r="I110" i="1"/>
  <c r="J110" i="1"/>
  <c r="K110" i="1"/>
  <c r="L110" i="1"/>
  <c r="M110" i="1"/>
  <c r="N110" i="1"/>
  <c r="O110" i="1"/>
  <c r="D111" i="1"/>
  <c r="E111" i="1"/>
  <c r="F111" i="1"/>
  <c r="G111" i="1"/>
  <c r="H111" i="1"/>
  <c r="I111" i="1"/>
  <c r="J111" i="1"/>
  <c r="K111" i="1"/>
  <c r="L111" i="1"/>
  <c r="M111" i="1"/>
  <c r="N111" i="1"/>
  <c r="O111" i="1"/>
  <c r="D112" i="1"/>
  <c r="E112" i="1"/>
  <c r="F112" i="1"/>
  <c r="G112" i="1"/>
  <c r="H112" i="1"/>
  <c r="I112" i="1"/>
  <c r="J112" i="1"/>
  <c r="K112" i="1"/>
  <c r="L112" i="1"/>
  <c r="M112" i="1"/>
  <c r="N112" i="1"/>
  <c r="O112" i="1"/>
  <c r="D113" i="1"/>
  <c r="E113" i="1"/>
  <c r="F113" i="1"/>
  <c r="G113" i="1"/>
  <c r="H113" i="1"/>
  <c r="I113" i="1"/>
  <c r="J113" i="1"/>
  <c r="K113" i="1"/>
  <c r="L113" i="1"/>
  <c r="M113" i="1"/>
  <c r="N113" i="1"/>
  <c r="O113" i="1"/>
  <c r="D114" i="1"/>
  <c r="E114" i="1"/>
  <c r="F114" i="1"/>
  <c r="G114" i="1"/>
  <c r="H114" i="1"/>
  <c r="I114" i="1"/>
  <c r="J114" i="1"/>
  <c r="K114" i="1"/>
  <c r="L114" i="1"/>
  <c r="M114" i="1"/>
  <c r="N114" i="1"/>
  <c r="O114" i="1"/>
  <c r="D115" i="1"/>
  <c r="E115" i="1"/>
  <c r="F115" i="1"/>
  <c r="G115" i="1"/>
  <c r="H115" i="1"/>
  <c r="I115" i="1"/>
  <c r="D116" i="1"/>
  <c r="E116" i="1"/>
  <c r="F116" i="1"/>
  <c r="G116" i="1"/>
  <c r="H116" i="1"/>
  <c r="I116" i="1"/>
  <c r="J116" i="1"/>
  <c r="K116" i="1"/>
  <c r="L116" i="1"/>
  <c r="M116" i="1"/>
  <c r="N116" i="1"/>
  <c r="O116" i="1"/>
  <c r="D117" i="1"/>
  <c r="E117" i="1"/>
  <c r="F117" i="1"/>
  <c r="G117" i="1"/>
  <c r="H117" i="1"/>
  <c r="I117" i="1"/>
  <c r="J117" i="1"/>
  <c r="K117" i="1"/>
  <c r="L117" i="1"/>
  <c r="M117" i="1"/>
  <c r="N117" i="1"/>
  <c r="O117" i="1"/>
  <c r="D118" i="1"/>
  <c r="E118" i="1"/>
  <c r="F118" i="1"/>
  <c r="G118" i="1"/>
  <c r="H118" i="1"/>
  <c r="I118" i="1"/>
  <c r="J118" i="1"/>
  <c r="K118" i="1"/>
  <c r="L118" i="1"/>
  <c r="M118" i="1"/>
  <c r="N118" i="1"/>
  <c r="O118" i="1"/>
  <c r="D119" i="1"/>
  <c r="E119" i="1"/>
  <c r="F119" i="1"/>
  <c r="G119" i="1"/>
  <c r="H119" i="1"/>
  <c r="I119" i="1"/>
  <c r="J119" i="1"/>
  <c r="K119" i="1"/>
  <c r="L119" i="1"/>
  <c r="M119" i="1"/>
  <c r="N119" i="1"/>
  <c r="O119" i="1"/>
  <c r="D120" i="1"/>
  <c r="E120" i="1"/>
  <c r="F120" i="1"/>
  <c r="G120" i="1"/>
  <c r="H120" i="1"/>
  <c r="I120" i="1"/>
  <c r="J120" i="1"/>
  <c r="K120" i="1"/>
  <c r="L120" i="1"/>
  <c r="M120" i="1"/>
  <c r="N120" i="1"/>
  <c r="O120" i="1"/>
  <c r="D121" i="1"/>
  <c r="E121" i="1"/>
  <c r="F121" i="1"/>
  <c r="G121" i="1"/>
  <c r="H121" i="1"/>
  <c r="I121" i="1"/>
  <c r="J121" i="1"/>
  <c r="K121" i="1"/>
  <c r="L121" i="1"/>
  <c r="M121" i="1"/>
  <c r="N121" i="1"/>
  <c r="O121" i="1"/>
  <c r="D122" i="1"/>
  <c r="E122" i="1"/>
  <c r="F122" i="1"/>
  <c r="G122" i="1"/>
  <c r="H122" i="1"/>
  <c r="I122" i="1"/>
  <c r="J122" i="1"/>
  <c r="K122" i="1"/>
  <c r="L122" i="1"/>
  <c r="M122" i="1"/>
  <c r="N122" i="1"/>
  <c r="O122" i="1"/>
  <c r="D123" i="1"/>
  <c r="E123" i="1"/>
  <c r="F123" i="1"/>
  <c r="G123" i="1"/>
  <c r="H123" i="1"/>
  <c r="I123" i="1"/>
  <c r="J123" i="1"/>
  <c r="K123" i="1"/>
  <c r="L123" i="1"/>
  <c r="M123" i="1"/>
  <c r="N123" i="1"/>
  <c r="O123" i="1"/>
  <c r="D124" i="1"/>
  <c r="E124" i="1"/>
  <c r="F124" i="1"/>
  <c r="G124" i="1"/>
  <c r="H124" i="1"/>
  <c r="I124" i="1"/>
  <c r="J124" i="1"/>
  <c r="K124" i="1"/>
  <c r="L124" i="1"/>
  <c r="M124" i="1"/>
  <c r="N124" i="1"/>
  <c r="O124" i="1"/>
  <c r="D125" i="1"/>
  <c r="E125" i="1"/>
  <c r="F125" i="1"/>
  <c r="G125" i="1"/>
  <c r="H125" i="1"/>
  <c r="I125" i="1"/>
  <c r="J125" i="1"/>
  <c r="K125" i="1"/>
  <c r="L125" i="1"/>
  <c r="M125" i="1"/>
  <c r="N125" i="1"/>
  <c r="O125" i="1"/>
  <c r="D126" i="1"/>
  <c r="E126" i="1"/>
  <c r="F126" i="1"/>
  <c r="G126" i="1"/>
  <c r="H126" i="1"/>
  <c r="I126" i="1"/>
  <c r="J126" i="1"/>
  <c r="K126" i="1"/>
  <c r="L126" i="1"/>
  <c r="M126" i="1"/>
  <c r="N126" i="1"/>
  <c r="O126" i="1"/>
  <c r="E101" i="1"/>
  <c r="F101" i="1"/>
  <c r="G101" i="1"/>
  <c r="H101" i="1"/>
  <c r="I101" i="1"/>
  <c r="J101" i="1"/>
  <c r="K101" i="1"/>
  <c r="L101" i="1"/>
  <c r="M101" i="1"/>
  <c r="N101" i="1"/>
  <c r="O101" i="1"/>
  <c r="D101" i="1"/>
  <c r="B101" i="1" l="1" a="1"/>
  <c r="B71" i="1" a="1"/>
  <c r="B71" i="1" s="1"/>
  <c r="B41" i="1" a="1"/>
  <c r="B41" i="1" s="1"/>
  <c r="AB6" i="1"/>
  <c r="AA7" i="1"/>
  <c r="AB7" i="1"/>
  <c r="AA8" i="1"/>
  <c r="AB8" i="1"/>
  <c r="AA9" i="1"/>
  <c r="AB9" i="1"/>
  <c r="AA10" i="1"/>
  <c r="AB10" i="1"/>
  <c r="AA11" i="1"/>
  <c r="AB11" i="1"/>
  <c r="AA12" i="1"/>
  <c r="AB12" i="1"/>
  <c r="AA13" i="1"/>
  <c r="AB13" i="1"/>
  <c r="AA14" i="1"/>
  <c r="AB14" i="1"/>
  <c r="AA15" i="1"/>
  <c r="AB15" i="1"/>
  <c r="AA16" i="1"/>
  <c r="AB16" i="1"/>
  <c r="AA17" i="1"/>
  <c r="AB17" i="1"/>
  <c r="AA18" i="1"/>
  <c r="AB18" i="1"/>
  <c r="AA19" i="1"/>
  <c r="AB19" i="1"/>
  <c r="AA20" i="1"/>
  <c r="AB20" i="1"/>
  <c r="AA21" i="1"/>
  <c r="AB21" i="1"/>
  <c r="AA22" i="1"/>
  <c r="AB22" i="1"/>
  <c r="AA23" i="1"/>
  <c r="AB23" i="1"/>
  <c r="AA24" i="1"/>
  <c r="AB24" i="1"/>
  <c r="AA25" i="1"/>
  <c r="AB25" i="1"/>
  <c r="AA26" i="1"/>
  <c r="AB26" i="1"/>
  <c r="AA27" i="1"/>
  <c r="AB27" i="1"/>
  <c r="AA28" i="1"/>
  <c r="AB28" i="1"/>
  <c r="AA29" i="1"/>
  <c r="AB29" i="1"/>
  <c r="AA30" i="1"/>
  <c r="AB30" i="1"/>
  <c r="AB5" i="1"/>
  <c r="Z6" i="1"/>
  <c r="Z7" i="1"/>
  <c r="Z8" i="1"/>
  <c r="Z9" i="1"/>
  <c r="Z10" i="1"/>
  <c r="Z11" i="1"/>
  <c r="Z12" i="1"/>
  <c r="Z13" i="1"/>
  <c r="Z14" i="1"/>
  <c r="Z15" i="1"/>
  <c r="Z16" i="1"/>
  <c r="Z17" i="1"/>
  <c r="Z18" i="1"/>
  <c r="Z19" i="1"/>
  <c r="Z20" i="1"/>
  <c r="Z21" i="1"/>
  <c r="Z22" i="1"/>
  <c r="Z23" i="1"/>
  <c r="Z24" i="1"/>
  <c r="Z25" i="1"/>
  <c r="Z26" i="1"/>
  <c r="Z27" i="1"/>
  <c r="Z28" i="1"/>
  <c r="Z29" i="1"/>
  <c r="Z30" i="1"/>
  <c r="Z5" i="1"/>
  <c r="C6" i="2"/>
  <c r="B6" i="2"/>
  <c r="E6" i="2"/>
  <c r="D6"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V28" i="1"/>
  <c r="V29" i="1"/>
  <c r="V30" i="1"/>
  <c r="J35" i="2"/>
  <c r="J36" i="2"/>
  <c r="J37" i="2"/>
  <c r="J38" i="2"/>
  <c r="J39" i="2"/>
  <c r="J40" i="2"/>
  <c r="J41" i="2"/>
  <c r="J42" i="2"/>
  <c r="J43" i="2"/>
  <c r="J44" i="2"/>
  <c r="J45" i="2"/>
  <c r="J46" i="2"/>
  <c r="J47" i="2"/>
  <c r="J48" i="2"/>
  <c r="J49" i="2"/>
  <c r="J50" i="2"/>
  <c r="J51" i="2"/>
  <c r="J52" i="2"/>
  <c r="J53" i="2"/>
  <c r="J54" i="2"/>
  <c r="J55" i="2"/>
  <c r="J56" i="2"/>
  <c r="J57" i="2"/>
  <c r="J58" i="2"/>
  <c r="B34" i="2"/>
  <c r="F34" i="2" s="1"/>
  <c r="B33" i="2"/>
  <c r="B32" i="2"/>
  <c r="B31" i="2"/>
  <c r="B30" i="2"/>
  <c r="B29" i="2"/>
  <c r="B28" i="2"/>
  <c r="B27" i="2"/>
  <c r="B26" i="2"/>
  <c r="B25" i="2"/>
  <c r="B24" i="2"/>
  <c r="B23" i="2"/>
  <c r="B36" i="2"/>
  <c r="B37" i="2"/>
  <c r="B38" i="2"/>
  <c r="B39" i="2"/>
  <c r="B40" i="2"/>
  <c r="B41" i="2"/>
  <c r="B42" i="2"/>
  <c r="B43" i="2"/>
  <c r="B44" i="2"/>
  <c r="B45" i="2"/>
  <c r="B46" i="2"/>
  <c r="F46" i="2" s="1"/>
  <c r="B47" i="2"/>
  <c r="B48" i="2"/>
  <c r="B49" i="2"/>
  <c r="B50" i="2"/>
  <c r="B51" i="2"/>
  <c r="B52" i="2"/>
  <c r="B53" i="2"/>
  <c r="B54" i="2"/>
  <c r="B55" i="2"/>
  <c r="B56" i="2"/>
  <c r="B57" i="2"/>
  <c r="B58" i="2"/>
  <c r="F58" i="2" s="1"/>
  <c r="B35" i="2"/>
  <c r="J24" i="2"/>
  <c r="J25" i="2"/>
  <c r="J26" i="2"/>
  <c r="J27" i="2"/>
  <c r="J28" i="2"/>
  <c r="J29" i="2"/>
  <c r="J30" i="2"/>
  <c r="J31" i="2"/>
  <c r="J32" i="2"/>
  <c r="J33" i="2"/>
  <c r="J34" i="2"/>
  <c r="J23" i="2"/>
  <c r="B38" i="1" l="1"/>
  <c r="C23" i="2"/>
  <c r="G4" i="2"/>
  <c r="F4" i="2" s="1"/>
  <c r="J186" i="1"/>
  <c r="R186" i="1"/>
  <c r="Z186" i="1"/>
  <c r="AH186" i="1"/>
  <c r="K186" i="1"/>
  <c r="S186" i="1"/>
  <c r="AA186" i="1"/>
  <c r="AI186" i="1"/>
  <c r="L186" i="1"/>
  <c r="T186" i="1"/>
  <c r="AB186" i="1"/>
  <c r="AJ186" i="1"/>
  <c r="E186" i="1"/>
  <c r="M186" i="1"/>
  <c r="U186" i="1"/>
  <c r="AC186" i="1"/>
  <c r="AK186" i="1"/>
  <c r="F186" i="1"/>
  <c r="N186" i="1"/>
  <c r="V186" i="1"/>
  <c r="AD186" i="1"/>
  <c r="AL186" i="1"/>
  <c r="G186" i="1"/>
  <c r="O186" i="1"/>
  <c r="W186" i="1"/>
  <c r="AE186" i="1"/>
  <c r="AM186" i="1"/>
  <c r="H186" i="1"/>
  <c r="P186" i="1"/>
  <c r="X186" i="1"/>
  <c r="AF186" i="1"/>
  <c r="D186" i="1"/>
  <c r="I186" i="1"/>
  <c r="Q186" i="1"/>
  <c r="Y186" i="1"/>
  <c r="AG186" i="1"/>
  <c r="H184" i="1"/>
  <c r="J184" i="1"/>
  <c r="E184" i="1"/>
  <c r="F184" i="1"/>
  <c r="P184" i="1"/>
  <c r="X184" i="1"/>
  <c r="AF184" i="1"/>
  <c r="G184" i="1"/>
  <c r="Q184" i="1"/>
  <c r="Y184" i="1"/>
  <c r="AG184" i="1"/>
  <c r="I184" i="1"/>
  <c r="R184" i="1"/>
  <c r="Z184" i="1"/>
  <c r="AH184" i="1"/>
  <c r="K184" i="1"/>
  <c r="S184" i="1"/>
  <c r="AA184" i="1"/>
  <c r="AI184" i="1"/>
  <c r="L184" i="1"/>
  <c r="T184" i="1"/>
  <c r="AB184" i="1"/>
  <c r="AJ184" i="1"/>
  <c r="D184" i="1"/>
  <c r="M184" i="1"/>
  <c r="U184" i="1"/>
  <c r="AC184" i="1"/>
  <c r="AK184" i="1"/>
  <c r="N184" i="1"/>
  <c r="V184" i="1"/>
  <c r="AD184" i="1"/>
  <c r="AL184" i="1"/>
  <c r="O184" i="1"/>
  <c r="W184" i="1"/>
  <c r="AE184" i="1"/>
  <c r="AM184" i="1"/>
  <c r="E185" i="1"/>
  <c r="M185" i="1"/>
  <c r="U185" i="1"/>
  <c r="AC185" i="1"/>
  <c r="AK185" i="1"/>
  <c r="L185" i="1"/>
  <c r="F185" i="1"/>
  <c r="N185" i="1"/>
  <c r="V185" i="1"/>
  <c r="AD185" i="1"/>
  <c r="AL185" i="1"/>
  <c r="G185" i="1"/>
  <c r="O185" i="1"/>
  <c r="W185" i="1"/>
  <c r="AE185" i="1"/>
  <c r="AM185" i="1"/>
  <c r="H185" i="1"/>
  <c r="P185" i="1"/>
  <c r="X185" i="1"/>
  <c r="AF185" i="1"/>
  <c r="I185" i="1"/>
  <c r="Q185" i="1"/>
  <c r="Y185" i="1"/>
  <c r="AG185" i="1"/>
  <c r="J185" i="1"/>
  <c r="R185" i="1"/>
  <c r="Z185" i="1"/>
  <c r="AH185" i="1"/>
  <c r="D185" i="1"/>
  <c r="K185" i="1"/>
  <c r="S185" i="1"/>
  <c r="AA185" i="1"/>
  <c r="AI185" i="1"/>
  <c r="T185" i="1"/>
  <c r="AB185" i="1"/>
  <c r="AJ185" i="1"/>
  <c r="B101" i="1"/>
  <c r="B131" i="1" s="1"/>
  <c r="B161" i="1" s="1"/>
  <c r="B191" i="1" s="1"/>
  <c r="B221" i="1" s="1"/>
  <c r="B154" i="1"/>
  <c r="B184" i="1" s="1"/>
  <c r="B214" i="1" s="1"/>
  <c r="B244" i="1" s="1"/>
  <c r="B155" i="1"/>
  <c r="B185" i="1" s="1"/>
  <c r="B215" i="1" s="1"/>
  <c r="B245" i="1" s="1"/>
  <c r="B156" i="1"/>
  <c r="B186" i="1" s="1"/>
  <c r="B216" i="1" s="1"/>
  <c r="B246" i="1" s="1"/>
  <c r="C26" i="2"/>
  <c r="E24" i="2"/>
  <c r="C49" i="2"/>
  <c r="C33" i="2"/>
  <c r="C57" i="2"/>
  <c r="C41" i="2"/>
  <c r="C25" i="2"/>
  <c r="E58" i="2"/>
  <c r="E50" i="2"/>
  <c r="E34" i="2"/>
  <c r="E57" i="2"/>
  <c r="E41" i="2"/>
  <c r="E33" i="2"/>
  <c r="E55" i="2"/>
  <c r="E47" i="2"/>
  <c r="E39" i="2"/>
  <c r="E31" i="2"/>
  <c r="E54" i="2"/>
  <c r="E46" i="2"/>
  <c r="E38" i="2"/>
  <c r="E30" i="2"/>
  <c r="E53" i="2"/>
  <c r="E45" i="2"/>
  <c r="E37" i="2"/>
  <c r="E29" i="2"/>
  <c r="E52" i="2"/>
  <c r="E44" i="2"/>
  <c r="E36" i="2"/>
  <c r="E28" i="2"/>
  <c r="E23" i="2"/>
  <c r="E51" i="2"/>
  <c r="E43" i="2"/>
  <c r="E35" i="2"/>
  <c r="E27" i="2"/>
  <c r="E42" i="2"/>
  <c r="E26" i="2"/>
  <c r="E49" i="2"/>
  <c r="E25" i="2"/>
  <c r="E56" i="2"/>
  <c r="E48" i="2"/>
  <c r="E40" i="2"/>
  <c r="E32" i="2"/>
  <c r="C27" i="2"/>
  <c r="C34" i="2"/>
  <c r="F33" i="2" s="1"/>
  <c r="C56" i="2"/>
  <c r="C48" i="2"/>
  <c r="C40" i="2"/>
  <c r="C32" i="2"/>
  <c r="C24" i="2"/>
  <c r="C51" i="2"/>
  <c r="C43" i="2"/>
  <c r="C35" i="2"/>
  <c r="K46" i="2"/>
  <c r="I46" i="2"/>
  <c r="C55" i="2"/>
  <c r="C47" i="2"/>
  <c r="C39" i="2"/>
  <c r="C31" i="2"/>
  <c r="C58" i="2"/>
  <c r="C50" i="2"/>
  <c r="C42" i="2"/>
  <c r="C54" i="2"/>
  <c r="C46" i="2"/>
  <c r="C38" i="2"/>
  <c r="C30" i="2"/>
  <c r="C53" i="2"/>
  <c r="C45" i="2"/>
  <c r="C37" i="2"/>
  <c r="C29" i="2"/>
  <c r="C52" i="2"/>
  <c r="C44" i="2"/>
  <c r="C36" i="2"/>
  <c r="C28" i="2"/>
  <c r="H46" i="2"/>
  <c r="P46" i="2" s="1"/>
  <c r="G46" i="2"/>
  <c r="L46" i="2"/>
  <c r="G34" i="2"/>
  <c r="H34" i="2"/>
  <c r="K34" i="2"/>
  <c r="B153" i="1"/>
  <c r="B183" i="1" s="1"/>
  <c r="B213" i="1" s="1"/>
  <c r="B243" i="1" s="1"/>
  <c r="B152" i="1"/>
  <c r="B182" i="1" s="1"/>
  <c r="B212" i="1" s="1"/>
  <c r="B242" i="1" s="1"/>
  <c r="B151" i="1"/>
  <c r="B181" i="1" s="1"/>
  <c r="B211" i="1" s="1"/>
  <c r="B241" i="1" s="1"/>
  <c r="B150" i="1"/>
  <c r="B180" i="1" s="1"/>
  <c r="B210" i="1" s="1"/>
  <c r="B240" i="1" s="1"/>
  <c r="B149" i="1"/>
  <c r="B179" i="1" s="1"/>
  <c r="B209" i="1" s="1"/>
  <c r="B239" i="1" s="1"/>
  <c r="B148" i="1"/>
  <c r="B178" i="1" s="1"/>
  <c r="B208" i="1" s="1"/>
  <c r="B238" i="1" s="1"/>
  <c r="B147" i="1"/>
  <c r="B177" i="1" s="1"/>
  <c r="B207" i="1" s="1"/>
  <c r="B237" i="1" s="1"/>
  <c r="B146" i="1"/>
  <c r="B176" i="1" s="1"/>
  <c r="B206" i="1" s="1"/>
  <c r="B236" i="1" s="1"/>
  <c r="B145" i="1"/>
  <c r="B175" i="1" s="1"/>
  <c r="B205" i="1" s="1"/>
  <c r="B235" i="1" s="1"/>
  <c r="B144" i="1"/>
  <c r="B174" i="1" s="1"/>
  <c r="B204" i="1" s="1"/>
  <c r="B234" i="1" s="1"/>
  <c r="B143" i="1"/>
  <c r="B173" i="1" s="1"/>
  <c r="B203" i="1" s="1"/>
  <c r="B233" i="1" s="1"/>
  <c r="B142" i="1"/>
  <c r="B172" i="1" s="1"/>
  <c r="B202" i="1" s="1"/>
  <c r="B232" i="1" s="1"/>
  <c r="B141" i="1"/>
  <c r="B171" i="1" s="1"/>
  <c r="B201" i="1" s="1"/>
  <c r="B231" i="1" s="1"/>
  <c r="B140" i="1"/>
  <c r="B170" i="1" s="1"/>
  <c r="B200" i="1" s="1"/>
  <c r="B230" i="1" s="1"/>
  <c r="B139" i="1"/>
  <c r="B169" i="1" s="1"/>
  <c r="B199" i="1" s="1"/>
  <c r="B229" i="1" s="1"/>
  <c r="B138" i="1"/>
  <c r="B168" i="1" s="1"/>
  <c r="B198" i="1" s="1"/>
  <c r="B228" i="1" s="1"/>
  <c r="B137" i="1"/>
  <c r="B167" i="1" s="1"/>
  <c r="B197" i="1" s="1"/>
  <c r="B227" i="1" s="1"/>
  <c r="B136" i="1"/>
  <c r="B166" i="1" s="1"/>
  <c r="B196" i="1" s="1"/>
  <c r="B226" i="1" s="1"/>
  <c r="B135" i="1"/>
  <c r="B165" i="1" s="1"/>
  <c r="B195" i="1" s="1"/>
  <c r="B225" i="1" s="1"/>
  <c r="B134" i="1"/>
  <c r="B164" i="1" s="1"/>
  <c r="B194" i="1" s="1"/>
  <c r="B224" i="1" s="1"/>
  <c r="B133" i="1"/>
  <c r="B163" i="1" s="1"/>
  <c r="B193" i="1" s="1"/>
  <c r="B223" i="1" s="1"/>
  <c r="B132" i="1"/>
  <c r="B162" i="1" s="1"/>
  <c r="B192" i="1" s="1"/>
  <c r="B222" i="1" s="1"/>
  <c r="V33" i="1"/>
  <c r="V32" i="1"/>
  <c r="V31" i="1"/>
  <c r="V27" i="1"/>
  <c r="V26" i="1"/>
  <c r="V25" i="1"/>
  <c r="V24" i="1"/>
  <c r="V23" i="1"/>
  <c r="W23" i="1"/>
  <c r="V22" i="1"/>
  <c r="V21" i="1"/>
  <c r="W21" i="1"/>
  <c r="V20" i="1"/>
  <c r="V19" i="1"/>
  <c r="V18" i="1"/>
  <c r="W18" i="1"/>
  <c r="V17" i="1"/>
  <c r="W17" i="1"/>
  <c r="V16" i="1"/>
  <c r="V15" i="1"/>
  <c r="V14" i="1"/>
  <c r="W14" i="1"/>
  <c r="V13" i="1"/>
  <c r="W13" i="1"/>
  <c r="V12" i="1"/>
  <c r="V11" i="1"/>
  <c r="W11" i="1"/>
  <c r="V10" i="1"/>
  <c r="W10" i="1"/>
  <c r="V9" i="1"/>
  <c r="V8" i="1"/>
  <c r="V7" i="1"/>
  <c r="W7" i="1"/>
  <c r="V6" i="1"/>
  <c r="V5" i="1"/>
  <c r="L33" i="2" l="1"/>
  <c r="D253" i="1" a="1"/>
  <c r="D253" i="1" s="1"/>
  <c r="D38" i="1" a="1"/>
  <c r="W6" i="1"/>
  <c r="W34" i="1" s="1"/>
  <c r="N34" i="1"/>
  <c r="M34" i="1"/>
  <c r="F41" i="2"/>
  <c r="F40" i="2"/>
  <c r="F48" i="2"/>
  <c r="K48" i="2" s="1"/>
  <c r="G163" i="1"/>
  <c r="O163" i="1"/>
  <c r="W163" i="1"/>
  <c r="AE163" i="1"/>
  <c r="AM163" i="1"/>
  <c r="H163" i="1"/>
  <c r="I163" i="1"/>
  <c r="Q163" i="1"/>
  <c r="Y163" i="1"/>
  <c r="AG163" i="1"/>
  <c r="K163" i="1"/>
  <c r="S163" i="1"/>
  <c r="AA163" i="1"/>
  <c r="AI163" i="1"/>
  <c r="L163" i="1"/>
  <c r="T163" i="1"/>
  <c r="AB163" i="1"/>
  <c r="AJ163" i="1"/>
  <c r="E163" i="1"/>
  <c r="M163" i="1"/>
  <c r="U163" i="1"/>
  <c r="AC163" i="1"/>
  <c r="AK163" i="1"/>
  <c r="Z163" i="1"/>
  <c r="F163" i="1"/>
  <c r="AD163" i="1"/>
  <c r="J163" i="1"/>
  <c r="AF163" i="1"/>
  <c r="N163" i="1"/>
  <c r="AH163" i="1"/>
  <c r="P163" i="1"/>
  <c r="AL163" i="1"/>
  <c r="R163" i="1"/>
  <c r="V163" i="1"/>
  <c r="X163" i="1"/>
  <c r="D163" i="1"/>
  <c r="J170" i="1"/>
  <c r="R170" i="1"/>
  <c r="Z170" i="1"/>
  <c r="AH170" i="1"/>
  <c r="L170" i="1"/>
  <c r="T170" i="1"/>
  <c r="AB170" i="1"/>
  <c r="AJ170" i="1"/>
  <c r="F170" i="1"/>
  <c r="N170" i="1"/>
  <c r="V170" i="1"/>
  <c r="AD170" i="1"/>
  <c r="AL170" i="1"/>
  <c r="G170" i="1"/>
  <c r="O170" i="1"/>
  <c r="W170" i="1"/>
  <c r="AE170" i="1"/>
  <c r="AM170" i="1"/>
  <c r="H170" i="1"/>
  <c r="P170" i="1"/>
  <c r="X170" i="1"/>
  <c r="AF170" i="1"/>
  <c r="Q170" i="1"/>
  <c r="AK170" i="1"/>
  <c r="S170" i="1"/>
  <c r="U170" i="1"/>
  <c r="Y170" i="1"/>
  <c r="E170" i="1"/>
  <c r="AA170" i="1"/>
  <c r="I170" i="1"/>
  <c r="AC170" i="1"/>
  <c r="K170" i="1"/>
  <c r="AG170" i="1"/>
  <c r="D170" i="1"/>
  <c r="M170" i="1"/>
  <c r="AI170" i="1"/>
  <c r="K167" i="1"/>
  <c r="S167" i="1"/>
  <c r="AA167" i="1"/>
  <c r="AI167" i="1"/>
  <c r="E167" i="1"/>
  <c r="M167" i="1"/>
  <c r="U167" i="1"/>
  <c r="AC167" i="1"/>
  <c r="AK167" i="1"/>
  <c r="G167" i="1"/>
  <c r="O167" i="1"/>
  <c r="W167" i="1"/>
  <c r="AE167" i="1"/>
  <c r="AM167" i="1"/>
  <c r="H167" i="1"/>
  <c r="P167" i="1"/>
  <c r="X167" i="1"/>
  <c r="AF167" i="1"/>
  <c r="I167" i="1"/>
  <c r="Q167" i="1"/>
  <c r="Y167" i="1"/>
  <c r="AG167" i="1"/>
  <c r="N167" i="1"/>
  <c r="AJ167" i="1"/>
  <c r="R167" i="1"/>
  <c r="AL167" i="1"/>
  <c r="T167" i="1"/>
  <c r="V167" i="1"/>
  <c r="D167" i="1"/>
  <c r="Z167" i="1"/>
  <c r="F167" i="1"/>
  <c r="AB167" i="1"/>
  <c r="J167" i="1"/>
  <c r="AD167" i="1"/>
  <c r="L167" i="1"/>
  <c r="AH167" i="1"/>
  <c r="F166" i="1"/>
  <c r="N166" i="1"/>
  <c r="V166" i="1"/>
  <c r="AD166" i="1"/>
  <c r="AL166" i="1"/>
  <c r="H166" i="1"/>
  <c r="P166" i="1"/>
  <c r="X166" i="1"/>
  <c r="AF166" i="1"/>
  <c r="J166" i="1"/>
  <c r="R166" i="1"/>
  <c r="Z166" i="1"/>
  <c r="AH166" i="1"/>
  <c r="K166" i="1"/>
  <c r="S166" i="1"/>
  <c r="AA166" i="1"/>
  <c r="AI166" i="1"/>
  <c r="L166" i="1"/>
  <c r="T166" i="1"/>
  <c r="AB166" i="1"/>
  <c r="AJ166" i="1"/>
  <c r="G166" i="1"/>
  <c r="AC166" i="1"/>
  <c r="I166" i="1"/>
  <c r="AE166" i="1"/>
  <c r="M166" i="1"/>
  <c r="AG166" i="1"/>
  <c r="D166" i="1"/>
  <c r="O166" i="1"/>
  <c r="AK166" i="1"/>
  <c r="Q166" i="1"/>
  <c r="AM166" i="1"/>
  <c r="U166" i="1"/>
  <c r="W166" i="1"/>
  <c r="E166" i="1"/>
  <c r="Y166" i="1"/>
  <c r="I173" i="1"/>
  <c r="Q173" i="1"/>
  <c r="Y173" i="1"/>
  <c r="AG173" i="1"/>
  <c r="K173" i="1"/>
  <c r="S173" i="1"/>
  <c r="AA173" i="1"/>
  <c r="AI173" i="1"/>
  <c r="E173" i="1"/>
  <c r="M173" i="1"/>
  <c r="U173" i="1"/>
  <c r="AC173" i="1"/>
  <c r="AK173" i="1"/>
  <c r="F173" i="1"/>
  <c r="N173" i="1"/>
  <c r="V173" i="1"/>
  <c r="AD173" i="1"/>
  <c r="AL173" i="1"/>
  <c r="G173" i="1"/>
  <c r="O173" i="1"/>
  <c r="W173" i="1"/>
  <c r="AE173" i="1"/>
  <c r="AM173" i="1"/>
  <c r="R173" i="1"/>
  <c r="T173" i="1"/>
  <c r="D173" i="1"/>
  <c r="X173" i="1"/>
  <c r="Z173" i="1"/>
  <c r="H173" i="1"/>
  <c r="AB173" i="1"/>
  <c r="J173" i="1"/>
  <c r="AF173" i="1"/>
  <c r="L173" i="1"/>
  <c r="AH173" i="1"/>
  <c r="P173" i="1"/>
  <c r="AJ173" i="1"/>
  <c r="H176" i="1"/>
  <c r="P176" i="1"/>
  <c r="X176" i="1"/>
  <c r="AF176" i="1"/>
  <c r="J176" i="1"/>
  <c r="R176" i="1"/>
  <c r="Z176" i="1"/>
  <c r="AH176" i="1"/>
  <c r="L176" i="1"/>
  <c r="T176" i="1"/>
  <c r="AB176" i="1"/>
  <c r="AJ176" i="1"/>
  <c r="E176" i="1"/>
  <c r="M176" i="1"/>
  <c r="U176" i="1"/>
  <c r="AC176" i="1"/>
  <c r="AK176" i="1"/>
  <c r="F176" i="1"/>
  <c r="V176" i="1"/>
  <c r="AD176" i="1"/>
  <c r="AL176" i="1"/>
  <c r="S176" i="1"/>
  <c r="W176" i="1"/>
  <c r="Y176" i="1"/>
  <c r="G176" i="1"/>
  <c r="AA176" i="1"/>
  <c r="I176" i="1"/>
  <c r="AE176" i="1"/>
  <c r="D176" i="1"/>
  <c r="K176" i="1"/>
  <c r="AG176" i="1"/>
  <c r="O176" i="1"/>
  <c r="AI176" i="1"/>
  <c r="Q176" i="1"/>
  <c r="AM176" i="1"/>
  <c r="E161" i="1"/>
  <c r="M161" i="1"/>
  <c r="U161" i="1"/>
  <c r="AC161" i="1"/>
  <c r="AK161" i="1"/>
  <c r="F161" i="1"/>
  <c r="N161" i="1"/>
  <c r="V161" i="1"/>
  <c r="AD161" i="1"/>
  <c r="AL161" i="1"/>
  <c r="G161" i="1"/>
  <c r="O161" i="1"/>
  <c r="W161" i="1"/>
  <c r="AE161" i="1"/>
  <c r="AM161" i="1"/>
  <c r="H161" i="1"/>
  <c r="P161" i="1"/>
  <c r="I161" i="1"/>
  <c r="Q161" i="1"/>
  <c r="Y161" i="1"/>
  <c r="AG161" i="1"/>
  <c r="K161" i="1"/>
  <c r="S161" i="1"/>
  <c r="AA161" i="1"/>
  <c r="AI161" i="1"/>
  <c r="L161" i="1"/>
  <c r="T161" i="1"/>
  <c r="AB161" i="1"/>
  <c r="AJ161" i="1"/>
  <c r="X161" i="1"/>
  <c r="Z161" i="1"/>
  <c r="AF161" i="1"/>
  <c r="J161" i="1"/>
  <c r="R161" i="1"/>
  <c r="AH161" i="1"/>
  <c r="D161" i="1"/>
  <c r="H168" i="1"/>
  <c r="P168" i="1"/>
  <c r="X168" i="1"/>
  <c r="AF168" i="1"/>
  <c r="J168" i="1"/>
  <c r="R168" i="1"/>
  <c r="Z168" i="1"/>
  <c r="AH168" i="1"/>
  <c r="L168" i="1"/>
  <c r="T168" i="1"/>
  <c r="AB168" i="1"/>
  <c r="AJ168" i="1"/>
  <c r="E168" i="1"/>
  <c r="M168" i="1"/>
  <c r="U168" i="1"/>
  <c r="AC168" i="1"/>
  <c r="AK168" i="1"/>
  <c r="F168" i="1"/>
  <c r="N168" i="1"/>
  <c r="V168" i="1"/>
  <c r="AD168" i="1"/>
  <c r="AL168" i="1"/>
  <c r="W168" i="1"/>
  <c r="Y168" i="1"/>
  <c r="G168" i="1"/>
  <c r="AA168" i="1"/>
  <c r="I168" i="1"/>
  <c r="AE168" i="1"/>
  <c r="K168" i="1"/>
  <c r="AG168" i="1"/>
  <c r="D168" i="1"/>
  <c r="O168" i="1"/>
  <c r="AI168" i="1"/>
  <c r="Q168" i="1"/>
  <c r="AM168" i="1"/>
  <c r="S168" i="1"/>
  <c r="K175" i="1"/>
  <c r="S175" i="1"/>
  <c r="AA175" i="1"/>
  <c r="AI175" i="1"/>
  <c r="E175" i="1"/>
  <c r="M175" i="1"/>
  <c r="U175" i="1"/>
  <c r="AC175" i="1"/>
  <c r="AK175" i="1"/>
  <c r="G175" i="1"/>
  <c r="O175" i="1"/>
  <c r="W175" i="1"/>
  <c r="AE175" i="1"/>
  <c r="AM175" i="1"/>
  <c r="H175" i="1"/>
  <c r="P175" i="1"/>
  <c r="X175" i="1"/>
  <c r="AF175" i="1"/>
  <c r="I175" i="1"/>
  <c r="Q175" i="1"/>
  <c r="Y175" i="1"/>
  <c r="AG175" i="1"/>
  <c r="L175" i="1"/>
  <c r="AH175" i="1"/>
  <c r="N175" i="1"/>
  <c r="AJ175" i="1"/>
  <c r="R175" i="1"/>
  <c r="AL175" i="1"/>
  <c r="T175" i="1"/>
  <c r="D175" i="1"/>
  <c r="V175" i="1"/>
  <c r="Z175" i="1"/>
  <c r="F175" i="1"/>
  <c r="AB175" i="1"/>
  <c r="J175" i="1"/>
  <c r="AD175" i="1"/>
  <c r="F182" i="1"/>
  <c r="N182" i="1"/>
  <c r="V182" i="1"/>
  <c r="AD182" i="1"/>
  <c r="AL182" i="1"/>
  <c r="H182" i="1"/>
  <c r="P182" i="1"/>
  <c r="X182" i="1"/>
  <c r="AF182" i="1"/>
  <c r="J182" i="1"/>
  <c r="R182" i="1"/>
  <c r="K182" i="1"/>
  <c r="S182" i="1"/>
  <c r="AA182" i="1"/>
  <c r="AI182" i="1"/>
  <c r="L182" i="1"/>
  <c r="T182" i="1"/>
  <c r="AB182" i="1"/>
  <c r="AJ182" i="1"/>
  <c r="G182" i="1"/>
  <c r="Z182" i="1"/>
  <c r="I182" i="1"/>
  <c r="AC182" i="1"/>
  <c r="M182" i="1"/>
  <c r="AE182" i="1"/>
  <c r="D182" i="1"/>
  <c r="O182" i="1"/>
  <c r="AG182" i="1"/>
  <c r="Q182" i="1"/>
  <c r="AH182" i="1"/>
  <c r="U182" i="1"/>
  <c r="AK182" i="1"/>
  <c r="W182" i="1"/>
  <c r="AM182" i="1"/>
  <c r="E182" i="1"/>
  <c r="Y182" i="1"/>
  <c r="F174" i="1"/>
  <c r="N174" i="1"/>
  <c r="V174" i="1"/>
  <c r="AD174" i="1"/>
  <c r="AL174" i="1"/>
  <c r="H174" i="1"/>
  <c r="P174" i="1"/>
  <c r="X174" i="1"/>
  <c r="AF174" i="1"/>
  <c r="J174" i="1"/>
  <c r="R174" i="1"/>
  <c r="Z174" i="1"/>
  <c r="AH174" i="1"/>
  <c r="K174" i="1"/>
  <c r="S174" i="1"/>
  <c r="AA174" i="1"/>
  <c r="AI174" i="1"/>
  <c r="L174" i="1"/>
  <c r="T174" i="1"/>
  <c r="AB174" i="1"/>
  <c r="AJ174" i="1"/>
  <c r="E174" i="1"/>
  <c r="Y174" i="1"/>
  <c r="G174" i="1"/>
  <c r="AC174" i="1"/>
  <c r="I174" i="1"/>
  <c r="AE174" i="1"/>
  <c r="D174" i="1"/>
  <c r="M174" i="1"/>
  <c r="AG174" i="1"/>
  <c r="O174" i="1"/>
  <c r="AK174" i="1"/>
  <c r="Q174" i="1"/>
  <c r="AM174" i="1"/>
  <c r="U174" i="1"/>
  <c r="W174" i="1"/>
  <c r="I165" i="1"/>
  <c r="Q165" i="1"/>
  <c r="Y165" i="1"/>
  <c r="AG165" i="1"/>
  <c r="K165" i="1"/>
  <c r="S165" i="1"/>
  <c r="AA165" i="1"/>
  <c r="AI165" i="1"/>
  <c r="E165" i="1"/>
  <c r="M165" i="1"/>
  <c r="U165" i="1"/>
  <c r="AC165" i="1"/>
  <c r="AK165" i="1"/>
  <c r="F165" i="1"/>
  <c r="N165" i="1"/>
  <c r="V165" i="1"/>
  <c r="AD165" i="1"/>
  <c r="AL165" i="1"/>
  <c r="G165" i="1"/>
  <c r="O165" i="1"/>
  <c r="W165" i="1"/>
  <c r="AE165" i="1"/>
  <c r="AM165" i="1"/>
  <c r="T165" i="1"/>
  <c r="X165" i="1"/>
  <c r="D165" i="1"/>
  <c r="Z165" i="1"/>
  <c r="H165" i="1"/>
  <c r="AB165" i="1"/>
  <c r="J165" i="1"/>
  <c r="AF165" i="1"/>
  <c r="L165" i="1"/>
  <c r="AH165" i="1"/>
  <c r="P165" i="1"/>
  <c r="AJ165" i="1"/>
  <c r="R165" i="1"/>
  <c r="L172" i="1"/>
  <c r="T172" i="1"/>
  <c r="AB172" i="1"/>
  <c r="AJ172" i="1"/>
  <c r="F172" i="1"/>
  <c r="N172" i="1"/>
  <c r="V172" i="1"/>
  <c r="AD172" i="1"/>
  <c r="AL172" i="1"/>
  <c r="H172" i="1"/>
  <c r="P172" i="1"/>
  <c r="X172" i="1"/>
  <c r="AF172" i="1"/>
  <c r="I172" i="1"/>
  <c r="Q172" i="1"/>
  <c r="Y172" i="1"/>
  <c r="AG172" i="1"/>
  <c r="J172" i="1"/>
  <c r="R172" i="1"/>
  <c r="Z172" i="1"/>
  <c r="AH172" i="1"/>
  <c r="K172" i="1"/>
  <c r="AE172" i="1"/>
  <c r="D172" i="1"/>
  <c r="M172" i="1"/>
  <c r="AI172" i="1"/>
  <c r="O172" i="1"/>
  <c r="AK172" i="1"/>
  <c r="S172" i="1"/>
  <c r="AM172" i="1"/>
  <c r="U172" i="1"/>
  <c r="W172" i="1"/>
  <c r="E172" i="1"/>
  <c r="AA172" i="1"/>
  <c r="G172" i="1"/>
  <c r="AC172" i="1"/>
  <c r="K183" i="1"/>
  <c r="S183" i="1"/>
  <c r="AA183" i="1"/>
  <c r="AI183" i="1"/>
  <c r="E183" i="1"/>
  <c r="M183" i="1"/>
  <c r="U183" i="1"/>
  <c r="AC183" i="1"/>
  <c r="AK183" i="1"/>
  <c r="H183" i="1"/>
  <c r="P183" i="1"/>
  <c r="X183" i="1"/>
  <c r="AF183" i="1"/>
  <c r="I183" i="1"/>
  <c r="Q183" i="1"/>
  <c r="Y183" i="1"/>
  <c r="AG183" i="1"/>
  <c r="G183" i="1"/>
  <c r="W183" i="1"/>
  <c r="AM183" i="1"/>
  <c r="J183" i="1"/>
  <c r="Z183" i="1"/>
  <c r="L183" i="1"/>
  <c r="AB183" i="1"/>
  <c r="N183" i="1"/>
  <c r="AD183" i="1"/>
  <c r="D183" i="1"/>
  <c r="O183" i="1"/>
  <c r="AE183" i="1"/>
  <c r="AL183" i="1"/>
  <c r="R183" i="1"/>
  <c r="AH183" i="1"/>
  <c r="F183" i="1"/>
  <c r="T183" i="1"/>
  <c r="AJ183" i="1"/>
  <c r="V183" i="1"/>
  <c r="L162" i="1"/>
  <c r="T162" i="1"/>
  <c r="F162" i="1"/>
  <c r="N162" i="1"/>
  <c r="V162" i="1"/>
  <c r="H162" i="1"/>
  <c r="P162" i="1"/>
  <c r="I162" i="1"/>
  <c r="Q162" i="1"/>
  <c r="M162" i="1"/>
  <c r="Z162" i="1"/>
  <c r="AH162" i="1"/>
  <c r="O162" i="1"/>
  <c r="AA162" i="1"/>
  <c r="AI162" i="1"/>
  <c r="R162" i="1"/>
  <c r="AB162" i="1"/>
  <c r="AJ162" i="1"/>
  <c r="E162" i="1"/>
  <c r="U162" i="1"/>
  <c r="AD162" i="1"/>
  <c r="AL162" i="1"/>
  <c r="G162" i="1"/>
  <c r="W162" i="1"/>
  <c r="AE162" i="1"/>
  <c r="AM162" i="1"/>
  <c r="J162" i="1"/>
  <c r="X162" i="1"/>
  <c r="AF162" i="1"/>
  <c r="AK162" i="1"/>
  <c r="K162" i="1"/>
  <c r="S162" i="1"/>
  <c r="Y162" i="1"/>
  <c r="AC162" i="1"/>
  <c r="D162" i="1"/>
  <c r="AG162" i="1"/>
  <c r="E169" i="1"/>
  <c r="M169" i="1"/>
  <c r="U169" i="1"/>
  <c r="AC169" i="1"/>
  <c r="AK169" i="1"/>
  <c r="G169" i="1"/>
  <c r="O169" i="1"/>
  <c r="W169" i="1"/>
  <c r="AE169" i="1"/>
  <c r="AM169" i="1"/>
  <c r="I169" i="1"/>
  <c r="Q169" i="1"/>
  <c r="Y169" i="1"/>
  <c r="AG169" i="1"/>
  <c r="J169" i="1"/>
  <c r="R169" i="1"/>
  <c r="Z169" i="1"/>
  <c r="AH169" i="1"/>
  <c r="K169" i="1"/>
  <c r="S169" i="1"/>
  <c r="AA169" i="1"/>
  <c r="AI169" i="1"/>
  <c r="H169" i="1"/>
  <c r="AD169" i="1"/>
  <c r="L169" i="1"/>
  <c r="AF169" i="1"/>
  <c r="N169" i="1"/>
  <c r="AJ169" i="1"/>
  <c r="P169" i="1"/>
  <c r="AL169" i="1"/>
  <c r="T169" i="1"/>
  <c r="V169" i="1"/>
  <c r="D169" i="1"/>
  <c r="X169" i="1"/>
  <c r="F169" i="1"/>
  <c r="AB169" i="1"/>
  <c r="L164" i="1"/>
  <c r="T164" i="1"/>
  <c r="AB164" i="1"/>
  <c r="AJ164" i="1"/>
  <c r="F164" i="1"/>
  <c r="N164" i="1"/>
  <c r="V164" i="1"/>
  <c r="AD164" i="1"/>
  <c r="AL164" i="1"/>
  <c r="H164" i="1"/>
  <c r="P164" i="1"/>
  <c r="X164" i="1"/>
  <c r="AF164" i="1"/>
  <c r="I164" i="1"/>
  <c r="Q164" i="1"/>
  <c r="Y164" i="1"/>
  <c r="AG164" i="1"/>
  <c r="J164" i="1"/>
  <c r="R164" i="1"/>
  <c r="Z164" i="1"/>
  <c r="AH164" i="1"/>
  <c r="M164" i="1"/>
  <c r="AI164" i="1"/>
  <c r="D164" i="1"/>
  <c r="O164" i="1"/>
  <c r="AK164" i="1"/>
  <c r="S164" i="1"/>
  <c r="AM164" i="1"/>
  <c r="AE164" i="1"/>
  <c r="U164" i="1"/>
  <c r="W164" i="1"/>
  <c r="E164" i="1"/>
  <c r="AA164" i="1"/>
  <c r="G164" i="1"/>
  <c r="AC164" i="1"/>
  <c r="K164" i="1"/>
  <c r="G171" i="1"/>
  <c r="O171" i="1"/>
  <c r="W171" i="1"/>
  <c r="AE171" i="1"/>
  <c r="AM171" i="1"/>
  <c r="I171" i="1"/>
  <c r="Q171" i="1"/>
  <c r="Y171" i="1"/>
  <c r="AG171" i="1"/>
  <c r="K171" i="1"/>
  <c r="S171" i="1"/>
  <c r="AA171" i="1"/>
  <c r="AI171" i="1"/>
  <c r="L171" i="1"/>
  <c r="T171" i="1"/>
  <c r="AB171" i="1"/>
  <c r="AJ171" i="1"/>
  <c r="E171" i="1"/>
  <c r="M171" i="1"/>
  <c r="U171" i="1"/>
  <c r="AC171" i="1"/>
  <c r="AK171" i="1"/>
  <c r="X171" i="1"/>
  <c r="F171" i="1"/>
  <c r="Z171" i="1"/>
  <c r="H171" i="1"/>
  <c r="AD171" i="1"/>
  <c r="J171" i="1"/>
  <c r="AF171" i="1"/>
  <c r="D171" i="1"/>
  <c r="N171" i="1"/>
  <c r="AH171" i="1"/>
  <c r="P171" i="1"/>
  <c r="AL171" i="1"/>
  <c r="R171" i="1"/>
  <c r="V171" i="1"/>
  <c r="F49" i="2"/>
  <c r="H49" i="2" s="1"/>
  <c r="P49" i="2" s="1"/>
  <c r="F23" i="2"/>
  <c r="F25" i="2"/>
  <c r="F56" i="2"/>
  <c r="G56" i="2" s="1"/>
  <c r="F31" i="2"/>
  <c r="F26" i="2"/>
  <c r="F35" i="2"/>
  <c r="F47" i="2"/>
  <c r="F32" i="2"/>
  <c r="F57" i="2"/>
  <c r="I57" i="2" s="1"/>
  <c r="F55" i="2"/>
  <c r="G55" i="2" s="1"/>
  <c r="F24" i="2"/>
  <c r="F39" i="2"/>
  <c r="L39" i="2" s="1"/>
  <c r="F50" i="2"/>
  <c r="K50" i="2" s="1"/>
  <c r="F30" i="2"/>
  <c r="F51" i="2"/>
  <c r="G51" i="2" s="1"/>
  <c r="F44" i="2"/>
  <c r="K44" i="2" s="1"/>
  <c r="F36" i="2"/>
  <c r="I36" i="2" s="1"/>
  <c r="F28" i="2"/>
  <c r="F52" i="2"/>
  <c r="F43" i="2"/>
  <c r="K43" i="2" s="1"/>
  <c r="F38" i="2"/>
  <c r="K38" i="2" s="1"/>
  <c r="F53" i="2"/>
  <c r="F45" i="2"/>
  <c r="F27" i="2"/>
  <c r="F42" i="2"/>
  <c r="G42" i="2" s="1"/>
  <c r="F54" i="2"/>
  <c r="G54" i="2" s="1"/>
  <c r="F37" i="2"/>
  <c r="F29" i="2"/>
  <c r="I58" i="2"/>
  <c r="K58" i="2"/>
  <c r="L58" i="2"/>
  <c r="G58" i="2"/>
  <c r="H58" i="2"/>
  <c r="P58" i="2" s="1"/>
  <c r="L34" i="2"/>
  <c r="I34" i="2"/>
  <c r="I33" i="2"/>
  <c r="G33" i="2"/>
  <c r="K33" i="2"/>
  <c r="H33" i="2"/>
  <c r="D38" i="1" l="1"/>
  <c r="D37" i="1" s="1"/>
  <c r="X34" i="1"/>
  <c r="Y34" i="1" s="1"/>
  <c r="H25" i="2"/>
  <c r="K23" i="2"/>
  <c r="K24" i="2"/>
  <c r="H27" i="2"/>
  <c r="K26" i="2"/>
  <c r="G29" i="2"/>
  <c r="L31" i="2"/>
  <c r="L28" i="2"/>
  <c r="L47" i="2"/>
  <c r="S47" i="2"/>
  <c r="S48" i="2" s="1"/>
  <c r="S49" i="2" s="1"/>
  <c r="S50" i="2" s="1"/>
  <c r="S51" i="2" s="1"/>
  <c r="S52" i="2" s="1"/>
  <c r="S53" i="2" s="1"/>
  <c r="S54" i="2" s="1"/>
  <c r="S55" i="2" s="1"/>
  <c r="S56" i="2" s="1"/>
  <c r="S57" i="2" s="1"/>
  <c r="S58" i="2" s="1"/>
  <c r="K40" i="2"/>
  <c r="H40" i="2"/>
  <c r="P40" i="2" s="1"/>
  <c r="K52" i="2"/>
  <c r="H52" i="2"/>
  <c r="H53" i="2"/>
  <c r="P53" i="2" s="1"/>
  <c r="G53" i="2"/>
  <c r="H30" i="2"/>
  <c r="G30" i="2"/>
  <c r="H35" i="2"/>
  <c r="P35" i="2" s="1"/>
  <c r="AE35" i="2"/>
  <c r="AE36" i="2" s="1"/>
  <c r="AE37" i="2" s="1"/>
  <c r="AE38" i="2" s="1"/>
  <c r="AE39" i="2" s="1"/>
  <c r="AE40" i="2" s="1"/>
  <c r="AE41" i="2" s="1"/>
  <c r="AE42" i="2" s="1"/>
  <c r="AE43" i="2" s="1"/>
  <c r="AE44" i="2" s="1"/>
  <c r="AE45" i="2" s="1"/>
  <c r="AE46" i="2" s="1"/>
  <c r="AE47" i="2" s="1"/>
  <c r="AE48" i="2" s="1"/>
  <c r="AE49" i="2" s="1"/>
  <c r="AE50" i="2" s="1"/>
  <c r="AE51" i="2" s="1"/>
  <c r="AE52" i="2" s="1"/>
  <c r="AE53" i="2" s="1"/>
  <c r="AE54" i="2" s="1"/>
  <c r="AE55" i="2" s="1"/>
  <c r="AE56" i="2" s="1"/>
  <c r="AE57" i="2" s="1"/>
  <c r="AE58" i="2" s="1"/>
  <c r="H41" i="2"/>
  <c r="P41" i="2" s="1"/>
  <c r="G41" i="2"/>
  <c r="H32" i="2"/>
  <c r="I40" i="2"/>
  <c r="G31" i="2"/>
  <c r="I31" i="2"/>
  <c r="K39" i="2"/>
  <c r="L41" i="2"/>
  <c r="K41" i="2"/>
  <c r="I41" i="2"/>
  <c r="G39" i="2"/>
  <c r="G35" i="2"/>
  <c r="L35" i="2"/>
  <c r="G47" i="2"/>
  <c r="G40" i="2"/>
  <c r="L26" i="2"/>
  <c r="H31" i="2"/>
  <c r="H39" i="2"/>
  <c r="P39" i="2" s="1"/>
  <c r="K31" i="2"/>
  <c r="I39" i="2"/>
  <c r="L40" i="2"/>
  <c r="H48" i="2"/>
  <c r="P48" i="2" s="1"/>
  <c r="I48" i="2"/>
  <c r="K35" i="2"/>
  <c r="G48" i="2"/>
  <c r="G57" i="2"/>
  <c r="L48" i="2"/>
  <c r="V37" i="1"/>
  <c r="Y37" i="1"/>
  <c r="AE37" i="1"/>
  <c r="E37" i="1"/>
  <c r="K37" i="1"/>
  <c r="N37" i="1"/>
  <c r="Q37" i="1"/>
  <c r="W37" i="1"/>
  <c r="AJ37" i="1"/>
  <c r="F37" i="1"/>
  <c r="I37" i="1"/>
  <c r="O37" i="1"/>
  <c r="AB37" i="1"/>
  <c r="AH37" i="1"/>
  <c r="AF37" i="1"/>
  <c r="G37" i="1"/>
  <c r="T37" i="1"/>
  <c r="Z37" i="1"/>
  <c r="X37" i="1"/>
  <c r="AK37" i="1"/>
  <c r="L37" i="1"/>
  <c r="R37" i="1"/>
  <c r="P37" i="1"/>
  <c r="AC37" i="1"/>
  <c r="AI37" i="1"/>
  <c r="AG37" i="1"/>
  <c r="AD37" i="1"/>
  <c r="J37" i="1"/>
  <c r="H37" i="1"/>
  <c r="U37" i="1"/>
  <c r="AA37" i="1"/>
  <c r="AL37" i="1"/>
  <c r="AM37" i="1"/>
  <c r="M37" i="1"/>
  <c r="S37" i="1"/>
  <c r="G23" i="2"/>
  <c r="L23" i="2"/>
  <c r="I23" i="2"/>
  <c r="H23" i="2"/>
  <c r="G49" i="2"/>
  <c r="I35" i="2"/>
  <c r="G25" i="2"/>
  <c r="L49" i="2"/>
  <c r="K49" i="2"/>
  <c r="H47" i="2"/>
  <c r="P47" i="2" s="1"/>
  <c r="I25" i="2"/>
  <c r="L25" i="2"/>
  <c r="I49" i="2"/>
  <c r="K25" i="2"/>
  <c r="K57" i="2"/>
  <c r="K47" i="2"/>
  <c r="I47" i="2"/>
  <c r="K56" i="2"/>
  <c r="I56" i="2"/>
  <c r="H26" i="2"/>
  <c r="H57" i="2"/>
  <c r="P57" i="2" s="1"/>
  <c r="I26" i="2"/>
  <c r="H56" i="2"/>
  <c r="P56" i="2" s="1"/>
  <c r="L24" i="2"/>
  <c r="G26" i="2"/>
  <c r="L56" i="2"/>
  <c r="L57" i="2"/>
  <c r="I55" i="2"/>
  <c r="K32" i="2"/>
  <c r="L55" i="2"/>
  <c r="L32" i="2"/>
  <c r="I32" i="2"/>
  <c r="H55" i="2"/>
  <c r="P55" i="2" s="1"/>
  <c r="K55" i="2"/>
  <c r="G32" i="2"/>
  <c r="L51" i="2"/>
  <c r="K51" i="2"/>
  <c r="I53" i="2"/>
  <c r="I50" i="2"/>
  <c r="I24" i="2"/>
  <c r="G24" i="2"/>
  <c r="K30" i="2"/>
  <c r="G50" i="2"/>
  <c r="H50" i="2"/>
  <c r="P50" i="2" s="1"/>
  <c r="I51" i="2"/>
  <c r="L50" i="2"/>
  <c r="H51" i="2"/>
  <c r="P51" i="2" s="1"/>
  <c r="L36" i="2"/>
  <c r="P52" i="2"/>
  <c r="L30" i="2"/>
  <c r="I30" i="2"/>
  <c r="H36" i="2"/>
  <c r="P36" i="2" s="1"/>
  <c r="L52" i="2"/>
  <c r="G36" i="2"/>
  <c r="H38" i="2"/>
  <c r="P38" i="2" s="1"/>
  <c r="I44" i="2"/>
  <c r="G38" i="2"/>
  <c r="H44" i="2"/>
  <c r="P44" i="2" s="1"/>
  <c r="I38" i="2"/>
  <c r="L44" i="2"/>
  <c r="G44" i="2"/>
  <c r="H43" i="2"/>
  <c r="P43" i="2" s="1"/>
  <c r="L38" i="2"/>
  <c r="I52" i="2"/>
  <c r="I43" i="2"/>
  <c r="G52" i="2"/>
  <c r="K36" i="2"/>
  <c r="L53" i="2"/>
  <c r="K28" i="2"/>
  <c r="K53" i="2"/>
  <c r="I28" i="2"/>
  <c r="G28" i="2"/>
  <c r="G43" i="2"/>
  <c r="L43" i="2"/>
  <c r="G45" i="2"/>
  <c r="H45" i="2"/>
  <c r="P45" i="2" s="1"/>
  <c r="I45" i="2"/>
  <c r="K45" i="2"/>
  <c r="L45" i="2"/>
  <c r="K29" i="2"/>
  <c r="I29" i="2"/>
  <c r="H29" i="2"/>
  <c r="L29" i="2"/>
  <c r="G37" i="2"/>
  <c r="H37" i="2"/>
  <c r="P37" i="2" s="1"/>
  <c r="I37" i="2"/>
  <c r="K37" i="2"/>
  <c r="L37" i="2"/>
  <c r="H54" i="2"/>
  <c r="P54" i="2" s="1"/>
  <c r="L54" i="2"/>
  <c r="K54" i="2"/>
  <c r="I54" i="2"/>
  <c r="I42" i="2"/>
  <c r="K42" i="2"/>
  <c r="L42" i="2"/>
  <c r="H42" i="2"/>
  <c r="P42" i="2" s="1"/>
  <c r="L27" i="2"/>
  <c r="G27" i="2"/>
  <c r="K27" i="2"/>
  <c r="I27"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Mogens Bech Laursen</author>
  </authors>
  <commentList>
    <comment ref="H5" authorId="0" shapeId="0" xr:uid="{F0978F14-7341-4415-9B8E-58206E7F8D71}">
      <text>
        <r>
          <rPr>
            <b/>
            <sz val="9"/>
            <color indexed="81"/>
            <rFont val="Tahoma"/>
            <family val="2"/>
          </rPr>
          <t>Mogens Bech Laursen:</t>
        </r>
        <r>
          <rPr>
            <sz val="9"/>
            <color indexed="81"/>
            <rFont val="Tahoma"/>
            <family val="2"/>
          </rPr>
          <t xml:space="preserve">
Dette felt anvendes hvis værdien skal gælde hele tidsområdet, og så skal værdien være NaN (navngivet værdi).
Hvis FastVaerdi = NaN, skal alle værdier for den aktive periode angives.</t>
        </r>
      </text>
    </comment>
    <comment ref="AV5" authorId="0" shapeId="0" xr:uid="{AFF73F54-32D8-40A3-B382-12FA1EC026C5}">
      <text>
        <r>
          <rPr>
            <b/>
            <sz val="9"/>
            <color indexed="81"/>
            <rFont val="Tahoma"/>
            <charset val="1"/>
          </rPr>
          <t>Mogens Bech Laursen:</t>
        </r>
        <r>
          <rPr>
            <sz val="9"/>
            <color indexed="81"/>
            <rFont val="Tahoma"/>
            <charset val="1"/>
          </rPr>
          <t xml:space="preserve">
StatusKode er et dummy felt ved indlæsning og har derfor værdien NaN., Men den tildeles en værdi ved parsing af scenarier, fx hvis der både angives en fast værdi og månedsværdier.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Mogens Bech Laursen</author>
  </authors>
  <commentList>
    <comment ref="B14" authorId="0" shapeId="0" xr:uid="{FBA2A061-6C4B-41D9-B0F8-EB8E4C85D6E0}">
      <text>
        <r>
          <rPr>
            <b/>
            <sz val="9"/>
            <color indexed="81"/>
            <rFont val="Tahoma"/>
            <charset val="1"/>
          </rPr>
          <t>Mogens Bech Laursen:</t>
        </r>
        <r>
          <rPr>
            <sz val="9"/>
            <color indexed="81"/>
            <rFont val="Tahoma"/>
            <charset val="1"/>
          </rPr>
          <t xml:space="preserve">
Kim Jeppesen (REFA) har oplyst en 2022-salgspris på affaldsvarme i mail af 9. marts 2022.
Værdien er 311,67 kg/MWhq</t>
        </r>
      </text>
    </comment>
    <comment ref="B15" authorId="0" shapeId="0" xr:uid="{B26244BA-0365-4B9F-A9E1-2160BBB04E77}">
      <text>
        <r>
          <rPr>
            <b/>
            <sz val="9"/>
            <color indexed="81"/>
            <rFont val="Tahoma"/>
            <charset val="1"/>
          </rPr>
          <t>Mogens Bech Laursen:</t>
        </r>
        <r>
          <rPr>
            <sz val="9"/>
            <color indexed="81"/>
            <rFont val="Tahoma"/>
            <charset val="1"/>
          </rPr>
          <t xml:space="preserve">
Oplyst af Kim Jeppesen fra EY's afgiftsberegning.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Mogens Bech Laursen</author>
  </authors>
  <commentList>
    <comment ref="B11" authorId="0" shapeId="0" xr:uid="{800BA869-6CEF-4A38-B110-CE4118E8452D}">
      <text>
        <r>
          <rPr>
            <b/>
            <sz val="9"/>
            <color indexed="81"/>
            <rFont val="Tahoma"/>
            <family val="2"/>
          </rPr>
          <t>Mogens Bech Laursen:</t>
        </r>
        <r>
          <rPr>
            <sz val="9"/>
            <color indexed="81"/>
            <rFont val="Tahoma"/>
            <family val="2"/>
          </rPr>
          <t xml:space="preserve">
Angiv værdien 0, hvis anlægget ikke skal medtages i beregningen.
Ellers angiv værdien 1.</t>
        </r>
      </text>
    </comment>
    <comment ref="D11" authorId="0" shapeId="0" xr:uid="{39ECBAB1-B59D-4824-B37C-45DBEAC3C773}">
      <text>
        <r>
          <rPr>
            <b/>
            <sz val="9"/>
            <color indexed="81"/>
            <rFont val="Tahoma"/>
            <family val="2"/>
          </rPr>
          <t>Mogens Bech Laursen:</t>
        </r>
        <r>
          <rPr>
            <sz val="9"/>
            <color indexed="81"/>
            <rFont val="Tahoma"/>
            <family val="2"/>
          </rPr>
          <t xml:space="preserve">
Et anlæg med prioritet = N har forrang for alle anlæg med prioritet mindre end N.
To eller flere anlæg kan have samme prioritet.
Angiv prioritet = 0  for anlæg, som ikke prioriteres før andre.</t>
        </r>
      </text>
    </comment>
    <comment ref="E11" authorId="0" shapeId="0" xr:uid="{1E226130-3173-4EA4-8F57-2B5D02EF2AD6}">
      <text>
        <r>
          <rPr>
            <b/>
            <sz val="9"/>
            <color indexed="81"/>
            <rFont val="Tahoma"/>
            <family val="2"/>
          </rPr>
          <t>Mogens Bech Laursen:</t>
        </r>
        <r>
          <rPr>
            <sz val="9"/>
            <color indexed="81"/>
            <rFont val="Tahoma"/>
            <family val="2"/>
          </rPr>
          <t xml:space="preserve">
Mindste brændværdi af indfyret brændsels-mix.</t>
        </r>
      </text>
    </comment>
    <comment ref="F11" authorId="0" shapeId="0" xr:uid="{E9FB1145-F629-462E-9612-B000FA21C0DA}">
      <text>
        <r>
          <rPr>
            <b/>
            <sz val="9"/>
            <color indexed="81"/>
            <rFont val="Tahoma"/>
            <family val="2"/>
          </rPr>
          <t>Mogens Bech Laursen:</t>
        </r>
        <r>
          <rPr>
            <sz val="9"/>
            <color indexed="81"/>
            <rFont val="Tahoma"/>
            <family val="2"/>
          </rPr>
          <t xml:space="preserve">
Maksimal brændværdi af indfyret brændsels-mix.</t>
        </r>
      </text>
    </comment>
    <comment ref="G11" authorId="0" shapeId="0" xr:uid="{49E48B24-5AFC-4EF2-9BBD-D9321B92584D}">
      <text>
        <r>
          <rPr>
            <b/>
            <sz val="9"/>
            <color indexed="81"/>
            <rFont val="Tahoma"/>
            <family val="2"/>
          </rPr>
          <t>Mogens Bech Laursen:</t>
        </r>
        <r>
          <rPr>
            <sz val="9"/>
            <color indexed="81"/>
            <rFont val="Tahoma"/>
            <family val="2"/>
          </rPr>
          <t xml:space="preserve">
Mindste tonnage oplyst af FDR 2022-JAN-13 pr. tlf</t>
        </r>
      </text>
    </comment>
    <comment ref="H11" authorId="0" shapeId="0" xr:uid="{DF03D97D-B420-4DA4-A016-AA0BEC2633CB}">
      <text>
        <r>
          <rPr>
            <b/>
            <sz val="9"/>
            <color indexed="81"/>
            <rFont val="Tahoma"/>
            <family val="2"/>
          </rPr>
          <t>Mogens Bech Laursen:</t>
        </r>
        <r>
          <rPr>
            <sz val="9"/>
            <color indexed="81"/>
            <rFont val="Tahoma"/>
            <family val="2"/>
          </rPr>
          <t xml:space="preserve">
Tonnage-kapacitet</t>
        </r>
      </text>
    </comment>
    <comment ref="I11" authorId="0" shapeId="0" xr:uid="{C2BA34D4-3BBC-4BE9-A4E5-85F5CE026C7F}">
      <text>
        <r>
          <rPr>
            <b/>
            <sz val="9"/>
            <color indexed="81"/>
            <rFont val="Tahoma"/>
            <family val="2"/>
          </rPr>
          <t>Mogens Bech Laursen:</t>
        </r>
        <r>
          <rPr>
            <sz val="9"/>
            <color indexed="81"/>
            <rFont val="Tahoma"/>
            <family val="2"/>
          </rPr>
          <t xml:space="preserve">
Nominel varmekapacitet på effekt-basis.
Kun modtrykskapacitet for affaldsanlæg og fliskedel.</t>
        </r>
      </text>
    </comment>
    <comment ref="J11" authorId="0" shapeId="0" xr:uid="{273E8110-AC66-4FC4-AAFA-4C50AA8DC7BE}">
      <text>
        <r>
          <rPr>
            <b/>
            <sz val="9"/>
            <color indexed="81"/>
            <rFont val="Tahoma"/>
            <family val="2"/>
          </rPr>
          <t>Mogens Bech Laursen:</t>
        </r>
        <r>
          <rPr>
            <sz val="9"/>
            <color indexed="81"/>
            <rFont val="Tahoma"/>
            <family val="2"/>
          </rPr>
          <t xml:space="preserve">
Kapacitet af røggaskondenseringsanlæg.
Hvis RGK er aktiv, omfatter det begge anlæg pr. design.</t>
        </r>
      </text>
    </comment>
    <comment ref="K11" authorId="0" shapeId="0" xr:uid="{4BB56616-E73A-411A-ADD4-71F776C42A78}">
      <text>
        <r>
          <rPr>
            <b/>
            <sz val="9"/>
            <color indexed="81"/>
            <rFont val="Tahoma"/>
            <family val="2"/>
          </rPr>
          <t>Mogens Bech Laursen:</t>
        </r>
        <r>
          <rPr>
            <sz val="9"/>
            <color indexed="81"/>
            <rFont val="Tahoma"/>
            <family val="2"/>
          </rPr>
          <t xml:space="preserve">
Summen af nominel og røggaskondenserings kapacitet på effektbasis.</t>
        </r>
      </text>
    </comment>
    <comment ref="L11" authorId="0" shapeId="0" xr:uid="{C4CE271C-94D8-4228-B868-6F87CDA5ED87}">
      <text>
        <r>
          <rPr>
            <b/>
            <sz val="9"/>
            <color indexed="81"/>
            <rFont val="Tahoma"/>
            <family val="2"/>
          </rPr>
          <t>Mogens Bech Laursen:</t>
        </r>
        <r>
          <rPr>
            <sz val="9"/>
            <color indexed="81"/>
            <rFont val="Tahoma"/>
            <family val="2"/>
          </rPr>
          <t xml:space="preserve">
Summen af nominel og røggaskondenserings kapacitet på effektbasis.</t>
        </r>
      </text>
    </comment>
    <comment ref="M11" authorId="0" shapeId="0" xr:uid="{E43C5CA9-09E8-4D6C-B9EB-3324F70665AB}">
      <text>
        <r>
          <rPr>
            <b/>
            <sz val="9"/>
            <color indexed="81"/>
            <rFont val="Tahoma"/>
            <family val="2"/>
          </rPr>
          <t>Mogens Bech Laursen:</t>
        </r>
        <r>
          <rPr>
            <sz val="9"/>
            <color indexed="81"/>
            <rFont val="Tahoma"/>
            <family val="2"/>
          </rPr>
          <t xml:space="preserve">
Varmevirkningsgrad i modtryk.</t>
        </r>
      </text>
    </comment>
    <comment ref="N11" authorId="0" shapeId="0" xr:uid="{6088AA25-CCED-4BAB-A408-2756FC10A3A1}">
      <text>
        <r>
          <rPr>
            <b/>
            <sz val="9"/>
            <color indexed="81"/>
            <rFont val="Tahoma"/>
            <family val="2"/>
          </rPr>
          <t>Mogens Bech Laursen:</t>
        </r>
        <r>
          <rPr>
            <sz val="9"/>
            <color indexed="81"/>
            <rFont val="Tahoma"/>
            <family val="2"/>
          </rPr>
          <t xml:space="preserve">
Drift- og Vedligeholds-omkostninger på varmeproduktions-basis.</t>
        </r>
      </text>
    </comment>
    <comment ref="O11" authorId="0" shapeId="0" xr:uid="{87669F08-F7A8-4A02-9908-D8A3A371E365}">
      <text>
        <r>
          <rPr>
            <b/>
            <sz val="9"/>
            <color indexed="81"/>
            <rFont val="Tahoma"/>
            <family val="2"/>
          </rPr>
          <t>Mogens Bech Laursen:</t>
        </r>
        <r>
          <rPr>
            <sz val="9"/>
            <color indexed="81"/>
            <rFont val="Tahoma"/>
            <family val="2"/>
          </rPr>
          <t xml:space="preserve">
Drift- og Vedligeholds-omkostninger på driftstime-basis.</t>
        </r>
      </text>
    </comment>
    <comment ref="T11" authorId="0" shapeId="0" xr:uid="{3B67CC8D-6CD2-4A1B-A5EC-15B232580F97}">
      <text>
        <r>
          <rPr>
            <b/>
            <sz val="9"/>
            <color indexed="81"/>
            <rFont val="Tahoma"/>
            <family val="2"/>
          </rPr>
          <t>Mogens Bech Laursen:</t>
        </r>
        <r>
          <rPr>
            <sz val="9"/>
            <color indexed="81"/>
            <rFont val="Tahoma"/>
            <family val="2"/>
          </rPr>
          <t xml:space="preserve">
Start lagerbeholdning før første måned i optimeringsperioden.
Gælder kun varmelagre, ikke affaldslagre, som specificeres i DataFuel.</t>
        </r>
      </text>
    </comment>
    <comment ref="U11" authorId="0" shapeId="0" xr:uid="{035F7281-F78C-42C8-AE89-E67FA8C7BCC2}">
      <text>
        <r>
          <rPr>
            <b/>
            <sz val="9"/>
            <color indexed="81"/>
            <rFont val="Tahoma"/>
            <family val="2"/>
          </rPr>
          <t>Mogens Bech Laursen:</t>
        </r>
        <r>
          <rPr>
            <sz val="9"/>
            <color indexed="81"/>
            <rFont val="Tahoma"/>
            <family val="2"/>
          </rPr>
          <t xml:space="preserve">
Skal være nul for affaldslagre.</t>
        </r>
      </text>
    </comment>
    <comment ref="Y11" authorId="0" shapeId="0" xr:uid="{37D8DD34-071D-4D6B-AA89-98F28C802D92}">
      <text>
        <r>
          <rPr>
            <b/>
            <sz val="9"/>
            <color indexed="81"/>
            <rFont val="Tahoma"/>
            <family val="2"/>
          </rPr>
          <t>Mogens Bech Laursen:</t>
        </r>
        <r>
          <rPr>
            <sz val="9"/>
            <color indexed="81"/>
            <rFont val="Tahoma"/>
            <family val="2"/>
          </rPr>
          <t xml:space="preserve">
Omkostning for at opbevare 1 ton på lager.</t>
        </r>
      </text>
    </comment>
    <comment ref="Z11" authorId="0" shapeId="0" xr:uid="{FDE86312-4D0B-44CC-8B17-779D7B9C13B2}">
      <text>
        <r>
          <rPr>
            <b/>
            <sz val="9"/>
            <color indexed="81"/>
            <rFont val="Tahoma"/>
            <family val="2"/>
          </rPr>
          <t>Mogens Bech Laursen:</t>
        </r>
        <r>
          <rPr>
            <sz val="9"/>
            <color indexed="81"/>
            <rFont val="Tahoma"/>
            <family val="2"/>
          </rPr>
          <t xml:space="preserve">
Omkostning for at fragte 1 ton affald til/fra lager</t>
        </r>
      </text>
    </comment>
    <comment ref="AA11" authorId="0" shapeId="0" xr:uid="{10FFEA34-C678-43EB-BF7B-94083D26535F}">
      <text>
        <r>
          <rPr>
            <b/>
            <sz val="9"/>
            <color indexed="81"/>
            <rFont val="Tahoma"/>
            <family val="2"/>
          </rPr>
          <t>Mogens Bech Laursen:</t>
        </r>
        <r>
          <rPr>
            <sz val="9"/>
            <color indexed="81"/>
            <rFont val="Tahoma"/>
            <family val="2"/>
          </rPr>
          <t xml:space="preserve">
Første antal måneder indenfor hvilket en nulstilling af lageret skal være udført.</t>
        </r>
      </text>
    </comment>
    <comment ref="AB11" authorId="0" shapeId="0" xr:uid="{77745166-7187-4BA6-9E71-FB8121B2705C}">
      <text>
        <r>
          <rPr>
            <b/>
            <sz val="9"/>
            <color indexed="81"/>
            <rFont val="Tahoma"/>
            <family val="2"/>
          </rPr>
          <t>Mogens Bech Laursen:</t>
        </r>
        <r>
          <rPr>
            <sz val="9"/>
            <color indexed="81"/>
            <rFont val="Tahoma"/>
            <family val="2"/>
          </rPr>
          <t xml:space="preserve">
Antal måneder mellem hver nustilling, når den først nulstilling er udført.</t>
        </r>
      </text>
    </comment>
    <comment ref="AC11" authorId="0" shapeId="0" xr:uid="{3A80ED06-E850-47F2-8BF1-5563F16C94B9}">
      <text>
        <r>
          <rPr>
            <b/>
            <sz val="9"/>
            <color indexed="81"/>
            <rFont val="Tahoma"/>
            <family val="2"/>
          </rPr>
          <t>Mogens Bech Laursen:</t>
        </r>
        <r>
          <rPr>
            <sz val="9"/>
            <color indexed="81"/>
            <rFont val="Tahoma"/>
            <family val="2"/>
          </rPr>
          <t xml:space="preserve">
Angiver 0/1  at lagerbeholdningen skal være nul i sidste måned.</t>
        </r>
      </text>
    </comment>
    <comment ref="G12" authorId="0" shapeId="0" xr:uid="{EB1E5688-C3BD-47CE-8992-9D418AA350C4}">
      <text>
        <r>
          <rPr>
            <b/>
            <sz val="9"/>
            <color indexed="81"/>
            <rFont val="Tahoma"/>
            <family val="2"/>
          </rPr>
          <t>Mogens Bech Laursen:</t>
        </r>
        <r>
          <rPr>
            <sz val="9"/>
            <color indexed="81"/>
            <rFont val="Tahoma"/>
            <family val="2"/>
          </rPr>
          <t xml:space="preserve">
Oplyst af FDR til 2,2 ton/h</t>
        </r>
      </text>
    </comment>
    <comment ref="M12" authorId="0" shapeId="0" xr:uid="{C4163C78-39DE-41E7-AD5C-84DEA12C3CAC}">
      <text>
        <r>
          <rPr>
            <b/>
            <sz val="9"/>
            <color indexed="81"/>
            <rFont val="Tahoma"/>
            <family val="2"/>
          </rPr>
          <t>Mogens Bech Laursen:</t>
        </r>
        <r>
          <rPr>
            <sz val="9"/>
            <color indexed="81"/>
            <rFont val="Tahoma"/>
            <family val="2"/>
          </rPr>
          <t xml:space="preserve">
Oplyst af FDR på basis af LHV 10 GJ/ton</t>
        </r>
      </text>
    </comment>
    <comment ref="Q12" authorId="0" shapeId="0" xr:uid="{C3AD3A28-AC4E-48E3-91B7-3CC59EE2B003}">
      <text>
        <r>
          <rPr>
            <b/>
            <sz val="9"/>
            <color indexed="81"/>
            <rFont val="Tahoma"/>
            <family val="2"/>
          </rPr>
          <t>Mogens Bech Laursen:</t>
        </r>
        <r>
          <rPr>
            <sz val="9"/>
            <color indexed="81"/>
            <rFont val="Tahoma"/>
            <family val="2"/>
          </rPr>
          <t xml:space="preserve">
sto1 er affaldssiloen på 1800 -2000 ton</t>
        </r>
      </text>
    </comment>
    <comment ref="G13" authorId="0" shapeId="0" xr:uid="{38E7CB53-80A5-4168-80F5-822535FE3336}">
      <text>
        <r>
          <rPr>
            <b/>
            <sz val="9"/>
            <color indexed="81"/>
            <rFont val="Tahoma"/>
            <family val="2"/>
          </rPr>
          <t>Mogens Bech Laursen:</t>
        </r>
        <r>
          <rPr>
            <sz val="9"/>
            <color indexed="81"/>
            <rFont val="Tahoma"/>
            <family val="2"/>
          </rPr>
          <t xml:space="preserve">
Oplyst af FDR til 6,3 ton/h</t>
        </r>
      </text>
    </comment>
    <comment ref="J13" authorId="0" shapeId="0" xr:uid="{162EFA6E-CF41-4E56-B7D1-67C4A33FC296}">
      <text>
        <r>
          <rPr>
            <b/>
            <sz val="9"/>
            <color indexed="81"/>
            <rFont val="Tahoma"/>
            <family val="2"/>
          </rPr>
          <t>Mogens Bech Laursen:</t>
        </r>
        <r>
          <rPr>
            <sz val="9"/>
            <color indexed="81"/>
            <rFont val="Tahoma"/>
            <family val="2"/>
          </rPr>
          <t xml:space="preserve">
Projektforslaget for RGK angiver 6 MWq RGK ifølge OHL. 
JKO angiver 5,0 hhv 5,5 MWq i tilsendt regneark fra sept 2021.</t>
        </r>
      </text>
    </comment>
    <comment ref="K13" authorId="0" shapeId="0" xr:uid="{1D442813-D6F0-4716-842A-ECEE70763CC2}">
      <text>
        <r>
          <rPr>
            <b/>
            <sz val="9"/>
            <color indexed="81"/>
            <rFont val="Tahoma"/>
            <family val="2"/>
          </rPr>
          <t>Mogens Bech Laursen:</t>
        </r>
        <r>
          <rPr>
            <sz val="9"/>
            <color indexed="81"/>
            <rFont val="Tahoma"/>
            <family val="2"/>
          </rPr>
          <t xml:space="preserve">
KapE er bruttokapacitet:
Gl. turbine 7,5 MWe
Ny turbine 8,0 MWe </t>
        </r>
      </text>
    </comment>
    <comment ref="L13" authorId="0" shapeId="0" xr:uid="{1AF10D4E-4E41-4171-A6C8-63BBF4047205}">
      <text>
        <r>
          <rPr>
            <b/>
            <sz val="9"/>
            <color indexed="81"/>
            <rFont val="Tahoma"/>
            <family val="2"/>
          </rPr>
          <t>Mogens Bech Laursen:</t>
        </r>
        <r>
          <rPr>
            <sz val="9"/>
            <color indexed="81"/>
            <rFont val="Tahoma"/>
            <family val="2"/>
          </rPr>
          <t xml:space="preserve">
FDR har oplyst:
Gammel turbine: 18 % til og med august 2021
Ny turbine:  22,47 %  fra og med september 2021.
</t>
        </r>
        <r>
          <rPr>
            <b/>
            <sz val="9"/>
            <color indexed="81"/>
            <rFont val="Tahoma"/>
            <family val="2"/>
          </rPr>
          <t>OBS:</t>
        </r>
        <r>
          <rPr>
            <sz val="9"/>
            <color indexed="81"/>
            <rFont val="Tahoma"/>
            <family val="2"/>
          </rPr>
          <t xml:space="preserve"> Modelkoden sikrer, at el-virkningsgraden afspejler denne tidslige variation.</t>
        </r>
      </text>
    </comment>
    <comment ref="M13" authorId="0" shapeId="0" xr:uid="{12CFD7A6-D38E-47A8-8EDC-CD53066B4213}">
      <text>
        <r>
          <rPr>
            <b/>
            <sz val="9"/>
            <color indexed="81"/>
            <rFont val="Tahoma"/>
            <family val="2"/>
          </rPr>
          <t>Mogens Bech Laursen:</t>
        </r>
        <r>
          <rPr>
            <sz val="9"/>
            <color indexed="81"/>
            <rFont val="Tahoma"/>
            <family val="2"/>
          </rPr>
          <t xml:space="preserve">
Oplyst af FDR @ 10 GJ/ton til 65,6 %</t>
        </r>
      </text>
    </comment>
    <comment ref="N13" authorId="0" shapeId="0" xr:uid="{DE2263BA-74C4-4163-A5FD-783B1830F4BF}">
      <text>
        <r>
          <rPr>
            <b/>
            <sz val="9"/>
            <color indexed="81"/>
            <rFont val="Tahoma"/>
            <family val="2"/>
          </rPr>
          <t>Mogens Bech Laursen:</t>
        </r>
        <r>
          <rPr>
            <sz val="9"/>
            <color indexed="81"/>
            <rFont val="Tahoma"/>
            <family val="2"/>
          </rPr>
          <t xml:space="preserve">
Ovn3 omfatter også dampturbine og generator.</t>
        </r>
      </text>
    </comment>
    <comment ref="Q13" authorId="0" shapeId="0" xr:uid="{3D3467D8-1359-42B1-B851-EE71A0C7A390}">
      <text>
        <r>
          <rPr>
            <b/>
            <sz val="9"/>
            <color indexed="81"/>
            <rFont val="Tahoma"/>
            <family val="2"/>
          </rPr>
          <t>Mogens Bech Laursen:</t>
        </r>
        <r>
          <rPr>
            <sz val="9"/>
            <color indexed="81"/>
            <rFont val="Tahoma"/>
            <family val="2"/>
          </rPr>
          <t xml:space="preserve">
sto2 er et muligt fremtidigt affaldslager.</t>
        </r>
      </text>
    </comment>
    <comment ref="A14" authorId="0" shapeId="0" xr:uid="{E71BD6EE-95EB-4517-90EA-F4F01881B1DF}">
      <text>
        <r>
          <rPr>
            <sz val="9"/>
            <color indexed="81"/>
            <rFont val="Tahoma"/>
            <family val="2"/>
          </rPr>
          <t>FlisK er REFAs fliskedel</t>
        </r>
      </text>
    </comment>
    <comment ref="A15" authorId="0" shapeId="0" xr:uid="{1BF0A53B-67E6-4009-A118-FBFAAE516289}">
      <text>
        <r>
          <rPr>
            <b/>
            <sz val="9"/>
            <color indexed="81"/>
            <rFont val="Tahoma"/>
            <family val="2"/>
          </rPr>
          <t>Mogens Bech Laursen:</t>
        </r>
        <r>
          <rPr>
            <sz val="9"/>
            <color indexed="81"/>
            <rFont val="Tahoma"/>
            <family val="2"/>
          </rPr>
          <t xml:space="preserve">
NS er varmelevrandør Nordic Sugar</t>
        </r>
      </text>
    </comment>
    <comment ref="A16" authorId="0" shapeId="0" xr:uid="{80AE2826-2E14-4DC0-8B9A-34A402AC577B}">
      <text>
        <r>
          <rPr>
            <b/>
            <sz val="9"/>
            <color indexed="81"/>
            <rFont val="Tahoma"/>
            <family val="2"/>
          </rPr>
          <t>Mogens Bech Laursen:</t>
        </r>
        <r>
          <rPr>
            <sz val="9"/>
            <color indexed="81"/>
            <rFont val="Tahoma"/>
            <family val="2"/>
          </rPr>
          <t xml:space="preserve">
Cooler er affaldsanlæggets bortkøler.</t>
        </r>
      </text>
    </comment>
    <comment ref="A17" authorId="0" shapeId="0" xr:uid="{345FE42E-0DA1-49FE-B7FC-67E519A8623E}">
      <text>
        <r>
          <rPr>
            <b/>
            <sz val="9"/>
            <color indexed="81"/>
            <rFont val="Tahoma"/>
            <family val="2"/>
          </rPr>
          <t>Mogens Bech Laursen:</t>
        </r>
        <r>
          <rPr>
            <sz val="9"/>
            <color indexed="81"/>
            <rFont val="Tahoma"/>
            <family val="2"/>
          </rPr>
          <t xml:space="preserve">
Peak er SR-kedler hos Guldborgsund Forsyning</t>
        </r>
      </text>
    </comment>
    <comment ref="G21" authorId="0" shapeId="0" xr:uid="{2F73AC00-33F7-4B2A-966E-06934688A4F9}">
      <text>
        <r>
          <rPr>
            <b/>
            <sz val="9"/>
            <color indexed="81"/>
            <rFont val="Tahoma"/>
            <family val="2"/>
          </rPr>
          <t>Mogens Bech Laursen:</t>
        </r>
        <r>
          <rPr>
            <sz val="9"/>
            <color indexed="81"/>
            <rFont val="Tahoma"/>
            <family val="2"/>
          </rPr>
          <t xml:space="preserve">
Rådige dage angiver antal dage i hver måned, hvor et anlæg er til rådighed. 
Dermed kan revisioner angives ved at begrænse antal dage.</t>
        </r>
      </text>
    </comment>
    <comment ref="E22" authorId="0" shapeId="0" xr:uid="{33111670-0CBA-4DDB-B049-475DE89CFE6C}">
      <text>
        <r>
          <rPr>
            <b/>
            <sz val="9"/>
            <color indexed="81"/>
            <rFont val="Tahoma"/>
            <family val="2"/>
          </rPr>
          <t>Mogens Bech Laursen:</t>
        </r>
        <r>
          <rPr>
            <sz val="9"/>
            <color indexed="81"/>
            <rFont val="Tahoma"/>
            <family val="2"/>
          </rPr>
          <t xml:space="preserve">
En given måneds aktiv-status bestemmes af periodetabellen øverst på dette ark.</t>
        </r>
      </text>
    </comment>
    <comment ref="M22" authorId="0" shapeId="0" xr:uid="{C9D65F32-94AA-432E-AC3E-B368239B5E7A}">
      <text>
        <r>
          <rPr>
            <b/>
            <sz val="9"/>
            <color indexed="81"/>
            <rFont val="Tahoma"/>
            <family val="2"/>
          </rPr>
          <t>Mogens Bech Laursen:</t>
        </r>
        <r>
          <rPr>
            <sz val="9"/>
            <color indexed="81"/>
            <rFont val="Tahoma"/>
            <family val="2"/>
          </rPr>
          <t xml:space="preserve">
Antal timer hvor Ovn3 kører med turbine-bypass</t>
        </r>
      </text>
    </comment>
    <comment ref="O22" authorId="0" shapeId="0" xr:uid="{FC057386-AC9C-4CB7-9B42-B889551C5AF9}">
      <text>
        <r>
          <rPr>
            <b/>
            <sz val="9"/>
            <color indexed="81"/>
            <rFont val="Tahoma"/>
            <family val="2"/>
          </rPr>
          <t>Mogens Bech Laursen:</t>
        </r>
        <r>
          <rPr>
            <sz val="9"/>
            <color indexed="81"/>
            <rFont val="Tahoma"/>
            <family val="2"/>
          </rPr>
          <t xml:space="preserve">
Nordic Sugar varmemængde [MWhq]</t>
        </r>
      </text>
    </comment>
    <comment ref="P22" authorId="0" shapeId="0" xr:uid="{C8B9882F-E62B-4918-80C2-DB3DD80CC013}">
      <text>
        <r>
          <rPr>
            <b/>
            <sz val="9"/>
            <color indexed="81"/>
            <rFont val="Tahoma"/>
            <family val="2"/>
          </rPr>
          <t>Mogens Bech Laursen:</t>
        </r>
        <r>
          <rPr>
            <sz val="9"/>
            <color indexed="81"/>
            <rFont val="Tahoma"/>
            <family val="2"/>
          </rPr>
          <t xml:space="preserve">
Elproduktionen beregnes af modellen. Denne kolonne fastholder blot historiske elpriser.</t>
        </r>
      </text>
    </comment>
    <comment ref="Q22" authorId="0" shapeId="0" xr:uid="{920EC7B4-ACCA-4655-ACB8-4227F0388D04}">
      <text>
        <r>
          <rPr>
            <b/>
            <sz val="9"/>
            <color indexed="81"/>
            <rFont val="Tahoma"/>
            <family val="2"/>
          </rPr>
          <t>Mogens Bech Laursen:</t>
        </r>
        <r>
          <rPr>
            <sz val="9"/>
            <color indexed="81"/>
            <rFont val="Tahoma"/>
            <family val="2"/>
          </rPr>
          <t xml:space="preserve">
Angiver 0/1 om turbine-bypass er tilladt.</t>
        </r>
      </text>
    </comment>
    <comment ref="R22" authorId="0" shapeId="0" xr:uid="{C7705DAF-F0E3-44AF-AAF4-0059FC14E3AF}">
      <text>
        <r>
          <rPr>
            <b/>
            <sz val="9"/>
            <color indexed="81"/>
            <rFont val="Tahoma"/>
            <family val="2"/>
          </rPr>
          <t>Mogens Bech Laursen:</t>
        </r>
        <r>
          <rPr>
            <sz val="9"/>
            <color indexed="81"/>
            <rFont val="Tahoma"/>
            <family val="2"/>
          </rPr>
          <t xml:space="preserve">
En prognose for elspot-prisen kan tages fra Energistyrelsens årlige fremskrivninger.</t>
        </r>
      </text>
    </comment>
    <comment ref="S22" authorId="0" shapeId="0" xr:uid="{55EF4127-07AE-4DB2-961E-E197DDAC1E96}">
      <text>
        <r>
          <rPr>
            <b/>
            <sz val="9"/>
            <color indexed="81"/>
            <rFont val="Tahoma"/>
            <family val="2"/>
          </rPr>
          <t>Mogens Bech Laursen:</t>
        </r>
        <r>
          <rPr>
            <sz val="9"/>
            <color indexed="81"/>
            <rFont val="Tahoma"/>
            <family val="2"/>
          </rPr>
          <t xml:space="preserve">
CO2-kvotepris [kr/ton CO2]
</t>
        </r>
      </text>
    </comment>
    <comment ref="T22" authorId="0" shapeId="0" xr:uid="{21D81C9D-47A0-4015-B959-CF28E15EDCAB}">
      <text>
        <r>
          <rPr>
            <b/>
            <sz val="9"/>
            <color indexed="81"/>
            <rFont val="Tahoma"/>
            <family val="2"/>
          </rPr>
          <t>Mogens Bech Laursen:</t>
        </r>
        <r>
          <rPr>
            <sz val="9"/>
            <color indexed="81"/>
            <rFont val="Tahoma"/>
            <family val="2"/>
          </rPr>
          <t xml:space="preserve">
Affaldvarmeafgift efter fradrag af tillægsafgift divideret med 1,20.</t>
        </r>
      </text>
    </comment>
    <comment ref="U22" authorId="0" shapeId="0" xr:uid="{DA5B86A8-FAE8-4B09-8446-931AD6EA39AB}">
      <text>
        <r>
          <rPr>
            <b/>
            <sz val="9"/>
            <color indexed="81"/>
            <rFont val="Tahoma"/>
            <family val="2"/>
          </rPr>
          <t>Mogens Bech Laursen:</t>
        </r>
        <r>
          <rPr>
            <sz val="9"/>
            <color indexed="81"/>
            <rFont val="Tahoma"/>
            <family val="2"/>
          </rPr>
          <t xml:space="preserve">
Tillægsafgift </t>
        </r>
      </text>
    </comment>
    <comment ref="V22" authorId="0" shapeId="0" xr:uid="{23810D1B-E18B-4AB5-8537-D31F82B03BA1}">
      <text>
        <r>
          <rPr>
            <b/>
            <sz val="9"/>
            <color indexed="81"/>
            <rFont val="Tahoma"/>
            <family val="2"/>
          </rPr>
          <t>Mogens Bech Laursen:</t>
        </r>
        <r>
          <rPr>
            <sz val="9"/>
            <color indexed="81"/>
            <rFont val="Tahoma"/>
            <family val="2"/>
          </rPr>
          <t xml:space="preserve">
CO2-indhold [kg / GJ indfyret] som grundlag for CO2-afgift for ikke-bionedbrydeligt affald.</t>
        </r>
      </text>
    </comment>
    <comment ref="W22" authorId="0" shapeId="0" xr:uid="{BCB377FA-EE97-467E-A36F-EC25F8DC60D7}">
      <text>
        <r>
          <rPr>
            <b/>
            <sz val="9"/>
            <color indexed="81"/>
            <rFont val="Tahoma"/>
            <family val="2"/>
          </rPr>
          <t>Mogens Bech Laursen:</t>
        </r>
        <r>
          <rPr>
            <sz val="9"/>
            <color indexed="81"/>
            <rFont val="Tahoma"/>
            <family val="2"/>
          </rPr>
          <t xml:space="preserve">
Grundlag for CO2-kvote-betaling for ikke-bionedbrydeligt affald er følgende:
Både CO2-indhold og brændværdi for affald uanset fraktion er fastlagt af Energistyrelsen.
CO2-indhold [kg / ton affald] beregnes som produktet af en sats fra Energistyrelsen på 42,50 kgCO2 / GJ-indfyret og en sats for energiindhold i affald på 10,6 GJ/ton.
Denne udregning er udført i denne kolonne, så satsen opgøres i  kgCO2/tonAffald.</t>
        </r>
      </text>
    </comment>
    <comment ref="X22" authorId="0" shapeId="0" xr:uid="{C3625ECE-720D-47D5-B4F8-C6915E47EECB}">
      <text>
        <r>
          <rPr>
            <b/>
            <sz val="9"/>
            <color indexed="81"/>
            <rFont val="Tahoma"/>
            <family val="2"/>
          </rPr>
          <t xml:space="preserve">Mogens Bech Laursen:
</t>
        </r>
        <r>
          <rPr>
            <sz val="9"/>
            <color indexed="81"/>
            <rFont val="Tahoma"/>
            <family val="2"/>
          </rPr>
          <t xml:space="preserve">
CO2-afgift på affald (SKATs angivelse)</t>
        </r>
      </text>
    </comment>
    <comment ref="Y22" authorId="0" shapeId="0" xr:uid="{645CCDCC-8FBC-4DB7-97A9-910F31EC8C87}">
      <text>
        <r>
          <rPr>
            <b/>
            <sz val="9"/>
            <color indexed="81"/>
            <rFont val="Tahoma"/>
            <family val="2"/>
          </rPr>
          <t xml:space="preserve">Mogens Bech Laursen:
</t>
        </r>
        <r>
          <rPr>
            <sz val="9"/>
            <color indexed="81"/>
            <rFont val="Tahoma"/>
            <family val="2"/>
          </rPr>
          <t xml:space="preserve">
NOx-afgift på affald</t>
        </r>
      </text>
    </comment>
    <comment ref="Z22" authorId="0" shapeId="0" xr:uid="{63560175-AD70-4804-BCFE-D30A9DBE250F}">
      <text>
        <r>
          <rPr>
            <b/>
            <sz val="9"/>
            <color indexed="81"/>
            <rFont val="Tahoma"/>
            <family val="2"/>
          </rPr>
          <t xml:space="preserve">Mogens Bech Laursen:
</t>
        </r>
        <r>
          <rPr>
            <sz val="9"/>
            <color indexed="81"/>
            <rFont val="Tahoma"/>
            <family val="2"/>
          </rPr>
          <t xml:space="preserve">
NOx-afgift på biobrændsel (flis)</t>
        </r>
      </text>
    </comment>
    <comment ref="AB22" authorId="0" shapeId="0" xr:uid="{BE3DAA0B-A684-42B1-AA2F-A03B9A7A6E16}">
      <text>
        <r>
          <rPr>
            <b/>
            <sz val="9"/>
            <color indexed="81"/>
            <rFont val="Tahoma"/>
            <family val="2"/>
          </rPr>
          <t xml:space="preserve">Mogens Bech Laursen:
</t>
        </r>
        <r>
          <rPr>
            <sz val="9"/>
            <color indexed="81"/>
            <rFont val="Tahoma"/>
            <family val="2"/>
          </rPr>
          <t xml:space="preserve">
CO2-afgift på SR-brændsel</t>
        </r>
      </text>
    </comment>
    <comment ref="AC22" authorId="0" shapeId="0" xr:uid="{2B7642CF-4380-425A-BAFF-9F210A3AD9ED}">
      <text>
        <r>
          <rPr>
            <b/>
            <sz val="9"/>
            <color indexed="81"/>
            <rFont val="Tahoma"/>
            <family val="2"/>
          </rPr>
          <t xml:space="preserve">Mogens Bech Laursen:
</t>
        </r>
        <r>
          <rPr>
            <sz val="9"/>
            <color indexed="81"/>
            <rFont val="Tahoma"/>
            <family val="2"/>
          </rPr>
          <t xml:space="preserve">
Energi-afgift på SR-brændsel</t>
        </r>
      </text>
    </comment>
    <comment ref="AE22" authorId="0" shapeId="0" xr:uid="{DFF47480-D744-4BEC-A624-F035B59BF752}">
      <text>
        <r>
          <rPr>
            <b/>
            <sz val="9"/>
            <color indexed="81"/>
            <rFont val="Tahoma"/>
            <family val="2"/>
          </rPr>
          <t>Mogens Bech Laursen:</t>
        </r>
        <r>
          <rPr>
            <sz val="9"/>
            <color indexed="81"/>
            <rFont val="Tahoma"/>
            <family val="2"/>
          </rPr>
          <t xml:space="preserve">
CO2-kvotepris [kr/ton CO2]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Mogens Bech Laursen</author>
  </authors>
  <commentList>
    <comment ref="B4" authorId="0" shapeId="0" xr:uid="{3953698B-AD16-4CF8-A8F0-DA92EDF79112}">
      <text>
        <r>
          <rPr>
            <b/>
            <sz val="9"/>
            <color indexed="81"/>
            <rFont val="Tahoma"/>
            <family val="2"/>
          </rPr>
          <t>Mogens Bech Laursen:</t>
        </r>
        <r>
          <rPr>
            <sz val="9"/>
            <color indexed="81"/>
            <rFont val="Tahoma"/>
            <family val="2"/>
          </rPr>
          <t xml:space="preserve">
Det fulde navn kan vælges frit, men det kort navn kan ikke.</t>
        </r>
      </text>
    </comment>
    <comment ref="D4" authorId="0" shapeId="0" xr:uid="{73DC13EF-0514-49F0-9E91-5E8E9E820231}">
      <text>
        <r>
          <rPr>
            <b/>
            <sz val="9"/>
            <color indexed="81"/>
            <rFont val="Tahoma"/>
            <family val="2"/>
          </rPr>
          <t>Mogens Bech Laursen:</t>
        </r>
        <r>
          <rPr>
            <sz val="9"/>
            <color indexed="81"/>
            <rFont val="Tahoma"/>
            <family val="2"/>
          </rPr>
          <t xml:space="preserve">
Hvis aktiv = 0, så medtages fraktionen ikke i beregningen uanset de nedenstående tabeller.</t>
        </r>
      </text>
    </comment>
    <comment ref="G4" authorId="0" shapeId="0" xr:uid="{1940E6E9-9E68-4E76-979E-64809373E343}">
      <text>
        <r>
          <rPr>
            <b/>
            <sz val="9"/>
            <color indexed="81"/>
            <rFont val="Tahoma"/>
            <family val="2"/>
          </rPr>
          <t>Mogens Bech Laursen:</t>
        </r>
        <r>
          <rPr>
            <sz val="9"/>
            <color indexed="81"/>
            <rFont val="Tahoma"/>
            <family val="2"/>
          </rPr>
          <t xml:space="preserve">
Kun relevant for nye kontrakter: 
Hvis fri = 1, kan årsforbruget være mindre end max. tonnagen.</t>
        </r>
      </text>
    </comment>
    <comment ref="H4" authorId="0" shapeId="0" xr:uid="{FD1BB178-88BE-4B9B-900F-C4201604D9F5}">
      <text>
        <r>
          <rPr>
            <b/>
            <sz val="9"/>
            <color indexed="81"/>
            <rFont val="Tahoma"/>
            <family val="2"/>
          </rPr>
          <t>Mogens Bech Laursen:</t>
        </r>
        <r>
          <rPr>
            <sz val="9"/>
            <color indexed="81"/>
            <rFont val="Tahoma"/>
            <family val="2"/>
          </rPr>
          <t xml:space="preserve">
Hvis flex = 1, er der elastiske grænser for månedsforbruget, men årsforbrugets grænser skal overholsdes.</t>
        </r>
      </text>
    </comment>
    <comment ref="J4" authorId="0" shapeId="0" xr:uid="{FCDC38B4-D6DA-4C09-B9E2-9EC9DDC7B16D}">
      <text>
        <r>
          <rPr>
            <b/>
            <sz val="9"/>
            <color indexed="81"/>
            <rFont val="Tahoma"/>
            <family val="2"/>
          </rPr>
          <t>Mogens Bech Laursen:</t>
        </r>
        <r>
          <rPr>
            <sz val="9"/>
            <color indexed="81"/>
            <rFont val="Tahoma"/>
            <family val="2"/>
          </rPr>
          <t xml:space="preserve">
Værdien 0 angiver, at fraktionen ikke må afbrændes i Ovn2. </t>
        </r>
      </text>
    </comment>
    <comment ref="K4" authorId="0" shapeId="0" xr:uid="{546DF3CE-7845-475D-8D15-94C080479734}">
      <text>
        <r>
          <rPr>
            <b/>
            <sz val="9"/>
            <color indexed="81"/>
            <rFont val="Tahoma"/>
            <family val="2"/>
          </rPr>
          <t>Mogens Bech Laursen:</t>
        </r>
        <r>
          <rPr>
            <sz val="9"/>
            <color indexed="81"/>
            <rFont val="Tahoma"/>
            <family val="2"/>
          </rPr>
          <t xml:space="preserve">
Værdien 0 angiver, at fraktionen ikke må afbrændes i Ovn3.</t>
        </r>
      </text>
    </comment>
    <comment ref="O4" authorId="0" shapeId="0" xr:uid="{30C61710-ECAC-4006-A90D-9A816E6A00BE}">
      <text>
        <r>
          <rPr>
            <b/>
            <sz val="9"/>
            <color indexed="81"/>
            <rFont val="Tahoma"/>
            <family val="2"/>
          </rPr>
          <t>Mogens Bech Laursen:</t>
        </r>
        <r>
          <rPr>
            <sz val="9"/>
            <color indexed="81"/>
            <rFont val="Tahoma"/>
            <family val="2"/>
          </rPr>
          <t xml:space="preserve">
Lagerbeholdning på lager 1 
ved start af første periode.
Negativt tal angiver, at brændsels-fraktionen ikke kan benytte lager 1.</t>
        </r>
      </text>
    </comment>
    <comment ref="P4" authorId="0" shapeId="0" xr:uid="{D27ED6F3-7786-4AF5-A135-871D18935A06}">
      <text>
        <r>
          <rPr>
            <b/>
            <sz val="9"/>
            <color indexed="81"/>
            <rFont val="Tahoma"/>
            <family val="2"/>
          </rPr>
          <t>Mogens Bech Laursen:</t>
        </r>
        <r>
          <rPr>
            <sz val="9"/>
            <color indexed="81"/>
            <rFont val="Tahoma"/>
            <family val="2"/>
          </rPr>
          <t xml:space="preserve">
Lagerbeholdning på lager 2 
ved start af første periode.
Negativt tal angiver, at brændsels-fraktionen ikke kan benytte lager 2.</t>
        </r>
      </text>
    </comment>
    <comment ref="T4" authorId="0" shapeId="0" xr:uid="{E5FD0B70-0E31-42EE-BE5C-8F0D015B616C}">
      <text>
        <r>
          <rPr>
            <b/>
            <sz val="9"/>
            <color indexed="81"/>
            <rFont val="Tahoma"/>
            <family val="2"/>
          </rPr>
          <t>Mogens Bech Laursen:</t>
        </r>
        <r>
          <rPr>
            <sz val="9"/>
            <color indexed="81"/>
            <rFont val="Tahoma"/>
            <family val="2"/>
          </rPr>
          <t xml:space="preserve">
CO2-afgiftsloven 5, pkt 4), stk. 2:
"Hvis affaldets faktiske emissionsfaktor, jf. 1. pkt., ikke opgøres i overensstemmelse med lov om CO2-kvoter, anvendes en emissionsfaktor på 37,0 kg CO2/GJ for affaldet,"</t>
        </r>
      </text>
    </comment>
    <comment ref="U4" authorId="0" shapeId="0" xr:uid="{B1FB5464-29D2-4378-9AFE-2EF6BEA162B6}">
      <text>
        <r>
          <rPr>
            <b/>
            <sz val="9"/>
            <color indexed="81"/>
            <rFont val="Tahoma"/>
            <family val="2"/>
          </rPr>
          <t>Mogens Bech Laursen:</t>
        </r>
        <r>
          <rPr>
            <sz val="9"/>
            <color indexed="81"/>
            <rFont val="Tahoma"/>
            <family val="2"/>
          </rPr>
          <t xml:space="preserve">
CO2-potentialet er den CO2-udledning, som udledes ved forbrænding af brændslet.</t>
        </r>
      </text>
    </comment>
    <comment ref="Q31" authorId="0" shapeId="0" xr:uid="{3E60DC9E-36C7-487C-A976-B54DF0F090B1}">
      <text>
        <r>
          <rPr>
            <b/>
            <sz val="9"/>
            <color indexed="81"/>
            <rFont val="Tahoma"/>
            <family val="2"/>
          </rPr>
          <t>Mogens Bech Laursen:</t>
        </r>
        <r>
          <rPr>
            <sz val="9"/>
            <color indexed="81"/>
            <rFont val="Tahoma"/>
            <family val="2"/>
          </rPr>
          <t xml:space="preserve">
Købsomkostning for alle brændselstyper pånær affald.</t>
        </r>
      </text>
    </comment>
    <comment ref="Q32" authorId="0" shapeId="0" xr:uid="{6DAB209F-E3FF-4514-9E27-0C41F640B989}">
      <text>
        <r>
          <rPr>
            <b/>
            <sz val="9"/>
            <color indexed="81"/>
            <rFont val="Tahoma"/>
            <family val="2"/>
          </rPr>
          <t>Mogens Bech Laursen:</t>
        </r>
        <r>
          <rPr>
            <sz val="9"/>
            <color indexed="81"/>
            <rFont val="Tahoma"/>
            <family val="2"/>
          </rPr>
          <t xml:space="preserve">
Overskudsvarmesats</t>
        </r>
      </text>
    </comment>
    <comment ref="C33" authorId="0" shapeId="0" xr:uid="{2FDBEBE1-3869-4B59-9EE1-E77748F10585}">
      <text>
        <r>
          <rPr>
            <b/>
            <sz val="9"/>
            <color indexed="81"/>
            <rFont val="Tahoma"/>
            <family val="2"/>
          </rPr>
          <t>Mogens Bech Laursen:</t>
        </r>
        <r>
          <rPr>
            <sz val="9"/>
            <color indexed="81"/>
            <rFont val="Tahoma"/>
            <family val="2"/>
          </rPr>
          <t xml:space="preserve">
Baseret på fuelolie, ikke naturgas</t>
        </r>
      </text>
    </comment>
    <comment ref="B40" authorId="0" shapeId="0" xr:uid="{6C91C751-BB55-4B6D-8FB9-ED6C1CFC83AC}">
      <text>
        <r>
          <rPr>
            <b/>
            <sz val="9"/>
            <color indexed="81"/>
            <rFont val="Tahoma"/>
            <family val="2"/>
          </rPr>
          <t>Mogens Bech Laursen:</t>
        </r>
        <r>
          <rPr>
            <sz val="9"/>
            <color indexed="81"/>
            <rFont val="Tahoma"/>
            <family val="2"/>
          </rPr>
          <t xml:space="preserve">
Den største månedsmængde er nul, med mindre brændslet skal bortskaffes (eller lagres) straks. Derved bliver årstonnagen ligeligt fordelt henover året.</t>
        </r>
      </text>
    </comment>
    <comment ref="B70" authorId="0" shapeId="0" xr:uid="{8B2F8901-CB97-4AD5-9250-DDE8C92BECC8}">
      <text>
        <r>
          <rPr>
            <b/>
            <sz val="9"/>
            <color indexed="81"/>
            <rFont val="Tahoma"/>
            <family val="2"/>
          </rPr>
          <t>Mogens Bech Laursen:</t>
        </r>
        <r>
          <rPr>
            <sz val="9"/>
            <color indexed="81"/>
            <rFont val="Tahoma"/>
            <family val="2"/>
          </rPr>
          <t xml:space="preserve">
Den mindste månedsmængde er nul, med mindre brændslet skal bortskaffes (eller lagres) straks og ikke er frit.
I så fald bliver årstonnagen ligeligt fordelt henover året.
</t>
        </r>
      </text>
    </comment>
    <comment ref="B254" authorId="0" shapeId="0" xr:uid="{E07A09A2-81DF-4E64-8788-4552FC570530}">
      <text>
        <r>
          <rPr>
            <b/>
            <sz val="10"/>
            <color indexed="81"/>
            <rFont val="Tahoma"/>
            <family val="2"/>
          </rPr>
          <t>Mogens Bech Laursen:</t>
        </r>
        <r>
          <rPr>
            <sz val="10"/>
            <color indexed="81"/>
            <rFont val="Tahoma"/>
            <family val="2"/>
          </rPr>
          <t xml:space="preserve">
Disse værdier anvendes, hvis styringsparameterer FixAffaldSum er sat til 1.
Den samlede tonnage på månedsbasis fikseres derpå til disse værdier og tonnagegrænser ignoreres,
OBS: Værdien -9,99 angiver, at tonnagen ikke skal fikseres.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tc={04A514C6-5BEB-4A60-8AD3-00B9D21C6D7E}</author>
  </authors>
  <commentList>
    <comment ref="A1" authorId="0" shapeId="0" xr:uid="{04A514C6-5BEB-4A60-8AD3-00B9D21C6D7E}">
      <text>
        <t>[Threaded comment]
Your version of Excel allows you to read this threaded comment; however, any edits to it will get removed if the file is opened in a newer version of Excel. Learn more: https://go.microsoft.com/fwlink/?linkid=870924
Comment:
    Se Leila Gharani: 
https://www.youtube.com/watch?v=VxReJslyJm8</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Mogens Bech Laursen</author>
  </authors>
  <commentList>
    <comment ref="A25" authorId="0" shapeId="0" xr:uid="{7FAE3A5D-092D-4EA5-852C-FE3EAC2EEE26}">
      <text>
        <r>
          <rPr>
            <b/>
            <sz val="9"/>
            <color indexed="81"/>
            <rFont val="Tahoma"/>
            <family val="2"/>
          </rPr>
          <t>Mogens Bech Laursen:</t>
        </r>
        <r>
          <rPr>
            <sz val="9"/>
            <color indexed="81"/>
            <rFont val="Tahoma"/>
            <family val="2"/>
          </rPr>
          <t xml:space="preserve">
Kølevarme er med negativt fortegn aht. grafvisning.</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<sst xmlns="http://schemas.openxmlformats.org/spreadsheetml/2006/main" count="1150" uniqueCount="483">
  <si>
    <t>Fuldt navn</t>
  </si>
  <si>
    <t>jan</t>
  </si>
  <si>
    <t>feb</t>
  </si>
  <si>
    <t>mar</t>
  </si>
  <si>
    <t>apr</t>
  </si>
  <si>
    <t>maj</t>
  </si>
  <si>
    <t>jun</t>
  </si>
  <si>
    <t>jul</t>
  </si>
  <si>
    <t>aug</t>
  </si>
  <si>
    <t>sep</t>
  </si>
  <si>
    <t>okt</t>
  </si>
  <si>
    <t>nov</t>
  </si>
  <si>
    <t>dec</t>
  </si>
  <si>
    <t>Sorteret affald fra deponier</t>
  </si>
  <si>
    <t>DepoSort</t>
  </si>
  <si>
    <t>Småt brændbart fra deponier</t>
  </si>
  <si>
    <t>DepoSmaat</t>
  </si>
  <si>
    <t>Neddelt affald fra deponier</t>
  </si>
  <si>
    <t>DepoNedd</t>
  </si>
  <si>
    <t>Dagrenovation (L&amp;G og erhverv)</t>
  </si>
  <si>
    <t>Dagren</t>
  </si>
  <si>
    <t>Øvrigt Brændbart</t>
  </si>
  <si>
    <t>AndetBrand</t>
  </si>
  <si>
    <t>Træaffald mv.</t>
  </si>
  <si>
    <t>Trae</t>
  </si>
  <si>
    <t>Dagren. Rastepl.</t>
  </si>
  <si>
    <t>DagrenRast</t>
  </si>
  <si>
    <t>Dagren. Institutioner</t>
  </si>
  <si>
    <t>DagrenInst</t>
  </si>
  <si>
    <t>Dagrenovation, Handel</t>
  </si>
  <si>
    <t>DagrenHandel</t>
  </si>
  <si>
    <t>Dagrenovation, RESTAU</t>
  </si>
  <si>
    <t>DagrenRestau</t>
  </si>
  <si>
    <t>Erhvervaffald, brændbart</t>
  </si>
  <si>
    <t>Erhverv</t>
  </si>
  <si>
    <t>Dagrenovation og erhverv blandet</t>
  </si>
  <si>
    <t>DagrenErhverv</t>
  </si>
  <si>
    <t>Handel/kontoraffald</t>
  </si>
  <si>
    <t>HandelKontor</t>
  </si>
  <si>
    <t>Privat affald, brændbart</t>
  </si>
  <si>
    <t>Privat</t>
  </si>
  <si>
    <t>Tysk sorteringsrest</t>
  </si>
  <si>
    <t>TyskRest</t>
  </si>
  <si>
    <t>Polsk sorteringsrest</t>
  </si>
  <si>
    <t>PolskRest</t>
  </si>
  <si>
    <t>PCB-Holdigt træaffald</t>
  </si>
  <si>
    <t>PcbTrae</t>
  </si>
  <si>
    <t>Træflis, skovflis</t>
  </si>
  <si>
    <t>Flis</t>
  </si>
  <si>
    <t>Træaffald rekvireret</t>
  </si>
  <si>
    <t>TraeRekv</t>
  </si>
  <si>
    <t>Halm kontrakt</t>
  </si>
  <si>
    <t>Halm</t>
  </si>
  <si>
    <t>StøvPulver</t>
  </si>
  <si>
    <t>kr/GJ</t>
  </si>
  <si>
    <t>Pulver</t>
  </si>
  <si>
    <t>DKK/MWhq</t>
  </si>
  <si>
    <t>MWq</t>
  </si>
  <si>
    <t>GJ/ton</t>
  </si>
  <si>
    <t>DKK/ton</t>
  </si>
  <si>
    <t>MWhq</t>
  </si>
  <si>
    <t>NSprod</t>
  </si>
  <si>
    <t>ELprod</t>
  </si>
  <si>
    <t>MWhe</t>
  </si>
  <si>
    <t>ton/år</t>
  </si>
  <si>
    <t>NSvarme</t>
  </si>
  <si>
    <t>ton</t>
  </si>
  <si>
    <t>Enhed</t>
  </si>
  <si>
    <t>on/off</t>
  </si>
  <si>
    <t>FlisAffald</t>
  </si>
  <si>
    <t>Nordic Sugar varme [MWhq]</t>
  </si>
  <si>
    <t>DKK/GJ</t>
  </si>
  <si>
    <t>ton/ton</t>
  </si>
  <si>
    <t>ton/h</t>
  </si>
  <si>
    <t>Fraktion</t>
  </si>
  <si>
    <t>Bound</t>
  </si>
  <si>
    <t>PeakFuel</t>
  </si>
  <si>
    <t>Ovn2</t>
  </si>
  <si>
    <t>Ovn3</t>
  </si>
  <si>
    <t>Penalty_QRgkMiss</t>
  </si>
  <si>
    <t>Cooler</t>
  </si>
  <si>
    <t>RgkRabatMinShare</t>
  </si>
  <si>
    <t>RgkRabatSats</t>
  </si>
  <si>
    <t>MinLhv</t>
  </si>
  <si>
    <t>MWhf</t>
  </si>
  <si>
    <t>NyAff1</t>
  </si>
  <si>
    <t>Ny affaldsfraktion 2</t>
  </si>
  <si>
    <t>NyAff2</t>
  </si>
  <si>
    <t>Lagerbar</t>
  </si>
  <si>
    <t>Værdi</t>
  </si>
  <si>
    <t>Parameter</t>
  </si>
  <si>
    <t>Varmesalgspris</t>
  </si>
  <si>
    <t>Penalty_bOnU</t>
  </si>
  <si>
    <t>Andel af omkostninger</t>
  </si>
  <si>
    <t>Måned</t>
  </si>
  <si>
    <t>Månedsnr</t>
  </si>
  <si>
    <t>År</t>
  </si>
  <si>
    <t>kr/MWhe</t>
  </si>
  <si>
    <t>Elpris</t>
  </si>
  <si>
    <t>Rådige dage for hvert anlæg</t>
  </si>
  <si>
    <t>kg/GJ</t>
  </si>
  <si>
    <t>Ny affaldsfraktion 3</t>
  </si>
  <si>
    <t>NyAff3</t>
  </si>
  <si>
    <t>Ny affaldsfraktion 4</t>
  </si>
  <si>
    <t>NyAff4</t>
  </si>
  <si>
    <t>Ny affaldsfraktion 5</t>
  </si>
  <si>
    <t>NyAff5</t>
  </si>
  <si>
    <t>Periode</t>
  </si>
  <si>
    <t>Perioder for stamdata</t>
  </si>
  <si>
    <t>STAMDATA FOR BRÆNDSLER</t>
  </si>
  <si>
    <t>STAMDATA FOR ANLÆG</t>
  </si>
  <si>
    <t>Kort navn</t>
  </si>
  <si>
    <t>Fri</t>
  </si>
  <si>
    <t>Bortskaffes</t>
  </si>
  <si>
    <t>NEDRE BRÆNDVÆRDI [GJ/ton]</t>
  </si>
  <si>
    <t>PRIS [kr/ton]</t>
  </si>
  <si>
    <t>Aktive perioder</t>
  </si>
  <si>
    <t>tDKK</t>
  </si>
  <si>
    <t>Varmepris</t>
  </si>
  <si>
    <t>Indkomst</t>
  </si>
  <si>
    <t>AnlaegsOmk</t>
  </si>
  <si>
    <t>BraendselOmk</t>
  </si>
  <si>
    <t>CO2-emission</t>
  </si>
  <si>
    <t>FJV-behov</t>
  </si>
  <si>
    <t>VarmeProd</t>
  </si>
  <si>
    <t>RGKvarme</t>
  </si>
  <si>
    <t>RGKandel</t>
  </si>
  <si>
    <t>RGKrabat</t>
  </si>
  <si>
    <t>Bortkoeling</t>
  </si>
  <si>
    <t>ovn2</t>
  </si>
  <si>
    <t>ovn3</t>
  </si>
  <si>
    <t>flisk</t>
  </si>
  <si>
    <t>peak</t>
  </si>
  <si>
    <t>ns</t>
  </si>
  <si>
    <t>cooler</t>
  </si>
  <si>
    <t>SUM</t>
  </si>
  <si>
    <t>Braendselsindkomst</t>
  </si>
  <si>
    <t>Kapacitetsudnyttelse</t>
  </si>
  <si>
    <t>Tidsstempel for beregning</t>
  </si>
  <si>
    <t>Dækningsbidrag</t>
  </si>
  <si>
    <t>Ndage</t>
  </si>
  <si>
    <t>mo1</t>
  </si>
  <si>
    <t>mo2</t>
  </si>
  <si>
    <t>mo3</t>
  </si>
  <si>
    <t>mo4</t>
  </si>
  <si>
    <t>mo5</t>
  </si>
  <si>
    <t>mo6</t>
  </si>
  <si>
    <t>mo7</t>
  </si>
  <si>
    <t>mo8</t>
  </si>
  <si>
    <t>mo9</t>
  </si>
  <si>
    <t>mo10</t>
  </si>
  <si>
    <t>mo11</t>
  </si>
  <si>
    <t>mo12</t>
  </si>
  <si>
    <t>mo13</t>
  </si>
  <si>
    <t>mo14</t>
  </si>
  <si>
    <t>mo15</t>
  </si>
  <si>
    <t>mo16</t>
  </si>
  <si>
    <t>mo17</t>
  </si>
  <si>
    <t>mo18</t>
  </si>
  <si>
    <t>mo19</t>
  </si>
  <si>
    <t>mo20</t>
  </si>
  <si>
    <t>mo21</t>
  </si>
  <si>
    <t>mo22</t>
  </si>
  <si>
    <t>mo23</t>
  </si>
  <si>
    <t>mo24</t>
  </si>
  <si>
    <t>mo25</t>
  </si>
  <si>
    <t>mo26</t>
  </si>
  <si>
    <t>mo27</t>
  </si>
  <si>
    <t>mo28</t>
  </si>
  <si>
    <t>mo29</t>
  </si>
  <si>
    <t>mo30</t>
  </si>
  <si>
    <t>mo31</t>
  </si>
  <si>
    <t>mo32</t>
  </si>
  <si>
    <t>mo33</t>
  </si>
  <si>
    <t>mo34</t>
  </si>
  <si>
    <t>mo35</t>
  </si>
  <si>
    <t>mo36</t>
  </si>
  <si>
    <t>Aar</t>
  </si>
  <si>
    <t>ETS</t>
  </si>
  <si>
    <t>AFV</t>
  </si>
  <si>
    <t>ATL</t>
  </si>
  <si>
    <t>Varmebehov</t>
  </si>
  <si>
    <t>TILPASNING AF GRÆNSER FOR AFFALDS-FRAKTIONERS KENDETEGN I HVER PERIODE</t>
  </si>
  <si>
    <t>Have-Park affald</t>
  </si>
  <si>
    <t>Aktiv</t>
  </si>
  <si>
    <t>FirstYear</t>
  </si>
  <si>
    <t>LastYear</t>
  </si>
  <si>
    <t>FirstPeriod</t>
  </si>
  <si>
    <t>LastPeriod</t>
  </si>
  <si>
    <t>Elektricitet</t>
  </si>
  <si>
    <t>Varmemængder</t>
  </si>
  <si>
    <t>CO2aff</t>
  </si>
  <si>
    <t>CO2peak</t>
  </si>
  <si>
    <t>Maaned</t>
  </si>
  <si>
    <t>Dato</t>
  </si>
  <si>
    <t>Nøgletal</t>
  </si>
  <si>
    <t>Anlæg</t>
  </si>
  <si>
    <t>Brændselsforbrug</t>
  </si>
  <si>
    <t>FlisK</t>
  </si>
  <si>
    <t>NS</t>
  </si>
  <si>
    <t>PERIODE-OMFANG</t>
  </si>
  <si>
    <t>TotalOptimering</t>
  </si>
  <si>
    <t>=1 =&gt; GSF økonomi medtages i optimeringen</t>
  </si>
  <si>
    <t>Flis til REFA fliskedel</t>
  </si>
  <si>
    <t>kr/ton aff</t>
  </si>
  <si>
    <t>kr/ton olie</t>
  </si>
  <si>
    <t>EnrPeak</t>
  </si>
  <si>
    <t>NOxPeak</t>
  </si>
  <si>
    <t>NOxAff</t>
  </si>
  <si>
    <t>NOxFlis</t>
  </si>
  <si>
    <t>REFA Kvotepris og afgifter</t>
  </si>
  <si>
    <t>GSF afgifter</t>
  </si>
  <si>
    <t>AffaldssidensAndel</t>
  </si>
  <si>
    <t>Afledte værdier</t>
  </si>
  <si>
    <t>CO2potentiale</t>
  </si>
  <si>
    <t>PROGNOSER FOR ANLÆGSRÅDIGHED, VARMEBEHOV, AFGIFTER</t>
  </si>
  <si>
    <t>kr/ton</t>
  </si>
  <si>
    <t>0/1</t>
  </si>
  <si>
    <t>IncludeGSF</t>
  </si>
  <si>
    <t>Angiver 0/1 om GSF-anlæg og brændsler skal medtages i objektfunktionen</t>
  </si>
  <si>
    <t>RgkAndelRabat</t>
  </si>
  <si>
    <t>Angiver den andel af energiproduktion på affaldsanlæg, som RGK-varmen mindst skal udgøre for at give rabat på tillægsafgiften.</t>
  </si>
  <si>
    <t>VirtuelVarme</t>
  </si>
  <si>
    <t>Beskrivelse</t>
  </si>
  <si>
    <t>sto1</t>
  </si>
  <si>
    <t>sto2</t>
  </si>
  <si>
    <t>LoadMin</t>
  </si>
  <si>
    <t>LoadMax</t>
  </si>
  <si>
    <t>LossRate</t>
  </si>
  <si>
    <t>ResetIntv</t>
  </si>
  <si>
    <t>ton/md</t>
  </si>
  <si>
    <t>1/md</t>
  </si>
  <si>
    <t>antal md</t>
  </si>
  <si>
    <t>LoadCost</t>
  </si>
  <si>
    <t>Anlægsnavn</t>
  </si>
  <si>
    <t>LagerID</t>
  </si>
  <si>
    <t>DLoadCost</t>
  </si>
  <si>
    <t>DLoadMax</t>
  </si>
  <si>
    <t>heltal</t>
  </si>
  <si>
    <t>Startlagermængde</t>
  </si>
  <si>
    <t>Brændselsmængder</t>
  </si>
  <si>
    <t>kr/MWhq: Udgør den variable del af varmesalgsprisen</t>
  </si>
  <si>
    <t>TilOvn2</t>
  </si>
  <si>
    <t>TilOvn3</t>
  </si>
  <si>
    <t>InitSto1</t>
  </si>
  <si>
    <t>InitSto2</t>
  </si>
  <si>
    <t>PeakK</t>
  </si>
  <si>
    <t>Ukind</t>
  </si>
  <si>
    <t>Prioritet</t>
  </si>
  <si>
    <t>KapRgk</t>
  </si>
  <si>
    <t>EtaQ</t>
  </si>
  <si>
    <t>StoKind</t>
  </si>
  <si>
    <t>Fkind</t>
  </si>
  <si>
    <t>Bortskaf</t>
  </si>
  <si>
    <t>MinTonnage</t>
  </si>
  <si>
    <t>MaxTonnage</t>
  </si>
  <si>
    <t>Pris</t>
  </si>
  <si>
    <t>PrisBv</t>
  </si>
  <si>
    <t>CO2-ANDEL [kg/GJ]</t>
  </si>
  <si>
    <t>CO2kgGJ</t>
  </si>
  <si>
    <t>tonnage</t>
  </si>
  <si>
    <t>ResetFirst</t>
  </si>
  <si>
    <t>ResetLast</t>
  </si>
  <si>
    <t>Skorstensmetode</t>
  </si>
  <si>
    <t>Angiver 0/1 om skorstenmetoden skal anvendes til beregning af CO2-emission, eller (=0) om skattemetoden skal anvendes.</t>
  </si>
  <si>
    <t>kr/tonCO2</t>
  </si>
  <si>
    <t>kgCO2/GJf</t>
  </si>
  <si>
    <t>CO2afgAff</t>
  </si>
  <si>
    <t>ETSaff</t>
  </si>
  <si>
    <t>etaE</t>
  </si>
  <si>
    <t>etaQ</t>
  </si>
  <si>
    <t>E-formel</t>
  </si>
  <si>
    <t>V-formel</t>
  </si>
  <si>
    <t>Q/1,2</t>
  </si>
  <si>
    <t>F-P/0,35</t>
  </si>
  <si>
    <t>etaK</t>
  </si>
  <si>
    <t>Fel</t>
  </si>
  <si>
    <t>Fvarme</t>
  </si>
  <si>
    <t>etaRGK</t>
  </si>
  <si>
    <t>Fel: E-formel</t>
  </si>
  <si>
    <t>Fel: V-formel</t>
  </si>
  <si>
    <t>KappaVærnsregel</t>
  </si>
  <si>
    <t>Kedelvirkningsgrad uden RGK</t>
  </si>
  <si>
    <t>RGK-virkningsgrad</t>
  </si>
  <si>
    <t>etaEnom</t>
  </si>
  <si>
    <t>Xel</t>
  </si>
  <si>
    <t>Andel tid med elproduktion. (1-Xel) er andel bypass-tid.</t>
  </si>
  <si>
    <t>Level1</t>
  </si>
  <si>
    <t>Schedule</t>
  </si>
  <si>
    <t>FuelBounds</t>
  </si>
  <si>
    <t>Level2</t>
  </si>
  <si>
    <t>Level3</t>
  </si>
  <si>
    <t>Root</t>
  </si>
  <si>
    <t>TestPad</t>
  </si>
  <si>
    <t>=LET(a;MATCH($R5&amp;"2";listHeaders;0)-1;b;OFFSET($B$3;1;a;40;1);OFFSET($B$3;1;a;COUNTA(b)-COUNTIF(b;"=0");1))</t>
  </si>
  <si>
    <t>DropDownLevel2</t>
  </si>
  <si>
    <t>DropDownLevel3</t>
  </si>
  <si>
    <t>=LET(a;MATCH($R5&amp;"3";listHeaders;0)-1;b;OFFSET($B$3;1;a;40;1);OFFSET($B$3;1;a;COUNTA(b)-COUNTIF(b;"=0");1))</t>
  </si>
  <si>
    <t>BeginDate</t>
  </si>
  <si>
    <t>LINK</t>
  </si>
  <si>
    <t>Value</t>
  </si>
  <si>
    <t>EtaE</t>
  </si>
  <si>
    <t>AktivEnergi</t>
  </si>
  <si>
    <t>kg/tonAff</t>
  </si>
  <si>
    <t>NOxKgTon</t>
  </si>
  <si>
    <t>DVtime</t>
  </si>
  <si>
    <t>DKK/driftstime</t>
  </si>
  <si>
    <t>MaxLhv</t>
  </si>
  <si>
    <t>DVMWhq</t>
  </si>
  <si>
    <t>MinTon</t>
  </si>
  <si>
    <t>MaxTon</t>
  </si>
  <si>
    <t>EgetforbrugKVV</t>
  </si>
  <si>
    <t>Bypass</t>
  </si>
  <si>
    <t>MWhe/døgn: KVV-anlæggets egetforbrug MWhe, som dækkes ved egenproduktion.</t>
  </si>
  <si>
    <t>KapE</t>
  </si>
  <si>
    <t>KapQNom</t>
  </si>
  <si>
    <t>RunScenarios</t>
  </si>
  <si>
    <t>Angiver 0/1 om scenarier skal beregnes efter den nominelle beregning.</t>
  </si>
  <si>
    <t>Angiver 0/1 om affaldsfraktioners tonnage skal fikseres på månedsniveau (bruges til verifikation af historiske data)</t>
  </si>
  <si>
    <t>FIKSEREDE AFFALDSFRAKTIONS-SUM</t>
  </si>
  <si>
    <t>VirtuelAffald</t>
  </si>
  <si>
    <t>Angiver 0/1 om virtuelle kilde og dræn for affaldstonnage skal aktiveres.</t>
  </si>
  <si>
    <t>Angiver 0/1 om virtuelle kilde og dræn for varmeproduktion skal aktiveres.</t>
  </si>
  <si>
    <t>Flex</t>
  </si>
  <si>
    <t>LoadInit</t>
  </si>
  <si>
    <t>Styringsparameter</t>
  </si>
  <si>
    <t>Turbine</t>
  </si>
  <si>
    <t>ScenId</t>
  </si>
  <si>
    <t>Prognoses</t>
  </si>
  <si>
    <t>rec1</t>
  </si>
  <si>
    <t>rec2</t>
  </si>
  <si>
    <t>rec3</t>
  </si>
  <si>
    <t>rec4</t>
  </si>
  <si>
    <t>rec5</t>
  </si>
  <si>
    <t>rec6</t>
  </si>
  <si>
    <t>rec7</t>
  </si>
  <si>
    <t>rec8</t>
  </si>
  <si>
    <t>rec9</t>
  </si>
  <si>
    <t>rec10</t>
  </si>
  <si>
    <t>rec11</t>
  </si>
  <si>
    <t>rec12</t>
  </si>
  <si>
    <t>rec13</t>
  </si>
  <si>
    <t>rec14</t>
  </si>
  <si>
    <t>rec15</t>
  </si>
  <si>
    <t>rec16</t>
  </si>
  <si>
    <t>rec17</t>
  </si>
  <si>
    <t>rec18</t>
  </si>
  <si>
    <t>rec19</t>
  </si>
  <si>
    <t>rec20</t>
  </si>
  <si>
    <t>rec21</t>
  </si>
  <si>
    <t>rec22</t>
  </si>
  <si>
    <t>rec23</t>
  </si>
  <si>
    <t>rec24</t>
  </si>
  <si>
    <t>rec25</t>
  </si>
  <si>
    <t>rec26</t>
  </si>
  <si>
    <t>rec27</t>
  </si>
  <si>
    <t>rec28</t>
  </si>
  <si>
    <t>rec29</t>
  </si>
  <si>
    <t>rec30</t>
  </si>
  <si>
    <t>rec31</t>
  </si>
  <si>
    <t>rec32</t>
  </si>
  <si>
    <t>rec33</t>
  </si>
  <si>
    <t>rec34</t>
  </si>
  <si>
    <t>rec35</t>
  </si>
  <si>
    <t>rec36</t>
  </si>
  <si>
    <t>rec37</t>
  </si>
  <si>
    <t>Control</t>
  </si>
  <si>
    <t>Fuel</t>
  </si>
  <si>
    <t>Plant</t>
  </si>
  <si>
    <t>Storage</t>
  </si>
  <si>
    <t>VOID</t>
  </si>
  <si>
    <t>scRec</t>
  </si>
  <si>
    <t>Niveau1</t>
  </si>
  <si>
    <t>Niveau2</t>
  </si>
  <si>
    <t>Niveau3</t>
  </si>
  <si>
    <t>Count</t>
  </si>
  <si>
    <t>row</t>
  </si>
  <si>
    <t>ordinal1</t>
  </si>
  <si>
    <t>ordinal2</t>
  </si>
  <si>
    <t>ordinal3</t>
  </si>
  <si>
    <t>Verbal udgave af scenarietabellen</t>
  </si>
  <si>
    <t>screc1</t>
  </si>
  <si>
    <t>screc2</t>
  </si>
  <si>
    <t>screc3</t>
  </si>
  <si>
    <t>screc4</t>
  </si>
  <si>
    <t>screc5</t>
  </si>
  <si>
    <t>screc6</t>
  </si>
  <si>
    <t>screc7</t>
  </si>
  <si>
    <t>screc8</t>
  </si>
  <si>
    <t>screc9</t>
  </si>
  <si>
    <t>screc10</t>
  </si>
  <si>
    <t>screc11</t>
  </si>
  <si>
    <t>screc12</t>
  </si>
  <si>
    <t>LHV</t>
  </si>
  <si>
    <t>screc13</t>
  </si>
  <si>
    <t>screc14</t>
  </si>
  <si>
    <t>screc15</t>
  </si>
  <si>
    <t>screc16</t>
  </si>
  <si>
    <t>TilOvn2 indikator 0/1</t>
  </si>
  <si>
    <t>TilOvn3 indikator 0/1</t>
  </si>
  <si>
    <t>STØRSTE TONNAGE [ton/måned]</t>
  </si>
  <si>
    <t>MINDSTE TONNAGE [ton/måned]</t>
  </si>
  <si>
    <t>=LET(ran;TRANSPOSE(listFuelAttr);FILTER(ran;(ran&lt;&gt;"Fkind")*(ran&lt;&gt;"Lagerbar")*(ran&lt;&gt;"Fri")*(ran&lt;&gt;"Flex")*(ran&lt;&gt;"Bortskaf")))</t>
  </si>
  <si>
    <t>FastVaerdi</t>
  </si>
  <si>
    <t>rec38</t>
  </si>
  <si>
    <t>rec39</t>
  </si>
  <si>
    <t>rec40</t>
  </si>
  <si>
    <t>screc17</t>
  </si>
  <si>
    <t>screc18</t>
  </si>
  <si>
    <t>screc19</t>
  </si>
  <si>
    <t>screc20</t>
  </si>
  <si>
    <t>screc21</t>
  </si>
  <si>
    <t>screc22</t>
  </si>
  <si>
    <t>screc23</t>
  </si>
  <si>
    <t>screc24</t>
  </si>
  <si>
    <t>screc25</t>
  </si>
  <si>
    <t>screc26</t>
  </si>
  <si>
    <t>screc27</t>
  </si>
  <si>
    <t>screc28</t>
  </si>
  <si>
    <t>screc29</t>
  </si>
  <si>
    <t>screc30</t>
  </si>
  <si>
    <t>screc31</t>
  </si>
  <si>
    <t>screc32</t>
  </si>
  <si>
    <t>screc33</t>
  </si>
  <si>
    <t>screc34</t>
  </si>
  <si>
    <t>screc35</t>
  </si>
  <si>
    <t>screc36</t>
  </si>
  <si>
    <t>screc37</t>
  </si>
  <si>
    <t>screc38</t>
  </si>
  <si>
    <t>screc39</t>
  </si>
  <si>
    <t>screc40</t>
  </si>
  <si>
    <t>Tidslig variantion</t>
  </si>
  <si>
    <t>StatusKode</t>
  </si>
  <si>
    <t>Intern variabel</t>
  </si>
  <si>
    <t>NaN</t>
  </si>
  <si>
    <t>Bruges til at angive manglende værdier i input</t>
  </si>
  <si>
    <t>NIX PILLE</t>
  </si>
  <si>
    <t>Affaldsleverancer</t>
  </si>
  <si>
    <t>Fraktionerne fra deponi, samt tyskrest og polskrest, leveres alle af samme firma.</t>
  </si>
  <si>
    <t>1.</t>
  </si>
  <si>
    <t>Disse kan derfor håndteres som fleksible tonnager, dvs. kun den øvre årsgrænse er gældende</t>
  </si>
  <si>
    <t>Kilde</t>
  </si>
  <si>
    <t>JKO</t>
  </si>
  <si>
    <t xml:space="preserve">2. </t>
  </si>
  <si>
    <t>REFA har ingen mellemlagre, idet de lagerbare fraktioner håndteres via REFA's egne deponier eller ekstern leverandør</t>
  </si>
  <si>
    <t xml:space="preserve">3. </t>
  </si>
  <si>
    <t>Fliskedlen skal holdes ude så meget som muligt, idet den udløser en startomkostning kontraktuelt på cirka 1 mio.kr.</t>
  </si>
  <si>
    <t>Dermed skal fliskedlen i modellen holdes kunstigt ude vha. en penalty på dens varmeproduktion</t>
  </si>
  <si>
    <t>REFA ejer fliskedlen og drifter den.</t>
  </si>
  <si>
    <t>2021-Opgørelse</t>
  </si>
  <si>
    <t>OPGØRELSE FRA REFA PÅ FRAKTIONS-NIVEAU</t>
  </si>
  <si>
    <t>JAN</t>
  </si>
  <si>
    <t>FEB</t>
  </si>
  <si>
    <t>MAR</t>
  </si>
  <si>
    <t>APR</t>
  </si>
  <si>
    <t>MAJ</t>
  </si>
  <si>
    <t>JUN</t>
  </si>
  <si>
    <t>JUL</t>
  </si>
  <si>
    <t>AUG</t>
  </si>
  <si>
    <t>SEP</t>
  </si>
  <si>
    <t>OKT</t>
  </si>
  <si>
    <t>NOV</t>
  </si>
  <si>
    <t>DEC</t>
  </si>
  <si>
    <t>Erhverv,brænd</t>
  </si>
  <si>
    <t>SumAffald</t>
  </si>
  <si>
    <t>Angiver 0/1 om affaldsfraktioners tonnage skal fikseres på årsniveau (bruges til verifikation af historiske data)</t>
  </si>
  <si>
    <t>Nedenstående tabel bruges hvis DataCtrl-parameteren Fix2021 er aktiveret ( != 0)</t>
  </si>
  <si>
    <t>I så fald anvendes tabellens værdier som nedre og øvre grænse for månedstonnager for hver affaldsfraktion</t>
  </si>
  <si>
    <t>Featuren er udelukkende tiltænkt sammenligning af realiserede og beregnede værdier for år 2021.</t>
  </si>
  <si>
    <t>FixAffaldSum</t>
  </si>
  <si>
    <t>FixAffald2021</t>
  </si>
  <si>
    <t>JUNI</t>
  </si>
  <si>
    <t>AffTinfeas</t>
  </si>
  <si>
    <t>SDEV</t>
  </si>
  <si>
    <t>SDEV/SUM</t>
  </si>
  <si>
    <t>MaxDev</t>
  </si>
  <si>
    <t>MaxDev%</t>
  </si>
  <si>
    <t>DeltaTon</t>
  </si>
  <si>
    <t>%ton/måned</t>
  </si>
  <si>
    <t/>
  </si>
  <si>
    <t>DeltaTonAktiv</t>
  </si>
  <si>
    <t>Angiver 0/1 om tonnagetolerancer angivet i DataFuel(DeltaTon) er aktive.</t>
  </si>
  <si>
    <t>kgCO2/ton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</si>
</sst>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43" formatCode="_-* #,##0.00_-;\-* #,##0.00_-;_-* &quot;-&quot;??_-;_-@_-"/>
    <numFmt numFmtId="164" formatCode="#,##0.0"/>
    <numFmt numFmtId="165" formatCode="_-* #,##0_-;\-* #,##0_-;_-* &quot;-&quot;??_-;_-@_-"/>
    <numFmt numFmtId="166" formatCode="mmm\ yyyy"/>
    <numFmt numFmtId="167" formatCode="00"/>
    <numFmt numFmtId="168" formatCode="yyyy/mmm"/>
    <numFmt numFmtId="169" formatCode="mmm\'yy"/>
    <numFmt numFmtId="170" formatCode="#,##0.000"/>
    <numFmt numFmtId="171" formatCode="yyyy\ mmm\ dd\ hh:mm;@"/>
    <numFmt numFmtId="172" formatCode="yyyy/mm/dd\ hh:mm;@"/>
    <numFmt numFmtId="173" formatCode="_-#,##0,_-;\-#,##0,_-;_-* &quot;-&quot;??_-;_-@_-"/>
    <numFmt numFmtId="174" formatCode="_-#,##0.00_-;\-#,##0.00_-;_-* &quot;-&quot;??_-;_-@_-"/>
    <numFmt numFmtId="175" formatCode="_-* #,##0.00\ _k_r_._-;\-* #,##0.00\ _k_r_._-;_-* &quot;-&quot;??\ _k_r_._-;_-@_-"/>
    <numFmt numFmtId="176" formatCode="_-#,##0_-;\-#,##0_-;_-* &quot;-&quot;??_-;_-@_-"/>
    <numFmt numFmtId="177" formatCode="0.0\ %"/>
    <numFmt numFmtId="178" formatCode="_-* #,##0_-;\-#,##0_-;_-* &quot;-&quot;??_-;_-@_-"/>
    <numFmt numFmtId="179" formatCode="_-#,##0,\ ;\-#,##0,\ ;_-* &quot;-&quot;??\ _k_r_._-;_-@_-"/>
    <numFmt numFmtId="180" formatCode="0\ %"/>
    <numFmt numFmtId="181" formatCode="[Black]General;[Red]General;[Red]General"/>
    <numFmt numFmtId="182" formatCode="_-* #,##0.000_-;\-* #,##0.000_-;_-* &quot;-&quot;??_-;_-@_-"/>
    <numFmt numFmtId="183" formatCode="mmm\ \'yy"/>
    <numFmt numFmtId="184" formatCode="0.000"/>
    <numFmt numFmtId="185" formatCode="0.0%"/>
    <numFmt numFmtId="186" formatCode="0.0"/>
  </numFmts>
  <fonts count="42" x14ac:knownFonts="1">
    <font>
      <sz val="11"/>
      <color theme="1"/>
      <name val="Calibri"/>
      <family val="2"/>
      <scheme val="minor"/>
    </font>
    <font>
      <sz val="11"/>
      <color theme="1"/>
      <name val="Calibri"/>
      <family val="2"/>
      <scheme val="minor"/>
    </font>
    <font>
      <sz val="11"/>
      <color rgb="FF9C5700"/>
      <name val="Calibri"/>
      <family val="2"/>
      <scheme val="minor"/>
    </font>
    <font>
      <b/>
      <sz val="11"/>
      <color theme="1"/>
      <name val="Calibri"/>
      <family val="2"/>
      <scheme val="minor"/>
    </font>
    <font>
      <b/>
      <sz val="11"/>
      <color theme="0" tint="-0.499984740745262"/>
      <name val="Calibri"/>
      <family val="2"/>
      <scheme val="minor"/>
    </font>
    <font>
      <b/>
      <sz val="9"/>
      <color indexed="81"/>
      <name val="Tahoma"/>
      <family val="2"/>
    </font>
    <font>
      <sz val="9"/>
      <color indexed="81"/>
      <name val="Tahoma"/>
      <family val="2"/>
    </font>
    <font>
      <sz val="11"/>
      <color theme="0" tint="-0.249977111117893"/>
      <name val="Calibri"/>
      <family val="2"/>
      <scheme val="minor"/>
    </font>
    <font>
      <b/>
      <sz val="11"/>
      <color theme="0" tint="-0.249977111117893"/>
      <name val="Calibri"/>
      <family val="2"/>
      <scheme val="minor"/>
    </font>
    <font>
      <sz val="10"/>
      <color theme="1"/>
      <name val="Calibri"/>
      <family val="2"/>
      <scheme val="minor"/>
    </font>
    <font>
      <sz val="10"/>
      <color theme="0" tint="-0.249977111117893"/>
      <name val="Calibri"/>
      <family val="2"/>
      <scheme val="minor"/>
    </font>
    <font>
      <sz val="11"/>
      <color rgb="FF9C0006"/>
      <name val="Calibri"/>
      <family val="2"/>
      <scheme val="minor"/>
    </font>
    <font>
      <sz val="11"/>
      <name val="Calibri"/>
      <family val="2"/>
      <scheme val="minor"/>
    </font>
    <font>
      <sz val="11"/>
      <color theme="4"/>
      <name val="Calibri"/>
      <family val="2"/>
      <scheme val="minor"/>
    </font>
    <font>
      <sz val="11"/>
      <color rgb="FF3F3F76"/>
      <name val="Calibri"/>
      <family val="2"/>
      <scheme val="minor"/>
    </font>
    <font>
      <sz val="11"/>
      <color theme="0"/>
      <name val="Calibri"/>
      <family val="2"/>
      <scheme val="minor"/>
    </font>
    <font>
      <sz val="8"/>
      <name val="Calibri"/>
      <family val="2"/>
      <scheme val="minor"/>
    </font>
    <font>
      <sz val="11"/>
      <color theme="0" tint="-4.9989318521683403E-2"/>
      <name val="Calibri"/>
      <family val="2"/>
      <scheme val="minor"/>
    </font>
    <font>
      <sz val="11"/>
      <color theme="0" tint="-0.14999847407452621"/>
      <name val="Calibri"/>
      <family val="2"/>
      <scheme val="minor"/>
    </font>
    <font>
      <sz val="12"/>
      <color theme="4"/>
      <name val="Calibri"/>
      <family val="2"/>
      <scheme val="minor"/>
    </font>
    <font>
      <sz val="12"/>
      <color theme="1"/>
      <name val="Calibri"/>
      <family val="2"/>
      <scheme val="minor"/>
    </font>
    <font>
      <b/>
      <sz val="12"/>
      <color theme="4"/>
      <name val="Calibri"/>
      <family val="2"/>
      <scheme val="minor"/>
    </font>
    <font>
      <sz val="12"/>
      <color theme="4" tint="-0.249977111117893"/>
      <name val="Calibri"/>
      <family val="2"/>
      <scheme val="minor"/>
    </font>
    <font>
      <sz val="11"/>
      <color theme="1"/>
      <name val="Wingdings"/>
      <charset val="2"/>
    </font>
    <font>
      <b/>
      <sz val="14"/>
      <color theme="1"/>
      <name val="Wingdings"/>
      <charset val="2"/>
    </font>
    <font>
      <sz val="14"/>
      <color theme="0"/>
      <name val="Calibri"/>
      <family val="2"/>
      <scheme val="minor"/>
    </font>
    <font>
      <b/>
      <sz val="14"/>
      <color theme="0"/>
      <name val="Calibri"/>
      <family val="2"/>
      <scheme val="minor"/>
    </font>
    <font>
      <sz val="14"/>
      <color theme="1"/>
      <name val="Calibri"/>
      <family val="2"/>
      <scheme val="minor"/>
    </font>
    <font>
      <sz val="14"/>
      <color theme="4"/>
      <name val="Calibri"/>
      <family val="2"/>
      <scheme val="minor"/>
    </font>
    <font>
      <b/>
      <sz val="11"/>
      <name val="Calibri"/>
      <family val="2"/>
      <scheme val="minor"/>
    </font>
    <font>
      <sz val="11"/>
      <color rgb="FFC00000"/>
      <name val="Calibri"/>
      <family val="2"/>
      <scheme val="minor"/>
    </font>
    <font>
      <sz val="11"/>
      <color theme="5"/>
      <name val="Calibri"/>
      <family val="2"/>
      <scheme val="minor"/>
    </font>
    <font>
      <sz val="11"/>
      <color theme="9" tint="-0.249977111117893"/>
      <name val="Calibri"/>
      <family val="2"/>
      <scheme val="minor"/>
    </font>
    <font>
      <sz val="11"/>
      <color rgb="FF006100"/>
      <name val="Calibri"/>
      <family val="2"/>
      <scheme val="minor"/>
    </font>
    <font>
      <b/>
      <sz val="11"/>
      <color theme="0"/>
      <name val="Calibri"/>
      <family val="2"/>
      <scheme val="minor"/>
    </font>
    <font>
      <i/>
      <sz val="11"/>
      <color theme="4"/>
      <name val="Calibri"/>
      <family val="2"/>
      <scheme val="minor"/>
    </font>
    <font>
      <b/>
      <sz val="10"/>
      <color indexed="81"/>
      <name val="Tahoma"/>
      <family val="2"/>
    </font>
    <font>
      <sz val="10"/>
      <color indexed="81"/>
      <name val="Tahoma"/>
      <family val="2"/>
    </font>
    <font>
      <b/>
      <sz val="11"/>
      <color rgb="FFFA7D00"/>
      <name val="Calibri"/>
      <family val="2"/>
      <scheme val="minor"/>
    </font>
    <font>
      <sz val="9"/>
      <color indexed="81"/>
      <name val="Tahoma"/>
      <charset val="1"/>
    </font>
    <font>
      <b/>
      <sz val="9"/>
      <color indexed="81"/>
      <name val="Tahoma"/>
      <charset val="1"/>
    </font>
    <font>
      <b/>
      <sz val="12"/>
      <color theme="1"/>
      <name val="Calibri"/>
      <family val="2"/>
      <scheme val="minor"/>
    </font>
  </fonts>
  <fills count="19">
    <fill>
      <patternFill patternType="none"/>
    </fill>
    <fill>
      <patternFill patternType="gray125"/>
    </fill>
    <fill>
      <patternFill patternType="solid">
        <fgColor rgb="FFFFEB9C"/>
      </patternFill>
    </fill>
    <fill>
      <patternFill patternType="solid">
        <fgColor theme="8" tint="0.79998168889431442"/>
        <bgColor indexed="64"/>
      </patternFill>
    </fill>
    <fill>
      <patternFill patternType="solid">
        <fgColor rgb="FFFFC7CE"/>
      </patternFill>
    </fill>
    <fill>
      <patternFill patternType="solid">
        <fgColor rgb="FF663300"/>
        <bgColor indexed="64"/>
      </patternFill>
    </fill>
    <fill>
      <patternFill patternType="solid">
        <fgColor rgb="FF996633"/>
        <bgColor indexed="64"/>
      </patternFill>
    </fill>
    <fill>
      <patternFill patternType="solid">
        <fgColor theme="9"/>
        <bgColor indexed="64"/>
      </patternFill>
    </fill>
    <fill>
      <patternFill patternType="solid">
        <fgColor rgb="FFFFCC99"/>
      </patternFill>
    </fill>
    <fill>
      <patternFill patternType="solid">
        <fgColor theme="4"/>
        <bgColor indexed="64"/>
      </patternFill>
    </fill>
    <fill>
      <patternFill patternType="solid">
        <fgColor theme="4" tint="0.79998168889431442"/>
        <bgColor indexed="64"/>
      </patternFill>
    </fill>
    <fill>
      <patternFill patternType="solid">
        <fgColor rgb="FFC6EFCE"/>
      </patternFill>
    </fill>
    <fill>
      <patternFill patternType="solid">
        <fgColor theme="4" tint="0.39997558519241921"/>
        <bgColor indexed="64"/>
      </patternFill>
    </fill>
    <fill>
      <patternFill patternType="solid">
        <fgColor theme="5" tint="-0.499984740745262"/>
        <bgColor indexed="64"/>
      </patternFill>
    </fill>
    <fill>
      <patternFill patternType="solid">
        <fgColor theme="9" tint="-0.249977111117893"/>
        <bgColor indexed="64"/>
      </patternFill>
    </fill>
    <fill>
      <patternFill patternType="solid">
        <fgColor rgb="FF92D050"/>
        <bgColor indexed="64"/>
      </patternFill>
    </fill>
    <fill>
      <patternFill patternType="solid">
        <fgColor rgb="FFFFFFCC"/>
      </patternFill>
    </fill>
    <fill>
      <patternFill patternType="solid">
        <fgColor rgb="FFF2F2F2"/>
      </patternFill>
    </fill>
    <fill>
      <patternFill patternType="solid">
        <fgColor rgb="FF00FFFF"/>
        <bgColor indexed="64"/>
      </patternFill>
    </fill>
  </fills>
  <borders count="55">
    <border>
      <left/>
      <right/>
      <top/>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bottom style="thin">
        <color theme="0" tint="-0.24994659260841701"/>
      </bottom>
      <diagonal/>
    </border>
    <border>
      <left style="thin">
        <color indexed="64"/>
      </left>
      <right/>
      <top style="thin">
        <color indexed="64"/>
      </top>
      <bottom/>
      <diagonal/>
    </border>
    <border>
      <left/>
      <right style="thin">
        <color indexed="64"/>
      </right>
      <top style="thin">
        <color indexed="64"/>
      </top>
      <bottom/>
      <diagonal/>
    </border>
    <border>
      <left style="thin">
        <color rgb="FF7F7F7F"/>
      </left>
      <right style="thin">
        <color indexed="64"/>
      </right>
      <top style="thin">
        <color rgb="FF7F7F7F"/>
      </top>
      <bottom style="thin">
        <color rgb="FF7F7F7F"/>
      </bottom>
      <diagonal/>
    </border>
    <border>
      <left style="thin">
        <color indexed="64"/>
      </left>
      <right/>
      <top/>
      <bottom style="thin">
        <color indexed="64"/>
      </bottom>
      <diagonal/>
    </border>
    <border>
      <left/>
      <right style="thin">
        <color indexed="64"/>
      </right>
      <top/>
      <bottom style="thin">
        <color indexed="64"/>
      </bottom>
      <diagonal/>
    </border>
    <border>
      <left/>
      <right style="thin">
        <color rgb="FF7F7F7F"/>
      </right>
      <top style="thin">
        <color rgb="FF7F7F7F"/>
      </top>
      <bottom style="thin">
        <color rgb="FF7F7F7F"/>
      </bottom>
      <diagonal/>
    </border>
    <border>
      <left style="thin">
        <color rgb="FF7F7F7F"/>
      </left>
      <right/>
      <top style="thin">
        <color rgb="FF7F7F7F"/>
      </top>
      <bottom/>
      <diagonal/>
    </border>
    <border>
      <left/>
      <right style="thin">
        <color rgb="FF7F7F7F"/>
      </right>
      <top style="thin">
        <color rgb="FF7F7F7F"/>
      </top>
      <bottom/>
      <diagonal/>
    </border>
    <border>
      <left style="thin">
        <color rgb="FF7F7F7F"/>
      </left>
      <right/>
      <top/>
      <bottom/>
      <diagonal/>
    </border>
    <border>
      <left/>
      <right style="thin">
        <color rgb="FF7F7F7F"/>
      </right>
      <top/>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indexed="64"/>
      </bottom>
      <diagonal/>
    </border>
    <border diagonalUp="1" diagonalDown="1">
      <left style="thin">
        <color theme="0" tint="-0.24994659260841701"/>
      </left>
      <right style="thin">
        <color theme="0" tint="-0.24994659260841701"/>
      </right>
      <top style="thin">
        <color indexed="64"/>
      </top>
      <bottom style="thin">
        <color theme="0" tint="-0.24994659260841701"/>
      </bottom>
      <diagonal style="thin">
        <color theme="0" tint="-0.24994659260841701"/>
      </diagonal>
    </border>
    <border diagonalUp="1" diagonalDown="1">
      <left style="thin">
        <color theme="0" tint="-0.24994659260841701"/>
      </left>
      <right style="thin">
        <color theme="0" tint="-0.24994659260841701"/>
      </right>
      <top style="thin">
        <color theme="0" tint="-0.24994659260841701"/>
      </top>
      <bottom style="thin">
        <color theme="0" tint="-0.24994659260841701"/>
      </bottom>
      <diagonal style="thin">
        <color theme="0" tint="-0.24994659260841701"/>
      </diagonal>
    </border>
    <border>
      <left style="thin">
        <color theme="0" tint="-0.24994659260841701"/>
      </left>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right style="thin">
        <color indexed="64"/>
      </right>
      <top/>
      <bottom/>
      <diagonal/>
    </border>
    <border>
      <left style="thin">
        <color theme="0" tint="-0.24994659260841701"/>
      </left>
      <right style="thin">
        <color indexed="64"/>
      </right>
      <top style="thin">
        <color indexed="64"/>
      </top>
      <bottom style="thin">
        <color indexed="64"/>
      </bottom>
      <diagonal/>
    </border>
    <border>
      <left style="thin">
        <color rgb="FF7F7F7F"/>
      </left>
      <right style="thin">
        <color rgb="FF7F7F7F"/>
      </right>
      <top/>
      <bottom style="thin">
        <color rgb="FF7F7F7F"/>
      </bottom>
      <diagonal/>
    </border>
    <border>
      <left style="thin">
        <color theme="0" tint="-0.24994659260841701"/>
      </left>
      <right style="thin">
        <color indexed="64"/>
      </right>
      <top style="thin">
        <color indexed="64"/>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indexed="64"/>
      </bottom>
      <diagonal/>
    </border>
    <border diagonalUp="1" diagonalDown="1">
      <left style="thin">
        <color theme="0" tint="-0.24994659260841701"/>
      </left>
      <right style="thin">
        <color theme="0" tint="-0.24994659260841701"/>
      </right>
      <top style="thin">
        <color theme="0" tint="-0.24994659260841701"/>
      </top>
      <bottom style="thin">
        <color indexed="64"/>
      </bottom>
      <diagonal style="thin">
        <color theme="0" tint="-0.24994659260841701"/>
      </diagonal>
    </border>
    <border>
      <left style="thin">
        <color theme="0" tint="-0.24994659260841701"/>
      </left>
      <right/>
      <top style="thin">
        <color indexed="64"/>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top style="thin">
        <color indexed="64"/>
      </top>
      <bottom style="thin">
        <color theme="0" tint="-0.24994659260841701"/>
      </bottom>
      <diagonal/>
    </border>
    <border>
      <left/>
      <right/>
      <top style="thin">
        <color theme="0" tint="-0.24994659260841701"/>
      </top>
      <bottom style="thin">
        <color theme="0" tint="-0.24994659260841701"/>
      </bottom>
      <diagonal/>
    </border>
    <border>
      <left style="thin">
        <color indexed="64"/>
      </left>
      <right style="thin">
        <color theme="0" tint="-0.24994659260841701"/>
      </right>
      <top style="thin">
        <color indexed="64"/>
      </top>
      <bottom style="thin">
        <color theme="0" tint="-0.24994659260841701"/>
      </bottom>
      <diagonal/>
    </border>
    <border>
      <left/>
      <right style="thin">
        <color indexed="64"/>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indexed="64"/>
      </right>
      <top style="thin">
        <color theme="0" tint="-0.24994659260841701"/>
      </top>
      <bottom style="thin">
        <color indexed="64"/>
      </bottom>
      <diagonal/>
    </border>
    <border>
      <left style="thin">
        <color rgb="FF7F7F7F"/>
      </left>
      <right/>
      <top style="thin">
        <color rgb="FF7F7F7F"/>
      </top>
      <bottom style="thin">
        <color rgb="FF7F7F7F"/>
      </bottom>
      <diagonal/>
    </border>
    <border>
      <left style="thin">
        <color theme="0"/>
      </left>
      <right style="thin">
        <color theme="0"/>
      </right>
      <top style="thin">
        <color theme="0"/>
      </top>
      <bottom style="thin">
        <color theme="0"/>
      </bottom>
      <diagonal/>
    </border>
    <border>
      <left/>
      <right/>
      <top style="thin">
        <color rgb="FF7F7F7F"/>
      </top>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bottom/>
      <diagonal/>
    </border>
    <border>
      <left/>
      <right/>
      <top style="thin">
        <color indexed="64"/>
      </top>
      <bottom style="double">
        <color indexed="64"/>
      </bottom>
      <diagonal/>
    </border>
  </borders>
  <cellStyleXfs count="9">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11" fillId="4" borderId="0" applyNumberFormat="0" applyBorder="0" applyAlignment="0" applyProtection="0"/>
    <xf numFmtId="0" fontId="14" fillId="8" borderId="2" applyNumberFormat="0" applyAlignment="0" applyProtection="0"/>
    <xf numFmtId="0" fontId="33" fillId="11" borderId="0" applyNumberFormat="0" applyBorder="0" applyAlignment="0" applyProtection="0"/>
    <xf numFmtId="0" fontId="1" fillId="16" borderId="52" applyNumberFormat="0" applyFont="0" applyAlignment="0" applyProtection="0"/>
    <xf numFmtId="0" fontId="38" fillId="17" borderId="2" applyNumberFormat="0" applyAlignment="0" applyProtection="0"/>
  </cellStyleXfs>
  <cellXfs count="408">
    <xf numFmtId="0" fontId="0" fillId="0" borderId="0" xfId="0"/>
    <xf numFmtId="0" fontId="3" fillId="0" borderId="0" xfId="0" applyFont="1"/>
    <xf numFmtId="0" fontId="3" fillId="0" borderId="0" xfId="0" applyFont="1" applyAlignment="1">
      <alignment horizontal="center"/>
    </xf>
    <xf numFmtId="9" fontId="0" fillId="0" borderId="0" xfId="0" applyNumberFormat="1"/>
    <xf numFmtId="2" fontId="0" fillId="0" borderId="0" xfId="0" applyNumberFormat="1"/>
    <xf numFmtId="3" fontId="0" fillId="0" borderId="0" xfId="0" applyNumberFormat="1"/>
    <xf numFmtId="0" fontId="0" fillId="0" borderId="0" xfId="0" applyAlignment="1">
      <alignment horizontal="center"/>
    </xf>
    <xf numFmtId="0" fontId="3" fillId="0" borderId="0" xfId="0" applyFont="1" applyAlignment="1">
      <alignment horizontal="right" indent="1"/>
    </xf>
    <xf numFmtId="43" fontId="0" fillId="0" borderId="0" xfId="1" applyFont="1"/>
    <xf numFmtId="0" fontId="7" fillId="0" borderId="0" xfId="0" applyFont="1"/>
    <xf numFmtId="9" fontId="7" fillId="0" borderId="0" xfId="0" applyNumberFormat="1" applyFont="1"/>
    <xf numFmtId="0" fontId="7" fillId="0" borderId="0" xfId="0" applyFont="1" applyAlignment="1">
      <alignment horizontal="center"/>
    </xf>
    <xf numFmtId="0" fontId="8" fillId="0" borderId="0" xfId="0" applyFont="1" applyAlignment="1">
      <alignment horizontal="center"/>
    </xf>
    <xf numFmtId="0" fontId="0" fillId="0" borderId="0" xfId="0" applyFont="1" applyAlignment="1">
      <alignment horizontal="center"/>
    </xf>
    <xf numFmtId="0" fontId="9" fillId="0" borderId="0" xfId="0" applyFont="1" applyAlignment="1">
      <alignment horizontal="center"/>
    </xf>
    <xf numFmtId="0" fontId="10" fillId="0" borderId="0" xfId="0" applyFont="1" applyAlignment="1">
      <alignment horizontal="center"/>
    </xf>
    <xf numFmtId="0" fontId="0" fillId="0" borderId="0" xfId="0" applyFill="1"/>
    <xf numFmtId="0" fontId="0" fillId="0" borderId="0" xfId="0" applyFill="1" applyAlignment="1">
      <alignment horizontal="center"/>
    </xf>
    <xf numFmtId="0" fontId="3" fillId="0" borderId="0" xfId="0" applyFont="1" applyFill="1" applyAlignment="1">
      <alignment horizontal="center"/>
    </xf>
    <xf numFmtId="0" fontId="3" fillId="3" borderId="0" xfId="0" applyFont="1" applyFill="1"/>
    <xf numFmtId="166" fontId="0" fillId="0" borderId="0" xfId="0" applyNumberFormat="1" applyAlignment="1">
      <alignment horizontal="right" indent="1"/>
    </xf>
    <xf numFmtId="0" fontId="3" fillId="0" borderId="0" xfId="0" applyFont="1" applyAlignment="1">
      <alignment horizontal="center"/>
    </xf>
    <xf numFmtId="0" fontId="12" fillId="0" borderId="0" xfId="0" applyFont="1" applyAlignment="1">
      <alignment horizontal="center"/>
    </xf>
    <xf numFmtId="168" fontId="0" fillId="0" borderId="0" xfId="0" applyNumberFormat="1" applyAlignment="1">
      <alignment horizontal="center"/>
    </xf>
    <xf numFmtId="1" fontId="17" fillId="0" borderId="0" xfId="0" applyNumberFormat="1" applyFont="1" applyAlignment="1">
      <alignment horizontal="center"/>
    </xf>
    <xf numFmtId="0" fontId="3" fillId="3" borderId="0" xfId="0" applyFont="1" applyFill="1" applyAlignment="1">
      <alignment horizontal="left" indent="1"/>
    </xf>
    <xf numFmtId="0" fontId="20" fillId="0" borderId="0" xfId="0" applyFont="1"/>
    <xf numFmtId="0" fontId="3" fillId="0" borderId="0" xfId="0" applyFont="1" applyFill="1"/>
    <xf numFmtId="165" fontId="0" fillId="0" borderId="0" xfId="1" applyNumberFormat="1" applyFont="1"/>
    <xf numFmtId="0" fontId="19" fillId="3" borderId="0" xfId="0" applyFont="1" applyFill="1" applyAlignment="1">
      <alignment horizontal="center"/>
    </xf>
    <xf numFmtId="165" fontId="22" fillId="3" borderId="0" xfId="1" applyNumberFormat="1" applyFont="1" applyFill="1" applyBorder="1"/>
    <xf numFmtId="169" fontId="3" fillId="0" borderId="0" xfId="0" applyNumberFormat="1" applyFont="1" applyAlignment="1">
      <alignment horizontal="center"/>
    </xf>
    <xf numFmtId="1" fontId="17" fillId="0" borderId="7" xfId="0" applyNumberFormat="1" applyFont="1" applyBorder="1" applyAlignment="1">
      <alignment horizontal="center"/>
    </xf>
    <xf numFmtId="169" fontId="3" fillId="0" borderId="7" xfId="0" applyNumberFormat="1" applyFont="1" applyFill="1" applyBorder="1" applyAlignment="1">
      <alignment horizontal="center"/>
    </xf>
    <xf numFmtId="165" fontId="22" fillId="3" borderId="7" xfId="1" applyNumberFormat="1" applyFont="1" applyFill="1" applyBorder="1"/>
    <xf numFmtId="169" fontId="3" fillId="0" borderId="7" xfId="0" applyNumberFormat="1" applyFont="1" applyBorder="1" applyAlignment="1">
      <alignment horizontal="center"/>
    </xf>
    <xf numFmtId="0" fontId="19" fillId="3" borderId="0" xfId="0" applyFont="1" applyFill="1" applyAlignment="1">
      <alignment horizontal="left" indent="1"/>
    </xf>
    <xf numFmtId="0" fontId="21" fillId="3" borderId="0" xfId="0" applyFont="1" applyFill="1" applyAlignment="1">
      <alignment horizontal="left" indent="1"/>
    </xf>
    <xf numFmtId="165" fontId="22" fillId="3" borderId="7" xfId="1" applyNumberFormat="1" applyFont="1" applyFill="1" applyBorder="1" applyAlignment="1">
      <alignment horizontal="left" indent="1"/>
    </xf>
    <xf numFmtId="165" fontId="22" fillId="3" borderId="0" xfId="1" applyNumberFormat="1" applyFont="1" applyFill="1" applyBorder="1" applyAlignment="1">
      <alignment horizontal="left" indent="1"/>
    </xf>
    <xf numFmtId="0" fontId="20" fillId="0" borderId="0" xfId="0" applyFont="1" applyAlignment="1">
      <alignment horizontal="left" indent="1"/>
    </xf>
    <xf numFmtId="0" fontId="19" fillId="3" borderId="0" xfId="0" applyFont="1" applyFill="1" applyAlignment="1">
      <alignment horizontal="left"/>
    </xf>
    <xf numFmtId="171" fontId="0" fillId="0" borderId="0" xfId="0" applyNumberFormat="1" applyAlignment="1">
      <alignment horizontal="left" indent="1"/>
    </xf>
    <xf numFmtId="172" fontId="0" fillId="0" borderId="0" xfId="0" applyNumberFormat="1"/>
    <xf numFmtId="173" fontId="0" fillId="0" borderId="0" xfId="1" applyNumberFormat="1" applyFont="1"/>
    <xf numFmtId="0" fontId="3" fillId="3" borderId="8" xfId="0" applyFont="1" applyFill="1" applyBorder="1" applyAlignment="1">
      <alignment horizontal="center"/>
    </xf>
    <xf numFmtId="0" fontId="3" fillId="3" borderId="8" xfId="0" applyFont="1" applyFill="1" applyBorder="1" applyAlignment="1">
      <alignment horizontal="left" indent="1"/>
    </xf>
    <xf numFmtId="0" fontId="3" fillId="3" borderId="8" xfId="0" quotePrefix="1" applyFont="1" applyFill="1" applyBorder="1" applyAlignment="1">
      <alignment horizontal="center"/>
    </xf>
    <xf numFmtId="43" fontId="13" fillId="0" borderId="0" xfId="1" applyFont="1"/>
    <xf numFmtId="0" fontId="0" fillId="0" borderId="0" xfId="0" quotePrefix="1" applyAlignment="1">
      <alignment horizontal="right" indent="1"/>
    </xf>
    <xf numFmtId="174" fontId="0" fillId="0" borderId="0" xfId="1" applyNumberFormat="1" applyFont="1"/>
    <xf numFmtId="175" fontId="0" fillId="0" borderId="0" xfId="0" applyNumberFormat="1"/>
    <xf numFmtId="176" fontId="0" fillId="0" borderId="0" xfId="1" applyNumberFormat="1" applyFont="1"/>
    <xf numFmtId="177" fontId="0" fillId="0" borderId="0" xfId="2" applyNumberFormat="1" applyFont="1"/>
    <xf numFmtId="0" fontId="3" fillId="3" borderId="8" xfId="0" applyFont="1" applyFill="1" applyBorder="1"/>
    <xf numFmtId="43" fontId="3" fillId="3" borderId="8" xfId="1" quotePrefix="1" applyFont="1" applyFill="1" applyBorder="1" applyAlignment="1">
      <alignment horizontal="center"/>
    </xf>
    <xf numFmtId="178" fontId="0" fillId="0" borderId="3" xfId="1" applyNumberFormat="1" applyFont="1" applyBorder="1"/>
    <xf numFmtId="165" fontId="0" fillId="0" borderId="3" xfId="1" applyNumberFormat="1" applyFont="1" applyBorder="1"/>
    <xf numFmtId="165" fontId="0" fillId="0" borderId="0" xfId="1" applyNumberFormat="1" applyFont="1" applyBorder="1"/>
    <xf numFmtId="165" fontId="0" fillId="0" borderId="0" xfId="0" quotePrefix="1" applyNumberFormat="1" applyAlignment="1">
      <alignment horizontal="right" indent="1"/>
    </xf>
    <xf numFmtId="0" fontId="0" fillId="0" borderId="0" xfId="0" applyAlignment="1">
      <alignment horizontal="right" indent="1"/>
    </xf>
    <xf numFmtId="179" fontId="0" fillId="0" borderId="3" xfId="1" applyNumberFormat="1" applyFont="1" applyBorder="1"/>
    <xf numFmtId="179" fontId="0" fillId="0" borderId="0" xfId="1" applyNumberFormat="1" applyFont="1" applyBorder="1"/>
    <xf numFmtId="180" fontId="0" fillId="0" borderId="0" xfId="2" applyNumberFormat="1" applyFont="1"/>
    <xf numFmtId="0" fontId="23" fillId="0" borderId="0" xfId="0" applyFont="1"/>
    <xf numFmtId="181" fontId="24" fillId="0" borderId="0" xfId="0" applyNumberFormat="1" applyFont="1" applyAlignment="1">
      <alignment horizontal="center"/>
    </xf>
    <xf numFmtId="0" fontId="15" fillId="0" borderId="0" xfId="0" applyNumberFormat="1" applyFont="1" applyAlignment="1">
      <alignment horizontal="center"/>
    </xf>
    <xf numFmtId="169" fontId="0" fillId="0" borderId="7" xfId="0" applyNumberFormat="1" applyFont="1" applyBorder="1" applyAlignment="1">
      <alignment horizontal="center"/>
    </xf>
    <xf numFmtId="169" fontId="0" fillId="0" borderId="0" xfId="0" applyNumberFormat="1" applyFont="1" applyAlignment="1">
      <alignment horizontal="center"/>
    </xf>
    <xf numFmtId="169" fontId="0" fillId="0" borderId="7" xfId="0" applyNumberFormat="1" applyFont="1" applyFill="1" applyBorder="1" applyAlignment="1">
      <alignment horizontal="center"/>
    </xf>
    <xf numFmtId="0" fontId="0" fillId="0" borderId="12" xfId="0" applyBorder="1"/>
    <xf numFmtId="0" fontId="3" fillId="0" borderId="8" xfId="0" applyFont="1" applyBorder="1" applyAlignment="1">
      <alignment horizontal="center"/>
    </xf>
    <xf numFmtId="0" fontId="3" fillId="0" borderId="13" xfId="0" applyFont="1" applyBorder="1" applyAlignment="1">
      <alignment horizontal="center"/>
    </xf>
    <xf numFmtId="0" fontId="0" fillId="0" borderId="0" xfId="0" applyBorder="1"/>
    <xf numFmtId="0" fontId="3" fillId="0" borderId="7" xfId="0" applyFont="1" applyBorder="1" applyAlignment="1">
      <alignment horizontal="left" indent="1"/>
    </xf>
    <xf numFmtId="0" fontId="3" fillId="0" borderId="15" xfId="0" applyFont="1" applyBorder="1" applyAlignment="1">
      <alignment horizontal="left" indent="1"/>
    </xf>
    <xf numFmtId="0" fontId="3" fillId="0" borderId="0" xfId="0" applyFont="1" applyBorder="1" applyAlignment="1">
      <alignment horizontal="left" indent="1"/>
    </xf>
    <xf numFmtId="168" fontId="0" fillId="0" borderId="0" xfId="0" applyNumberFormat="1" applyBorder="1" applyAlignment="1">
      <alignment horizontal="center"/>
    </xf>
    <xf numFmtId="0" fontId="0" fillId="0" borderId="0" xfId="0" quotePrefix="1"/>
    <xf numFmtId="0" fontId="14" fillId="8" borderId="2" xfId="5" applyAlignment="1">
      <alignment horizontal="center"/>
    </xf>
    <xf numFmtId="0" fontId="14" fillId="8" borderId="2" xfId="5"/>
    <xf numFmtId="0" fontId="0" fillId="0" borderId="18" xfId="0" applyBorder="1"/>
    <xf numFmtId="0" fontId="0" fillId="0" borderId="19" xfId="0" applyBorder="1"/>
    <xf numFmtId="0" fontId="0" fillId="0" borderId="20" xfId="0" applyBorder="1"/>
    <xf numFmtId="0" fontId="0" fillId="0" borderId="21" xfId="0" applyBorder="1"/>
    <xf numFmtId="183" fontId="0" fillId="0" borderId="1" xfId="0" applyNumberFormat="1" applyBorder="1" applyAlignment="1">
      <alignment horizontal="center"/>
    </xf>
    <xf numFmtId="183" fontId="0" fillId="0" borderId="16" xfId="0" applyNumberFormat="1" applyBorder="1" applyAlignment="1">
      <alignment horizontal="center"/>
    </xf>
    <xf numFmtId="0" fontId="3" fillId="3" borderId="23" xfId="0" applyFont="1" applyFill="1" applyBorder="1" applyAlignment="1">
      <alignment horizontal="center"/>
    </xf>
    <xf numFmtId="0" fontId="0" fillId="0" borderId="24" xfId="0" applyBorder="1" applyAlignment="1">
      <alignment horizontal="center"/>
    </xf>
    <xf numFmtId="183" fontId="0" fillId="0" borderId="24" xfId="0" applyNumberFormat="1" applyBorder="1" applyAlignment="1">
      <alignment horizontal="center"/>
    </xf>
    <xf numFmtId="0" fontId="7" fillId="0" borderId="24" xfId="0" applyFont="1" applyBorder="1" applyAlignment="1">
      <alignment horizontal="center"/>
    </xf>
    <xf numFmtId="0" fontId="0" fillId="0" borderId="25" xfId="0" applyBorder="1" applyAlignment="1">
      <alignment horizontal="center"/>
    </xf>
    <xf numFmtId="183" fontId="0" fillId="0" borderId="25" xfId="0" applyNumberFormat="1" applyBorder="1" applyAlignment="1">
      <alignment horizontal="center"/>
    </xf>
    <xf numFmtId="0" fontId="7" fillId="0" borderId="25" xfId="0" applyFont="1" applyBorder="1" applyAlignment="1">
      <alignment horizontal="center"/>
    </xf>
    <xf numFmtId="0" fontId="0" fillId="0" borderId="22" xfId="0" applyBorder="1"/>
    <xf numFmtId="0" fontId="4" fillId="0" borderId="22" xfId="0" applyFont="1" applyBorder="1"/>
    <xf numFmtId="0" fontId="3" fillId="0" borderId="22" xfId="0" applyFont="1" applyFill="1" applyBorder="1"/>
    <xf numFmtId="0" fontId="3" fillId="0" borderId="22" xfId="0" applyFont="1" applyBorder="1" applyAlignment="1">
      <alignment horizontal="center"/>
    </xf>
    <xf numFmtId="0" fontId="7" fillId="0" borderId="26" xfId="0" applyFont="1" applyBorder="1" applyAlignment="1">
      <alignment horizontal="center"/>
    </xf>
    <xf numFmtId="3" fontId="0" fillId="0" borderId="26" xfId="0" applyNumberFormat="1" applyBorder="1"/>
    <xf numFmtId="3" fontId="7" fillId="0" borderId="27" xfId="0" applyNumberFormat="1" applyFont="1" applyBorder="1" applyAlignment="1">
      <alignment horizontal="center"/>
    </xf>
    <xf numFmtId="3" fontId="7" fillId="0" borderId="27" xfId="0" applyNumberFormat="1" applyFont="1" applyBorder="1"/>
    <xf numFmtId="0" fontId="0" fillId="0" borderId="22" xfId="0" applyBorder="1" applyAlignment="1">
      <alignment horizontal="center"/>
    </xf>
    <xf numFmtId="0" fontId="0" fillId="0" borderId="28" xfId="0" applyBorder="1"/>
    <xf numFmtId="0" fontId="0" fillId="0" borderId="7" xfId="0" applyBorder="1" applyAlignment="1">
      <alignment horizontal="center"/>
    </xf>
    <xf numFmtId="0" fontId="0" fillId="0" borderId="0" xfId="0" applyBorder="1" applyAlignment="1">
      <alignment horizontal="center"/>
    </xf>
    <xf numFmtId="0" fontId="0" fillId="0" borderId="29" xfId="0" applyBorder="1"/>
    <xf numFmtId="0" fontId="3" fillId="0" borderId="31" xfId="0" applyFont="1" applyBorder="1" applyAlignment="1">
      <alignment horizontal="center"/>
    </xf>
    <xf numFmtId="0" fontId="3" fillId="0" borderId="29" xfId="0" applyFont="1" applyBorder="1" applyAlignment="1">
      <alignment horizontal="left"/>
    </xf>
    <xf numFmtId="0" fontId="25" fillId="9" borderId="0" xfId="0" applyFont="1" applyFill="1"/>
    <xf numFmtId="0" fontId="26" fillId="9" borderId="0" xfId="0" applyFont="1" applyFill="1"/>
    <xf numFmtId="0" fontId="27" fillId="0" borderId="0" xfId="0" applyFont="1"/>
    <xf numFmtId="0" fontId="28" fillId="9" borderId="0" xfId="0" applyFont="1" applyFill="1"/>
    <xf numFmtId="0" fontId="26" fillId="9" borderId="0" xfId="0" applyFont="1" applyFill="1" applyAlignment="1">
      <alignment horizontal="left" indent="1"/>
    </xf>
    <xf numFmtId="0" fontId="3" fillId="3" borderId="22" xfId="0" applyFont="1" applyFill="1" applyBorder="1"/>
    <xf numFmtId="0" fontId="3" fillId="3" borderId="22" xfId="0" applyFont="1" applyFill="1" applyBorder="1" applyAlignment="1">
      <alignment horizontal="center"/>
    </xf>
    <xf numFmtId="0" fontId="7" fillId="8" borderId="2" xfId="5" applyFont="1" applyAlignment="1">
      <alignment horizontal="center"/>
    </xf>
    <xf numFmtId="0" fontId="7" fillId="0" borderId="0" xfId="2" applyNumberFormat="1" applyFont="1" applyAlignment="1">
      <alignment horizontal="center"/>
    </xf>
    <xf numFmtId="0" fontId="12" fillId="5" borderId="9" xfId="0" applyFont="1" applyFill="1" applyBorder="1"/>
    <xf numFmtId="0" fontId="12" fillId="0" borderId="9" xfId="0" applyFont="1" applyBorder="1"/>
    <xf numFmtId="0" fontId="7" fillId="0" borderId="9" xfId="0" applyFont="1" applyBorder="1" applyAlignment="1">
      <alignment horizontal="center"/>
    </xf>
    <xf numFmtId="164" fontId="0" fillId="0" borderId="9" xfId="0" applyNumberFormat="1" applyBorder="1"/>
    <xf numFmtId="170" fontId="12" fillId="0" borderId="9" xfId="4" applyNumberFormat="1" applyFont="1" applyFill="1" applyBorder="1" applyAlignment="1">
      <alignment horizontal="center"/>
    </xf>
    <xf numFmtId="3" fontId="0" fillId="0" borderId="33" xfId="0" applyNumberFormat="1" applyBorder="1"/>
    <xf numFmtId="0" fontId="12" fillId="5" borderId="3" xfId="0" applyFont="1" applyFill="1" applyBorder="1"/>
    <xf numFmtId="0" fontId="12" fillId="0" borderId="3" xfId="3" applyFont="1" applyFill="1" applyBorder="1"/>
    <xf numFmtId="0" fontId="7" fillId="0" borderId="3" xfId="0" applyFont="1" applyBorder="1" applyAlignment="1">
      <alignment horizontal="center"/>
    </xf>
    <xf numFmtId="164" fontId="0" fillId="0" borderId="3" xfId="0" applyNumberFormat="1" applyBorder="1"/>
    <xf numFmtId="170" fontId="12" fillId="0" borderId="3" xfId="4" applyNumberFormat="1" applyFont="1" applyFill="1" applyBorder="1" applyAlignment="1">
      <alignment horizontal="center"/>
    </xf>
    <xf numFmtId="3" fontId="0" fillId="0" borderId="34" xfId="0" applyNumberFormat="1" applyBorder="1"/>
    <xf numFmtId="0" fontId="12" fillId="0" borderId="3" xfId="0" applyFont="1" applyBorder="1"/>
    <xf numFmtId="170" fontId="12" fillId="0" borderId="3" xfId="0" applyNumberFormat="1" applyFont="1" applyBorder="1" applyAlignment="1">
      <alignment horizontal="center"/>
    </xf>
    <xf numFmtId="0" fontId="12" fillId="5" borderId="10" xfId="0" applyFont="1" applyFill="1" applyBorder="1"/>
    <xf numFmtId="0" fontId="12" fillId="0" borderId="10" xfId="0" applyFont="1" applyBorder="1"/>
    <xf numFmtId="0" fontId="7" fillId="0" borderId="10" xfId="0" applyFont="1" applyBorder="1" applyAlignment="1">
      <alignment horizontal="center"/>
    </xf>
    <xf numFmtId="164" fontId="0" fillId="0" borderId="10" xfId="0" applyNumberFormat="1" applyBorder="1"/>
    <xf numFmtId="170" fontId="12" fillId="0" borderId="10" xfId="0" applyNumberFormat="1" applyFont="1" applyBorder="1" applyAlignment="1">
      <alignment horizontal="center"/>
    </xf>
    <xf numFmtId="3" fontId="0" fillId="0" borderId="35" xfId="0" applyNumberFormat="1" applyBorder="1"/>
    <xf numFmtId="0" fontId="12" fillId="6" borderId="9" xfId="0" applyFont="1" applyFill="1" applyBorder="1"/>
    <xf numFmtId="164" fontId="12" fillId="0" borderId="9" xfId="0" applyNumberFormat="1" applyFont="1" applyBorder="1"/>
    <xf numFmtId="3" fontId="12" fillId="0" borderId="33" xfId="0" applyNumberFormat="1" applyFont="1" applyBorder="1"/>
    <xf numFmtId="0" fontId="12" fillId="6" borderId="3" xfId="0" applyFont="1" applyFill="1" applyBorder="1"/>
    <xf numFmtId="164" fontId="12" fillId="0" borderId="3" xfId="0" applyNumberFormat="1" applyFont="1" applyBorder="1"/>
    <xf numFmtId="3" fontId="12" fillId="0" borderId="34" xfId="0" applyNumberFormat="1" applyFont="1" applyBorder="1"/>
    <xf numFmtId="0" fontId="12" fillId="6" borderId="10" xfId="0" applyFont="1" applyFill="1" applyBorder="1"/>
    <xf numFmtId="164" fontId="12" fillId="0" borderId="10" xfId="0" applyNumberFormat="1" applyFont="1" applyBorder="1"/>
    <xf numFmtId="170" fontId="12" fillId="0" borderId="10" xfId="4" applyNumberFormat="1" applyFont="1" applyFill="1" applyBorder="1" applyAlignment="1">
      <alignment horizontal="center"/>
    </xf>
    <xf numFmtId="3" fontId="12" fillId="0" borderId="35" xfId="0" applyNumberFormat="1" applyFont="1" applyBorder="1"/>
    <xf numFmtId="170" fontId="12" fillId="0" borderId="9" xfId="0" applyNumberFormat="1" applyFont="1" applyBorder="1" applyAlignment="1">
      <alignment horizontal="center"/>
    </xf>
    <xf numFmtId="0" fontId="0" fillId="7" borderId="3" xfId="0" applyFill="1" applyBorder="1"/>
    <xf numFmtId="0" fontId="0" fillId="7" borderId="10" xfId="0" applyFill="1" applyBorder="1"/>
    <xf numFmtId="0" fontId="0" fillId="0" borderId="10" xfId="0" applyBorder="1"/>
    <xf numFmtId="3" fontId="7" fillId="0" borderId="36" xfId="0" applyNumberFormat="1" applyFont="1" applyBorder="1" applyAlignment="1">
      <alignment horizontal="center"/>
    </xf>
    <xf numFmtId="3" fontId="7" fillId="0" borderId="36" xfId="0" applyNumberFormat="1" applyFont="1" applyBorder="1"/>
    <xf numFmtId="3" fontId="0" fillId="0" borderId="26" xfId="0" applyNumberFormat="1" applyBorder="1" applyAlignment="1">
      <alignment horizontal="center"/>
    </xf>
    <xf numFmtId="0" fontId="17" fillId="0" borderId="3" xfId="0" applyFont="1" applyBorder="1" applyAlignment="1">
      <alignment horizontal="center"/>
    </xf>
    <xf numFmtId="1" fontId="17" fillId="0" borderId="11" xfId="0" applyNumberFormat="1" applyFont="1" applyBorder="1" applyAlignment="1">
      <alignment horizontal="center"/>
    </xf>
    <xf numFmtId="0" fontId="17" fillId="0" borderId="10" xfId="0" applyFont="1" applyBorder="1" applyAlignment="1">
      <alignment horizontal="center"/>
    </xf>
    <xf numFmtId="0" fontId="18" fillId="0" borderId="11" xfId="0" applyFont="1" applyBorder="1" applyAlignment="1">
      <alignment horizontal="center"/>
    </xf>
    <xf numFmtId="0" fontId="18" fillId="0" borderId="3" xfId="0" applyFont="1" applyBorder="1" applyAlignment="1">
      <alignment horizontal="center"/>
    </xf>
    <xf numFmtId="0" fontId="18" fillId="0" borderId="10" xfId="0" applyFont="1" applyBorder="1" applyAlignment="1">
      <alignment horizontal="center"/>
    </xf>
    <xf numFmtId="43" fontId="0" fillId="0" borderId="3" xfId="1" applyFont="1" applyBorder="1"/>
    <xf numFmtId="43" fontId="0" fillId="0" borderId="10" xfId="1" applyFont="1" applyBorder="1"/>
    <xf numFmtId="43" fontId="0" fillId="0" borderId="11" xfId="1" applyFont="1" applyBorder="1"/>
    <xf numFmtId="0" fontId="3" fillId="3" borderId="31" xfId="0" applyFont="1" applyFill="1" applyBorder="1" applyAlignment="1">
      <alignment horizontal="center"/>
    </xf>
    <xf numFmtId="0" fontId="29" fillId="3" borderId="22" xfId="0" applyFont="1" applyFill="1" applyBorder="1" applyAlignment="1">
      <alignment horizontal="center"/>
    </xf>
    <xf numFmtId="0" fontId="0" fillId="0" borderId="30" xfId="0" applyBorder="1" applyAlignment="1">
      <alignment horizontal="center"/>
    </xf>
    <xf numFmtId="0" fontId="0" fillId="0" borderId="9" xfId="0" applyBorder="1" applyAlignment="1" applyProtection="1">
      <alignment horizontal="center"/>
      <protection locked="0"/>
    </xf>
    <xf numFmtId="0" fontId="0" fillId="0" borderId="3" xfId="0" applyBorder="1" applyAlignment="1" applyProtection="1">
      <alignment horizontal="center"/>
      <protection locked="0"/>
    </xf>
    <xf numFmtId="0" fontId="0" fillId="0" borderId="10" xfId="0" applyBorder="1" applyAlignment="1" applyProtection="1">
      <alignment horizontal="center"/>
      <protection locked="0"/>
    </xf>
    <xf numFmtId="0" fontId="12" fillId="0" borderId="9" xfId="0" applyFont="1" applyBorder="1" applyAlignment="1" applyProtection="1">
      <alignment horizontal="center"/>
      <protection locked="0"/>
    </xf>
    <xf numFmtId="0" fontId="12" fillId="0" borderId="3" xfId="0" applyFont="1" applyBorder="1" applyAlignment="1" applyProtection="1">
      <alignment horizontal="center"/>
      <protection locked="0"/>
    </xf>
    <xf numFmtId="0" fontId="12" fillId="0" borderId="10" xfId="0" applyFont="1" applyBorder="1" applyAlignment="1" applyProtection="1">
      <alignment horizontal="center"/>
      <protection locked="0"/>
    </xf>
    <xf numFmtId="0" fontId="7" fillId="0" borderId="26" xfId="0" applyFont="1" applyBorder="1" applyAlignment="1" applyProtection="1">
      <alignment horizontal="center"/>
      <protection locked="0"/>
    </xf>
    <xf numFmtId="0" fontId="7" fillId="0" borderId="27" xfId="0" applyFont="1" applyBorder="1" applyAlignment="1" applyProtection="1">
      <alignment horizontal="center"/>
      <protection locked="0"/>
    </xf>
    <xf numFmtId="0" fontId="7" fillId="0" borderId="36" xfId="0" applyFont="1" applyBorder="1" applyAlignment="1" applyProtection="1">
      <alignment horizontal="center"/>
      <protection locked="0"/>
    </xf>
    <xf numFmtId="3" fontId="0" fillId="0" borderId="9" xfId="0" applyNumberFormat="1" applyBorder="1" applyAlignment="1" applyProtection="1">
      <alignment horizontal="center"/>
      <protection locked="0"/>
    </xf>
    <xf numFmtId="3" fontId="0" fillId="0" borderId="3" xfId="0" applyNumberFormat="1" applyBorder="1" applyAlignment="1" applyProtection="1">
      <alignment horizontal="center"/>
      <protection locked="0"/>
    </xf>
    <xf numFmtId="3" fontId="0" fillId="0" borderId="10" xfId="0" applyNumberFormat="1" applyBorder="1" applyAlignment="1" applyProtection="1">
      <alignment horizontal="center"/>
      <protection locked="0"/>
    </xf>
    <xf numFmtId="3" fontId="12" fillId="0" borderId="9" xfId="0" applyNumberFormat="1" applyFont="1" applyBorder="1" applyAlignment="1" applyProtection="1">
      <alignment horizontal="center"/>
      <protection locked="0"/>
    </xf>
    <xf numFmtId="3" fontId="12" fillId="0" borderId="3" xfId="0" applyNumberFormat="1" applyFont="1" applyBorder="1" applyAlignment="1" applyProtection="1">
      <alignment horizontal="center"/>
      <protection locked="0"/>
    </xf>
    <xf numFmtId="3" fontId="12" fillId="0" borderId="10" xfId="0" applyNumberFormat="1" applyFont="1" applyBorder="1" applyAlignment="1" applyProtection="1">
      <alignment horizontal="center"/>
      <protection locked="0"/>
    </xf>
    <xf numFmtId="3" fontId="0" fillId="0" borderId="9" xfId="0" applyNumberFormat="1" applyBorder="1" applyProtection="1">
      <protection locked="0"/>
    </xf>
    <xf numFmtId="164" fontId="0" fillId="0" borderId="9" xfId="0" applyNumberFormat="1" applyBorder="1" applyProtection="1">
      <protection locked="0"/>
    </xf>
    <xf numFmtId="164" fontId="12" fillId="0" borderId="9" xfId="4" applyNumberFormat="1" applyFont="1" applyFill="1" applyBorder="1" applyAlignment="1" applyProtection="1">
      <alignment horizontal="center"/>
      <protection locked="0"/>
    </xf>
    <xf numFmtId="3" fontId="0" fillId="0" borderId="3" xfId="0" applyNumberFormat="1" applyBorder="1" applyProtection="1">
      <protection locked="0"/>
    </xf>
    <xf numFmtId="164" fontId="0" fillId="0" borderId="3" xfId="0" applyNumberFormat="1" applyBorder="1" applyProtection="1">
      <protection locked="0"/>
    </xf>
    <xf numFmtId="164" fontId="12" fillId="0" borderId="3" xfId="4" applyNumberFormat="1" applyFont="1" applyFill="1" applyBorder="1" applyAlignment="1" applyProtection="1">
      <alignment horizontal="center"/>
      <protection locked="0"/>
    </xf>
    <xf numFmtId="164" fontId="12" fillId="0" borderId="3" xfId="0" applyNumberFormat="1" applyFont="1" applyBorder="1" applyAlignment="1" applyProtection="1">
      <alignment horizontal="center"/>
      <protection locked="0"/>
    </xf>
    <xf numFmtId="3" fontId="0" fillId="0" borderId="10" xfId="0" applyNumberFormat="1" applyBorder="1" applyProtection="1">
      <protection locked="0"/>
    </xf>
    <xf numFmtId="164" fontId="0" fillId="0" borderId="10" xfId="0" applyNumberFormat="1" applyBorder="1" applyProtection="1">
      <protection locked="0"/>
    </xf>
    <xf numFmtId="164" fontId="12" fillId="0" borderId="10" xfId="0" applyNumberFormat="1" applyFont="1" applyBorder="1" applyAlignment="1" applyProtection="1">
      <alignment horizontal="center"/>
      <protection locked="0"/>
    </xf>
    <xf numFmtId="3" fontId="12" fillId="0" borderId="9" xfId="0" applyNumberFormat="1" applyFont="1" applyBorder="1" applyProtection="1">
      <protection locked="0"/>
    </xf>
    <xf numFmtId="164" fontId="12" fillId="0" borderId="9" xfId="0" applyNumberFormat="1" applyFont="1" applyBorder="1" applyProtection="1">
      <protection locked="0"/>
    </xf>
    <xf numFmtId="3" fontId="12" fillId="0" borderId="3" xfId="0" applyNumberFormat="1" applyFont="1" applyBorder="1" applyProtection="1">
      <protection locked="0"/>
    </xf>
    <xf numFmtId="164" fontId="12" fillId="0" borderId="3" xfId="0" applyNumberFormat="1" applyFont="1" applyBorder="1" applyProtection="1">
      <protection locked="0"/>
    </xf>
    <xf numFmtId="3" fontId="12" fillId="0" borderId="10" xfId="0" applyNumberFormat="1" applyFont="1" applyBorder="1" applyProtection="1">
      <protection locked="0"/>
    </xf>
    <xf numFmtId="164" fontId="12" fillId="0" borderId="10" xfId="0" applyNumberFormat="1" applyFont="1" applyBorder="1" applyProtection="1">
      <protection locked="0"/>
    </xf>
    <xf numFmtId="164" fontId="12" fillId="0" borderId="10" xfId="4" applyNumberFormat="1" applyFont="1" applyFill="1" applyBorder="1" applyAlignment="1" applyProtection="1">
      <alignment horizontal="center"/>
      <protection locked="0"/>
    </xf>
    <xf numFmtId="164" fontId="12" fillId="0" borderId="9" xfId="0" applyNumberFormat="1" applyFont="1" applyBorder="1" applyAlignment="1" applyProtection="1">
      <alignment horizontal="center"/>
      <protection locked="0"/>
    </xf>
    <xf numFmtId="3" fontId="0" fillId="0" borderId="3" xfId="0" applyNumberFormat="1" applyFill="1" applyBorder="1" applyProtection="1">
      <protection locked="0"/>
    </xf>
    <xf numFmtId="3" fontId="0" fillId="0" borderId="10" xfId="0" applyNumberFormat="1" applyFill="1" applyBorder="1" applyProtection="1">
      <protection locked="0"/>
    </xf>
    <xf numFmtId="4" fontId="12" fillId="0" borderId="10" xfId="4" applyNumberFormat="1" applyFont="1" applyFill="1" applyBorder="1" applyAlignment="1" applyProtection="1">
      <alignment horizontal="center"/>
      <protection locked="0"/>
    </xf>
    <xf numFmtId="0" fontId="3" fillId="0" borderId="22" xfId="0" applyFont="1" applyBorder="1" applyAlignment="1" applyProtection="1">
      <alignment horizontal="center"/>
    </xf>
    <xf numFmtId="0" fontId="8" fillId="0" borderId="22" xfId="0" applyFont="1" applyBorder="1" applyAlignment="1" applyProtection="1">
      <alignment horizontal="center"/>
    </xf>
    <xf numFmtId="0" fontId="14" fillId="8" borderId="32" xfId="5" applyBorder="1" applyAlignment="1" applyProtection="1">
      <alignment horizontal="center"/>
      <protection locked="0"/>
    </xf>
    <xf numFmtId="0" fontId="14" fillId="8" borderId="2" xfId="5" applyAlignment="1" applyProtection="1">
      <alignment horizontal="center"/>
      <protection locked="0"/>
    </xf>
    <xf numFmtId="0" fontId="0" fillId="0" borderId="0" xfId="0" applyBorder="1" applyProtection="1">
      <protection locked="0"/>
    </xf>
    <xf numFmtId="2" fontId="14" fillId="8" borderId="32" xfId="5" applyNumberFormat="1" applyBorder="1" applyProtection="1">
      <protection locked="0"/>
    </xf>
    <xf numFmtId="2" fontId="14" fillId="8" borderId="2" xfId="5" applyNumberFormat="1" applyProtection="1">
      <protection locked="0"/>
    </xf>
    <xf numFmtId="0" fontId="14" fillId="8" borderId="32" xfId="5" applyBorder="1" applyProtection="1">
      <protection locked="0"/>
    </xf>
    <xf numFmtId="0" fontId="14" fillId="8" borderId="2" xfId="5" applyProtection="1">
      <protection locked="0"/>
    </xf>
    <xf numFmtId="0" fontId="0" fillId="0" borderId="39" xfId="0" applyBorder="1" applyAlignment="1" applyProtection="1">
      <alignment horizontal="center"/>
      <protection locked="0"/>
    </xf>
    <xf numFmtId="3" fontId="0" fillId="0" borderId="39" xfId="0" applyNumberFormat="1" applyBorder="1" applyAlignment="1" applyProtection="1">
      <alignment horizontal="center"/>
      <protection locked="0"/>
    </xf>
    <xf numFmtId="0" fontId="0" fillId="0" borderId="42" xfId="0" applyBorder="1" applyAlignment="1" applyProtection="1">
      <alignment horizontal="center"/>
      <protection locked="0"/>
    </xf>
    <xf numFmtId="0" fontId="17" fillId="0" borderId="38" xfId="0" applyFont="1" applyBorder="1" applyAlignment="1" applyProtection="1">
      <alignment horizontal="center"/>
      <protection locked="0"/>
    </xf>
    <xf numFmtId="0" fontId="0" fillId="0" borderId="40" xfId="0" applyBorder="1" applyAlignment="1" applyProtection="1">
      <alignment horizontal="center"/>
      <protection locked="0"/>
    </xf>
    <xf numFmtId="3" fontId="0" fillId="0" borderId="40" xfId="0" applyNumberFormat="1" applyBorder="1" applyAlignment="1" applyProtection="1">
      <alignment horizontal="center"/>
      <protection locked="0"/>
    </xf>
    <xf numFmtId="0" fontId="0" fillId="0" borderId="44" xfId="0" applyBorder="1" applyAlignment="1" applyProtection="1">
      <alignment horizontal="center"/>
      <protection locked="0"/>
    </xf>
    <xf numFmtId="0" fontId="17" fillId="0" borderId="46" xfId="0" applyFont="1" applyBorder="1" applyAlignment="1" applyProtection="1">
      <alignment horizontal="center"/>
      <protection locked="0"/>
    </xf>
    <xf numFmtId="0" fontId="0" fillId="0" borderId="47" xfId="0" applyBorder="1" applyAlignment="1" applyProtection="1">
      <alignment horizontal="center"/>
      <protection locked="0"/>
    </xf>
    <xf numFmtId="3" fontId="0" fillId="0" borderId="47" xfId="0" applyNumberFormat="1" applyBorder="1" applyAlignment="1" applyProtection="1">
      <alignment horizontal="center"/>
      <protection locked="0"/>
    </xf>
    <xf numFmtId="0" fontId="0" fillId="0" borderId="48" xfId="0" applyBorder="1" applyAlignment="1" applyProtection="1">
      <alignment horizontal="center"/>
      <protection locked="0"/>
    </xf>
    <xf numFmtId="1" fontId="14" fillId="8" borderId="2" xfId="5" applyNumberFormat="1" applyBorder="1" applyAlignment="1" applyProtection="1">
      <alignment horizontal="center"/>
      <protection locked="0"/>
    </xf>
    <xf numFmtId="0" fontId="14" fillId="8" borderId="2" xfId="5" applyNumberFormat="1" applyBorder="1" applyAlignment="1" applyProtection="1">
      <alignment horizontal="center"/>
      <protection locked="0"/>
    </xf>
    <xf numFmtId="167" fontId="14" fillId="8" borderId="2" xfId="5" applyNumberFormat="1" applyBorder="1" applyAlignment="1" applyProtection="1">
      <alignment horizontal="center"/>
      <protection locked="0"/>
    </xf>
    <xf numFmtId="167" fontId="14" fillId="8" borderId="14" xfId="5" applyNumberFormat="1" applyBorder="1" applyAlignment="1" applyProtection="1">
      <alignment horizontal="center"/>
      <protection locked="0"/>
    </xf>
    <xf numFmtId="0" fontId="0" fillId="0" borderId="24" xfId="0" applyBorder="1" applyAlignment="1" applyProtection="1">
      <alignment horizontal="center"/>
      <protection locked="0"/>
    </xf>
    <xf numFmtId="0" fontId="0" fillId="0" borderId="25" xfId="0" applyBorder="1" applyAlignment="1" applyProtection="1">
      <alignment horizontal="center"/>
      <protection locked="0"/>
    </xf>
    <xf numFmtId="3" fontId="0" fillId="0" borderId="24" xfId="0" applyNumberFormat="1" applyBorder="1" applyProtection="1">
      <protection locked="0"/>
    </xf>
    <xf numFmtId="2" fontId="0" fillId="0" borderId="24" xfId="0" applyNumberFormat="1" applyBorder="1" applyProtection="1">
      <protection locked="0"/>
    </xf>
    <xf numFmtId="2" fontId="12" fillId="0" borderId="24" xfId="0" applyNumberFormat="1" applyFont="1" applyBorder="1" applyProtection="1">
      <protection locked="0"/>
    </xf>
    <xf numFmtId="4" fontId="12" fillId="0" borderId="24" xfId="0" applyNumberFormat="1" applyFont="1" applyBorder="1" applyProtection="1">
      <protection locked="0"/>
    </xf>
    <xf numFmtId="3" fontId="0" fillId="0" borderId="25" xfId="0" applyNumberFormat="1" applyBorder="1" applyProtection="1">
      <protection locked="0"/>
    </xf>
    <xf numFmtId="2" fontId="0" fillId="0" borderId="25" xfId="0" applyNumberFormat="1" applyBorder="1" applyProtection="1">
      <protection locked="0"/>
    </xf>
    <xf numFmtId="2" fontId="12" fillId="0" borderId="25" xfId="0" applyNumberFormat="1" applyFont="1" applyBorder="1" applyProtection="1">
      <protection locked="0"/>
    </xf>
    <xf numFmtId="4" fontId="12" fillId="0" borderId="25" xfId="0" applyNumberFormat="1" applyFont="1" applyBorder="1" applyProtection="1">
      <protection locked="0"/>
    </xf>
    <xf numFmtId="1" fontId="12" fillId="0" borderId="37" xfId="0" applyNumberFormat="1" applyFont="1" applyBorder="1" applyAlignment="1" applyProtection="1">
      <alignment horizontal="center"/>
      <protection locked="0"/>
    </xf>
    <xf numFmtId="0" fontId="12" fillId="0" borderId="38" xfId="0" applyFont="1" applyBorder="1" applyAlignment="1" applyProtection="1">
      <alignment horizontal="center"/>
      <protection locked="0"/>
    </xf>
    <xf numFmtId="0" fontId="30" fillId="0" borderId="0" xfId="0" applyFont="1"/>
    <xf numFmtId="0" fontId="30" fillId="0" borderId="0" xfId="0" applyFont="1" applyAlignment="1">
      <alignment horizontal="center"/>
    </xf>
    <xf numFmtId="165" fontId="30" fillId="0" borderId="7" xfId="1" applyNumberFormat="1" applyFont="1" applyBorder="1" applyProtection="1">
      <protection locked="0"/>
    </xf>
    <xf numFmtId="165" fontId="30" fillId="0" borderId="0" xfId="1" applyNumberFormat="1" applyFont="1" applyProtection="1">
      <protection locked="0"/>
    </xf>
    <xf numFmtId="0" fontId="13" fillId="0" borderId="0" xfId="0" applyFont="1"/>
    <xf numFmtId="0" fontId="13" fillId="0" borderId="0" xfId="0" applyFont="1" applyAlignment="1">
      <alignment horizontal="center"/>
    </xf>
    <xf numFmtId="2" fontId="13" fillId="0" borderId="7" xfId="1" applyNumberFormat="1" applyFont="1" applyBorder="1" applyProtection="1">
      <protection locked="0"/>
    </xf>
    <xf numFmtId="2" fontId="13" fillId="0" borderId="0" xfId="1" applyNumberFormat="1" applyFont="1" applyProtection="1">
      <protection locked="0"/>
    </xf>
    <xf numFmtId="0" fontId="13" fillId="0" borderId="0" xfId="2" applyNumberFormat="1" applyFont="1" applyAlignment="1">
      <alignment horizontal="center"/>
    </xf>
    <xf numFmtId="0" fontId="12" fillId="0" borderId="0" xfId="0" applyFont="1"/>
    <xf numFmtId="165" fontId="12" fillId="0" borderId="7" xfId="1" applyNumberFormat="1" applyFont="1" applyBorder="1" applyProtection="1">
      <protection locked="0"/>
    </xf>
    <xf numFmtId="165" fontId="12" fillId="0" borderId="0" xfId="1" applyNumberFormat="1" applyFont="1" applyProtection="1">
      <protection locked="0"/>
    </xf>
    <xf numFmtId="0" fontId="31" fillId="0" borderId="0" xfId="0" applyFont="1"/>
    <xf numFmtId="0" fontId="31" fillId="0" borderId="0" xfId="0" applyFont="1" applyAlignment="1">
      <alignment horizontal="center"/>
    </xf>
    <xf numFmtId="178" fontId="31" fillId="0" borderId="7" xfId="1" applyNumberFormat="1" applyFont="1" applyBorder="1" applyProtection="1">
      <protection locked="0"/>
    </xf>
    <xf numFmtId="178" fontId="31" fillId="0" borderId="0" xfId="1" applyNumberFormat="1" applyFont="1" applyProtection="1">
      <protection locked="0"/>
    </xf>
    <xf numFmtId="0" fontId="31" fillId="0" borderId="0" xfId="2" applyNumberFormat="1" applyFont="1" applyAlignment="1">
      <alignment horizontal="center"/>
    </xf>
    <xf numFmtId="0" fontId="32" fillId="0" borderId="0" xfId="0" applyFont="1"/>
    <xf numFmtId="0" fontId="32" fillId="0" borderId="0" xfId="0" applyFont="1" applyAlignment="1">
      <alignment horizontal="center"/>
    </xf>
    <xf numFmtId="182" fontId="32" fillId="0" borderId="7" xfId="1" applyNumberFormat="1" applyFont="1" applyBorder="1" applyProtection="1">
      <protection locked="0"/>
    </xf>
    <xf numFmtId="182" fontId="32" fillId="0" borderId="0" xfId="1" applyNumberFormat="1" applyFont="1" applyProtection="1">
      <protection locked="0"/>
    </xf>
    <xf numFmtId="0" fontId="32" fillId="0" borderId="0" xfId="2" applyNumberFormat="1" applyFont="1" applyAlignment="1">
      <alignment horizontal="center"/>
    </xf>
    <xf numFmtId="184" fontId="14" fillId="8" borderId="32" xfId="5" applyNumberFormat="1" applyBorder="1" applyProtection="1">
      <protection locked="0"/>
    </xf>
    <xf numFmtId="3" fontId="0" fillId="0" borderId="9" xfId="0" applyNumberFormat="1" applyBorder="1" applyAlignment="1" applyProtection="1">
      <protection locked="0"/>
    </xf>
    <xf numFmtId="3" fontId="0" fillId="0" borderId="3" xfId="0" applyNumberFormat="1" applyBorder="1" applyAlignment="1" applyProtection="1">
      <protection locked="0"/>
    </xf>
    <xf numFmtId="3" fontId="0" fillId="0" borderId="10" xfId="0" applyNumberFormat="1" applyBorder="1" applyAlignment="1" applyProtection="1">
      <protection locked="0"/>
    </xf>
    <xf numFmtId="3" fontId="12" fillId="0" borderId="9" xfId="0" applyNumberFormat="1" applyFont="1" applyBorder="1" applyAlignment="1" applyProtection="1">
      <protection locked="0"/>
    </xf>
    <xf numFmtId="3" fontId="12" fillId="0" borderId="3" xfId="0" applyNumberFormat="1" applyFont="1" applyBorder="1" applyAlignment="1" applyProtection="1">
      <protection locked="0"/>
    </xf>
    <xf numFmtId="3" fontId="12" fillId="0" borderId="10" xfId="0" applyNumberFormat="1" applyFont="1" applyBorder="1" applyAlignment="1" applyProtection="1">
      <protection locked="0"/>
    </xf>
    <xf numFmtId="0" fontId="3" fillId="3" borderId="29" xfId="0" applyFont="1" applyFill="1" applyBorder="1" applyAlignment="1">
      <alignment horizontal="center"/>
    </xf>
    <xf numFmtId="0" fontId="0" fillId="0" borderId="41" xfId="0" applyBorder="1" applyAlignment="1">
      <alignment horizontal="center"/>
    </xf>
    <xf numFmtId="0" fontId="0" fillId="0" borderId="43" xfId="0" applyBorder="1" applyAlignment="1">
      <alignment horizontal="center"/>
    </xf>
    <xf numFmtId="0" fontId="0" fillId="0" borderId="45" xfId="0" applyBorder="1" applyAlignment="1">
      <alignment horizontal="center"/>
    </xf>
    <xf numFmtId="185" fontId="0" fillId="0" borderId="0" xfId="2" applyNumberFormat="1" applyFont="1" applyFill="1"/>
    <xf numFmtId="185" fontId="0" fillId="0" borderId="0" xfId="0" applyNumberFormat="1" applyFill="1"/>
    <xf numFmtId="177" fontId="0" fillId="0" borderId="0" xfId="0" applyNumberFormat="1"/>
    <xf numFmtId="185" fontId="14" fillId="8" borderId="2" xfId="5" applyNumberFormat="1"/>
    <xf numFmtId="0" fontId="0" fillId="0" borderId="0" xfId="0" applyAlignment="1">
      <alignment horizontal="left" indent="1"/>
    </xf>
    <xf numFmtId="2" fontId="3" fillId="0" borderId="0" xfId="0" applyNumberFormat="1" applyFont="1" applyAlignment="1">
      <alignment horizontal="center"/>
    </xf>
    <xf numFmtId="2" fontId="0" fillId="0" borderId="0" xfId="2" applyNumberFormat="1" applyFont="1"/>
    <xf numFmtId="0" fontId="33" fillId="11" borderId="0" xfId="6"/>
    <xf numFmtId="0" fontId="0" fillId="0" borderId="0" xfId="0" applyNumberFormat="1"/>
    <xf numFmtId="0" fontId="31" fillId="0" borderId="0" xfId="0" quotePrefix="1" applyFont="1"/>
    <xf numFmtId="183" fontId="0" fillId="0" borderId="0" xfId="0" applyNumberFormat="1" applyAlignment="1">
      <alignment horizontal="center"/>
    </xf>
    <xf numFmtId="4" fontId="0" fillId="0" borderId="0" xfId="0" applyNumberFormat="1"/>
    <xf numFmtId="186" fontId="14" fillId="8" borderId="2" xfId="5" applyNumberFormat="1" applyProtection="1">
      <protection locked="0"/>
    </xf>
    <xf numFmtId="1" fontId="14" fillId="8" borderId="2" xfId="5" applyNumberFormat="1" applyProtection="1">
      <protection locked="0"/>
    </xf>
    <xf numFmtId="186" fontId="14" fillId="8" borderId="32" xfId="5" applyNumberFormat="1" applyBorder="1" applyProtection="1">
      <protection locked="0"/>
    </xf>
    <xf numFmtId="3" fontId="35" fillId="0" borderId="24" xfId="0" applyNumberFormat="1" applyFont="1" applyBorder="1" applyProtection="1">
      <protection locked="0"/>
    </xf>
    <xf numFmtId="3" fontId="13" fillId="0" borderId="24" xfId="0" applyNumberFormat="1" applyFont="1" applyBorder="1" applyProtection="1">
      <protection locked="0"/>
    </xf>
    <xf numFmtId="3" fontId="35" fillId="0" borderId="25" xfId="0" applyNumberFormat="1" applyFont="1" applyBorder="1" applyProtection="1">
      <protection locked="0"/>
    </xf>
    <xf numFmtId="3" fontId="13" fillId="0" borderId="25" xfId="0" applyNumberFormat="1" applyFont="1" applyBorder="1" applyProtection="1">
      <protection locked="0"/>
    </xf>
    <xf numFmtId="2" fontId="35" fillId="0" borderId="24" xfId="0" applyNumberFormat="1" applyFont="1" applyBorder="1" applyProtection="1">
      <protection locked="0"/>
    </xf>
    <xf numFmtId="2" fontId="35" fillId="0" borderId="25" xfId="0" applyNumberFormat="1" applyFont="1" applyBorder="1" applyProtection="1">
      <protection locked="0"/>
    </xf>
    <xf numFmtId="3" fontId="34" fillId="13" borderId="22" xfId="0" applyNumberFormat="1" applyFont="1" applyFill="1" applyBorder="1"/>
    <xf numFmtId="0" fontId="0" fillId="14" borderId="50" xfId="0" applyFill="1" applyBorder="1"/>
    <xf numFmtId="0" fontId="0" fillId="15" borderId="50" xfId="0" applyFill="1" applyBorder="1"/>
    <xf numFmtId="0" fontId="9" fillId="0" borderId="0" xfId="0" applyFont="1" applyAlignment="1"/>
    <xf numFmtId="0" fontId="0" fillId="0" borderId="51" xfId="0" applyBorder="1"/>
    <xf numFmtId="185" fontId="14" fillId="8" borderId="32" xfId="5" applyNumberFormat="1" applyBorder="1" applyAlignment="1" applyProtection="1">
      <alignment horizontal="center"/>
      <protection locked="0"/>
    </xf>
    <xf numFmtId="185" fontId="14" fillId="8" borderId="2" xfId="5" applyNumberFormat="1" applyAlignment="1" applyProtection="1">
      <alignment horizontal="center"/>
      <protection locked="0"/>
    </xf>
    <xf numFmtId="185" fontId="0" fillId="0" borderId="0" xfId="0" applyNumberFormat="1"/>
    <xf numFmtId="3" fontId="7" fillId="0" borderId="25" xfId="0" applyNumberFormat="1" applyFont="1" applyBorder="1" applyProtection="1">
      <protection locked="0"/>
    </xf>
    <xf numFmtId="3" fontId="7" fillId="0" borderId="24" xfId="0" applyNumberFormat="1" applyFont="1" applyBorder="1" applyProtection="1">
      <protection locked="0"/>
    </xf>
    <xf numFmtId="9" fontId="14" fillId="8" borderId="17" xfId="5" applyNumberFormat="1" applyBorder="1" applyAlignment="1" applyProtection="1">
      <alignment horizontal="center"/>
      <protection locked="0"/>
    </xf>
    <xf numFmtId="0" fontId="3" fillId="10" borderId="0" xfId="0" applyFont="1" applyFill="1" applyAlignment="1">
      <alignment horizontal="center"/>
    </xf>
    <xf numFmtId="0" fontId="3" fillId="10" borderId="0" xfId="0" applyFont="1" applyFill="1" applyAlignment="1">
      <alignment horizontal="left" indent="1"/>
    </xf>
    <xf numFmtId="0" fontId="0" fillId="0" borderId="0" xfId="0" applyBorder="1" applyAlignment="1" applyProtection="1">
      <alignment horizontal="center"/>
      <protection locked="0"/>
    </xf>
    <xf numFmtId="0" fontId="0" fillId="0" borderId="30" xfId="0" applyBorder="1"/>
    <xf numFmtId="9" fontId="0" fillId="0" borderId="0" xfId="0" applyNumberFormat="1" applyBorder="1" applyAlignment="1" applyProtection="1">
      <alignment horizontal="center"/>
      <protection locked="0"/>
    </xf>
    <xf numFmtId="2" fontId="0" fillId="0" borderId="0" xfId="0" applyNumberFormat="1" applyBorder="1" applyAlignment="1">
      <alignment horizontal="center"/>
    </xf>
    <xf numFmtId="186" fontId="0" fillId="0" borderId="0" xfId="0" applyNumberFormat="1" applyBorder="1" applyAlignment="1">
      <alignment horizontal="center"/>
    </xf>
    <xf numFmtId="0" fontId="0" fillId="0" borderId="1" xfId="0" applyBorder="1"/>
    <xf numFmtId="0" fontId="0" fillId="0" borderId="16" xfId="0" applyBorder="1"/>
    <xf numFmtId="0" fontId="29" fillId="0" borderId="0" xfId="0" applyFont="1" applyAlignment="1">
      <alignment horizontal="center"/>
    </xf>
    <xf numFmtId="165" fontId="12" fillId="3" borderId="7" xfId="1" applyNumberFormat="1" applyFont="1" applyFill="1" applyBorder="1" applyAlignment="1">
      <alignment horizontal="center"/>
    </xf>
    <xf numFmtId="165" fontId="12" fillId="3" borderId="0" xfId="1" applyNumberFormat="1" applyFont="1" applyFill="1" applyBorder="1" applyAlignment="1">
      <alignment horizontal="center"/>
    </xf>
    <xf numFmtId="4" fontId="12" fillId="16" borderId="52" xfId="7" applyNumberFormat="1" applyFont="1" applyProtection="1">
      <protection locked="0"/>
    </xf>
    <xf numFmtId="0" fontId="0" fillId="0" borderId="7" xfId="0" applyBorder="1" applyAlignment="1">
      <alignment horizontal="left" indent="1"/>
    </xf>
    <xf numFmtId="0" fontId="0" fillId="0" borderId="15" xfId="0" applyBorder="1" applyAlignment="1">
      <alignment horizontal="left" indent="1"/>
    </xf>
    <xf numFmtId="0" fontId="0" fillId="0" borderId="30" xfId="0" applyBorder="1" applyAlignment="1">
      <alignment horizontal="left" indent="1"/>
    </xf>
    <xf numFmtId="0" fontId="0" fillId="0" borderId="30" xfId="0" applyFill="1" applyBorder="1" applyAlignment="1">
      <alignment horizontal="left" indent="1"/>
    </xf>
    <xf numFmtId="0" fontId="7" fillId="0" borderId="7" xfId="0" applyFont="1" applyBorder="1" applyAlignment="1">
      <alignment horizontal="left" indent="1"/>
    </xf>
    <xf numFmtId="0" fontId="7" fillId="0" borderId="0" xfId="0" applyFont="1" applyBorder="1" applyAlignment="1">
      <alignment horizontal="center"/>
    </xf>
    <xf numFmtId="0" fontId="7" fillId="0" borderId="30" xfId="0" applyFont="1" applyBorder="1" applyAlignment="1">
      <alignment horizontal="left" indent="1"/>
    </xf>
    <xf numFmtId="0" fontId="3" fillId="0" borderId="4" xfId="0" applyFont="1" applyFill="1" applyBorder="1" applyAlignment="1"/>
    <xf numFmtId="0" fontId="3" fillId="0" borderId="5" xfId="0" applyFont="1" applyFill="1" applyBorder="1" applyAlignment="1"/>
    <xf numFmtId="0" fontId="3" fillId="0" borderId="6" xfId="0" applyFont="1" applyFill="1" applyBorder="1" applyAlignment="1"/>
    <xf numFmtId="3" fontId="35" fillId="0" borderId="0" xfId="0" applyNumberFormat="1" applyFont="1"/>
    <xf numFmtId="0" fontId="3" fillId="10" borderId="4" xfId="0" applyFont="1" applyFill="1" applyBorder="1" applyAlignment="1">
      <alignment horizontal="left" indent="1"/>
    </xf>
    <xf numFmtId="0" fontId="3" fillId="10" borderId="5" xfId="0" applyFont="1" applyFill="1" applyBorder="1" applyAlignment="1">
      <alignment horizontal="center"/>
    </xf>
    <xf numFmtId="0" fontId="3" fillId="10" borderId="6" xfId="0" applyFont="1" applyFill="1" applyBorder="1" applyAlignment="1">
      <alignment horizontal="left" indent="1"/>
    </xf>
    <xf numFmtId="0" fontId="3" fillId="0" borderId="22" xfId="0" applyFont="1" applyFill="1" applyBorder="1" applyAlignment="1">
      <alignment horizontal="center"/>
    </xf>
    <xf numFmtId="0" fontId="8" fillId="3" borderId="22" xfId="0" applyFont="1" applyFill="1" applyBorder="1" applyAlignment="1">
      <alignment horizontal="center"/>
    </xf>
    <xf numFmtId="0" fontId="0" fillId="0" borderId="0" xfId="0" quotePrefix="1" applyAlignment="1">
      <alignment horizontal="center"/>
    </xf>
    <xf numFmtId="0" fontId="3" fillId="0" borderId="0" xfId="0" applyNumberFormat="1" applyFont="1"/>
    <xf numFmtId="0" fontId="34" fillId="9" borderId="0" xfId="0" applyNumberFormat="1" applyFont="1" applyFill="1"/>
    <xf numFmtId="0" fontId="34" fillId="12" borderId="0" xfId="0" applyNumberFormat="1" applyFont="1" applyFill="1"/>
    <xf numFmtId="0" fontId="3" fillId="10" borderId="0" xfId="0" applyNumberFormat="1" applyFont="1" applyFill="1"/>
    <xf numFmtId="0" fontId="7" fillId="0" borderId="39" xfId="0" applyFont="1" applyBorder="1" applyAlignment="1" applyProtection="1">
      <alignment horizontal="center"/>
      <protection locked="0"/>
    </xf>
    <xf numFmtId="0" fontId="7" fillId="0" borderId="40" xfId="0" applyFont="1" applyBorder="1" applyAlignment="1" applyProtection="1">
      <alignment horizontal="center"/>
      <protection locked="0"/>
    </xf>
    <xf numFmtId="0" fontId="7" fillId="0" borderId="47" xfId="0" applyFont="1" applyBorder="1" applyAlignment="1" applyProtection="1">
      <alignment horizontal="center"/>
      <protection locked="0"/>
    </xf>
    <xf numFmtId="164" fontId="11" fillId="4" borderId="9" xfId="4" applyNumberFormat="1" applyBorder="1" applyProtection="1">
      <protection locked="0"/>
    </xf>
    <xf numFmtId="1" fontId="32" fillId="0" borderId="7" xfId="1" applyNumberFormat="1" applyFont="1" applyBorder="1" applyAlignment="1" applyProtection="1">
      <alignment horizontal="center"/>
      <protection locked="0"/>
    </xf>
    <xf numFmtId="1" fontId="22" fillId="3" borderId="7" xfId="1" applyNumberFormat="1" applyFont="1" applyFill="1" applyBorder="1" applyAlignment="1">
      <alignment horizontal="center"/>
    </xf>
    <xf numFmtId="1" fontId="22" fillId="3" borderId="0" xfId="1" applyNumberFormat="1" applyFont="1" applyFill="1" applyBorder="1" applyAlignment="1">
      <alignment horizontal="center"/>
    </xf>
    <xf numFmtId="0" fontId="0" fillId="10" borderId="53" xfId="0" applyFill="1" applyBorder="1"/>
    <xf numFmtId="0" fontId="7" fillId="0" borderId="0" xfId="0" quotePrefix="1" applyNumberFormat="1" applyFont="1"/>
    <xf numFmtId="0" fontId="0" fillId="10" borderId="0" xfId="0" applyFill="1" applyAlignment="1">
      <alignment horizontal="center"/>
    </xf>
    <xf numFmtId="0" fontId="0" fillId="0" borderId="7" xfId="0" applyBorder="1"/>
    <xf numFmtId="0" fontId="0" fillId="10" borderId="0" xfId="0" applyFill="1" applyBorder="1" applyAlignment="1">
      <alignment horizontal="center"/>
    </xf>
    <xf numFmtId="0" fontId="3" fillId="10" borderId="0" xfId="0" applyFont="1" applyFill="1" applyBorder="1" applyAlignment="1"/>
    <xf numFmtId="169" fontId="3" fillId="0" borderId="0" xfId="0" applyNumberFormat="1" applyFont="1" applyBorder="1" applyAlignment="1">
      <alignment horizontal="center"/>
    </xf>
    <xf numFmtId="169" fontId="3" fillId="0" borderId="30" xfId="0" applyNumberFormat="1" applyFont="1" applyBorder="1" applyAlignment="1">
      <alignment horizontal="center"/>
    </xf>
    <xf numFmtId="0" fontId="0" fillId="10" borderId="7" xfId="0" applyFill="1" applyBorder="1" applyAlignment="1">
      <alignment horizontal="center"/>
    </xf>
    <xf numFmtId="0" fontId="0" fillId="0" borderId="30" xfId="0" applyFill="1" applyBorder="1"/>
    <xf numFmtId="0" fontId="3" fillId="10" borderId="7" xfId="0" applyFont="1" applyFill="1" applyBorder="1" applyAlignment="1">
      <alignment horizontal="center"/>
    </xf>
    <xf numFmtId="0" fontId="3" fillId="3" borderId="22" xfId="0" applyFont="1" applyFill="1" applyBorder="1" applyAlignment="1" applyProtection="1">
      <alignment horizontal="center"/>
    </xf>
    <xf numFmtId="0" fontId="3" fillId="3" borderId="28" xfId="0" applyFont="1" applyFill="1" applyBorder="1" applyAlignment="1" applyProtection="1">
      <alignment horizontal="center"/>
    </xf>
    <xf numFmtId="0" fontId="12" fillId="0" borderId="0" xfId="0" applyNumberFormat="1" applyFont="1"/>
    <xf numFmtId="0" fontId="12" fillId="0" borderId="22" xfId="0" applyFont="1" applyBorder="1" applyAlignment="1">
      <alignment horizontal="center"/>
    </xf>
    <xf numFmtId="3" fontId="7" fillId="0" borderId="0" xfId="0" applyNumberFormat="1" applyFont="1"/>
    <xf numFmtId="0" fontId="18" fillId="0" borderId="0" xfId="0" applyFont="1"/>
    <xf numFmtId="10" fontId="14" fillId="8" borderId="2" xfId="5" applyNumberFormat="1" applyAlignment="1" applyProtection="1">
      <alignment horizontal="center"/>
      <protection locked="0"/>
    </xf>
    <xf numFmtId="10" fontId="0" fillId="0" borderId="0" xfId="0" applyNumberFormat="1"/>
    <xf numFmtId="9" fontId="0" fillId="0" borderId="0" xfId="0" applyNumberFormat="1" applyFill="1"/>
    <xf numFmtId="10" fontId="0" fillId="0" borderId="0" xfId="0" applyNumberFormat="1" applyFill="1"/>
    <xf numFmtId="0" fontId="3" fillId="0" borderId="0" xfId="0" applyFont="1" applyAlignment="1">
      <alignment horizontal="left" indent="1"/>
    </xf>
    <xf numFmtId="1" fontId="7" fillId="0" borderId="9" xfId="0" applyNumberFormat="1" applyFont="1" applyBorder="1" applyAlignment="1" applyProtection="1">
      <alignment horizontal="center"/>
      <protection locked="0"/>
    </xf>
    <xf numFmtId="0" fontId="7" fillId="0" borderId="3" xfId="0" applyFont="1" applyBorder="1" applyAlignment="1" applyProtection="1">
      <alignment horizontal="center"/>
      <protection locked="0"/>
    </xf>
    <xf numFmtId="0" fontId="3" fillId="18" borderId="0" xfId="0" applyFont="1" applyFill="1"/>
    <xf numFmtId="3" fontId="0" fillId="0" borderId="0" xfId="0" applyNumberFormat="1" applyAlignment="1">
      <alignment horizontal="left"/>
    </xf>
    <xf numFmtId="3" fontId="0" fillId="0" borderId="0" xfId="0" applyNumberFormat="1" applyAlignment="1">
      <alignment horizontal="center"/>
    </xf>
    <xf numFmtId="3" fontId="0" fillId="0" borderId="0" xfId="0" quotePrefix="1" applyNumberFormat="1" applyAlignment="1">
      <alignment horizontal="left" indent="1"/>
    </xf>
    <xf numFmtId="3" fontId="0" fillId="0" borderId="3" xfId="1" applyNumberFormat="1" applyFont="1" applyBorder="1"/>
    <xf numFmtId="3" fontId="0" fillId="0" borderId="54" xfId="0" applyNumberFormat="1" applyBorder="1" applyAlignment="1">
      <alignment horizontal="left" indent="1"/>
    </xf>
    <xf numFmtId="3" fontId="0" fillId="0" borderId="54" xfId="0" applyNumberFormat="1" applyBorder="1"/>
    <xf numFmtId="3" fontId="41" fillId="3" borderId="0" xfId="0" applyNumberFormat="1" applyFont="1" applyFill="1"/>
    <xf numFmtId="3" fontId="20" fillId="3" borderId="0" xfId="0" applyNumberFormat="1" applyFont="1" applyFill="1"/>
    <xf numFmtId="0" fontId="41" fillId="3" borderId="0" xfId="0" applyNumberFormat="1" applyFont="1" applyFill="1" applyAlignment="1">
      <alignment horizontal="center"/>
    </xf>
    <xf numFmtId="165" fontId="30" fillId="0" borderId="7" xfId="1" applyNumberFormat="1" applyFont="1" applyFill="1" applyBorder="1" applyProtection="1">
      <protection locked="0"/>
    </xf>
    <xf numFmtId="165" fontId="30" fillId="0" borderId="0" xfId="1" applyNumberFormat="1" applyFont="1" applyFill="1" applyProtection="1">
      <protection locked="0"/>
    </xf>
    <xf numFmtId="165" fontId="12" fillId="0" borderId="7" xfId="1" applyNumberFormat="1" applyFont="1" applyFill="1" applyBorder="1" applyProtection="1">
      <protection locked="0"/>
    </xf>
    <xf numFmtId="165" fontId="12" fillId="0" borderId="0" xfId="1" applyNumberFormat="1" applyFont="1" applyFill="1" applyProtection="1">
      <protection locked="0"/>
    </xf>
    <xf numFmtId="0" fontId="0" fillId="0" borderId="0" xfId="0" applyAlignment="1">
      <alignment horizontal="center"/>
    </xf>
    <xf numFmtId="9" fontId="0" fillId="0" borderId="0" xfId="2" applyFont="1"/>
    <xf numFmtId="185" fontId="0" fillId="0" borderId="0" xfId="2" applyNumberFormat="1" applyFont="1"/>
    <xf numFmtId="0" fontId="12" fillId="8" borderId="49" xfId="5" applyFont="1" applyBorder="1" applyAlignment="1"/>
    <xf numFmtId="0" fontId="12" fillId="8" borderId="17" xfId="5" applyFont="1" applyBorder="1" applyAlignment="1"/>
    <xf numFmtId="180" fontId="0" fillId="0" borderId="9" xfId="2" applyNumberFormat="1" applyFont="1" applyBorder="1" applyAlignment="1" applyProtection="1">
      <alignment horizontal="center"/>
      <protection locked="0"/>
    </xf>
    <xf numFmtId="180" fontId="0" fillId="0" borderId="3" xfId="2" applyNumberFormat="1" applyFont="1" applyBorder="1" applyAlignment="1" applyProtection="1">
      <alignment horizontal="center"/>
      <protection locked="0"/>
    </xf>
    <xf numFmtId="180" fontId="0" fillId="0" borderId="10" xfId="2" applyNumberFormat="1" applyFont="1" applyBorder="1" applyAlignment="1" applyProtection="1">
      <alignment horizontal="center"/>
      <protection locked="0"/>
    </xf>
    <xf numFmtId="180" fontId="12" fillId="0" borderId="9" xfId="2" applyNumberFormat="1" applyFont="1" applyBorder="1" applyAlignment="1" applyProtection="1">
      <alignment horizontal="center"/>
      <protection locked="0"/>
    </xf>
    <xf numFmtId="180" fontId="12" fillId="0" borderId="3" xfId="2" applyNumberFormat="1" applyFont="1" applyBorder="1" applyAlignment="1" applyProtection="1">
      <alignment horizontal="center"/>
      <protection locked="0"/>
    </xf>
    <xf numFmtId="180" fontId="12" fillId="0" borderId="10" xfId="2" applyNumberFormat="1" applyFont="1" applyBorder="1" applyAlignment="1" applyProtection="1">
      <alignment horizontal="center"/>
      <protection locked="0"/>
    </xf>
    <xf numFmtId="0" fontId="0" fillId="0" borderId="0" xfId="0" applyAlignment="1">
      <alignment horizontal="center"/>
    </xf>
    <xf numFmtId="3" fontId="35" fillId="0" borderId="2" xfId="8" applyNumberFormat="1" applyFont="1" applyFill="1" applyProtection="1">
      <protection locked="0"/>
    </xf>
    <xf numFmtId="0" fontId="3" fillId="0" borderId="4" xfId="0" applyFont="1" applyFill="1" applyBorder="1" applyAlignment="1">
      <alignment horizontal="center"/>
    </xf>
    <xf numFmtId="0" fontId="3" fillId="0" borderId="5" xfId="0" applyFont="1" applyFill="1" applyBorder="1" applyAlignment="1">
      <alignment horizontal="center"/>
    </xf>
    <xf numFmtId="0" fontId="3" fillId="0" borderId="6" xfId="0" applyFont="1" applyFill="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12" fillId="0" borderId="12" xfId="0" applyFont="1" applyBorder="1" applyAlignment="1">
      <alignment horizontal="center"/>
    </xf>
    <xf numFmtId="0" fontId="12" fillId="0" borderId="8" xfId="0" applyFont="1" applyBorder="1" applyAlignment="1">
      <alignment horizontal="center"/>
    </xf>
    <xf numFmtId="0" fontId="12" fillId="0" borderId="13" xfId="0" applyFont="1" applyBorder="1" applyAlignment="1">
      <alignment horizontal="center"/>
    </xf>
    <xf numFmtId="0" fontId="12" fillId="8" borderId="49" xfId="5" applyFont="1" applyBorder="1" applyAlignment="1">
      <alignment horizontal="center"/>
    </xf>
    <xf numFmtId="0" fontId="12" fillId="8" borderId="17" xfId="5" applyFont="1" applyBorder="1" applyAlignment="1">
      <alignment horizontal="center"/>
    </xf>
    <xf numFmtId="0" fontId="0" fillId="0" borderId="0" xfId="0" applyAlignment="1">
      <alignment horizontal="center"/>
    </xf>
  </cellXfs>
  <cellStyles count="9">
    <cellStyle name="Bad" xfId="4" builtinId="27"/>
    <cellStyle name="Calculation" xfId="8" builtinId="22"/>
    <cellStyle name="Comma" xfId="1" builtinId="3"/>
    <cellStyle name="Good" xfId="6" builtinId="26"/>
    <cellStyle name="Input" xfId="5" builtinId="20"/>
    <cellStyle name="Neutral" xfId="3" builtinId="28"/>
    <cellStyle name="Normal" xfId="0" builtinId="0"/>
    <cellStyle name="Note" xfId="7" builtinId="10"/>
    <cellStyle name="Percent" xfId="2" builtinId="5"/>
  </cellStyles>
  <dxfs count="49">
    <dxf>
      <font>
        <color theme="0" tint="-0.24994659260841701"/>
      </font>
    </dxf>
    <dxf>
      <font>
        <color theme="0" tint="-0.24994659260841701"/>
      </font>
    </dxf>
    <dxf>
      <font>
        <color theme="0" tint="-0.24994659260841701"/>
      </font>
    </dxf>
    <dxf>
      <font>
        <color theme="0" tint="-0.24994659260841701"/>
      </font>
      <fill>
        <patternFill patternType="none">
          <bgColor auto="1"/>
        </patternFill>
      </fill>
    </dxf>
    <dxf>
      <font>
        <color theme="0" tint="-0.24994659260841701"/>
      </font>
    </dxf>
    <dxf>
      <font>
        <b/>
        <i/>
      </font>
      <fill>
        <patternFill>
          <bgColor theme="7" tint="0.79998168889431442"/>
        </patternFill>
      </fill>
      <border>
        <left style="thin">
          <color theme="5"/>
        </left>
        <right style="thin">
          <color theme="5"/>
        </right>
        <top style="thin">
          <color theme="5"/>
        </top>
        <bottom style="thin">
          <color theme="5"/>
        </bottom>
        <vertical/>
        <horizontal/>
      </border>
    </dxf>
    <dxf>
      <fill>
        <patternFill>
          <bgColor theme="9" tint="0.79998168889431442"/>
        </patternFill>
      </fill>
    </dxf>
    <dxf>
      <fill>
        <patternFill>
          <bgColor theme="9" tint="0.79998168889431442"/>
        </patternFill>
      </fill>
    </dxf>
    <dxf>
      <font>
        <color theme="0" tint="-0.24994659260841701"/>
      </font>
    </dxf>
    <dxf>
      <fill>
        <patternFill>
          <bgColor theme="9" tint="0.79998168889431442"/>
        </patternFill>
      </fill>
    </dxf>
    <dxf>
      <font>
        <b val="0"/>
        <i val="0"/>
        <color auto="1"/>
      </font>
      <fill>
        <patternFill>
          <bgColor theme="7" tint="0.79998168889431442"/>
        </patternFill>
      </fill>
    </dxf>
    <dxf>
      <fill>
        <patternFill>
          <bgColor theme="9" tint="0.79998168889431442"/>
        </patternFill>
      </fill>
    </dxf>
    <dxf>
      <fill>
        <patternFill>
          <bgColor theme="7" tint="0.79998168889431442"/>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fill>
        <patternFill>
          <bgColor rgb="FFC6EFCE"/>
        </patternFill>
      </fill>
    </dxf>
    <dxf>
      <font>
        <color auto="1"/>
      </font>
      <fill>
        <patternFill>
          <bgColor theme="7" tint="0.79998168889431442"/>
        </patternFill>
      </fill>
    </dxf>
    <dxf>
      <fill>
        <patternFill>
          <bgColor theme="9" tint="0.79998168889431442"/>
        </patternFill>
      </fill>
    </dxf>
    <dxf>
      <font>
        <color theme="0" tint="-0.24994659260841701"/>
      </font>
      <fill>
        <patternFill>
          <bgColor rgb="FFC6EFCE"/>
        </patternFill>
      </fill>
    </dxf>
    <dxf>
      <font>
        <color theme="0" tint="-0.24994659260841701"/>
      </font>
    </dxf>
    <dxf>
      <font>
        <color auto="1"/>
      </font>
      <fill>
        <patternFill>
          <bgColor rgb="FFC6EFCE"/>
        </patternFill>
      </fill>
    </dxf>
    <dxf>
      <font>
        <color auto="1"/>
      </font>
      <fill>
        <patternFill>
          <bgColor rgb="FFC6EFCE"/>
        </patternFill>
      </fill>
    </dxf>
    <dxf>
      <font>
        <color auto="1"/>
      </font>
      <fill>
        <patternFill>
          <bgColor rgb="FFC6EFCE"/>
        </patternFill>
      </fill>
    </dxf>
    <dxf>
      <font>
        <color auto="1"/>
      </font>
      <fill>
        <patternFill>
          <bgColor rgb="FFC6EFCE"/>
        </patternFill>
      </fill>
    </dxf>
    <dxf>
      <font>
        <b/>
        <i val="0"/>
        <color theme="1"/>
      </font>
      <fill>
        <patternFill>
          <bgColor rgb="FFFFFF00"/>
        </patternFill>
      </fill>
    </dxf>
    <dxf>
      <font>
        <color rgb="FF9C0006"/>
      </font>
      <fill>
        <patternFill>
          <bgColor rgb="FFFFC7CE"/>
        </patternFill>
      </fill>
    </dxf>
    <dxf>
      <font>
        <color auto="1"/>
      </font>
      <fill>
        <patternFill>
          <bgColor rgb="FFC6EFCE"/>
        </patternFill>
      </fill>
    </dxf>
    <dxf>
      <font>
        <b/>
        <i val="0"/>
        <color rgb="FFFFFF00"/>
      </font>
      <fill>
        <patternFill>
          <bgColor rgb="FFFF0000"/>
        </patternFill>
      </fill>
    </dxf>
    <dxf>
      <fill>
        <patternFill>
          <bgColor theme="9" tint="0.79998168889431442"/>
        </patternFill>
      </fill>
    </dxf>
    <dxf>
      <fill>
        <patternFill>
          <bgColor theme="9" tint="0.79998168889431442"/>
        </patternFill>
      </fill>
    </dxf>
    <dxf>
      <font>
        <color theme="0" tint="-0.24994659260841701"/>
      </font>
    </dxf>
    <dxf>
      <font>
        <color theme="0" tint="-0.24994659260841701"/>
      </font>
    </dxf>
    <dxf>
      <font>
        <color theme="0" tint="-0.24994659260841701"/>
      </font>
    </dxf>
    <dxf>
      <font>
        <color rgb="FFFFFF00"/>
      </font>
      <fill>
        <patternFill>
          <bgColor rgb="FFFF0000"/>
        </patternFill>
      </fill>
    </dxf>
    <dxf>
      <font>
        <color theme="0" tint="-0.24994659260841701"/>
      </font>
    </dxf>
    <dxf>
      <font>
        <color theme="0" tint="-0.24994659260841701"/>
      </font>
    </dxf>
    <dxf>
      <font>
        <color rgb="FF006100"/>
      </font>
      <fill>
        <patternFill>
          <bgColor rgb="FFC6EFCE"/>
        </patternFill>
      </fill>
    </dxf>
    <dxf>
      <font>
        <color theme="0" tint="-0.24994659260841701"/>
      </font>
    </dxf>
    <dxf>
      <font>
        <color rgb="FF006100"/>
      </font>
      <fill>
        <patternFill>
          <bgColor rgb="FFC6EFCE"/>
        </patternFill>
      </fill>
    </dxf>
    <dxf>
      <font>
        <color theme="0" tint="-0.24994659260841701"/>
      </font>
    </dxf>
    <dxf>
      <font>
        <color rgb="FF006100"/>
      </font>
      <fill>
        <patternFill>
          <bgColor rgb="FFC6EFCE"/>
        </patternFill>
      </fill>
    </dxf>
    <dxf>
      <font>
        <color theme="0" tint="-0.24994659260841701"/>
      </font>
    </dxf>
    <dxf>
      <font>
        <color theme="0" tint="-0.24994659260841701"/>
      </font>
    </dxf>
    <dxf>
      <font>
        <color rgb="FF006100"/>
      </font>
      <fill>
        <patternFill>
          <bgColor rgb="FFC6EFCE"/>
        </patternFill>
      </fill>
    </dxf>
    <dxf>
      <font>
        <color theme="0" tint="-0.24994659260841701"/>
      </font>
    </dxf>
    <dxf>
      <font>
        <color theme="0" tint="-0.24994659260841701"/>
      </font>
    </dxf>
  </dxfs>
  <tableStyles count="0" defaultTableStyle="TableStyleMedium2" defaultPivotStyle="PivotStyleLight16"/>
  <colors>
    <mruColors>
      <color rgb="FF00FFFF"/>
      <color rgb="FFFDD2CB"/>
      <color rgb="FFFFCCCC"/>
      <color rgb="FFFAA0A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'E-V'!$M$3</c:f>
          <c:strCache>
            <c:ptCount val="1"/>
            <c:pt idx="0">
              <c:v>Andel varmebrændsel @ etaK=85,5 % | etaRGK=15,0 % | bypass=43 %</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0"/>
          <c:order val="0"/>
          <c:tx>
            <c:strRef>
              <c:f>'E-V'!$F$7</c:f>
              <c:strCache>
                <c:ptCount val="1"/>
                <c:pt idx="0">
                  <c:v>E-formel</c:v>
                </c:pt>
              </c:strCache>
            </c:strRef>
          </c:tx>
          <c:spPr>
            <a:ln w="28575" cap="rnd">
              <a:solidFill>
                <a:schemeClr val="accent1"/>
              </a:solidFill>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'E-V'!$F$8:$F$88</c:f>
              <c:numCache>
                <c:formatCode>0.0\ %</c:formatCode>
                <c:ptCount val="81"/>
                <c:pt idx="0">
                  <c:v>1</c:v>
                </c:pt>
                <c:pt idx="1">
                  <c:v>0.99574626865671645</c:v>
                </c:pt>
                <c:pt idx="2">
                  <c:v>0.99149253731343279</c:v>
                </c:pt>
                <c:pt idx="3">
                  <c:v>0.98723880597014924</c:v>
                </c:pt>
                <c:pt idx="4">
                  <c:v>0.98298507462686568</c:v>
                </c:pt>
                <c:pt idx="5">
                  <c:v>0.97873134328358213</c:v>
                </c:pt>
                <c:pt idx="6">
                  <c:v>0.97447761194029847</c:v>
                </c:pt>
                <c:pt idx="7">
                  <c:v>0.97022388059701492</c:v>
                </c:pt>
                <c:pt idx="8">
                  <c:v>0.96597014925373137</c:v>
                </c:pt>
                <c:pt idx="9">
                  <c:v>0.96171641791044782</c:v>
                </c:pt>
                <c:pt idx="10">
                  <c:v>0.95746268656716416</c:v>
                </c:pt>
                <c:pt idx="11">
                  <c:v>0.95320895522388061</c:v>
                </c:pt>
                <c:pt idx="12">
                  <c:v>0.94895522388059705</c:v>
                </c:pt>
                <c:pt idx="13">
                  <c:v>0.94470149253731339</c:v>
                </c:pt>
                <c:pt idx="14">
                  <c:v>0.94044776119402984</c:v>
                </c:pt>
                <c:pt idx="15">
                  <c:v>0.93619402985074629</c:v>
                </c:pt>
                <c:pt idx="16">
                  <c:v>0.93194029850746274</c:v>
                </c:pt>
                <c:pt idx="17">
                  <c:v>0.92768656716417908</c:v>
                </c:pt>
                <c:pt idx="18">
                  <c:v>0.92343283582089553</c:v>
                </c:pt>
                <c:pt idx="19">
                  <c:v>0.91917910447761197</c:v>
                </c:pt>
                <c:pt idx="20">
                  <c:v>0.91492537313432831</c:v>
                </c:pt>
                <c:pt idx="21">
                  <c:v>0.91067164179104476</c:v>
                </c:pt>
                <c:pt idx="22">
                  <c:v>0.90641791044776121</c:v>
                </c:pt>
                <c:pt idx="23">
                  <c:v>0.90216417910447766</c:v>
                </c:pt>
                <c:pt idx="24">
                  <c:v>0.89791044776119411</c:v>
                </c:pt>
                <c:pt idx="25">
                  <c:v>0.89365671641791045</c:v>
                </c:pt>
                <c:pt idx="26">
                  <c:v>0.8894029850746269</c:v>
                </c:pt>
                <c:pt idx="27">
                  <c:v>0.88514925373134323</c:v>
                </c:pt>
                <c:pt idx="28">
                  <c:v>0.88089552238805968</c:v>
                </c:pt>
                <c:pt idx="29">
                  <c:v>0.87664179104477613</c:v>
                </c:pt>
                <c:pt idx="30">
                  <c:v>0.87238805970149258</c:v>
                </c:pt>
                <c:pt idx="31">
                  <c:v>0.86813432835820903</c:v>
                </c:pt>
                <c:pt idx="32">
                  <c:v>0.86388059701492537</c:v>
                </c:pt>
                <c:pt idx="33">
                  <c:v>0.85962686567164182</c:v>
                </c:pt>
                <c:pt idx="34">
                  <c:v>0.85537313432835815</c:v>
                </c:pt>
                <c:pt idx="35">
                  <c:v>0.8511194029850746</c:v>
                </c:pt>
                <c:pt idx="36">
                  <c:v>0.84686567164179105</c:v>
                </c:pt>
                <c:pt idx="37">
                  <c:v>0.8426119402985075</c:v>
                </c:pt>
                <c:pt idx="38">
                  <c:v>0.83835820895522395</c:v>
                </c:pt>
                <c:pt idx="39">
                  <c:v>0.83410447761194029</c:v>
                </c:pt>
                <c:pt idx="40">
                  <c:v>0.82985074626865674</c:v>
                </c:pt>
                <c:pt idx="41">
                  <c:v>0.82559701492537318</c:v>
                </c:pt>
                <c:pt idx="42">
                  <c:v>0.82134328358208952</c:v>
                </c:pt>
                <c:pt idx="43">
                  <c:v>0.81708955223880597</c:v>
                </c:pt>
                <c:pt idx="44">
                  <c:v>0.81283582089552242</c:v>
                </c:pt>
                <c:pt idx="45">
                  <c:v>0.80858208955223887</c:v>
                </c:pt>
                <c:pt idx="46">
                  <c:v>0.80432835820895521</c:v>
                </c:pt>
                <c:pt idx="47">
                  <c:v>0.80007462686567166</c:v>
                </c:pt>
                <c:pt idx="48">
                  <c:v>0.79582089552238811</c:v>
                </c:pt>
                <c:pt idx="49">
                  <c:v>0.79156716417910444</c:v>
                </c:pt>
                <c:pt idx="50">
                  <c:v>0.78731343283582089</c:v>
                </c:pt>
                <c:pt idx="51">
                  <c:v>0.78305970149253734</c:v>
                </c:pt>
                <c:pt idx="52">
                  <c:v>0.77880597014925379</c:v>
                </c:pt>
                <c:pt idx="53">
                  <c:v>0.77455223880597024</c:v>
                </c:pt>
                <c:pt idx="54">
                  <c:v>0.77029850746268658</c:v>
                </c:pt>
                <c:pt idx="55">
                  <c:v>0.76604477611940303</c:v>
                </c:pt>
                <c:pt idx="56">
                  <c:v>0.76179104477611936</c:v>
                </c:pt>
                <c:pt idx="57">
                  <c:v>0.75753731343283581</c:v>
                </c:pt>
                <c:pt idx="58">
                  <c:v>0.75328358208955226</c:v>
                </c:pt>
                <c:pt idx="59">
                  <c:v>0.74902985074626871</c:v>
                </c:pt>
                <c:pt idx="60">
                  <c:v>0.74477611940298516</c:v>
                </c:pt>
                <c:pt idx="61">
                  <c:v>0.74052238805970161</c:v>
                </c:pt>
                <c:pt idx="62">
                  <c:v>0.73626865671641795</c:v>
                </c:pt>
                <c:pt idx="63">
                  <c:v>0.73201492537313428</c:v>
                </c:pt>
                <c:pt idx="64">
                  <c:v>0.72776119402985073</c:v>
                </c:pt>
                <c:pt idx="65">
                  <c:v>0.72350746268656718</c:v>
                </c:pt>
                <c:pt idx="66">
                  <c:v>0.71925373134328363</c:v>
                </c:pt>
                <c:pt idx="67">
                  <c:v>0.71500000000000008</c:v>
                </c:pt>
                <c:pt idx="68">
                  <c:v>0.71074626865671642</c:v>
                </c:pt>
                <c:pt idx="69">
                  <c:v>0.70649253731343298</c:v>
                </c:pt>
                <c:pt idx="70">
                  <c:v>0.70223880597014932</c:v>
                </c:pt>
                <c:pt idx="71">
                  <c:v>0.69798507462686565</c:v>
                </c:pt>
                <c:pt idx="72">
                  <c:v>0.6937313432835821</c:v>
                </c:pt>
                <c:pt idx="73">
                  <c:v>0.68947761194029855</c:v>
                </c:pt>
                <c:pt idx="74">
                  <c:v>0.685223880597015</c:v>
                </c:pt>
                <c:pt idx="75">
                  <c:v>0.68097014925373145</c:v>
                </c:pt>
                <c:pt idx="76">
                  <c:v>0.67671641791044779</c:v>
                </c:pt>
                <c:pt idx="77">
                  <c:v>0.67246268656716424</c:v>
                </c:pt>
                <c:pt idx="78">
                  <c:v>0.66820895522388057</c:v>
                </c:pt>
                <c:pt idx="79">
                  <c:v>0.66395522388059702</c:v>
                </c:pt>
                <c:pt idx="80">
                  <c:v>0.65970149253731347</c:v>
                </c:pt>
              </c:numCache>
            </c:numRef>
          </c:yVal>
          <c:smooth val="0"/>
          <c:extLst>
            <c:ext xmlns:c16="http://schemas.microsoft.com/office/drawing/2014/chart" uri="{C3380CC4-5D6E-409C-BE32-E72D297353CC}">
              <c16:uniqueId val="{00000000-7156-4D36-99BA-0E53A8938E34}"/>
            </c:ext>
          </c:extLst>
        </c:ser>
        <c:ser>
          <c:idx val="1"/>
          <c:order val="1"/>
          <c:tx>
            <c:strRef>
              <c:f>'E-V'!$G$7</c:f>
              <c:strCache>
                <c:ptCount val="1"/>
                <c:pt idx="0">
                  <c:v>V-formel</c:v>
                </c:pt>
              </c:strCache>
            </c:strRef>
          </c:tx>
          <c:spPr>
            <a:ln w="28575" cap="rnd">
              <a:solidFill>
                <a:schemeClr val="accent2"/>
              </a:solidFill>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'E-V'!$G$8:$G$88</c:f>
              <c:numCache>
                <c:formatCode>0.0\ %</c:formatCode>
                <c:ptCount val="81"/>
                <c:pt idx="0">
                  <c:v>1</c:v>
                </c:pt>
                <c:pt idx="1">
                  <c:v>0.99185714285714288</c:v>
                </c:pt>
                <c:pt idx="2">
                  <c:v>0.98371428571428576</c:v>
                </c:pt>
                <c:pt idx="3">
                  <c:v>0.97557142857142853</c:v>
                </c:pt>
                <c:pt idx="4">
                  <c:v>0.96742857142857142</c:v>
                </c:pt>
                <c:pt idx="5">
                  <c:v>0.9592857142857143</c:v>
                </c:pt>
                <c:pt idx="6">
                  <c:v>0.95114285714285718</c:v>
                </c:pt>
                <c:pt idx="7">
                  <c:v>0.94299999999999995</c:v>
                </c:pt>
                <c:pt idx="8">
                  <c:v>0.93485714285714283</c:v>
                </c:pt>
                <c:pt idx="9">
                  <c:v>0.92671428571428571</c:v>
                </c:pt>
                <c:pt idx="10">
                  <c:v>0.91857142857142859</c:v>
                </c:pt>
                <c:pt idx="11">
                  <c:v>0.91042857142857148</c:v>
                </c:pt>
                <c:pt idx="12">
                  <c:v>0.90228571428571436</c:v>
                </c:pt>
                <c:pt idx="13">
                  <c:v>0.89414285714285713</c:v>
                </c:pt>
                <c:pt idx="14">
                  <c:v>0.88600000000000001</c:v>
                </c:pt>
                <c:pt idx="15">
                  <c:v>0.87785714285714289</c:v>
                </c:pt>
                <c:pt idx="16">
                  <c:v>0.86971428571428566</c:v>
                </c:pt>
                <c:pt idx="17">
                  <c:v>0.86157142857142854</c:v>
                </c:pt>
                <c:pt idx="18">
                  <c:v>0.85342857142857143</c:v>
                </c:pt>
                <c:pt idx="19">
                  <c:v>0.84528571428571431</c:v>
                </c:pt>
                <c:pt idx="20">
                  <c:v>0.83714285714285719</c:v>
                </c:pt>
                <c:pt idx="21">
                  <c:v>0.82899999999999996</c:v>
                </c:pt>
                <c:pt idx="22">
                  <c:v>0.82085714285714284</c:v>
                </c:pt>
                <c:pt idx="23">
                  <c:v>0.81271428571428572</c:v>
                </c:pt>
                <c:pt idx="24">
                  <c:v>0.8045714285714286</c:v>
                </c:pt>
                <c:pt idx="25">
                  <c:v>0.79642857142857149</c:v>
                </c:pt>
                <c:pt idx="26">
                  <c:v>0.78828571428571426</c:v>
                </c:pt>
                <c:pt idx="27">
                  <c:v>0.78014285714285714</c:v>
                </c:pt>
                <c:pt idx="28">
                  <c:v>0.77200000000000002</c:v>
                </c:pt>
                <c:pt idx="29">
                  <c:v>0.768625</c:v>
                </c:pt>
                <c:pt idx="30">
                  <c:v>0.76624999999999999</c:v>
                </c:pt>
                <c:pt idx="31">
                  <c:v>0.76387499999999997</c:v>
                </c:pt>
                <c:pt idx="32">
                  <c:v>0.76150000000000007</c:v>
                </c:pt>
                <c:pt idx="33">
                  <c:v>0.75912500000000005</c:v>
                </c:pt>
                <c:pt idx="34">
                  <c:v>0.75675000000000003</c:v>
                </c:pt>
                <c:pt idx="35">
                  <c:v>0.75437500000000002</c:v>
                </c:pt>
                <c:pt idx="36">
                  <c:v>0.752</c:v>
                </c:pt>
                <c:pt idx="37">
                  <c:v>0.74962499999999999</c:v>
                </c:pt>
                <c:pt idx="38">
                  <c:v>0.74725000000000008</c:v>
                </c:pt>
                <c:pt idx="39">
                  <c:v>0.74487500000000006</c:v>
                </c:pt>
                <c:pt idx="40">
                  <c:v>0.74250000000000005</c:v>
                </c:pt>
                <c:pt idx="41">
                  <c:v>0.74012500000000003</c:v>
                </c:pt>
                <c:pt idx="42">
                  <c:v>0.73775000000000002</c:v>
                </c:pt>
                <c:pt idx="43">
                  <c:v>0.73537500000000011</c:v>
                </c:pt>
                <c:pt idx="44">
                  <c:v>0.7330000000000001</c:v>
                </c:pt>
                <c:pt idx="45">
                  <c:v>0.73062500000000008</c:v>
                </c:pt>
                <c:pt idx="46">
                  <c:v>0.72825000000000006</c:v>
                </c:pt>
                <c:pt idx="47">
                  <c:v>0.72587500000000005</c:v>
                </c:pt>
                <c:pt idx="48">
                  <c:v>0.72350000000000003</c:v>
                </c:pt>
                <c:pt idx="49">
                  <c:v>0.72112500000000002</c:v>
                </c:pt>
                <c:pt idx="50">
                  <c:v>0.71875000000000011</c:v>
                </c:pt>
                <c:pt idx="51">
                  <c:v>0.7163750000000001</c:v>
                </c:pt>
                <c:pt idx="52">
                  <c:v>0.71400000000000008</c:v>
                </c:pt>
                <c:pt idx="53">
                  <c:v>0.71162500000000006</c:v>
                </c:pt>
                <c:pt idx="54">
                  <c:v>0.70925000000000005</c:v>
                </c:pt>
                <c:pt idx="55">
                  <c:v>0.70687500000000003</c:v>
                </c:pt>
                <c:pt idx="56">
                  <c:v>0.70450000000000002</c:v>
                </c:pt>
                <c:pt idx="57">
                  <c:v>0.702125</c:v>
                </c:pt>
                <c:pt idx="58">
                  <c:v>0.69974999999999998</c:v>
                </c:pt>
                <c:pt idx="59">
                  <c:v>0.69737499999999997</c:v>
                </c:pt>
                <c:pt idx="60">
                  <c:v>0.69499999999999995</c:v>
                </c:pt>
                <c:pt idx="61">
                  <c:v>0.69262500000000005</c:v>
                </c:pt>
                <c:pt idx="62">
                  <c:v>0.69025000000000003</c:v>
                </c:pt>
                <c:pt idx="63">
                  <c:v>0.68787500000000001</c:v>
                </c:pt>
                <c:pt idx="64">
                  <c:v>0.6855</c:v>
                </c:pt>
                <c:pt idx="65">
                  <c:v>0.68312499999999998</c:v>
                </c:pt>
                <c:pt idx="66">
                  <c:v>0.68075000000000008</c:v>
                </c:pt>
                <c:pt idx="67">
                  <c:v>0.67837500000000006</c:v>
                </c:pt>
                <c:pt idx="68">
                  <c:v>0.67600000000000005</c:v>
                </c:pt>
                <c:pt idx="69">
                  <c:v>0.67362500000000003</c:v>
                </c:pt>
                <c:pt idx="70">
                  <c:v>0.67125000000000001</c:v>
                </c:pt>
                <c:pt idx="71">
                  <c:v>0.668875</c:v>
                </c:pt>
                <c:pt idx="72">
                  <c:v>0.66650000000000009</c:v>
                </c:pt>
                <c:pt idx="73">
                  <c:v>0.66412500000000008</c:v>
                </c:pt>
                <c:pt idx="74">
                  <c:v>0.66175000000000006</c:v>
                </c:pt>
                <c:pt idx="75">
                  <c:v>0.65937500000000004</c:v>
                </c:pt>
                <c:pt idx="76">
                  <c:v>0.65700000000000003</c:v>
                </c:pt>
                <c:pt idx="77">
                  <c:v>0.65462500000000012</c:v>
                </c:pt>
                <c:pt idx="78">
                  <c:v>0.65225000000000011</c:v>
                </c:pt>
                <c:pt idx="79">
                  <c:v>0.64987500000000009</c:v>
                </c:pt>
                <c:pt idx="80">
                  <c:v>0.64750000000000008</c:v>
                </c:pt>
              </c:numCache>
            </c:numRef>
          </c:yVal>
          <c:smooth val="0"/>
          <c:extLst>
            <c:ext xmlns:c16="http://schemas.microsoft.com/office/drawing/2014/chart" uri="{C3380CC4-5D6E-409C-BE32-E72D297353CC}">
              <c16:uniqueId val="{00000001-7156-4D36-99BA-0E53A8938E34}"/>
            </c:ext>
          </c:extLst>
        </c:ser>
        <c:ser>
          <c:idx val="2"/>
          <c:order val="2"/>
          <c:tx>
            <c:strRef>
              <c:f>'E-V'!$H$7</c:f>
              <c:strCache>
                <c:ptCount val="1"/>
                <c:pt idx="0">
                  <c:v>Q/1,2</c:v>
                </c:pt>
              </c:strCache>
            </c:strRef>
          </c:tx>
          <c:spPr>
            <a:ln w="12700" cap="rnd">
              <a:solidFill>
                <a:schemeClr val="accent2"/>
              </a:solidFill>
              <a:prstDash val="sysDash"/>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'E-V'!$H$8:$H$88</c:f>
              <c:numCache>
                <c:formatCode>0.0\ %</c:formatCode>
                <c:ptCount val="81"/>
                <c:pt idx="0">
                  <c:v>0.83749999999999991</c:v>
                </c:pt>
                <c:pt idx="1">
                  <c:v>0.8351249999999999</c:v>
                </c:pt>
                <c:pt idx="2">
                  <c:v>0.83274999999999999</c:v>
                </c:pt>
                <c:pt idx="3">
                  <c:v>0.83037500000000009</c:v>
                </c:pt>
                <c:pt idx="4">
                  <c:v>0.82800000000000007</c:v>
                </c:pt>
                <c:pt idx="5">
                  <c:v>0.82562500000000005</c:v>
                </c:pt>
                <c:pt idx="6">
                  <c:v>0.82325000000000004</c:v>
                </c:pt>
                <c:pt idx="7">
                  <c:v>0.82087500000000002</c:v>
                </c:pt>
                <c:pt idx="8">
                  <c:v>0.81850000000000001</c:v>
                </c:pt>
                <c:pt idx="9">
                  <c:v>0.8161250000000001</c:v>
                </c:pt>
                <c:pt idx="10">
                  <c:v>0.81375000000000008</c:v>
                </c:pt>
                <c:pt idx="11">
                  <c:v>0.81137500000000007</c:v>
                </c:pt>
                <c:pt idx="12">
                  <c:v>0.80900000000000005</c:v>
                </c:pt>
                <c:pt idx="13">
                  <c:v>0.80662500000000004</c:v>
                </c:pt>
                <c:pt idx="14">
                  <c:v>0.80425000000000002</c:v>
                </c:pt>
                <c:pt idx="15">
                  <c:v>0.80187500000000012</c:v>
                </c:pt>
                <c:pt idx="16">
                  <c:v>0.7995000000000001</c:v>
                </c:pt>
                <c:pt idx="17">
                  <c:v>0.79712500000000008</c:v>
                </c:pt>
                <c:pt idx="18">
                  <c:v>0.79475000000000007</c:v>
                </c:pt>
                <c:pt idx="19">
                  <c:v>0.79237500000000005</c:v>
                </c:pt>
                <c:pt idx="20">
                  <c:v>0.79</c:v>
                </c:pt>
                <c:pt idx="21">
                  <c:v>0.78762500000000002</c:v>
                </c:pt>
                <c:pt idx="22">
                  <c:v>0.78525</c:v>
                </c:pt>
                <c:pt idx="23">
                  <c:v>0.78287499999999999</c:v>
                </c:pt>
                <c:pt idx="24">
                  <c:v>0.78049999999999997</c:v>
                </c:pt>
                <c:pt idx="25">
                  <c:v>0.77812499999999996</c:v>
                </c:pt>
                <c:pt idx="26">
                  <c:v>0.77574999999999994</c:v>
                </c:pt>
                <c:pt idx="27">
                  <c:v>0.77337500000000003</c:v>
                </c:pt>
                <c:pt idx="28">
                  <c:v>0.77100000000000002</c:v>
                </c:pt>
                <c:pt idx="29">
                  <c:v>0.768625</c:v>
                </c:pt>
                <c:pt idx="30">
                  <c:v>0.76624999999999999</c:v>
                </c:pt>
                <c:pt idx="31">
                  <c:v>0.76387499999999997</c:v>
                </c:pt>
                <c:pt idx="32">
                  <c:v>0.76150000000000007</c:v>
                </c:pt>
                <c:pt idx="33">
                  <c:v>0.75912500000000005</c:v>
                </c:pt>
                <c:pt idx="34">
                  <c:v>0.75675000000000003</c:v>
                </c:pt>
                <c:pt idx="35">
                  <c:v>0.75437500000000002</c:v>
                </c:pt>
                <c:pt idx="36">
                  <c:v>0.752</c:v>
                </c:pt>
                <c:pt idx="37">
                  <c:v>0.74962499999999999</c:v>
                </c:pt>
                <c:pt idx="38">
                  <c:v>0.74725000000000008</c:v>
                </c:pt>
                <c:pt idx="39">
                  <c:v>0.74487500000000006</c:v>
                </c:pt>
                <c:pt idx="40">
                  <c:v>0.74250000000000005</c:v>
                </c:pt>
                <c:pt idx="41">
                  <c:v>0.74012500000000003</c:v>
                </c:pt>
                <c:pt idx="42">
                  <c:v>0.73775000000000002</c:v>
                </c:pt>
                <c:pt idx="43">
                  <c:v>0.73537500000000011</c:v>
                </c:pt>
                <c:pt idx="44">
                  <c:v>0.7330000000000001</c:v>
                </c:pt>
                <c:pt idx="45">
                  <c:v>0.73062500000000008</c:v>
                </c:pt>
                <c:pt idx="46">
                  <c:v>0.72825000000000006</c:v>
                </c:pt>
                <c:pt idx="47">
                  <c:v>0.72587500000000005</c:v>
                </c:pt>
                <c:pt idx="48">
                  <c:v>0.72350000000000003</c:v>
                </c:pt>
                <c:pt idx="49">
                  <c:v>0.72112500000000002</c:v>
                </c:pt>
                <c:pt idx="50">
                  <c:v>0.71875000000000011</c:v>
                </c:pt>
                <c:pt idx="51">
                  <c:v>0.7163750000000001</c:v>
                </c:pt>
                <c:pt idx="52">
                  <c:v>0.71400000000000008</c:v>
                </c:pt>
                <c:pt idx="53">
                  <c:v>0.71162500000000006</c:v>
                </c:pt>
                <c:pt idx="54">
                  <c:v>0.70925000000000005</c:v>
                </c:pt>
                <c:pt idx="55">
                  <c:v>0.70687500000000003</c:v>
                </c:pt>
                <c:pt idx="56">
                  <c:v>0.70450000000000002</c:v>
                </c:pt>
                <c:pt idx="57">
                  <c:v>0.702125</c:v>
                </c:pt>
                <c:pt idx="58">
                  <c:v>0.69974999999999998</c:v>
                </c:pt>
                <c:pt idx="59">
                  <c:v>0.69737499999999997</c:v>
                </c:pt>
                <c:pt idx="60">
                  <c:v>0.69499999999999995</c:v>
                </c:pt>
                <c:pt idx="61">
                  <c:v>0.69262500000000005</c:v>
                </c:pt>
                <c:pt idx="62">
                  <c:v>0.69025000000000003</c:v>
                </c:pt>
                <c:pt idx="63">
                  <c:v>0.68787500000000001</c:v>
                </c:pt>
                <c:pt idx="64">
                  <c:v>0.6855</c:v>
                </c:pt>
                <c:pt idx="65">
                  <c:v>0.68312499999999998</c:v>
                </c:pt>
                <c:pt idx="66">
                  <c:v>0.68075000000000008</c:v>
                </c:pt>
                <c:pt idx="67">
                  <c:v>0.67837500000000006</c:v>
                </c:pt>
                <c:pt idx="68">
                  <c:v>0.67600000000000005</c:v>
                </c:pt>
                <c:pt idx="69">
                  <c:v>0.67362500000000003</c:v>
                </c:pt>
                <c:pt idx="70">
                  <c:v>0.67125000000000001</c:v>
                </c:pt>
                <c:pt idx="71">
                  <c:v>0.668875</c:v>
                </c:pt>
                <c:pt idx="72">
                  <c:v>0.66650000000000009</c:v>
                </c:pt>
                <c:pt idx="73">
                  <c:v>0.66412500000000008</c:v>
                </c:pt>
                <c:pt idx="74">
                  <c:v>0.66175000000000006</c:v>
                </c:pt>
                <c:pt idx="75">
                  <c:v>0.65937500000000004</c:v>
                </c:pt>
                <c:pt idx="76">
                  <c:v>0.65700000000000003</c:v>
                </c:pt>
                <c:pt idx="77">
                  <c:v>0.65462500000000012</c:v>
                </c:pt>
                <c:pt idx="78">
                  <c:v>0.65225000000000011</c:v>
                </c:pt>
                <c:pt idx="79">
                  <c:v>0.64987500000000009</c:v>
                </c:pt>
                <c:pt idx="80">
                  <c:v>0.64750000000000008</c:v>
                </c:pt>
              </c:numCache>
            </c:numRef>
          </c:yVal>
          <c:smooth val="0"/>
          <c:extLst>
            <c:ext xmlns:c16="http://schemas.microsoft.com/office/drawing/2014/chart" uri="{C3380CC4-5D6E-409C-BE32-E72D297353CC}">
              <c16:uniqueId val="{00000006-7156-4D36-99BA-0E53A8938E34}"/>
            </c:ext>
          </c:extLst>
        </c:ser>
        <c:ser>
          <c:idx val="3"/>
          <c:order val="3"/>
          <c:tx>
            <c:strRef>
              <c:f>'E-V'!$I$7</c:f>
              <c:strCache>
                <c:ptCount val="1"/>
                <c:pt idx="0">
                  <c:v>F-P/0,35</c:v>
                </c:pt>
              </c:strCache>
            </c:strRef>
          </c:tx>
          <c:spPr>
            <a:ln w="12700" cap="rnd">
              <a:solidFill>
                <a:schemeClr val="accent1"/>
              </a:solidFill>
              <a:prstDash val="sysDash"/>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'E-V'!$I$8:$I$88</c:f>
              <c:numCache>
                <c:formatCode>0.0\ %</c:formatCode>
                <c:ptCount val="81"/>
                <c:pt idx="0">
                  <c:v>1</c:v>
                </c:pt>
                <c:pt idx="1">
                  <c:v>0.99185714285714288</c:v>
                </c:pt>
                <c:pt idx="2">
                  <c:v>0.98371428571428576</c:v>
                </c:pt>
                <c:pt idx="3">
                  <c:v>0.97557142857142853</c:v>
                </c:pt>
                <c:pt idx="4">
                  <c:v>0.96742857142857142</c:v>
                </c:pt>
                <c:pt idx="5">
                  <c:v>0.9592857142857143</c:v>
                </c:pt>
                <c:pt idx="6">
                  <c:v>0.95114285714285718</c:v>
                </c:pt>
                <c:pt idx="7">
                  <c:v>0.94299999999999995</c:v>
                </c:pt>
                <c:pt idx="8">
                  <c:v>0.93485714285714283</c:v>
                </c:pt>
                <c:pt idx="9">
                  <c:v>0.92671428571428571</c:v>
                </c:pt>
                <c:pt idx="10">
                  <c:v>0.91857142857142859</c:v>
                </c:pt>
                <c:pt idx="11">
                  <c:v>0.91042857142857148</c:v>
                </c:pt>
                <c:pt idx="12">
                  <c:v>0.90228571428571436</c:v>
                </c:pt>
                <c:pt idx="13">
                  <c:v>0.89414285714285713</c:v>
                </c:pt>
                <c:pt idx="14">
                  <c:v>0.88600000000000001</c:v>
                </c:pt>
                <c:pt idx="15">
                  <c:v>0.87785714285714289</c:v>
                </c:pt>
                <c:pt idx="16">
                  <c:v>0.86971428571428566</c:v>
                </c:pt>
                <c:pt idx="17">
                  <c:v>0.86157142857142854</c:v>
                </c:pt>
                <c:pt idx="18">
                  <c:v>0.85342857142857143</c:v>
                </c:pt>
                <c:pt idx="19">
                  <c:v>0.84528571428571431</c:v>
                </c:pt>
                <c:pt idx="20">
                  <c:v>0.83714285714285719</c:v>
                </c:pt>
                <c:pt idx="21">
                  <c:v>0.82899999999999996</c:v>
                </c:pt>
                <c:pt idx="22">
                  <c:v>0.82085714285714284</c:v>
                </c:pt>
                <c:pt idx="23">
                  <c:v>0.81271428571428572</c:v>
                </c:pt>
                <c:pt idx="24">
                  <c:v>0.8045714285714286</c:v>
                </c:pt>
                <c:pt idx="25">
                  <c:v>0.79642857142857149</c:v>
                </c:pt>
                <c:pt idx="26">
                  <c:v>0.78828571428571426</c:v>
                </c:pt>
                <c:pt idx="27">
                  <c:v>0.78014285714285714</c:v>
                </c:pt>
                <c:pt idx="28">
                  <c:v>0.77200000000000002</c:v>
                </c:pt>
                <c:pt idx="29">
                  <c:v>0.7638571428571429</c:v>
                </c:pt>
                <c:pt idx="30">
                  <c:v>0.75571428571428578</c:v>
                </c:pt>
                <c:pt idx="31">
                  <c:v>0.74757142857142855</c:v>
                </c:pt>
                <c:pt idx="32">
                  <c:v>0.73942857142857144</c:v>
                </c:pt>
                <c:pt idx="33">
                  <c:v>0.73128571428571432</c:v>
                </c:pt>
                <c:pt idx="34">
                  <c:v>0.72314285714285709</c:v>
                </c:pt>
                <c:pt idx="35">
                  <c:v>0.71500000000000008</c:v>
                </c:pt>
                <c:pt idx="36">
                  <c:v>0.70685714285714285</c:v>
                </c:pt>
                <c:pt idx="37">
                  <c:v>0.69871428571428573</c:v>
                </c:pt>
                <c:pt idx="38">
                  <c:v>0.69057142857142861</c:v>
                </c:pt>
                <c:pt idx="39">
                  <c:v>0.68242857142857138</c:v>
                </c:pt>
                <c:pt idx="40">
                  <c:v>0.67428571428571427</c:v>
                </c:pt>
                <c:pt idx="41">
                  <c:v>0.66614285714285715</c:v>
                </c:pt>
                <c:pt idx="42">
                  <c:v>0.65800000000000003</c:v>
                </c:pt>
                <c:pt idx="43">
                  <c:v>0.64985714285714291</c:v>
                </c:pt>
                <c:pt idx="44">
                  <c:v>0.64171428571428568</c:v>
                </c:pt>
                <c:pt idx="45">
                  <c:v>0.63357142857142856</c:v>
                </c:pt>
                <c:pt idx="46">
                  <c:v>0.62542857142857144</c:v>
                </c:pt>
                <c:pt idx="47">
                  <c:v>0.61728571428571433</c:v>
                </c:pt>
                <c:pt idx="48">
                  <c:v>0.60914285714285721</c:v>
                </c:pt>
                <c:pt idx="49">
                  <c:v>0.60099999999999998</c:v>
                </c:pt>
                <c:pt idx="50">
                  <c:v>0.59285714285714286</c:v>
                </c:pt>
                <c:pt idx="51">
                  <c:v>0.58471428571428574</c:v>
                </c:pt>
                <c:pt idx="52">
                  <c:v>0.57657142857142851</c:v>
                </c:pt>
                <c:pt idx="53">
                  <c:v>0.56842857142857151</c:v>
                </c:pt>
                <c:pt idx="54">
                  <c:v>0.56028571428571428</c:v>
                </c:pt>
                <c:pt idx="55">
                  <c:v>0.55214285714285705</c:v>
                </c:pt>
                <c:pt idx="56">
                  <c:v>0.54400000000000004</c:v>
                </c:pt>
                <c:pt idx="57">
                  <c:v>0.53585714285714281</c:v>
                </c:pt>
                <c:pt idx="58">
                  <c:v>0.5277142857142858</c:v>
                </c:pt>
                <c:pt idx="59">
                  <c:v>0.51957142857142857</c:v>
                </c:pt>
                <c:pt idx="60">
                  <c:v>0.51142857142857145</c:v>
                </c:pt>
                <c:pt idx="61">
                  <c:v>0.50328571428571434</c:v>
                </c:pt>
                <c:pt idx="62">
                  <c:v>0.49514285714285711</c:v>
                </c:pt>
                <c:pt idx="63">
                  <c:v>0.48699999999999999</c:v>
                </c:pt>
                <c:pt idx="64">
                  <c:v>0.47885714285714287</c:v>
                </c:pt>
                <c:pt idx="65">
                  <c:v>0.47071428571428564</c:v>
                </c:pt>
                <c:pt idx="66">
                  <c:v>0.46257142857142852</c:v>
                </c:pt>
                <c:pt idx="67">
                  <c:v>0.4544285714285714</c:v>
                </c:pt>
                <c:pt idx="68">
                  <c:v>0.44628571428571429</c:v>
                </c:pt>
                <c:pt idx="69">
                  <c:v>0.43814285714285717</c:v>
                </c:pt>
                <c:pt idx="70">
                  <c:v>0.43000000000000005</c:v>
                </c:pt>
                <c:pt idx="71">
                  <c:v>0.42185714285714293</c:v>
                </c:pt>
                <c:pt idx="72">
                  <c:v>0.41371428571428581</c:v>
                </c:pt>
                <c:pt idx="73">
                  <c:v>0.40557142857142858</c:v>
                </c:pt>
                <c:pt idx="74">
                  <c:v>0.39742857142857146</c:v>
                </c:pt>
                <c:pt idx="75">
                  <c:v>0.38928571428571423</c:v>
                </c:pt>
                <c:pt idx="76">
                  <c:v>0.38114285714285712</c:v>
                </c:pt>
                <c:pt idx="77">
                  <c:v>0.373</c:v>
                </c:pt>
                <c:pt idx="78">
                  <c:v>0.36485714285714277</c:v>
                </c:pt>
                <c:pt idx="79">
                  <c:v>0.35671428571428565</c:v>
                </c:pt>
                <c:pt idx="80">
                  <c:v>0.34857142857142853</c:v>
                </c:pt>
              </c:numCache>
            </c:numRef>
          </c:yVal>
          <c:smooth val="0"/>
          <c:extLst>
            <c:ext xmlns:c16="http://schemas.microsoft.com/office/drawing/2014/chart" uri="{C3380CC4-5D6E-409C-BE32-E72D297353CC}">
              <c16:uniqueId val="{00000007-7156-4D36-99BA-0E53A8938E34}"/>
            </c:ext>
          </c:extLst>
        </c:ser>
        <c:dLbls>
          <c:showLegendKey val="0"/>
          <c:showVal val="0"/>
          <c:showCatName val="0"/>
          <c:showSerName val="0"/>
          <c:showPercent val="0"/>
          <c:showBubbleSize val="0"/>
        </c:dLbls>
        <c:axId val="836422432"/>
        <c:axId val="836417184"/>
      </c:scatterChart>
      <c:valAx>
        <c:axId val="836422432"/>
        <c:scaling>
          <c:orientation val="minMax"/>
          <c:max val="0.30000000000000004"/>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EtaEnom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36417184"/>
        <c:crosses val="autoZero"/>
        <c:crossBetween val="midCat"/>
      </c:valAx>
      <c:valAx>
        <c:axId val="836417184"/>
        <c:scaling>
          <c:orientation val="minMax"/>
          <c:max val="1"/>
          <c:min val="0.4"/>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EtaQ</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36422432"/>
        <c:crosses val="autoZero"/>
        <c:crossBetween val="midCat"/>
      </c:valAx>
      <c:spPr>
        <a:noFill/>
        <a:ln>
          <a:noFill/>
        </a:ln>
        <a:effectLst/>
      </c:spPr>
    </c:plotArea>
    <c:legend>
      <c:legendPos val="b"/>
      <c:layout>
        <c:manualLayout>
          <c:xMode val="edge"/>
          <c:yMode val="edge"/>
          <c:x val="0.74436884674683779"/>
          <c:y val="0.138984087935939"/>
          <c:w val="0.18667458042608873"/>
          <c:h val="0.2012221769777878"/>
        </c:manualLayout>
      </c:layout>
      <c:overlay val="1"/>
      <c:spPr>
        <a:solidFill>
          <a:schemeClr val="bg1"/>
        </a:solidFill>
        <a:ln>
          <a:solidFill>
            <a:schemeClr val="bg1">
              <a:lumMod val="75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a-DK"/>
              <a:t>Andel brændsel henført</a:t>
            </a:r>
            <a:r>
              <a:rPr lang="da-DK" baseline="0"/>
              <a:t> til varmeproduktion</a:t>
            </a:r>
            <a:endParaRPr lang="da-DK"/>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0"/>
          <c:order val="0"/>
          <c:tx>
            <c:strRef>
              <c:f>'E-V'!$F$7</c:f>
              <c:strCache>
                <c:ptCount val="1"/>
                <c:pt idx="0">
                  <c:v>E-formel</c:v>
                </c:pt>
              </c:strCache>
            </c:strRef>
          </c:tx>
          <c:spPr>
            <a:ln w="28575" cap="rnd">
              <a:solidFill>
                <a:schemeClr val="accent1"/>
              </a:solidFill>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'E-V'!$F$8:$F$88</c:f>
              <c:numCache>
                <c:formatCode>0.0\ %</c:formatCode>
                <c:ptCount val="81"/>
                <c:pt idx="0">
                  <c:v>1</c:v>
                </c:pt>
                <c:pt idx="1">
                  <c:v>0.99574626865671645</c:v>
                </c:pt>
                <c:pt idx="2">
                  <c:v>0.99149253731343279</c:v>
                </c:pt>
                <c:pt idx="3">
                  <c:v>0.98723880597014924</c:v>
                </c:pt>
                <c:pt idx="4">
                  <c:v>0.98298507462686568</c:v>
                </c:pt>
                <c:pt idx="5">
                  <c:v>0.97873134328358213</c:v>
                </c:pt>
                <c:pt idx="6">
                  <c:v>0.97447761194029847</c:v>
                </c:pt>
                <c:pt idx="7">
                  <c:v>0.97022388059701492</c:v>
                </c:pt>
                <c:pt idx="8">
                  <c:v>0.96597014925373137</c:v>
                </c:pt>
                <c:pt idx="9">
                  <c:v>0.96171641791044782</c:v>
                </c:pt>
                <c:pt idx="10">
                  <c:v>0.95746268656716416</c:v>
                </c:pt>
                <c:pt idx="11">
                  <c:v>0.95320895522388061</c:v>
                </c:pt>
                <c:pt idx="12">
                  <c:v>0.94895522388059705</c:v>
                </c:pt>
                <c:pt idx="13">
                  <c:v>0.94470149253731339</c:v>
                </c:pt>
                <c:pt idx="14">
                  <c:v>0.94044776119402984</c:v>
                </c:pt>
                <c:pt idx="15">
                  <c:v>0.93619402985074629</c:v>
                </c:pt>
                <c:pt idx="16">
                  <c:v>0.93194029850746274</c:v>
                </c:pt>
                <c:pt idx="17">
                  <c:v>0.92768656716417908</c:v>
                </c:pt>
                <c:pt idx="18">
                  <c:v>0.92343283582089553</c:v>
                </c:pt>
                <c:pt idx="19">
                  <c:v>0.91917910447761197</c:v>
                </c:pt>
                <c:pt idx="20">
                  <c:v>0.91492537313432831</c:v>
                </c:pt>
                <c:pt idx="21">
                  <c:v>0.91067164179104476</c:v>
                </c:pt>
                <c:pt idx="22">
                  <c:v>0.90641791044776121</c:v>
                </c:pt>
                <c:pt idx="23">
                  <c:v>0.90216417910447766</c:v>
                </c:pt>
                <c:pt idx="24">
                  <c:v>0.89791044776119411</c:v>
                </c:pt>
                <c:pt idx="25">
                  <c:v>0.89365671641791045</c:v>
                </c:pt>
                <c:pt idx="26">
                  <c:v>0.8894029850746269</c:v>
                </c:pt>
                <c:pt idx="27">
                  <c:v>0.88514925373134323</c:v>
                </c:pt>
                <c:pt idx="28">
                  <c:v>0.88089552238805968</c:v>
                </c:pt>
                <c:pt idx="29">
                  <c:v>0.87664179104477613</c:v>
                </c:pt>
                <c:pt idx="30">
                  <c:v>0.87238805970149258</c:v>
                </c:pt>
                <c:pt idx="31">
                  <c:v>0.86813432835820903</c:v>
                </c:pt>
                <c:pt idx="32">
                  <c:v>0.86388059701492537</c:v>
                </c:pt>
                <c:pt idx="33">
                  <c:v>0.85962686567164182</c:v>
                </c:pt>
                <c:pt idx="34">
                  <c:v>0.85537313432835815</c:v>
                </c:pt>
                <c:pt idx="35">
                  <c:v>0.8511194029850746</c:v>
                </c:pt>
                <c:pt idx="36">
                  <c:v>0.84686567164179105</c:v>
                </c:pt>
                <c:pt idx="37">
                  <c:v>0.8426119402985075</c:v>
                </c:pt>
                <c:pt idx="38">
                  <c:v>0.83835820895522395</c:v>
                </c:pt>
                <c:pt idx="39">
                  <c:v>0.83410447761194029</c:v>
                </c:pt>
                <c:pt idx="40">
                  <c:v>0.82985074626865674</c:v>
                </c:pt>
                <c:pt idx="41">
                  <c:v>0.82559701492537318</c:v>
                </c:pt>
                <c:pt idx="42">
                  <c:v>0.82134328358208952</c:v>
                </c:pt>
                <c:pt idx="43">
                  <c:v>0.81708955223880597</c:v>
                </c:pt>
                <c:pt idx="44">
                  <c:v>0.81283582089552242</c:v>
                </c:pt>
                <c:pt idx="45">
                  <c:v>0.80858208955223887</c:v>
                </c:pt>
                <c:pt idx="46">
                  <c:v>0.80432835820895521</c:v>
                </c:pt>
                <c:pt idx="47">
                  <c:v>0.80007462686567166</c:v>
                </c:pt>
                <c:pt idx="48">
                  <c:v>0.79582089552238811</c:v>
                </c:pt>
                <c:pt idx="49">
                  <c:v>0.79156716417910444</c:v>
                </c:pt>
                <c:pt idx="50">
                  <c:v>0.78731343283582089</c:v>
                </c:pt>
                <c:pt idx="51">
                  <c:v>0.78305970149253734</c:v>
                </c:pt>
                <c:pt idx="52">
                  <c:v>0.77880597014925379</c:v>
                </c:pt>
                <c:pt idx="53">
                  <c:v>0.77455223880597024</c:v>
                </c:pt>
                <c:pt idx="54">
                  <c:v>0.77029850746268658</c:v>
                </c:pt>
                <c:pt idx="55">
                  <c:v>0.76604477611940303</c:v>
                </c:pt>
                <c:pt idx="56">
                  <c:v>0.76179104477611936</c:v>
                </c:pt>
                <c:pt idx="57">
                  <c:v>0.75753731343283581</c:v>
                </c:pt>
                <c:pt idx="58">
                  <c:v>0.75328358208955226</c:v>
                </c:pt>
                <c:pt idx="59">
                  <c:v>0.74902985074626871</c:v>
                </c:pt>
                <c:pt idx="60">
                  <c:v>0.74477611940298516</c:v>
                </c:pt>
                <c:pt idx="61">
                  <c:v>0.74052238805970161</c:v>
                </c:pt>
                <c:pt idx="62">
                  <c:v>0.73626865671641795</c:v>
                </c:pt>
                <c:pt idx="63">
                  <c:v>0.73201492537313428</c:v>
                </c:pt>
                <c:pt idx="64">
                  <c:v>0.72776119402985073</c:v>
                </c:pt>
                <c:pt idx="65">
                  <c:v>0.72350746268656718</c:v>
                </c:pt>
                <c:pt idx="66">
                  <c:v>0.71925373134328363</c:v>
                </c:pt>
                <c:pt idx="67">
                  <c:v>0.71500000000000008</c:v>
                </c:pt>
                <c:pt idx="68">
                  <c:v>0.71074626865671642</c:v>
                </c:pt>
                <c:pt idx="69">
                  <c:v>0.70649253731343298</c:v>
                </c:pt>
                <c:pt idx="70">
                  <c:v>0.70223880597014932</c:v>
                </c:pt>
                <c:pt idx="71">
                  <c:v>0.69798507462686565</c:v>
                </c:pt>
                <c:pt idx="72">
                  <c:v>0.6937313432835821</c:v>
                </c:pt>
                <c:pt idx="73">
                  <c:v>0.68947761194029855</c:v>
                </c:pt>
                <c:pt idx="74">
                  <c:v>0.685223880597015</c:v>
                </c:pt>
                <c:pt idx="75">
                  <c:v>0.68097014925373145</c:v>
                </c:pt>
                <c:pt idx="76">
                  <c:v>0.67671641791044779</c:v>
                </c:pt>
                <c:pt idx="77">
                  <c:v>0.67246268656716424</c:v>
                </c:pt>
                <c:pt idx="78">
                  <c:v>0.66820895522388057</c:v>
                </c:pt>
                <c:pt idx="79">
                  <c:v>0.66395522388059702</c:v>
                </c:pt>
                <c:pt idx="80">
                  <c:v>0.65970149253731347</c:v>
                </c:pt>
              </c:numCache>
            </c:numRef>
          </c:yVal>
          <c:smooth val="0"/>
          <c:extLst>
            <c:ext xmlns:c16="http://schemas.microsoft.com/office/drawing/2014/chart" uri="{C3380CC4-5D6E-409C-BE32-E72D297353CC}">
              <c16:uniqueId val="{00000000-F4FD-4D71-9D6C-E1F5E51A18AA}"/>
            </c:ext>
          </c:extLst>
        </c:ser>
        <c:ser>
          <c:idx val="1"/>
          <c:order val="1"/>
          <c:tx>
            <c:strRef>
              <c:f>'E-V'!$G$7</c:f>
              <c:strCache>
                <c:ptCount val="1"/>
                <c:pt idx="0">
                  <c:v>V-formel</c:v>
                </c:pt>
              </c:strCache>
            </c:strRef>
          </c:tx>
          <c:spPr>
            <a:ln w="28575" cap="rnd">
              <a:solidFill>
                <a:schemeClr val="accent2"/>
              </a:solidFill>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'E-V'!$G$8:$G$88</c:f>
              <c:numCache>
                <c:formatCode>0.0\ %</c:formatCode>
                <c:ptCount val="81"/>
                <c:pt idx="0">
                  <c:v>1</c:v>
                </c:pt>
                <c:pt idx="1">
                  <c:v>0.99185714285714288</c:v>
                </c:pt>
                <c:pt idx="2">
                  <c:v>0.98371428571428576</c:v>
                </c:pt>
                <c:pt idx="3">
                  <c:v>0.97557142857142853</c:v>
                </c:pt>
                <c:pt idx="4">
                  <c:v>0.96742857142857142</c:v>
                </c:pt>
                <c:pt idx="5">
                  <c:v>0.9592857142857143</c:v>
                </c:pt>
                <c:pt idx="6">
                  <c:v>0.95114285714285718</c:v>
                </c:pt>
                <c:pt idx="7">
                  <c:v>0.94299999999999995</c:v>
                </c:pt>
                <c:pt idx="8">
                  <c:v>0.93485714285714283</c:v>
                </c:pt>
                <c:pt idx="9">
                  <c:v>0.92671428571428571</c:v>
                </c:pt>
                <c:pt idx="10">
                  <c:v>0.91857142857142859</c:v>
                </c:pt>
                <c:pt idx="11">
                  <c:v>0.91042857142857148</c:v>
                </c:pt>
                <c:pt idx="12">
                  <c:v>0.90228571428571436</c:v>
                </c:pt>
                <c:pt idx="13">
                  <c:v>0.89414285714285713</c:v>
                </c:pt>
                <c:pt idx="14">
                  <c:v>0.88600000000000001</c:v>
                </c:pt>
                <c:pt idx="15">
                  <c:v>0.87785714285714289</c:v>
                </c:pt>
                <c:pt idx="16">
                  <c:v>0.86971428571428566</c:v>
                </c:pt>
                <c:pt idx="17">
                  <c:v>0.86157142857142854</c:v>
                </c:pt>
                <c:pt idx="18">
                  <c:v>0.85342857142857143</c:v>
                </c:pt>
                <c:pt idx="19">
                  <c:v>0.84528571428571431</c:v>
                </c:pt>
                <c:pt idx="20">
                  <c:v>0.83714285714285719</c:v>
                </c:pt>
                <c:pt idx="21">
                  <c:v>0.82899999999999996</c:v>
                </c:pt>
                <c:pt idx="22">
                  <c:v>0.82085714285714284</c:v>
                </c:pt>
                <c:pt idx="23">
                  <c:v>0.81271428571428572</c:v>
                </c:pt>
                <c:pt idx="24">
                  <c:v>0.8045714285714286</c:v>
                </c:pt>
                <c:pt idx="25">
                  <c:v>0.79642857142857149</c:v>
                </c:pt>
                <c:pt idx="26">
                  <c:v>0.78828571428571426</c:v>
                </c:pt>
                <c:pt idx="27">
                  <c:v>0.78014285714285714</c:v>
                </c:pt>
                <c:pt idx="28">
                  <c:v>0.77200000000000002</c:v>
                </c:pt>
                <c:pt idx="29">
                  <c:v>0.768625</c:v>
                </c:pt>
                <c:pt idx="30">
                  <c:v>0.76624999999999999</c:v>
                </c:pt>
                <c:pt idx="31">
                  <c:v>0.76387499999999997</c:v>
                </c:pt>
                <c:pt idx="32">
                  <c:v>0.76150000000000007</c:v>
                </c:pt>
                <c:pt idx="33">
                  <c:v>0.75912500000000005</c:v>
                </c:pt>
                <c:pt idx="34">
                  <c:v>0.75675000000000003</c:v>
                </c:pt>
                <c:pt idx="35">
                  <c:v>0.75437500000000002</c:v>
                </c:pt>
                <c:pt idx="36">
                  <c:v>0.752</c:v>
                </c:pt>
                <c:pt idx="37">
                  <c:v>0.74962499999999999</c:v>
                </c:pt>
                <c:pt idx="38">
                  <c:v>0.74725000000000008</c:v>
                </c:pt>
                <c:pt idx="39">
                  <c:v>0.74487500000000006</c:v>
                </c:pt>
                <c:pt idx="40">
                  <c:v>0.74250000000000005</c:v>
                </c:pt>
                <c:pt idx="41">
                  <c:v>0.74012500000000003</c:v>
                </c:pt>
                <c:pt idx="42">
                  <c:v>0.73775000000000002</c:v>
                </c:pt>
                <c:pt idx="43">
                  <c:v>0.73537500000000011</c:v>
                </c:pt>
                <c:pt idx="44">
                  <c:v>0.7330000000000001</c:v>
                </c:pt>
                <c:pt idx="45">
                  <c:v>0.73062500000000008</c:v>
                </c:pt>
                <c:pt idx="46">
                  <c:v>0.72825000000000006</c:v>
                </c:pt>
                <c:pt idx="47">
                  <c:v>0.72587500000000005</c:v>
                </c:pt>
                <c:pt idx="48">
                  <c:v>0.72350000000000003</c:v>
                </c:pt>
                <c:pt idx="49">
                  <c:v>0.72112500000000002</c:v>
                </c:pt>
                <c:pt idx="50">
                  <c:v>0.71875000000000011</c:v>
                </c:pt>
                <c:pt idx="51">
                  <c:v>0.7163750000000001</c:v>
                </c:pt>
                <c:pt idx="52">
                  <c:v>0.71400000000000008</c:v>
                </c:pt>
                <c:pt idx="53">
                  <c:v>0.71162500000000006</c:v>
                </c:pt>
                <c:pt idx="54">
                  <c:v>0.70925000000000005</c:v>
                </c:pt>
                <c:pt idx="55">
                  <c:v>0.70687500000000003</c:v>
                </c:pt>
                <c:pt idx="56">
                  <c:v>0.70450000000000002</c:v>
                </c:pt>
                <c:pt idx="57">
                  <c:v>0.702125</c:v>
                </c:pt>
                <c:pt idx="58">
                  <c:v>0.69974999999999998</c:v>
                </c:pt>
                <c:pt idx="59">
                  <c:v>0.69737499999999997</c:v>
                </c:pt>
                <c:pt idx="60">
                  <c:v>0.69499999999999995</c:v>
                </c:pt>
                <c:pt idx="61">
                  <c:v>0.69262500000000005</c:v>
                </c:pt>
                <c:pt idx="62">
                  <c:v>0.69025000000000003</c:v>
                </c:pt>
                <c:pt idx="63">
                  <c:v>0.68787500000000001</c:v>
                </c:pt>
                <c:pt idx="64">
                  <c:v>0.6855</c:v>
                </c:pt>
                <c:pt idx="65">
                  <c:v>0.68312499999999998</c:v>
                </c:pt>
                <c:pt idx="66">
                  <c:v>0.68075000000000008</c:v>
                </c:pt>
                <c:pt idx="67">
                  <c:v>0.67837500000000006</c:v>
                </c:pt>
                <c:pt idx="68">
                  <c:v>0.67600000000000005</c:v>
                </c:pt>
                <c:pt idx="69">
                  <c:v>0.67362500000000003</c:v>
                </c:pt>
                <c:pt idx="70">
                  <c:v>0.67125000000000001</c:v>
                </c:pt>
                <c:pt idx="71">
                  <c:v>0.668875</c:v>
                </c:pt>
                <c:pt idx="72">
                  <c:v>0.66650000000000009</c:v>
                </c:pt>
                <c:pt idx="73">
                  <c:v>0.66412500000000008</c:v>
                </c:pt>
                <c:pt idx="74">
                  <c:v>0.66175000000000006</c:v>
                </c:pt>
                <c:pt idx="75">
                  <c:v>0.65937500000000004</c:v>
                </c:pt>
                <c:pt idx="76">
                  <c:v>0.65700000000000003</c:v>
                </c:pt>
                <c:pt idx="77">
                  <c:v>0.65462500000000012</c:v>
                </c:pt>
                <c:pt idx="78">
                  <c:v>0.65225000000000011</c:v>
                </c:pt>
                <c:pt idx="79">
                  <c:v>0.64987500000000009</c:v>
                </c:pt>
                <c:pt idx="80">
                  <c:v>0.64750000000000008</c:v>
                </c:pt>
              </c:numCache>
            </c:numRef>
          </c:yVal>
          <c:smooth val="0"/>
          <c:extLst>
            <c:ext xmlns:c16="http://schemas.microsoft.com/office/drawing/2014/chart" uri="{C3380CC4-5D6E-409C-BE32-E72D297353CC}">
              <c16:uniqueId val="{00000001-F4FD-4D71-9D6C-E1F5E51A18AA}"/>
            </c:ext>
          </c:extLst>
        </c:ser>
        <c:ser>
          <c:idx val="2"/>
          <c:order val="2"/>
          <c:tx>
            <c:strRef>
              <c:f>'E-V'!$H$7</c:f>
              <c:strCache>
                <c:ptCount val="1"/>
                <c:pt idx="0">
                  <c:v>Q/1,2</c:v>
                </c:pt>
              </c:strCache>
            </c:strRef>
          </c:tx>
          <c:spPr>
            <a:ln w="12700" cap="rnd">
              <a:solidFill>
                <a:schemeClr val="accent2"/>
              </a:solidFill>
              <a:prstDash val="sysDash"/>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'E-V'!$H$8:$H$88</c:f>
              <c:numCache>
                <c:formatCode>0.0\ %</c:formatCode>
                <c:ptCount val="81"/>
                <c:pt idx="0">
                  <c:v>0.83749999999999991</c:v>
                </c:pt>
                <c:pt idx="1">
                  <c:v>0.8351249999999999</c:v>
                </c:pt>
                <c:pt idx="2">
                  <c:v>0.83274999999999999</c:v>
                </c:pt>
                <c:pt idx="3">
                  <c:v>0.83037500000000009</c:v>
                </c:pt>
                <c:pt idx="4">
                  <c:v>0.82800000000000007</c:v>
                </c:pt>
                <c:pt idx="5">
                  <c:v>0.82562500000000005</c:v>
                </c:pt>
                <c:pt idx="6">
                  <c:v>0.82325000000000004</c:v>
                </c:pt>
                <c:pt idx="7">
                  <c:v>0.82087500000000002</c:v>
                </c:pt>
                <c:pt idx="8">
                  <c:v>0.81850000000000001</c:v>
                </c:pt>
                <c:pt idx="9">
                  <c:v>0.8161250000000001</c:v>
                </c:pt>
                <c:pt idx="10">
                  <c:v>0.81375000000000008</c:v>
                </c:pt>
                <c:pt idx="11">
                  <c:v>0.81137500000000007</c:v>
                </c:pt>
                <c:pt idx="12">
                  <c:v>0.80900000000000005</c:v>
                </c:pt>
                <c:pt idx="13">
                  <c:v>0.80662500000000004</c:v>
                </c:pt>
                <c:pt idx="14">
                  <c:v>0.80425000000000002</c:v>
                </c:pt>
                <c:pt idx="15">
                  <c:v>0.80187500000000012</c:v>
                </c:pt>
                <c:pt idx="16">
                  <c:v>0.7995000000000001</c:v>
                </c:pt>
                <c:pt idx="17">
                  <c:v>0.79712500000000008</c:v>
                </c:pt>
                <c:pt idx="18">
                  <c:v>0.79475000000000007</c:v>
                </c:pt>
                <c:pt idx="19">
                  <c:v>0.79237500000000005</c:v>
                </c:pt>
                <c:pt idx="20">
                  <c:v>0.79</c:v>
                </c:pt>
                <c:pt idx="21">
                  <c:v>0.78762500000000002</c:v>
                </c:pt>
                <c:pt idx="22">
                  <c:v>0.78525</c:v>
                </c:pt>
                <c:pt idx="23">
                  <c:v>0.78287499999999999</c:v>
                </c:pt>
                <c:pt idx="24">
                  <c:v>0.78049999999999997</c:v>
                </c:pt>
                <c:pt idx="25">
                  <c:v>0.77812499999999996</c:v>
                </c:pt>
                <c:pt idx="26">
                  <c:v>0.77574999999999994</c:v>
                </c:pt>
                <c:pt idx="27">
                  <c:v>0.77337500000000003</c:v>
                </c:pt>
                <c:pt idx="28">
                  <c:v>0.77100000000000002</c:v>
                </c:pt>
                <c:pt idx="29">
                  <c:v>0.768625</c:v>
                </c:pt>
                <c:pt idx="30">
                  <c:v>0.76624999999999999</c:v>
                </c:pt>
                <c:pt idx="31">
                  <c:v>0.76387499999999997</c:v>
                </c:pt>
                <c:pt idx="32">
                  <c:v>0.76150000000000007</c:v>
                </c:pt>
                <c:pt idx="33">
                  <c:v>0.75912500000000005</c:v>
                </c:pt>
                <c:pt idx="34">
                  <c:v>0.75675000000000003</c:v>
                </c:pt>
                <c:pt idx="35">
                  <c:v>0.75437500000000002</c:v>
                </c:pt>
                <c:pt idx="36">
                  <c:v>0.752</c:v>
                </c:pt>
                <c:pt idx="37">
                  <c:v>0.74962499999999999</c:v>
                </c:pt>
                <c:pt idx="38">
                  <c:v>0.74725000000000008</c:v>
                </c:pt>
                <c:pt idx="39">
                  <c:v>0.74487500000000006</c:v>
                </c:pt>
                <c:pt idx="40">
                  <c:v>0.74250000000000005</c:v>
                </c:pt>
                <c:pt idx="41">
                  <c:v>0.74012500000000003</c:v>
                </c:pt>
                <c:pt idx="42">
                  <c:v>0.73775000000000002</c:v>
                </c:pt>
                <c:pt idx="43">
                  <c:v>0.73537500000000011</c:v>
                </c:pt>
                <c:pt idx="44">
                  <c:v>0.7330000000000001</c:v>
                </c:pt>
                <c:pt idx="45">
                  <c:v>0.73062500000000008</c:v>
                </c:pt>
                <c:pt idx="46">
                  <c:v>0.72825000000000006</c:v>
                </c:pt>
                <c:pt idx="47">
                  <c:v>0.72587500000000005</c:v>
                </c:pt>
                <c:pt idx="48">
                  <c:v>0.72350000000000003</c:v>
                </c:pt>
                <c:pt idx="49">
                  <c:v>0.72112500000000002</c:v>
                </c:pt>
                <c:pt idx="50">
                  <c:v>0.71875000000000011</c:v>
                </c:pt>
                <c:pt idx="51">
                  <c:v>0.7163750000000001</c:v>
                </c:pt>
                <c:pt idx="52">
                  <c:v>0.71400000000000008</c:v>
                </c:pt>
                <c:pt idx="53">
                  <c:v>0.71162500000000006</c:v>
                </c:pt>
                <c:pt idx="54">
                  <c:v>0.70925000000000005</c:v>
                </c:pt>
                <c:pt idx="55">
                  <c:v>0.70687500000000003</c:v>
                </c:pt>
                <c:pt idx="56">
                  <c:v>0.70450000000000002</c:v>
                </c:pt>
                <c:pt idx="57">
                  <c:v>0.702125</c:v>
                </c:pt>
                <c:pt idx="58">
                  <c:v>0.69974999999999998</c:v>
                </c:pt>
                <c:pt idx="59">
                  <c:v>0.69737499999999997</c:v>
                </c:pt>
                <c:pt idx="60">
                  <c:v>0.69499999999999995</c:v>
                </c:pt>
                <c:pt idx="61">
                  <c:v>0.69262500000000005</c:v>
                </c:pt>
                <c:pt idx="62">
                  <c:v>0.69025000000000003</c:v>
                </c:pt>
                <c:pt idx="63">
                  <c:v>0.68787500000000001</c:v>
                </c:pt>
                <c:pt idx="64">
                  <c:v>0.6855</c:v>
                </c:pt>
                <c:pt idx="65">
                  <c:v>0.68312499999999998</c:v>
                </c:pt>
                <c:pt idx="66">
                  <c:v>0.68075000000000008</c:v>
                </c:pt>
                <c:pt idx="67">
                  <c:v>0.67837500000000006</c:v>
                </c:pt>
                <c:pt idx="68">
                  <c:v>0.67600000000000005</c:v>
                </c:pt>
                <c:pt idx="69">
                  <c:v>0.67362500000000003</c:v>
                </c:pt>
                <c:pt idx="70">
                  <c:v>0.67125000000000001</c:v>
                </c:pt>
                <c:pt idx="71">
                  <c:v>0.668875</c:v>
                </c:pt>
                <c:pt idx="72">
                  <c:v>0.66650000000000009</c:v>
                </c:pt>
                <c:pt idx="73">
                  <c:v>0.66412500000000008</c:v>
                </c:pt>
                <c:pt idx="74">
                  <c:v>0.66175000000000006</c:v>
                </c:pt>
                <c:pt idx="75">
                  <c:v>0.65937500000000004</c:v>
                </c:pt>
                <c:pt idx="76">
                  <c:v>0.65700000000000003</c:v>
                </c:pt>
                <c:pt idx="77">
                  <c:v>0.65462500000000012</c:v>
                </c:pt>
                <c:pt idx="78">
                  <c:v>0.65225000000000011</c:v>
                </c:pt>
                <c:pt idx="79">
                  <c:v>0.64987500000000009</c:v>
                </c:pt>
                <c:pt idx="80">
                  <c:v>0.64750000000000008</c:v>
                </c:pt>
              </c:numCache>
            </c:numRef>
          </c:yVal>
          <c:smooth val="0"/>
          <c:extLst>
            <c:ext xmlns:c16="http://schemas.microsoft.com/office/drawing/2014/chart" uri="{C3380CC4-5D6E-409C-BE32-E72D297353CC}">
              <c16:uniqueId val="{00000002-F4FD-4D71-9D6C-E1F5E51A18AA}"/>
            </c:ext>
          </c:extLst>
        </c:ser>
        <c:ser>
          <c:idx val="3"/>
          <c:order val="3"/>
          <c:tx>
            <c:strRef>
              <c:f>'E-V'!$I$7</c:f>
              <c:strCache>
                <c:ptCount val="1"/>
                <c:pt idx="0">
                  <c:v>F-P/0,35</c:v>
                </c:pt>
              </c:strCache>
            </c:strRef>
          </c:tx>
          <c:spPr>
            <a:ln w="12700" cap="rnd">
              <a:solidFill>
                <a:schemeClr val="accent1"/>
              </a:solidFill>
              <a:prstDash val="sysDash"/>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'E-V'!$I$8:$I$88</c:f>
              <c:numCache>
                <c:formatCode>0.0\ %</c:formatCode>
                <c:ptCount val="81"/>
                <c:pt idx="0">
                  <c:v>1</c:v>
                </c:pt>
                <c:pt idx="1">
                  <c:v>0.99185714285714288</c:v>
                </c:pt>
                <c:pt idx="2">
                  <c:v>0.98371428571428576</c:v>
                </c:pt>
                <c:pt idx="3">
                  <c:v>0.97557142857142853</c:v>
                </c:pt>
                <c:pt idx="4">
                  <c:v>0.96742857142857142</c:v>
                </c:pt>
                <c:pt idx="5">
                  <c:v>0.9592857142857143</c:v>
                </c:pt>
                <c:pt idx="6">
                  <c:v>0.95114285714285718</c:v>
                </c:pt>
                <c:pt idx="7">
                  <c:v>0.94299999999999995</c:v>
                </c:pt>
                <c:pt idx="8">
                  <c:v>0.93485714285714283</c:v>
                </c:pt>
                <c:pt idx="9">
                  <c:v>0.92671428571428571</c:v>
                </c:pt>
                <c:pt idx="10">
                  <c:v>0.91857142857142859</c:v>
                </c:pt>
                <c:pt idx="11">
                  <c:v>0.91042857142857148</c:v>
                </c:pt>
                <c:pt idx="12">
                  <c:v>0.90228571428571436</c:v>
                </c:pt>
                <c:pt idx="13">
                  <c:v>0.89414285714285713</c:v>
                </c:pt>
                <c:pt idx="14">
                  <c:v>0.88600000000000001</c:v>
                </c:pt>
                <c:pt idx="15">
                  <c:v>0.87785714285714289</c:v>
                </c:pt>
                <c:pt idx="16">
                  <c:v>0.86971428571428566</c:v>
                </c:pt>
                <c:pt idx="17">
                  <c:v>0.86157142857142854</c:v>
                </c:pt>
                <c:pt idx="18">
                  <c:v>0.85342857142857143</c:v>
                </c:pt>
                <c:pt idx="19">
                  <c:v>0.84528571428571431</c:v>
                </c:pt>
                <c:pt idx="20">
                  <c:v>0.83714285714285719</c:v>
                </c:pt>
                <c:pt idx="21">
                  <c:v>0.82899999999999996</c:v>
                </c:pt>
                <c:pt idx="22">
                  <c:v>0.82085714285714284</c:v>
                </c:pt>
                <c:pt idx="23">
                  <c:v>0.81271428571428572</c:v>
                </c:pt>
                <c:pt idx="24">
                  <c:v>0.8045714285714286</c:v>
                </c:pt>
                <c:pt idx="25">
                  <c:v>0.79642857142857149</c:v>
                </c:pt>
                <c:pt idx="26">
                  <c:v>0.78828571428571426</c:v>
                </c:pt>
                <c:pt idx="27">
                  <c:v>0.78014285714285714</c:v>
                </c:pt>
                <c:pt idx="28">
                  <c:v>0.77200000000000002</c:v>
                </c:pt>
                <c:pt idx="29">
                  <c:v>0.7638571428571429</c:v>
                </c:pt>
                <c:pt idx="30">
                  <c:v>0.75571428571428578</c:v>
                </c:pt>
                <c:pt idx="31">
                  <c:v>0.74757142857142855</c:v>
                </c:pt>
                <c:pt idx="32">
                  <c:v>0.73942857142857144</c:v>
                </c:pt>
                <c:pt idx="33">
                  <c:v>0.73128571428571432</c:v>
                </c:pt>
                <c:pt idx="34">
                  <c:v>0.72314285714285709</c:v>
                </c:pt>
                <c:pt idx="35">
                  <c:v>0.71500000000000008</c:v>
                </c:pt>
                <c:pt idx="36">
                  <c:v>0.70685714285714285</c:v>
                </c:pt>
                <c:pt idx="37">
                  <c:v>0.69871428571428573</c:v>
                </c:pt>
                <c:pt idx="38">
                  <c:v>0.69057142857142861</c:v>
                </c:pt>
                <c:pt idx="39">
                  <c:v>0.68242857142857138</c:v>
                </c:pt>
                <c:pt idx="40">
                  <c:v>0.67428571428571427</c:v>
                </c:pt>
                <c:pt idx="41">
                  <c:v>0.66614285714285715</c:v>
                </c:pt>
                <c:pt idx="42">
                  <c:v>0.65800000000000003</c:v>
                </c:pt>
                <c:pt idx="43">
                  <c:v>0.64985714285714291</c:v>
                </c:pt>
                <c:pt idx="44">
                  <c:v>0.64171428571428568</c:v>
                </c:pt>
                <c:pt idx="45">
                  <c:v>0.63357142857142856</c:v>
                </c:pt>
                <c:pt idx="46">
                  <c:v>0.62542857142857144</c:v>
                </c:pt>
                <c:pt idx="47">
                  <c:v>0.61728571428571433</c:v>
                </c:pt>
                <c:pt idx="48">
                  <c:v>0.60914285714285721</c:v>
                </c:pt>
                <c:pt idx="49">
                  <c:v>0.60099999999999998</c:v>
                </c:pt>
                <c:pt idx="50">
                  <c:v>0.59285714285714286</c:v>
                </c:pt>
                <c:pt idx="51">
                  <c:v>0.58471428571428574</c:v>
                </c:pt>
                <c:pt idx="52">
                  <c:v>0.57657142857142851</c:v>
                </c:pt>
                <c:pt idx="53">
                  <c:v>0.56842857142857151</c:v>
                </c:pt>
                <c:pt idx="54">
                  <c:v>0.56028571428571428</c:v>
                </c:pt>
                <c:pt idx="55">
                  <c:v>0.55214285714285705</c:v>
                </c:pt>
                <c:pt idx="56">
                  <c:v>0.54400000000000004</c:v>
                </c:pt>
                <c:pt idx="57">
                  <c:v>0.53585714285714281</c:v>
                </c:pt>
                <c:pt idx="58">
                  <c:v>0.5277142857142858</c:v>
                </c:pt>
                <c:pt idx="59">
                  <c:v>0.51957142857142857</c:v>
                </c:pt>
                <c:pt idx="60">
                  <c:v>0.51142857142857145</c:v>
                </c:pt>
                <c:pt idx="61">
                  <c:v>0.50328571428571434</c:v>
                </c:pt>
                <c:pt idx="62">
                  <c:v>0.49514285714285711</c:v>
                </c:pt>
                <c:pt idx="63">
                  <c:v>0.48699999999999999</c:v>
                </c:pt>
                <c:pt idx="64">
                  <c:v>0.47885714285714287</c:v>
                </c:pt>
                <c:pt idx="65">
                  <c:v>0.47071428571428564</c:v>
                </c:pt>
                <c:pt idx="66">
                  <c:v>0.46257142857142852</c:v>
                </c:pt>
                <c:pt idx="67">
                  <c:v>0.4544285714285714</c:v>
                </c:pt>
                <c:pt idx="68">
                  <c:v>0.44628571428571429</c:v>
                </c:pt>
                <c:pt idx="69">
                  <c:v>0.43814285714285717</c:v>
                </c:pt>
                <c:pt idx="70">
                  <c:v>0.43000000000000005</c:v>
                </c:pt>
                <c:pt idx="71">
                  <c:v>0.42185714285714293</c:v>
                </c:pt>
                <c:pt idx="72">
                  <c:v>0.41371428571428581</c:v>
                </c:pt>
                <c:pt idx="73">
                  <c:v>0.40557142857142858</c:v>
                </c:pt>
                <c:pt idx="74">
                  <c:v>0.39742857142857146</c:v>
                </c:pt>
                <c:pt idx="75">
                  <c:v>0.38928571428571423</c:v>
                </c:pt>
                <c:pt idx="76">
                  <c:v>0.38114285714285712</c:v>
                </c:pt>
                <c:pt idx="77">
                  <c:v>0.373</c:v>
                </c:pt>
                <c:pt idx="78">
                  <c:v>0.36485714285714277</c:v>
                </c:pt>
                <c:pt idx="79">
                  <c:v>0.35671428571428565</c:v>
                </c:pt>
                <c:pt idx="80">
                  <c:v>0.34857142857142853</c:v>
                </c:pt>
              </c:numCache>
            </c:numRef>
          </c:yVal>
          <c:smooth val="0"/>
          <c:extLst>
            <c:ext xmlns:c16="http://schemas.microsoft.com/office/drawing/2014/chart" uri="{C3380CC4-5D6E-409C-BE32-E72D297353CC}">
              <c16:uniqueId val="{00000003-F4FD-4D71-9D6C-E1F5E51A18AA}"/>
            </c:ext>
          </c:extLst>
        </c:ser>
        <c:ser>
          <c:idx val="4"/>
          <c:order val="4"/>
          <c:tx>
            <c:strRef>
              <c:f>'E-V'!$D$7</c:f>
              <c:strCache>
                <c:ptCount val="1"/>
                <c:pt idx="0">
                  <c:v>Fel: E-formel</c:v>
                </c:pt>
              </c:strCache>
            </c:strRef>
          </c:tx>
          <c:spPr>
            <a:ln w="28575" cap="rnd">
              <a:solidFill>
                <a:schemeClr val="accent1"/>
              </a:solidFill>
              <a:prstDash val="sysDash"/>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'E-V'!$D$8:$D$88</c:f>
              <c:numCache>
                <c:formatCode>0.0\ %</c:formatCode>
                <c:ptCount val="81"/>
                <c:pt idx="0">
                  <c:v>0</c:v>
                </c:pt>
                <c:pt idx="1">
                  <c:v>4.2537313432835814E-3</c:v>
                </c:pt>
                <c:pt idx="2">
                  <c:v>8.5074626865671629E-3</c:v>
                </c:pt>
                <c:pt idx="3">
                  <c:v>1.2761194029850743E-2</c:v>
                </c:pt>
                <c:pt idx="4">
                  <c:v>1.7014925373134326E-2</c:v>
                </c:pt>
                <c:pt idx="5">
                  <c:v>2.1268656716417908E-2</c:v>
                </c:pt>
                <c:pt idx="6">
                  <c:v>2.5522388059701487E-2</c:v>
                </c:pt>
                <c:pt idx="7">
                  <c:v>2.9776119402985073E-2</c:v>
                </c:pt>
                <c:pt idx="8">
                  <c:v>3.4029850746268651E-2</c:v>
                </c:pt>
                <c:pt idx="9">
                  <c:v>3.828358208955223E-2</c:v>
                </c:pt>
                <c:pt idx="10">
                  <c:v>4.2537313432835816E-2</c:v>
                </c:pt>
                <c:pt idx="11">
                  <c:v>4.6791044776119395E-2</c:v>
                </c:pt>
                <c:pt idx="12">
                  <c:v>5.1044776119402974E-2</c:v>
                </c:pt>
                <c:pt idx="13">
                  <c:v>5.5298507462686566E-2</c:v>
                </c:pt>
                <c:pt idx="14">
                  <c:v>5.9552238805970145E-2</c:v>
                </c:pt>
                <c:pt idx="15">
                  <c:v>6.3805970149253724E-2</c:v>
                </c:pt>
                <c:pt idx="16">
                  <c:v>6.8059701492537303E-2</c:v>
                </c:pt>
                <c:pt idx="17">
                  <c:v>7.2313432835820896E-2</c:v>
                </c:pt>
                <c:pt idx="18">
                  <c:v>7.656716417910446E-2</c:v>
                </c:pt>
                <c:pt idx="19">
                  <c:v>8.0820895522388053E-2</c:v>
                </c:pt>
                <c:pt idx="20">
                  <c:v>8.5074626865671632E-2</c:v>
                </c:pt>
                <c:pt idx="21">
                  <c:v>8.9328358208955211E-2</c:v>
                </c:pt>
                <c:pt idx="22">
                  <c:v>9.358208955223879E-2</c:v>
                </c:pt>
                <c:pt idx="23">
                  <c:v>9.7835820895522382E-2</c:v>
                </c:pt>
                <c:pt idx="24">
                  <c:v>0.10208955223880595</c:v>
                </c:pt>
                <c:pt idx="25">
                  <c:v>0.10634328358208954</c:v>
                </c:pt>
                <c:pt idx="26">
                  <c:v>0.11059701492537313</c:v>
                </c:pt>
                <c:pt idx="27">
                  <c:v>0.11485074626865671</c:v>
                </c:pt>
                <c:pt idx="28">
                  <c:v>0.11910447761194029</c:v>
                </c:pt>
                <c:pt idx="29">
                  <c:v>0.12335820895522386</c:v>
                </c:pt>
                <c:pt idx="30">
                  <c:v>0.12761194029850745</c:v>
                </c:pt>
                <c:pt idx="31">
                  <c:v>0.13186567164179103</c:v>
                </c:pt>
                <c:pt idx="32">
                  <c:v>0.13611940298507461</c:v>
                </c:pt>
                <c:pt idx="33">
                  <c:v>0.14037313432835818</c:v>
                </c:pt>
                <c:pt idx="34">
                  <c:v>0.14462686567164179</c:v>
                </c:pt>
                <c:pt idx="35">
                  <c:v>0.14888059701492534</c:v>
                </c:pt>
                <c:pt idx="36">
                  <c:v>0.15313432835820892</c:v>
                </c:pt>
                <c:pt idx="37">
                  <c:v>0.1573880597014925</c:v>
                </c:pt>
                <c:pt idx="38">
                  <c:v>0.16164179104477611</c:v>
                </c:pt>
                <c:pt idx="39">
                  <c:v>0.16589552238805969</c:v>
                </c:pt>
                <c:pt idx="40">
                  <c:v>0.17014925373134326</c:v>
                </c:pt>
                <c:pt idx="41">
                  <c:v>0.17440298507462682</c:v>
                </c:pt>
                <c:pt idx="42">
                  <c:v>0.17865671641791042</c:v>
                </c:pt>
                <c:pt idx="43">
                  <c:v>0.182910447761194</c:v>
                </c:pt>
                <c:pt idx="44">
                  <c:v>0.18716417910447758</c:v>
                </c:pt>
                <c:pt idx="45">
                  <c:v>0.19141791044776119</c:v>
                </c:pt>
                <c:pt idx="46">
                  <c:v>0.19567164179104476</c:v>
                </c:pt>
                <c:pt idx="47">
                  <c:v>0.19992537313432832</c:v>
                </c:pt>
                <c:pt idx="48">
                  <c:v>0.20417910447761189</c:v>
                </c:pt>
                <c:pt idx="49">
                  <c:v>0.2084328358208955</c:v>
                </c:pt>
                <c:pt idx="50">
                  <c:v>0.21268656716417908</c:v>
                </c:pt>
                <c:pt idx="51">
                  <c:v>0.21694029850746263</c:v>
                </c:pt>
                <c:pt idx="52">
                  <c:v>0.22119402985074627</c:v>
                </c:pt>
                <c:pt idx="53">
                  <c:v>0.22544776119402982</c:v>
                </c:pt>
                <c:pt idx="54">
                  <c:v>0.22970149253731342</c:v>
                </c:pt>
                <c:pt idx="55">
                  <c:v>0.233955223880597</c:v>
                </c:pt>
                <c:pt idx="56">
                  <c:v>0.23820895522388058</c:v>
                </c:pt>
                <c:pt idx="57">
                  <c:v>0.24246268656716413</c:v>
                </c:pt>
                <c:pt idx="58">
                  <c:v>0.24671641791044771</c:v>
                </c:pt>
                <c:pt idx="59">
                  <c:v>0.25097014925373129</c:v>
                </c:pt>
                <c:pt idx="60">
                  <c:v>0.2552238805970149</c:v>
                </c:pt>
                <c:pt idx="61">
                  <c:v>0.25947761194029845</c:v>
                </c:pt>
                <c:pt idx="62">
                  <c:v>0.26373134328358205</c:v>
                </c:pt>
                <c:pt idx="63">
                  <c:v>0.26798507462686566</c:v>
                </c:pt>
                <c:pt idx="64">
                  <c:v>0.27223880597014921</c:v>
                </c:pt>
                <c:pt idx="65">
                  <c:v>0.27649253731343282</c:v>
                </c:pt>
                <c:pt idx="66">
                  <c:v>0.28074626865671637</c:v>
                </c:pt>
                <c:pt idx="67">
                  <c:v>0.28499999999999998</c:v>
                </c:pt>
                <c:pt idx="68">
                  <c:v>0.28925373134328358</c:v>
                </c:pt>
                <c:pt idx="69">
                  <c:v>0.29350746268656708</c:v>
                </c:pt>
                <c:pt idx="70">
                  <c:v>0.29776119402985068</c:v>
                </c:pt>
                <c:pt idx="71">
                  <c:v>0.30201492537313429</c:v>
                </c:pt>
                <c:pt idx="72">
                  <c:v>0.30626865671641784</c:v>
                </c:pt>
                <c:pt idx="73">
                  <c:v>0.31052238805970145</c:v>
                </c:pt>
                <c:pt idx="74">
                  <c:v>0.314776119402985</c:v>
                </c:pt>
                <c:pt idx="75">
                  <c:v>0.31902985074626861</c:v>
                </c:pt>
                <c:pt idx="76">
                  <c:v>0.32328358208955221</c:v>
                </c:pt>
                <c:pt idx="77">
                  <c:v>0.32753731343283576</c:v>
                </c:pt>
                <c:pt idx="78">
                  <c:v>0.33179104477611937</c:v>
                </c:pt>
                <c:pt idx="79">
                  <c:v>0.33604477611940292</c:v>
                </c:pt>
                <c:pt idx="80">
                  <c:v>0.34029850746268653</c:v>
                </c:pt>
              </c:numCache>
            </c:numRef>
          </c:yVal>
          <c:smooth val="0"/>
          <c:extLst>
            <c:ext xmlns:c16="http://schemas.microsoft.com/office/drawing/2014/chart" uri="{C3380CC4-5D6E-409C-BE32-E72D297353CC}">
              <c16:uniqueId val="{00000005-F4FD-4D71-9D6C-E1F5E51A18AA}"/>
            </c:ext>
          </c:extLst>
        </c:ser>
        <c:ser>
          <c:idx val="5"/>
          <c:order val="5"/>
          <c:tx>
            <c:strRef>
              <c:f>'E-V'!$E$7</c:f>
              <c:strCache>
                <c:ptCount val="1"/>
                <c:pt idx="0">
                  <c:v>Fel: V-formel</c:v>
                </c:pt>
              </c:strCache>
            </c:strRef>
          </c:tx>
          <c:spPr>
            <a:ln w="28575" cap="rnd">
              <a:solidFill>
                <a:schemeClr val="accent2"/>
              </a:solidFill>
              <a:prstDash val="sysDash"/>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'E-V'!$E$8:$E$88</c:f>
              <c:numCache>
                <c:formatCode>0.0\ %</c:formatCode>
                <c:ptCount val="81"/>
                <c:pt idx="0">
                  <c:v>0</c:v>
                </c:pt>
                <c:pt idx="1">
                  <c:v>8.1428571428571427E-3</c:v>
                </c:pt>
                <c:pt idx="2">
                  <c:v>1.6285714285714285E-2</c:v>
                </c:pt>
                <c:pt idx="3">
                  <c:v>2.4428571428571424E-2</c:v>
                </c:pt>
                <c:pt idx="4">
                  <c:v>3.2571428571428571E-2</c:v>
                </c:pt>
                <c:pt idx="5">
                  <c:v>4.0714285714285717E-2</c:v>
                </c:pt>
                <c:pt idx="6">
                  <c:v>4.8857142857142849E-2</c:v>
                </c:pt>
                <c:pt idx="7">
                  <c:v>5.7000000000000002E-2</c:v>
                </c:pt>
                <c:pt idx="8">
                  <c:v>6.5142857142857141E-2</c:v>
                </c:pt>
                <c:pt idx="9">
                  <c:v>7.3285714285714273E-2</c:v>
                </c:pt>
                <c:pt idx="10">
                  <c:v>8.1428571428571433E-2</c:v>
                </c:pt>
                <c:pt idx="11">
                  <c:v>8.9571428571428566E-2</c:v>
                </c:pt>
                <c:pt idx="12">
                  <c:v>9.7714285714285698E-2</c:v>
                </c:pt>
                <c:pt idx="13">
                  <c:v>0.10585714285714286</c:v>
                </c:pt>
                <c:pt idx="14">
                  <c:v>0.114</c:v>
                </c:pt>
                <c:pt idx="15">
                  <c:v>0.12214285714285714</c:v>
                </c:pt>
                <c:pt idx="16">
                  <c:v>0.13028571428571428</c:v>
                </c:pt>
                <c:pt idx="17">
                  <c:v>0.13842857142857143</c:v>
                </c:pt>
                <c:pt idx="18">
                  <c:v>0.14657142857142855</c:v>
                </c:pt>
                <c:pt idx="19">
                  <c:v>0.15471428571428572</c:v>
                </c:pt>
                <c:pt idx="20">
                  <c:v>0.16285714285714287</c:v>
                </c:pt>
                <c:pt idx="21">
                  <c:v>0.17099999999999999</c:v>
                </c:pt>
                <c:pt idx="22">
                  <c:v>0.17914285714285713</c:v>
                </c:pt>
                <c:pt idx="23">
                  <c:v>0.18728571428571428</c:v>
                </c:pt>
                <c:pt idx="24">
                  <c:v>0.1954285714285714</c:v>
                </c:pt>
                <c:pt idx="25">
                  <c:v>0.20357142857142857</c:v>
                </c:pt>
                <c:pt idx="26">
                  <c:v>0.21171428571428572</c:v>
                </c:pt>
                <c:pt idx="27">
                  <c:v>0.21985714285714289</c:v>
                </c:pt>
                <c:pt idx="28">
                  <c:v>0.22800000000000001</c:v>
                </c:pt>
                <c:pt idx="29">
                  <c:v>0.231375</c:v>
                </c:pt>
                <c:pt idx="30">
                  <c:v>0.23375000000000001</c:v>
                </c:pt>
                <c:pt idx="31">
                  <c:v>0.23612500000000003</c:v>
                </c:pt>
                <c:pt idx="32">
                  <c:v>0.23849999999999993</c:v>
                </c:pt>
                <c:pt idx="33">
                  <c:v>0.24087499999999995</c:v>
                </c:pt>
                <c:pt idx="34">
                  <c:v>0.24324999999999997</c:v>
                </c:pt>
                <c:pt idx="35">
                  <c:v>0.24562499999999998</c:v>
                </c:pt>
                <c:pt idx="36">
                  <c:v>0.248</c:v>
                </c:pt>
                <c:pt idx="37">
                  <c:v>0.25037500000000001</c:v>
                </c:pt>
                <c:pt idx="38">
                  <c:v>0.25274999999999992</c:v>
                </c:pt>
                <c:pt idx="39">
                  <c:v>0.25512499999999994</c:v>
                </c:pt>
                <c:pt idx="40">
                  <c:v>0.25749999999999995</c:v>
                </c:pt>
                <c:pt idx="41">
                  <c:v>0.25987499999999997</c:v>
                </c:pt>
                <c:pt idx="42">
                  <c:v>0.26224999999999998</c:v>
                </c:pt>
                <c:pt idx="43">
                  <c:v>0.26462499999999989</c:v>
                </c:pt>
                <c:pt idx="44">
                  <c:v>0.2669999999999999</c:v>
                </c:pt>
                <c:pt idx="45">
                  <c:v>0.26937499999999992</c:v>
                </c:pt>
                <c:pt idx="46">
                  <c:v>0.27174999999999994</c:v>
                </c:pt>
                <c:pt idx="47">
                  <c:v>0.27412499999999995</c:v>
                </c:pt>
                <c:pt idx="48">
                  <c:v>0.27649999999999997</c:v>
                </c:pt>
                <c:pt idx="49">
                  <c:v>0.27887499999999998</c:v>
                </c:pt>
                <c:pt idx="50">
                  <c:v>0.28124999999999989</c:v>
                </c:pt>
                <c:pt idx="51">
                  <c:v>0.2836249999999999</c:v>
                </c:pt>
                <c:pt idx="52">
                  <c:v>0.28599999999999992</c:v>
                </c:pt>
                <c:pt idx="53">
                  <c:v>0.28837499999999994</c:v>
                </c:pt>
                <c:pt idx="54">
                  <c:v>0.29074999999999995</c:v>
                </c:pt>
                <c:pt idx="55">
                  <c:v>0.29312499999999997</c:v>
                </c:pt>
                <c:pt idx="56">
                  <c:v>0.29549999999999998</c:v>
                </c:pt>
                <c:pt idx="57">
                  <c:v>0.297875</c:v>
                </c:pt>
                <c:pt idx="58">
                  <c:v>0.30025000000000002</c:v>
                </c:pt>
                <c:pt idx="59">
                  <c:v>0.30262500000000003</c:v>
                </c:pt>
                <c:pt idx="60">
                  <c:v>0.30500000000000005</c:v>
                </c:pt>
                <c:pt idx="61">
                  <c:v>0.30737499999999995</c:v>
                </c:pt>
                <c:pt idx="62">
                  <c:v>0.30974999999999997</c:v>
                </c:pt>
                <c:pt idx="63">
                  <c:v>0.31212499999999999</c:v>
                </c:pt>
                <c:pt idx="64">
                  <c:v>0.3145</c:v>
                </c:pt>
                <c:pt idx="65">
                  <c:v>0.31687500000000002</c:v>
                </c:pt>
                <c:pt idx="66">
                  <c:v>0.31924999999999992</c:v>
                </c:pt>
                <c:pt idx="67">
                  <c:v>0.32162499999999994</c:v>
                </c:pt>
                <c:pt idx="68">
                  <c:v>0.32399999999999995</c:v>
                </c:pt>
                <c:pt idx="69">
                  <c:v>0.32637499999999997</c:v>
                </c:pt>
                <c:pt idx="70">
                  <c:v>0.32874999999999999</c:v>
                </c:pt>
                <c:pt idx="71">
                  <c:v>0.331125</c:v>
                </c:pt>
                <c:pt idx="72">
                  <c:v>0.33349999999999991</c:v>
                </c:pt>
                <c:pt idx="73">
                  <c:v>0.33587499999999992</c:v>
                </c:pt>
                <c:pt idx="74">
                  <c:v>0.33824999999999994</c:v>
                </c:pt>
                <c:pt idx="75">
                  <c:v>0.34062499999999996</c:v>
                </c:pt>
                <c:pt idx="76">
                  <c:v>0.34299999999999997</c:v>
                </c:pt>
                <c:pt idx="77">
                  <c:v>0.34537499999999988</c:v>
                </c:pt>
                <c:pt idx="78">
                  <c:v>0.34774999999999989</c:v>
                </c:pt>
                <c:pt idx="79">
                  <c:v>0.35012499999999991</c:v>
                </c:pt>
                <c:pt idx="80">
                  <c:v>0.35249999999999992</c:v>
                </c:pt>
              </c:numCache>
            </c:numRef>
          </c:yVal>
          <c:smooth val="0"/>
          <c:extLst>
            <c:ext xmlns:c16="http://schemas.microsoft.com/office/drawing/2014/chart" uri="{C3380CC4-5D6E-409C-BE32-E72D297353CC}">
              <c16:uniqueId val="{00000006-F4FD-4D71-9D6C-E1F5E51A18AA}"/>
            </c:ext>
          </c:extLst>
        </c:ser>
        <c:dLbls>
          <c:showLegendKey val="0"/>
          <c:showVal val="0"/>
          <c:showCatName val="0"/>
          <c:showSerName val="0"/>
          <c:showPercent val="0"/>
          <c:showBubbleSize val="0"/>
        </c:dLbls>
        <c:axId val="836422432"/>
        <c:axId val="836417184"/>
      </c:scatterChart>
      <c:valAx>
        <c:axId val="836422432"/>
        <c:scaling>
          <c:orientation val="minMax"/>
          <c:max val="0.4"/>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36417184"/>
        <c:crosses val="autoZero"/>
        <c:crossBetween val="midCat"/>
      </c:valAx>
      <c:valAx>
        <c:axId val="836417184"/>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364224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da-DK" sz="1600"/>
              <a:t>Input-energi fordelt på brændselstyper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2836900264059523"/>
          <c:y val="0.11021226952291484"/>
          <c:w val="0.85127725900270468"/>
          <c:h val="0.57501390993163448"/>
        </c:manualLayout>
      </c:layout>
      <c:barChart>
        <c:barDir val="col"/>
        <c:grouping val="stacked"/>
        <c:varyColors val="0"/>
        <c:ser>
          <c:idx val="0"/>
          <c:order val="0"/>
          <c:tx>
            <c:strRef>
              <c:f>Resultater!$C$28</c:f>
              <c:strCache>
                <c:ptCount val="1"/>
                <c:pt idx="0">
                  <c:v> DepoSort </c:v>
                </c:pt>
              </c:strCache>
            </c:strRef>
          </c:tx>
          <c:spPr>
            <a:solidFill>
              <a:schemeClr val="accent1"/>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Resultater!$D$28:$O$28</c:f>
              <c:numCache>
                <c:formatCode>_-* #,##0_-;\-* #,##0_-;_-* "-"??_-;_-@_-</c:formatCode>
                <c:ptCount val="12"/>
                <c:pt idx="0">
                  <c:v>2811.7131287083421</c:v>
                </c:pt>
                <c:pt idx="1">
                  <c:v>1777.5390037083337</c:v>
                </c:pt>
                <c:pt idx="2">
                  <c:v>2812.1621287083417</c:v>
                </c:pt>
                <c:pt idx="3">
                  <c:v>1E-14</c:v>
                </c:pt>
                <c:pt idx="4">
                  <c:v>1E-14</c:v>
                </c:pt>
                <c:pt idx="5">
                  <c:v>1E-14</c:v>
                </c:pt>
                <c:pt idx="6">
                  <c:v>1E-14</c:v>
                </c:pt>
                <c:pt idx="7">
                  <c:v>1E-14</c:v>
                </c:pt>
                <c:pt idx="8">
                  <c:v>1E-14</c:v>
                </c:pt>
                <c:pt idx="9">
                  <c:v>1E-14</c:v>
                </c:pt>
                <c:pt idx="10">
                  <c:v>1691.5857388749826</c:v>
                </c:pt>
                <c:pt idx="11">
                  <c:v>1E-14</c:v>
                </c:pt>
              </c:numCache>
            </c:numRef>
          </c:val>
          <c:extLst>
            <c:ext xmlns:c16="http://schemas.microsoft.com/office/drawing/2014/chart" uri="{C3380CC4-5D6E-409C-BE32-E72D297353CC}">
              <c16:uniqueId val="{00000000-69E0-4228-AE05-34A8A76AE0AE}"/>
            </c:ext>
          </c:extLst>
        </c:ser>
        <c:ser>
          <c:idx val="1"/>
          <c:order val="1"/>
          <c:tx>
            <c:strRef>
              <c:f>Resultater!$C$29</c:f>
              <c:strCache>
                <c:ptCount val="1"/>
                <c:pt idx="0">
                  <c:v> DepoSmaat </c:v>
                </c:pt>
              </c:strCache>
            </c:strRef>
          </c:tx>
          <c:spPr>
            <a:solidFill>
              <a:schemeClr val="accent2"/>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Resultater!$D$29:$O$29</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1-69E0-4228-AE05-34A8A76AE0AE}"/>
            </c:ext>
          </c:extLst>
        </c:ser>
        <c:ser>
          <c:idx val="2"/>
          <c:order val="2"/>
          <c:tx>
            <c:strRef>
              <c:f>Resultater!$C$30</c:f>
              <c:strCache>
                <c:ptCount val="1"/>
                <c:pt idx="0">
                  <c:v> DepoNedd </c:v>
                </c:pt>
              </c:strCache>
            </c:strRef>
          </c:tx>
          <c:spPr>
            <a:solidFill>
              <a:schemeClr val="accent3"/>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Resultater!$D$30:$O$30</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2-69E0-4228-AE05-34A8A76AE0AE}"/>
            </c:ext>
          </c:extLst>
        </c:ser>
        <c:ser>
          <c:idx val="3"/>
          <c:order val="3"/>
          <c:tx>
            <c:strRef>
              <c:f>Resultater!$C$31</c:f>
              <c:strCache>
                <c:ptCount val="1"/>
                <c:pt idx="0">
                  <c:v> Dagren </c:v>
                </c:pt>
              </c:strCache>
            </c:strRef>
          </c:tx>
          <c:spPr>
            <a:solidFill>
              <a:schemeClr val="accent2">
                <a:lumMod val="60000"/>
                <a:lumOff val="4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Resultater!$D$31:$O$31</c:f>
              <c:numCache>
                <c:formatCode>_-* #,##0_-;\-* #,##0_-;_-* "-"??_-;_-@_-</c:formatCode>
                <c:ptCount val="12"/>
                <c:pt idx="0">
                  <c:v>2405.9905749999998</c:v>
                </c:pt>
                <c:pt idx="1">
                  <c:v>2404.7877000000008</c:v>
                </c:pt>
                <c:pt idx="2">
                  <c:v>2405.9905749999998</c:v>
                </c:pt>
                <c:pt idx="3">
                  <c:v>2405.75</c:v>
                </c:pt>
                <c:pt idx="4">
                  <c:v>2405.75</c:v>
                </c:pt>
                <c:pt idx="5">
                  <c:v>2405.75</c:v>
                </c:pt>
                <c:pt idx="6">
                  <c:v>2405.75</c:v>
                </c:pt>
                <c:pt idx="7">
                  <c:v>2405.75</c:v>
                </c:pt>
                <c:pt idx="8">
                  <c:v>2405.75</c:v>
                </c:pt>
                <c:pt idx="9">
                  <c:v>2405.75</c:v>
                </c:pt>
                <c:pt idx="10">
                  <c:v>2405.9905749999998</c:v>
                </c:pt>
                <c:pt idx="11">
                  <c:v>2405.9905749999998</c:v>
                </c:pt>
              </c:numCache>
            </c:numRef>
          </c:val>
          <c:extLst>
            <c:ext xmlns:c16="http://schemas.microsoft.com/office/drawing/2014/chart" uri="{C3380CC4-5D6E-409C-BE32-E72D297353CC}">
              <c16:uniqueId val="{00000003-69E0-4228-AE05-34A8A76AE0AE}"/>
            </c:ext>
          </c:extLst>
        </c:ser>
        <c:ser>
          <c:idx val="4"/>
          <c:order val="4"/>
          <c:tx>
            <c:strRef>
              <c:f>Resultater!$C$32</c:f>
              <c:strCache>
                <c:ptCount val="1"/>
                <c:pt idx="0">
                  <c:v> AndetBrand </c:v>
                </c:pt>
              </c:strCache>
            </c:strRef>
          </c:tx>
          <c:spPr>
            <a:solidFill>
              <a:schemeClr val="accent5"/>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Resultater!$D$32:$O$32</c:f>
              <c:numCache>
                <c:formatCode>_-* #,##0_-;\-* #,##0_-;_-* "-"??_-;_-@_-</c:formatCode>
                <c:ptCount val="12"/>
                <c:pt idx="0">
                  <c:v>291.69583333333333</c:v>
                </c:pt>
                <c:pt idx="1">
                  <c:v>291.6375000000001</c:v>
                </c:pt>
                <c:pt idx="2">
                  <c:v>291.66666666666669</c:v>
                </c:pt>
                <c:pt idx="3">
                  <c:v>291.66666666666669</c:v>
                </c:pt>
                <c:pt idx="4">
                  <c:v>291.66666666666669</c:v>
                </c:pt>
                <c:pt idx="5">
                  <c:v>291.66666666666669</c:v>
                </c:pt>
                <c:pt idx="6">
                  <c:v>291.66666666666669</c:v>
                </c:pt>
                <c:pt idx="7">
                  <c:v>291.66666666666669</c:v>
                </c:pt>
                <c:pt idx="8">
                  <c:v>291.66666666666669</c:v>
                </c:pt>
                <c:pt idx="9">
                  <c:v>291.66666666666669</c:v>
                </c:pt>
                <c:pt idx="10">
                  <c:v>291.66666666666669</c:v>
                </c:pt>
                <c:pt idx="11">
                  <c:v>291.66666666666669</c:v>
                </c:pt>
              </c:numCache>
            </c:numRef>
          </c:val>
          <c:extLst>
            <c:ext xmlns:c16="http://schemas.microsoft.com/office/drawing/2014/chart" uri="{C3380CC4-5D6E-409C-BE32-E72D297353CC}">
              <c16:uniqueId val="{00000004-69E0-4228-AE05-34A8A76AE0AE}"/>
            </c:ext>
          </c:extLst>
        </c:ser>
        <c:ser>
          <c:idx val="5"/>
          <c:order val="5"/>
          <c:tx>
            <c:strRef>
              <c:f>Resultater!$C$33</c:f>
              <c:strCache>
                <c:ptCount val="1"/>
                <c:pt idx="0">
                  <c:v> Trae </c:v>
                </c:pt>
              </c:strCache>
            </c:strRef>
          </c:tx>
          <c:spPr>
            <a:solidFill>
              <a:schemeClr val="accent6"/>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Resultater!$D$33:$O$33</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5-69E0-4228-AE05-34A8A76AE0AE}"/>
            </c:ext>
          </c:extLst>
        </c:ser>
        <c:ser>
          <c:idx val="6"/>
          <c:order val="6"/>
          <c:tx>
            <c:strRef>
              <c:f>Resultater!$C$34</c:f>
              <c:strCache>
                <c:ptCount val="1"/>
                <c:pt idx="0">
                  <c:v> DagrenRast </c:v>
                </c:pt>
              </c:strCache>
            </c:strRef>
          </c:tx>
          <c:spPr>
            <a:solidFill>
              <a:srgbClr val="FFFF66"/>
            </a:solidFill>
            <a:ln>
              <a:solidFill>
                <a:schemeClr val="bg1">
                  <a:lumMod val="85000"/>
                </a:schemeClr>
              </a:solid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Resultater!$D$34:$O$34</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6-69E0-4228-AE05-34A8A76AE0AE}"/>
            </c:ext>
          </c:extLst>
        </c:ser>
        <c:ser>
          <c:idx val="7"/>
          <c:order val="7"/>
          <c:tx>
            <c:strRef>
              <c:f>Resultater!$C$35</c:f>
              <c:strCache>
                <c:ptCount val="1"/>
                <c:pt idx="0">
                  <c:v> DagrenInst </c:v>
                </c:pt>
              </c:strCache>
            </c:strRef>
          </c:tx>
          <c:spPr>
            <a:solidFill>
              <a:schemeClr val="accent2">
                <a:lumMod val="6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Resultater!$D$35:$O$35</c:f>
              <c:numCache>
                <c:formatCode>_-* #,##0_-;\-* #,##0_-;_-* "-"??_-;_-@_-</c:formatCode>
                <c:ptCount val="12"/>
                <c:pt idx="0">
                  <c:v>650.06499999999994</c:v>
                </c:pt>
                <c:pt idx="1">
                  <c:v>649.54500000000189</c:v>
                </c:pt>
                <c:pt idx="2">
                  <c:v>650.06499999999994</c:v>
                </c:pt>
                <c:pt idx="3">
                  <c:v>650.06499999999994</c:v>
                </c:pt>
                <c:pt idx="4">
                  <c:v>650.06499999999994</c:v>
                </c:pt>
                <c:pt idx="5">
                  <c:v>650</c:v>
                </c:pt>
                <c:pt idx="6">
                  <c:v>650</c:v>
                </c:pt>
                <c:pt idx="7">
                  <c:v>650</c:v>
                </c:pt>
                <c:pt idx="8">
                  <c:v>650</c:v>
                </c:pt>
                <c:pt idx="9">
                  <c:v>650.06499999999994</c:v>
                </c:pt>
                <c:pt idx="10">
                  <c:v>650.06499999999994</c:v>
                </c:pt>
                <c:pt idx="11">
                  <c:v>650.06499999999994</c:v>
                </c:pt>
              </c:numCache>
            </c:numRef>
          </c:val>
          <c:extLst>
            <c:ext xmlns:c16="http://schemas.microsoft.com/office/drawing/2014/chart" uri="{C3380CC4-5D6E-409C-BE32-E72D297353CC}">
              <c16:uniqueId val="{00000007-69E0-4228-AE05-34A8A76AE0AE}"/>
            </c:ext>
          </c:extLst>
        </c:ser>
        <c:ser>
          <c:idx val="8"/>
          <c:order val="8"/>
          <c:tx>
            <c:strRef>
              <c:f>Resultater!$C$36</c:f>
              <c:strCache>
                <c:ptCount val="1"/>
                <c:pt idx="0">
                  <c:v> DagrenHandel </c:v>
                </c:pt>
              </c:strCache>
            </c:strRef>
          </c:tx>
          <c:spPr>
            <a:solidFill>
              <a:schemeClr val="accent3">
                <a:lumMod val="6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Resultater!$D$36:$O$36</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8-69E0-4228-AE05-34A8A76AE0AE}"/>
            </c:ext>
          </c:extLst>
        </c:ser>
        <c:ser>
          <c:idx val="9"/>
          <c:order val="9"/>
          <c:tx>
            <c:strRef>
              <c:f>Resultater!$C$37</c:f>
              <c:strCache>
                <c:ptCount val="1"/>
                <c:pt idx="0">
                  <c:v> DagrenRestau </c:v>
                </c:pt>
              </c:strCache>
            </c:strRef>
          </c:tx>
          <c:spPr>
            <a:solidFill>
              <a:schemeClr val="accent4">
                <a:lumMod val="6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Resultater!$D$37:$O$37</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9-69E0-4228-AE05-34A8A76AE0AE}"/>
            </c:ext>
          </c:extLst>
        </c:ser>
        <c:ser>
          <c:idx val="10"/>
          <c:order val="10"/>
          <c:tx>
            <c:strRef>
              <c:f>Resultater!$C$38</c:f>
              <c:strCache>
                <c:ptCount val="1"/>
                <c:pt idx="0">
                  <c:v> Erhverv </c:v>
                </c:pt>
              </c:strCache>
            </c:strRef>
          </c:tx>
          <c:spPr>
            <a:solidFill>
              <a:schemeClr val="accent5">
                <a:lumMod val="6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Resultater!$D$38:$O$38</c:f>
              <c:numCache>
                <c:formatCode>_-* #,##0_-;\-* #,##0_-;_-* "-"??_-;_-@_-</c:formatCode>
                <c:ptCount val="12"/>
                <c:pt idx="0">
                  <c:v>1E-14</c:v>
                </c:pt>
                <c:pt idx="1">
                  <c:v>1E-14</c:v>
                </c:pt>
                <c:pt idx="2">
                  <c:v>1E-14</c:v>
                </c:pt>
                <c:pt idx="3">
                  <c:v>2154.090866577109</c:v>
                </c:pt>
                <c:pt idx="4">
                  <c:v>245.70194350018937</c:v>
                </c:pt>
                <c:pt idx="5">
                  <c:v>1E-14</c:v>
                </c:pt>
                <c:pt idx="6">
                  <c:v>1E-14</c:v>
                </c:pt>
                <c:pt idx="7">
                  <c:v>1E-14</c:v>
                </c:pt>
                <c:pt idx="8">
                  <c:v>1E-14</c:v>
                </c:pt>
                <c:pt idx="9">
                  <c:v>863.06867138100085</c:v>
                </c:pt>
                <c:pt idx="10">
                  <c:v>774.97638983335946</c:v>
                </c:pt>
                <c:pt idx="11">
                  <c:v>1162.1621287083412</c:v>
                </c:pt>
              </c:numCache>
            </c:numRef>
          </c:val>
          <c:extLst>
            <c:ext xmlns:c16="http://schemas.microsoft.com/office/drawing/2014/chart" uri="{C3380CC4-5D6E-409C-BE32-E72D297353CC}">
              <c16:uniqueId val="{0000000A-69E0-4228-AE05-34A8A76AE0AE}"/>
            </c:ext>
          </c:extLst>
        </c:ser>
        <c:ser>
          <c:idx val="11"/>
          <c:order val="11"/>
          <c:tx>
            <c:strRef>
              <c:f>Resultater!$C$39</c:f>
              <c:strCache>
                <c:ptCount val="1"/>
                <c:pt idx="0">
                  <c:v> DagrenErhverv </c:v>
                </c:pt>
              </c:strCache>
            </c:strRef>
          </c:tx>
          <c:spPr>
            <a:solidFill>
              <a:schemeClr val="accent6">
                <a:lumMod val="6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Resultater!$D$39:$O$39</c:f>
              <c:numCache>
                <c:formatCode>_-* #,##0_-;\-* #,##0_-;_-* "-"??_-;_-@_-</c:formatCode>
                <c:ptCount val="12"/>
                <c:pt idx="0">
                  <c:v>41.670833333333327</c:v>
                </c:pt>
                <c:pt idx="1">
                  <c:v>41.662499999999959</c:v>
                </c:pt>
                <c:pt idx="2">
                  <c:v>41.666666666666664</c:v>
                </c:pt>
                <c:pt idx="3">
                  <c:v>41.666666666666664</c:v>
                </c:pt>
                <c:pt idx="4">
                  <c:v>41.666666666666664</c:v>
                </c:pt>
                <c:pt idx="5">
                  <c:v>41.666666666666664</c:v>
                </c:pt>
                <c:pt idx="6">
                  <c:v>41.666666666666664</c:v>
                </c:pt>
                <c:pt idx="7">
                  <c:v>41.666666666666664</c:v>
                </c:pt>
                <c:pt idx="8">
                  <c:v>41.666666666666664</c:v>
                </c:pt>
                <c:pt idx="9">
                  <c:v>41.666666666666664</c:v>
                </c:pt>
                <c:pt idx="10">
                  <c:v>41.666666666666664</c:v>
                </c:pt>
                <c:pt idx="11">
                  <c:v>41.666666666666664</c:v>
                </c:pt>
              </c:numCache>
            </c:numRef>
          </c:val>
          <c:extLst>
            <c:ext xmlns:c16="http://schemas.microsoft.com/office/drawing/2014/chart" uri="{C3380CC4-5D6E-409C-BE32-E72D297353CC}">
              <c16:uniqueId val="{0000000B-69E0-4228-AE05-34A8A76AE0AE}"/>
            </c:ext>
          </c:extLst>
        </c:ser>
        <c:ser>
          <c:idx val="12"/>
          <c:order val="12"/>
          <c:tx>
            <c:strRef>
              <c:f>Resultater!$C$40</c:f>
              <c:strCache>
                <c:ptCount val="1"/>
                <c:pt idx="0">
                  <c:v> HandelKontor </c:v>
                </c:pt>
              </c:strCache>
            </c:strRef>
          </c:tx>
          <c:spPr>
            <a:solidFill>
              <a:schemeClr val="accent6"/>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Resultater!$D$40:$O$40</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C-69E0-4228-AE05-34A8A76AE0AE}"/>
            </c:ext>
          </c:extLst>
        </c:ser>
        <c:ser>
          <c:idx val="13"/>
          <c:order val="13"/>
          <c:tx>
            <c:strRef>
              <c:f>Resultater!$C$41</c:f>
              <c:strCache>
                <c:ptCount val="1"/>
                <c:pt idx="0">
                  <c:v> Privat </c:v>
                </c:pt>
              </c:strCache>
            </c:strRef>
          </c:tx>
          <c:spPr>
            <a:solidFill>
              <a:schemeClr val="accent4"/>
            </a:solidFill>
            <a:ln>
              <a:solidFill>
                <a:schemeClr val="bg1">
                  <a:lumMod val="75000"/>
                </a:schemeClr>
              </a:solid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Resultater!$D$41:$O$41</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D-69E0-4228-AE05-34A8A76AE0AE}"/>
            </c:ext>
          </c:extLst>
        </c:ser>
        <c:ser>
          <c:idx val="14"/>
          <c:order val="14"/>
          <c:tx>
            <c:strRef>
              <c:f>Resultater!$C$42</c:f>
              <c:strCache>
                <c:ptCount val="1"/>
                <c:pt idx="0">
                  <c:v> TyskRest </c:v>
                </c:pt>
              </c:strCache>
            </c:strRef>
          </c:tx>
          <c:spPr>
            <a:solidFill>
              <a:srgbClr val="FF6699"/>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Resultater!$D$42:$O$42</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E-69E0-4228-AE05-34A8A76AE0AE}"/>
            </c:ext>
          </c:extLst>
        </c:ser>
        <c:ser>
          <c:idx val="15"/>
          <c:order val="15"/>
          <c:tx>
            <c:strRef>
              <c:f>Resultater!$C$43</c:f>
              <c:strCache>
                <c:ptCount val="1"/>
                <c:pt idx="0">
                  <c:v> PolskRest </c:v>
                </c:pt>
              </c:strCache>
            </c:strRef>
          </c:tx>
          <c:spPr>
            <a:solidFill>
              <a:schemeClr val="accent4">
                <a:lumMod val="80000"/>
                <a:lumOff val="2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Resultater!$D$43:$O$43</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F-69E0-4228-AE05-34A8A76AE0AE}"/>
            </c:ext>
          </c:extLst>
        </c:ser>
        <c:ser>
          <c:idx val="16"/>
          <c:order val="16"/>
          <c:tx>
            <c:strRef>
              <c:f>Resultater!$C$44</c:f>
              <c:strCache>
                <c:ptCount val="1"/>
                <c:pt idx="0">
                  <c:v> PcbTrae </c:v>
                </c:pt>
              </c:strCache>
            </c:strRef>
          </c:tx>
          <c:spPr>
            <a:solidFill>
              <a:schemeClr val="accent5">
                <a:lumMod val="80000"/>
                <a:lumOff val="2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Resultater!$D$44:$O$44</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10-69E0-4228-AE05-34A8A76AE0AE}"/>
            </c:ext>
          </c:extLst>
        </c:ser>
        <c:ser>
          <c:idx val="17"/>
          <c:order val="17"/>
          <c:tx>
            <c:strRef>
              <c:f>Resultater!$C$45</c:f>
              <c:strCache>
                <c:ptCount val="1"/>
                <c:pt idx="0">
                  <c:v> FlisAffald </c:v>
                </c:pt>
              </c:strCache>
            </c:strRef>
          </c:tx>
          <c:spPr>
            <a:solidFill>
              <a:schemeClr val="accent6">
                <a:lumMod val="80000"/>
                <a:lumOff val="2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Resultater!$D$45:$O$45</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150</c:v>
                </c:pt>
              </c:numCache>
            </c:numRef>
          </c:val>
          <c:extLst>
            <c:ext xmlns:c16="http://schemas.microsoft.com/office/drawing/2014/chart" uri="{C3380CC4-5D6E-409C-BE32-E72D297353CC}">
              <c16:uniqueId val="{00000011-69E0-4228-AE05-34A8A76AE0AE}"/>
            </c:ext>
          </c:extLst>
        </c:ser>
        <c:ser>
          <c:idx val="18"/>
          <c:order val="18"/>
          <c:tx>
            <c:strRef>
              <c:f>Resultater!$C$46</c:f>
              <c:strCache>
                <c:ptCount val="1"/>
                <c:pt idx="0">
                  <c:v> TraeRekv </c:v>
                </c:pt>
              </c:strCache>
            </c:strRef>
          </c:tx>
          <c:spPr>
            <a:solidFill>
              <a:schemeClr val="accent1">
                <a:lumMod val="8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Resultater!$D$46:$O$46</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1500</c:v>
                </c:pt>
              </c:numCache>
            </c:numRef>
          </c:val>
          <c:extLst>
            <c:ext xmlns:c16="http://schemas.microsoft.com/office/drawing/2014/chart" uri="{C3380CC4-5D6E-409C-BE32-E72D297353CC}">
              <c16:uniqueId val="{00000012-69E0-4228-AE05-34A8A76AE0AE}"/>
            </c:ext>
          </c:extLst>
        </c:ser>
        <c:ser>
          <c:idx val="19"/>
          <c:order val="19"/>
          <c:tx>
            <c:strRef>
              <c:f>Resultater!$C$47</c:f>
              <c:strCache>
                <c:ptCount val="1"/>
                <c:pt idx="0">
                  <c:v> Halm </c:v>
                </c:pt>
              </c:strCache>
            </c:strRef>
          </c:tx>
          <c:spPr>
            <a:solidFill>
              <a:schemeClr val="accent2">
                <a:lumMod val="8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Resultater!$D$47:$O$47</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13-69E0-4228-AE05-34A8A76AE0AE}"/>
            </c:ext>
          </c:extLst>
        </c:ser>
        <c:ser>
          <c:idx val="20"/>
          <c:order val="20"/>
          <c:tx>
            <c:strRef>
              <c:f>Resultater!$C$48</c:f>
              <c:strCache>
                <c:ptCount val="1"/>
                <c:pt idx="0">
                  <c:v> Pulver </c:v>
                </c:pt>
              </c:strCache>
            </c:strRef>
          </c:tx>
          <c:spPr>
            <a:solidFill>
              <a:schemeClr val="accent3">
                <a:lumMod val="8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Resultater!$D$48:$O$48</c:f>
              <c:numCache>
                <c:formatCode>_-* #,##0_-;\-* #,##0_-;_-* "-"??_-;_-@_-</c:formatCode>
                <c:ptCount val="12"/>
                <c:pt idx="0">
                  <c:v>10</c:v>
                </c:pt>
                <c:pt idx="1">
                  <c:v>9.9969999999999857</c:v>
                </c:pt>
                <c:pt idx="2">
                  <c:v>10.000999999999999</c:v>
                </c:pt>
                <c:pt idx="3">
                  <c:v>10</c:v>
                </c:pt>
                <c:pt idx="4">
                  <c:v>10</c:v>
                </c:pt>
                <c:pt idx="5">
                  <c:v>10</c:v>
                </c:pt>
                <c:pt idx="6">
                  <c:v>10</c:v>
                </c:pt>
                <c:pt idx="7">
                  <c:v>10</c:v>
                </c:pt>
                <c:pt idx="8">
                  <c:v>10</c:v>
                </c:pt>
                <c:pt idx="9">
                  <c:v>10</c:v>
                </c:pt>
                <c:pt idx="10">
                  <c:v>10.000999999999999</c:v>
                </c:pt>
                <c:pt idx="11">
                  <c:v>10.000999999999999</c:v>
                </c:pt>
              </c:numCache>
            </c:numRef>
          </c:val>
          <c:extLst>
            <c:ext xmlns:c16="http://schemas.microsoft.com/office/drawing/2014/chart" uri="{C3380CC4-5D6E-409C-BE32-E72D297353CC}">
              <c16:uniqueId val="{00000014-69E0-4228-AE05-34A8A76AE0AE}"/>
            </c:ext>
          </c:extLst>
        </c:ser>
        <c:ser>
          <c:idx val="21"/>
          <c:order val="21"/>
          <c:tx>
            <c:strRef>
              <c:f>Resultater!$C$49</c:f>
              <c:strCache>
                <c:ptCount val="1"/>
                <c:pt idx="0">
                  <c:v> NyAff1 </c:v>
                </c:pt>
              </c:strCache>
            </c:strRef>
          </c:tx>
          <c:spPr>
            <a:pattFill prst="dkUpDiag">
              <a:fgClr>
                <a:schemeClr val="accent2"/>
              </a:fgClr>
              <a:bgClr>
                <a:schemeClr val="bg1"/>
              </a:bgClr>
            </a:pattFill>
            <a:ln>
              <a:solidFill>
                <a:schemeClr val="bg1">
                  <a:lumMod val="85000"/>
                </a:schemeClr>
              </a:solid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Resultater!$D$49:$O$49</c:f>
              <c:numCache>
                <c:formatCode>_-* #,##0_-;\-* #,##0_-;_-* "-"??_-;_-@_-</c:formatCode>
                <c:ptCount val="12"/>
                <c:pt idx="0">
                  <c:v>4167.0833333333339</c:v>
                </c:pt>
                <c:pt idx="1">
                  <c:v>4166.2500000000045</c:v>
                </c:pt>
                <c:pt idx="2">
                  <c:v>4166.666666666667</c:v>
                </c:pt>
                <c:pt idx="3">
                  <c:v>4166.666666666667</c:v>
                </c:pt>
                <c:pt idx="4">
                  <c:v>4166.666666666667</c:v>
                </c:pt>
                <c:pt idx="5">
                  <c:v>4166.666666666667</c:v>
                </c:pt>
                <c:pt idx="6">
                  <c:v>4166.666666666667</c:v>
                </c:pt>
                <c:pt idx="7">
                  <c:v>4166.666666666667</c:v>
                </c:pt>
                <c:pt idx="8">
                  <c:v>4166.666666666667</c:v>
                </c:pt>
                <c:pt idx="9">
                  <c:v>4166.666666666667</c:v>
                </c:pt>
                <c:pt idx="10">
                  <c:v>4166.666666666667</c:v>
                </c:pt>
                <c:pt idx="11">
                  <c:v>4166.666666666667</c:v>
                </c:pt>
              </c:numCache>
            </c:numRef>
          </c:val>
          <c:extLst>
            <c:ext xmlns:c16="http://schemas.microsoft.com/office/drawing/2014/chart" uri="{C3380CC4-5D6E-409C-BE32-E72D297353CC}">
              <c16:uniqueId val="{00000015-69E0-4228-AE05-34A8A76AE0AE}"/>
            </c:ext>
          </c:extLst>
        </c:ser>
        <c:ser>
          <c:idx val="22"/>
          <c:order val="22"/>
          <c:tx>
            <c:strRef>
              <c:f>Resultater!$C$50</c:f>
              <c:strCache>
                <c:ptCount val="1"/>
                <c:pt idx="0">
                  <c:v> NyAff2 </c:v>
                </c:pt>
              </c:strCache>
            </c:strRef>
          </c:tx>
          <c:spPr>
            <a:pattFill prst="dkDnDiag">
              <a:fgClr>
                <a:schemeClr val="accent1"/>
              </a:fgClr>
              <a:bgClr>
                <a:schemeClr val="bg1"/>
              </a:bgClr>
            </a:pattFill>
            <a:ln>
              <a:solidFill>
                <a:schemeClr val="bg1">
                  <a:lumMod val="85000"/>
                </a:schemeClr>
              </a:solid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Resultater!$D$50:$O$50</c:f>
              <c:numCache>
                <c:formatCode>_-* #,##0_-;\-* #,##0_-;_-* "-"??_-;_-@_-</c:formatCode>
                <c:ptCount val="12"/>
                <c:pt idx="0">
                  <c:v>335.38129629165815</c:v>
                </c:pt>
                <c:pt idx="1">
                  <c:v>335.38129629165883</c:v>
                </c:pt>
                <c:pt idx="2">
                  <c:v>335.3812962916586</c:v>
                </c:pt>
                <c:pt idx="3">
                  <c:v>335.3812962916586</c:v>
                </c:pt>
                <c:pt idx="4">
                  <c:v>335.38129629165837</c:v>
                </c:pt>
                <c:pt idx="5">
                  <c:v>335.38129629165837</c:v>
                </c:pt>
                <c:pt idx="6">
                  <c:v>335.38129629165746</c:v>
                </c:pt>
                <c:pt idx="7">
                  <c:v>335.38129629165837</c:v>
                </c:pt>
                <c:pt idx="8">
                  <c:v>335.38129629165837</c:v>
                </c:pt>
                <c:pt idx="9">
                  <c:v>335.38129629165837</c:v>
                </c:pt>
                <c:pt idx="10">
                  <c:v>335.38129629165837</c:v>
                </c:pt>
                <c:pt idx="11">
                  <c:v>335.3812962916586</c:v>
                </c:pt>
              </c:numCache>
            </c:numRef>
          </c:val>
          <c:extLst>
            <c:ext xmlns:c16="http://schemas.microsoft.com/office/drawing/2014/chart" uri="{C3380CC4-5D6E-409C-BE32-E72D297353CC}">
              <c16:uniqueId val="{00000016-69E0-4228-AE05-34A8A76AE0AE}"/>
            </c:ext>
          </c:extLst>
        </c:ser>
        <c:ser>
          <c:idx val="23"/>
          <c:order val="23"/>
          <c:tx>
            <c:strRef>
              <c:f>Resultater!$C$51</c:f>
              <c:strCache>
                <c:ptCount val="1"/>
                <c:pt idx="0">
                  <c:v> NyAff3 </c:v>
                </c:pt>
              </c:strCache>
            </c:strRef>
          </c:tx>
          <c:spPr>
            <a:solidFill>
              <a:schemeClr val="accent6">
                <a:lumMod val="8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Resultater!$D$51:$O$51</c:f>
              <c:numCache>
                <c:formatCode>_-* #,##0_-;\-* #,##0_-;_-* "-"??_-;_-@_-</c:formatCode>
                <c:ptCount val="12"/>
              </c:numCache>
            </c:numRef>
          </c:val>
          <c:extLst>
            <c:ext xmlns:c16="http://schemas.microsoft.com/office/drawing/2014/chart" uri="{C3380CC4-5D6E-409C-BE32-E72D297353CC}">
              <c16:uniqueId val="{00000017-69E0-4228-AE05-34A8A76AE0AE}"/>
            </c:ext>
          </c:extLst>
        </c:ser>
        <c:ser>
          <c:idx val="24"/>
          <c:order val="24"/>
          <c:tx>
            <c:strRef>
              <c:f>Resultater!$C$52</c:f>
              <c:strCache>
                <c:ptCount val="1"/>
                <c:pt idx="0">
                  <c:v> NyAff4 </c:v>
                </c:pt>
              </c:strCache>
            </c:strRef>
          </c:tx>
          <c:spPr>
            <a:solidFill>
              <a:schemeClr val="accent1">
                <a:lumMod val="60000"/>
                <a:lumOff val="4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Resultater!$D$52:$O$52</c:f>
              <c:numCache>
                <c:formatCode>_-* #,##0_-;\-* #,##0_-;_-* "-"??_-;_-@_-</c:formatCode>
                <c:ptCount val="12"/>
              </c:numCache>
            </c:numRef>
          </c:val>
          <c:extLst>
            <c:ext xmlns:c16="http://schemas.microsoft.com/office/drawing/2014/chart" uri="{C3380CC4-5D6E-409C-BE32-E72D297353CC}">
              <c16:uniqueId val="{00000018-69E0-4228-AE05-34A8A76AE0AE}"/>
            </c:ext>
          </c:extLst>
        </c:ser>
        <c:ser>
          <c:idx val="25"/>
          <c:order val="25"/>
          <c:tx>
            <c:strRef>
              <c:f>Resultater!$C$53</c:f>
              <c:strCache>
                <c:ptCount val="1"/>
                <c:pt idx="0">
                  <c:v> NyAff5 </c:v>
                </c:pt>
              </c:strCache>
            </c:strRef>
          </c:tx>
          <c:spPr>
            <a:solidFill>
              <a:schemeClr val="accent2">
                <a:lumMod val="60000"/>
                <a:lumOff val="4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Resultater!$D$53:$O$53</c:f>
              <c:numCache>
                <c:formatCode>_-* #,##0_-;\-* #,##0_-;_-* "-"??_-;_-@_-</c:formatCode>
                <c:ptCount val="12"/>
              </c:numCache>
            </c:numRef>
          </c:val>
          <c:extLst>
            <c:ext xmlns:c16="http://schemas.microsoft.com/office/drawing/2014/chart" uri="{C3380CC4-5D6E-409C-BE32-E72D297353CC}">
              <c16:uniqueId val="{00000019-69E0-4228-AE05-34A8A76AE0AE}"/>
            </c:ext>
          </c:extLst>
        </c:ser>
        <c:ser>
          <c:idx val="26"/>
          <c:order val="26"/>
          <c:tx>
            <c:strRef>
              <c:f>Resultater!$C$54</c:f>
              <c:strCache>
                <c:ptCount val="1"/>
                <c:pt idx="0">
                  <c:v> Flis </c:v>
                </c:pt>
              </c:strCache>
            </c:strRef>
          </c:tx>
          <c:spPr>
            <a:solidFill>
              <a:schemeClr val="accent3">
                <a:lumMod val="60000"/>
                <a:lumOff val="4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Resultater!$D$54:$O$54</c:f>
              <c:numCache>
                <c:formatCode>_-* #,##0_-;\-* #,##0_-;_-* "-"??_-;_-@_-</c:formatCode>
                <c:ptCount val="12"/>
                <c:pt idx="0">
                  <c:v>1E-14</c:v>
                </c:pt>
                <c:pt idx="1">
                  <c:v>3179.1739674593241</c:v>
                </c:pt>
                <c:pt idx="2">
                  <c:v>2296.4714955937861</c:v>
                </c:pt>
                <c:pt idx="3">
                  <c:v>1E-14</c:v>
                </c:pt>
                <c:pt idx="4">
                  <c:v>1E-14</c:v>
                </c:pt>
                <c:pt idx="5">
                  <c:v>1E-14</c:v>
                </c:pt>
                <c:pt idx="6">
                  <c:v>1E-14</c:v>
                </c:pt>
                <c:pt idx="7">
                  <c:v>1E-14</c:v>
                </c:pt>
                <c:pt idx="8">
                  <c:v>1E-14</c:v>
                </c:pt>
                <c:pt idx="9">
                  <c:v>1E-14</c:v>
                </c:pt>
                <c:pt idx="10">
                  <c:v>1859.7048802012198</c:v>
                </c:pt>
                <c:pt idx="11">
                  <c:v>3385.4042078667194</c:v>
                </c:pt>
              </c:numCache>
            </c:numRef>
          </c:val>
          <c:extLst>
            <c:ext xmlns:c16="http://schemas.microsoft.com/office/drawing/2014/chart" uri="{C3380CC4-5D6E-409C-BE32-E72D297353CC}">
              <c16:uniqueId val="{0000001B-69E0-4228-AE05-34A8A76AE0AE}"/>
            </c:ext>
          </c:extLst>
        </c:ser>
        <c:ser>
          <c:idx val="27"/>
          <c:order val="27"/>
          <c:tx>
            <c:strRef>
              <c:f>Resultater!$C$55</c:f>
              <c:strCache>
                <c:ptCount val="1"/>
                <c:pt idx="0">
                  <c:v> NSvarme </c:v>
                </c:pt>
              </c:strCache>
            </c:strRef>
          </c:tx>
          <c:spPr>
            <a:solidFill>
              <a:schemeClr val="accent4">
                <a:lumMod val="60000"/>
                <a:lumOff val="4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Resultater!$D$55:$O$55</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1C-69E0-4228-AE05-34A8A76AE0AE}"/>
            </c:ext>
          </c:extLst>
        </c:ser>
        <c:ser>
          <c:idx val="28"/>
          <c:order val="28"/>
          <c:tx>
            <c:strRef>
              <c:f>Resultater!$C$56</c:f>
              <c:strCache>
                <c:ptCount val="1"/>
                <c:pt idx="0">
                  <c:v> PeakFuel </c:v>
                </c:pt>
              </c:strCache>
            </c:strRef>
          </c:tx>
          <c:spPr>
            <a:solidFill>
              <a:schemeClr val="accent5">
                <a:lumMod val="60000"/>
                <a:lumOff val="4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Resultater!$D$56:$O$56</c:f>
              <c:numCache>
                <c:formatCode>_-* #,##0_-;\-* #,##0_-;_-* "-"??_-;_-@_-</c:formatCode>
                <c:ptCount val="12"/>
                <c:pt idx="0">
                  <c:v>891.55622833076347</c:v>
                </c:pt>
                <c:pt idx="1">
                  <c:v>236.09286664167976</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1D-69E0-4228-AE05-34A8A76AE0AE}"/>
            </c:ext>
          </c:extLst>
        </c:ser>
        <c:dLbls>
          <c:showLegendKey val="0"/>
          <c:showVal val="0"/>
          <c:showCatName val="0"/>
          <c:showSerName val="0"/>
          <c:showPercent val="0"/>
          <c:showBubbleSize val="0"/>
        </c:dLbls>
        <c:gapWidth val="80"/>
        <c:overlap val="100"/>
        <c:axId val="903701784"/>
        <c:axId val="903694568"/>
      </c:barChart>
      <c:catAx>
        <c:axId val="903701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da-DK"/>
          </a:p>
        </c:txPr>
        <c:crossAx val="903694568"/>
        <c:crosses val="autoZero"/>
        <c:auto val="1"/>
        <c:lblAlgn val="ctr"/>
        <c:lblOffset val="100"/>
        <c:noMultiLvlLbl val="0"/>
      </c:catAx>
      <c:valAx>
        <c:axId val="9036945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ton  dog MWhq</a:t>
                </a:r>
                <a:r>
                  <a:rPr lang="da-DK" baseline="0"/>
                  <a:t> for NSvarme</a:t>
                </a:r>
                <a:endParaRPr lang="da-DK"/>
              </a:p>
            </c:rich>
          </c:tx>
          <c:layout>
            <c:manualLayout>
              <c:xMode val="edge"/>
              <c:yMode val="edge"/>
              <c:x val="1.2952378954263679E-2"/>
              <c:y val="0.2475041446496906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crossAx val="903701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da-DK" sz="1600"/>
              <a:t>Varmemængder fordelt på anlæg</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1863071699667783"/>
          <c:y val="0.13704342278373147"/>
          <c:w val="0.81935354414202144"/>
          <c:h val="0.76986088935173491"/>
        </c:manualLayout>
      </c:layout>
      <c:barChart>
        <c:barDir val="col"/>
        <c:grouping val="stacked"/>
        <c:varyColors val="0"/>
        <c:ser>
          <c:idx val="0"/>
          <c:order val="0"/>
          <c:tx>
            <c:strRef>
              <c:f>Resultater!$C$20</c:f>
              <c:strCache>
                <c:ptCount val="1"/>
                <c:pt idx="0">
                  <c:v>ovn2</c:v>
                </c:pt>
              </c:strCache>
            </c:strRef>
          </c:tx>
          <c:spPr>
            <a:solidFill>
              <a:schemeClr val="accent2">
                <a:lumMod val="60000"/>
                <a:lumOff val="40000"/>
              </a:schemeClr>
            </a:solidFill>
            <a:ln>
              <a:noFill/>
            </a:ln>
            <a:effectLst/>
          </c:spPr>
          <c:invertIfNegative val="0"/>
          <c:cat>
            <c:strRef>
              <c:f>Resultater!$D$19:$O$19</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Resultater!$D$20:$O$20</c:f>
              <c:numCache>
                <c:formatCode>_-* #,##0_-;\-#,##0_-;_-* "-"??_-;_-@_-</c:formatCode>
                <c:ptCount val="12"/>
                <c:pt idx="0">
                  <c:v>6007.1587364254392</c:v>
                </c:pt>
                <c:pt idx="1">
                  <c:v>5395.8205789473677</c:v>
                </c:pt>
                <c:pt idx="2">
                  <c:v>6007.1587364254392</c:v>
                </c:pt>
                <c:pt idx="3">
                  <c:v>4788</c:v>
                </c:pt>
                <c:pt idx="4">
                  <c:v>4947.5999999999995</c:v>
                </c:pt>
                <c:pt idx="5">
                  <c:v>4887.1349179067756</c:v>
                </c:pt>
                <c:pt idx="6">
                  <c:v>1974.1388888888891</c:v>
                </c:pt>
                <c:pt idx="7">
                  <c:v>1974.1388888888891</c:v>
                </c:pt>
                <c:pt idx="8">
                  <c:v>4887.1349179067756</c:v>
                </c:pt>
                <c:pt idx="9">
                  <c:v>4947.5999999999995</c:v>
                </c:pt>
                <c:pt idx="10">
                  <c:v>5722.3966597678354</c:v>
                </c:pt>
                <c:pt idx="11">
                  <c:v>5885.7300913673971</c:v>
                </c:pt>
              </c:numCache>
            </c:numRef>
          </c:val>
          <c:extLst>
            <c:ext xmlns:c16="http://schemas.microsoft.com/office/drawing/2014/chart" uri="{C3380CC4-5D6E-409C-BE32-E72D297353CC}">
              <c16:uniqueId val="{00000000-EDF0-4D1A-A6B1-8F4A72AE99A4}"/>
            </c:ext>
          </c:extLst>
        </c:ser>
        <c:ser>
          <c:idx val="1"/>
          <c:order val="1"/>
          <c:tx>
            <c:strRef>
              <c:f>Resultater!$C$21</c:f>
              <c:strCache>
                <c:ptCount val="1"/>
                <c:pt idx="0">
                  <c:v>ovn3</c:v>
                </c:pt>
              </c:strCache>
            </c:strRef>
          </c:tx>
          <c:spPr>
            <a:solidFill>
              <a:schemeClr val="accent2"/>
            </a:solidFill>
            <a:ln>
              <a:noFill/>
            </a:ln>
            <a:effectLst/>
          </c:spPr>
          <c:invertIfNegative val="0"/>
          <c:cat>
            <c:strRef>
              <c:f>Resultater!$D$19:$O$19</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Resultater!$D$21:$O$21</c:f>
              <c:numCache>
                <c:formatCode>_-* #,##0_-;\-#,##0_-;_-* "-"??_-;_-@_-</c:formatCode>
                <c:ptCount val="12"/>
                <c:pt idx="0">
                  <c:v>18396.042917309675</c:v>
                </c:pt>
                <c:pt idx="1">
                  <c:v>16662.599939876545</c:v>
                </c:pt>
                <c:pt idx="2">
                  <c:v>18395.950360853909</c:v>
                </c:pt>
                <c:pt idx="3">
                  <c:v>15212</c:v>
                </c:pt>
                <c:pt idx="4">
                  <c:v>11717.999999999998</c:v>
                </c:pt>
                <c:pt idx="5">
                  <c:v>11339.999999999998</c:v>
                </c:pt>
                <c:pt idx="6">
                  <c:v>12956.646253849234</c:v>
                </c:pt>
                <c:pt idx="7">
                  <c:v>12956.646253849234</c:v>
                </c:pt>
                <c:pt idx="8">
                  <c:v>11339.999999999998</c:v>
                </c:pt>
                <c:pt idx="9">
                  <c:v>14752.400000000001</c:v>
                </c:pt>
                <c:pt idx="10">
                  <c:v>17650.091675563344</c:v>
                </c:pt>
                <c:pt idx="11">
                  <c:v>19600.553347283967</c:v>
                </c:pt>
              </c:numCache>
            </c:numRef>
          </c:val>
          <c:extLst>
            <c:ext xmlns:c16="http://schemas.microsoft.com/office/drawing/2014/chart" uri="{C3380CC4-5D6E-409C-BE32-E72D297353CC}">
              <c16:uniqueId val="{00000001-EDF0-4D1A-A6B1-8F4A72AE99A4}"/>
            </c:ext>
          </c:extLst>
        </c:ser>
        <c:ser>
          <c:idx val="2"/>
          <c:order val="2"/>
          <c:tx>
            <c:strRef>
              <c:f>Resultater!$C$22</c:f>
              <c:strCache>
                <c:ptCount val="1"/>
                <c:pt idx="0">
                  <c:v>flisk</c:v>
                </c:pt>
              </c:strCache>
            </c:strRef>
          </c:tx>
          <c:spPr>
            <a:solidFill>
              <a:schemeClr val="accent6"/>
            </a:solidFill>
            <a:ln>
              <a:noFill/>
            </a:ln>
            <a:effectLst/>
          </c:spPr>
          <c:invertIfNegative val="0"/>
          <c:cat>
            <c:strRef>
              <c:f>Resultater!$D$19:$O$19</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Resultater!$D$22:$O$22</c:f>
              <c:numCache>
                <c:formatCode>_-* #,##0_-;\-#,##0_-;_-* "-"??_-;_-@_-</c:formatCode>
                <c:ptCount val="12"/>
                <c:pt idx="0">
                  <c:v>1E-14</c:v>
                </c:pt>
                <c:pt idx="1">
                  <c:v>7056</c:v>
                </c:pt>
                <c:pt idx="2">
                  <c:v>5096.8909027206537</c:v>
                </c:pt>
                <c:pt idx="3">
                  <c:v>1E-14</c:v>
                </c:pt>
                <c:pt idx="4">
                  <c:v>1E-14</c:v>
                </c:pt>
                <c:pt idx="5">
                  <c:v>1E-14</c:v>
                </c:pt>
                <c:pt idx="6">
                  <c:v>1E-14</c:v>
                </c:pt>
                <c:pt idx="7">
                  <c:v>1E-14</c:v>
                </c:pt>
                <c:pt idx="8">
                  <c:v>1E-14</c:v>
                </c:pt>
                <c:pt idx="9">
                  <c:v>1E-14</c:v>
                </c:pt>
                <c:pt idx="10">
                  <c:v>4127.5116646688184</c:v>
                </c:pt>
                <c:pt idx="11">
                  <c:v>7513.7165613486359</c:v>
                </c:pt>
              </c:numCache>
            </c:numRef>
          </c:val>
          <c:extLst>
            <c:ext xmlns:c16="http://schemas.microsoft.com/office/drawing/2014/chart" uri="{C3380CC4-5D6E-409C-BE32-E72D297353CC}">
              <c16:uniqueId val="{00000002-EDF0-4D1A-A6B1-8F4A72AE99A4}"/>
            </c:ext>
          </c:extLst>
        </c:ser>
        <c:ser>
          <c:idx val="3"/>
          <c:order val="3"/>
          <c:tx>
            <c:strRef>
              <c:f>Resultater!$C$23</c:f>
              <c:strCache>
                <c:ptCount val="1"/>
                <c:pt idx="0">
                  <c:v>peak</c:v>
                </c:pt>
              </c:strCache>
            </c:strRef>
          </c:tx>
          <c:spPr>
            <a:solidFill>
              <a:srgbClr val="FF6699"/>
            </a:solidFill>
            <a:ln>
              <a:noFill/>
            </a:ln>
            <a:effectLst/>
          </c:spPr>
          <c:invertIfNegative val="0"/>
          <c:cat>
            <c:strRef>
              <c:f>Resultater!$D$19:$O$19</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Resultater!$D$23:$O$23</c:f>
              <c:numCache>
                <c:formatCode>_-* #,##0_-;\-#,##0_-;_-* "-"??_-;_-@_-</c:formatCode>
                <c:ptCount val="12"/>
                <c:pt idx="0">
                  <c:v>10896.798346264888</c:v>
                </c:pt>
                <c:pt idx="1">
                  <c:v>2885.5794811760861</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3-EDF0-4D1A-A6B1-8F4A72AE99A4}"/>
            </c:ext>
          </c:extLst>
        </c:ser>
        <c:ser>
          <c:idx val="4"/>
          <c:order val="4"/>
          <c:tx>
            <c:strRef>
              <c:f>Resultater!$C$24</c:f>
              <c:strCache>
                <c:ptCount val="1"/>
                <c:pt idx="0">
                  <c:v>ns</c:v>
                </c:pt>
              </c:strCache>
            </c:strRef>
          </c:tx>
          <c:spPr>
            <a:solidFill>
              <a:schemeClr val="accent4"/>
            </a:solidFill>
            <a:ln>
              <a:noFill/>
            </a:ln>
            <a:effectLst/>
          </c:spPr>
          <c:invertIfNegative val="0"/>
          <c:cat>
            <c:strRef>
              <c:f>Resultater!$D$19:$O$19</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Resultater!$D$24:$O$24</c:f>
              <c:numCache>
                <c:formatCode>_-* #,##0_-;\-#,##0_-;_-*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4-EDF0-4D1A-A6B1-8F4A72AE99A4}"/>
            </c:ext>
          </c:extLst>
        </c:ser>
        <c:ser>
          <c:idx val="5"/>
          <c:order val="5"/>
          <c:tx>
            <c:strRef>
              <c:f>Resultater!$C$25</c:f>
              <c:strCache>
                <c:ptCount val="1"/>
                <c:pt idx="0">
                  <c:v>cooler</c:v>
                </c:pt>
              </c:strCache>
            </c:strRef>
          </c:tx>
          <c:spPr>
            <a:solidFill>
              <a:schemeClr val="accent5"/>
            </a:solidFill>
            <a:ln>
              <a:noFill/>
            </a:ln>
            <a:effectLst/>
          </c:spPr>
          <c:invertIfNegative val="0"/>
          <c:cat>
            <c:strRef>
              <c:f>Resultater!$D$19:$O$19</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Resultater!$D$25:$O$25</c:f>
              <c:numCache>
                <c:formatCode>_-* #,##0_-;\-#,##0_-;_-* "-"??_-;_-@_-</c:formatCode>
                <c:ptCount val="12"/>
                <c:pt idx="0">
                  <c:v>-1E-14</c:v>
                </c:pt>
                <c:pt idx="1">
                  <c:v>-1E-14</c:v>
                </c:pt>
                <c:pt idx="2">
                  <c:v>-1E-14</c:v>
                </c:pt>
                <c:pt idx="3">
                  <c:v>-1E-14</c:v>
                </c:pt>
                <c:pt idx="4">
                  <c:v>-3665.5999999999976</c:v>
                </c:pt>
                <c:pt idx="5">
                  <c:v>-8727.1349179067729</c:v>
                </c:pt>
                <c:pt idx="6">
                  <c:v>-7430.7851427381229</c:v>
                </c:pt>
                <c:pt idx="7">
                  <c:v>-7930.7851427381229</c:v>
                </c:pt>
                <c:pt idx="8">
                  <c:v>-8227.1349179067729</c:v>
                </c:pt>
                <c:pt idx="9">
                  <c:v>-1E-14</c:v>
                </c:pt>
                <c:pt idx="10">
                  <c:v>-1E-14</c:v>
                </c:pt>
                <c:pt idx="11">
                  <c:v>-1E-14</c:v>
                </c:pt>
              </c:numCache>
            </c:numRef>
          </c:val>
          <c:extLst>
            <c:ext xmlns:c16="http://schemas.microsoft.com/office/drawing/2014/chart" uri="{C3380CC4-5D6E-409C-BE32-E72D297353CC}">
              <c16:uniqueId val="{00000005-EDF0-4D1A-A6B1-8F4A72AE99A4}"/>
            </c:ext>
          </c:extLst>
        </c:ser>
        <c:dLbls>
          <c:showLegendKey val="0"/>
          <c:showVal val="0"/>
          <c:showCatName val="0"/>
          <c:showSerName val="0"/>
          <c:showPercent val="0"/>
          <c:showBubbleSize val="0"/>
        </c:dLbls>
        <c:gapWidth val="150"/>
        <c:overlap val="100"/>
        <c:axId val="408643864"/>
        <c:axId val="408640256"/>
      </c:barChart>
      <c:lineChart>
        <c:grouping val="standard"/>
        <c:varyColors val="0"/>
        <c:ser>
          <c:idx val="6"/>
          <c:order val="6"/>
          <c:tx>
            <c:strRef>
              <c:f>Resultater!$C$12</c:f>
              <c:strCache>
                <c:ptCount val="1"/>
                <c:pt idx="0">
                  <c:v>FJV-behov</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dLbls>
            <c:spPr>
              <a:noFill/>
              <a:ln>
                <a:noFill/>
              </a:ln>
              <a:effectLst/>
            </c:spPr>
            <c:txPr>
              <a:bodyPr rot="-5400000" spcFirstLastPara="1" vertOverflow="clip" horzOverflow="clip" vert="horz" wrap="none" lIns="38100" tIns="19050" rIns="38100" bIns="1905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Resultater!$D$19:$O$19</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Resultater!$D$12:$O$12</c:f>
              <c:numCache>
                <c:formatCode>_-#,##0_-;\-#,##0_-;_-* "-"??_-;_-@_-</c:formatCode>
                <c:ptCount val="12"/>
                <c:pt idx="0">
                  <c:v>35300</c:v>
                </c:pt>
                <c:pt idx="1">
                  <c:v>32000</c:v>
                </c:pt>
                <c:pt idx="2">
                  <c:v>29500</c:v>
                </c:pt>
                <c:pt idx="3">
                  <c:v>20000</c:v>
                </c:pt>
                <c:pt idx="4">
                  <c:v>13000</c:v>
                </c:pt>
                <c:pt idx="5">
                  <c:v>7500</c:v>
                </c:pt>
                <c:pt idx="6">
                  <c:v>7500</c:v>
                </c:pt>
                <c:pt idx="7">
                  <c:v>7000</c:v>
                </c:pt>
                <c:pt idx="8">
                  <c:v>8000</c:v>
                </c:pt>
                <c:pt idx="9">
                  <c:v>19700</c:v>
                </c:pt>
                <c:pt idx="10">
                  <c:v>27500</c:v>
                </c:pt>
                <c:pt idx="11">
                  <c:v>33000</c:v>
                </c:pt>
              </c:numCache>
            </c:numRef>
          </c:val>
          <c:smooth val="0"/>
          <c:extLst>
            <c:ext xmlns:c16="http://schemas.microsoft.com/office/drawing/2014/chart" uri="{C3380CC4-5D6E-409C-BE32-E72D297353CC}">
              <c16:uniqueId val="{00000006-EDF0-4D1A-A6B1-8F4A72AE99A4}"/>
            </c:ext>
          </c:extLst>
        </c:ser>
        <c:dLbls>
          <c:showLegendKey val="0"/>
          <c:showVal val="0"/>
          <c:showCatName val="0"/>
          <c:showSerName val="0"/>
          <c:showPercent val="0"/>
          <c:showBubbleSize val="0"/>
        </c:dLbls>
        <c:marker val="1"/>
        <c:smooth val="0"/>
        <c:axId val="408643864"/>
        <c:axId val="408640256"/>
      </c:lineChart>
      <c:catAx>
        <c:axId val="408643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da-DK"/>
          </a:p>
        </c:txPr>
        <c:crossAx val="408640256"/>
        <c:crosses val="autoZero"/>
        <c:auto val="1"/>
        <c:lblAlgn val="ctr"/>
        <c:lblOffset val="100"/>
        <c:noMultiLvlLbl val="0"/>
      </c:catAx>
      <c:valAx>
        <c:axId val="408640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MWhq</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_-* #,##0_-;\-#,##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crossAx val="408643864"/>
        <c:crosses val="autoZero"/>
        <c:crossBetween val="between"/>
      </c:valAx>
      <c:spPr>
        <a:noFill/>
        <a:ln>
          <a:noFill/>
        </a:ln>
        <a:effectLst/>
      </c:spPr>
    </c:plotArea>
    <c:legend>
      <c:legendPos val="b"/>
      <c:layout>
        <c:manualLayout>
          <c:xMode val="edge"/>
          <c:yMode val="edge"/>
          <c:x val="0.10661356598816071"/>
          <c:y val="0.91978275576426438"/>
          <c:w val="0.78677286802367852"/>
          <c:h val="6.7704121482006205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a-DK"/>
              <a:t>Kapacitetsudnyttelse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0"/>
          <c:order val="0"/>
          <c:tx>
            <c:strRef>
              <c:f>Resultater!$C$88</c:f>
              <c:strCache>
                <c:ptCount val="1"/>
                <c:pt idx="0">
                  <c:v>ovn2</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strRef>
              <c:f>Resultater!$D$87:$O$87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xVal>
          <c:yVal>
            <c:numRef>
              <c:f>Resultater!$D$88:$O$88</c:f>
              <c:numCache>
                <c:formatCode>0\ %</c:formatCode>
                <c:ptCount val="12"/>
                <c:pt idx="0">
                  <c:v>0.70209896405159411</c:v>
                </c:pt>
                <c:pt idx="1">
                  <c:v>0.69821694862155381</c:v>
                </c:pt>
                <c:pt idx="2">
                  <c:v>0.70209896405159411</c:v>
                </c:pt>
                <c:pt idx="3">
                  <c:v>0.57826086956521738</c:v>
                </c:pt>
                <c:pt idx="4">
                  <c:v>0.57826086956521727</c:v>
                </c:pt>
                <c:pt idx="5">
                  <c:v>0.59023368573753332</c:v>
                </c:pt>
                <c:pt idx="6">
                  <c:v>0.71526771336553951</c:v>
                </c:pt>
                <c:pt idx="7">
                  <c:v>0.71526771336553951</c:v>
                </c:pt>
                <c:pt idx="8">
                  <c:v>0.59023368573753332</c:v>
                </c:pt>
                <c:pt idx="9">
                  <c:v>0.57826086956521727</c:v>
                </c:pt>
                <c:pt idx="10">
                  <c:v>0.69111070770142935</c:v>
                </c:pt>
                <c:pt idx="11">
                  <c:v>0.6879067427965635</c:v>
                </c:pt>
              </c:numCache>
            </c:numRef>
          </c:yVal>
          <c:smooth val="0"/>
          <c:extLst>
            <c:ext xmlns:c16="http://schemas.microsoft.com/office/drawing/2014/chart" uri="{C3380CC4-5D6E-409C-BE32-E72D297353CC}">
              <c16:uniqueId val="{00000000-4E40-4E99-A234-36BA713EFE03}"/>
            </c:ext>
          </c:extLst>
        </c:ser>
        <c:ser>
          <c:idx val="1"/>
          <c:order val="1"/>
          <c:tx>
            <c:strRef>
              <c:f>Resultater!$C$89</c:f>
              <c:strCache>
                <c:ptCount val="1"/>
                <c:pt idx="0">
                  <c:v>ovn3</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strRef>
              <c:f>Resultater!$D$87:$O$87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xVal>
          <c:yVal>
            <c:numRef>
              <c:f>Resultater!$D$89:$O$89</c:f>
              <c:numCache>
                <c:formatCode>0\ %</c:formatCode>
                <c:ptCount val="12"/>
                <c:pt idx="0">
                  <c:v>0.89912233222432425</c:v>
                </c:pt>
                <c:pt idx="1">
                  <c:v>0.90165584090241047</c:v>
                </c:pt>
                <c:pt idx="2">
                  <c:v>0.89911780844838263</c:v>
                </c:pt>
                <c:pt idx="3">
                  <c:v>0.76828282828282823</c:v>
                </c:pt>
                <c:pt idx="4">
                  <c:v>0.57272727272727264</c:v>
                </c:pt>
                <c:pt idx="5">
                  <c:v>0.57272727272727264</c:v>
                </c:pt>
                <c:pt idx="6">
                  <c:v>0.6332671678323184</c:v>
                </c:pt>
                <c:pt idx="7">
                  <c:v>0.6332671678323184</c:v>
                </c:pt>
                <c:pt idx="8">
                  <c:v>0.57272727272727264</c:v>
                </c:pt>
                <c:pt idx="9">
                  <c:v>0.72103616813294236</c:v>
                </c:pt>
                <c:pt idx="10">
                  <c:v>0.89141877149309823</c:v>
                </c:pt>
                <c:pt idx="11">
                  <c:v>0.95799380974017434</c:v>
                </c:pt>
              </c:numCache>
            </c:numRef>
          </c:yVal>
          <c:smooth val="0"/>
          <c:extLst>
            <c:ext xmlns:c16="http://schemas.microsoft.com/office/drawing/2014/chart" uri="{C3380CC4-5D6E-409C-BE32-E72D297353CC}">
              <c16:uniqueId val="{00000001-4E40-4E99-A234-36BA713EFE03}"/>
            </c:ext>
          </c:extLst>
        </c:ser>
        <c:ser>
          <c:idx val="2"/>
          <c:order val="2"/>
          <c:tx>
            <c:strRef>
              <c:f>Resultater!$C$90</c:f>
              <c:strCache>
                <c:ptCount val="1"/>
                <c:pt idx="0">
                  <c:v>flisk</c:v>
                </c:pt>
              </c:strCache>
            </c:strRef>
          </c:tx>
          <c:spPr>
            <a:ln w="19050" cap="rnd">
              <a:solidFill>
                <a:srgbClr val="00B050"/>
              </a:solidFill>
              <a:round/>
            </a:ln>
            <a:effectLst/>
          </c:spPr>
          <c:marker>
            <c:symbol val="circle"/>
            <c:size val="5"/>
            <c:spPr>
              <a:solidFill>
                <a:schemeClr val="accent3"/>
              </a:solidFill>
              <a:ln w="9525">
                <a:solidFill>
                  <a:srgbClr val="00B050"/>
                </a:solidFill>
              </a:ln>
              <a:effectLst/>
            </c:spPr>
          </c:marker>
          <c:xVal>
            <c:strRef>
              <c:f>Resultater!$D$87:$O$87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xVal>
          <c:yVal>
            <c:numRef>
              <c:f>Resultater!$D$90:$O$90</c:f>
              <c:numCache>
                <c:formatCode>0\ %</c:formatCode>
                <c:ptCount val="12"/>
                <c:pt idx="0">
                  <c:v>1E-14</c:v>
                </c:pt>
                <c:pt idx="1">
                  <c:v>1</c:v>
                </c:pt>
                <c:pt idx="2">
                  <c:v>0.6524437919509285</c:v>
                </c:pt>
                <c:pt idx="3">
                  <c:v>1E-14</c:v>
                </c:pt>
                <c:pt idx="4">
                  <c:v>1E-14</c:v>
                </c:pt>
                <c:pt idx="5">
                  <c:v>1E-14</c:v>
                </c:pt>
                <c:pt idx="6">
                  <c:v>1E-14</c:v>
                </c:pt>
                <c:pt idx="7">
                  <c:v>1E-14</c:v>
                </c:pt>
                <c:pt idx="8">
                  <c:v>1E-14</c:v>
                </c:pt>
                <c:pt idx="9">
                  <c:v>1E-14</c:v>
                </c:pt>
                <c:pt idx="10">
                  <c:v>0.54596715141121932</c:v>
                </c:pt>
                <c:pt idx="11">
                  <c:v>0.96181727615829948</c:v>
                </c:pt>
              </c:numCache>
            </c:numRef>
          </c:yVal>
          <c:smooth val="0"/>
          <c:extLst>
            <c:ext xmlns:c16="http://schemas.microsoft.com/office/drawing/2014/chart" uri="{C3380CC4-5D6E-409C-BE32-E72D297353CC}">
              <c16:uniqueId val="{00000002-4E40-4E99-A234-36BA713EFE03}"/>
            </c:ext>
          </c:extLst>
        </c:ser>
        <c:ser>
          <c:idx val="3"/>
          <c:order val="3"/>
          <c:tx>
            <c:strRef>
              <c:f>Resultater!$C$91</c:f>
              <c:strCache>
                <c:ptCount val="1"/>
                <c:pt idx="0">
                  <c:v>peak</c:v>
                </c:pt>
              </c:strCache>
            </c:strRef>
          </c:tx>
          <c:spPr>
            <a:ln w="19050" cap="rnd">
              <a:solidFill>
                <a:srgbClr val="FF6699"/>
              </a:solidFill>
              <a:round/>
            </a:ln>
            <a:effectLst/>
          </c:spPr>
          <c:marker>
            <c:symbol val="circle"/>
            <c:size val="5"/>
            <c:spPr>
              <a:solidFill>
                <a:schemeClr val="accent4"/>
              </a:solidFill>
              <a:ln w="9525">
                <a:solidFill>
                  <a:srgbClr val="FF6699"/>
                </a:solidFill>
              </a:ln>
              <a:effectLst/>
            </c:spPr>
          </c:marker>
          <c:xVal>
            <c:strRef>
              <c:f>Resultater!$D$87:$O$87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xVal>
          <c:yVal>
            <c:numRef>
              <c:f>Resultater!$D$91:$O$91</c:f>
              <c:numCache>
                <c:formatCode>0\ %</c:formatCode>
                <c:ptCount val="12"/>
                <c:pt idx="0">
                  <c:v>0.14646234336377537</c:v>
                </c:pt>
                <c:pt idx="1">
                  <c:v>4.2940170850834618E-2</c:v>
                </c:pt>
                <c:pt idx="2">
                  <c:v>1E-14</c:v>
                </c:pt>
                <c:pt idx="3">
                  <c:v>1E-14</c:v>
                </c:pt>
                <c:pt idx="4">
                  <c:v>1E-14</c:v>
                </c:pt>
                <c:pt idx="5">
                  <c:v>1E-14</c:v>
                </c:pt>
                <c:pt idx="6">
                  <c:v>1E-14</c:v>
                </c:pt>
                <c:pt idx="7">
                  <c:v>1E-14</c:v>
                </c:pt>
                <c:pt idx="8">
                  <c:v>1E-14</c:v>
                </c:pt>
                <c:pt idx="9">
                  <c:v>1E-14</c:v>
                </c:pt>
                <c:pt idx="10">
                  <c:v>1E-14</c:v>
                </c:pt>
                <c:pt idx="11">
                  <c:v>1E-14</c:v>
                </c:pt>
              </c:numCache>
            </c:numRef>
          </c:yVal>
          <c:smooth val="0"/>
          <c:extLst>
            <c:ext xmlns:c16="http://schemas.microsoft.com/office/drawing/2014/chart" uri="{C3380CC4-5D6E-409C-BE32-E72D297353CC}">
              <c16:uniqueId val="{00000003-4E40-4E99-A234-36BA713EFE03}"/>
            </c:ext>
          </c:extLst>
        </c:ser>
        <c:ser>
          <c:idx val="4"/>
          <c:order val="4"/>
          <c:tx>
            <c:strRef>
              <c:f>Resultater!$C$92</c:f>
              <c:strCache>
                <c:ptCount val="1"/>
                <c:pt idx="0">
                  <c:v>ns</c:v>
                </c:pt>
              </c:strCache>
            </c:strRef>
          </c:tx>
          <c:spPr>
            <a:ln w="19050" cap="rnd">
              <a:solidFill>
                <a:srgbClr val="00FFFF"/>
              </a:solidFill>
              <a:round/>
            </a:ln>
            <a:effectLst/>
          </c:spPr>
          <c:marker>
            <c:symbol val="circle"/>
            <c:size val="5"/>
            <c:spPr>
              <a:solidFill>
                <a:schemeClr val="accent5"/>
              </a:solidFill>
              <a:ln w="9525">
                <a:solidFill>
                  <a:srgbClr val="00FFFF"/>
                </a:solidFill>
              </a:ln>
              <a:effectLst/>
            </c:spPr>
          </c:marker>
          <c:xVal>
            <c:strRef>
              <c:f>Resultater!$D$87:$O$87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xVal>
          <c:yVal>
            <c:numRef>
              <c:f>Resultater!$D$92:$O$92</c:f>
              <c:numCache>
                <c:formatCode>0\ %</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yVal>
          <c:smooth val="0"/>
          <c:extLst>
            <c:ext xmlns:c16="http://schemas.microsoft.com/office/drawing/2014/chart" uri="{C3380CC4-5D6E-409C-BE32-E72D297353CC}">
              <c16:uniqueId val="{00000004-4E40-4E99-A234-36BA713EFE03}"/>
            </c:ext>
          </c:extLst>
        </c:ser>
        <c:ser>
          <c:idx val="5"/>
          <c:order val="5"/>
          <c:tx>
            <c:strRef>
              <c:f>Resultater!$C$93</c:f>
              <c:strCache>
                <c:ptCount val="1"/>
                <c:pt idx="0">
                  <c:v>cooler</c:v>
                </c:pt>
              </c:strCache>
            </c:strRef>
          </c:tx>
          <c:spPr>
            <a:ln w="19050" cap="rnd">
              <a:solidFill>
                <a:schemeClr val="tx1">
                  <a:lumMod val="50000"/>
                  <a:lumOff val="50000"/>
                </a:schemeClr>
              </a:solidFill>
              <a:prstDash val="sysDash"/>
              <a:round/>
            </a:ln>
            <a:effectLst/>
          </c:spPr>
          <c:marker>
            <c:symbol val="circle"/>
            <c:size val="5"/>
            <c:spPr>
              <a:solidFill>
                <a:schemeClr val="accent6"/>
              </a:solidFill>
              <a:ln w="9525">
                <a:solidFill>
                  <a:schemeClr val="tx1">
                    <a:lumMod val="50000"/>
                    <a:lumOff val="50000"/>
                  </a:schemeClr>
                </a:solidFill>
                <a:prstDash val="sysDash"/>
              </a:ln>
              <a:effectLst/>
            </c:spPr>
          </c:marker>
          <c:xVal>
            <c:strRef>
              <c:f>Resultater!$D$87:$O$87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xVal>
          <c:yVal>
            <c:numRef>
              <c:f>Resultater!$D$93:$O$93</c:f>
              <c:numCache>
                <c:formatCode>0\ %</c:formatCode>
                <c:ptCount val="12"/>
                <c:pt idx="0">
                  <c:v>1E-14</c:v>
                </c:pt>
                <c:pt idx="1">
                  <c:v>1E-14</c:v>
                </c:pt>
                <c:pt idx="2">
                  <c:v>1E-14</c:v>
                </c:pt>
                <c:pt idx="3">
                  <c:v>1E-14</c:v>
                </c:pt>
                <c:pt idx="4">
                  <c:v>0.32845878136200696</c:v>
                </c:pt>
                <c:pt idx="5">
                  <c:v>0.80806804795433085</c:v>
                </c:pt>
                <c:pt idx="6">
                  <c:v>0.66584096261094294</c:v>
                </c:pt>
                <c:pt idx="7">
                  <c:v>0.71064382999445541</c:v>
                </c:pt>
                <c:pt idx="8">
                  <c:v>0.76177175165803457</c:v>
                </c:pt>
                <c:pt idx="9">
                  <c:v>1E-14</c:v>
                </c:pt>
                <c:pt idx="10">
                  <c:v>1E-14</c:v>
                </c:pt>
                <c:pt idx="11">
                  <c:v>1E-14</c:v>
                </c:pt>
              </c:numCache>
            </c:numRef>
          </c:yVal>
          <c:smooth val="0"/>
          <c:extLst>
            <c:ext xmlns:c16="http://schemas.microsoft.com/office/drawing/2014/chart" uri="{C3380CC4-5D6E-409C-BE32-E72D297353CC}">
              <c16:uniqueId val="{00000005-4E40-4E99-A234-36BA713EFE03}"/>
            </c:ext>
          </c:extLst>
        </c:ser>
        <c:dLbls>
          <c:showLegendKey val="0"/>
          <c:showVal val="0"/>
          <c:showCatName val="0"/>
          <c:showSerName val="0"/>
          <c:showPercent val="0"/>
          <c:showBubbleSize val="0"/>
        </c:dLbls>
        <c:axId val="813391120"/>
        <c:axId val="813392104"/>
      </c:scatterChart>
      <c:valAx>
        <c:axId val="813391120"/>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13392104"/>
        <c:crosses val="autoZero"/>
        <c:crossBetween val="midCat"/>
      </c:valAx>
      <c:valAx>
        <c:axId val="813392104"/>
        <c:scaling>
          <c:orientation val="minMax"/>
        </c:scaling>
        <c:delete val="0"/>
        <c:axPos val="l"/>
        <c:majorGridlines>
          <c:spPr>
            <a:ln w="9525" cap="flat" cmpd="sng" algn="ctr">
              <a:solidFill>
                <a:schemeClr val="tx1">
                  <a:lumMod val="15000"/>
                  <a:lumOff val="85000"/>
                </a:schemeClr>
              </a:solidFill>
              <a:round/>
            </a:ln>
            <a:effectLst/>
          </c:spPr>
        </c:majorGridlines>
        <c:numFmt formatCode="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133911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45</xdr:col>
      <xdr:colOff>100851</xdr:colOff>
      <xdr:row>0</xdr:row>
      <xdr:rowOff>44824</xdr:rowOff>
    </xdr:from>
    <xdr:to>
      <xdr:col>48</xdr:col>
      <xdr:colOff>459440</xdr:colOff>
      <xdr:row>3</xdr:row>
      <xdr:rowOff>156881</xdr:rowOff>
    </xdr:to>
    <xdr:sp macro="" textlink="">
      <xdr:nvSpPr>
        <xdr:cNvPr id="2" name="TextBox 1">
          <a:extLst>
            <a:ext uri="{FF2B5EF4-FFF2-40B4-BE49-F238E27FC236}">
              <a16:creationId xmlns:a16="http://schemas.microsoft.com/office/drawing/2014/main" id="{3A9D3FB1-8045-4B8C-BCCE-7B770BE039BA}"/>
            </a:ext>
          </a:extLst>
        </xdr:cNvPr>
        <xdr:cNvSpPr txBox="1"/>
      </xdr:nvSpPr>
      <xdr:spPr>
        <a:xfrm>
          <a:off x="13940116" y="44824"/>
          <a:ext cx="3731559" cy="683557"/>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a-DK" sz="1800" b="1">
              <a:solidFill>
                <a:schemeClr val="bg1"/>
              </a:solidFill>
            </a:rPr>
            <a:t>Kodet udgave af scenarietabellen (MÅ IKKE ÆNDRES)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493059</xdr:colOff>
      <xdr:row>24</xdr:row>
      <xdr:rowOff>78441</xdr:rowOff>
    </xdr:from>
    <xdr:to>
      <xdr:col>22</xdr:col>
      <xdr:colOff>123265</xdr:colOff>
      <xdr:row>28</xdr:row>
      <xdr:rowOff>33618</xdr:rowOff>
    </xdr:to>
    <xdr:sp macro="" textlink="">
      <xdr:nvSpPr>
        <xdr:cNvPr id="2" name="TextBox 1">
          <a:extLst>
            <a:ext uri="{FF2B5EF4-FFF2-40B4-BE49-F238E27FC236}">
              <a16:creationId xmlns:a16="http://schemas.microsoft.com/office/drawing/2014/main" id="{CB50BCEF-1122-4C37-B440-F077453CC7BD}"/>
            </a:ext>
          </a:extLst>
        </xdr:cNvPr>
        <xdr:cNvSpPr txBox="1"/>
      </xdr:nvSpPr>
      <xdr:spPr>
        <a:xfrm>
          <a:off x="12427324" y="4818529"/>
          <a:ext cx="1692088" cy="717177"/>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da-DK" sz="1100"/>
            <a:t>OBS: 2021 valideres med</a:t>
          </a:r>
          <a:r>
            <a:rPr lang="da-DK" sz="1100" baseline="0"/>
            <a:t> fikserede affaldstonnager pånær december måned.</a:t>
          </a:r>
          <a:endParaRPr lang="da-DK" sz="1100"/>
        </a:p>
      </xdr:txBody>
    </xdr:sp>
    <xdr:clientData/>
  </xdr:twoCellAnchor>
  <xdr:twoCellAnchor>
    <xdr:from>
      <xdr:col>20</xdr:col>
      <xdr:colOff>212911</xdr:colOff>
      <xdr:row>4</xdr:row>
      <xdr:rowOff>11205</xdr:rowOff>
    </xdr:from>
    <xdr:to>
      <xdr:col>21</xdr:col>
      <xdr:colOff>145677</xdr:colOff>
      <xdr:row>5</xdr:row>
      <xdr:rowOff>22412</xdr:rowOff>
    </xdr:to>
    <xdr:sp macro="" textlink="">
      <xdr:nvSpPr>
        <xdr:cNvPr id="4" name="Rectangle 3">
          <a:extLst>
            <a:ext uri="{FF2B5EF4-FFF2-40B4-BE49-F238E27FC236}">
              <a16:creationId xmlns:a16="http://schemas.microsoft.com/office/drawing/2014/main" id="{EFB74105-69F0-47F6-9D2F-538234FABF35}"/>
            </a:ext>
          </a:extLst>
        </xdr:cNvPr>
        <xdr:cNvSpPr/>
      </xdr:nvSpPr>
      <xdr:spPr>
        <a:xfrm>
          <a:off x="13637558" y="818029"/>
          <a:ext cx="661148" cy="235324"/>
        </a:xfrm>
        <a:prstGeom prst="rect">
          <a:avLst/>
        </a:prstGeom>
        <a:noFill/>
        <a:effectLst>
          <a:glow rad="50800">
            <a:srgbClr val="FF0000">
              <a:alpha val="6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b="1" i="1"/>
        </a:p>
      </xdr:txBody>
    </xdr:sp>
    <xdr:clientData/>
  </xdr:twoCellAnchor>
  <xdr:twoCellAnchor>
    <xdr:from>
      <xdr:col>20</xdr:col>
      <xdr:colOff>174810</xdr:colOff>
      <xdr:row>1</xdr:row>
      <xdr:rowOff>163605</xdr:rowOff>
    </xdr:from>
    <xdr:to>
      <xdr:col>21</xdr:col>
      <xdr:colOff>107576</xdr:colOff>
      <xdr:row>3</xdr:row>
      <xdr:rowOff>17929</xdr:rowOff>
    </xdr:to>
    <xdr:sp macro="" textlink="">
      <xdr:nvSpPr>
        <xdr:cNvPr id="5" name="Rectangle 4">
          <a:extLst>
            <a:ext uri="{FF2B5EF4-FFF2-40B4-BE49-F238E27FC236}">
              <a16:creationId xmlns:a16="http://schemas.microsoft.com/office/drawing/2014/main" id="{F4DF29A9-5EC0-4098-A2EA-FE2CC1EFFBF2}"/>
            </a:ext>
          </a:extLst>
        </xdr:cNvPr>
        <xdr:cNvSpPr/>
      </xdr:nvSpPr>
      <xdr:spPr>
        <a:xfrm>
          <a:off x="13599457" y="398929"/>
          <a:ext cx="661148" cy="235324"/>
        </a:xfrm>
        <a:prstGeom prst="rect">
          <a:avLst/>
        </a:prstGeom>
        <a:noFill/>
        <a:effectLst>
          <a:glow rad="50800">
            <a:srgbClr val="FF0000">
              <a:alpha val="6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b="1" i="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954742</xdr:colOff>
      <xdr:row>24</xdr:row>
      <xdr:rowOff>170330</xdr:rowOff>
    </xdr:from>
    <xdr:to>
      <xdr:col>4</xdr:col>
      <xdr:colOff>22412</xdr:colOff>
      <xdr:row>26</xdr:row>
      <xdr:rowOff>22412</xdr:rowOff>
    </xdr:to>
    <xdr:sp macro="" textlink="">
      <xdr:nvSpPr>
        <xdr:cNvPr id="6" name="Rectangle 5">
          <a:extLst>
            <a:ext uri="{FF2B5EF4-FFF2-40B4-BE49-F238E27FC236}">
              <a16:creationId xmlns:a16="http://schemas.microsoft.com/office/drawing/2014/main" id="{D3C91610-9455-491D-8F41-C3CEAECEDE40}"/>
            </a:ext>
          </a:extLst>
        </xdr:cNvPr>
        <xdr:cNvSpPr/>
      </xdr:nvSpPr>
      <xdr:spPr>
        <a:xfrm>
          <a:off x="3330389" y="4787154"/>
          <a:ext cx="714935" cy="233082"/>
        </a:xfrm>
        <a:prstGeom prst="rect">
          <a:avLst/>
        </a:prstGeom>
        <a:noFill/>
        <a:effectLst>
          <a:glow rad="50800">
            <a:srgbClr val="FF0000">
              <a:alpha val="6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10,</a:t>
          </a:r>
        </a:p>
      </xdr:txBody>
    </xdr:sp>
    <xdr:clientData/>
  </xdr:twoCellAnchor>
  <xdr:twoCellAnchor>
    <xdr:from>
      <xdr:col>31</xdr:col>
      <xdr:colOff>20171</xdr:colOff>
      <xdr:row>0</xdr:row>
      <xdr:rowOff>0</xdr:rowOff>
    </xdr:from>
    <xdr:to>
      <xdr:col>32</xdr:col>
      <xdr:colOff>230841</xdr:colOff>
      <xdr:row>0</xdr:row>
      <xdr:rowOff>0</xdr:rowOff>
    </xdr:to>
    <xdr:sp macro="" textlink="">
      <xdr:nvSpPr>
        <xdr:cNvPr id="7" name="Rectangle 6">
          <a:extLst>
            <a:ext uri="{FF2B5EF4-FFF2-40B4-BE49-F238E27FC236}">
              <a16:creationId xmlns:a16="http://schemas.microsoft.com/office/drawing/2014/main" id="{412A48F6-3C5A-4158-9920-79A6858648FF}"/>
            </a:ext>
          </a:extLst>
        </xdr:cNvPr>
        <xdr:cNvSpPr/>
      </xdr:nvSpPr>
      <xdr:spPr>
        <a:xfrm>
          <a:off x="22230230" y="0"/>
          <a:ext cx="871817" cy="0"/>
        </a:xfrm>
        <a:prstGeom prst="rect">
          <a:avLst/>
        </a:prstGeom>
        <a:noFill/>
        <a:effectLst>
          <a:glow rad="50800">
            <a:srgbClr val="FF0000">
              <a:alpha val="6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10</xdr:col>
      <xdr:colOff>672353</xdr:colOff>
      <xdr:row>17</xdr:row>
      <xdr:rowOff>177054</xdr:rowOff>
    </xdr:from>
    <xdr:to>
      <xdr:col>13</xdr:col>
      <xdr:colOff>12327</xdr:colOff>
      <xdr:row>19</xdr:row>
      <xdr:rowOff>22411</xdr:rowOff>
    </xdr:to>
    <xdr:sp macro="" textlink="">
      <xdr:nvSpPr>
        <xdr:cNvPr id="5" name="Rectangle 4">
          <a:extLst>
            <a:ext uri="{FF2B5EF4-FFF2-40B4-BE49-F238E27FC236}">
              <a16:creationId xmlns:a16="http://schemas.microsoft.com/office/drawing/2014/main" id="{07C93F3C-FFBE-47DE-914B-A99144D5FF1F}"/>
            </a:ext>
          </a:extLst>
        </xdr:cNvPr>
        <xdr:cNvSpPr/>
      </xdr:nvSpPr>
      <xdr:spPr>
        <a:xfrm>
          <a:off x="8953500" y="3460378"/>
          <a:ext cx="1693209" cy="226357"/>
        </a:xfrm>
        <a:prstGeom prst="rect">
          <a:avLst/>
        </a:prstGeom>
        <a:noFill/>
        <a:effectLst>
          <a:glow rad="50800">
            <a:srgbClr val="FF0000">
              <a:alpha val="6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12</xdr:col>
      <xdr:colOff>9525</xdr:colOff>
      <xdr:row>6</xdr:row>
      <xdr:rowOff>14286</xdr:rowOff>
    </xdr:from>
    <xdr:to>
      <xdr:col>21</xdr:col>
      <xdr:colOff>542925</xdr:colOff>
      <xdr:row>27</xdr:row>
      <xdr:rowOff>171449</xdr:rowOff>
    </xdr:to>
    <xdr:graphicFrame macro="">
      <xdr:nvGraphicFramePr>
        <xdr:cNvPr id="2" name="Chart 1">
          <a:extLst>
            <a:ext uri="{FF2B5EF4-FFF2-40B4-BE49-F238E27FC236}">
              <a16:creationId xmlns:a16="http://schemas.microsoft.com/office/drawing/2014/main" id="{C46F40DA-AF82-4084-932C-ED4C91C8F0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582706</xdr:colOff>
      <xdr:row>28</xdr:row>
      <xdr:rowOff>168088</xdr:rowOff>
    </xdr:from>
    <xdr:to>
      <xdr:col>21</xdr:col>
      <xdr:colOff>510988</xdr:colOff>
      <xdr:row>50</xdr:row>
      <xdr:rowOff>134751</xdr:rowOff>
    </xdr:to>
    <xdr:graphicFrame macro="">
      <xdr:nvGraphicFramePr>
        <xdr:cNvPr id="4" name="Chart 3">
          <a:extLst>
            <a:ext uri="{FF2B5EF4-FFF2-40B4-BE49-F238E27FC236}">
              <a16:creationId xmlns:a16="http://schemas.microsoft.com/office/drawing/2014/main" id="{DC874665-9FF5-456F-97AE-AB28325E01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16</xdr:col>
      <xdr:colOff>5602</xdr:colOff>
      <xdr:row>26</xdr:row>
      <xdr:rowOff>11204</xdr:rowOff>
    </xdr:from>
    <xdr:to>
      <xdr:col>27</xdr:col>
      <xdr:colOff>212912</xdr:colOff>
      <xdr:row>53</xdr:row>
      <xdr:rowOff>22412</xdr:rowOff>
    </xdr:to>
    <xdr:graphicFrame macro="">
      <xdr:nvGraphicFramePr>
        <xdr:cNvPr id="2" name="Chart 1">
          <a:extLst>
            <a:ext uri="{FF2B5EF4-FFF2-40B4-BE49-F238E27FC236}">
              <a16:creationId xmlns:a16="http://schemas.microsoft.com/office/drawing/2014/main" id="{9E5D95BB-8981-4169-95F4-923CDF8BD0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263338</xdr:colOff>
      <xdr:row>5</xdr:row>
      <xdr:rowOff>22411</xdr:rowOff>
    </xdr:from>
    <xdr:to>
      <xdr:col>27</xdr:col>
      <xdr:colOff>100853</xdr:colOff>
      <xdr:row>23</xdr:row>
      <xdr:rowOff>168086</xdr:rowOff>
    </xdr:to>
    <xdr:graphicFrame macro="">
      <xdr:nvGraphicFramePr>
        <xdr:cNvPr id="3" name="Chart 2">
          <a:extLst>
            <a:ext uri="{FF2B5EF4-FFF2-40B4-BE49-F238E27FC236}">
              <a16:creationId xmlns:a16="http://schemas.microsoft.com/office/drawing/2014/main" id="{74DC67B8-8181-4862-B5CE-8B2E4B279C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16</xdr:col>
      <xdr:colOff>0</xdr:colOff>
      <xdr:row>58</xdr:row>
      <xdr:rowOff>12327</xdr:rowOff>
    </xdr:from>
    <xdr:to>
      <xdr:col>27</xdr:col>
      <xdr:colOff>257736</xdr:colOff>
      <xdr:row>72</xdr:row>
      <xdr:rowOff>88527</xdr:rowOff>
    </xdr:to>
    <xdr:graphicFrame macro="">
      <xdr:nvGraphicFramePr>
        <xdr:cNvPr id="4" name="Chart 3">
          <a:extLst>
            <a:ext uri="{FF2B5EF4-FFF2-40B4-BE49-F238E27FC236}">
              <a16:creationId xmlns:a16="http://schemas.microsoft.com/office/drawing/2014/main" id="{4807C2AB-2B58-461E-93C9-22B5189218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Bogholderi\00%20Budget\2022\01%20Budget%2020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mdata"/>
      <sheetName val="Toolpack®"/>
      <sheetName val="input"/>
      <sheetName val="Skabelon"/>
      <sheetName val="Konsolidering"/>
      <sheetName val="Budget 1"/>
      <sheetName val="Kommentarer"/>
      <sheetName val="NES - mængder"/>
      <sheetName val="Budget 2022"/>
      <sheetName val="2022 med RGK + VAK"/>
      <sheetName val="El salg 2022"/>
      <sheetName val="accounts"/>
      <sheetName val="language"/>
      <sheetName val="SalesBudget - Credit"/>
      <sheetName val="SalesBudget - Debet"/>
      <sheetName val="RangeControl"/>
      <sheetName val="Accrual"/>
    </sheetNames>
    <sheetDataSet>
      <sheetData sheetId="0" refreshError="1"/>
      <sheetData sheetId="1">
        <row r="8">
          <cell r="B8">
            <v>2</v>
          </cell>
        </row>
      </sheetData>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ow r="2">
          <cell r="B2" t="str">
            <v>kTP</v>
          </cell>
          <cell r="C2" t="str">
            <v>Toolpack®</v>
          </cell>
          <cell r="D2" t="str">
            <v>Toolpack®</v>
          </cell>
          <cell r="E2" t="str">
            <v>Toolpack-finance®</v>
          </cell>
          <cell r="F2" t="str">
            <v>Toolpack-Finance®</v>
          </cell>
        </row>
        <row r="3">
          <cell r="B3" t="str">
            <v>kAcc</v>
          </cell>
          <cell r="C3" t="str">
            <v>Account</v>
          </cell>
          <cell r="D3" t="str">
            <v>Konto</v>
          </cell>
          <cell r="E3" t="str">
            <v>Konto</v>
          </cell>
          <cell r="F3" t="str">
            <v>Konto</v>
          </cell>
        </row>
        <row r="4">
          <cell r="B4" t="str">
            <v>kAccName</v>
          </cell>
          <cell r="C4" t="str">
            <v>Account name</v>
          </cell>
          <cell r="D4" t="str">
            <v>Kontonavn</v>
          </cell>
          <cell r="E4" t="str">
            <v>Kontonamn</v>
          </cell>
          <cell r="F4" t="str">
            <v>Kontoname</v>
          </cell>
        </row>
        <row r="5">
          <cell r="B5" t="str">
            <v>kTotal</v>
          </cell>
          <cell r="C5" t="str">
            <v>Sum af månedsspec.</v>
          </cell>
          <cell r="D5" t="str">
            <v>Sum af månedsspec.</v>
          </cell>
          <cell r="E5" t="str">
            <v>Total</v>
          </cell>
          <cell r="F5" t="str">
            <v>Gesamt</v>
          </cell>
        </row>
        <row r="6">
          <cell r="B6" t="str">
            <v>kBud</v>
          </cell>
          <cell r="C6" t="str">
            <v>G/L Budget</v>
          </cell>
          <cell r="D6" t="str">
            <v>Driftsbudget</v>
          </cell>
          <cell r="E6" t="str">
            <v>Budgeteringsmodell</v>
          </cell>
          <cell r="F6" t="str">
            <v>Budget</v>
          </cell>
        </row>
        <row r="7">
          <cell r="B7" t="str">
            <v>kBudYear</v>
          </cell>
          <cell r="C7" t="str">
            <v>Budget year</v>
          </cell>
          <cell r="D7" t="str">
            <v>Budgetår</v>
          </cell>
          <cell r="E7" t="str">
            <v>Budgetår</v>
          </cell>
          <cell r="F7" t="str">
            <v>Budgetjahr</v>
          </cell>
        </row>
        <row r="8">
          <cell r="B8" t="str">
            <v>kDim1</v>
          </cell>
          <cell r="C8" t="str">
            <v>Dimension 1</v>
          </cell>
          <cell r="D8" t="str">
            <v>Dimension 1</v>
          </cell>
          <cell r="E8" t="str">
            <v>Dimension 1</v>
          </cell>
          <cell r="F8" t="str">
            <v>Dimension 1</v>
          </cell>
        </row>
        <row r="9">
          <cell r="B9" t="str">
            <v>kDim2</v>
          </cell>
          <cell r="C9" t="str">
            <v>Dimension 2</v>
          </cell>
          <cell r="D9" t="str">
            <v>Dimension 2</v>
          </cell>
          <cell r="E9" t="str">
            <v>Dimension 2</v>
          </cell>
          <cell r="F9" t="str">
            <v>Dimension 2</v>
          </cell>
        </row>
        <row r="10">
          <cell r="B10" t="str">
            <v>kDim3</v>
          </cell>
          <cell r="C10" t="str">
            <v>Dimension 3</v>
          </cell>
          <cell r="D10" t="str">
            <v>Dimension 3</v>
          </cell>
          <cell r="E10" t="str">
            <v>Dimension 3</v>
          </cell>
          <cell r="F10" t="str">
            <v>Dimension 3</v>
          </cell>
        </row>
        <row r="11">
          <cell r="B11" t="str">
            <v>kDim4</v>
          </cell>
          <cell r="C11" t="str">
            <v>Dimension 4</v>
          </cell>
          <cell r="D11" t="str">
            <v>Dimension 4</v>
          </cell>
          <cell r="E11" t="str">
            <v>Dimension 4</v>
          </cell>
          <cell r="F11" t="str">
            <v>Dimension 4</v>
          </cell>
        </row>
        <row r="12">
          <cell r="B12" t="str">
            <v>kBudName</v>
          </cell>
          <cell r="C12" t="str">
            <v>Budget name - this year</v>
          </cell>
          <cell r="D12" t="str">
            <v>Budgetnavn - i år</v>
          </cell>
          <cell r="E12" t="str">
            <v>Budgetnamn - i år</v>
          </cell>
          <cell r="F12" t="str">
            <v>Budgetname- dieses Jahr</v>
          </cell>
        </row>
        <row r="13">
          <cell r="B13" t="str">
            <v>kBudNameLY</v>
          </cell>
          <cell r="C13" t="str">
            <v>Budget name - last year</v>
          </cell>
          <cell r="D13" t="str">
            <v>Budgetnavn - sidste år</v>
          </cell>
          <cell r="E13" t="str">
            <v>Budgetnamn - förra året</v>
          </cell>
          <cell r="F13" t="str">
            <v>Budgetname- letztes Jahr</v>
          </cell>
        </row>
        <row r="14">
          <cell r="B14" t="str">
            <v>kBudNameNext</v>
          </cell>
          <cell r="C14" t="str">
            <v>Budget name - next year</v>
          </cell>
          <cell r="D14" t="str">
            <v>Budgetnavn - næste år</v>
          </cell>
          <cell r="E14" t="str">
            <v>Budgetnamn - året +1</v>
          </cell>
          <cell r="F14" t="str">
            <v>Budgetname- Jahr +1</v>
          </cell>
        </row>
        <row r="15">
          <cell r="B15" t="str">
            <v>kDSN</v>
          </cell>
          <cell r="C15" t="str">
            <v>Data source</v>
          </cell>
          <cell r="D15" t="str">
            <v>Datakilde</v>
          </cell>
          <cell r="E15" t="str">
            <v>Datakälla</v>
          </cell>
          <cell r="F15" t="str">
            <v>Datenquelle</v>
          </cell>
        </row>
        <row r="16">
          <cell r="B16" t="str">
            <v>kResult</v>
          </cell>
          <cell r="C16" t="str">
            <v>Result</v>
          </cell>
          <cell r="D16" t="str">
            <v>Resultat</v>
          </cell>
          <cell r="E16" t="str">
            <v>Resultat</v>
          </cell>
          <cell r="F16" t="str">
            <v>Ergebnis</v>
          </cell>
        </row>
        <row r="17">
          <cell r="B17" t="str">
            <v>kBalance</v>
          </cell>
          <cell r="C17" t="str">
            <v>Balance</v>
          </cell>
          <cell r="D17" t="str">
            <v>Balance</v>
          </cell>
          <cell r="E17" t="str">
            <v>Balans</v>
          </cell>
          <cell r="F17" t="str">
            <v>Bilanz</v>
          </cell>
        </row>
        <row r="18">
          <cell r="B18" t="str">
            <v>kConsBud</v>
          </cell>
          <cell r="C18" t="str">
            <v>Consolidation of budgets</v>
          </cell>
          <cell r="D18" t="str">
            <v>Konsolidering af budgetter</v>
          </cell>
          <cell r="E18" t="str">
            <v>Konsolidering av budgeter</v>
          </cell>
          <cell r="F18" t="str">
            <v>Konsolidierung der Budgets</v>
          </cell>
        </row>
        <row r="19">
          <cell r="B19" t="str">
            <v>kSetup</v>
          </cell>
          <cell r="C19" t="str">
            <v>Setup</v>
          </cell>
          <cell r="D19" t="str">
            <v>Opsætning</v>
          </cell>
          <cell r="E19" t="str">
            <v>Uppsättning</v>
          </cell>
          <cell r="F19" t="str">
            <v>Einstellung</v>
          </cell>
        </row>
        <row r="20">
          <cell r="B20" t="str">
            <v>kBudTemplate</v>
          </cell>
          <cell r="C20" t="str">
            <v>Budget Template</v>
          </cell>
          <cell r="D20" t="str">
            <v>Budget skabelon</v>
          </cell>
          <cell r="E20" t="str">
            <v>Budget skabelon</v>
          </cell>
          <cell r="F20" t="str">
            <v>Budgetschablone</v>
          </cell>
        </row>
        <row r="21">
          <cell r="B21" t="str">
            <v>kBudAm</v>
          </cell>
          <cell r="C21" t="str">
            <v>Budget allocation</v>
          </cell>
          <cell r="D21" t="str">
            <v>Angiv budgetværdi</v>
          </cell>
          <cell r="E21" t="str">
            <v>Budgetvärde</v>
          </cell>
          <cell r="F21" t="str">
            <v>Budgetwert</v>
          </cell>
        </row>
        <row r="22">
          <cell r="B22" t="str">
            <v>kFirstMonth</v>
          </cell>
          <cell r="C22" t="str">
            <v>First month</v>
          </cell>
          <cell r="D22" t="str">
            <v>Start måned</v>
          </cell>
          <cell r="E22" t="str">
            <v>Start måned</v>
          </cell>
          <cell r="F22" t="str">
            <v>Startmonat</v>
          </cell>
        </row>
        <row r="23">
          <cell r="B23" t="str">
            <v>kCompany</v>
          </cell>
          <cell r="C23" t="str">
            <v>Company</v>
          </cell>
          <cell r="D23" t="str">
            <v>Regnskab</v>
          </cell>
          <cell r="E23" t="str">
            <v>Regnskab</v>
          </cell>
          <cell r="F23" t="str">
            <v>Abschluss</v>
          </cell>
        </row>
        <row r="24">
          <cell r="B24" t="str">
            <v>konsolidering</v>
          </cell>
          <cell r="C24" t="str">
            <v>Consolidate</v>
          </cell>
          <cell r="D24" t="str">
            <v>Konsolidering</v>
          </cell>
          <cell r="E24" t="str">
            <v>Konsolidering</v>
          </cell>
          <cell r="F24" t="str">
            <v>Konsolidierung</v>
          </cell>
        </row>
        <row r="25">
          <cell r="B25" t="str">
            <v>DimBudget</v>
          </cell>
          <cell r="C25" t="str">
            <v>Dimensionary budget</v>
          </cell>
          <cell r="D25" t="str">
            <v>Dimensions budget</v>
          </cell>
          <cell r="E25" t="str">
            <v>Dimensions budget</v>
          </cell>
          <cell r="F25" t="str">
            <v>Dimensionsbudget</v>
          </cell>
        </row>
        <row r="26">
          <cell r="B26" t="str">
            <v>Ark2</v>
          </cell>
          <cell r="C26" t="str">
            <v>Template</v>
          </cell>
          <cell r="D26" t="str">
            <v>Skabelon</v>
          </cell>
          <cell r="E26" t="str">
            <v>Malle</v>
          </cell>
          <cell r="F26" t="str">
            <v>Schablone</v>
          </cell>
        </row>
        <row r="27">
          <cell r="B27">
            <v>124</v>
          </cell>
          <cell r="C27" t="str">
            <v>Consolidate budgets</v>
          </cell>
          <cell r="D27" t="str">
            <v>Konsoliderer budgetter</v>
          </cell>
          <cell r="E27" t="str">
            <v>Konsoliderar budgeter</v>
          </cell>
          <cell r="F27" t="str">
            <v>Konsolidiere Budgets</v>
          </cell>
        </row>
        <row r="28">
          <cell r="B28">
            <v>134</v>
          </cell>
          <cell r="C28" t="str">
            <v>Unable to consolidate account</v>
          </cell>
          <cell r="D28" t="str">
            <v>Kan ikke konsolidere konto</v>
          </cell>
          <cell r="E28" t="str">
            <v>Kan inte konsolidera konto</v>
          </cell>
          <cell r="F28" t="str">
            <v>Kann Konto nicht konsolidieren</v>
          </cell>
        </row>
        <row r="29">
          <cell r="B29">
            <v>135</v>
          </cell>
          <cell r="C29" t="str">
            <v>Consolidate</v>
          </cell>
          <cell r="D29" t="str">
            <v>Konsolider</v>
          </cell>
          <cell r="E29" t="str">
            <v>Konsolidera</v>
          </cell>
          <cell r="F29" t="str">
            <v>Konsolidiere</v>
          </cell>
        </row>
        <row r="30">
          <cell r="B30">
            <v>244</v>
          </cell>
          <cell r="C30" t="str">
            <v>Select only one column</v>
          </cell>
          <cell r="D30" t="str">
            <v>Vælg kun en kolonne</v>
          </cell>
          <cell r="E30" t="str">
            <v>Välj endast en kolumn</v>
          </cell>
          <cell r="F30" t="str">
            <v>Nur eine Spalte wählen</v>
          </cell>
        </row>
        <row r="31">
          <cell r="B31">
            <v>1007</v>
          </cell>
          <cell r="C31" t="str">
            <v>There is a formula in the cell</v>
          </cell>
          <cell r="D31" t="str">
            <v>Der er en formel i celle</v>
          </cell>
          <cell r="E31" t="str">
            <v>Det finns en formel i cellen</v>
          </cell>
          <cell r="F31" t="str">
            <v>Es befindet sich eine Formel in der Zelle</v>
          </cell>
        </row>
        <row r="32">
          <cell r="B32">
            <v>1008</v>
          </cell>
          <cell r="C32" t="str">
            <v>Do you want to overwrite it?</v>
          </cell>
          <cell r="D32" t="str">
            <v>Ønsker du at overskrive den?</v>
          </cell>
          <cell r="E32" t="str">
            <v>Vill du ersätta den?</v>
          </cell>
          <cell r="F32" t="str">
            <v>Wollen Sie diese überschreiben?</v>
          </cell>
        </row>
        <row r="33">
          <cell r="B33">
            <v>1010</v>
          </cell>
          <cell r="C33" t="str">
            <v>Distribution of figures</v>
          </cell>
          <cell r="D33" t="str">
            <v>Opdatering af tal</v>
          </cell>
          <cell r="E33" t="str">
            <v>Fördelning av tal</v>
          </cell>
          <cell r="F33" t="str">
            <v>Aktualisierung der Zahlen</v>
          </cell>
        </row>
        <row r="34">
          <cell r="B34">
            <v>55</v>
          </cell>
          <cell r="C34" t="str">
            <v>Select month</v>
          </cell>
          <cell r="D34" t="str">
            <v>Vælg måned</v>
          </cell>
          <cell r="E34" t="str">
            <v>Välj månad</v>
          </cell>
          <cell r="F34" t="str">
            <v>Monat wählen</v>
          </cell>
        </row>
        <row r="35">
          <cell r="B35">
            <v>56</v>
          </cell>
          <cell r="C35" t="str">
            <v>Starting month of quarter?</v>
          </cell>
          <cell r="D35" t="str">
            <v>Hvilken måned starter kvartalet?</v>
          </cell>
          <cell r="E35" t="str">
            <v>Vilken månad inleds kvartalet?</v>
          </cell>
          <cell r="F35" t="str">
            <v>In welchem Monat beginnt das Quartal?</v>
          </cell>
        </row>
        <row r="36">
          <cell r="B36">
            <v>57</v>
          </cell>
          <cell r="C36" t="str">
            <v>1st month of the year</v>
          </cell>
          <cell r="D36" t="str">
            <v>1. måned i året</v>
          </cell>
          <cell r="E36" t="str">
            <v>Årets 1:a månad</v>
          </cell>
          <cell r="F36" t="str">
            <v>1. Monat im Jahr</v>
          </cell>
        </row>
        <row r="37">
          <cell r="B37">
            <v>58</v>
          </cell>
          <cell r="C37" t="str">
            <v>2nd month of the year</v>
          </cell>
          <cell r="D37" t="str">
            <v>2. måned i året</v>
          </cell>
          <cell r="E37" t="str">
            <v>Årets 2:a månad</v>
          </cell>
          <cell r="F37" t="str">
            <v>2. Monat im Jahr</v>
          </cell>
        </row>
        <row r="38">
          <cell r="B38">
            <v>59</v>
          </cell>
          <cell r="C38" t="str">
            <v>3rd month of the year</v>
          </cell>
          <cell r="D38" t="str">
            <v>3. måned i året</v>
          </cell>
          <cell r="E38" t="str">
            <v>Årets 3:e månad</v>
          </cell>
          <cell r="F38" t="str">
            <v>3. Monat im Jahr</v>
          </cell>
        </row>
        <row r="39">
          <cell r="B39">
            <v>24</v>
          </cell>
          <cell r="C39" t="str">
            <v>Ok</v>
          </cell>
          <cell r="D39" t="str">
            <v>Ok</v>
          </cell>
          <cell r="E39" t="str">
            <v>Ok</v>
          </cell>
          <cell r="F39" t="str">
            <v>Ok</v>
          </cell>
        </row>
        <row r="40">
          <cell r="B40">
            <v>25</v>
          </cell>
          <cell r="C40" t="str">
            <v>Cancel</v>
          </cell>
          <cell r="D40" t="str">
            <v>Annuller</v>
          </cell>
          <cell r="E40" t="str">
            <v>Annullera</v>
          </cell>
          <cell r="F40" t="str">
            <v>Abbrechen</v>
          </cell>
        </row>
        <row r="41">
          <cell r="B41">
            <v>86</v>
          </cell>
          <cell r="C41" t="str">
            <v>Accrual</v>
          </cell>
          <cell r="D41" t="str">
            <v>Periodisering</v>
          </cell>
          <cell r="E41" t="str">
            <v>Periodisering</v>
          </cell>
          <cell r="F41" t="str">
            <v>Periodisierung</v>
          </cell>
        </row>
        <row r="42">
          <cell r="B42">
            <v>89</v>
          </cell>
          <cell r="C42" t="str">
            <v>Month</v>
          </cell>
          <cell r="D42" t="str">
            <v>Måned</v>
          </cell>
          <cell r="E42" t="str">
            <v>Månad</v>
          </cell>
          <cell r="F42" t="str">
            <v>Monat</v>
          </cell>
        </row>
        <row r="43">
          <cell r="B43">
            <v>90</v>
          </cell>
          <cell r="C43" t="str">
            <v>Quarter</v>
          </cell>
          <cell r="D43" t="str">
            <v>Kvartal</v>
          </cell>
          <cell r="E43" t="str">
            <v>Kvartal</v>
          </cell>
          <cell r="F43" t="str">
            <v>Quartal</v>
          </cell>
        </row>
        <row r="44">
          <cell r="B44">
            <v>91</v>
          </cell>
          <cell r="C44" t="str">
            <v>Percent</v>
          </cell>
          <cell r="D44" t="str">
            <v>Procent</v>
          </cell>
          <cell r="E44" t="str">
            <v>Procent</v>
          </cell>
          <cell r="F44" t="str">
            <v>Prozent</v>
          </cell>
        </row>
        <row r="45">
          <cell r="B45">
            <v>381</v>
          </cell>
          <cell r="C45" t="str">
            <v>Roll-back</v>
          </cell>
          <cell r="D45" t="str">
            <v>Roll-Back</v>
          </cell>
          <cell r="E45" t="str">
            <v>Roll-Back</v>
          </cell>
          <cell r="F45" t="str">
            <v>Roll-Back</v>
          </cell>
        </row>
        <row r="46">
          <cell r="B46">
            <v>313</v>
          </cell>
          <cell r="C46" t="str">
            <v>The current region totals to</v>
          </cell>
          <cell r="D46" t="str">
            <v>Nuværende område giver</v>
          </cell>
          <cell r="E46" t="str">
            <v>Nuvarande område ger</v>
          </cell>
          <cell r="F46" t="str">
            <v>Vorliegender Bereich ergibt</v>
          </cell>
        </row>
        <row r="47">
          <cell r="B47">
            <v>314</v>
          </cell>
          <cell r="C47" t="str">
            <v>Type new total of the selected region</v>
          </cell>
          <cell r="D47" t="str">
            <v>Angiv nyt beløb til fordeling:</v>
          </cell>
          <cell r="E47" t="str">
            <v>Ange nytt belopp för fördelning:</v>
          </cell>
          <cell r="F47" t="str">
            <v>Neuen Betrag für Verteilung angeben:</v>
          </cell>
        </row>
        <row r="48">
          <cell r="B48">
            <v>315</v>
          </cell>
          <cell r="C48" t="str">
            <v>Create new roll-back value</v>
          </cell>
          <cell r="D48" t="str">
            <v>Ny Roll-Back værdi</v>
          </cell>
          <cell r="E48" t="str">
            <v>Nytt Roll-Back-värde</v>
          </cell>
          <cell r="F48" t="str">
            <v>Neuer Roll-Back-Wert</v>
          </cell>
        </row>
        <row r="49">
          <cell r="B49">
            <v>912</v>
          </cell>
          <cell r="C49" t="str">
            <v>Yes</v>
          </cell>
          <cell r="D49" t="str">
            <v>Ja</v>
          </cell>
          <cell r="E49" t="str">
            <v>Ja</v>
          </cell>
          <cell r="F49" t="str">
            <v>Ja</v>
          </cell>
        </row>
        <row r="50">
          <cell r="B50">
            <v>913</v>
          </cell>
          <cell r="C50" t="str">
            <v>Yes to all</v>
          </cell>
          <cell r="D50" t="str">
            <v>Ja til Alle</v>
          </cell>
          <cell r="E50" t="str">
            <v>Ja till alla</v>
          </cell>
          <cell r="F50" t="str">
            <v>Ja zu Allen</v>
          </cell>
        </row>
        <row r="51">
          <cell r="B51">
            <v>914</v>
          </cell>
          <cell r="C51" t="str">
            <v>No</v>
          </cell>
          <cell r="D51" t="str">
            <v>Nej</v>
          </cell>
          <cell r="E51" t="str">
            <v>Nej</v>
          </cell>
          <cell r="F51" t="str">
            <v>Nein</v>
          </cell>
        </row>
        <row r="52">
          <cell r="B52">
            <v>915</v>
          </cell>
          <cell r="C52" t="str">
            <v>No to all</v>
          </cell>
          <cell r="D52" t="str">
            <v>Nej til Alle</v>
          </cell>
          <cell r="E52" t="str">
            <v>Nej till alla</v>
          </cell>
          <cell r="F52" t="str">
            <v>Nein zu Allen</v>
          </cell>
        </row>
        <row r="53">
          <cell r="B53">
            <v>270</v>
          </cell>
          <cell r="C53" t="str">
            <v>Please type in a numerical value for distribution</v>
          </cell>
          <cell r="D53" t="str">
            <v>Du skal angive en tal-værdi til fordeling</v>
          </cell>
          <cell r="E53" t="str">
            <v>Du ska ange ett nummervärde för fördelning</v>
          </cell>
          <cell r="F53" t="str">
            <v>Sie müssen einen Zahlenwert für die Verteilung angeben</v>
          </cell>
        </row>
        <row r="54">
          <cell r="B54">
            <v>271</v>
          </cell>
          <cell r="C54" t="str">
            <v>Regulate</v>
          </cell>
          <cell r="D54" t="str">
            <v>Regulering</v>
          </cell>
          <cell r="E54" t="str">
            <v>Regulate</v>
          </cell>
          <cell r="F54" t="str">
            <v>Regulate</v>
          </cell>
        </row>
        <row r="55">
          <cell r="B55">
            <v>272</v>
          </cell>
          <cell r="C55" t="str">
            <v>Index</v>
          </cell>
          <cell r="D55" t="str">
            <v>Indeks</v>
          </cell>
          <cell r="E55" t="str">
            <v>Index</v>
          </cell>
          <cell r="F55" t="str">
            <v>Index</v>
          </cell>
        </row>
        <row r="56">
          <cell r="B56">
            <v>273</v>
          </cell>
          <cell r="C56" t="str">
            <v>Inactive</v>
          </cell>
          <cell r="D56" t="str">
            <v>Inaktiv</v>
          </cell>
          <cell r="E56" t="str">
            <v>Inactive</v>
          </cell>
          <cell r="F56" t="str">
            <v>Inactive</v>
          </cell>
        </row>
        <row r="57">
          <cell r="B57">
            <v>274</v>
          </cell>
          <cell r="C57" t="str">
            <v>Budget values</v>
          </cell>
          <cell r="D57" t="str">
            <v>Budget værdi</v>
          </cell>
          <cell r="E57" t="str">
            <v>Budget values</v>
          </cell>
          <cell r="F57" t="str">
            <v>Budget values</v>
          </cell>
        </row>
        <row r="58">
          <cell r="B58">
            <v>275</v>
          </cell>
          <cell r="C58" t="str">
            <v>Budget total</v>
          </cell>
          <cell r="D58" t="str">
            <v>Budget total</v>
          </cell>
          <cell r="E58" t="str">
            <v>Budget total</v>
          </cell>
          <cell r="F58" t="str">
            <v>Budget total</v>
          </cell>
        </row>
        <row r="59">
          <cell r="B59">
            <v>276</v>
          </cell>
          <cell r="C59" t="str">
            <v>Budget year</v>
          </cell>
          <cell r="D59" t="str">
            <v>Års budget</v>
          </cell>
          <cell r="E59" t="str">
            <v>Budget year</v>
          </cell>
          <cell r="F59" t="str">
            <v>Budget year</v>
          </cell>
        </row>
        <row r="60">
          <cell r="B60" t="str">
            <v>kBudName1</v>
          </cell>
          <cell r="C60" t="str">
            <v>Budget name - data 1</v>
          </cell>
          <cell r="D60" t="str">
            <v>Budget navn - data 1</v>
          </cell>
        </row>
        <row r="61">
          <cell r="B61" t="str">
            <v>kBudName2</v>
          </cell>
          <cell r="C61" t="str">
            <v>Budget name - data 2</v>
          </cell>
          <cell r="D61" t="str">
            <v>Budget navn - data 2</v>
          </cell>
        </row>
        <row r="62">
          <cell r="C62" t="str">
            <v>Created</v>
          </cell>
        </row>
        <row r="63">
          <cell r="B63">
            <v>277</v>
          </cell>
          <cell r="C63" t="str">
            <v>Created</v>
          </cell>
          <cell r="D63" t="str">
            <v>Oprettet</v>
          </cell>
        </row>
        <row r="64">
          <cell r="B64">
            <v>278</v>
          </cell>
          <cell r="C64" t="str">
            <v>Created by</v>
          </cell>
          <cell r="D64" t="str">
            <v>af:</v>
          </cell>
        </row>
        <row r="65">
          <cell r="B65">
            <v>279</v>
          </cell>
          <cell r="C65" t="str">
            <v>Consolidate budget</v>
          </cell>
          <cell r="D65" t="str">
            <v>Konsolider budget</v>
          </cell>
        </row>
        <row r="66">
          <cell r="B66">
            <v>280</v>
          </cell>
          <cell r="C66" t="str">
            <v>Total Budget Input</v>
          </cell>
          <cell r="D66" t="str">
            <v>Total budgetinput</v>
          </cell>
        </row>
      </sheetData>
      <sheetData sheetId="13" refreshError="1"/>
      <sheetData sheetId="14" refreshError="1"/>
      <sheetData sheetId="15" refreshError="1"/>
      <sheetData sheetId="16" refreshError="1"/>
    </sheetDataSet>
  </externalBook>
</externalLink>
</file>

<file path=xl/persons/person.xml><?xml version="1.0" encoding="utf-8"?>
<personList xmlns="http://schemas.microsoft.com/office/spreadsheetml/2018/threadedcomments" xmlns:x="http://schemas.openxmlformats.org/spreadsheetml/2006/main">
  <person displayName="Mogens Bech Laursen" id="{6C31D44C-7906-4E42-9043-153FA373E923}" userId="S::mbl@AddedValues.eu::48d0cd40-4225-4960-b132-87031196de12"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2-01-04T13:34:10.18" personId="{6C31D44C-7906-4E42-9043-153FA373E923}" id="{04A514C6-5BEB-4A60-8AD3-00B9D21C6D7E}">
    <text>Se Leila Gharani: 
https://www.youtube.com/watch?v=VxReJslyJm8</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microsoft.com/office/2017/10/relationships/threadedComment" Target="../threadedComments/threadedComment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7D4B8-6C71-4652-8349-7ACCFE95AAEF}">
  <sheetPr codeName="Sheet3"/>
  <dimension ref="B4:D11"/>
  <sheetViews>
    <sheetView zoomScale="85" zoomScaleNormal="85" workbookViewId="0">
      <selection activeCell="D5" sqref="D5"/>
    </sheetView>
  </sheetViews>
  <sheetFormatPr defaultRowHeight="15" x14ac:dyDescent="0.25"/>
  <cols>
    <col min="1" max="1" width="2.7109375" customWidth="1"/>
    <col min="2" max="2" width="18.85546875" bestFit="1" customWidth="1"/>
    <col min="3" max="3" width="9.7109375" bestFit="1" customWidth="1"/>
    <col min="4" max="4" width="43" bestFit="1" customWidth="1"/>
  </cols>
  <sheetData>
    <row r="4" spans="2:4" x14ac:dyDescent="0.25">
      <c r="B4" s="19" t="s">
        <v>90</v>
      </c>
      <c r="C4" s="19" t="s">
        <v>89</v>
      </c>
      <c r="D4" s="19" t="s">
        <v>67</v>
      </c>
    </row>
    <row r="5" spans="2:4" x14ac:dyDescent="0.25">
      <c r="B5" t="s">
        <v>201</v>
      </c>
      <c r="C5" s="5">
        <v>1</v>
      </c>
      <c r="D5" s="78" t="s">
        <v>202</v>
      </c>
    </row>
    <row r="6" spans="2:4" x14ac:dyDescent="0.25">
      <c r="B6" t="s">
        <v>92</v>
      </c>
      <c r="C6" s="5">
        <v>0</v>
      </c>
      <c r="D6" t="s">
        <v>56</v>
      </c>
    </row>
    <row r="7" spans="2:4" x14ac:dyDescent="0.25">
      <c r="B7" t="s">
        <v>79</v>
      </c>
      <c r="C7" s="4">
        <v>50</v>
      </c>
      <c r="D7" t="s">
        <v>56</v>
      </c>
    </row>
    <row r="8" spans="2:4" x14ac:dyDescent="0.25">
      <c r="B8" t="s">
        <v>81</v>
      </c>
      <c r="C8" s="3">
        <v>7.0000000000000007E-2</v>
      </c>
    </row>
    <row r="9" spans="2:4" x14ac:dyDescent="0.25">
      <c r="B9" t="s">
        <v>82</v>
      </c>
      <c r="C9" s="3">
        <v>0.1</v>
      </c>
    </row>
    <row r="10" spans="2:4" x14ac:dyDescent="0.25">
      <c r="B10" t="s">
        <v>91</v>
      </c>
      <c r="C10">
        <v>0</v>
      </c>
      <c r="D10" t="s">
        <v>56</v>
      </c>
    </row>
    <row r="11" spans="2:4" x14ac:dyDescent="0.25">
      <c r="B11" t="s">
        <v>212</v>
      </c>
      <c r="C11" s="3">
        <v>0.45</v>
      </c>
      <c r="D11" t="s">
        <v>93</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27A585-83EA-4225-86EB-6DADE786ABF8}">
  <sheetPr codeName="Sheet4"/>
  <dimension ref="A3:C16"/>
  <sheetViews>
    <sheetView workbookViewId="0">
      <selection activeCell="L12" sqref="L12"/>
    </sheetView>
  </sheetViews>
  <sheetFormatPr defaultRowHeight="15" x14ac:dyDescent="0.25"/>
  <cols>
    <col min="1" max="1" width="9.140625" style="276"/>
  </cols>
  <sheetData>
    <row r="3" spans="1:3" x14ac:dyDescent="0.25">
      <c r="A3" s="366" t="s">
        <v>441</v>
      </c>
      <c r="B3" s="1" t="s">
        <v>437</v>
      </c>
    </row>
    <row r="4" spans="1:3" x14ac:dyDescent="0.25">
      <c r="A4" s="276" t="s">
        <v>442</v>
      </c>
      <c r="B4" s="6" t="s">
        <v>439</v>
      </c>
      <c r="C4" t="s">
        <v>438</v>
      </c>
    </row>
    <row r="5" spans="1:3" x14ac:dyDescent="0.25">
      <c r="B5" s="6"/>
      <c r="C5" t="s">
        <v>440</v>
      </c>
    </row>
    <row r="6" spans="1:3" x14ac:dyDescent="0.25">
      <c r="A6" s="276" t="s">
        <v>442</v>
      </c>
      <c r="B6" s="6" t="s">
        <v>443</v>
      </c>
      <c r="C6" t="s">
        <v>444</v>
      </c>
    </row>
    <row r="7" spans="1:3" x14ac:dyDescent="0.25">
      <c r="A7" s="276" t="s">
        <v>442</v>
      </c>
      <c r="B7" s="6" t="s">
        <v>445</v>
      </c>
      <c r="C7" t="s">
        <v>446</v>
      </c>
    </row>
    <row r="8" spans="1:3" x14ac:dyDescent="0.25">
      <c r="B8" s="6"/>
      <c r="C8" t="s">
        <v>448</v>
      </c>
    </row>
    <row r="9" spans="1:3" x14ac:dyDescent="0.25">
      <c r="B9" s="6"/>
      <c r="C9" t="s">
        <v>447</v>
      </c>
    </row>
    <row r="10" spans="1:3" x14ac:dyDescent="0.25">
      <c r="B10" s="6"/>
    </row>
    <row r="11" spans="1:3" x14ac:dyDescent="0.25">
      <c r="B11" s="6"/>
    </row>
    <row r="12" spans="1:3" x14ac:dyDescent="0.25">
      <c r="B12" s="6"/>
    </row>
    <row r="13" spans="1:3" x14ac:dyDescent="0.25">
      <c r="B13" s="6"/>
    </row>
    <row r="14" spans="1:3" x14ac:dyDescent="0.25">
      <c r="B14" s="6"/>
    </row>
    <row r="15" spans="1:3" x14ac:dyDescent="0.25">
      <c r="B15" s="6"/>
    </row>
    <row r="16" spans="1:3" x14ac:dyDescent="0.25">
      <c r="B16" s="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665CB-248B-4D91-AE19-B678AE7BB46A}">
  <sheetPr codeName="Sheet5">
    <tabColor theme="4" tint="0.59999389629810485"/>
  </sheetPr>
  <dimension ref="A1:CL45"/>
  <sheetViews>
    <sheetView zoomScale="85" zoomScaleNormal="85" workbookViewId="0">
      <selection activeCell="G8" sqref="G8"/>
    </sheetView>
  </sheetViews>
  <sheetFormatPr defaultRowHeight="15" outlineLevelCol="2" x14ac:dyDescent="0.25"/>
  <cols>
    <col min="1" max="1" width="20.85546875" customWidth="1"/>
    <col min="3" max="3" width="9.140625" customWidth="1" outlineLevel="1"/>
    <col min="4" max="4" width="8.140625" customWidth="1" outlineLevel="1"/>
    <col min="5" max="5" width="13.5703125" customWidth="1" outlineLevel="1"/>
    <col min="6" max="6" width="16" customWidth="1" outlineLevel="1"/>
    <col min="7" max="7" width="14.28515625" customWidth="1" outlineLevel="1"/>
    <col min="8" max="8" width="10.7109375" customWidth="1" outlineLevel="1"/>
    <col min="9" max="9" width="6.7109375" customWidth="1"/>
    <col min="10" max="20" width="6.7109375" customWidth="1" outlineLevel="1"/>
    <col min="21" max="21" width="6.7109375" customWidth="1"/>
    <col min="22" max="32" width="6.7109375" hidden="1" customWidth="1" outlineLevel="1"/>
    <col min="33" max="33" width="6.7109375" customWidth="1" collapsed="1"/>
    <col min="34" max="43" width="6.7109375" hidden="1" customWidth="1" outlineLevel="1"/>
    <col min="44" max="44" width="6.7109375" customWidth="1" collapsed="1"/>
    <col min="45" max="45" width="5" style="345" customWidth="1"/>
    <col min="46" max="46" width="28" style="73" customWidth="1" outlineLevel="1"/>
    <col min="47" max="48" width="11.28515625" style="276" customWidth="1" outlineLevel="2"/>
    <col min="49" max="50" width="9.140625" style="6" customWidth="1" outlineLevel="2"/>
    <col min="51" max="53" width="8.85546875" style="6" customWidth="1" outlineLevel="2"/>
    <col min="54" max="54" width="10.7109375" style="6" customWidth="1" outlineLevel="2"/>
    <col min="55" max="55" width="6.7109375" customWidth="1" outlineLevel="1"/>
    <col min="56" max="66" width="6.7109375" customWidth="1" outlineLevel="2"/>
    <col min="67" max="67" width="6.7109375" customWidth="1" outlineLevel="1"/>
    <col min="68" max="78" width="6.7109375" customWidth="1" outlineLevel="2"/>
    <col min="79" max="79" width="6.7109375" customWidth="1" outlineLevel="1"/>
    <col min="80" max="89" width="6.7109375" customWidth="1" outlineLevel="2"/>
    <col min="90" max="90" width="6.7109375" customWidth="1" outlineLevel="1"/>
  </cols>
  <sheetData>
    <row r="1" spans="1:90" x14ac:dyDescent="0.25">
      <c r="B1" s="1" t="s">
        <v>380</v>
      </c>
      <c r="G1" t="s">
        <v>98</v>
      </c>
      <c r="H1">
        <v>200</v>
      </c>
      <c r="I1">
        <v>200</v>
      </c>
    </row>
    <row r="2" spans="1:90" x14ac:dyDescent="0.25">
      <c r="G2" t="s">
        <v>178</v>
      </c>
      <c r="H2">
        <v>400</v>
      </c>
      <c r="I2">
        <v>800</v>
      </c>
      <c r="AU2" s="73"/>
      <c r="AV2" s="73"/>
      <c r="AW2" s="73"/>
      <c r="AX2" s="73"/>
      <c r="AY2" s="73"/>
    </row>
    <row r="3" spans="1:90" x14ac:dyDescent="0.25">
      <c r="H3" s="1"/>
    </row>
    <row r="4" spans="1:90" x14ac:dyDescent="0.25">
      <c r="A4" s="35"/>
      <c r="C4" s="333" t="s">
        <v>217</v>
      </c>
      <c r="H4" s="6"/>
      <c r="I4" s="35" cm="1">
        <f t="array" ref="I4:AR4">TRANSPOSE(PeriodRange)</f>
        <v>44197</v>
      </c>
      <c r="J4" s="351">
        <v>44228</v>
      </c>
      <c r="K4" s="351">
        <v>44256</v>
      </c>
      <c r="L4" s="351">
        <v>44287</v>
      </c>
      <c r="M4" s="351">
        <v>44317</v>
      </c>
      <c r="N4" s="351">
        <v>44348</v>
      </c>
      <c r="O4" s="351">
        <v>44378</v>
      </c>
      <c r="P4" s="351">
        <v>44409</v>
      </c>
      <c r="Q4" s="351">
        <v>44440</v>
      </c>
      <c r="R4" s="351">
        <v>44470</v>
      </c>
      <c r="S4" s="351">
        <v>44501</v>
      </c>
      <c r="T4" s="352">
        <v>44531</v>
      </c>
      <c r="U4" s="35">
        <v>44562</v>
      </c>
      <c r="V4" s="351">
        <v>44593</v>
      </c>
      <c r="W4" s="351">
        <v>44621</v>
      </c>
      <c r="X4" s="351">
        <v>44652</v>
      </c>
      <c r="Y4" s="351">
        <v>44682</v>
      </c>
      <c r="Z4" s="351">
        <v>44713</v>
      </c>
      <c r="AA4" s="351">
        <v>44743</v>
      </c>
      <c r="AB4" s="351">
        <v>44774</v>
      </c>
      <c r="AC4" s="351">
        <v>44805</v>
      </c>
      <c r="AD4" s="351">
        <v>44835</v>
      </c>
      <c r="AE4" s="351">
        <v>44866</v>
      </c>
      <c r="AF4" s="352">
        <v>44896</v>
      </c>
      <c r="AG4" s="35">
        <v>44927</v>
      </c>
      <c r="AH4" s="351">
        <v>44958</v>
      </c>
      <c r="AI4" s="351">
        <v>44986</v>
      </c>
      <c r="AJ4" s="351">
        <v>45017</v>
      </c>
      <c r="AK4" s="351">
        <v>45047</v>
      </c>
      <c r="AL4" s="351">
        <v>45078</v>
      </c>
      <c r="AM4" s="351">
        <v>45108</v>
      </c>
      <c r="AN4" s="351">
        <v>45139</v>
      </c>
      <c r="AO4" s="351">
        <v>45170</v>
      </c>
      <c r="AP4" s="351">
        <v>45200</v>
      </c>
      <c r="AQ4" s="351">
        <v>45231</v>
      </c>
      <c r="AR4" s="352">
        <v>45261</v>
      </c>
      <c r="AY4" s="6" t="s">
        <v>377</v>
      </c>
      <c r="AZ4" s="6" t="s">
        <v>378</v>
      </c>
      <c r="BA4" s="6" t="s">
        <v>379</v>
      </c>
      <c r="BC4" s="35">
        <f>I4</f>
        <v>44197</v>
      </c>
      <c r="BD4" s="351">
        <f t="shared" ref="BD4:CC13" si="0">J4</f>
        <v>44228</v>
      </c>
      <c r="BE4" s="351">
        <f t="shared" si="0"/>
        <v>44256</v>
      </c>
      <c r="BF4" s="351">
        <f t="shared" si="0"/>
        <v>44287</v>
      </c>
      <c r="BG4" s="351">
        <f t="shared" si="0"/>
        <v>44317</v>
      </c>
      <c r="BH4" s="351">
        <f t="shared" si="0"/>
        <v>44348</v>
      </c>
      <c r="BI4" s="351">
        <f t="shared" si="0"/>
        <v>44378</v>
      </c>
      <c r="BJ4" s="351">
        <f t="shared" si="0"/>
        <v>44409</v>
      </c>
      <c r="BK4" s="351">
        <f t="shared" si="0"/>
        <v>44440</v>
      </c>
      <c r="BL4" s="351">
        <f t="shared" si="0"/>
        <v>44470</v>
      </c>
      <c r="BM4" s="351">
        <f t="shared" si="0"/>
        <v>44501</v>
      </c>
      <c r="BN4" s="352">
        <f t="shared" si="0"/>
        <v>44531</v>
      </c>
      <c r="BO4" s="35">
        <f t="shared" si="0"/>
        <v>44562</v>
      </c>
      <c r="BP4" s="351">
        <f t="shared" si="0"/>
        <v>44593</v>
      </c>
      <c r="BQ4" s="351">
        <f t="shared" si="0"/>
        <v>44621</v>
      </c>
      <c r="BR4" s="351">
        <f t="shared" si="0"/>
        <v>44652</v>
      </c>
      <c r="BS4" s="351">
        <f t="shared" si="0"/>
        <v>44682</v>
      </c>
      <c r="BT4" s="351">
        <f t="shared" si="0"/>
        <v>44713</v>
      </c>
      <c r="BU4" s="351">
        <f t="shared" si="0"/>
        <v>44743</v>
      </c>
      <c r="BV4" s="351">
        <f t="shared" si="0"/>
        <v>44774</v>
      </c>
      <c r="BW4" s="351">
        <f t="shared" si="0"/>
        <v>44805</v>
      </c>
      <c r="BX4" s="351">
        <f t="shared" si="0"/>
        <v>44835</v>
      </c>
      <c r="BY4" s="351">
        <f t="shared" si="0"/>
        <v>44866</v>
      </c>
      <c r="BZ4" s="352">
        <f t="shared" si="0"/>
        <v>44896</v>
      </c>
      <c r="CA4" s="35">
        <f t="shared" si="0"/>
        <v>44927</v>
      </c>
      <c r="CB4" s="351">
        <f t="shared" si="0"/>
        <v>44958</v>
      </c>
      <c r="CC4" s="351">
        <f t="shared" si="0"/>
        <v>44986</v>
      </c>
      <c r="CD4" s="351">
        <f t="shared" ref="CD4:CD45" si="1">AJ4</f>
        <v>45017</v>
      </c>
      <c r="CE4" s="351">
        <f t="shared" ref="CE4:CE45" si="2">AK4</f>
        <v>45047</v>
      </c>
      <c r="CF4" s="351">
        <f t="shared" ref="CF4:CF45" si="3">AL4</f>
        <v>45078</v>
      </c>
      <c r="CG4" s="351">
        <f t="shared" ref="CG4:CG45" si="4">AM4</f>
        <v>45108</v>
      </c>
      <c r="CH4" s="351">
        <f t="shared" ref="CH4:CH45" si="5">AN4</f>
        <v>45139</v>
      </c>
      <c r="CI4" s="351">
        <f t="shared" ref="CI4:CI45" si="6">AO4</f>
        <v>45170</v>
      </c>
      <c r="CJ4" s="351">
        <f t="shared" ref="CJ4:CJ45" si="7">AP4</f>
        <v>45200</v>
      </c>
      <c r="CK4" s="351">
        <f t="shared" ref="CK4:CK45" si="8">AQ4</f>
        <v>45231</v>
      </c>
      <c r="CL4" s="352">
        <f t="shared" ref="CL4:CL45" si="9">AR4</f>
        <v>45261</v>
      </c>
    </row>
    <row r="5" spans="1:90" x14ac:dyDescent="0.25">
      <c r="A5" s="355" t="s">
        <v>431</v>
      </c>
      <c r="B5" s="304" t="s">
        <v>371</v>
      </c>
      <c r="C5" s="304" t="s">
        <v>184</v>
      </c>
      <c r="D5" s="305" t="s">
        <v>327</v>
      </c>
      <c r="E5" s="304" t="s">
        <v>372</v>
      </c>
      <c r="F5" s="304" t="s">
        <v>373</v>
      </c>
      <c r="G5" s="304" t="s">
        <v>374</v>
      </c>
      <c r="H5" s="304" t="s">
        <v>403</v>
      </c>
      <c r="I5" s="353" t="s">
        <v>141</v>
      </c>
      <c r="J5" s="347" t="s">
        <v>142</v>
      </c>
      <c r="K5" s="347" t="s">
        <v>143</v>
      </c>
      <c r="L5" s="347" t="s">
        <v>144</v>
      </c>
      <c r="M5" s="347" t="s">
        <v>145</v>
      </c>
      <c r="N5" s="347" t="s">
        <v>146</v>
      </c>
      <c r="O5" s="347" t="s">
        <v>147</v>
      </c>
      <c r="P5" s="347" t="s">
        <v>148</v>
      </c>
      <c r="Q5" s="347" t="s">
        <v>149</v>
      </c>
      <c r="R5" s="347" t="s">
        <v>150</v>
      </c>
      <c r="S5" s="347" t="s">
        <v>151</v>
      </c>
      <c r="T5" s="347" t="s">
        <v>152</v>
      </c>
      <c r="U5" s="353" t="s">
        <v>153</v>
      </c>
      <c r="V5" s="347" t="s">
        <v>154</v>
      </c>
      <c r="W5" s="347" t="s">
        <v>155</v>
      </c>
      <c r="X5" s="347" t="s">
        <v>156</v>
      </c>
      <c r="Y5" s="347" t="s">
        <v>157</v>
      </c>
      <c r="Z5" s="347" t="s">
        <v>158</v>
      </c>
      <c r="AA5" s="347" t="s">
        <v>159</v>
      </c>
      <c r="AB5" s="347" t="s">
        <v>160</v>
      </c>
      <c r="AC5" s="347" t="s">
        <v>161</v>
      </c>
      <c r="AD5" s="347" t="s">
        <v>162</v>
      </c>
      <c r="AE5" s="347" t="s">
        <v>163</v>
      </c>
      <c r="AF5" s="353" t="s">
        <v>164</v>
      </c>
      <c r="AG5" s="349" t="s">
        <v>165</v>
      </c>
      <c r="AH5" s="347" t="s">
        <v>166</v>
      </c>
      <c r="AI5" s="347" t="s">
        <v>167</v>
      </c>
      <c r="AJ5" s="347" t="s">
        <v>168</v>
      </c>
      <c r="AK5" s="347" t="s">
        <v>169</v>
      </c>
      <c r="AL5" s="347" t="s">
        <v>170</v>
      </c>
      <c r="AM5" s="347" t="s">
        <v>171</v>
      </c>
      <c r="AN5" s="347" t="s">
        <v>172</v>
      </c>
      <c r="AO5" s="347" t="s">
        <v>173</v>
      </c>
      <c r="AP5" s="347" t="s">
        <v>174</v>
      </c>
      <c r="AQ5" s="347" t="s">
        <v>175</v>
      </c>
      <c r="AR5" s="347" t="s">
        <v>176</v>
      </c>
      <c r="AT5" s="350" t="s">
        <v>0</v>
      </c>
      <c r="AU5" s="305" t="s">
        <v>371</v>
      </c>
      <c r="AV5" s="304" t="s">
        <v>432</v>
      </c>
      <c r="AW5" s="304" t="s">
        <v>184</v>
      </c>
      <c r="AX5" s="304" t="s">
        <v>327</v>
      </c>
      <c r="AY5" s="304" t="s">
        <v>372</v>
      </c>
      <c r="AZ5" s="304" t="s">
        <v>373</v>
      </c>
      <c r="BA5" s="304" t="s">
        <v>374</v>
      </c>
      <c r="BB5" s="304" t="str">
        <f>H5</f>
        <v>FastVaerdi</v>
      </c>
      <c r="BC5" s="353" t="str">
        <f>I5</f>
        <v>mo1</v>
      </c>
      <c r="BD5" s="347" t="str">
        <f t="shared" si="0"/>
        <v>mo2</v>
      </c>
      <c r="BE5" s="347" t="str">
        <f t="shared" si="0"/>
        <v>mo3</v>
      </c>
      <c r="BF5" s="347" t="str">
        <f t="shared" si="0"/>
        <v>mo4</v>
      </c>
      <c r="BG5" s="347" t="str">
        <f t="shared" si="0"/>
        <v>mo5</v>
      </c>
      <c r="BH5" s="347" t="str">
        <f t="shared" si="0"/>
        <v>mo6</v>
      </c>
      <c r="BI5" s="347" t="str">
        <f t="shared" si="0"/>
        <v>mo7</v>
      </c>
      <c r="BJ5" s="347" t="str">
        <f t="shared" si="0"/>
        <v>mo8</v>
      </c>
      <c r="BK5" s="347" t="str">
        <f t="shared" si="0"/>
        <v>mo9</v>
      </c>
      <c r="BL5" s="347" t="str">
        <f t="shared" si="0"/>
        <v>mo10</v>
      </c>
      <c r="BM5" s="347" t="str">
        <f t="shared" si="0"/>
        <v>mo11</v>
      </c>
      <c r="BN5" s="347" t="str">
        <f t="shared" si="0"/>
        <v>mo12</v>
      </c>
      <c r="BO5" s="353" t="str">
        <f t="shared" si="0"/>
        <v>mo13</v>
      </c>
      <c r="BP5" s="347" t="str">
        <f t="shared" si="0"/>
        <v>mo14</v>
      </c>
      <c r="BQ5" s="347" t="str">
        <f t="shared" si="0"/>
        <v>mo15</v>
      </c>
      <c r="BR5" s="347" t="str">
        <f t="shared" si="0"/>
        <v>mo16</v>
      </c>
      <c r="BS5" s="347" t="str">
        <f t="shared" si="0"/>
        <v>mo17</v>
      </c>
      <c r="BT5" s="347" t="str">
        <f t="shared" si="0"/>
        <v>mo18</v>
      </c>
      <c r="BU5" s="347" t="str">
        <f t="shared" si="0"/>
        <v>mo19</v>
      </c>
      <c r="BV5" s="347" t="str">
        <f t="shared" si="0"/>
        <v>mo20</v>
      </c>
      <c r="BW5" s="347" t="str">
        <f t="shared" si="0"/>
        <v>mo21</v>
      </c>
      <c r="BX5" s="347" t="str">
        <f t="shared" si="0"/>
        <v>mo22</v>
      </c>
      <c r="BY5" s="347" t="str">
        <f t="shared" si="0"/>
        <v>mo23</v>
      </c>
      <c r="BZ5" s="353" t="str">
        <f t="shared" si="0"/>
        <v>mo24</v>
      </c>
      <c r="CA5" s="349" t="str">
        <f t="shared" si="0"/>
        <v>mo25</v>
      </c>
      <c r="CB5" s="347" t="str">
        <f t="shared" si="0"/>
        <v>mo26</v>
      </c>
      <c r="CC5" s="347" t="str">
        <f t="shared" si="0"/>
        <v>mo27</v>
      </c>
      <c r="CD5" s="347" t="str">
        <f t="shared" si="1"/>
        <v>mo28</v>
      </c>
      <c r="CE5" s="347" t="str">
        <f t="shared" si="2"/>
        <v>mo29</v>
      </c>
      <c r="CF5" s="347" t="str">
        <f t="shared" si="3"/>
        <v>mo30</v>
      </c>
      <c r="CG5" s="347" t="str">
        <f t="shared" si="4"/>
        <v>mo31</v>
      </c>
      <c r="CH5" s="347" t="str">
        <f t="shared" si="5"/>
        <v>mo32</v>
      </c>
      <c r="CI5" s="347" t="str">
        <f t="shared" si="6"/>
        <v>mo33</v>
      </c>
      <c r="CJ5" s="347" t="str">
        <f t="shared" si="7"/>
        <v>mo34</v>
      </c>
      <c r="CK5" s="347" t="str">
        <f t="shared" si="8"/>
        <v>mo35</v>
      </c>
      <c r="CL5" s="347" t="str">
        <f t="shared" si="9"/>
        <v>mo36</v>
      </c>
    </row>
    <row r="6" spans="1:90" x14ac:dyDescent="0.25">
      <c r="A6" s="348"/>
      <c r="B6" s="313" t="s">
        <v>329</v>
      </c>
      <c r="C6" s="313">
        <v>1</v>
      </c>
      <c r="D6" s="21">
        <v>1</v>
      </c>
      <c r="E6" s="276" t="s">
        <v>368</v>
      </c>
      <c r="F6" s="276" t="s">
        <v>77</v>
      </c>
      <c r="G6" s="276" t="s">
        <v>184</v>
      </c>
      <c r="H6" s="6">
        <v>0</v>
      </c>
      <c r="I6" s="348"/>
      <c r="U6" s="348"/>
      <c r="AF6" s="348"/>
      <c r="AG6" s="73"/>
      <c r="AT6" s="73" t="str">
        <f t="shared" ref="AT6:AT12" si="10">IF(C6=0,"",E6&amp;"."&amp;F6&amp;"."&amp;G6)</f>
        <v>Plant.Ovn2.Aktiv</v>
      </c>
      <c r="AU6" s="276" t="s">
        <v>381</v>
      </c>
      <c r="AV6" s="6">
        <f t="shared" ref="AV6:AV45" si="11">NaN</f>
        <v>-9.99</v>
      </c>
      <c r="AW6" s="313">
        <f t="shared" ref="AW6:AW21" si="12">C6</f>
        <v>1</v>
      </c>
      <c r="AX6" s="21">
        <f t="shared" ref="AX6:AX21" si="13">D6</f>
        <v>1</v>
      </c>
      <c r="AY6" s="13">
        <f t="shared" ref="AY6:AY21" si="14">IFERROR(MATCH(E6,listRoot,0),IF(C6=0,"",-1))</f>
        <v>2</v>
      </c>
      <c r="AZ6" s="13">
        <f t="shared" ref="AZ6:AZ21" ca="1" si="15">_xlfn.LET(_xlpm.ran,OFFSET(OfzNiveau2,AY6,1,1,COLUMNS(arrNiv2)),IFERROR(MATCH(F6,_xlpm.ran,0),IF(C6=0,"",-1)))</f>
        <v>1</v>
      </c>
      <c r="BA6" s="21">
        <f t="shared" ref="BA6:BA21" ca="1" si="16">_xlfn.LET(_xlpm.ran,OFFSET(OfzNiveau3,AY6,1,1,COLUMNS(arrNiv3)),IFERROR(MATCH(G6,_xlpm.ran,0),IF(C6=0,"",-1)))</f>
        <v>1</v>
      </c>
      <c r="BB6" s="6">
        <f>H6</f>
        <v>0</v>
      </c>
      <c r="BC6" s="348">
        <f>I6</f>
        <v>0</v>
      </c>
      <c r="BD6">
        <f t="shared" si="0"/>
        <v>0</v>
      </c>
      <c r="BE6">
        <f t="shared" si="0"/>
        <v>0</v>
      </c>
      <c r="BF6">
        <f t="shared" si="0"/>
        <v>0</v>
      </c>
      <c r="BG6">
        <f t="shared" si="0"/>
        <v>0</v>
      </c>
      <c r="BH6">
        <f t="shared" si="0"/>
        <v>0</v>
      </c>
      <c r="BI6">
        <f t="shared" si="0"/>
        <v>0</v>
      </c>
      <c r="BJ6">
        <f t="shared" si="0"/>
        <v>0</v>
      </c>
      <c r="BK6">
        <f t="shared" si="0"/>
        <v>0</v>
      </c>
      <c r="BL6">
        <f t="shared" si="0"/>
        <v>0</v>
      </c>
      <c r="BM6">
        <f t="shared" si="0"/>
        <v>0</v>
      </c>
      <c r="BN6">
        <f t="shared" si="0"/>
        <v>0</v>
      </c>
      <c r="BO6" s="348">
        <f t="shared" si="0"/>
        <v>0</v>
      </c>
      <c r="BP6">
        <f t="shared" si="0"/>
        <v>0</v>
      </c>
      <c r="BQ6">
        <f t="shared" si="0"/>
        <v>0</v>
      </c>
      <c r="BR6">
        <f t="shared" si="0"/>
        <v>0</v>
      </c>
      <c r="BS6">
        <f t="shared" si="0"/>
        <v>0</v>
      </c>
      <c r="BT6">
        <f t="shared" si="0"/>
        <v>0</v>
      </c>
      <c r="BU6">
        <f t="shared" si="0"/>
        <v>0</v>
      </c>
      <c r="BV6">
        <f t="shared" si="0"/>
        <v>0</v>
      </c>
      <c r="BW6">
        <f t="shared" si="0"/>
        <v>0</v>
      </c>
      <c r="BX6">
        <f t="shared" si="0"/>
        <v>0</v>
      </c>
      <c r="BY6">
        <f t="shared" si="0"/>
        <v>0</v>
      </c>
      <c r="BZ6" s="348">
        <f t="shared" si="0"/>
        <v>0</v>
      </c>
      <c r="CA6" s="73">
        <f t="shared" si="0"/>
        <v>0</v>
      </c>
      <c r="CB6">
        <f t="shared" si="0"/>
        <v>0</v>
      </c>
      <c r="CC6">
        <f t="shared" si="0"/>
        <v>0</v>
      </c>
      <c r="CD6">
        <f t="shared" si="1"/>
        <v>0</v>
      </c>
      <c r="CE6">
        <f t="shared" si="2"/>
        <v>0</v>
      </c>
      <c r="CF6">
        <f t="shared" si="3"/>
        <v>0</v>
      </c>
      <c r="CG6">
        <f t="shared" si="4"/>
        <v>0</v>
      </c>
      <c r="CH6">
        <f t="shared" si="5"/>
        <v>0</v>
      </c>
      <c r="CI6">
        <f t="shared" si="6"/>
        <v>0</v>
      </c>
      <c r="CJ6">
        <f t="shared" si="7"/>
        <v>0</v>
      </c>
      <c r="CK6">
        <f t="shared" si="8"/>
        <v>0</v>
      </c>
      <c r="CL6">
        <f t="shared" si="9"/>
        <v>0</v>
      </c>
    </row>
    <row r="7" spans="1:90" x14ac:dyDescent="0.25">
      <c r="A7" s="348"/>
      <c r="B7" s="313" t="s">
        <v>330</v>
      </c>
      <c r="C7" s="313">
        <v>1</v>
      </c>
      <c r="D7" s="21">
        <v>1</v>
      </c>
      <c r="E7" s="276" t="s">
        <v>367</v>
      </c>
      <c r="F7" s="276" t="s">
        <v>14</v>
      </c>
      <c r="G7" s="276" t="s">
        <v>112</v>
      </c>
      <c r="H7" s="6">
        <v>1</v>
      </c>
      <c r="I7" s="348"/>
      <c r="U7" s="348"/>
      <c r="AF7" s="348"/>
      <c r="AG7" s="73"/>
      <c r="AT7" s="73" t="str">
        <f t="shared" si="10"/>
        <v>Fuel.DepoSort.Fri</v>
      </c>
      <c r="AU7" s="276" t="s">
        <v>382</v>
      </c>
      <c r="AV7" s="6">
        <f t="shared" si="11"/>
        <v>-9.99</v>
      </c>
      <c r="AW7" s="313">
        <f t="shared" si="12"/>
        <v>1</v>
      </c>
      <c r="AX7" s="21">
        <f t="shared" si="13"/>
        <v>1</v>
      </c>
      <c r="AY7" s="13">
        <f t="shared" si="14"/>
        <v>5</v>
      </c>
      <c r="AZ7" s="13">
        <f t="shared" ca="1" si="15"/>
        <v>1</v>
      </c>
      <c r="BA7" s="21">
        <f t="shared" ca="1" si="16"/>
        <v>4</v>
      </c>
      <c r="BB7" s="6">
        <f>H7</f>
        <v>1</v>
      </c>
      <c r="BC7" s="348">
        <f t="shared" ref="BC7:BC45" si="17">I7</f>
        <v>0</v>
      </c>
      <c r="BD7">
        <f t="shared" si="0"/>
        <v>0</v>
      </c>
      <c r="BE7">
        <f t="shared" si="0"/>
        <v>0</v>
      </c>
      <c r="BF7">
        <f t="shared" si="0"/>
        <v>0</v>
      </c>
      <c r="BG7">
        <f t="shared" si="0"/>
        <v>0</v>
      </c>
      <c r="BH7">
        <f t="shared" si="0"/>
        <v>0</v>
      </c>
      <c r="BI7">
        <f t="shared" si="0"/>
        <v>0</v>
      </c>
      <c r="BJ7">
        <f t="shared" si="0"/>
        <v>0</v>
      </c>
      <c r="BK7">
        <f t="shared" si="0"/>
        <v>0</v>
      </c>
      <c r="BL7">
        <f t="shared" si="0"/>
        <v>0</v>
      </c>
      <c r="BM7">
        <f t="shared" si="0"/>
        <v>0</v>
      </c>
      <c r="BN7">
        <f t="shared" si="0"/>
        <v>0</v>
      </c>
      <c r="BO7" s="348">
        <f t="shared" si="0"/>
        <v>0</v>
      </c>
      <c r="BP7">
        <f t="shared" si="0"/>
        <v>0</v>
      </c>
      <c r="BQ7">
        <f t="shared" si="0"/>
        <v>0</v>
      </c>
      <c r="BR7">
        <f t="shared" si="0"/>
        <v>0</v>
      </c>
      <c r="BS7">
        <f t="shared" si="0"/>
        <v>0</v>
      </c>
      <c r="BT7">
        <f t="shared" si="0"/>
        <v>0</v>
      </c>
      <c r="BU7">
        <f t="shared" si="0"/>
        <v>0</v>
      </c>
      <c r="BV7">
        <f t="shared" si="0"/>
        <v>0</v>
      </c>
      <c r="BW7">
        <f t="shared" si="0"/>
        <v>0</v>
      </c>
      <c r="BX7">
        <f t="shared" si="0"/>
        <v>0</v>
      </c>
      <c r="BY7">
        <f t="shared" si="0"/>
        <v>0</v>
      </c>
      <c r="BZ7" s="348">
        <f t="shared" si="0"/>
        <v>0</v>
      </c>
      <c r="CA7" s="73">
        <f t="shared" si="0"/>
        <v>0</v>
      </c>
      <c r="CB7">
        <f t="shared" si="0"/>
        <v>0</v>
      </c>
      <c r="CC7">
        <f t="shared" si="0"/>
        <v>0</v>
      </c>
      <c r="CD7">
        <f t="shared" si="1"/>
        <v>0</v>
      </c>
      <c r="CE7">
        <f t="shared" si="2"/>
        <v>0</v>
      </c>
      <c r="CF7">
        <f t="shared" si="3"/>
        <v>0</v>
      </c>
      <c r="CG7">
        <f t="shared" si="4"/>
        <v>0</v>
      </c>
      <c r="CH7">
        <f t="shared" si="5"/>
        <v>0</v>
      </c>
      <c r="CI7">
        <f t="shared" si="6"/>
        <v>0</v>
      </c>
      <c r="CJ7">
        <f t="shared" si="7"/>
        <v>0</v>
      </c>
      <c r="CK7">
        <f t="shared" si="8"/>
        <v>0</v>
      </c>
      <c r="CL7">
        <f t="shared" si="9"/>
        <v>0</v>
      </c>
    </row>
    <row r="8" spans="1:90" x14ac:dyDescent="0.25">
      <c r="A8" s="348"/>
      <c r="B8" s="313" t="s">
        <v>331</v>
      </c>
      <c r="C8" s="313">
        <v>1</v>
      </c>
      <c r="D8" s="21">
        <v>1</v>
      </c>
      <c r="E8" s="276" t="s">
        <v>367</v>
      </c>
      <c r="F8" s="276" t="s">
        <v>14</v>
      </c>
      <c r="G8" s="276" t="s">
        <v>323</v>
      </c>
      <c r="H8" s="6">
        <v>1</v>
      </c>
      <c r="I8" s="348"/>
      <c r="U8" s="348"/>
      <c r="AF8" s="348"/>
      <c r="AG8" s="73"/>
      <c r="AT8" s="73" t="str">
        <f t="shared" si="10"/>
        <v>Fuel.DepoSort.Flex</v>
      </c>
      <c r="AU8" s="276" t="s">
        <v>383</v>
      </c>
      <c r="AV8" s="6">
        <f t="shared" si="11"/>
        <v>-9.99</v>
      </c>
      <c r="AW8" s="313">
        <f t="shared" si="12"/>
        <v>1</v>
      </c>
      <c r="AX8" s="21">
        <f t="shared" si="13"/>
        <v>1</v>
      </c>
      <c r="AY8" s="13">
        <f t="shared" si="14"/>
        <v>5</v>
      </c>
      <c r="AZ8" s="13">
        <f t="shared" ca="1" si="15"/>
        <v>1</v>
      </c>
      <c r="BA8" s="21">
        <f t="shared" ca="1" si="16"/>
        <v>5</v>
      </c>
      <c r="BB8" s="6">
        <f t="shared" ref="BB8:BB45" si="18">H8</f>
        <v>1</v>
      </c>
      <c r="BC8" s="348">
        <f t="shared" si="17"/>
        <v>0</v>
      </c>
      <c r="BD8">
        <f t="shared" si="0"/>
        <v>0</v>
      </c>
      <c r="BE8">
        <f t="shared" si="0"/>
        <v>0</v>
      </c>
      <c r="BF8">
        <f t="shared" si="0"/>
        <v>0</v>
      </c>
      <c r="BG8">
        <f t="shared" si="0"/>
        <v>0</v>
      </c>
      <c r="BH8">
        <f t="shared" si="0"/>
        <v>0</v>
      </c>
      <c r="BI8">
        <f t="shared" si="0"/>
        <v>0</v>
      </c>
      <c r="BJ8">
        <f t="shared" si="0"/>
        <v>0</v>
      </c>
      <c r="BK8">
        <f t="shared" si="0"/>
        <v>0</v>
      </c>
      <c r="BL8">
        <f t="shared" si="0"/>
        <v>0</v>
      </c>
      <c r="BM8">
        <f t="shared" si="0"/>
        <v>0</v>
      </c>
      <c r="BN8">
        <f t="shared" si="0"/>
        <v>0</v>
      </c>
      <c r="BO8" s="348">
        <f t="shared" si="0"/>
        <v>0</v>
      </c>
      <c r="BP8">
        <f t="shared" si="0"/>
        <v>0</v>
      </c>
      <c r="BQ8">
        <f t="shared" si="0"/>
        <v>0</v>
      </c>
      <c r="BR8">
        <f t="shared" si="0"/>
        <v>0</v>
      </c>
      <c r="BS8">
        <f t="shared" si="0"/>
        <v>0</v>
      </c>
      <c r="BT8">
        <f t="shared" si="0"/>
        <v>0</v>
      </c>
      <c r="BU8">
        <f t="shared" si="0"/>
        <v>0</v>
      </c>
      <c r="BV8">
        <f t="shared" si="0"/>
        <v>0</v>
      </c>
      <c r="BW8">
        <f t="shared" si="0"/>
        <v>0</v>
      </c>
      <c r="BX8">
        <f t="shared" si="0"/>
        <v>0</v>
      </c>
      <c r="BY8">
        <f t="shared" si="0"/>
        <v>0</v>
      </c>
      <c r="BZ8" s="348">
        <f t="shared" si="0"/>
        <v>0</v>
      </c>
      <c r="CA8" s="73">
        <f t="shared" si="0"/>
        <v>0</v>
      </c>
      <c r="CB8">
        <f t="shared" si="0"/>
        <v>0</v>
      </c>
      <c r="CC8">
        <f t="shared" si="0"/>
        <v>0</v>
      </c>
      <c r="CD8">
        <f t="shared" si="1"/>
        <v>0</v>
      </c>
      <c r="CE8">
        <f t="shared" si="2"/>
        <v>0</v>
      </c>
      <c r="CF8">
        <f t="shared" si="3"/>
        <v>0</v>
      </c>
      <c r="CG8">
        <f t="shared" si="4"/>
        <v>0</v>
      </c>
      <c r="CH8">
        <f t="shared" si="5"/>
        <v>0</v>
      </c>
      <c r="CI8">
        <f t="shared" si="6"/>
        <v>0</v>
      </c>
      <c r="CJ8">
        <f t="shared" si="7"/>
        <v>0</v>
      </c>
      <c r="CK8">
        <f t="shared" si="8"/>
        <v>0</v>
      </c>
      <c r="CL8">
        <f t="shared" si="9"/>
        <v>0</v>
      </c>
    </row>
    <row r="9" spans="1:90" x14ac:dyDescent="0.25">
      <c r="A9" s="348"/>
      <c r="B9" s="313" t="s">
        <v>332</v>
      </c>
      <c r="C9" s="313">
        <v>1</v>
      </c>
      <c r="D9" s="21">
        <v>1</v>
      </c>
      <c r="E9" s="276" t="s">
        <v>367</v>
      </c>
      <c r="F9" s="276" t="s">
        <v>42</v>
      </c>
      <c r="G9" s="276" t="s">
        <v>112</v>
      </c>
      <c r="H9" s="6">
        <v>1</v>
      </c>
      <c r="I9" s="348"/>
      <c r="T9" s="307"/>
      <c r="U9" s="348"/>
      <c r="AF9" s="348"/>
      <c r="AG9" s="73"/>
      <c r="AT9" s="73" t="str">
        <f t="shared" si="10"/>
        <v>Fuel.TyskRest.Fri</v>
      </c>
      <c r="AU9" s="276" t="s">
        <v>384</v>
      </c>
      <c r="AV9" s="6">
        <f t="shared" si="11"/>
        <v>-9.99</v>
      </c>
      <c r="AW9" s="313">
        <f t="shared" si="12"/>
        <v>1</v>
      </c>
      <c r="AX9" s="21">
        <f t="shared" si="13"/>
        <v>1</v>
      </c>
      <c r="AY9" s="13">
        <f t="shared" si="14"/>
        <v>5</v>
      </c>
      <c r="AZ9" s="13">
        <f t="shared" ca="1" si="15"/>
        <v>15</v>
      </c>
      <c r="BA9" s="21">
        <f t="shared" ca="1" si="16"/>
        <v>4</v>
      </c>
      <c r="BB9" s="6">
        <f t="shared" si="18"/>
        <v>1</v>
      </c>
      <c r="BC9" s="348">
        <f t="shared" si="17"/>
        <v>0</v>
      </c>
      <c r="BD9" s="73">
        <f t="shared" si="0"/>
        <v>0</v>
      </c>
      <c r="BE9" s="73">
        <f t="shared" si="0"/>
        <v>0</v>
      </c>
      <c r="BF9" s="73">
        <f t="shared" si="0"/>
        <v>0</v>
      </c>
      <c r="BG9" s="73">
        <f t="shared" si="0"/>
        <v>0</v>
      </c>
      <c r="BH9" s="73">
        <f t="shared" si="0"/>
        <v>0</v>
      </c>
      <c r="BI9" s="73">
        <f t="shared" si="0"/>
        <v>0</v>
      </c>
      <c r="BJ9" s="73">
        <f t="shared" si="0"/>
        <v>0</v>
      </c>
      <c r="BK9" s="73">
        <f t="shared" si="0"/>
        <v>0</v>
      </c>
      <c r="BL9" s="73">
        <f t="shared" si="0"/>
        <v>0</v>
      </c>
      <c r="BM9" s="73">
        <f t="shared" si="0"/>
        <v>0</v>
      </c>
      <c r="BN9" s="354">
        <f t="shared" si="0"/>
        <v>0</v>
      </c>
      <c r="BO9" s="348">
        <f t="shared" si="0"/>
        <v>0</v>
      </c>
      <c r="BP9">
        <f t="shared" si="0"/>
        <v>0</v>
      </c>
      <c r="BQ9">
        <f t="shared" si="0"/>
        <v>0</v>
      </c>
      <c r="BR9">
        <f t="shared" si="0"/>
        <v>0</v>
      </c>
      <c r="BS9">
        <f t="shared" si="0"/>
        <v>0</v>
      </c>
      <c r="BT9">
        <f t="shared" si="0"/>
        <v>0</v>
      </c>
      <c r="BU9">
        <f t="shared" si="0"/>
        <v>0</v>
      </c>
      <c r="BV9">
        <f t="shared" si="0"/>
        <v>0</v>
      </c>
      <c r="BW9">
        <f t="shared" si="0"/>
        <v>0</v>
      </c>
      <c r="BX9">
        <f t="shared" si="0"/>
        <v>0</v>
      </c>
      <c r="BY9">
        <f t="shared" si="0"/>
        <v>0</v>
      </c>
      <c r="BZ9" s="348">
        <f t="shared" si="0"/>
        <v>0</v>
      </c>
      <c r="CA9" s="73">
        <f t="shared" si="0"/>
        <v>0</v>
      </c>
      <c r="CB9">
        <f t="shared" si="0"/>
        <v>0</v>
      </c>
      <c r="CC9">
        <f t="shared" si="0"/>
        <v>0</v>
      </c>
      <c r="CD9">
        <f t="shared" si="1"/>
        <v>0</v>
      </c>
      <c r="CE9">
        <f t="shared" si="2"/>
        <v>0</v>
      </c>
      <c r="CF9">
        <f t="shared" si="3"/>
        <v>0</v>
      </c>
      <c r="CG9">
        <f t="shared" si="4"/>
        <v>0</v>
      </c>
      <c r="CH9">
        <f t="shared" si="5"/>
        <v>0</v>
      </c>
      <c r="CI9">
        <f t="shared" si="6"/>
        <v>0</v>
      </c>
      <c r="CJ9">
        <f t="shared" si="7"/>
        <v>0</v>
      </c>
      <c r="CK9">
        <f t="shared" si="8"/>
        <v>0</v>
      </c>
      <c r="CL9">
        <f t="shared" si="9"/>
        <v>0</v>
      </c>
    </row>
    <row r="10" spans="1:90" x14ac:dyDescent="0.25">
      <c r="A10" s="348"/>
      <c r="B10" s="313" t="s">
        <v>333</v>
      </c>
      <c r="C10" s="313">
        <v>1</v>
      </c>
      <c r="D10" s="21">
        <v>1</v>
      </c>
      <c r="E10" s="276" t="s">
        <v>367</v>
      </c>
      <c r="F10" s="276" t="s">
        <v>42</v>
      </c>
      <c r="G10" s="276" t="s">
        <v>323</v>
      </c>
      <c r="H10" s="6">
        <v>1</v>
      </c>
      <c r="I10" s="348"/>
      <c r="U10" s="348"/>
      <c r="AF10" s="348"/>
      <c r="AG10" s="73"/>
      <c r="AT10" s="73" t="str">
        <f t="shared" si="10"/>
        <v>Fuel.TyskRest.Flex</v>
      </c>
      <c r="AU10" s="276" t="s">
        <v>385</v>
      </c>
      <c r="AV10" s="6">
        <f t="shared" si="11"/>
        <v>-9.99</v>
      </c>
      <c r="AW10" s="313">
        <f t="shared" si="12"/>
        <v>1</v>
      </c>
      <c r="AX10" s="21">
        <f t="shared" si="13"/>
        <v>1</v>
      </c>
      <c r="AY10" s="13">
        <f t="shared" si="14"/>
        <v>5</v>
      </c>
      <c r="AZ10" s="13">
        <f t="shared" ca="1" si="15"/>
        <v>15</v>
      </c>
      <c r="BA10" s="21">
        <f t="shared" ca="1" si="16"/>
        <v>5</v>
      </c>
      <c r="BB10" s="6">
        <f t="shared" si="18"/>
        <v>1</v>
      </c>
      <c r="BC10" s="348">
        <f t="shared" si="17"/>
        <v>0</v>
      </c>
      <c r="BD10">
        <f t="shared" si="0"/>
        <v>0</v>
      </c>
      <c r="BE10">
        <f t="shared" si="0"/>
        <v>0</v>
      </c>
      <c r="BF10">
        <f t="shared" si="0"/>
        <v>0</v>
      </c>
      <c r="BG10">
        <f t="shared" si="0"/>
        <v>0</v>
      </c>
      <c r="BH10">
        <f t="shared" si="0"/>
        <v>0</v>
      </c>
      <c r="BI10">
        <f t="shared" si="0"/>
        <v>0</v>
      </c>
      <c r="BJ10">
        <f t="shared" si="0"/>
        <v>0</v>
      </c>
      <c r="BK10">
        <f t="shared" si="0"/>
        <v>0</v>
      </c>
      <c r="BL10">
        <f t="shared" si="0"/>
        <v>0</v>
      </c>
      <c r="BM10">
        <f t="shared" si="0"/>
        <v>0</v>
      </c>
      <c r="BN10">
        <f t="shared" si="0"/>
        <v>0</v>
      </c>
      <c r="BO10" s="348">
        <f t="shared" si="0"/>
        <v>0</v>
      </c>
      <c r="BP10">
        <f t="shared" si="0"/>
        <v>0</v>
      </c>
      <c r="BQ10">
        <f t="shared" si="0"/>
        <v>0</v>
      </c>
      <c r="BR10">
        <f t="shared" si="0"/>
        <v>0</v>
      </c>
      <c r="BS10">
        <f t="shared" si="0"/>
        <v>0</v>
      </c>
      <c r="BT10">
        <f t="shared" si="0"/>
        <v>0</v>
      </c>
      <c r="BU10">
        <f t="shared" si="0"/>
        <v>0</v>
      </c>
      <c r="BV10">
        <f t="shared" si="0"/>
        <v>0</v>
      </c>
      <c r="BW10">
        <f t="shared" si="0"/>
        <v>0</v>
      </c>
      <c r="BX10">
        <f t="shared" si="0"/>
        <v>0</v>
      </c>
      <c r="BY10">
        <f t="shared" si="0"/>
        <v>0</v>
      </c>
      <c r="BZ10" s="348">
        <f t="shared" si="0"/>
        <v>0</v>
      </c>
      <c r="CA10" s="73">
        <f t="shared" si="0"/>
        <v>0</v>
      </c>
      <c r="CB10">
        <f t="shared" si="0"/>
        <v>0</v>
      </c>
      <c r="CC10">
        <f t="shared" si="0"/>
        <v>0</v>
      </c>
      <c r="CD10">
        <f t="shared" si="1"/>
        <v>0</v>
      </c>
      <c r="CE10">
        <f t="shared" si="2"/>
        <v>0</v>
      </c>
      <c r="CF10">
        <f t="shared" si="3"/>
        <v>0</v>
      </c>
      <c r="CG10">
        <f t="shared" si="4"/>
        <v>0</v>
      </c>
      <c r="CH10">
        <f t="shared" si="5"/>
        <v>0</v>
      </c>
      <c r="CI10">
        <f t="shared" si="6"/>
        <v>0</v>
      </c>
      <c r="CJ10">
        <f t="shared" si="7"/>
        <v>0</v>
      </c>
      <c r="CK10">
        <f t="shared" si="8"/>
        <v>0</v>
      </c>
      <c r="CL10">
        <f t="shared" si="9"/>
        <v>0</v>
      </c>
    </row>
    <row r="11" spans="1:90" x14ac:dyDescent="0.25">
      <c r="A11" s="348"/>
      <c r="B11" s="313" t="s">
        <v>334</v>
      </c>
      <c r="C11" s="313">
        <v>1</v>
      </c>
      <c r="D11" s="21">
        <v>1</v>
      </c>
      <c r="E11" s="276" t="s">
        <v>367</v>
      </c>
      <c r="F11" s="276" t="s">
        <v>44</v>
      </c>
      <c r="G11" s="276" t="s">
        <v>112</v>
      </c>
      <c r="H11" s="6">
        <v>1</v>
      </c>
      <c r="I11" s="348"/>
      <c r="U11" s="348"/>
      <c r="AF11" s="348"/>
      <c r="AG11" s="73"/>
      <c r="AT11" s="73" t="str">
        <f t="shared" si="10"/>
        <v>Fuel.PolskRest.Fri</v>
      </c>
      <c r="AU11" s="276" t="s">
        <v>386</v>
      </c>
      <c r="AV11" s="6">
        <f t="shared" si="11"/>
        <v>-9.99</v>
      </c>
      <c r="AW11" s="313">
        <f t="shared" si="12"/>
        <v>1</v>
      </c>
      <c r="AX11" s="21">
        <f t="shared" si="13"/>
        <v>1</v>
      </c>
      <c r="AY11" s="13">
        <f t="shared" si="14"/>
        <v>5</v>
      </c>
      <c r="AZ11" s="13">
        <f t="shared" ca="1" si="15"/>
        <v>16</v>
      </c>
      <c r="BA11" s="21">
        <f t="shared" ca="1" si="16"/>
        <v>4</v>
      </c>
      <c r="BB11" s="6">
        <f t="shared" si="18"/>
        <v>1</v>
      </c>
      <c r="BC11" s="348">
        <f t="shared" si="17"/>
        <v>0</v>
      </c>
      <c r="BD11">
        <f t="shared" si="0"/>
        <v>0</v>
      </c>
      <c r="BE11">
        <f t="shared" si="0"/>
        <v>0</v>
      </c>
      <c r="BF11">
        <f t="shared" si="0"/>
        <v>0</v>
      </c>
      <c r="BG11">
        <f t="shared" si="0"/>
        <v>0</v>
      </c>
      <c r="BH11">
        <f t="shared" si="0"/>
        <v>0</v>
      </c>
      <c r="BI11">
        <f t="shared" si="0"/>
        <v>0</v>
      </c>
      <c r="BJ11">
        <f t="shared" si="0"/>
        <v>0</v>
      </c>
      <c r="BK11">
        <f t="shared" si="0"/>
        <v>0</v>
      </c>
      <c r="BL11">
        <f t="shared" si="0"/>
        <v>0</v>
      </c>
      <c r="BM11">
        <f t="shared" si="0"/>
        <v>0</v>
      </c>
      <c r="BN11">
        <f t="shared" si="0"/>
        <v>0</v>
      </c>
      <c r="BO11" s="348">
        <f t="shared" si="0"/>
        <v>0</v>
      </c>
      <c r="BP11">
        <f t="shared" si="0"/>
        <v>0</v>
      </c>
      <c r="BQ11">
        <f t="shared" si="0"/>
        <v>0</v>
      </c>
      <c r="BR11">
        <f t="shared" si="0"/>
        <v>0</v>
      </c>
      <c r="BS11">
        <f t="shared" si="0"/>
        <v>0</v>
      </c>
      <c r="BT11">
        <f t="shared" si="0"/>
        <v>0</v>
      </c>
      <c r="BU11">
        <f t="shared" si="0"/>
        <v>0</v>
      </c>
      <c r="BV11">
        <f t="shared" si="0"/>
        <v>0</v>
      </c>
      <c r="BW11">
        <f t="shared" si="0"/>
        <v>0</v>
      </c>
      <c r="BX11">
        <f t="shared" si="0"/>
        <v>0</v>
      </c>
      <c r="BY11">
        <f t="shared" si="0"/>
        <v>0</v>
      </c>
      <c r="BZ11" s="348">
        <f t="shared" si="0"/>
        <v>0</v>
      </c>
      <c r="CA11" s="73">
        <f t="shared" si="0"/>
        <v>0</v>
      </c>
      <c r="CB11">
        <f t="shared" si="0"/>
        <v>0</v>
      </c>
      <c r="CC11">
        <f t="shared" si="0"/>
        <v>0</v>
      </c>
      <c r="CD11">
        <f t="shared" si="1"/>
        <v>0</v>
      </c>
      <c r="CE11">
        <f t="shared" si="2"/>
        <v>0</v>
      </c>
      <c r="CF11">
        <f t="shared" si="3"/>
        <v>0</v>
      </c>
      <c r="CG11">
        <f t="shared" si="4"/>
        <v>0</v>
      </c>
      <c r="CH11">
        <f t="shared" si="5"/>
        <v>0</v>
      </c>
      <c r="CI11">
        <f t="shared" si="6"/>
        <v>0</v>
      </c>
      <c r="CJ11">
        <f t="shared" si="7"/>
        <v>0</v>
      </c>
      <c r="CK11">
        <f t="shared" si="8"/>
        <v>0</v>
      </c>
      <c r="CL11">
        <f t="shared" si="9"/>
        <v>0</v>
      </c>
    </row>
    <row r="12" spans="1:90" x14ac:dyDescent="0.25">
      <c r="A12" s="348"/>
      <c r="B12" s="313" t="s">
        <v>335</v>
      </c>
      <c r="C12" s="313">
        <v>1</v>
      </c>
      <c r="D12" s="21">
        <v>1</v>
      </c>
      <c r="E12" s="276" t="s">
        <v>367</v>
      </c>
      <c r="F12" s="276" t="s">
        <v>44</v>
      </c>
      <c r="G12" s="276" t="s">
        <v>323</v>
      </c>
      <c r="H12" s="6">
        <v>1</v>
      </c>
      <c r="I12" s="348"/>
      <c r="U12" s="348"/>
      <c r="AF12" s="348"/>
      <c r="AG12" s="73"/>
      <c r="AT12" s="73" t="str">
        <f t="shared" si="10"/>
        <v>Fuel.PolskRest.Flex</v>
      </c>
      <c r="AU12" s="276" t="s">
        <v>387</v>
      </c>
      <c r="AV12" s="6">
        <f t="shared" si="11"/>
        <v>-9.99</v>
      </c>
      <c r="AW12" s="313">
        <f t="shared" si="12"/>
        <v>1</v>
      </c>
      <c r="AX12" s="21">
        <f t="shared" si="13"/>
        <v>1</v>
      </c>
      <c r="AY12" s="13">
        <f t="shared" si="14"/>
        <v>5</v>
      </c>
      <c r="AZ12" s="13">
        <f t="shared" ca="1" si="15"/>
        <v>16</v>
      </c>
      <c r="BA12" s="21">
        <f t="shared" ca="1" si="16"/>
        <v>5</v>
      </c>
      <c r="BB12" s="6">
        <f t="shared" si="18"/>
        <v>1</v>
      </c>
      <c r="BC12" s="348">
        <f t="shared" si="17"/>
        <v>0</v>
      </c>
      <c r="BD12">
        <f t="shared" si="0"/>
        <v>0</v>
      </c>
      <c r="BE12">
        <f t="shared" si="0"/>
        <v>0</v>
      </c>
      <c r="BF12">
        <f t="shared" si="0"/>
        <v>0</v>
      </c>
      <c r="BG12">
        <f t="shared" si="0"/>
        <v>0</v>
      </c>
      <c r="BH12">
        <f t="shared" si="0"/>
        <v>0</v>
      </c>
      <c r="BI12">
        <f t="shared" si="0"/>
        <v>0</v>
      </c>
      <c r="BJ12">
        <f t="shared" si="0"/>
        <v>0</v>
      </c>
      <c r="BK12">
        <f t="shared" si="0"/>
        <v>0</v>
      </c>
      <c r="BL12">
        <f t="shared" si="0"/>
        <v>0</v>
      </c>
      <c r="BM12">
        <f t="shared" si="0"/>
        <v>0</v>
      </c>
      <c r="BN12">
        <f t="shared" si="0"/>
        <v>0</v>
      </c>
      <c r="BO12" s="348">
        <f t="shared" si="0"/>
        <v>0</v>
      </c>
      <c r="BP12">
        <f t="shared" si="0"/>
        <v>0</v>
      </c>
      <c r="BQ12">
        <f t="shared" si="0"/>
        <v>0</v>
      </c>
      <c r="BR12">
        <f t="shared" si="0"/>
        <v>0</v>
      </c>
      <c r="BS12">
        <f t="shared" si="0"/>
        <v>0</v>
      </c>
      <c r="BT12">
        <f t="shared" si="0"/>
        <v>0</v>
      </c>
      <c r="BU12">
        <f t="shared" si="0"/>
        <v>0</v>
      </c>
      <c r="BV12">
        <f t="shared" si="0"/>
        <v>0</v>
      </c>
      <c r="BW12">
        <f t="shared" si="0"/>
        <v>0</v>
      </c>
      <c r="BX12">
        <f t="shared" si="0"/>
        <v>0</v>
      </c>
      <c r="BY12">
        <f t="shared" si="0"/>
        <v>0</v>
      </c>
      <c r="BZ12" s="348">
        <f t="shared" si="0"/>
        <v>0</v>
      </c>
      <c r="CA12" s="73">
        <f t="shared" si="0"/>
        <v>0</v>
      </c>
      <c r="CB12">
        <f t="shared" si="0"/>
        <v>0</v>
      </c>
      <c r="CC12">
        <f t="shared" si="0"/>
        <v>0</v>
      </c>
      <c r="CD12">
        <f t="shared" si="1"/>
        <v>0</v>
      </c>
      <c r="CE12">
        <f t="shared" si="2"/>
        <v>0</v>
      </c>
      <c r="CF12">
        <f t="shared" si="3"/>
        <v>0</v>
      </c>
      <c r="CG12">
        <f t="shared" si="4"/>
        <v>0</v>
      </c>
      <c r="CH12">
        <f t="shared" si="5"/>
        <v>0</v>
      </c>
      <c r="CI12">
        <f t="shared" si="6"/>
        <v>0</v>
      </c>
      <c r="CJ12">
        <f t="shared" si="7"/>
        <v>0</v>
      </c>
      <c r="CK12">
        <f t="shared" si="8"/>
        <v>0</v>
      </c>
      <c r="CL12">
        <f t="shared" si="9"/>
        <v>0</v>
      </c>
    </row>
    <row r="13" spans="1:90" x14ac:dyDescent="0.25">
      <c r="A13" s="348"/>
      <c r="B13" s="313" t="s">
        <v>336</v>
      </c>
      <c r="C13" s="313">
        <v>1</v>
      </c>
      <c r="D13" s="21">
        <v>1</v>
      </c>
      <c r="E13" s="276" t="s">
        <v>367</v>
      </c>
      <c r="F13" s="276" t="s">
        <v>14</v>
      </c>
      <c r="G13" s="276" t="s">
        <v>393</v>
      </c>
      <c r="H13" s="6">
        <v>12</v>
      </c>
      <c r="I13" s="348"/>
      <c r="U13" s="348"/>
      <c r="AF13" s="348"/>
      <c r="AG13" s="73"/>
      <c r="AT13" s="73" t="str">
        <f t="shared" ref="AT13:AT45" si="19">IF(C13=0,"",E13&amp;"."&amp;F13&amp;"."&amp;G13)</f>
        <v>Fuel.DepoSort.LHV</v>
      </c>
      <c r="AU13" s="276" t="s">
        <v>388</v>
      </c>
      <c r="AV13" s="6">
        <f t="shared" si="11"/>
        <v>-9.99</v>
      </c>
      <c r="AW13" s="313">
        <f t="shared" si="12"/>
        <v>1</v>
      </c>
      <c r="AX13" s="21">
        <f t="shared" si="13"/>
        <v>1</v>
      </c>
      <c r="AY13" s="13">
        <f t="shared" si="14"/>
        <v>5</v>
      </c>
      <c r="AZ13" s="13">
        <f t="shared" ca="1" si="15"/>
        <v>1</v>
      </c>
      <c r="BA13" s="21">
        <f t="shared" ca="1" si="16"/>
        <v>15</v>
      </c>
      <c r="BB13" s="6">
        <f t="shared" si="18"/>
        <v>12</v>
      </c>
      <c r="BC13" s="348">
        <f t="shared" si="17"/>
        <v>0</v>
      </c>
      <c r="BD13">
        <f t="shared" si="0"/>
        <v>0</v>
      </c>
      <c r="BE13">
        <f t="shared" si="0"/>
        <v>0</v>
      </c>
      <c r="BF13">
        <f t="shared" si="0"/>
        <v>0</v>
      </c>
      <c r="BG13">
        <f t="shared" si="0"/>
        <v>0</v>
      </c>
      <c r="BH13">
        <f t="shared" si="0"/>
        <v>0</v>
      </c>
      <c r="BI13">
        <f t="shared" si="0"/>
        <v>0</v>
      </c>
      <c r="BJ13">
        <f t="shared" si="0"/>
        <v>0</v>
      </c>
      <c r="BK13">
        <f t="shared" si="0"/>
        <v>0</v>
      </c>
      <c r="BL13">
        <f t="shared" si="0"/>
        <v>0</v>
      </c>
      <c r="BM13">
        <f t="shared" si="0"/>
        <v>0</v>
      </c>
      <c r="BN13">
        <f t="shared" si="0"/>
        <v>0</v>
      </c>
      <c r="BO13" s="348">
        <f t="shared" si="0"/>
        <v>0</v>
      </c>
      <c r="BP13">
        <f t="shared" si="0"/>
        <v>0</v>
      </c>
      <c r="BQ13">
        <f t="shared" si="0"/>
        <v>0</v>
      </c>
      <c r="BR13">
        <f t="shared" si="0"/>
        <v>0</v>
      </c>
      <c r="BS13">
        <f t="shared" si="0"/>
        <v>0</v>
      </c>
      <c r="BT13">
        <f t="shared" si="0"/>
        <v>0</v>
      </c>
      <c r="BU13">
        <f t="shared" si="0"/>
        <v>0</v>
      </c>
      <c r="BV13">
        <f t="shared" si="0"/>
        <v>0</v>
      </c>
      <c r="BW13">
        <f t="shared" si="0"/>
        <v>0</v>
      </c>
      <c r="BX13">
        <f t="shared" si="0"/>
        <v>0</v>
      </c>
      <c r="BY13">
        <f t="shared" ref="BY13:BY45" si="20">AE13</f>
        <v>0</v>
      </c>
      <c r="BZ13" s="348">
        <f t="shared" ref="BZ13:BZ45" si="21">AF13</f>
        <v>0</v>
      </c>
      <c r="CA13" s="73">
        <f t="shared" ref="CA13:CA45" si="22">AG13</f>
        <v>0</v>
      </c>
      <c r="CB13">
        <f t="shared" ref="CB13:CB45" si="23">AH13</f>
        <v>0</v>
      </c>
      <c r="CC13">
        <f t="shared" ref="CC13:CC45" si="24">AI13</f>
        <v>0</v>
      </c>
      <c r="CD13">
        <f t="shared" si="1"/>
        <v>0</v>
      </c>
      <c r="CE13">
        <f t="shared" si="2"/>
        <v>0</v>
      </c>
      <c r="CF13">
        <f t="shared" si="3"/>
        <v>0</v>
      </c>
      <c r="CG13">
        <f t="shared" si="4"/>
        <v>0</v>
      </c>
      <c r="CH13">
        <f t="shared" si="5"/>
        <v>0</v>
      </c>
      <c r="CI13">
        <f t="shared" si="6"/>
        <v>0</v>
      </c>
      <c r="CJ13">
        <f t="shared" si="7"/>
        <v>0</v>
      </c>
      <c r="CK13">
        <f t="shared" si="8"/>
        <v>0</v>
      </c>
      <c r="CL13">
        <f t="shared" si="9"/>
        <v>0</v>
      </c>
    </row>
    <row r="14" spans="1:90" x14ac:dyDescent="0.25">
      <c r="A14" s="348"/>
      <c r="B14" s="313" t="s">
        <v>337</v>
      </c>
      <c r="C14" s="313">
        <v>1</v>
      </c>
      <c r="D14" s="21">
        <v>1</v>
      </c>
      <c r="E14" s="276" t="s">
        <v>367</v>
      </c>
      <c r="F14" s="276" t="s">
        <v>42</v>
      </c>
      <c r="G14" s="276" t="s">
        <v>393</v>
      </c>
      <c r="H14" s="6">
        <v>12</v>
      </c>
      <c r="I14" s="348"/>
      <c r="U14" s="348"/>
      <c r="AF14" s="348"/>
      <c r="AG14" s="73"/>
      <c r="AT14" s="73" t="str">
        <f t="shared" si="19"/>
        <v>Fuel.TyskRest.LHV</v>
      </c>
      <c r="AU14" s="276" t="s">
        <v>389</v>
      </c>
      <c r="AV14" s="6">
        <f t="shared" si="11"/>
        <v>-9.99</v>
      </c>
      <c r="AW14" s="313">
        <f t="shared" si="12"/>
        <v>1</v>
      </c>
      <c r="AX14" s="21">
        <f t="shared" si="13"/>
        <v>1</v>
      </c>
      <c r="AY14" s="13">
        <f t="shared" si="14"/>
        <v>5</v>
      </c>
      <c r="AZ14" s="13">
        <f t="shared" ca="1" si="15"/>
        <v>15</v>
      </c>
      <c r="BA14" s="21">
        <f t="shared" ca="1" si="16"/>
        <v>15</v>
      </c>
      <c r="BB14" s="6">
        <f t="shared" si="18"/>
        <v>12</v>
      </c>
      <c r="BC14" s="348">
        <f t="shared" si="17"/>
        <v>0</v>
      </c>
      <c r="BD14">
        <f t="shared" ref="BD14:BD45" si="25">J14</f>
        <v>0</v>
      </c>
      <c r="BE14">
        <f t="shared" ref="BE14:BE45" si="26">K14</f>
        <v>0</v>
      </c>
      <c r="BF14">
        <f t="shared" ref="BF14:BF45" si="27">L14</f>
        <v>0</v>
      </c>
      <c r="BG14">
        <f t="shared" ref="BG14:BG45" si="28">M14</f>
        <v>0</v>
      </c>
      <c r="BH14">
        <f t="shared" ref="BH14:BH45" si="29">N14</f>
        <v>0</v>
      </c>
      <c r="BI14">
        <f t="shared" ref="BI14:BI45" si="30">O14</f>
        <v>0</v>
      </c>
      <c r="BJ14">
        <f t="shared" ref="BJ14:BJ45" si="31">P14</f>
        <v>0</v>
      </c>
      <c r="BK14">
        <f t="shared" ref="BK14:BK45" si="32">Q14</f>
        <v>0</v>
      </c>
      <c r="BL14">
        <f t="shared" ref="BL14:BL45" si="33">R14</f>
        <v>0</v>
      </c>
      <c r="BM14">
        <f t="shared" ref="BM14:BM45" si="34">S14</f>
        <v>0</v>
      </c>
      <c r="BN14">
        <f t="shared" ref="BN14:BN45" si="35">T14</f>
        <v>0</v>
      </c>
      <c r="BO14" s="348">
        <f t="shared" ref="BO14:BO45" si="36">U14</f>
        <v>0</v>
      </c>
      <c r="BP14">
        <f t="shared" ref="BP14:BP45" si="37">V14</f>
        <v>0</v>
      </c>
      <c r="BQ14">
        <f t="shared" ref="BQ14:BQ45" si="38">W14</f>
        <v>0</v>
      </c>
      <c r="BR14">
        <f t="shared" ref="BR14:BR45" si="39">X14</f>
        <v>0</v>
      </c>
      <c r="BS14">
        <f t="shared" ref="BS14:BS45" si="40">Y14</f>
        <v>0</v>
      </c>
      <c r="BT14">
        <f t="shared" ref="BT14:BT45" si="41">Z14</f>
        <v>0</v>
      </c>
      <c r="BU14">
        <f t="shared" ref="BU14:BU45" si="42">AA14</f>
        <v>0</v>
      </c>
      <c r="BV14">
        <f t="shared" ref="BV14:BV45" si="43">AB14</f>
        <v>0</v>
      </c>
      <c r="BW14">
        <f t="shared" ref="BW14:BW45" si="44">AC14</f>
        <v>0</v>
      </c>
      <c r="BX14">
        <f t="shared" ref="BX14:BX45" si="45">AD14</f>
        <v>0</v>
      </c>
      <c r="BY14">
        <f t="shared" si="20"/>
        <v>0</v>
      </c>
      <c r="BZ14" s="348">
        <f t="shared" si="21"/>
        <v>0</v>
      </c>
      <c r="CA14" s="73">
        <f t="shared" si="22"/>
        <v>0</v>
      </c>
      <c r="CB14">
        <f t="shared" si="23"/>
        <v>0</v>
      </c>
      <c r="CC14">
        <f t="shared" si="24"/>
        <v>0</v>
      </c>
      <c r="CD14">
        <f t="shared" si="1"/>
        <v>0</v>
      </c>
      <c r="CE14">
        <f t="shared" si="2"/>
        <v>0</v>
      </c>
      <c r="CF14">
        <f t="shared" si="3"/>
        <v>0</v>
      </c>
      <c r="CG14">
        <f t="shared" si="4"/>
        <v>0</v>
      </c>
      <c r="CH14">
        <f t="shared" si="5"/>
        <v>0</v>
      </c>
      <c r="CI14">
        <f t="shared" si="6"/>
        <v>0</v>
      </c>
      <c r="CJ14">
        <f t="shared" si="7"/>
        <v>0</v>
      </c>
      <c r="CK14">
        <f t="shared" si="8"/>
        <v>0</v>
      </c>
      <c r="CL14">
        <f t="shared" si="9"/>
        <v>0</v>
      </c>
    </row>
    <row r="15" spans="1:90" x14ac:dyDescent="0.25">
      <c r="A15" s="348"/>
      <c r="B15" s="313" t="s">
        <v>338</v>
      </c>
      <c r="C15" s="313">
        <v>1</v>
      </c>
      <c r="D15" s="21">
        <v>1</v>
      </c>
      <c r="E15" s="276" t="s">
        <v>367</v>
      </c>
      <c r="F15" s="276" t="s">
        <v>44</v>
      </c>
      <c r="G15" s="276" t="s">
        <v>393</v>
      </c>
      <c r="H15" s="6">
        <v>12</v>
      </c>
      <c r="I15" s="348"/>
      <c r="U15" s="348"/>
      <c r="AF15" s="348"/>
      <c r="AG15" s="73"/>
      <c r="AT15" s="73" t="str">
        <f t="shared" si="19"/>
        <v>Fuel.PolskRest.LHV</v>
      </c>
      <c r="AU15" s="276" t="s">
        <v>390</v>
      </c>
      <c r="AV15" s="6">
        <f t="shared" si="11"/>
        <v>-9.99</v>
      </c>
      <c r="AW15" s="313">
        <f t="shared" si="12"/>
        <v>1</v>
      </c>
      <c r="AX15" s="21">
        <f t="shared" si="13"/>
        <v>1</v>
      </c>
      <c r="AY15" s="13">
        <f t="shared" si="14"/>
        <v>5</v>
      </c>
      <c r="AZ15" s="13">
        <f t="shared" ca="1" si="15"/>
        <v>16</v>
      </c>
      <c r="BA15" s="21">
        <f t="shared" ca="1" si="16"/>
        <v>15</v>
      </c>
      <c r="BB15" s="6">
        <f t="shared" si="18"/>
        <v>12</v>
      </c>
      <c r="BC15" s="348">
        <f t="shared" si="17"/>
        <v>0</v>
      </c>
      <c r="BD15">
        <f t="shared" si="25"/>
        <v>0</v>
      </c>
      <c r="BE15">
        <f t="shared" si="26"/>
        <v>0</v>
      </c>
      <c r="BF15">
        <f t="shared" si="27"/>
        <v>0</v>
      </c>
      <c r="BG15">
        <f t="shared" si="28"/>
        <v>0</v>
      </c>
      <c r="BH15">
        <f t="shared" si="29"/>
        <v>0</v>
      </c>
      <c r="BI15">
        <f t="shared" si="30"/>
        <v>0</v>
      </c>
      <c r="BJ15">
        <f t="shared" si="31"/>
        <v>0</v>
      </c>
      <c r="BK15">
        <f t="shared" si="32"/>
        <v>0</v>
      </c>
      <c r="BL15">
        <f t="shared" si="33"/>
        <v>0</v>
      </c>
      <c r="BM15">
        <f t="shared" si="34"/>
        <v>0</v>
      </c>
      <c r="BN15">
        <f t="shared" si="35"/>
        <v>0</v>
      </c>
      <c r="BO15" s="348">
        <f t="shared" si="36"/>
        <v>0</v>
      </c>
      <c r="BP15">
        <f t="shared" si="37"/>
        <v>0</v>
      </c>
      <c r="BQ15">
        <f t="shared" si="38"/>
        <v>0</v>
      </c>
      <c r="BR15">
        <f t="shared" si="39"/>
        <v>0</v>
      </c>
      <c r="BS15">
        <f t="shared" si="40"/>
        <v>0</v>
      </c>
      <c r="BT15">
        <f t="shared" si="41"/>
        <v>0</v>
      </c>
      <c r="BU15">
        <f t="shared" si="42"/>
        <v>0</v>
      </c>
      <c r="BV15">
        <f t="shared" si="43"/>
        <v>0</v>
      </c>
      <c r="BW15">
        <f t="shared" si="44"/>
        <v>0</v>
      </c>
      <c r="BX15">
        <f t="shared" si="45"/>
        <v>0</v>
      </c>
      <c r="BY15">
        <f t="shared" si="20"/>
        <v>0</v>
      </c>
      <c r="BZ15" s="348">
        <f t="shared" si="21"/>
        <v>0</v>
      </c>
      <c r="CA15" s="73">
        <f t="shared" si="22"/>
        <v>0</v>
      </c>
      <c r="CB15">
        <f t="shared" si="23"/>
        <v>0</v>
      </c>
      <c r="CC15">
        <f t="shared" si="24"/>
        <v>0</v>
      </c>
      <c r="CD15">
        <f t="shared" si="1"/>
        <v>0</v>
      </c>
      <c r="CE15">
        <f t="shared" si="2"/>
        <v>0</v>
      </c>
      <c r="CF15">
        <f t="shared" si="3"/>
        <v>0</v>
      </c>
      <c r="CG15">
        <f t="shared" si="4"/>
        <v>0</v>
      </c>
      <c r="CH15">
        <f t="shared" si="5"/>
        <v>0</v>
      </c>
      <c r="CI15">
        <f t="shared" si="6"/>
        <v>0</v>
      </c>
      <c r="CJ15">
        <f t="shared" si="7"/>
        <v>0</v>
      </c>
      <c r="CK15">
        <f t="shared" si="8"/>
        <v>0</v>
      </c>
      <c r="CL15">
        <f t="shared" si="9"/>
        <v>0</v>
      </c>
    </row>
    <row r="16" spans="1:90" x14ac:dyDescent="0.25">
      <c r="A16" s="348"/>
      <c r="B16" s="313" t="s">
        <v>339</v>
      </c>
      <c r="C16" s="313">
        <v>0</v>
      </c>
      <c r="D16" s="6">
        <v>2</v>
      </c>
      <c r="E16" s="276" t="s">
        <v>328</v>
      </c>
      <c r="F16" s="276" t="s">
        <v>178</v>
      </c>
      <c r="G16" s="276" t="s">
        <v>370</v>
      </c>
      <c r="H16" s="6">
        <f>50*7.5</f>
        <v>375</v>
      </c>
      <c r="I16" s="348"/>
      <c r="U16" s="348"/>
      <c r="AF16" s="348"/>
      <c r="AG16" s="73"/>
      <c r="AT16" s="73" t="str">
        <f t="shared" si="19"/>
        <v/>
      </c>
      <c r="AU16" s="276" t="s">
        <v>391</v>
      </c>
      <c r="AV16" s="6">
        <f t="shared" si="11"/>
        <v>-9.99</v>
      </c>
      <c r="AW16" s="313">
        <f t="shared" si="12"/>
        <v>0</v>
      </c>
      <c r="AX16" s="6">
        <f t="shared" si="13"/>
        <v>2</v>
      </c>
      <c r="AY16" s="13">
        <f t="shared" si="14"/>
        <v>4</v>
      </c>
      <c r="AZ16" s="13">
        <f t="shared" ca="1" si="15"/>
        <v>15</v>
      </c>
      <c r="BA16" s="6">
        <f t="shared" ca="1" si="16"/>
        <v>1</v>
      </c>
      <c r="BB16" s="6">
        <f t="shared" si="18"/>
        <v>375</v>
      </c>
      <c r="BC16" s="348">
        <f t="shared" si="17"/>
        <v>0</v>
      </c>
      <c r="BD16">
        <f t="shared" si="25"/>
        <v>0</v>
      </c>
      <c r="BE16">
        <f t="shared" si="26"/>
        <v>0</v>
      </c>
      <c r="BF16">
        <f t="shared" si="27"/>
        <v>0</v>
      </c>
      <c r="BG16">
        <f t="shared" si="28"/>
        <v>0</v>
      </c>
      <c r="BH16">
        <f t="shared" si="29"/>
        <v>0</v>
      </c>
      <c r="BI16">
        <f t="shared" si="30"/>
        <v>0</v>
      </c>
      <c r="BJ16">
        <f t="shared" si="31"/>
        <v>0</v>
      </c>
      <c r="BK16">
        <f t="shared" si="32"/>
        <v>0</v>
      </c>
      <c r="BL16">
        <f t="shared" si="33"/>
        <v>0</v>
      </c>
      <c r="BM16">
        <f t="shared" si="34"/>
        <v>0</v>
      </c>
      <c r="BN16">
        <f t="shared" si="35"/>
        <v>0</v>
      </c>
      <c r="BO16" s="348">
        <f t="shared" si="36"/>
        <v>0</v>
      </c>
      <c r="BP16">
        <f t="shared" si="37"/>
        <v>0</v>
      </c>
      <c r="BQ16">
        <f t="shared" si="38"/>
        <v>0</v>
      </c>
      <c r="BR16">
        <f t="shared" si="39"/>
        <v>0</v>
      </c>
      <c r="BS16">
        <f t="shared" si="40"/>
        <v>0</v>
      </c>
      <c r="BT16">
        <f t="shared" si="41"/>
        <v>0</v>
      </c>
      <c r="BU16">
        <f t="shared" si="42"/>
        <v>0</v>
      </c>
      <c r="BV16">
        <f t="shared" si="43"/>
        <v>0</v>
      </c>
      <c r="BW16">
        <f t="shared" si="44"/>
        <v>0</v>
      </c>
      <c r="BX16">
        <f t="shared" si="45"/>
        <v>0</v>
      </c>
      <c r="BY16">
        <f t="shared" si="20"/>
        <v>0</v>
      </c>
      <c r="BZ16" s="348">
        <f t="shared" si="21"/>
        <v>0</v>
      </c>
      <c r="CA16" s="73">
        <f t="shared" si="22"/>
        <v>0</v>
      </c>
      <c r="CB16">
        <f t="shared" si="23"/>
        <v>0</v>
      </c>
      <c r="CC16">
        <f t="shared" si="24"/>
        <v>0</v>
      </c>
      <c r="CD16">
        <f t="shared" si="1"/>
        <v>0</v>
      </c>
      <c r="CE16">
        <f t="shared" si="2"/>
        <v>0</v>
      </c>
      <c r="CF16">
        <f t="shared" si="3"/>
        <v>0</v>
      </c>
      <c r="CG16">
        <f t="shared" si="4"/>
        <v>0</v>
      </c>
      <c r="CH16">
        <f t="shared" si="5"/>
        <v>0</v>
      </c>
      <c r="CI16">
        <f t="shared" si="6"/>
        <v>0</v>
      </c>
      <c r="CJ16">
        <f t="shared" si="7"/>
        <v>0</v>
      </c>
      <c r="CK16">
        <f t="shared" si="8"/>
        <v>0</v>
      </c>
      <c r="CL16">
        <f t="shared" si="9"/>
        <v>0</v>
      </c>
    </row>
    <row r="17" spans="1:90" x14ac:dyDescent="0.25">
      <c r="A17" s="348"/>
      <c r="B17" s="313" t="s">
        <v>340</v>
      </c>
      <c r="C17" s="313">
        <v>0</v>
      </c>
      <c r="D17" s="6">
        <v>3</v>
      </c>
      <c r="E17" s="276" t="s">
        <v>328</v>
      </c>
      <c r="F17" s="276" t="s">
        <v>178</v>
      </c>
      <c r="G17" s="276" t="s">
        <v>370</v>
      </c>
      <c r="H17" s="6">
        <f>100*7.5</f>
        <v>750</v>
      </c>
      <c r="I17" s="348"/>
      <c r="U17" s="348"/>
      <c r="AF17" s="348"/>
      <c r="AG17" s="73"/>
      <c r="AT17" s="73" t="str">
        <f t="shared" si="19"/>
        <v/>
      </c>
      <c r="AU17" s="276" t="s">
        <v>392</v>
      </c>
      <c r="AV17" s="6">
        <f t="shared" si="11"/>
        <v>-9.99</v>
      </c>
      <c r="AW17" s="313">
        <f t="shared" si="12"/>
        <v>0</v>
      </c>
      <c r="AX17" s="6">
        <f t="shared" si="13"/>
        <v>3</v>
      </c>
      <c r="AY17" s="13">
        <f t="shared" si="14"/>
        <v>4</v>
      </c>
      <c r="AZ17" s="13">
        <f t="shared" ca="1" si="15"/>
        <v>15</v>
      </c>
      <c r="BA17" s="6">
        <f t="shared" ca="1" si="16"/>
        <v>1</v>
      </c>
      <c r="BB17" s="6">
        <f t="shared" si="18"/>
        <v>750</v>
      </c>
      <c r="BC17" s="348">
        <f t="shared" si="17"/>
        <v>0</v>
      </c>
      <c r="BD17">
        <f t="shared" si="25"/>
        <v>0</v>
      </c>
      <c r="BE17">
        <f t="shared" si="26"/>
        <v>0</v>
      </c>
      <c r="BF17">
        <f t="shared" si="27"/>
        <v>0</v>
      </c>
      <c r="BG17">
        <f t="shared" si="28"/>
        <v>0</v>
      </c>
      <c r="BH17">
        <f t="shared" si="29"/>
        <v>0</v>
      </c>
      <c r="BI17">
        <f t="shared" si="30"/>
        <v>0</v>
      </c>
      <c r="BJ17">
        <f t="shared" si="31"/>
        <v>0</v>
      </c>
      <c r="BK17">
        <f t="shared" si="32"/>
        <v>0</v>
      </c>
      <c r="BL17">
        <f t="shared" si="33"/>
        <v>0</v>
      </c>
      <c r="BM17">
        <f t="shared" si="34"/>
        <v>0</v>
      </c>
      <c r="BN17">
        <f t="shared" si="35"/>
        <v>0</v>
      </c>
      <c r="BO17" s="348">
        <f t="shared" si="36"/>
        <v>0</v>
      </c>
      <c r="BP17">
        <f t="shared" si="37"/>
        <v>0</v>
      </c>
      <c r="BQ17">
        <f t="shared" si="38"/>
        <v>0</v>
      </c>
      <c r="BR17">
        <f t="shared" si="39"/>
        <v>0</v>
      </c>
      <c r="BS17">
        <f t="shared" si="40"/>
        <v>0</v>
      </c>
      <c r="BT17">
        <f t="shared" si="41"/>
        <v>0</v>
      </c>
      <c r="BU17">
        <f t="shared" si="42"/>
        <v>0</v>
      </c>
      <c r="BV17">
        <f t="shared" si="43"/>
        <v>0</v>
      </c>
      <c r="BW17">
        <f t="shared" si="44"/>
        <v>0</v>
      </c>
      <c r="BX17">
        <f t="shared" si="45"/>
        <v>0</v>
      </c>
      <c r="BY17">
        <f t="shared" si="20"/>
        <v>0</v>
      </c>
      <c r="BZ17" s="348">
        <f t="shared" si="21"/>
        <v>0</v>
      </c>
      <c r="CA17" s="73">
        <f t="shared" si="22"/>
        <v>0</v>
      </c>
      <c r="CB17">
        <f t="shared" si="23"/>
        <v>0</v>
      </c>
      <c r="CC17">
        <f t="shared" si="24"/>
        <v>0</v>
      </c>
      <c r="CD17">
        <f t="shared" si="1"/>
        <v>0</v>
      </c>
      <c r="CE17">
        <f t="shared" si="2"/>
        <v>0</v>
      </c>
      <c r="CF17">
        <f t="shared" si="3"/>
        <v>0</v>
      </c>
      <c r="CG17">
        <f t="shared" si="4"/>
        <v>0</v>
      </c>
      <c r="CH17">
        <f t="shared" si="5"/>
        <v>0</v>
      </c>
      <c r="CI17">
        <f t="shared" si="6"/>
        <v>0</v>
      </c>
      <c r="CJ17">
        <f t="shared" si="7"/>
        <v>0</v>
      </c>
      <c r="CK17">
        <f t="shared" si="8"/>
        <v>0</v>
      </c>
      <c r="CL17">
        <f t="shared" si="9"/>
        <v>0</v>
      </c>
    </row>
    <row r="18" spans="1:90" x14ac:dyDescent="0.25">
      <c r="A18" s="348"/>
      <c r="B18" s="313" t="s">
        <v>341</v>
      </c>
      <c r="C18" s="313">
        <v>0</v>
      </c>
      <c r="D18" s="6">
        <v>4</v>
      </c>
      <c r="E18" s="276" t="s">
        <v>328</v>
      </c>
      <c r="F18" s="276" t="s">
        <v>178</v>
      </c>
      <c r="G18" s="276" t="s">
        <v>370</v>
      </c>
      <c r="H18" s="6">
        <f>150*7.5</f>
        <v>1125</v>
      </c>
      <c r="I18" s="348"/>
      <c r="U18" s="348"/>
      <c r="AF18" s="348"/>
      <c r="AG18" s="73"/>
      <c r="AT18" s="73" t="str">
        <f t="shared" si="19"/>
        <v/>
      </c>
      <c r="AU18" s="276" t="s">
        <v>394</v>
      </c>
      <c r="AV18" s="6">
        <f t="shared" si="11"/>
        <v>-9.99</v>
      </c>
      <c r="AW18" s="6">
        <f t="shared" si="12"/>
        <v>0</v>
      </c>
      <c r="AX18" s="6">
        <f t="shared" si="13"/>
        <v>4</v>
      </c>
      <c r="AY18" s="6">
        <f t="shared" si="14"/>
        <v>4</v>
      </c>
      <c r="AZ18" s="6">
        <f t="shared" ca="1" si="15"/>
        <v>15</v>
      </c>
      <c r="BA18" s="6">
        <f t="shared" ca="1" si="16"/>
        <v>1</v>
      </c>
      <c r="BB18" s="6">
        <f t="shared" si="18"/>
        <v>1125</v>
      </c>
      <c r="BC18" s="348">
        <f t="shared" si="17"/>
        <v>0</v>
      </c>
      <c r="BD18">
        <f t="shared" si="25"/>
        <v>0</v>
      </c>
      <c r="BE18">
        <f t="shared" si="26"/>
        <v>0</v>
      </c>
      <c r="BF18">
        <f t="shared" si="27"/>
        <v>0</v>
      </c>
      <c r="BG18">
        <f t="shared" si="28"/>
        <v>0</v>
      </c>
      <c r="BH18">
        <f t="shared" si="29"/>
        <v>0</v>
      </c>
      <c r="BI18">
        <f t="shared" si="30"/>
        <v>0</v>
      </c>
      <c r="BJ18">
        <f t="shared" si="31"/>
        <v>0</v>
      </c>
      <c r="BK18">
        <f t="shared" si="32"/>
        <v>0</v>
      </c>
      <c r="BL18">
        <f t="shared" si="33"/>
        <v>0</v>
      </c>
      <c r="BM18">
        <f t="shared" si="34"/>
        <v>0</v>
      </c>
      <c r="BN18">
        <f t="shared" si="35"/>
        <v>0</v>
      </c>
      <c r="BO18" s="348">
        <f t="shared" si="36"/>
        <v>0</v>
      </c>
      <c r="BP18">
        <f t="shared" si="37"/>
        <v>0</v>
      </c>
      <c r="BQ18">
        <f t="shared" si="38"/>
        <v>0</v>
      </c>
      <c r="BR18">
        <f t="shared" si="39"/>
        <v>0</v>
      </c>
      <c r="BS18">
        <f t="shared" si="40"/>
        <v>0</v>
      </c>
      <c r="BT18">
        <f t="shared" si="41"/>
        <v>0</v>
      </c>
      <c r="BU18">
        <f t="shared" si="42"/>
        <v>0</v>
      </c>
      <c r="BV18">
        <f t="shared" si="43"/>
        <v>0</v>
      </c>
      <c r="BW18">
        <f t="shared" si="44"/>
        <v>0</v>
      </c>
      <c r="BX18">
        <f t="shared" si="45"/>
        <v>0</v>
      </c>
      <c r="BY18">
        <f t="shared" si="20"/>
        <v>0</v>
      </c>
      <c r="BZ18" s="348">
        <f t="shared" si="21"/>
        <v>0</v>
      </c>
      <c r="CA18" s="73">
        <f t="shared" si="22"/>
        <v>0</v>
      </c>
      <c r="CB18">
        <f t="shared" si="23"/>
        <v>0</v>
      </c>
      <c r="CC18">
        <f t="shared" si="24"/>
        <v>0</v>
      </c>
      <c r="CD18">
        <f t="shared" si="1"/>
        <v>0</v>
      </c>
      <c r="CE18">
        <f t="shared" si="2"/>
        <v>0</v>
      </c>
      <c r="CF18">
        <f t="shared" si="3"/>
        <v>0</v>
      </c>
      <c r="CG18">
        <f t="shared" si="4"/>
        <v>0</v>
      </c>
      <c r="CH18">
        <f t="shared" si="5"/>
        <v>0</v>
      </c>
      <c r="CI18">
        <f t="shared" si="6"/>
        <v>0</v>
      </c>
      <c r="CJ18">
        <f t="shared" si="7"/>
        <v>0</v>
      </c>
      <c r="CK18">
        <f t="shared" si="8"/>
        <v>0</v>
      </c>
      <c r="CL18">
        <f t="shared" si="9"/>
        <v>0</v>
      </c>
    </row>
    <row r="19" spans="1:90" x14ac:dyDescent="0.25">
      <c r="A19" s="348"/>
      <c r="B19" s="313" t="s">
        <v>342</v>
      </c>
      <c r="C19" s="313">
        <v>0</v>
      </c>
      <c r="D19" s="6">
        <v>5</v>
      </c>
      <c r="E19" s="276" t="s">
        <v>328</v>
      </c>
      <c r="F19" s="276" t="s">
        <v>178</v>
      </c>
      <c r="G19" s="276" t="s">
        <v>370</v>
      </c>
      <c r="H19" s="6">
        <f>200*7.5</f>
        <v>1500</v>
      </c>
      <c r="I19" s="348"/>
      <c r="U19" s="348"/>
      <c r="AF19" s="348"/>
      <c r="AG19" s="73"/>
      <c r="AT19" s="73" t="str">
        <f t="shared" si="19"/>
        <v/>
      </c>
      <c r="AU19" s="276" t="s">
        <v>395</v>
      </c>
      <c r="AV19" s="6">
        <f t="shared" si="11"/>
        <v>-9.99</v>
      </c>
      <c r="AW19" s="6">
        <f t="shared" si="12"/>
        <v>0</v>
      </c>
      <c r="AX19" s="6">
        <f t="shared" si="13"/>
        <v>5</v>
      </c>
      <c r="AY19" s="6">
        <f t="shared" si="14"/>
        <v>4</v>
      </c>
      <c r="AZ19" s="6">
        <f t="shared" ca="1" si="15"/>
        <v>15</v>
      </c>
      <c r="BA19" s="6">
        <f t="shared" ca="1" si="16"/>
        <v>1</v>
      </c>
      <c r="BB19" s="6">
        <f t="shared" si="18"/>
        <v>1500</v>
      </c>
      <c r="BC19" s="348">
        <f t="shared" si="17"/>
        <v>0</v>
      </c>
      <c r="BD19">
        <f t="shared" si="25"/>
        <v>0</v>
      </c>
      <c r="BE19">
        <f t="shared" si="26"/>
        <v>0</v>
      </c>
      <c r="BF19">
        <f t="shared" si="27"/>
        <v>0</v>
      </c>
      <c r="BG19">
        <f t="shared" si="28"/>
        <v>0</v>
      </c>
      <c r="BH19">
        <f t="shared" si="29"/>
        <v>0</v>
      </c>
      <c r="BI19">
        <f t="shared" si="30"/>
        <v>0</v>
      </c>
      <c r="BJ19">
        <f t="shared" si="31"/>
        <v>0</v>
      </c>
      <c r="BK19">
        <f t="shared" si="32"/>
        <v>0</v>
      </c>
      <c r="BL19">
        <f t="shared" si="33"/>
        <v>0</v>
      </c>
      <c r="BM19">
        <f t="shared" si="34"/>
        <v>0</v>
      </c>
      <c r="BN19">
        <f t="shared" si="35"/>
        <v>0</v>
      </c>
      <c r="BO19" s="348">
        <f t="shared" si="36"/>
        <v>0</v>
      </c>
      <c r="BP19">
        <f t="shared" si="37"/>
        <v>0</v>
      </c>
      <c r="BQ19">
        <f t="shared" si="38"/>
        <v>0</v>
      </c>
      <c r="BR19">
        <f t="shared" si="39"/>
        <v>0</v>
      </c>
      <c r="BS19">
        <f t="shared" si="40"/>
        <v>0</v>
      </c>
      <c r="BT19">
        <f t="shared" si="41"/>
        <v>0</v>
      </c>
      <c r="BU19">
        <f t="shared" si="42"/>
        <v>0</v>
      </c>
      <c r="BV19">
        <f t="shared" si="43"/>
        <v>0</v>
      </c>
      <c r="BW19">
        <f t="shared" si="44"/>
        <v>0</v>
      </c>
      <c r="BX19">
        <f t="shared" si="45"/>
        <v>0</v>
      </c>
      <c r="BY19">
        <f t="shared" si="20"/>
        <v>0</v>
      </c>
      <c r="BZ19" s="348">
        <f t="shared" si="21"/>
        <v>0</v>
      </c>
      <c r="CA19" s="73">
        <f t="shared" si="22"/>
        <v>0</v>
      </c>
      <c r="CB19">
        <f t="shared" si="23"/>
        <v>0</v>
      </c>
      <c r="CC19">
        <f t="shared" si="24"/>
        <v>0</v>
      </c>
      <c r="CD19">
        <f t="shared" si="1"/>
        <v>0</v>
      </c>
      <c r="CE19">
        <f t="shared" si="2"/>
        <v>0</v>
      </c>
      <c r="CF19">
        <f t="shared" si="3"/>
        <v>0</v>
      </c>
      <c r="CG19">
        <f t="shared" si="4"/>
        <v>0</v>
      </c>
      <c r="CH19">
        <f t="shared" si="5"/>
        <v>0</v>
      </c>
      <c r="CI19">
        <f t="shared" si="6"/>
        <v>0</v>
      </c>
      <c r="CJ19">
        <f t="shared" si="7"/>
        <v>0</v>
      </c>
      <c r="CK19">
        <f t="shared" si="8"/>
        <v>0</v>
      </c>
      <c r="CL19">
        <f t="shared" si="9"/>
        <v>0</v>
      </c>
    </row>
    <row r="20" spans="1:90" x14ac:dyDescent="0.25">
      <c r="A20" s="348"/>
      <c r="B20" s="313" t="s">
        <v>343</v>
      </c>
      <c r="C20" s="313">
        <v>0</v>
      </c>
      <c r="D20" s="6">
        <v>6</v>
      </c>
      <c r="E20" s="276" t="s">
        <v>367</v>
      </c>
      <c r="F20" s="276" t="s">
        <v>85</v>
      </c>
      <c r="G20" s="276" t="s">
        <v>184</v>
      </c>
      <c r="H20" s="383">
        <v>1</v>
      </c>
      <c r="I20" s="348"/>
      <c r="U20" s="348"/>
      <c r="AF20" s="348"/>
      <c r="AG20" s="73"/>
      <c r="AT20" s="73" t="str">
        <f t="shared" si="19"/>
        <v/>
      </c>
      <c r="AU20" s="276" t="s">
        <v>396</v>
      </c>
      <c r="AV20" s="6">
        <f t="shared" si="11"/>
        <v>-9.99</v>
      </c>
      <c r="AW20" s="6">
        <f t="shared" si="12"/>
        <v>0</v>
      </c>
      <c r="AX20" s="6">
        <f t="shared" si="13"/>
        <v>6</v>
      </c>
      <c r="AY20" s="6">
        <f t="shared" si="14"/>
        <v>5</v>
      </c>
      <c r="AZ20" s="6">
        <f t="shared" ca="1" si="15"/>
        <v>22</v>
      </c>
      <c r="BA20" s="6">
        <f t="shared" ca="1" si="16"/>
        <v>1</v>
      </c>
      <c r="BB20" s="6">
        <f t="shared" si="18"/>
        <v>1</v>
      </c>
      <c r="BC20" s="348">
        <f t="shared" si="17"/>
        <v>0</v>
      </c>
      <c r="BD20">
        <f t="shared" si="25"/>
        <v>0</v>
      </c>
      <c r="BE20">
        <f t="shared" si="26"/>
        <v>0</v>
      </c>
      <c r="BF20">
        <f t="shared" si="27"/>
        <v>0</v>
      </c>
      <c r="BG20">
        <f t="shared" si="28"/>
        <v>0</v>
      </c>
      <c r="BH20">
        <f t="shared" si="29"/>
        <v>0</v>
      </c>
      <c r="BI20">
        <f t="shared" si="30"/>
        <v>0</v>
      </c>
      <c r="BJ20">
        <f t="shared" si="31"/>
        <v>0</v>
      </c>
      <c r="BK20">
        <f t="shared" si="32"/>
        <v>0</v>
      </c>
      <c r="BL20">
        <f t="shared" si="33"/>
        <v>0</v>
      </c>
      <c r="BM20">
        <f t="shared" si="34"/>
        <v>0</v>
      </c>
      <c r="BN20">
        <f t="shared" si="35"/>
        <v>0</v>
      </c>
      <c r="BO20" s="348">
        <f t="shared" si="36"/>
        <v>0</v>
      </c>
      <c r="BP20">
        <f t="shared" si="37"/>
        <v>0</v>
      </c>
      <c r="BQ20">
        <f t="shared" si="38"/>
        <v>0</v>
      </c>
      <c r="BR20">
        <f t="shared" si="39"/>
        <v>0</v>
      </c>
      <c r="BS20">
        <f t="shared" si="40"/>
        <v>0</v>
      </c>
      <c r="BT20">
        <f t="shared" si="41"/>
        <v>0</v>
      </c>
      <c r="BU20">
        <f t="shared" si="42"/>
        <v>0</v>
      </c>
      <c r="BV20">
        <f t="shared" si="43"/>
        <v>0</v>
      </c>
      <c r="BW20">
        <f t="shared" si="44"/>
        <v>0</v>
      </c>
      <c r="BX20">
        <f t="shared" si="45"/>
        <v>0</v>
      </c>
      <c r="BY20">
        <f t="shared" si="20"/>
        <v>0</v>
      </c>
      <c r="BZ20" s="348">
        <f t="shared" si="21"/>
        <v>0</v>
      </c>
      <c r="CA20" s="73">
        <f t="shared" si="22"/>
        <v>0</v>
      </c>
      <c r="CB20">
        <f t="shared" si="23"/>
        <v>0</v>
      </c>
      <c r="CC20">
        <f t="shared" si="24"/>
        <v>0</v>
      </c>
      <c r="CD20">
        <f t="shared" si="1"/>
        <v>0</v>
      </c>
      <c r="CE20">
        <f t="shared" si="2"/>
        <v>0</v>
      </c>
      <c r="CF20">
        <f t="shared" si="3"/>
        <v>0</v>
      </c>
      <c r="CG20">
        <f t="shared" si="4"/>
        <v>0</v>
      </c>
      <c r="CH20">
        <f t="shared" si="5"/>
        <v>0</v>
      </c>
      <c r="CI20">
        <f t="shared" si="6"/>
        <v>0</v>
      </c>
      <c r="CJ20">
        <f t="shared" si="7"/>
        <v>0</v>
      </c>
      <c r="CK20">
        <f t="shared" si="8"/>
        <v>0</v>
      </c>
      <c r="CL20">
        <f t="shared" si="9"/>
        <v>0</v>
      </c>
    </row>
    <row r="21" spans="1:90" x14ac:dyDescent="0.25">
      <c r="A21" s="348"/>
      <c r="B21" s="313" t="s">
        <v>344</v>
      </c>
      <c r="C21" s="313">
        <v>0</v>
      </c>
      <c r="D21" s="6"/>
      <c r="E21" s="276"/>
      <c r="F21" s="276"/>
      <c r="G21" s="276"/>
      <c r="H21" s="383">
        <f t="shared" ref="H21:H25" si="46">NaN</f>
        <v>-9.99</v>
      </c>
      <c r="I21" s="348"/>
      <c r="U21" s="348"/>
      <c r="AF21" s="348"/>
      <c r="AG21" s="73"/>
      <c r="AT21" s="73" t="str">
        <f t="shared" si="19"/>
        <v/>
      </c>
      <c r="AU21" s="276" t="s">
        <v>397</v>
      </c>
      <c r="AV21" s="6">
        <f t="shared" si="11"/>
        <v>-9.99</v>
      </c>
      <c r="AW21" s="6">
        <f t="shared" si="12"/>
        <v>0</v>
      </c>
      <c r="AX21" s="6">
        <f t="shared" si="13"/>
        <v>0</v>
      </c>
      <c r="AY21" s="6" t="str">
        <f t="shared" si="14"/>
        <v/>
      </c>
      <c r="AZ21" s="6" t="str">
        <f t="shared" ca="1" si="15"/>
        <v/>
      </c>
      <c r="BA21" s="6" t="str">
        <f t="shared" ca="1" si="16"/>
        <v/>
      </c>
      <c r="BB21" s="6">
        <f t="shared" si="18"/>
        <v>-9.99</v>
      </c>
      <c r="BC21" s="348">
        <f t="shared" si="17"/>
        <v>0</v>
      </c>
      <c r="BD21">
        <f t="shared" si="25"/>
        <v>0</v>
      </c>
      <c r="BE21">
        <f t="shared" si="26"/>
        <v>0</v>
      </c>
      <c r="BF21">
        <f t="shared" si="27"/>
        <v>0</v>
      </c>
      <c r="BG21">
        <f t="shared" si="28"/>
        <v>0</v>
      </c>
      <c r="BH21">
        <f t="shared" si="29"/>
        <v>0</v>
      </c>
      <c r="BI21">
        <f t="shared" si="30"/>
        <v>0</v>
      </c>
      <c r="BJ21">
        <f t="shared" si="31"/>
        <v>0</v>
      </c>
      <c r="BK21">
        <f t="shared" si="32"/>
        <v>0</v>
      </c>
      <c r="BL21">
        <f t="shared" si="33"/>
        <v>0</v>
      </c>
      <c r="BM21">
        <f t="shared" si="34"/>
        <v>0</v>
      </c>
      <c r="BN21">
        <f t="shared" si="35"/>
        <v>0</v>
      </c>
      <c r="BO21" s="348">
        <f t="shared" si="36"/>
        <v>0</v>
      </c>
      <c r="BP21">
        <f t="shared" si="37"/>
        <v>0</v>
      </c>
      <c r="BQ21">
        <f t="shared" si="38"/>
        <v>0</v>
      </c>
      <c r="BR21">
        <f t="shared" si="39"/>
        <v>0</v>
      </c>
      <c r="BS21">
        <f t="shared" si="40"/>
        <v>0</v>
      </c>
      <c r="BT21">
        <f t="shared" si="41"/>
        <v>0</v>
      </c>
      <c r="BU21">
        <f t="shared" si="42"/>
        <v>0</v>
      </c>
      <c r="BV21">
        <f t="shared" si="43"/>
        <v>0</v>
      </c>
      <c r="BW21">
        <f t="shared" si="44"/>
        <v>0</v>
      </c>
      <c r="BX21">
        <f t="shared" si="45"/>
        <v>0</v>
      </c>
      <c r="BY21">
        <f t="shared" si="20"/>
        <v>0</v>
      </c>
      <c r="BZ21" s="348">
        <f t="shared" si="21"/>
        <v>0</v>
      </c>
      <c r="CA21" s="73">
        <f t="shared" si="22"/>
        <v>0</v>
      </c>
      <c r="CB21">
        <f t="shared" si="23"/>
        <v>0</v>
      </c>
      <c r="CC21">
        <f t="shared" si="24"/>
        <v>0</v>
      </c>
      <c r="CD21">
        <f t="shared" si="1"/>
        <v>0</v>
      </c>
      <c r="CE21">
        <f t="shared" si="2"/>
        <v>0</v>
      </c>
      <c r="CF21">
        <f t="shared" si="3"/>
        <v>0</v>
      </c>
      <c r="CG21">
        <f t="shared" si="4"/>
        <v>0</v>
      </c>
      <c r="CH21">
        <f t="shared" si="5"/>
        <v>0</v>
      </c>
      <c r="CI21">
        <f t="shared" si="6"/>
        <v>0</v>
      </c>
      <c r="CJ21">
        <f t="shared" si="7"/>
        <v>0</v>
      </c>
      <c r="CK21">
        <f t="shared" si="8"/>
        <v>0</v>
      </c>
      <c r="CL21">
        <f t="shared" si="9"/>
        <v>0</v>
      </c>
    </row>
    <row r="22" spans="1:90" x14ac:dyDescent="0.25">
      <c r="A22" s="348"/>
      <c r="B22" s="313" t="s">
        <v>345</v>
      </c>
      <c r="C22" s="313">
        <v>0</v>
      </c>
      <c r="D22" s="6"/>
      <c r="E22" s="276"/>
      <c r="F22" s="276"/>
      <c r="G22" s="276"/>
      <c r="H22" s="383">
        <f t="shared" si="46"/>
        <v>-9.99</v>
      </c>
      <c r="I22" s="348"/>
      <c r="U22" s="348"/>
      <c r="AF22" s="348"/>
      <c r="AG22" s="73"/>
      <c r="AT22" s="73" t="str">
        <f t="shared" si="19"/>
        <v/>
      </c>
      <c r="AU22" s="276" t="s">
        <v>407</v>
      </c>
      <c r="AV22" s="6">
        <f t="shared" si="11"/>
        <v>-9.99</v>
      </c>
      <c r="AW22" s="6">
        <f t="shared" ref="AW22:AW45" si="47">C22</f>
        <v>0</v>
      </c>
      <c r="AX22" s="6">
        <f t="shared" ref="AX22:AX45" si="48">D22</f>
        <v>0</v>
      </c>
      <c r="AY22" s="6" t="str">
        <f t="shared" ref="AY22:AY45" si="49">IFERROR(MATCH(E22,listRoot,0),IF(C22=0,"",-1))</f>
        <v/>
      </c>
      <c r="AZ22" s="6" t="str">
        <f t="shared" ref="AZ22:AZ45" ca="1" si="50">_xlfn.LET(_xlpm.ran,OFFSET(OfzNiveau2,AY22,1,1,COLUMNS(arrNiv2)),IFERROR(MATCH(F22,_xlpm.ran,0),IF(C22=0,"",-1)))</f>
        <v/>
      </c>
      <c r="BA22" s="6" t="str">
        <f t="shared" ref="BA22:BA45" ca="1" si="51">_xlfn.LET(_xlpm.ran,OFFSET(OfzNiveau3,AY22,1,1,COLUMNS(arrNiv3)),IFERROR(MATCH(G22,_xlpm.ran,0),IF(C22=0,"",-1)))</f>
        <v/>
      </c>
      <c r="BB22" s="6">
        <f t="shared" si="18"/>
        <v>-9.99</v>
      </c>
      <c r="BC22" s="348">
        <f t="shared" si="17"/>
        <v>0</v>
      </c>
      <c r="BD22">
        <f t="shared" si="25"/>
        <v>0</v>
      </c>
      <c r="BE22">
        <f t="shared" si="26"/>
        <v>0</v>
      </c>
      <c r="BF22">
        <f t="shared" si="27"/>
        <v>0</v>
      </c>
      <c r="BG22">
        <f t="shared" si="28"/>
        <v>0</v>
      </c>
      <c r="BH22">
        <f t="shared" si="29"/>
        <v>0</v>
      </c>
      <c r="BI22">
        <f t="shared" si="30"/>
        <v>0</v>
      </c>
      <c r="BJ22">
        <f t="shared" si="31"/>
        <v>0</v>
      </c>
      <c r="BK22">
        <f t="shared" si="32"/>
        <v>0</v>
      </c>
      <c r="BL22">
        <f t="shared" si="33"/>
        <v>0</v>
      </c>
      <c r="BM22">
        <f t="shared" si="34"/>
        <v>0</v>
      </c>
      <c r="BN22">
        <f t="shared" si="35"/>
        <v>0</v>
      </c>
      <c r="BO22" s="348">
        <f t="shared" si="36"/>
        <v>0</v>
      </c>
      <c r="BP22">
        <f t="shared" si="37"/>
        <v>0</v>
      </c>
      <c r="BQ22">
        <f t="shared" si="38"/>
        <v>0</v>
      </c>
      <c r="BR22">
        <f t="shared" si="39"/>
        <v>0</v>
      </c>
      <c r="BS22">
        <f t="shared" si="40"/>
        <v>0</v>
      </c>
      <c r="BT22">
        <f t="shared" si="41"/>
        <v>0</v>
      </c>
      <c r="BU22">
        <f t="shared" si="42"/>
        <v>0</v>
      </c>
      <c r="BV22">
        <f t="shared" si="43"/>
        <v>0</v>
      </c>
      <c r="BW22">
        <f t="shared" si="44"/>
        <v>0</v>
      </c>
      <c r="BX22">
        <f t="shared" si="45"/>
        <v>0</v>
      </c>
      <c r="BY22">
        <f t="shared" si="20"/>
        <v>0</v>
      </c>
      <c r="BZ22" s="348">
        <f t="shared" si="21"/>
        <v>0</v>
      </c>
      <c r="CA22" s="73">
        <f t="shared" si="22"/>
        <v>0</v>
      </c>
      <c r="CB22">
        <f t="shared" si="23"/>
        <v>0</v>
      </c>
      <c r="CC22">
        <f t="shared" si="24"/>
        <v>0</v>
      </c>
      <c r="CD22">
        <f t="shared" si="1"/>
        <v>0</v>
      </c>
      <c r="CE22">
        <f t="shared" si="2"/>
        <v>0</v>
      </c>
      <c r="CF22">
        <f t="shared" si="3"/>
        <v>0</v>
      </c>
      <c r="CG22">
        <f t="shared" si="4"/>
        <v>0</v>
      </c>
      <c r="CH22">
        <f t="shared" si="5"/>
        <v>0</v>
      </c>
      <c r="CI22">
        <f t="shared" si="6"/>
        <v>0</v>
      </c>
      <c r="CJ22">
        <f t="shared" si="7"/>
        <v>0</v>
      </c>
      <c r="CK22">
        <f t="shared" si="8"/>
        <v>0</v>
      </c>
      <c r="CL22">
        <f t="shared" si="9"/>
        <v>0</v>
      </c>
    </row>
    <row r="23" spans="1:90" x14ac:dyDescent="0.25">
      <c r="A23" s="348"/>
      <c r="B23" s="313" t="s">
        <v>346</v>
      </c>
      <c r="C23" s="313">
        <v>0</v>
      </c>
      <c r="D23" s="6"/>
      <c r="E23" s="276"/>
      <c r="F23" s="276"/>
      <c r="G23" s="276"/>
      <c r="H23" s="383">
        <f t="shared" si="46"/>
        <v>-9.99</v>
      </c>
      <c r="I23" s="348"/>
      <c r="U23" s="348"/>
      <c r="AF23" s="348"/>
      <c r="AG23" s="73"/>
      <c r="AT23" s="73" t="str">
        <f t="shared" si="19"/>
        <v/>
      </c>
      <c r="AU23" s="276" t="s">
        <v>408</v>
      </c>
      <c r="AV23" s="6">
        <f t="shared" si="11"/>
        <v>-9.99</v>
      </c>
      <c r="AW23" s="6">
        <f t="shared" si="47"/>
        <v>0</v>
      </c>
      <c r="AX23" s="6">
        <f t="shared" si="48"/>
        <v>0</v>
      </c>
      <c r="AY23" s="6" t="str">
        <f t="shared" si="49"/>
        <v/>
      </c>
      <c r="AZ23" s="6" t="str">
        <f t="shared" ca="1" si="50"/>
        <v/>
      </c>
      <c r="BA23" s="6" t="str">
        <f t="shared" ca="1" si="51"/>
        <v/>
      </c>
      <c r="BB23" s="6">
        <f t="shared" si="18"/>
        <v>-9.99</v>
      </c>
      <c r="BC23" s="348">
        <f t="shared" si="17"/>
        <v>0</v>
      </c>
      <c r="BD23">
        <f t="shared" si="25"/>
        <v>0</v>
      </c>
      <c r="BE23">
        <f t="shared" si="26"/>
        <v>0</v>
      </c>
      <c r="BF23">
        <f t="shared" si="27"/>
        <v>0</v>
      </c>
      <c r="BG23">
        <f t="shared" si="28"/>
        <v>0</v>
      </c>
      <c r="BH23">
        <f t="shared" si="29"/>
        <v>0</v>
      </c>
      <c r="BI23">
        <f t="shared" si="30"/>
        <v>0</v>
      </c>
      <c r="BJ23">
        <f t="shared" si="31"/>
        <v>0</v>
      </c>
      <c r="BK23">
        <f t="shared" si="32"/>
        <v>0</v>
      </c>
      <c r="BL23">
        <f t="shared" si="33"/>
        <v>0</v>
      </c>
      <c r="BM23">
        <f t="shared" si="34"/>
        <v>0</v>
      </c>
      <c r="BN23">
        <f t="shared" si="35"/>
        <v>0</v>
      </c>
      <c r="BO23" s="348">
        <f t="shared" si="36"/>
        <v>0</v>
      </c>
      <c r="BP23">
        <f t="shared" si="37"/>
        <v>0</v>
      </c>
      <c r="BQ23">
        <f t="shared" si="38"/>
        <v>0</v>
      </c>
      <c r="BR23">
        <f t="shared" si="39"/>
        <v>0</v>
      </c>
      <c r="BS23">
        <f t="shared" si="40"/>
        <v>0</v>
      </c>
      <c r="BT23">
        <f t="shared" si="41"/>
        <v>0</v>
      </c>
      <c r="BU23">
        <f t="shared" si="42"/>
        <v>0</v>
      </c>
      <c r="BV23">
        <f t="shared" si="43"/>
        <v>0</v>
      </c>
      <c r="BW23">
        <f t="shared" si="44"/>
        <v>0</v>
      </c>
      <c r="BX23">
        <f t="shared" si="45"/>
        <v>0</v>
      </c>
      <c r="BY23">
        <f t="shared" si="20"/>
        <v>0</v>
      </c>
      <c r="BZ23" s="348">
        <f t="shared" si="21"/>
        <v>0</v>
      </c>
      <c r="CA23" s="73">
        <f t="shared" si="22"/>
        <v>0</v>
      </c>
      <c r="CB23">
        <f t="shared" si="23"/>
        <v>0</v>
      </c>
      <c r="CC23">
        <f t="shared" si="24"/>
        <v>0</v>
      </c>
      <c r="CD23">
        <f t="shared" si="1"/>
        <v>0</v>
      </c>
      <c r="CE23">
        <f t="shared" si="2"/>
        <v>0</v>
      </c>
      <c r="CF23">
        <f t="shared" si="3"/>
        <v>0</v>
      </c>
      <c r="CG23">
        <f t="shared" si="4"/>
        <v>0</v>
      </c>
      <c r="CH23">
        <f t="shared" si="5"/>
        <v>0</v>
      </c>
      <c r="CI23">
        <f t="shared" si="6"/>
        <v>0</v>
      </c>
      <c r="CJ23">
        <f t="shared" si="7"/>
        <v>0</v>
      </c>
      <c r="CK23">
        <f t="shared" si="8"/>
        <v>0</v>
      </c>
      <c r="CL23">
        <f t="shared" si="9"/>
        <v>0</v>
      </c>
    </row>
    <row r="24" spans="1:90" x14ac:dyDescent="0.25">
      <c r="A24" s="348"/>
      <c r="B24" s="313" t="s">
        <v>347</v>
      </c>
      <c r="C24" s="313">
        <v>0</v>
      </c>
      <c r="D24" s="6"/>
      <c r="E24" s="276"/>
      <c r="F24" s="276"/>
      <c r="G24" s="276"/>
      <c r="H24" s="383">
        <f t="shared" si="46"/>
        <v>-9.99</v>
      </c>
      <c r="I24" s="348"/>
      <c r="U24" s="348"/>
      <c r="AF24" s="348"/>
      <c r="AG24" s="73"/>
      <c r="AT24" s="73" t="str">
        <f t="shared" si="19"/>
        <v/>
      </c>
      <c r="AU24" s="276" t="s">
        <v>409</v>
      </c>
      <c r="AV24" s="6">
        <f t="shared" si="11"/>
        <v>-9.99</v>
      </c>
      <c r="AW24" s="6">
        <f t="shared" si="47"/>
        <v>0</v>
      </c>
      <c r="AX24" s="6">
        <f t="shared" si="48"/>
        <v>0</v>
      </c>
      <c r="AY24" s="6" t="str">
        <f t="shared" si="49"/>
        <v/>
      </c>
      <c r="AZ24" s="6" t="str">
        <f t="shared" ca="1" si="50"/>
        <v/>
      </c>
      <c r="BA24" s="6" t="str">
        <f t="shared" ca="1" si="51"/>
        <v/>
      </c>
      <c r="BB24" s="6">
        <f t="shared" si="18"/>
        <v>-9.99</v>
      </c>
      <c r="BC24" s="348">
        <f t="shared" si="17"/>
        <v>0</v>
      </c>
      <c r="BD24">
        <f t="shared" si="25"/>
        <v>0</v>
      </c>
      <c r="BE24">
        <f t="shared" si="26"/>
        <v>0</v>
      </c>
      <c r="BF24">
        <f t="shared" si="27"/>
        <v>0</v>
      </c>
      <c r="BG24">
        <f t="shared" si="28"/>
        <v>0</v>
      </c>
      <c r="BH24">
        <f t="shared" si="29"/>
        <v>0</v>
      </c>
      <c r="BI24">
        <f t="shared" si="30"/>
        <v>0</v>
      </c>
      <c r="BJ24">
        <f t="shared" si="31"/>
        <v>0</v>
      </c>
      <c r="BK24">
        <f t="shared" si="32"/>
        <v>0</v>
      </c>
      <c r="BL24">
        <f t="shared" si="33"/>
        <v>0</v>
      </c>
      <c r="BM24">
        <f t="shared" si="34"/>
        <v>0</v>
      </c>
      <c r="BN24">
        <f t="shared" si="35"/>
        <v>0</v>
      </c>
      <c r="BO24" s="348">
        <f t="shared" si="36"/>
        <v>0</v>
      </c>
      <c r="BP24">
        <f t="shared" si="37"/>
        <v>0</v>
      </c>
      <c r="BQ24">
        <f t="shared" si="38"/>
        <v>0</v>
      </c>
      <c r="BR24">
        <f t="shared" si="39"/>
        <v>0</v>
      </c>
      <c r="BS24">
        <f t="shared" si="40"/>
        <v>0</v>
      </c>
      <c r="BT24">
        <f t="shared" si="41"/>
        <v>0</v>
      </c>
      <c r="BU24">
        <f t="shared" si="42"/>
        <v>0</v>
      </c>
      <c r="BV24">
        <f t="shared" si="43"/>
        <v>0</v>
      </c>
      <c r="BW24">
        <f t="shared" si="44"/>
        <v>0</v>
      </c>
      <c r="BX24">
        <f t="shared" si="45"/>
        <v>0</v>
      </c>
      <c r="BY24">
        <f t="shared" si="20"/>
        <v>0</v>
      </c>
      <c r="BZ24" s="348">
        <f t="shared" si="21"/>
        <v>0</v>
      </c>
      <c r="CA24" s="73">
        <f t="shared" si="22"/>
        <v>0</v>
      </c>
      <c r="CB24">
        <f t="shared" si="23"/>
        <v>0</v>
      </c>
      <c r="CC24">
        <f t="shared" si="24"/>
        <v>0</v>
      </c>
      <c r="CD24">
        <f t="shared" si="1"/>
        <v>0</v>
      </c>
      <c r="CE24">
        <f t="shared" si="2"/>
        <v>0</v>
      </c>
      <c r="CF24">
        <f t="shared" si="3"/>
        <v>0</v>
      </c>
      <c r="CG24">
        <f t="shared" si="4"/>
        <v>0</v>
      </c>
      <c r="CH24">
        <f t="shared" si="5"/>
        <v>0</v>
      </c>
      <c r="CI24">
        <f t="shared" si="6"/>
        <v>0</v>
      </c>
      <c r="CJ24">
        <f t="shared" si="7"/>
        <v>0</v>
      </c>
      <c r="CK24">
        <f t="shared" si="8"/>
        <v>0</v>
      </c>
      <c r="CL24">
        <f t="shared" si="9"/>
        <v>0</v>
      </c>
    </row>
    <row r="25" spans="1:90" x14ac:dyDescent="0.25">
      <c r="A25" s="348"/>
      <c r="B25" s="313" t="s">
        <v>348</v>
      </c>
      <c r="C25" s="313">
        <v>0</v>
      </c>
      <c r="D25" s="6"/>
      <c r="E25" s="276"/>
      <c r="F25" s="276"/>
      <c r="G25" s="276"/>
      <c r="H25" s="383">
        <f t="shared" si="46"/>
        <v>-9.99</v>
      </c>
      <c r="I25" s="348"/>
      <c r="U25" s="348"/>
      <c r="AF25" s="348"/>
      <c r="AG25" s="73"/>
      <c r="AT25" s="73" t="str">
        <f t="shared" si="19"/>
        <v/>
      </c>
      <c r="AU25" s="276" t="s">
        <v>410</v>
      </c>
      <c r="AV25" s="6">
        <f t="shared" si="11"/>
        <v>-9.99</v>
      </c>
      <c r="AW25" s="6">
        <f t="shared" si="47"/>
        <v>0</v>
      </c>
      <c r="AX25" s="6">
        <f t="shared" si="48"/>
        <v>0</v>
      </c>
      <c r="AY25" s="6" t="str">
        <f t="shared" si="49"/>
        <v/>
      </c>
      <c r="AZ25" s="6" t="str">
        <f t="shared" ca="1" si="50"/>
        <v/>
      </c>
      <c r="BA25" s="6" t="str">
        <f t="shared" ca="1" si="51"/>
        <v/>
      </c>
      <c r="BB25" s="6">
        <f t="shared" si="18"/>
        <v>-9.99</v>
      </c>
      <c r="BC25" s="348">
        <f t="shared" si="17"/>
        <v>0</v>
      </c>
      <c r="BD25">
        <f t="shared" si="25"/>
        <v>0</v>
      </c>
      <c r="BE25">
        <f t="shared" si="26"/>
        <v>0</v>
      </c>
      <c r="BF25">
        <f t="shared" si="27"/>
        <v>0</v>
      </c>
      <c r="BG25">
        <f t="shared" si="28"/>
        <v>0</v>
      </c>
      <c r="BH25">
        <f t="shared" si="29"/>
        <v>0</v>
      </c>
      <c r="BI25">
        <f t="shared" si="30"/>
        <v>0</v>
      </c>
      <c r="BJ25">
        <f t="shared" si="31"/>
        <v>0</v>
      </c>
      <c r="BK25">
        <f t="shared" si="32"/>
        <v>0</v>
      </c>
      <c r="BL25">
        <f t="shared" si="33"/>
        <v>0</v>
      </c>
      <c r="BM25">
        <f t="shared" si="34"/>
        <v>0</v>
      </c>
      <c r="BN25">
        <f t="shared" si="35"/>
        <v>0</v>
      </c>
      <c r="BO25" s="348">
        <f t="shared" si="36"/>
        <v>0</v>
      </c>
      <c r="BP25">
        <f t="shared" si="37"/>
        <v>0</v>
      </c>
      <c r="BQ25">
        <f t="shared" si="38"/>
        <v>0</v>
      </c>
      <c r="BR25">
        <f t="shared" si="39"/>
        <v>0</v>
      </c>
      <c r="BS25">
        <f t="shared" si="40"/>
        <v>0</v>
      </c>
      <c r="BT25">
        <f t="shared" si="41"/>
        <v>0</v>
      </c>
      <c r="BU25">
        <f t="shared" si="42"/>
        <v>0</v>
      </c>
      <c r="BV25">
        <f t="shared" si="43"/>
        <v>0</v>
      </c>
      <c r="BW25">
        <f t="shared" si="44"/>
        <v>0</v>
      </c>
      <c r="BX25">
        <f t="shared" si="45"/>
        <v>0</v>
      </c>
      <c r="BY25">
        <f t="shared" si="20"/>
        <v>0</v>
      </c>
      <c r="BZ25" s="348">
        <f t="shared" si="21"/>
        <v>0</v>
      </c>
      <c r="CA25" s="73">
        <f t="shared" si="22"/>
        <v>0</v>
      </c>
      <c r="CB25">
        <f t="shared" si="23"/>
        <v>0</v>
      </c>
      <c r="CC25">
        <f t="shared" si="24"/>
        <v>0</v>
      </c>
      <c r="CD25">
        <f t="shared" si="1"/>
        <v>0</v>
      </c>
      <c r="CE25">
        <f t="shared" si="2"/>
        <v>0</v>
      </c>
      <c r="CF25">
        <f t="shared" si="3"/>
        <v>0</v>
      </c>
      <c r="CG25">
        <f t="shared" si="4"/>
        <v>0</v>
      </c>
      <c r="CH25">
        <f t="shared" si="5"/>
        <v>0</v>
      </c>
      <c r="CI25">
        <f t="shared" si="6"/>
        <v>0</v>
      </c>
      <c r="CJ25">
        <f t="shared" si="7"/>
        <v>0</v>
      </c>
      <c r="CK25">
        <f t="shared" si="8"/>
        <v>0</v>
      </c>
      <c r="CL25">
        <f t="shared" si="9"/>
        <v>0</v>
      </c>
    </row>
    <row r="26" spans="1:90" x14ac:dyDescent="0.25">
      <c r="A26" s="348"/>
      <c r="B26" s="313" t="s">
        <v>349</v>
      </c>
      <c r="C26" s="394">
        <v>0</v>
      </c>
      <c r="D26" s="6"/>
      <c r="H26" s="6">
        <f t="shared" ref="H26:H45" si="52">NaN</f>
        <v>-9.99</v>
      </c>
      <c r="I26" s="348"/>
      <c r="U26" s="348"/>
      <c r="AF26" s="348"/>
      <c r="AG26" s="73"/>
      <c r="AT26" s="73" t="str">
        <f t="shared" si="19"/>
        <v/>
      </c>
      <c r="AU26" s="276" t="s">
        <v>411</v>
      </c>
      <c r="AV26" s="6">
        <f t="shared" si="11"/>
        <v>-9.99</v>
      </c>
      <c r="AW26" s="6">
        <f t="shared" si="47"/>
        <v>0</v>
      </c>
      <c r="AX26" s="6">
        <f t="shared" si="48"/>
        <v>0</v>
      </c>
      <c r="AY26" s="6" t="str">
        <f t="shared" si="49"/>
        <v/>
      </c>
      <c r="AZ26" s="6" t="str">
        <f t="shared" ca="1" si="50"/>
        <v/>
      </c>
      <c r="BA26" s="6" t="str">
        <f t="shared" ca="1" si="51"/>
        <v/>
      </c>
      <c r="BB26" s="6">
        <f t="shared" si="18"/>
        <v>-9.99</v>
      </c>
      <c r="BC26" s="348">
        <f t="shared" si="17"/>
        <v>0</v>
      </c>
      <c r="BD26">
        <f t="shared" si="25"/>
        <v>0</v>
      </c>
      <c r="BE26">
        <f t="shared" si="26"/>
        <v>0</v>
      </c>
      <c r="BF26">
        <f t="shared" si="27"/>
        <v>0</v>
      </c>
      <c r="BG26">
        <f t="shared" si="28"/>
        <v>0</v>
      </c>
      <c r="BH26">
        <f t="shared" si="29"/>
        <v>0</v>
      </c>
      <c r="BI26">
        <f t="shared" si="30"/>
        <v>0</v>
      </c>
      <c r="BJ26">
        <f t="shared" si="31"/>
        <v>0</v>
      </c>
      <c r="BK26">
        <f t="shared" si="32"/>
        <v>0</v>
      </c>
      <c r="BL26">
        <f t="shared" si="33"/>
        <v>0</v>
      </c>
      <c r="BM26">
        <f t="shared" si="34"/>
        <v>0</v>
      </c>
      <c r="BN26">
        <f t="shared" si="35"/>
        <v>0</v>
      </c>
      <c r="BO26" s="348">
        <f t="shared" si="36"/>
        <v>0</v>
      </c>
      <c r="BP26">
        <f t="shared" si="37"/>
        <v>0</v>
      </c>
      <c r="BQ26">
        <f t="shared" si="38"/>
        <v>0</v>
      </c>
      <c r="BR26">
        <f t="shared" si="39"/>
        <v>0</v>
      </c>
      <c r="BS26">
        <f t="shared" si="40"/>
        <v>0</v>
      </c>
      <c r="BT26">
        <f t="shared" si="41"/>
        <v>0</v>
      </c>
      <c r="BU26">
        <f t="shared" si="42"/>
        <v>0</v>
      </c>
      <c r="BV26">
        <f t="shared" si="43"/>
        <v>0</v>
      </c>
      <c r="BW26">
        <f t="shared" si="44"/>
        <v>0</v>
      </c>
      <c r="BX26">
        <f t="shared" si="45"/>
        <v>0</v>
      </c>
      <c r="BY26">
        <f t="shared" si="20"/>
        <v>0</v>
      </c>
      <c r="BZ26" s="348">
        <f t="shared" si="21"/>
        <v>0</v>
      </c>
      <c r="CA26" s="73">
        <f t="shared" si="22"/>
        <v>0</v>
      </c>
      <c r="CB26">
        <f t="shared" si="23"/>
        <v>0</v>
      </c>
      <c r="CC26">
        <f t="shared" si="24"/>
        <v>0</v>
      </c>
      <c r="CD26">
        <f t="shared" si="1"/>
        <v>0</v>
      </c>
      <c r="CE26">
        <f t="shared" si="2"/>
        <v>0</v>
      </c>
      <c r="CF26">
        <f t="shared" si="3"/>
        <v>0</v>
      </c>
      <c r="CG26">
        <f t="shared" si="4"/>
        <v>0</v>
      </c>
      <c r="CH26">
        <f t="shared" si="5"/>
        <v>0</v>
      </c>
      <c r="CI26">
        <f t="shared" si="6"/>
        <v>0</v>
      </c>
      <c r="CJ26">
        <f t="shared" si="7"/>
        <v>0</v>
      </c>
      <c r="CK26">
        <f t="shared" si="8"/>
        <v>0</v>
      </c>
      <c r="CL26">
        <f t="shared" si="9"/>
        <v>0</v>
      </c>
    </row>
    <row r="27" spans="1:90" x14ac:dyDescent="0.25">
      <c r="A27" s="348"/>
      <c r="B27" s="313" t="s">
        <v>350</v>
      </c>
      <c r="C27" s="394">
        <v>0</v>
      </c>
      <c r="D27" s="6"/>
      <c r="H27" s="6">
        <f t="shared" si="52"/>
        <v>-9.99</v>
      </c>
      <c r="I27" s="348"/>
      <c r="U27" s="348"/>
      <c r="AF27" s="348"/>
      <c r="AG27" s="73"/>
      <c r="AT27" s="73" t="str">
        <f t="shared" si="19"/>
        <v/>
      </c>
      <c r="AU27" s="276" t="s">
        <v>412</v>
      </c>
      <c r="AV27" s="6">
        <f t="shared" si="11"/>
        <v>-9.99</v>
      </c>
      <c r="AW27" s="6">
        <f t="shared" si="47"/>
        <v>0</v>
      </c>
      <c r="AX27" s="6">
        <f t="shared" si="48"/>
        <v>0</v>
      </c>
      <c r="AY27" s="6" t="str">
        <f t="shared" si="49"/>
        <v/>
      </c>
      <c r="AZ27" s="6" t="str">
        <f t="shared" ca="1" si="50"/>
        <v/>
      </c>
      <c r="BA27" s="6" t="str">
        <f t="shared" ca="1" si="51"/>
        <v/>
      </c>
      <c r="BB27" s="6">
        <f t="shared" si="18"/>
        <v>-9.99</v>
      </c>
      <c r="BC27" s="348">
        <f t="shared" si="17"/>
        <v>0</v>
      </c>
      <c r="BD27">
        <f t="shared" si="25"/>
        <v>0</v>
      </c>
      <c r="BE27">
        <f t="shared" si="26"/>
        <v>0</v>
      </c>
      <c r="BF27">
        <f t="shared" si="27"/>
        <v>0</v>
      </c>
      <c r="BG27">
        <f t="shared" si="28"/>
        <v>0</v>
      </c>
      <c r="BH27">
        <f t="shared" si="29"/>
        <v>0</v>
      </c>
      <c r="BI27">
        <f t="shared" si="30"/>
        <v>0</v>
      </c>
      <c r="BJ27">
        <f t="shared" si="31"/>
        <v>0</v>
      </c>
      <c r="BK27">
        <f t="shared" si="32"/>
        <v>0</v>
      </c>
      <c r="BL27">
        <f t="shared" si="33"/>
        <v>0</v>
      </c>
      <c r="BM27">
        <f t="shared" si="34"/>
        <v>0</v>
      </c>
      <c r="BN27">
        <f t="shared" si="35"/>
        <v>0</v>
      </c>
      <c r="BO27" s="348">
        <f t="shared" si="36"/>
        <v>0</v>
      </c>
      <c r="BP27">
        <f t="shared" si="37"/>
        <v>0</v>
      </c>
      <c r="BQ27">
        <f t="shared" si="38"/>
        <v>0</v>
      </c>
      <c r="BR27">
        <f t="shared" si="39"/>
        <v>0</v>
      </c>
      <c r="BS27">
        <f t="shared" si="40"/>
        <v>0</v>
      </c>
      <c r="BT27">
        <f t="shared" si="41"/>
        <v>0</v>
      </c>
      <c r="BU27">
        <f t="shared" si="42"/>
        <v>0</v>
      </c>
      <c r="BV27">
        <f t="shared" si="43"/>
        <v>0</v>
      </c>
      <c r="BW27">
        <f t="shared" si="44"/>
        <v>0</v>
      </c>
      <c r="BX27">
        <f t="shared" si="45"/>
        <v>0</v>
      </c>
      <c r="BY27">
        <f t="shared" si="20"/>
        <v>0</v>
      </c>
      <c r="BZ27" s="348">
        <f t="shared" si="21"/>
        <v>0</v>
      </c>
      <c r="CA27" s="73">
        <f t="shared" si="22"/>
        <v>0</v>
      </c>
      <c r="CB27">
        <f t="shared" si="23"/>
        <v>0</v>
      </c>
      <c r="CC27">
        <f t="shared" si="24"/>
        <v>0</v>
      </c>
      <c r="CD27">
        <f t="shared" si="1"/>
        <v>0</v>
      </c>
      <c r="CE27">
        <f t="shared" si="2"/>
        <v>0</v>
      </c>
      <c r="CF27">
        <f t="shared" si="3"/>
        <v>0</v>
      </c>
      <c r="CG27">
        <f t="shared" si="4"/>
        <v>0</v>
      </c>
      <c r="CH27">
        <f t="shared" si="5"/>
        <v>0</v>
      </c>
      <c r="CI27">
        <f t="shared" si="6"/>
        <v>0</v>
      </c>
      <c r="CJ27">
        <f t="shared" si="7"/>
        <v>0</v>
      </c>
      <c r="CK27">
        <f t="shared" si="8"/>
        <v>0</v>
      </c>
      <c r="CL27">
        <f t="shared" si="9"/>
        <v>0</v>
      </c>
    </row>
    <row r="28" spans="1:90" x14ac:dyDescent="0.25">
      <c r="A28" s="348"/>
      <c r="B28" s="313" t="s">
        <v>351</v>
      </c>
      <c r="C28" s="394">
        <v>0</v>
      </c>
      <c r="D28" s="6"/>
      <c r="H28" s="6">
        <f t="shared" si="52"/>
        <v>-9.99</v>
      </c>
      <c r="I28" s="348"/>
      <c r="U28" s="348"/>
      <c r="AF28" s="348"/>
      <c r="AG28" s="73"/>
      <c r="AT28" s="73" t="str">
        <f t="shared" si="19"/>
        <v/>
      </c>
      <c r="AU28" s="276" t="s">
        <v>413</v>
      </c>
      <c r="AV28" s="6">
        <f t="shared" si="11"/>
        <v>-9.99</v>
      </c>
      <c r="AW28" s="6">
        <f t="shared" si="47"/>
        <v>0</v>
      </c>
      <c r="AX28" s="6">
        <f t="shared" si="48"/>
        <v>0</v>
      </c>
      <c r="AY28" s="6" t="str">
        <f t="shared" si="49"/>
        <v/>
      </c>
      <c r="AZ28" s="6" t="str">
        <f t="shared" ca="1" si="50"/>
        <v/>
      </c>
      <c r="BA28" s="6" t="str">
        <f t="shared" ca="1" si="51"/>
        <v/>
      </c>
      <c r="BB28" s="6">
        <f t="shared" si="18"/>
        <v>-9.99</v>
      </c>
      <c r="BC28" s="348">
        <f t="shared" si="17"/>
        <v>0</v>
      </c>
      <c r="BD28">
        <f t="shared" si="25"/>
        <v>0</v>
      </c>
      <c r="BE28">
        <f t="shared" si="26"/>
        <v>0</v>
      </c>
      <c r="BF28">
        <f t="shared" si="27"/>
        <v>0</v>
      </c>
      <c r="BG28">
        <f t="shared" si="28"/>
        <v>0</v>
      </c>
      <c r="BH28">
        <f t="shared" si="29"/>
        <v>0</v>
      </c>
      <c r="BI28">
        <f t="shared" si="30"/>
        <v>0</v>
      </c>
      <c r="BJ28">
        <f t="shared" si="31"/>
        <v>0</v>
      </c>
      <c r="BK28">
        <f t="shared" si="32"/>
        <v>0</v>
      </c>
      <c r="BL28">
        <f t="shared" si="33"/>
        <v>0</v>
      </c>
      <c r="BM28">
        <f t="shared" si="34"/>
        <v>0</v>
      </c>
      <c r="BN28">
        <f t="shared" si="35"/>
        <v>0</v>
      </c>
      <c r="BO28" s="348">
        <f t="shared" si="36"/>
        <v>0</v>
      </c>
      <c r="BP28">
        <f t="shared" si="37"/>
        <v>0</v>
      </c>
      <c r="BQ28">
        <f t="shared" si="38"/>
        <v>0</v>
      </c>
      <c r="BR28">
        <f t="shared" si="39"/>
        <v>0</v>
      </c>
      <c r="BS28">
        <f t="shared" si="40"/>
        <v>0</v>
      </c>
      <c r="BT28">
        <f t="shared" si="41"/>
        <v>0</v>
      </c>
      <c r="BU28">
        <f t="shared" si="42"/>
        <v>0</v>
      </c>
      <c r="BV28">
        <f t="shared" si="43"/>
        <v>0</v>
      </c>
      <c r="BW28">
        <f t="shared" si="44"/>
        <v>0</v>
      </c>
      <c r="BX28">
        <f t="shared" si="45"/>
        <v>0</v>
      </c>
      <c r="BY28">
        <f t="shared" si="20"/>
        <v>0</v>
      </c>
      <c r="BZ28" s="348">
        <f t="shared" si="21"/>
        <v>0</v>
      </c>
      <c r="CA28" s="73">
        <f t="shared" si="22"/>
        <v>0</v>
      </c>
      <c r="CB28">
        <f t="shared" si="23"/>
        <v>0</v>
      </c>
      <c r="CC28">
        <f t="shared" si="24"/>
        <v>0</v>
      </c>
      <c r="CD28">
        <f t="shared" si="1"/>
        <v>0</v>
      </c>
      <c r="CE28">
        <f t="shared" si="2"/>
        <v>0</v>
      </c>
      <c r="CF28">
        <f t="shared" si="3"/>
        <v>0</v>
      </c>
      <c r="CG28">
        <f t="shared" si="4"/>
        <v>0</v>
      </c>
      <c r="CH28">
        <f t="shared" si="5"/>
        <v>0</v>
      </c>
      <c r="CI28">
        <f t="shared" si="6"/>
        <v>0</v>
      </c>
      <c r="CJ28">
        <f t="shared" si="7"/>
        <v>0</v>
      </c>
      <c r="CK28">
        <f t="shared" si="8"/>
        <v>0</v>
      </c>
      <c r="CL28">
        <f t="shared" si="9"/>
        <v>0</v>
      </c>
    </row>
    <row r="29" spans="1:90" x14ac:dyDescent="0.25">
      <c r="A29" s="348"/>
      <c r="B29" s="313" t="s">
        <v>352</v>
      </c>
      <c r="C29" s="394">
        <v>0</v>
      </c>
      <c r="D29" s="6"/>
      <c r="H29" s="6">
        <f t="shared" si="52"/>
        <v>-9.99</v>
      </c>
      <c r="I29" s="348"/>
      <c r="U29" s="348"/>
      <c r="AF29" s="348"/>
      <c r="AG29" s="73"/>
      <c r="AT29" s="73" t="str">
        <f t="shared" si="19"/>
        <v/>
      </c>
      <c r="AU29" s="276" t="s">
        <v>414</v>
      </c>
      <c r="AV29" s="6">
        <f t="shared" si="11"/>
        <v>-9.99</v>
      </c>
      <c r="AW29" s="6">
        <f t="shared" si="47"/>
        <v>0</v>
      </c>
      <c r="AX29" s="6">
        <f t="shared" si="48"/>
        <v>0</v>
      </c>
      <c r="AY29" s="6" t="str">
        <f t="shared" si="49"/>
        <v/>
      </c>
      <c r="AZ29" s="6" t="str">
        <f t="shared" ca="1" si="50"/>
        <v/>
      </c>
      <c r="BA29" s="6" t="str">
        <f t="shared" ca="1" si="51"/>
        <v/>
      </c>
      <c r="BB29" s="6">
        <f t="shared" si="18"/>
        <v>-9.99</v>
      </c>
      <c r="BC29" s="348">
        <f t="shared" si="17"/>
        <v>0</v>
      </c>
      <c r="BD29">
        <f t="shared" si="25"/>
        <v>0</v>
      </c>
      <c r="BE29">
        <f t="shared" si="26"/>
        <v>0</v>
      </c>
      <c r="BF29">
        <f t="shared" si="27"/>
        <v>0</v>
      </c>
      <c r="BG29">
        <f t="shared" si="28"/>
        <v>0</v>
      </c>
      <c r="BH29">
        <f t="shared" si="29"/>
        <v>0</v>
      </c>
      <c r="BI29">
        <f t="shared" si="30"/>
        <v>0</v>
      </c>
      <c r="BJ29">
        <f t="shared" si="31"/>
        <v>0</v>
      </c>
      <c r="BK29">
        <f t="shared" si="32"/>
        <v>0</v>
      </c>
      <c r="BL29">
        <f t="shared" si="33"/>
        <v>0</v>
      </c>
      <c r="BM29">
        <f t="shared" si="34"/>
        <v>0</v>
      </c>
      <c r="BN29">
        <f t="shared" si="35"/>
        <v>0</v>
      </c>
      <c r="BO29" s="348">
        <f t="shared" si="36"/>
        <v>0</v>
      </c>
      <c r="BP29">
        <f t="shared" si="37"/>
        <v>0</v>
      </c>
      <c r="BQ29">
        <f t="shared" si="38"/>
        <v>0</v>
      </c>
      <c r="BR29">
        <f t="shared" si="39"/>
        <v>0</v>
      </c>
      <c r="BS29">
        <f t="shared" si="40"/>
        <v>0</v>
      </c>
      <c r="BT29">
        <f t="shared" si="41"/>
        <v>0</v>
      </c>
      <c r="BU29">
        <f t="shared" si="42"/>
        <v>0</v>
      </c>
      <c r="BV29">
        <f t="shared" si="43"/>
        <v>0</v>
      </c>
      <c r="BW29">
        <f t="shared" si="44"/>
        <v>0</v>
      </c>
      <c r="BX29">
        <f t="shared" si="45"/>
        <v>0</v>
      </c>
      <c r="BY29">
        <f t="shared" si="20"/>
        <v>0</v>
      </c>
      <c r="BZ29" s="348">
        <f t="shared" si="21"/>
        <v>0</v>
      </c>
      <c r="CA29" s="73">
        <f t="shared" si="22"/>
        <v>0</v>
      </c>
      <c r="CB29">
        <f t="shared" si="23"/>
        <v>0</v>
      </c>
      <c r="CC29">
        <f t="shared" si="24"/>
        <v>0</v>
      </c>
      <c r="CD29">
        <f t="shared" si="1"/>
        <v>0</v>
      </c>
      <c r="CE29">
        <f t="shared" si="2"/>
        <v>0</v>
      </c>
      <c r="CF29">
        <f t="shared" si="3"/>
        <v>0</v>
      </c>
      <c r="CG29">
        <f t="shared" si="4"/>
        <v>0</v>
      </c>
      <c r="CH29">
        <f t="shared" si="5"/>
        <v>0</v>
      </c>
      <c r="CI29">
        <f t="shared" si="6"/>
        <v>0</v>
      </c>
      <c r="CJ29">
        <f t="shared" si="7"/>
        <v>0</v>
      </c>
      <c r="CK29">
        <f t="shared" si="8"/>
        <v>0</v>
      </c>
      <c r="CL29">
        <f t="shared" si="9"/>
        <v>0</v>
      </c>
    </row>
    <row r="30" spans="1:90" x14ac:dyDescent="0.25">
      <c r="A30" s="348"/>
      <c r="B30" s="313" t="s">
        <v>353</v>
      </c>
      <c r="C30" s="394">
        <v>0</v>
      </c>
      <c r="D30" s="6"/>
      <c r="H30" s="6">
        <f t="shared" si="52"/>
        <v>-9.99</v>
      </c>
      <c r="I30" s="348"/>
      <c r="U30" s="348"/>
      <c r="AF30" s="348"/>
      <c r="AG30" s="73"/>
      <c r="AT30" s="73" t="str">
        <f t="shared" si="19"/>
        <v/>
      </c>
      <c r="AU30" s="276" t="s">
        <v>415</v>
      </c>
      <c r="AV30" s="6">
        <f t="shared" si="11"/>
        <v>-9.99</v>
      </c>
      <c r="AW30" s="6">
        <f t="shared" si="47"/>
        <v>0</v>
      </c>
      <c r="AX30" s="6">
        <f t="shared" si="48"/>
        <v>0</v>
      </c>
      <c r="AY30" s="6" t="str">
        <f t="shared" si="49"/>
        <v/>
      </c>
      <c r="AZ30" s="6" t="str">
        <f t="shared" ca="1" si="50"/>
        <v/>
      </c>
      <c r="BA30" s="6" t="str">
        <f t="shared" ca="1" si="51"/>
        <v/>
      </c>
      <c r="BB30" s="6">
        <f t="shared" si="18"/>
        <v>-9.99</v>
      </c>
      <c r="BC30" s="348">
        <f t="shared" si="17"/>
        <v>0</v>
      </c>
      <c r="BD30">
        <f t="shared" si="25"/>
        <v>0</v>
      </c>
      <c r="BE30">
        <f t="shared" si="26"/>
        <v>0</v>
      </c>
      <c r="BF30">
        <f t="shared" si="27"/>
        <v>0</v>
      </c>
      <c r="BG30">
        <f t="shared" si="28"/>
        <v>0</v>
      </c>
      <c r="BH30">
        <f t="shared" si="29"/>
        <v>0</v>
      </c>
      <c r="BI30">
        <f t="shared" si="30"/>
        <v>0</v>
      </c>
      <c r="BJ30">
        <f t="shared" si="31"/>
        <v>0</v>
      </c>
      <c r="BK30">
        <f t="shared" si="32"/>
        <v>0</v>
      </c>
      <c r="BL30">
        <f t="shared" si="33"/>
        <v>0</v>
      </c>
      <c r="BM30">
        <f t="shared" si="34"/>
        <v>0</v>
      </c>
      <c r="BN30">
        <f t="shared" si="35"/>
        <v>0</v>
      </c>
      <c r="BO30" s="348">
        <f t="shared" si="36"/>
        <v>0</v>
      </c>
      <c r="BP30">
        <f t="shared" si="37"/>
        <v>0</v>
      </c>
      <c r="BQ30">
        <f t="shared" si="38"/>
        <v>0</v>
      </c>
      <c r="BR30">
        <f t="shared" si="39"/>
        <v>0</v>
      </c>
      <c r="BS30">
        <f t="shared" si="40"/>
        <v>0</v>
      </c>
      <c r="BT30">
        <f t="shared" si="41"/>
        <v>0</v>
      </c>
      <c r="BU30">
        <f t="shared" si="42"/>
        <v>0</v>
      </c>
      <c r="BV30">
        <f t="shared" si="43"/>
        <v>0</v>
      </c>
      <c r="BW30">
        <f t="shared" si="44"/>
        <v>0</v>
      </c>
      <c r="BX30">
        <f t="shared" si="45"/>
        <v>0</v>
      </c>
      <c r="BY30">
        <f t="shared" si="20"/>
        <v>0</v>
      </c>
      <c r="BZ30" s="348">
        <f t="shared" si="21"/>
        <v>0</v>
      </c>
      <c r="CA30" s="73">
        <f t="shared" si="22"/>
        <v>0</v>
      </c>
      <c r="CB30">
        <f t="shared" si="23"/>
        <v>0</v>
      </c>
      <c r="CC30">
        <f t="shared" si="24"/>
        <v>0</v>
      </c>
      <c r="CD30">
        <f t="shared" si="1"/>
        <v>0</v>
      </c>
      <c r="CE30">
        <f t="shared" si="2"/>
        <v>0</v>
      </c>
      <c r="CF30">
        <f t="shared" si="3"/>
        <v>0</v>
      </c>
      <c r="CG30">
        <f t="shared" si="4"/>
        <v>0</v>
      </c>
      <c r="CH30">
        <f t="shared" si="5"/>
        <v>0</v>
      </c>
      <c r="CI30">
        <f t="shared" si="6"/>
        <v>0</v>
      </c>
      <c r="CJ30">
        <f t="shared" si="7"/>
        <v>0</v>
      </c>
      <c r="CK30">
        <f t="shared" si="8"/>
        <v>0</v>
      </c>
      <c r="CL30">
        <f t="shared" si="9"/>
        <v>0</v>
      </c>
    </row>
    <row r="31" spans="1:90" x14ac:dyDescent="0.25">
      <c r="A31" s="348"/>
      <c r="B31" s="313" t="s">
        <v>354</v>
      </c>
      <c r="C31" s="394">
        <v>0</v>
      </c>
      <c r="D31" s="6"/>
      <c r="H31" s="6">
        <f t="shared" si="52"/>
        <v>-9.99</v>
      </c>
      <c r="I31" s="348"/>
      <c r="U31" s="348"/>
      <c r="AF31" s="348"/>
      <c r="AG31" s="73"/>
      <c r="AT31" s="73" t="str">
        <f t="shared" si="19"/>
        <v/>
      </c>
      <c r="AU31" s="276" t="s">
        <v>416</v>
      </c>
      <c r="AV31" s="6">
        <f t="shared" si="11"/>
        <v>-9.99</v>
      </c>
      <c r="AW31" s="6">
        <f t="shared" si="47"/>
        <v>0</v>
      </c>
      <c r="AX31" s="6">
        <f t="shared" si="48"/>
        <v>0</v>
      </c>
      <c r="AY31" s="6" t="str">
        <f t="shared" si="49"/>
        <v/>
      </c>
      <c r="AZ31" s="6" t="str">
        <f t="shared" ca="1" si="50"/>
        <v/>
      </c>
      <c r="BA31" s="6" t="str">
        <f t="shared" ca="1" si="51"/>
        <v/>
      </c>
      <c r="BB31" s="6">
        <f t="shared" si="18"/>
        <v>-9.99</v>
      </c>
      <c r="BC31" s="348">
        <f t="shared" si="17"/>
        <v>0</v>
      </c>
      <c r="BD31">
        <f t="shared" si="25"/>
        <v>0</v>
      </c>
      <c r="BE31">
        <f t="shared" si="26"/>
        <v>0</v>
      </c>
      <c r="BF31">
        <f t="shared" si="27"/>
        <v>0</v>
      </c>
      <c r="BG31">
        <f t="shared" si="28"/>
        <v>0</v>
      </c>
      <c r="BH31">
        <f t="shared" si="29"/>
        <v>0</v>
      </c>
      <c r="BI31">
        <f t="shared" si="30"/>
        <v>0</v>
      </c>
      <c r="BJ31">
        <f t="shared" si="31"/>
        <v>0</v>
      </c>
      <c r="BK31">
        <f t="shared" si="32"/>
        <v>0</v>
      </c>
      <c r="BL31">
        <f t="shared" si="33"/>
        <v>0</v>
      </c>
      <c r="BM31">
        <f t="shared" si="34"/>
        <v>0</v>
      </c>
      <c r="BN31">
        <f t="shared" si="35"/>
        <v>0</v>
      </c>
      <c r="BO31" s="348">
        <f t="shared" si="36"/>
        <v>0</v>
      </c>
      <c r="BP31">
        <f t="shared" si="37"/>
        <v>0</v>
      </c>
      <c r="BQ31">
        <f t="shared" si="38"/>
        <v>0</v>
      </c>
      <c r="BR31">
        <f t="shared" si="39"/>
        <v>0</v>
      </c>
      <c r="BS31">
        <f t="shared" si="40"/>
        <v>0</v>
      </c>
      <c r="BT31">
        <f t="shared" si="41"/>
        <v>0</v>
      </c>
      <c r="BU31">
        <f t="shared" si="42"/>
        <v>0</v>
      </c>
      <c r="BV31">
        <f t="shared" si="43"/>
        <v>0</v>
      </c>
      <c r="BW31">
        <f t="shared" si="44"/>
        <v>0</v>
      </c>
      <c r="BX31">
        <f t="shared" si="45"/>
        <v>0</v>
      </c>
      <c r="BY31">
        <f t="shared" si="20"/>
        <v>0</v>
      </c>
      <c r="BZ31" s="348">
        <f t="shared" si="21"/>
        <v>0</v>
      </c>
      <c r="CA31" s="73">
        <f t="shared" si="22"/>
        <v>0</v>
      </c>
      <c r="CB31">
        <f t="shared" si="23"/>
        <v>0</v>
      </c>
      <c r="CC31">
        <f t="shared" si="24"/>
        <v>0</v>
      </c>
      <c r="CD31">
        <f t="shared" si="1"/>
        <v>0</v>
      </c>
      <c r="CE31">
        <f t="shared" si="2"/>
        <v>0</v>
      </c>
      <c r="CF31">
        <f t="shared" si="3"/>
        <v>0</v>
      </c>
      <c r="CG31">
        <f t="shared" si="4"/>
        <v>0</v>
      </c>
      <c r="CH31">
        <f t="shared" si="5"/>
        <v>0</v>
      </c>
      <c r="CI31">
        <f t="shared" si="6"/>
        <v>0</v>
      </c>
      <c r="CJ31">
        <f t="shared" si="7"/>
        <v>0</v>
      </c>
      <c r="CK31">
        <f t="shared" si="8"/>
        <v>0</v>
      </c>
      <c r="CL31">
        <f t="shared" si="9"/>
        <v>0</v>
      </c>
    </row>
    <row r="32" spans="1:90" x14ac:dyDescent="0.25">
      <c r="A32" s="348"/>
      <c r="B32" s="313" t="s">
        <v>355</v>
      </c>
      <c r="C32" s="394">
        <v>0</v>
      </c>
      <c r="D32" s="6"/>
      <c r="H32" s="6">
        <f t="shared" si="52"/>
        <v>-9.99</v>
      </c>
      <c r="I32" s="348"/>
      <c r="U32" s="348"/>
      <c r="AF32" s="348"/>
      <c r="AG32" s="73"/>
      <c r="AT32" s="73" t="str">
        <f t="shared" si="19"/>
        <v/>
      </c>
      <c r="AU32" s="276" t="s">
        <v>417</v>
      </c>
      <c r="AV32" s="6">
        <f t="shared" si="11"/>
        <v>-9.99</v>
      </c>
      <c r="AW32" s="6">
        <f t="shared" si="47"/>
        <v>0</v>
      </c>
      <c r="AX32" s="6">
        <f t="shared" si="48"/>
        <v>0</v>
      </c>
      <c r="AY32" s="6" t="str">
        <f t="shared" si="49"/>
        <v/>
      </c>
      <c r="AZ32" s="6" t="str">
        <f t="shared" ca="1" si="50"/>
        <v/>
      </c>
      <c r="BA32" s="6" t="str">
        <f t="shared" ca="1" si="51"/>
        <v/>
      </c>
      <c r="BB32" s="6">
        <f t="shared" si="18"/>
        <v>-9.99</v>
      </c>
      <c r="BC32" s="348">
        <f t="shared" si="17"/>
        <v>0</v>
      </c>
      <c r="BD32">
        <f t="shared" si="25"/>
        <v>0</v>
      </c>
      <c r="BE32">
        <f t="shared" si="26"/>
        <v>0</v>
      </c>
      <c r="BF32">
        <f t="shared" si="27"/>
        <v>0</v>
      </c>
      <c r="BG32">
        <f t="shared" si="28"/>
        <v>0</v>
      </c>
      <c r="BH32">
        <f t="shared" si="29"/>
        <v>0</v>
      </c>
      <c r="BI32">
        <f t="shared" si="30"/>
        <v>0</v>
      </c>
      <c r="BJ32">
        <f t="shared" si="31"/>
        <v>0</v>
      </c>
      <c r="BK32">
        <f t="shared" si="32"/>
        <v>0</v>
      </c>
      <c r="BL32">
        <f t="shared" si="33"/>
        <v>0</v>
      </c>
      <c r="BM32">
        <f t="shared" si="34"/>
        <v>0</v>
      </c>
      <c r="BN32">
        <f t="shared" si="35"/>
        <v>0</v>
      </c>
      <c r="BO32" s="348">
        <f t="shared" si="36"/>
        <v>0</v>
      </c>
      <c r="BP32">
        <f t="shared" si="37"/>
        <v>0</v>
      </c>
      <c r="BQ32">
        <f t="shared" si="38"/>
        <v>0</v>
      </c>
      <c r="BR32">
        <f t="shared" si="39"/>
        <v>0</v>
      </c>
      <c r="BS32">
        <f t="shared" si="40"/>
        <v>0</v>
      </c>
      <c r="BT32">
        <f t="shared" si="41"/>
        <v>0</v>
      </c>
      <c r="BU32">
        <f t="shared" si="42"/>
        <v>0</v>
      </c>
      <c r="BV32">
        <f t="shared" si="43"/>
        <v>0</v>
      </c>
      <c r="BW32">
        <f t="shared" si="44"/>
        <v>0</v>
      </c>
      <c r="BX32">
        <f t="shared" si="45"/>
        <v>0</v>
      </c>
      <c r="BY32">
        <f t="shared" si="20"/>
        <v>0</v>
      </c>
      <c r="BZ32" s="348">
        <f t="shared" si="21"/>
        <v>0</v>
      </c>
      <c r="CA32" s="73">
        <f t="shared" si="22"/>
        <v>0</v>
      </c>
      <c r="CB32">
        <f t="shared" si="23"/>
        <v>0</v>
      </c>
      <c r="CC32">
        <f t="shared" si="24"/>
        <v>0</v>
      </c>
      <c r="CD32">
        <f t="shared" si="1"/>
        <v>0</v>
      </c>
      <c r="CE32">
        <f t="shared" si="2"/>
        <v>0</v>
      </c>
      <c r="CF32">
        <f t="shared" si="3"/>
        <v>0</v>
      </c>
      <c r="CG32">
        <f t="shared" si="4"/>
        <v>0</v>
      </c>
      <c r="CH32">
        <f t="shared" si="5"/>
        <v>0</v>
      </c>
      <c r="CI32">
        <f t="shared" si="6"/>
        <v>0</v>
      </c>
      <c r="CJ32">
        <f t="shared" si="7"/>
        <v>0</v>
      </c>
      <c r="CK32">
        <f t="shared" si="8"/>
        <v>0</v>
      </c>
      <c r="CL32">
        <f t="shared" si="9"/>
        <v>0</v>
      </c>
    </row>
    <row r="33" spans="1:90" x14ac:dyDescent="0.25">
      <c r="A33" s="348"/>
      <c r="B33" s="313" t="s">
        <v>356</v>
      </c>
      <c r="C33" s="394">
        <v>0</v>
      </c>
      <c r="D33" s="6"/>
      <c r="H33" s="6">
        <f t="shared" si="52"/>
        <v>-9.99</v>
      </c>
      <c r="I33" s="348"/>
      <c r="U33" s="348"/>
      <c r="AF33" s="348"/>
      <c r="AG33" s="73"/>
      <c r="AT33" s="73" t="str">
        <f t="shared" si="19"/>
        <v/>
      </c>
      <c r="AU33" s="276" t="s">
        <v>418</v>
      </c>
      <c r="AV33" s="6">
        <f t="shared" si="11"/>
        <v>-9.99</v>
      </c>
      <c r="AW33" s="6">
        <f t="shared" si="47"/>
        <v>0</v>
      </c>
      <c r="AX33" s="6">
        <f t="shared" si="48"/>
        <v>0</v>
      </c>
      <c r="AY33" s="6" t="str">
        <f t="shared" si="49"/>
        <v/>
      </c>
      <c r="AZ33" s="6" t="str">
        <f t="shared" ca="1" si="50"/>
        <v/>
      </c>
      <c r="BA33" s="6" t="str">
        <f t="shared" ca="1" si="51"/>
        <v/>
      </c>
      <c r="BB33" s="6">
        <f t="shared" si="18"/>
        <v>-9.99</v>
      </c>
      <c r="BC33" s="348">
        <f t="shared" si="17"/>
        <v>0</v>
      </c>
      <c r="BD33">
        <f t="shared" si="25"/>
        <v>0</v>
      </c>
      <c r="BE33">
        <f t="shared" si="26"/>
        <v>0</v>
      </c>
      <c r="BF33">
        <f t="shared" si="27"/>
        <v>0</v>
      </c>
      <c r="BG33">
        <f t="shared" si="28"/>
        <v>0</v>
      </c>
      <c r="BH33">
        <f t="shared" si="29"/>
        <v>0</v>
      </c>
      <c r="BI33">
        <f t="shared" si="30"/>
        <v>0</v>
      </c>
      <c r="BJ33">
        <f t="shared" si="31"/>
        <v>0</v>
      </c>
      <c r="BK33">
        <f t="shared" si="32"/>
        <v>0</v>
      </c>
      <c r="BL33">
        <f t="shared" si="33"/>
        <v>0</v>
      </c>
      <c r="BM33">
        <f t="shared" si="34"/>
        <v>0</v>
      </c>
      <c r="BN33">
        <f t="shared" si="35"/>
        <v>0</v>
      </c>
      <c r="BO33" s="348">
        <f t="shared" si="36"/>
        <v>0</v>
      </c>
      <c r="BP33">
        <f t="shared" si="37"/>
        <v>0</v>
      </c>
      <c r="BQ33">
        <f t="shared" si="38"/>
        <v>0</v>
      </c>
      <c r="BR33">
        <f t="shared" si="39"/>
        <v>0</v>
      </c>
      <c r="BS33">
        <f t="shared" si="40"/>
        <v>0</v>
      </c>
      <c r="BT33">
        <f t="shared" si="41"/>
        <v>0</v>
      </c>
      <c r="BU33">
        <f t="shared" si="42"/>
        <v>0</v>
      </c>
      <c r="BV33">
        <f t="shared" si="43"/>
        <v>0</v>
      </c>
      <c r="BW33">
        <f t="shared" si="44"/>
        <v>0</v>
      </c>
      <c r="BX33">
        <f t="shared" si="45"/>
        <v>0</v>
      </c>
      <c r="BY33">
        <f t="shared" si="20"/>
        <v>0</v>
      </c>
      <c r="BZ33" s="348">
        <f t="shared" si="21"/>
        <v>0</v>
      </c>
      <c r="CA33" s="73">
        <f t="shared" si="22"/>
        <v>0</v>
      </c>
      <c r="CB33">
        <f t="shared" si="23"/>
        <v>0</v>
      </c>
      <c r="CC33">
        <f t="shared" si="24"/>
        <v>0</v>
      </c>
      <c r="CD33">
        <f t="shared" si="1"/>
        <v>0</v>
      </c>
      <c r="CE33">
        <f t="shared" si="2"/>
        <v>0</v>
      </c>
      <c r="CF33">
        <f t="shared" si="3"/>
        <v>0</v>
      </c>
      <c r="CG33">
        <f t="shared" si="4"/>
        <v>0</v>
      </c>
      <c r="CH33">
        <f t="shared" si="5"/>
        <v>0</v>
      </c>
      <c r="CI33">
        <f t="shared" si="6"/>
        <v>0</v>
      </c>
      <c r="CJ33">
        <f t="shared" si="7"/>
        <v>0</v>
      </c>
      <c r="CK33">
        <f t="shared" si="8"/>
        <v>0</v>
      </c>
      <c r="CL33">
        <f t="shared" si="9"/>
        <v>0</v>
      </c>
    </row>
    <row r="34" spans="1:90" x14ac:dyDescent="0.25">
      <c r="A34" s="348"/>
      <c r="B34" s="313" t="s">
        <v>357</v>
      </c>
      <c r="C34" s="394">
        <v>0</v>
      </c>
      <c r="D34" s="6"/>
      <c r="H34" s="6">
        <f t="shared" si="52"/>
        <v>-9.99</v>
      </c>
      <c r="I34" s="348"/>
      <c r="U34" s="348"/>
      <c r="AF34" s="348"/>
      <c r="AG34" s="73"/>
      <c r="AT34" s="73" t="str">
        <f t="shared" si="19"/>
        <v/>
      </c>
      <c r="AU34" s="276" t="s">
        <v>419</v>
      </c>
      <c r="AV34" s="6">
        <f t="shared" si="11"/>
        <v>-9.99</v>
      </c>
      <c r="AW34" s="6">
        <f t="shared" si="47"/>
        <v>0</v>
      </c>
      <c r="AX34" s="6">
        <f t="shared" si="48"/>
        <v>0</v>
      </c>
      <c r="AY34" s="6" t="str">
        <f t="shared" si="49"/>
        <v/>
      </c>
      <c r="AZ34" s="6" t="str">
        <f t="shared" ca="1" si="50"/>
        <v/>
      </c>
      <c r="BA34" s="6" t="str">
        <f t="shared" ca="1" si="51"/>
        <v/>
      </c>
      <c r="BB34" s="6">
        <f t="shared" si="18"/>
        <v>-9.99</v>
      </c>
      <c r="BC34" s="348">
        <f t="shared" si="17"/>
        <v>0</v>
      </c>
      <c r="BD34">
        <f t="shared" si="25"/>
        <v>0</v>
      </c>
      <c r="BE34">
        <f t="shared" si="26"/>
        <v>0</v>
      </c>
      <c r="BF34">
        <f t="shared" si="27"/>
        <v>0</v>
      </c>
      <c r="BG34">
        <f t="shared" si="28"/>
        <v>0</v>
      </c>
      <c r="BH34">
        <f t="shared" si="29"/>
        <v>0</v>
      </c>
      <c r="BI34">
        <f t="shared" si="30"/>
        <v>0</v>
      </c>
      <c r="BJ34">
        <f t="shared" si="31"/>
        <v>0</v>
      </c>
      <c r="BK34">
        <f t="shared" si="32"/>
        <v>0</v>
      </c>
      <c r="BL34">
        <f t="shared" si="33"/>
        <v>0</v>
      </c>
      <c r="BM34">
        <f t="shared" si="34"/>
        <v>0</v>
      </c>
      <c r="BN34">
        <f t="shared" si="35"/>
        <v>0</v>
      </c>
      <c r="BO34" s="348">
        <f t="shared" si="36"/>
        <v>0</v>
      </c>
      <c r="BP34">
        <f t="shared" si="37"/>
        <v>0</v>
      </c>
      <c r="BQ34">
        <f t="shared" si="38"/>
        <v>0</v>
      </c>
      <c r="BR34">
        <f t="shared" si="39"/>
        <v>0</v>
      </c>
      <c r="BS34">
        <f t="shared" si="40"/>
        <v>0</v>
      </c>
      <c r="BT34">
        <f t="shared" si="41"/>
        <v>0</v>
      </c>
      <c r="BU34">
        <f t="shared" si="42"/>
        <v>0</v>
      </c>
      <c r="BV34">
        <f t="shared" si="43"/>
        <v>0</v>
      </c>
      <c r="BW34">
        <f t="shared" si="44"/>
        <v>0</v>
      </c>
      <c r="BX34">
        <f t="shared" si="45"/>
        <v>0</v>
      </c>
      <c r="BY34">
        <f t="shared" si="20"/>
        <v>0</v>
      </c>
      <c r="BZ34" s="348">
        <f t="shared" si="21"/>
        <v>0</v>
      </c>
      <c r="CA34" s="73">
        <f t="shared" si="22"/>
        <v>0</v>
      </c>
      <c r="CB34">
        <f t="shared" si="23"/>
        <v>0</v>
      </c>
      <c r="CC34">
        <f t="shared" si="24"/>
        <v>0</v>
      </c>
      <c r="CD34">
        <f t="shared" si="1"/>
        <v>0</v>
      </c>
      <c r="CE34">
        <f t="shared" si="2"/>
        <v>0</v>
      </c>
      <c r="CF34">
        <f t="shared" si="3"/>
        <v>0</v>
      </c>
      <c r="CG34">
        <f t="shared" si="4"/>
        <v>0</v>
      </c>
      <c r="CH34">
        <f t="shared" si="5"/>
        <v>0</v>
      </c>
      <c r="CI34">
        <f t="shared" si="6"/>
        <v>0</v>
      </c>
      <c r="CJ34">
        <f t="shared" si="7"/>
        <v>0</v>
      </c>
      <c r="CK34">
        <f t="shared" si="8"/>
        <v>0</v>
      </c>
      <c r="CL34">
        <f t="shared" si="9"/>
        <v>0</v>
      </c>
    </row>
    <row r="35" spans="1:90" x14ac:dyDescent="0.25">
      <c r="A35" s="348"/>
      <c r="B35" s="313" t="s">
        <v>358</v>
      </c>
      <c r="C35" s="394">
        <v>0</v>
      </c>
      <c r="D35" s="6"/>
      <c r="H35" s="6">
        <f t="shared" si="52"/>
        <v>-9.99</v>
      </c>
      <c r="I35" s="348"/>
      <c r="U35" s="348"/>
      <c r="AF35" s="348"/>
      <c r="AG35" s="73"/>
      <c r="AT35" s="73" t="str">
        <f t="shared" si="19"/>
        <v/>
      </c>
      <c r="AU35" s="276" t="s">
        <v>420</v>
      </c>
      <c r="AV35" s="6">
        <f t="shared" si="11"/>
        <v>-9.99</v>
      </c>
      <c r="AW35" s="6">
        <f t="shared" si="47"/>
        <v>0</v>
      </c>
      <c r="AX35" s="6">
        <f t="shared" si="48"/>
        <v>0</v>
      </c>
      <c r="AY35" s="6" t="str">
        <f t="shared" si="49"/>
        <v/>
      </c>
      <c r="AZ35" s="6" t="str">
        <f t="shared" ca="1" si="50"/>
        <v/>
      </c>
      <c r="BA35" s="6" t="str">
        <f t="shared" ca="1" si="51"/>
        <v/>
      </c>
      <c r="BB35" s="6">
        <f t="shared" si="18"/>
        <v>-9.99</v>
      </c>
      <c r="BC35" s="348">
        <f t="shared" si="17"/>
        <v>0</v>
      </c>
      <c r="BD35">
        <f t="shared" si="25"/>
        <v>0</v>
      </c>
      <c r="BE35">
        <f t="shared" si="26"/>
        <v>0</v>
      </c>
      <c r="BF35">
        <f t="shared" si="27"/>
        <v>0</v>
      </c>
      <c r="BG35">
        <f t="shared" si="28"/>
        <v>0</v>
      </c>
      <c r="BH35">
        <f t="shared" si="29"/>
        <v>0</v>
      </c>
      <c r="BI35">
        <f t="shared" si="30"/>
        <v>0</v>
      </c>
      <c r="BJ35">
        <f t="shared" si="31"/>
        <v>0</v>
      </c>
      <c r="BK35">
        <f t="shared" si="32"/>
        <v>0</v>
      </c>
      <c r="BL35">
        <f t="shared" si="33"/>
        <v>0</v>
      </c>
      <c r="BM35">
        <f t="shared" si="34"/>
        <v>0</v>
      </c>
      <c r="BN35">
        <f t="shared" si="35"/>
        <v>0</v>
      </c>
      <c r="BO35" s="348">
        <f t="shared" si="36"/>
        <v>0</v>
      </c>
      <c r="BP35">
        <f t="shared" si="37"/>
        <v>0</v>
      </c>
      <c r="BQ35">
        <f t="shared" si="38"/>
        <v>0</v>
      </c>
      <c r="BR35">
        <f t="shared" si="39"/>
        <v>0</v>
      </c>
      <c r="BS35">
        <f t="shared" si="40"/>
        <v>0</v>
      </c>
      <c r="BT35">
        <f t="shared" si="41"/>
        <v>0</v>
      </c>
      <c r="BU35">
        <f t="shared" si="42"/>
        <v>0</v>
      </c>
      <c r="BV35">
        <f t="shared" si="43"/>
        <v>0</v>
      </c>
      <c r="BW35">
        <f t="shared" si="44"/>
        <v>0</v>
      </c>
      <c r="BX35">
        <f t="shared" si="45"/>
        <v>0</v>
      </c>
      <c r="BY35">
        <f t="shared" si="20"/>
        <v>0</v>
      </c>
      <c r="BZ35" s="348">
        <f t="shared" si="21"/>
        <v>0</v>
      </c>
      <c r="CA35" s="73">
        <f t="shared" si="22"/>
        <v>0</v>
      </c>
      <c r="CB35">
        <f t="shared" si="23"/>
        <v>0</v>
      </c>
      <c r="CC35">
        <f t="shared" si="24"/>
        <v>0</v>
      </c>
      <c r="CD35">
        <f t="shared" si="1"/>
        <v>0</v>
      </c>
      <c r="CE35">
        <f t="shared" si="2"/>
        <v>0</v>
      </c>
      <c r="CF35">
        <f t="shared" si="3"/>
        <v>0</v>
      </c>
      <c r="CG35">
        <f t="shared" si="4"/>
        <v>0</v>
      </c>
      <c r="CH35">
        <f t="shared" si="5"/>
        <v>0</v>
      </c>
      <c r="CI35">
        <f t="shared" si="6"/>
        <v>0</v>
      </c>
      <c r="CJ35">
        <f t="shared" si="7"/>
        <v>0</v>
      </c>
      <c r="CK35">
        <f t="shared" si="8"/>
        <v>0</v>
      </c>
      <c r="CL35">
        <f t="shared" si="9"/>
        <v>0</v>
      </c>
    </row>
    <row r="36" spans="1:90" x14ac:dyDescent="0.25">
      <c r="A36" s="348"/>
      <c r="B36" s="313" t="s">
        <v>359</v>
      </c>
      <c r="C36" s="394">
        <v>0</v>
      </c>
      <c r="D36" s="6"/>
      <c r="H36" s="6">
        <f t="shared" si="52"/>
        <v>-9.99</v>
      </c>
      <c r="I36" s="348"/>
      <c r="U36" s="348"/>
      <c r="AF36" s="348"/>
      <c r="AG36" s="73"/>
      <c r="AT36" s="73" t="str">
        <f t="shared" si="19"/>
        <v/>
      </c>
      <c r="AU36" s="276" t="s">
        <v>421</v>
      </c>
      <c r="AV36" s="6">
        <f t="shared" si="11"/>
        <v>-9.99</v>
      </c>
      <c r="AW36" s="6">
        <f t="shared" si="47"/>
        <v>0</v>
      </c>
      <c r="AX36" s="6">
        <f t="shared" si="48"/>
        <v>0</v>
      </c>
      <c r="AY36" s="6" t="str">
        <f t="shared" si="49"/>
        <v/>
      </c>
      <c r="AZ36" s="6" t="str">
        <f t="shared" ca="1" si="50"/>
        <v/>
      </c>
      <c r="BA36" s="6" t="str">
        <f t="shared" ca="1" si="51"/>
        <v/>
      </c>
      <c r="BB36" s="6">
        <f t="shared" si="18"/>
        <v>-9.99</v>
      </c>
      <c r="BC36" s="348">
        <f t="shared" si="17"/>
        <v>0</v>
      </c>
      <c r="BD36">
        <f t="shared" si="25"/>
        <v>0</v>
      </c>
      <c r="BE36">
        <f t="shared" si="26"/>
        <v>0</v>
      </c>
      <c r="BF36">
        <f t="shared" si="27"/>
        <v>0</v>
      </c>
      <c r="BG36">
        <f t="shared" si="28"/>
        <v>0</v>
      </c>
      <c r="BH36">
        <f t="shared" si="29"/>
        <v>0</v>
      </c>
      <c r="BI36">
        <f t="shared" si="30"/>
        <v>0</v>
      </c>
      <c r="BJ36">
        <f t="shared" si="31"/>
        <v>0</v>
      </c>
      <c r="BK36">
        <f t="shared" si="32"/>
        <v>0</v>
      </c>
      <c r="BL36">
        <f t="shared" si="33"/>
        <v>0</v>
      </c>
      <c r="BM36">
        <f t="shared" si="34"/>
        <v>0</v>
      </c>
      <c r="BN36">
        <f t="shared" si="35"/>
        <v>0</v>
      </c>
      <c r="BO36" s="348">
        <f t="shared" si="36"/>
        <v>0</v>
      </c>
      <c r="BP36">
        <f t="shared" si="37"/>
        <v>0</v>
      </c>
      <c r="BQ36">
        <f t="shared" si="38"/>
        <v>0</v>
      </c>
      <c r="BR36">
        <f t="shared" si="39"/>
        <v>0</v>
      </c>
      <c r="BS36">
        <f t="shared" si="40"/>
        <v>0</v>
      </c>
      <c r="BT36">
        <f t="shared" si="41"/>
        <v>0</v>
      </c>
      <c r="BU36">
        <f t="shared" si="42"/>
        <v>0</v>
      </c>
      <c r="BV36">
        <f t="shared" si="43"/>
        <v>0</v>
      </c>
      <c r="BW36">
        <f t="shared" si="44"/>
        <v>0</v>
      </c>
      <c r="BX36">
        <f t="shared" si="45"/>
        <v>0</v>
      </c>
      <c r="BY36">
        <f t="shared" si="20"/>
        <v>0</v>
      </c>
      <c r="BZ36" s="348">
        <f t="shared" si="21"/>
        <v>0</v>
      </c>
      <c r="CA36" s="73">
        <f t="shared" si="22"/>
        <v>0</v>
      </c>
      <c r="CB36">
        <f t="shared" si="23"/>
        <v>0</v>
      </c>
      <c r="CC36">
        <f t="shared" si="24"/>
        <v>0</v>
      </c>
      <c r="CD36">
        <f t="shared" si="1"/>
        <v>0</v>
      </c>
      <c r="CE36">
        <f t="shared" si="2"/>
        <v>0</v>
      </c>
      <c r="CF36">
        <f t="shared" si="3"/>
        <v>0</v>
      </c>
      <c r="CG36">
        <f t="shared" si="4"/>
        <v>0</v>
      </c>
      <c r="CH36">
        <f t="shared" si="5"/>
        <v>0</v>
      </c>
      <c r="CI36">
        <f t="shared" si="6"/>
        <v>0</v>
      </c>
      <c r="CJ36">
        <f t="shared" si="7"/>
        <v>0</v>
      </c>
      <c r="CK36">
        <f t="shared" si="8"/>
        <v>0</v>
      </c>
      <c r="CL36">
        <f t="shared" si="9"/>
        <v>0</v>
      </c>
    </row>
    <row r="37" spans="1:90" x14ac:dyDescent="0.25">
      <c r="A37" s="348"/>
      <c r="B37" s="313" t="s">
        <v>360</v>
      </c>
      <c r="C37" s="394">
        <v>0</v>
      </c>
      <c r="D37" s="6"/>
      <c r="H37" s="6">
        <f t="shared" si="52"/>
        <v>-9.99</v>
      </c>
      <c r="I37" s="348"/>
      <c r="U37" s="348"/>
      <c r="AF37" s="348"/>
      <c r="AG37" s="73"/>
      <c r="AT37" s="73" t="str">
        <f t="shared" si="19"/>
        <v/>
      </c>
      <c r="AU37" s="276" t="s">
        <v>422</v>
      </c>
      <c r="AV37" s="6">
        <f t="shared" si="11"/>
        <v>-9.99</v>
      </c>
      <c r="AW37" s="6">
        <f t="shared" si="47"/>
        <v>0</v>
      </c>
      <c r="AX37" s="6">
        <f t="shared" si="48"/>
        <v>0</v>
      </c>
      <c r="AY37" s="6" t="str">
        <f t="shared" si="49"/>
        <v/>
      </c>
      <c r="AZ37" s="6" t="str">
        <f t="shared" ca="1" si="50"/>
        <v/>
      </c>
      <c r="BA37" s="6" t="str">
        <f t="shared" ca="1" si="51"/>
        <v/>
      </c>
      <c r="BB37" s="6">
        <f t="shared" si="18"/>
        <v>-9.99</v>
      </c>
      <c r="BC37" s="348">
        <f t="shared" si="17"/>
        <v>0</v>
      </c>
      <c r="BD37">
        <f t="shared" si="25"/>
        <v>0</v>
      </c>
      <c r="BE37">
        <f t="shared" si="26"/>
        <v>0</v>
      </c>
      <c r="BF37">
        <f t="shared" si="27"/>
        <v>0</v>
      </c>
      <c r="BG37">
        <f t="shared" si="28"/>
        <v>0</v>
      </c>
      <c r="BH37">
        <f t="shared" si="29"/>
        <v>0</v>
      </c>
      <c r="BI37">
        <f t="shared" si="30"/>
        <v>0</v>
      </c>
      <c r="BJ37">
        <f t="shared" si="31"/>
        <v>0</v>
      </c>
      <c r="BK37">
        <f t="shared" si="32"/>
        <v>0</v>
      </c>
      <c r="BL37">
        <f t="shared" si="33"/>
        <v>0</v>
      </c>
      <c r="BM37">
        <f t="shared" si="34"/>
        <v>0</v>
      </c>
      <c r="BN37">
        <f t="shared" si="35"/>
        <v>0</v>
      </c>
      <c r="BO37" s="348">
        <f t="shared" si="36"/>
        <v>0</v>
      </c>
      <c r="BP37">
        <f t="shared" si="37"/>
        <v>0</v>
      </c>
      <c r="BQ37">
        <f t="shared" si="38"/>
        <v>0</v>
      </c>
      <c r="BR37">
        <f t="shared" si="39"/>
        <v>0</v>
      </c>
      <c r="BS37">
        <f t="shared" si="40"/>
        <v>0</v>
      </c>
      <c r="BT37">
        <f t="shared" si="41"/>
        <v>0</v>
      </c>
      <c r="BU37">
        <f t="shared" si="42"/>
        <v>0</v>
      </c>
      <c r="BV37">
        <f t="shared" si="43"/>
        <v>0</v>
      </c>
      <c r="BW37">
        <f t="shared" si="44"/>
        <v>0</v>
      </c>
      <c r="BX37">
        <f t="shared" si="45"/>
        <v>0</v>
      </c>
      <c r="BY37">
        <f t="shared" si="20"/>
        <v>0</v>
      </c>
      <c r="BZ37" s="348">
        <f t="shared" si="21"/>
        <v>0</v>
      </c>
      <c r="CA37" s="73">
        <f t="shared" si="22"/>
        <v>0</v>
      </c>
      <c r="CB37">
        <f t="shared" si="23"/>
        <v>0</v>
      </c>
      <c r="CC37">
        <f t="shared" si="24"/>
        <v>0</v>
      </c>
      <c r="CD37">
        <f t="shared" si="1"/>
        <v>0</v>
      </c>
      <c r="CE37">
        <f t="shared" si="2"/>
        <v>0</v>
      </c>
      <c r="CF37">
        <f t="shared" si="3"/>
        <v>0</v>
      </c>
      <c r="CG37">
        <f t="shared" si="4"/>
        <v>0</v>
      </c>
      <c r="CH37">
        <f t="shared" si="5"/>
        <v>0</v>
      </c>
      <c r="CI37">
        <f t="shared" si="6"/>
        <v>0</v>
      </c>
      <c r="CJ37">
        <f t="shared" si="7"/>
        <v>0</v>
      </c>
      <c r="CK37">
        <f t="shared" si="8"/>
        <v>0</v>
      </c>
      <c r="CL37">
        <f t="shared" si="9"/>
        <v>0</v>
      </c>
    </row>
    <row r="38" spans="1:90" x14ac:dyDescent="0.25">
      <c r="A38" s="348"/>
      <c r="B38" s="313" t="s">
        <v>361</v>
      </c>
      <c r="C38" s="394">
        <v>0</v>
      </c>
      <c r="D38" s="6"/>
      <c r="H38" s="6">
        <f t="shared" si="52"/>
        <v>-9.99</v>
      </c>
      <c r="I38" s="348"/>
      <c r="U38" s="348"/>
      <c r="AF38" s="348"/>
      <c r="AG38" s="73"/>
      <c r="AT38" s="73" t="str">
        <f t="shared" si="19"/>
        <v/>
      </c>
      <c r="AU38" s="276" t="s">
        <v>423</v>
      </c>
      <c r="AV38" s="6">
        <f t="shared" si="11"/>
        <v>-9.99</v>
      </c>
      <c r="AW38" s="6">
        <f t="shared" si="47"/>
        <v>0</v>
      </c>
      <c r="AX38" s="6">
        <f t="shared" si="48"/>
        <v>0</v>
      </c>
      <c r="AY38" s="6" t="str">
        <f t="shared" si="49"/>
        <v/>
      </c>
      <c r="AZ38" s="6" t="str">
        <f t="shared" ca="1" si="50"/>
        <v/>
      </c>
      <c r="BA38" s="6" t="str">
        <f t="shared" ca="1" si="51"/>
        <v/>
      </c>
      <c r="BB38" s="6">
        <f t="shared" si="18"/>
        <v>-9.99</v>
      </c>
      <c r="BC38" s="348">
        <f t="shared" si="17"/>
        <v>0</v>
      </c>
      <c r="BD38">
        <f t="shared" si="25"/>
        <v>0</v>
      </c>
      <c r="BE38">
        <f t="shared" si="26"/>
        <v>0</v>
      </c>
      <c r="BF38">
        <f t="shared" si="27"/>
        <v>0</v>
      </c>
      <c r="BG38">
        <f t="shared" si="28"/>
        <v>0</v>
      </c>
      <c r="BH38">
        <f t="shared" si="29"/>
        <v>0</v>
      </c>
      <c r="BI38">
        <f t="shared" si="30"/>
        <v>0</v>
      </c>
      <c r="BJ38">
        <f t="shared" si="31"/>
        <v>0</v>
      </c>
      <c r="BK38">
        <f t="shared" si="32"/>
        <v>0</v>
      </c>
      <c r="BL38">
        <f t="shared" si="33"/>
        <v>0</v>
      </c>
      <c r="BM38">
        <f t="shared" si="34"/>
        <v>0</v>
      </c>
      <c r="BN38">
        <f t="shared" si="35"/>
        <v>0</v>
      </c>
      <c r="BO38" s="348">
        <f t="shared" si="36"/>
        <v>0</v>
      </c>
      <c r="BP38">
        <f t="shared" si="37"/>
        <v>0</v>
      </c>
      <c r="BQ38">
        <f t="shared" si="38"/>
        <v>0</v>
      </c>
      <c r="BR38">
        <f t="shared" si="39"/>
        <v>0</v>
      </c>
      <c r="BS38">
        <f t="shared" si="40"/>
        <v>0</v>
      </c>
      <c r="BT38">
        <f t="shared" si="41"/>
        <v>0</v>
      </c>
      <c r="BU38">
        <f t="shared" si="42"/>
        <v>0</v>
      </c>
      <c r="BV38">
        <f t="shared" si="43"/>
        <v>0</v>
      </c>
      <c r="BW38">
        <f t="shared" si="44"/>
        <v>0</v>
      </c>
      <c r="BX38">
        <f t="shared" si="45"/>
        <v>0</v>
      </c>
      <c r="BY38">
        <f t="shared" si="20"/>
        <v>0</v>
      </c>
      <c r="BZ38" s="348">
        <f t="shared" si="21"/>
        <v>0</v>
      </c>
      <c r="CA38" s="73">
        <f t="shared" si="22"/>
        <v>0</v>
      </c>
      <c r="CB38">
        <f t="shared" si="23"/>
        <v>0</v>
      </c>
      <c r="CC38">
        <f t="shared" si="24"/>
        <v>0</v>
      </c>
      <c r="CD38">
        <f t="shared" si="1"/>
        <v>0</v>
      </c>
      <c r="CE38">
        <f t="shared" si="2"/>
        <v>0</v>
      </c>
      <c r="CF38">
        <f t="shared" si="3"/>
        <v>0</v>
      </c>
      <c r="CG38">
        <f t="shared" si="4"/>
        <v>0</v>
      </c>
      <c r="CH38">
        <f t="shared" si="5"/>
        <v>0</v>
      </c>
      <c r="CI38">
        <f t="shared" si="6"/>
        <v>0</v>
      </c>
      <c r="CJ38">
        <f t="shared" si="7"/>
        <v>0</v>
      </c>
      <c r="CK38">
        <f t="shared" si="8"/>
        <v>0</v>
      </c>
      <c r="CL38">
        <f t="shared" si="9"/>
        <v>0</v>
      </c>
    </row>
    <row r="39" spans="1:90" x14ac:dyDescent="0.25">
      <c r="A39" s="348"/>
      <c r="B39" s="313" t="s">
        <v>362</v>
      </c>
      <c r="C39" s="394">
        <v>0</v>
      </c>
      <c r="D39" s="6"/>
      <c r="H39" s="6">
        <f t="shared" si="52"/>
        <v>-9.99</v>
      </c>
      <c r="I39" s="348"/>
      <c r="U39" s="348"/>
      <c r="AF39" s="348"/>
      <c r="AG39" s="73"/>
      <c r="AT39" s="73" t="str">
        <f t="shared" si="19"/>
        <v/>
      </c>
      <c r="AU39" s="276" t="s">
        <v>424</v>
      </c>
      <c r="AV39" s="6">
        <f t="shared" si="11"/>
        <v>-9.99</v>
      </c>
      <c r="AW39" s="6">
        <f t="shared" si="47"/>
        <v>0</v>
      </c>
      <c r="AX39" s="6">
        <f t="shared" si="48"/>
        <v>0</v>
      </c>
      <c r="AY39" s="6" t="str">
        <f t="shared" si="49"/>
        <v/>
      </c>
      <c r="AZ39" s="6" t="str">
        <f t="shared" ca="1" si="50"/>
        <v/>
      </c>
      <c r="BA39" s="6" t="str">
        <f t="shared" ca="1" si="51"/>
        <v/>
      </c>
      <c r="BB39" s="6">
        <f t="shared" si="18"/>
        <v>-9.99</v>
      </c>
      <c r="BC39" s="348">
        <f t="shared" si="17"/>
        <v>0</v>
      </c>
      <c r="BD39">
        <f t="shared" si="25"/>
        <v>0</v>
      </c>
      <c r="BE39">
        <f t="shared" si="26"/>
        <v>0</v>
      </c>
      <c r="BF39">
        <f t="shared" si="27"/>
        <v>0</v>
      </c>
      <c r="BG39">
        <f t="shared" si="28"/>
        <v>0</v>
      </c>
      <c r="BH39">
        <f t="shared" si="29"/>
        <v>0</v>
      </c>
      <c r="BI39">
        <f t="shared" si="30"/>
        <v>0</v>
      </c>
      <c r="BJ39">
        <f t="shared" si="31"/>
        <v>0</v>
      </c>
      <c r="BK39">
        <f t="shared" si="32"/>
        <v>0</v>
      </c>
      <c r="BL39">
        <f t="shared" si="33"/>
        <v>0</v>
      </c>
      <c r="BM39">
        <f t="shared" si="34"/>
        <v>0</v>
      </c>
      <c r="BN39">
        <f t="shared" si="35"/>
        <v>0</v>
      </c>
      <c r="BO39" s="348">
        <f t="shared" si="36"/>
        <v>0</v>
      </c>
      <c r="BP39">
        <f t="shared" si="37"/>
        <v>0</v>
      </c>
      <c r="BQ39">
        <f t="shared" si="38"/>
        <v>0</v>
      </c>
      <c r="BR39">
        <f t="shared" si="39"/>
        <v>0</v>
      </c>
      <c r="BS39">
        <f t="shared" si="40"/>
        <v>0</v>
      </c>
      <c r="BT39">
        <f t="shared" si="41"/>
        <v>0</v>
      </c>
      <c r="BU39">
        <f t="shared" si="42"/>
        <v>0</v>
      </c>
      <c r="BV39">
        <f t="shared" si="43"/>
        <v>0</v>
      </c>
      <c r="BW39">
        <f t="shared" si="44"/>
        <v>0</v>
      </c>
      <c r="BX39">
        <f t="shared" si="45"/>
        <v>0</v>
      </c>
      <c r="BY39">
        <f t="shared" si="20"/>
        <v>0</v>
      </c>
      <c r="BZ39" s="348">
        <f t="shared" si="21"/>
        <v>0</v>
      </c>
      <c r="CA39" s="73">
        <f t="shared" si="22"/>
        <v>0</v>
      </c>
      <c r="CB39">
        <f t="shared" si="23"/>
        <v>0</v>
      </c>
      <c r="CC39">
        <f t="shared" si="24"/>
        <v>0</v>
      </c>
      <c r="CD39">
        <f t="shared" si="1"/>
        <v>0</v>
      </c>
      <c r="CE39">
        <f t="shared" si="2"/>
        <v>0</v>
      </c>
      <c r="CF39">
        <f t="shared" si="3"/>
        <v>0</v>
      </c>
      <c r="CG39">
        <f t="shared" si="4"/>
        <v>0</v>
      </c>
      <c r="CH39">
        <f t="shared" si="5"/>
        <v>0</v>
      </c>
      <c r="CI39">
        <f t="shared" si="6"/>
        <v>0</v>
      </c>
      <c r="CJ39">
        <f t="shared" si="7"/>
        <v>0</v>
      </c>
      <c r="CK39">
        <f t="shared" si="8"/>
        <v>0</v>
      </c>
      <c r="CL39">
        <f t="shared" si="9"/>
        <v>0</v>
      </c>
    </row>
    <row r="40" spans="1:90" x14ac:dyDescent="0.25">
      <c r="A40" s="348"/>
      <c r="B40" s="313" t="s">
        <v>363</v>
      </c>
      <c r="C40" s="394">
        <v>0</v>
      </c>
      <c r="D40" s="6"/>
      <c r="H40" s="6">
        <f t="shared" si="52"/>
        <v>-9.99</v>
      </c>
      <c r="I40" s="348"/>
      <c r="U40" s="348"/>
      <c r="AF40" s="348"/>
      <c r="AG40" s="73"/>
      <c r="AT40" s="73" t="str">
        <f t="shared" si="19"/>
        <v/>
      </c>
      <c r="AU40" s="276" t="s">
        <v>425</v>
      </c>
      <c r="AV40" s="6">
        <f t="shared" si="11"/>
        <v>-9.99</v>
      </c>
      <c r="AW40" s="6">
        <f t="shared" si="47"/>
        <v>0</v>
      </c>
      <c r="AX40" s="6">
        <f t="shared" si="48"/>
        <v>0</v>
      </c>
      <c r="AY40" s="6" t="str">
        <f t="shared" si="49"/>
        <v/>
      </c>
      <c r="AZ40" s="6" t="str">
        <f t="shared" ca="1" si="50"/>
        <v/>
      </c>
      <c r="BA40" s="6" t="str">
        <f t="shared" ca="1" si="51"/>
        <v/>
      </c>
      <c r="BB40" s="6">
        <f t="shared" si="18"/>
        <v>-9.99</v>
      </c>
      <c r="BC40" s="348">
        <f t="shared" si="17"/>
        <v>0</v>
      </c>
      <c r="BD40">
        <f t="shared" si="25"/>
        <v>0</v>
      </c>
      <c r="BE40">
        <f t="shared" si="26"/>
        <v>0</v>
      </c>
      <c r="BF40">
        <f t="shared" si="27"/>
        <v>0</v>
      </c>
      <c r="BG40">
        <f t="shared" si="28"/>
        <v>0</v>
      </c>
      <c r="BH40">
        <f t="shared" si="29"/>
        <v>0</v>
      </c>
      <c r="BI40">
        <f t="shared" si="30"/>
        <v>0</v>
      </c>
      <c r="BJ40">
        <f t="shared" si="31"/>
        <v>0</v>
      </c>
      <c r="BK40">
        <f t="shared" si="32"/>
        <v>0</v>
      </c>
      <c r="BL40">
        <f t="shared" si="33"/>
        <v>0</v>
      </c>
      <c r="BM40">
        <f t="shared" si="34"/>
        <v>0</v>
      </c>
      <c r="BN40">
        <f t="shared" si="35"/>
        <v>0</v>
      </c>
      <c r="BO40" s="348">
        <f t="shared" si="36"/>
        <v>0</v>
      </c>
      <c r="BP40">
        <f t="shared" si="37"/>
        <v>0</v>
      </c>
      <c r="BQ40">
        <f t="shared" si="38"/>
        <v>0</v>
      </c>
      <c r="BR40">
        <f t="shared" si="39"/>
        <v>0</v>
      </c>
      <c r="BS40">
        <f t="shared" si="40"/>
        <v>0</v>
      </c>
      <c r="BT40">
        <f t="shared" si="41"/>
        <v>0</v>
      </c>
      <c r="BU40">
        <f t="shared" si="42"/>
        <v>0</v>
      </c>
      <c r="BV40">
        <f t="shared" si="43"/>
        <v>0</v>
      </c>
      <c r="BW40">
        <f t="shared" si="44"/>
        <v>0</v>
      </c>
      <c r="BX40">
        <f t="shared" si="45"/>
        <v>0</v>
      </c>
      <c r="BY40">
        <f t="shared" si="20"/>
        <v>0</v>
      </c>
      <c r="BZ40" s="348">
        <f t="shared" si="21"/>
        <v>0</v>
      </c>
      <c r="CA40" s="73">
        <f t="shared" si="22"/>
        <v>0</v>
      </c>
      <c r="CB40">
        <f t="shared" si="23"/>
        <v>0</v>
      </c>
      <c r="CC40">
        <f t="shared" si="24"/>
        <v>0</v>
      </c>
      <c r="CD40">
        <f t="shared" si="1"/>
        <v>0</v>
      </c>
      <c r="CE40">
        <f t="shared" si="2"/>
        <v>0</v>
      </c>
      <c r="CF40">
        <f t="shared" si="3"/>
        <v>0</v>
      </c>
      <c r="CG40">
        <f t="shared" si="4"/>
        <v>0</v>
      </c>
      <c r="CH40">
        <f t="shared" si="5"/>
        <v>0</v>
      </c>
      <c r="CI40">
        <f t="shared" si="6"/>
        <v>0</v>
      </c>
      <c r="CJ40">
        <f t="shared" si="7"/>
        <v>0</v>
      </c>
      <c r="CK40">
        <f t="shared" si="8"/>
        <v>0</v>
      </c>
      <c r="CL40">
        <f t="shared" si="9"/>
        <v>0</v>
      </c>
    </row>
    <row r="41" spans="1:90" x14ac:dyDescent="0.25">
      <c r="A41" s="348"/>
      <c r="B41" s="313" t="s">
        <v>364</v>
      </c>
      <c r="C41" s="394">
        <v>0</v>
      </c>
      <c r="D41" s="6"/>
      <c r="H41" s="6">
        <f t="shared" si="52"/>
        <v>-9.99</v>
      </c>
      <c r="I41" s="348"/>
      <c r="U41" s="348"/>
      <c r="AF41" s="348"/>
      <c r="AG41" s="73"/>
      <c r="AT41" s="73" t="str">
        <f t="shared" si="19"/>
        <v/>
      </c>
      <c r="AU41" s="276" t="s">
        <v>426</v>
      </c>
      <c r="AV41" s="6">
        <f t="shared" si="11"/>
        <v>-9.99</v>
      </c>
      <c r="AW41" s="6">
        <f t="shared" si="47"/>
        <v>0</v>
      </c>
      <c r="AX41" s="6">
        <f t="shared" si="48"/>
        <v>0</v>
      </c>
      <c r="AY41" s="6" t="str">
        <f t="shared" si="49"/>
        <v/>
      </c>
      <c r="AZ41" s="6" t="str">
        <f t="shared" ca="1" si="50"/>
        <v/>
      </c>
      <c r="BA41" s="6" t="str">
        <f t="shared" ca="1" si="51"/>
        <v/>
      </c>
      <c r="BB41" s="6">
        <f t="shared" si="18"/>
        <v>-9.99</v>
      </c>
      <c r="BC41" s="348">
        <f t="shared" si="17"/>
        <v>0</v>
      </c>
      <c r="BD41">
        <f t="shared" si="25"/>
        <v>0</v>
      </c>
      <c r="BE41">
        <f t="shared" si="26"/>
        <v>0</v>
      </c>
      <c r="BF41">
        <f t="shared" si="27"/>
        <v>0</v>
      </c>
      <c r="BG41">
        <f t="shared" si="28"/>
        <v>0</v>
      </c>
      <c r="BH41">
        <f t="shared" si="29"/>
        <v>0</v>
      </c>
      <c r="BI41">
        <f t="shared" si="30"/>
        <v>0</v>
      </c>
      <c r="BJ41">
        <f t="shared" si="31"/>
        <v>0</v>
      </c>
      <c r="BK41">
        <f t="shared" si="32"/>
        <v>0</v>
      </c>
      <c r="BL41">
        <f t="shared" si="33"/>
        <v>0</v>
      </c>
      <c r="BM41">
        <f t="shared" si="34"/>
        <v>0</v>
      </c>
      <c r="BN41">
        <f t="shared" si="35"/>
        <v>0</v>
      </c>
      <c r="BO41" s="348">
        <f t="shared" si="36"/>
        <v>0</v>
      </c>
      <c r="BP41">
        <f t="shared" si="37"/>
        <v>0</v>
      </c>
      <c r="BQ41">
        <f t="shared" si="38"/>
        <v>0</v>
      </c>
      <c r="BR41">
        <f t="shared" si="39"/>
        <v>0</v>
      </c>
      <c r="BS41">
        <f t="shared" si="40"/>
        <v>0</v>
      </c>
      <c r="BT41">
        <f t="shared" si="41"/>
        <v>0</v>
      </c>
      <c r="BU41">
        <f t="shared" si="42"/>
        <v>0</v>
      </c>
      <c r="BV41">
        <f t="shared" si="43"/>
        <v>0</v>
      </c>
      <c r="BW41">
        <f t="shared" si="44"/>
        <v>0</v>
      </c>
      <c r="BX41">
        <f t="shared" si="45"/>
        <v>0</v>
      </c>
      <c r="BY41">
        <f t="shared" si="20"/>
        <v>0</v>
      </c>
      <c r="BZ41" s="348">
        <f t="shared" si="21"/>
        <v>0</v>
      </c>
      <c r="CA41" s="73">
        <f t="shared" si="22"/>
        <v>0</v>
      </c>
      <c r="CB41">
        <f t="shared" si="23"/>
        <v>0</v>
      </c>
      <c r="CC41">
        <f t="shared" si="24"/>
        <v>0</v>
      </c>
      <c r="CD41">
        <f t="shared" si="1"/>
        <v>0</v>
      </c>
      <c r="CE41">
        <f t="shared" si="2"/>
        <v>0</v>
      </c>
      <c r="CF41">
        <f t="shared" si="3"/>
        <v>0</v>
      </c>
      <c r="CG41">
        <f t="shared" si="4"/>
        <v>0</v>
      </c>
      <c r="CH41">
        <f t="shared" si="5"/>
        <v>0</v>
      </c>
      <c r="CI41">
        <f t="shared" si="6"/>
        <v>0</v>
      </c>
      <c r="CJ41">
        <f t="shared" si="7"/>
        <v>0</v>
      </c>
      <c r="CK41">
        <f t="shared" si="8"/>
        <v>0</v>
      </c>
      <c r="CL41">
        <f t="shared" si="9"/>
        <v>0</v>
      </c>
    </row>
    <row r="42" spans="1:90" x14ac:dyDescent="0.25">
      <c r="A42" s="348"/>
      <c r="B42" s="313" t="s">
        <v>365</v>
      </c>
      <c r="C42" s="394">
        <v>0</v>
      </c>
      <c r="D42" s="6"/>
      <c r="H42" s="6">
        <f t="shared" si="52"/>
        <v>-9.99</v>
      </c>
      <c r="I42" s="348"/>
      <c r="U42" s="348"/>
      <c r="AF42" s="348"/>
      <c r="AG42" s="73"/>
      <c r="AT42" s="73" t="str">
        <f t="shared" si="19"/>
        <v/>
      </c>
      <c r="AU42" s="276" t="s">
        <v>427</v>
      </c>
      <c r="AV42" s="6">
        <f t="shared" si="11"/>
        <v>-9.99</v>
      </c>
      <c r="AW42" s="6">
        <f t="shared" si="47"/>
        <v>0</v>
      </c>
      <c r="AX42" s="6">
        <f t="shared" si="48"/>
        <v>0</v>
      </c>
      <c r="AY42" s="6" t="str">
        <f t="shared" si="49"/>
        <v/>
      </c>
      <c r="AZ42" s="6" t="str">
        <f t="shared" ca="1" si="50"/>
        <v/>
      </c>
      <c r="BA42" s="6" t="str">
        <f t="shared" ca="1" si="51"/>
        <v/>
      </c>
      <c r="BB42" s="6">
        <f t="shared" si="18"/>
        <v>-9.99</v>
      </c>
      <c r="BC42" s="348">
        <f t="shared" si="17"/>
        <v>0</v>
      </c>
      <c r="BD42">
        <f t="shared" si="25"/>
        <v>0</v>
      </c>
      <c r="BE42">
        <f t="shared" si="26"/>
        <v>0</v>
      </c>
      <c r="BF42">
        <f t="shared" si="27"/>
        <v>0</v>
      </c>
      <c r="BG42">
        <f t="shared" si="28"/>
        <v>0</v>
      </c>
      <c r="BH42">
        <f t="shared" si="29"/>
        <v>0</v>
      </c>
      <c r="BI42">
        <f t="shared" si="30"/>
        <v>0</v>
      </c>
      <c r="BJ42">
        <f t="shared" si="31"/>
        <v>0</v>
      </c>
      <c r="BK42">
        <f t="shared" si="32"/>
        <v>0</v>
      </c>
      <c r="BL42">
        <f t="shared" si="33"/>
        <v>0</v>
      </c>
      <c r="BM42">
        <f t="shared" si="34"/>
        <v>0</v>
      </c>
      <c r="BN42">
        <f t="shared" si="35"/>
        <v>0</v>
      </c>
      <c r="BO42" s="348">
        <f t="shared" si="36"/>
        <v>0</v>
      </c>
      <c r="BP42">
        <f t="shared" si="37"/>
        <v>0</v>
      </c>
      <c r="BQ42">
        <f t="shared" si="38"/>
        <v>0</v>
      </c>
      <c r="BR42">
        <f t="shared" si="39"/>
        <v>0</v>
      </c>
      <c r="BS42">
        <f t="shared" si="40"/>
        <v>0</v>
      </c>
      <c r="BT42">
        <f t="shared" si="41"/>
        <v>0</v>
      </c>
      <c r="BU42">
        <f t="shared" si="42"/>
        <v>0</v>
      </c>
      <c r="BV42">
        <f t="shared" si="43"/>
        <v>0</v>
      </c>
      <c r="BW42">
        <f t="shared" si="44"/>
        <v>0</v>
      </c>
      <c r="BX42">
        <f t="shared" si="45"/>
        <v>0</v>
      </c>
      <c r="BY42">
        <f t="shared" si="20"/>
        <v>0</v>
      </c>
      <c r="BZ42" s="348">
        <f t="shared" si="21"/>
        <v>0</v>
      </c>
      <c r="CA42" s="73">
        <f t="shared" si="22"/>
        <v>0</v>
      </c>
      <c r="CB42">
        <f t="shared" si="23"/>
        <v>0</v>
      </c>
      <c r="CC42">
        <f t="shared" si="24"/>
        <v>0</v>
      </c>
      <c r="CD42">
        <f t="shared" si="1"/>
        <v>0</v>
      </c>
      <c r="CE42">
        <f t="shared" si="2"/>
        <v>0</v>
      </c>
      <c r="CF42">
        <f t="shared" si="3"/>
        <v>0</v>
      </c>
      <c r="CG42">
        <f t="shared" si="4"/>
        <v>0</v>
      </c>
      <c r="CH42">
        <f t="shared" si="5"/>
        <v>0</v>
      </c>
      <c r="CI42">
        <f t="shared" si="6"/>
        <v>0</v>
      </c>
      <c r="CJ42">
        <f t="shared" si="7"/>
        <v>0</v>
      </c>
      <c r="CK42">
        <f t="shared" si="8"/>
        <v>0</v>
      </c>
      <c r="CL42">
        <f t="shared" si="9"/>
        <v>0</v>
      </c>
    </row>
    <row r="43" spans="1:90" x14ac:dyDescent="0.25">
      <c r="A43" s="348"/>
      <c r="B43" s="313" t="s">
        <v>404</v>
      </c>
      <c r="C43" s="394">
        <v>0</v>
      </c>
      <c r="D43" s="6"/>
      <c r="H43" s="6">
        <f t="shared" si="52"/>
        <v>-9.99</v>
      </c>
      <c r="I43" s="348"/>
      <c r="U43" s="348"/>
      <c r="AF43" s="348"/>
      <c r="AG43" s="73"/>
      <c r="AT43" s="73" t="str">
        <f t="shared" si="19"/>
        <v/>
      </c>
      <c r="AU43" s="276" t="s">
        <v>428</v>
      </c>
      <c r="AV43" s="6">
        <f t="shared" si="11"/>
        <v>-9.99</v>
      </c>
      <c r="AW43" s="6">
        <f t="shared" si="47"/>
        <v>0</v>
      </c>
      <c r="AX43" s="6">
        <f t="shared" si="48"/>
        <v>0</v>
      </c>
      <c r="AY43" s="6" t="str">
        <f t="shared" si="49"/>
        <v/>
      </c>
      <c r="AZ43" s="6" t="str">
        <f t="shared" ca="1" si="50"/>
        <v/>
      </c>
      <c r="BA43" s="6" t="str">
        <f t="shared" ca="1" si="51"/>
        <v/>
      </c>
      <c r="BB43" s="6">
        <f t="shared" si="18"/>
        <v>-9.99</v>
      </c>
      <c r="BC43" s="348">
        <f t="shared" si="17"/>
        <v>0</v>
      </c>
      <c r="BD43">
        <f t="shared" si="25"/>
        <v>0</v>
      </c>
      <c r="BE43">
        <f t="shared" si="26"/>
        <v>0</v>
      </c>
      <c r="BF43">
        <f t="shared" si="27"/>
        <v>0</v>
      </c>
      <c r="BG43">
        <f t="shared" si="28"/>
        <v>0</v>
      </c>
      <c r="BH43">
        <f t="shared" si="29"/>
        <v>0</v>
      </c>
      <c r="BI43">
        <f t="shared" si="30"/>
        <v>0</v>
      </c>
      <c r="BJ43">
        <f t="shared" si="31"/>
        <v>0</v>
      </c>
      <c r="BK43">
        <f t="shared" si="32"/>
        <v>0</v>
      </c>
      <c r="BL43">
        <f t="shared" si="33"/>
        <v>0</v>
      </c>
      <c r="BM43">
        <f t="shared" si="34"/>
        <v>0</v>
      </c>
      <c r="BN43">
        <f t="shared" si="35"/>
        <v>0</v>
      </c>
      <c r="BO43" s="348">
        <f t="shared" si="36"/>
        <v>0</v>
      </c>
      <c r="BP43">
        <f t="shared" si="37"/>
        <v>0</v>
      </c>
      <c r="BQ43">
        <f t="shared" si="38"/>
        <v>0</v>
      </c>
      <c r="BR43">
        <f t="shared" si="39"/>
        <v>0</v>
      </c>
      <c r="BS43">
        <f t="shared" si="40"/>
        <v>0</v>
      </c>
      <c r="BT43">
        <f t="shared" si="41"/>
        <v>0</v>
      </c>
      <c r="BU43">
        <f t="shared" si="42"/>
        <v>0</v>
      </c>
      <c r="BV43">
        <f t="shared" si="43"/>
        <v>0</v>
      </c>
      <c r="BW43">
        <f t="shared" si="44"/>
        <v>0</v>
      </c>
      <c r="BX43">
        <f t="shared" si="45"/>
        <v>0</v>
      </c>
      <c r="BY43">
        <f t="shared" si="20"/>
        <v>0</v>
      </c>
      <c r="BZ43" s="348">
        <f t="shared" si="21"/>
        <v>0</v>
      </c>
      <c r="CA43" s="73">
        <f t="shared" si="22"/>
        <v>0</v>
      </c>
      <c r="CB43">
        <f t="shared" si="23"/>
        <v>0</v>
      </c>
      <c r="CC43">
        <f t="shared" si="24"/>
        <v>0</v>
      </c>
      <c r="CD43">
        <f t="shared" si="1"/>
        <v>0</v>
      </c>
      <c r="CE43">
        <f t="shared" si="2"/>
        <v>0</v>
      </c>
      <c r="CF43">
        <f t="shared" si="3"/>
        <v>0</v>
      </c>
      <c r="CG43">
        <f t="shared" si="4"/>
        <v>0</v>
      </c>
      <c r="CH43">
        <f t="shared" si="5"/>
        <v>0</v>
      </c>
      <c r="CI43">
        <f t="shared" si="6"/>
        <v>0</v>
      </c>
      <c r="CJ43">
        <f t="shared" si="7"/>
        <v>0</v>
      </c>
      <c r="CK43">
        <f t="shared" si="8"/>
        <v>0</v>
      </c>
      <c r="CL43">
        <f t="shared" si="9"/>
        <v>0</v>
      </c>
    </row>
    <row r="44" spans="1:90" x14ac:dyDescent="0.25">
      <c r="A44" s="348"/>
      <c r="B44" s="313" t="s">
        <v>405</v>
      </c>
      <c r="C44" s="394">
        <v>0</v>
      </c>
      <c r="D44" s="6"/>
      <c r="H44" s="6">
        <f t="shared" si="52"/>
        <v>-9.99</v>
      </c>
      <c r="I44" s="348"/>
      <c r="U44" s="348"/>
      <c r="AF44" s="348"/>
      <c r="AG44" s="73"/>
      <c r="AT44" s="73" t="str">
        <f t="shared" si="19"/>
        <v/>
      </c>
      <c r="AU44" s="276" t="s">
        <v>429</v>
      </c>
      <c r="AV44" s="6">
        <f t="shared" si="11"/>
        <v>-9.99</v>
      </c>
      <c r="AW44" s="6">
        <f t="shared" si="47"/>
        <v>0</v>
      </c>
      <c r="AX44" s="6">
        <f t="shared" si="48"/>
        <v>0</v>
      </c>
      <c r="AY44" s="6" t="str">
        <f t="shared" si="49"/>
        <v/>
      </c>
      <c r="AZ44" s="6" t="str">
        <f t="shared" ca="1" si="50"/>
        <v/>
      </c>
      <c r="BA44" s="6" t="str">
        <f t="shared" ca="1" si="51"/>
        <v/>
      </c>
      <c r="BB44" s="6">
        <f t="shared" si="18"/>
        <v>-9.99</v>
      </c>
      <c r="BC44" s="348">
        <f t="shared" si="17"/>
        <v>0</v>
      </c>
      <c r="BD44">
        <f t="shared" si="25"/>
        <v>0</v>
      </c>
      <c r="BE44">
        <f t="shared" si="26"/>
        <v>0</v>
      </c>
      <c r="BF44">
        <f t="shared" si="27"/>
        <v>0</v>
      </c>
      <c r="BG44">
        <f t="shared" si="28"/>
        <v>0</v>
      </c>
      <c r="BH44">
        <f t="shared" si="29"/>
        <v>0</v>
      </c>
      <c r="BI44">
        <f t="shared" si="30"/>
        <v>0</v>
      </c>
      <c r="BJ44">
        <f t="shared" si="31"/>
        <v>0</v>
      </c>
      <c r="BK44">
        <f t="shared" si="32"/>
        <v>0</v>
      </c>
      <c r="BL44">
        <f t="shared" si="33"/>
        <v>0</v>
      </c>
      <c r="BM44">
        <f t="shared" si="34"/>
        <v>0</v>
      </c>
      <c r="BN44">
        <f t="shared" si="35"/>
        <v>0</v>
      </c>
      <c r="BO44" s="348">
        <f t="shared" si="36"/>
        <v>0</v>
      </c>
      <c r="BP44">
        <f t="shared" si="37"/>
        <v>0</v>
      </c>
      <c r="BQ44">
        <f t="shared" si="38"/>
        <v>0</v>
      </c>
      <c r="BR44">
        <f t="shared" si="39"/>
        <v>0</v>
      </c>
      <c r="BS44">
        <f t="shared" si="40"/>
        <v>0</v>
      </c>
      <c r="BT44">
        <f t="shared" si="41"/>
        <v>0</v>
      </c>
      <c r="BU44">
        <f t="shared" si="42"/>
        <v>0</v>
      </c>
      <c r="BV44">
        <f t="shared" si="43"/>
        <v>0</v>
      </c>
      <c r="BW44">
        <f t="shared" si="44"/>
        <v>0</v>
      </c>
      <c r="BX44">
        <f t="shared" si="45"/>
        <v>0</v>
      </c>
      <c r="BY44">
        <f t="shared" si="20"/>
        <v>0</v>
      </c>
      <c r="BZ44" s="348">
        <f t="shared" si="21"/>
        <v>0</v>
      </c>
      <c r="CA44" s="73">
        <f t="shared" si="22"/>
        <v>0</v>
      </c>
      <c r="CB44">
        <f t="shared" si="23"/>
        <v>0</v>
      </c>
      <c r="CC44">
        <f t="shared" si="24"/>
        <v>0</v>
      </c>
      <c r="CD44">
        <f t="shared" si="1"/>
        <v>0</v>
      </c>
      <c r="CE44">
        <f t="shared" si="2"/>
        <v>0</v>
      </c>
      <c r="CF44">
        <f t="shared" si="3"/>
        <v>0</v>
      </c>
      <c r="CG44">
        <f t="shared" si="4"/>
        <v>0</v>
      </c>
      <c r="CH44">
        <f t="shared" si="5"/>
        <v>0</v>
      </c>
      <c r="CI44">
        <f t="shared" si="6"/>
        <v>0</v>
      </c>
      <c r="CJ44">
        <f t="shared" si="7"/>
        <v>0</v>
      </c>
      <c r="CK44">
        <f t="shared" si="8"/>
        <v>0</v>
      </c>
      <c r="CL44">
        <f t="shared" si="9"/>
        <v>0</v>
      </c>
    </row>
    <row r="45" spans="1:90" x14ac:dyDescent="0.25">
      <c r="A45" s="348"/>
      <c r="B45" s="313" t="s">
        <v>406</v>
      </c>
      <c r="C45" s="394">
        <v>0</v>
      </c>
      <c r="D45" s="6"/>
      <c r="H45" s="6">
        <f t="shared" si="52"/>
        <v>-9.99</v>
      </c>
      <c r="I45" s="348"/>
      <c r="U45" s="348"/>
      <c r="AF45" s="348"/>
      <c r="AG45" s="73"/>
      <c r="AT45" s="73" t="str">
        <f t="shared" si="19"/>
        <v/>
      </c>
      <c r="AU45" s="276" t="s">
        <v>430</v>
      </c>
      <c r="AV45" s="6">
        <f t="shared" si="11"/>
        <v>-9.99</v>
      </c>
      <c r="AW45" s="6">
        <f t="shared" si="47"/>
        <v>0</v>
      </c>
      <c r="AX45" s="6">
        <f t="shared" si="48"/>
        <v>0</v>
      </c>
      <c r="AY45" s="6" t="str">
        <f t="shared" si="49"/>
        <v/>
      </c>
      <c r="AZ45" s="6" t="str">
        <f t="shared" ca="1" si="50"/>
        <v/>
      </c>
      <c r="BA45" s="6" t="str">
        <f t="shared" ca="1" si="51"/>
        <v/>
      </c>
      <c r="BB45" s="6">
        <f t="shared" si="18"/>
        <v>-9.99</v>
      </c>
      <c r="BC45" s="348">
        <f t="shared" si="17"/>
        <v>0</v>
      </c>
      <c r="BD45">
        <f t="shared" si="25"/>
        <v>0</v>
      </c>
      <c r="BE45">
        <f t="shared" si="26"/>
        <v>0</v>
      </c>
      <c r="BF45">
        <f t="shared" si="27"/>
        <v>0</v>
      </c>
      <c r="BG45">
        <f t="shared" si="28"/>
        <v>0</v>
      </c>
      <c r="BH45">
        <f t="shared" si="29"/>
        <v>0</v>
      </c>
      <c r="BI45">
        <f t="shared" si="30"/>
        <v>0</v>
      </c>
      <c r="BJ45">
        <f t="shared" si="31"/>
        <v>0</v>
      </c>
      <c r="BK45">
        <f t="shared" si="32"/>
        <v>0</v>
      </c>
      <c r="BL45">
        <f t="shared" si="33"/>
        <v>0</v>
      </c>
      <c r="BM45">
        <f t="shared" si="34"/>
        <v>0</v>
      </c>
      <c r="BN45">
        <f t="shared" si="35"/>
        <v>0</v>
      </c>
      <c r="BO45" s="348">
        <f t="shared" si="36"/>
        <v>0</v>
      </c>
      <c r="BP45">
        <f t="shared" si="37"/>
        <v>0</v>
      </c>
      <c r="BQ45">
        <f t="shared" si="38"/>
        <v>0</v>
      </c>
      <c r="BR45">
        <f t="shared" si="39"/>
        <v>0</v>
      </c>
      <c r="BS45">
        <f t="shared" si="40"/>
        <v>0</v>
      </c>
      <c r="BT45">
        <f t="shared" si="41"/>
        <v>0</v>
      </c>
      <c r="BU45">
        <f t="shared" si="42"/>
        <v>0</v>
      </c>
      <c r="BV45">
        <f t="shared" si="43"/>
        <v>0</v>
      </c>
      <c r="BW45">
        <f t="shared" si="44"/>
        <v>0</v>
      </c>
      <c r="BX45">
        <f t="shared" si="45"/>
        <v>0</v>
      </c>
      <c r="BY45">
        <f t="shared" si="20"/>
        <v>0</v>
      </c>
      <c r="BZ45" s="348">
        <f t="shared" si="21"/>
        <v>0</v>
      </c>
      <c r="CA45" s="73">
        <f t="shared" si="22"/>
        <v>0</v>
      </c>
      <c r="CB45">
        <f t="shared" si="23"/>
        <v>0</v>
      </c>
      <c r="CC45">
        <f t="shared" si="24"/>
        <v>0</v>
      </c>
      <c r="CD45">
        <f t="shared" si="1"/>
        <v>0</v>
      </c>
      <c r="CE45">
        <f t="shared" si="2"/>
        <v>0</v>
      </c>
      <c r="CF45">
        <f t="shared" si="3"/>
        <v>0</v>
      </c>
      <c r="CG45">
        <f t="shared" si="4"/>
        <v>0</v>
      </c>
      <c r="CH45">
        <f t="shared" si="5"/>
        <v>0</v>
      </c>
      <c r="CI45">
        <f t="shared" si="6"/>
        <v>0</v>
      </c>
      <c r="CJ45">
        <f t="shared" si="7"/>
        <v>0</v>
      </c>
      <c r="CK45">
        <f t="shared" si="8"/>
        <v>0</v>
      </c>
      <c r="CL45">
        <f t="shared" si="9"/>
        <v>0</v>
      </c>
    </row>
  </sheetData>
  <phoneticPr fontId="16" type="noConversion"/>
  <conditionalFormatting sqref="H26:AR45 U6:AR25 H6:H25">
    <cfRule type="cellIs" dxfId="48" priority="35" operator="equal">
      <formula>NaN</formula>
    </cfRule>
  </conditionalFormatting>
  <conditionalFormatting sqref="B6:C13 B14:B45 C14:C42">
    <cfRule type="cellIs" dxfId="47" priority="34" operator="equal">
      <formula>0</formula>
    </cfRule>
  </conditionalFormatting>
  <conditionalFormatting sqref="D6:D42">
    <cfRule type="colorScale" priority="33">
      <colorScale>
        <cfvo type="min"/>
        <cfvo type="percentile" val="50"/>
        <cfvo type="max"/>
        <color rgb="FFFDD2CB"/>
        <color rgb="FFFCFCFF"/>
        <color theme="8" tint="0.59999389629810485"/>
      </colorScale>
    </cfRule>
  </conditionalFormatting>
  <conditionalFormatting sqref="C6:C42">
    <cfRule type="cellIs" dxfId="46" priority="27" operator="greaterThan">
      <formula>0.5</formula>
    </cfRule>
  </conditionalFormatting>
  <conditionalFormatting sqref="AW6:AW17">
    <cfRule type="cellIs" dxfId="45" priority="26" operator="equal">
      <formula>NaN</formula>
    </cfRule>
  </conditionalFormatting>
  <conditionalFormatting sqref="AW6:AW42">
    <cfRule type="cellIs" dxfId="44" priority="25" operator="equal">
      <formula>0</formula>
    </cfRule>
  </conditionalFormatting>
  <conditionalFormatting sqref="AW6:AW42">
    <cfRule type="cellIs" dxfId="43" priority="24" operator="greaterThan">
      <formula>0.5</formula>
    </cfRule>
  </conditionalFormatting>
  <conditionalFormatting sqref="AY6:AY42">
    <cfRule type="colorScale" priority="23">
      <colorScale>
        <cfvo type="min"/>
        <cfvo type="percentile" val="50"/>
        <cfvo type="max"/>
        <color rgb="FFFDD2CB"/>
        <color rgb="FFFCFCFF"/>
        <color theme="8" tint="0.59999389629810485"/>
      </colorScale>
    </cfRule>
  </conditionalFormatting>
  <conditionalFormatting sqref="AZ6:AZ42">
    <cfRule type="colorScale" priority="22">
      <colorScale>
        <cfvo type="min"/>
        <cfvo type="percentile" val="50"/>
        <cfvo type="max"/>
        <color rgb="FFFDD2CB"/>
        <color rgb="FFFCFCFF"/>
        <color theme="8" tint="0.59999389629810485"/>
      </colorScale>
    </cfRule>
  </conditionalFormatting>
  <conditionalFormatting sqref="BA6:BA42">
    <cfRule type="colorScale" priority="21">
      <colorScale>
        <cfvo type="min"/>
        <cfvo type="percentile" val="50"/>
        <cfvo type="max"/>
        <color rgb="FFFDD2CB"/>
        <color rgb="FFFCFCFF"/>
        <color theme="8" tint="0.59999389629810485"/>
      </colorScale>
    </cfRule>
  </conditionalFormatting>
  <conditionalFormatting sqref="AX6:AX42">
    <cfRule type="colorScale" priority="18">
      <colorScale>
        <cfvo type="min"/>
        <cfvo type="percentile" val="50"/>
        <cfvo type="max"/>
        <color rgb="FFFDD2CB"/>
        <color rgb="FFFCFCFF"/>
        <color theme="8" tint="0.59999389629810485"/>
      </colorScale>
    </cfRule>
  </conditionalFormatting>
  <conditionalFormatting sqref="C43:C45">
    <cfRule type="cellIs" dxfId="42" priority="15" operator="equal">
      <formula>0</formula>
    </cfRule>
  </conditionalFormatting>
  <conditionalFormatting sqref="D43:D45">
    <cfRule type="colorScale" priority="14">
      <colorScale>
        <cfvo type="min"/>
        <cfvo type="percentile" val="50"/>
        <cfvo type="max"/>
        <color rgb="FFFDD2CB"/>
        <color rgb="FFFCFCFF"/>
        <color theme="8" tint="0.59999389629810485"/>
      </colorScale>
    </cfRule>
  </conditionalFormatting>
  <conditionalFormatting sqref="C43:C45">
    <cfRule type="cellIs" dxfId="41" priority="13" operator="greaterThan">
      <formula>0.5</formula>
    </cfRule>
  </conditionalFormatting>
  <conditionalFormatting sqref="AW43:AW45">
    <cfRule type="cellIs" dxfId="40" priority="12" operator="equal">
      <formula>0</formula>
    </cfRule>
  </conditionalFormatting>
  <conditionalFormatting sqref="AW43:AW45">
    <cfRule type="cellIs" dxfId="39" priority="11" operator="greaterThan">
      <formula>0.5</formula>
    </cfRule>
  </conditionalFormatting>
  <conditionalFormatting sqref="AY43:AY45">
    <cfRule type="colorScale" priority="10">
      <colorScale>
        <cfvo type="min"/>
        <cfvo type="percentile" val="50"/>
        <cfvo type="max"/>
        <color rgb="FFFDD2CB"/>
        <color rgb="FFFCFCFF"/>
        <color theme="8" tint="0.59999389629810485"/>
      </colorScale>
    </cfRule>
  </conditionalFormatting>
  <conditionalFormatting sqref="AZ43:AZ45">
    <cfRule type="colorScale" priority="9">
      <colorScale>
        <cfvo type="min"/>
        <cfvo type="percentile" val="50"/>
        <cfvo type="max"/>
        <color rgb="FFFDD2CB"/>
        <color rgb="FFFCFCFF"/>
        <color theme="8" tint="0.59999389629810485"/>
      </colorScale>
    </cfRule>
  </conditionalFormatting>
  <conditionalFormatting sqref="BA43:BA45">
    <cfRule type="colorScale" priority="8">
      <colorScale>
        <cfvo type="min"/>
        <cfvo type="percentile" val="50"/>
        <cfvo type="max"/>
        <color rgb="FFFDD2CB"/>
        <color rgb="FFFCFCFF"/>
        <color theme="8" tint="0.59999389629810485"/>
      </colorScale>
    </cfRule>
  </conditionalFormatting>
  <conditionalFormatting sqref="AX43:AX45">
    <cfRule type="colorScale" priority="6">
      <colorScale>
        <cfvo type="min"/>
        <cfvo type="percentile" val="50"/>
        <cfvo type="max"/>
        <color rgb="FFFDD2CB"/>
        <color rgb="FFFCFCFF"/>
        <color theme="8" tint="0.59999389629810485"/>
      </colorScale>
    </cfRule>
  </conditionalFormatting>
  <conditionalFormatting sqref="BB6:CL45">
    <cfRule type="cellIs" dxfId="38" priority="4" operator="equal">
      <formula>NaN</formula>
    </cfRule>
  </conditionalFormatting>
  <conditionalFormatting sqref="BB43:BB45">
    <cfRule type="cellIs" dxfId="37" priority="3" operator="equal">
      <formula>NaN</formula>
    </cfRule>
  </conditionalFormatting>
  <conditionalFormatting sqref="H6:H45">
    <cfRule type="expression" dxfId="36" priority="2">
      <formula>AND(C6&lt;&gt;0,H6=NaN,COUNT(I6:AR6)=0)</formula>
    </cfRule>
  </conditionalFormatting>
  <conditionalFormatting sqref="I6:T25">
    <cfRule type="cellIs" dxfId="35" priority="1" operator="equal">
      <formula>NotANumber</formula>
    </cfRule>
  </conditionalFormatting>
  <dataValidations count="3">
    <dataValidation type="list" allowBlank="1" showInputMessage="1" showErrorMessage="1" sqref="E6:E25" xr:uid="{A9FCC619-382C-4830-92AC-C0A64B1D9CD8}">
      <formula1>listRoot</formula1>
    </dataValidation>
    <dataValidation type="list" allowBlank="1" showInputMessage="1" showErrorMessage="1" sqref="G6:G25" xr:uid="{76D54708-D431-4854-827D-05ADC2256475}">
      <formula1>DropDownScen3</formula1>
    </dataValidation>
    <dataValidation type="list" allowBlank="1" showInputMessage="1" showErrorMessage="1" sqref="F6:F25" xr:uid="{47A71BFF-44AF-435F-B95B-3A1A2E14A9EB}">
      <formula1>DropDownScen2</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7" id="{DA189D2C-031A-415D-B1D9-CD8E78FFE5A9}">
            <xm:f>OR(I4&lt;DataU!$D$6,I4&gt;DataU!$E$6)</xm:f>
            <x14:dxf>
              <font>
                <color theme="0" tint="-0.24994659260841701"/>
              </font>
            </x14:dxf>
          </x14:cfRule>
          <xm:sqref>I4:AR4</xm:sqref>
        </x14:conditionalFormatting>
        <x14:conditionalFormatting xmlns:xm="http://schemas.microsoft.com/office/excel/2006/main">
          <x14:cfRule type="expression" priority="5" id="{1BE8F8FE-BBBB-4865-AE95-30B0462964D5}">
            <xm:f>OR(BC4&lt;DataU!$D$6,BC4&gt;DataU!$E$6)</xm:f>
            <x14:dxf>
              <font>
                <color theme="0" tint="-0.24994659260841701"/>
              </font>
            </x14:dxf>
          </x14:cfRule>
          <xm:sqref>BC4:CL4</xm:sqref>
        </x14:conditionalFormatting>
      </x14:conditionalFormattings>
    </ext>
    <ext xmlns:x14="http://schemas.microsoft.com/office/spreadsheetml/2009/9/main" uri="{05C60535-1F16-4fd2-B633-F4F36F0B64E0}">
      <x14:sparklineGroups xmlns:xm="http://schemas.microsoft.com/office/excel/2006/main">
        <x14:sparklineGroup manualMax="0" manualMin="0" type="column" displayEmptyCellsAs="gap" negative="1" xr2:uid="{C2A4A99A-CEF6-46C4-9CE0-EB1A280E4C55}">
          <x14:colorSeries rgb="FF376092"/>
          <x14:colorNegative rgb="FFFF0000"/>
          <x14:colorAxis rgb="FF000000"/>
          <x14:colorMarkers rgb="FFD00000"/>
          <x14:colorFirst rgb="FFD00000"/>
          <x14:colorLast rgb="FFD00000"/>
          <x14:colorHigh rgb="FFD00000"/>
          <x14:colorLow rgb="FFD00000"/>
          <x14:sparklines>
            <x14:sparkline>
              <xm:f>Scen!I6:AR6</xm:f>
              <xm:sqref>A6</xm:sqref>
            </x14:sparkline>
            <x14:sparkline>
              <xm:f>Scen!I7:AR7</xm:f>
              <xm:sqref>A7</xm:sqref>
            </x14:sparkline>
            <x14:sparkline>
              <xm:f>Scen!I8:AR8</xm:f>
              <xm:sqref>A8</xm:sqref>
            </x14:sparkline>
            <x14:sparkline>
              <xm:f>Scen!I9:AR9</xm:f>
              <xm:sqref>A9</xm:sqref>
            </x14:sparkline>
            <x14:sparkline>
              <xm:f>Scen!I10:AR10</xm:f>
              <xm:sqref>A10</xm:sqref>
            </x14:sparkline>
            <x14:sparkline>
              <xm:f>Scen!I11:AR11</xm:f>
              <xm:sqref>A11</xm:sqref>
            </x14:sparkline>
            <x14:sparkline>
              <xm:f>Scen!I12:AR12</xm:f>
              <xm:sqref>A12</xm:sqref>
            </x14:sparkline>
            <x14:sparkline>
              <xm:f>Scen!I13:AR13</xm:f>
              <xm:sqref>A13</xm:sqref>
            </x14:sparkline>
            <x14:sparkline>
              <xm:f>Scen!I14:AR14</xm:f>
              <xm:sqref>A14</xm:sqref>
            </x14:sparkline>
            <x14:sparkline>
              <xm:f>Scen!I15:AR15</xm:f>
              <xm:sqref>A15</xm:sqref>
            </x14:sparkline>
            <x14:sparkline>
              <xm:f>Scen!I16:AR16</xm:f>
              <xm:sqref>A16</xm:sqref>
            </x14:sparkline>
            <x14:sparkline>
              <xm:f>Scen!I17:AR17</xm:f>
              <xm:sqref>A17</xm:sqref>
            </x14:sparkline>
            <x14:sparkline>
              <xm:f>Scen!I18:AR18</xm:f>
              <xm:sqref>A18</xm:sqref>
            </x14:sparkline>
            <x14:sparkline>
              <xm:f>Scen!I19:AR19</xm:f>
              <xm:sqref>A19</xm:sqref>
            </x14:sparkline>
            <x14:sparkline>
              <xm:f>Scen!I20:AR20</xm:f>
              <xm:sqref>A20</xm:sqref>
            </x14:sparkline>
            <x14:sparkline>
              <xm:f>Scen!I21:AR21</xm:f>
              <xm:sqref>A21</xm:sqref>
            </x14:sparkline>
            <x14:sparkline>
              <xm:f>Scen!I22:AR22</xm:f>
              <xm:sqref>A22</xm:sqref>
            </x14:sparkline>
            <x14:sparkline>
              <xm:f>Scen!I23:AR23</xm:f>
              <xm:sqref>A23</xm:sqref>
            </x14:sparkline>
            <x14:sparkline>
              <xm:f>Scen!I24:AR24</xm:f>
              <xm:sqref>A24</xm:sqref>
            </x14:sparkline>
            <x14:sparkline>
              <xm:f>Scen!I25:AR25</xm:f>
              <xm:sqref>A25</xm:sqref>
            </x14:sparkline>
            <x14:sparkline>
              <xm:f>Scen!I26:AR26</xm:f>
              <xm:sqref>A26</xm:sqref>
            </x14:sparkline>
            <x14:sparkline>
              <xm:f>Scen!I27:AR27</xm:f>
              <xm:sqref>A27</xm:sqref>
            </x14:sparkline>
            <x14:sparkline>
              <xm:f>Scen!I28:AR28</xm:f>
              <xm:sqref>A28</xm:sqref>
            </x14:sparkline>
            <x14:sparkline>
              <xm:f>Scen!I29:AR29</xm:f>
              <xm:sqref>A29</xm:sqref>
            </x14:sparkline>
            <x14:sparkline>
              <xm:f>Scen!I30:AR30</xm:f>
              <xm:sqref>A30</xm:sqref>
            </x14:sparkline>
            <x14:sparkline>
              <xm:f>Scen!I31:AR31</xm:f>
              <xm:sqref>A31</xm:sqref>
            </x14:sparkline>
            <x14:sparkline>
              <xm:f>Scen!I32:AR32</xm:f>
              <xm:sqref>A32</xm:sqref>
            </x14:sparkline>
            <x14:sparkline>
              <xm:f>Scen!I33:AR33</xm:f>
              <xm:sqref>A33</xm:sqref>
            </x14:sparkline>
            <x14:sparkline>
              <xm:f>Scen!I34:AR34</xm:f>
              <xm:sqref>A34</xm:sqref>
            </x14:sparkline>
            <x14:sparkline>
              <xm:f>Scen!I35:AR35</xm:f>
              <xm:sqref>A35</xm:sqref>
            </x14:sparkline>
            <x14:sparkline>
              <xm:f>Scen!I36:AR36</xm:f>
              <xm:sqref>A36</xm:sqref>
            </x14:sparkline>
            <x14:sparkline>
              <xm:f>Scen!I37:AR37</xm:f>
              <xm:sqref>A37</xm:sqref>
            </x14:sparkline>
            <x14:sparkline>
              <xm:f>Scen!I38:AR38</xm:f>
              <xm:sqref>A38</xm:sqref>
            </x14:sparkline>
            <x14:sparkline>
              <xm:f>Scen!I39:AR39</xm:f>
              <xm:sqref>A39</xm:sqref>
            </x14:sparkline>
            <x14:sparkline>
              <xm:f>Scen!I40:AR40</xm:f>
              <xm:sqref>A40</xm:sqref>
            </x14:sparkline>
            <x14:sparkline>
              <xm:f>Scen!I41:AR41</xm:f>
              <xm:sqref>A41</xm:sqref>
            </x14:sparkline>
            <x14:sparkline>
              <xm:f>Scen!I42:AR42</xm:f>
              <xm:sqref>A42</xm:sqref>
            </x14:sparkline>
            <x14:sparkline>
              <xm:f>Scen!I43:AR43</xm:f>
              <xm:sqref>A43</xm:sqref>
            </x14:sparkline>
            <x14:sparkline>
              <xm:f>Scen!I44:AR44</xm:f>
              <xm:sqref>A44</xm:sqref>
            </x14:sparkline>
            <x14:sparkline>
              <xm:f>Scen!I45:AR45</xm:f>
              <xm:sqref>A45</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938531-A7BD-480E-82BC-138A1936FC9C}">
  <sheetPr codeName="Sheet6">
    <tabColor theme="9" tint="0.59999389629810485"/>
  </sheetPr>
  <dimension ref="B2:K20"/>
  <sheetViews>
    <sheetView tabSelected="1" zoomScale="85" zoomScaleNormal="85" workbookViewId="0">
      <selection activeCell="D13" sqref="D13"/>
    </sheetView>
  </sheetViews>
  <sheetFormatPr defaultRowHeight="15" x14ac:dyDescent="0.25"/>
  <cols>
    <col min="1" max="1" width="3.85546875" customWidth="1"/>
    <col min="2" max="2" width="20.5703125" bestFit="1" customWidth="1"/>
    <col min="4" max="4" width="126.85546875" customWidth="1"/>
    <col min="9" max="9" width="18.85546875" bestFit="1" customWidth="1"/>
    <col min="10" max="10" width="6.42578125" bestFit="1" customWidth="1"/>
    <col min="11" max="11" width="53.140625" customWidth="1"/>
  </cols>
  <sheetData>
    <row r="2" spans="2:11" x14ac:dyDescent="0.25">
      <c r="I2" t="s">
        <v>436</v>
      </c>
    </row>
    <row r="3" spans="2:11" x14ac:dyDescent="0.25">
      <c r="B3" s="328" t="s">
        <v>325</v>
      </c>
      <c r="C3" s="329" t="s">
        <v>89</v>
      </c>
      <c r="D3" s="330" t="s">
        <v>223</v>
      </c>
      <c r="I3" s="328" t="s">
        <v>433</v>
      </c>
      <c r="J3" s="329" t="s">
        <v>89</v>
      </c>
      <c r="K3" s="330" t="s">
        <v>223</v>
      </c>
    </row>
    <row r="4" spans="2:11" x14ac:dyDescent="0.25">
      <c r="B4" s="317" t="s">
        <v>316</v>
      </c>
      <c r="C4" s="105">
        <v>0</v>
      </c>
      <c r="D4" s="319" t="s">
        <v>317</v>
      </c>
      <c r="I4" s="317" t="s">
        <v>434</v>
      </c>
      <c r="J4" s="105">
        <v>-9.99</v>
      </c>
      <c r="K4" s="319" t="s">
        <v>435</v>
      </c>
    </row>
    <row r="5" spans="2:11" x14ac:dyDescent="0.25">
      <c r="B5" s="317" t="s">
        <v>218</v>
      </c>
      <c r="C5" s="306">
        <v>0</v>
      </c>
      <c r="D5" s="319" t="s">
        <v>219</v>
      </c>
      <c r="I5" s="317"/>
      <c r="J5" s="306"/>
      <c r="K5" s="319"/>
    </row>
    <row r="6" spans="2:11" x14ac:dyDescent="0.25">
      <c r="B6" s="317" t="s">
        <v>222</v>
      </c>
      <c r="C6" s="306">
        <v>0</v>
      </c>
      <c r="D6" s="319" t="s">
        <v>322</v>
      </c>
      <c r="I6" s="317"/>
      <c r="J6" s="306"/>
      <c r="K6" s="319"/>
    </row>
    <row r="7" spans="2:11" x14ac:dyDescent="0.25">
      <c r="B7" s="317" t="s">
        <v>320</v>
      </c>
      <c r="C7" s="306">
        <v>1</v>
      </c>
      <c r="D7" s="320" t="s">
        <v>321</v>
      </c>
      <c r="I7" s="317"/>
      <c r="J7" s="306"/>
      <c r="K7" s="320"/>
    </row>
    <row r="8" spans="2:11" x14ac:dyDescent="0.25">
      <c r="B8" s="321" t="s">
        <v>263</v>
      </c>
      <c r="C8" s="322">
        <v>0</v>
      </c>
      <c r="D8" s="323" t="s">
        <v>264</v>
      </c>
      <c r="I8" s="321"/>
      <c r="J8" s="322"/>
      <c r="K8" s="323"/>
    </row>
    <row r="9" spans="2:11" x14ac:dyDescent="0.25">
      <c r="B9" s="317" t="s">
        <v>470</v>
      </c>
      <c r="C9" s="105">
        <v>1</v>
      </c>
      <c r="D9" s="320" t="s">
        <v>318</v>
      </c>
      <c r="I9" s="317"/>
      <c r="J9" s="105"/>
      <c r="K9" s="320"/>
    </row>
    <row r="10" spans="2:11" x14ac:dyDescent="0.25">
      <c r="B10" s="317" t="s">
        <v>469</v>
      </c>
      <c r="C10" s="105">
        <v>0</v>
      </c>
      <c r="D10" s="320" t="s">
        <v>465</v>
      </c>
      <c r="I10" s="317"/>
      <c r="J10" s="308"/>
      <c r="K10" s="319"/>
    </row>
    <row r="11" spans="2:11" x14ac:dyDescent="0.25">
      <c r="B11" s="317" t="s">
        <v>480</v>
      </c>
      <c r="C11" s="105">
        <v>0</v>
      </c>
      <c r="D11" s="319" t="s">
        <v>481</v>
      </c>
      <c r="I11" s="317"/>
      <c r="J11" s="308"/>
      <c r="K11" s="319"/>
    </row>
    <row r="12" spans="2:11" x14ac:dyDescent="0.25">
      <c r="B12" s="317" t="s">
        <v>82</v>
      </c>
      <c r="C12" s="308">
        <v>0.1</v>
      </c>
      <c r="D12" s="319"/>
      <c r="I12" s="317"/>
      <c r="J12" s="309"/>
      <c r="K12" s="319"/>
    </row>
    <row r="13" spans="2:11" x14ac:dyDescent="0.25">
      <c r="B13" s="317" t="s">
        <v>220</v>
      </c>
      <c r="C13" s="308">
        <v>7.0000000000000007E-2</v>
      </c>
      <c r="D13" s="319" t="s">
        <v>221</v>
      </c>
      <c r="I13" s="317"/>
      <c r="J13" s="310"/>
      <c r="K13" s="319"/>
    </row>
    <row r="14" spans="2:11" x14ac:dyDescent="0.25">
      <c r="B14" s="317" t="s">
        <v>91</v>
      </c>
      <c r="C14" s="309">
        <v>311.67</v>
      </c>
      <c r="D14" s="319" t="s">
        <v>241</v>
      </c>
      <c r="I14" s="317"/>
      <c r="J14" s="73"/>
      <c r="K14" s="307"/>
    </row>
    <row r="15" spans="2:11" x14ac:dyDescent="0.25">
      <c r="B15" s="317" t="s">
        <v>311</v>
      </c>
      <c r="C15" s="310">
        <v>25</v>
      </c>
      <c r="D15" s="319" t="s">
        <v>313</v>
      </c>
      <c r="I15" s="317"/>
      <c r="J15" s="73"/>
      <c r="K15" s="307"/>
    </row>
    <row r="16" spans="2:11" x14ac:dyDescent="0.25">
      <c r="B16" s="317"/>
      <c r="C16" s="73"/>
      <c r="D16" s="307"/>
      <c r="I16" s="317"/>
      <c r="J16" s="73"/>
      <c r="K16" s="307"/>
    </row>
    <row r="17" spans="2:11" x14ac:dyDescent="0.25">
      <c r="B17" s="317"/>
      <c r="C17" s="73"/>
      <c r="D17" s="307"/>
      <c r="I17" s="317"/>
      <c r="J17" s="73"/>
      <c r="K17" s="307"/>
    </row>
    <row r="18" spans="2:11" x14ac:dyDescent="0.25">
      <c r="B18" s="317"/>
      <c r="C18" s="73"/>
      <c r="D18" s="307"/>
      <c r="I18" s="317"/>
      <c r="J18" s="73"/>
      <c r="K18" s="307"/>
    </row>
    <row r="19" spans="2:11" x14ac:dyDescent="0.25">
      <c r="B19" s="317"/>
      <c r="C19" s="73"/>
      <c r="D19" s="307"/>
      <c r="I19" s="317"/>
      <c r="J19" s="73"/>
      <c r="K19" s="307"/>
    </row>
    <row r="20" spans="2:11" x14ac:dyDescent="0.25">
      <c r="B20" s="318"/>
      <c r="C20" s="311"/>
      <c r="D20" s="312"/>
      <c r="I20" s="318"/>
      <c r="J20" s="311"/>
      <c r="K20" s="312"/>
    </row>
  </sheetData>
  <conditionalFormatting sqref="C4:C11">
    <cfRule type="cellIs" dxfId="32" priority="2" operator="greaterThan">
      <formula>0</formula>
    </cfRule>
  </conditionalFormatting>
  <conditionalFormatting sqref="J4:J9">
    <cfRule type="cellIs" dxfId="31" priority="1" operator="greaterThan">
      <formula>0</formula>
    </cfRule>
  </conditionalFormatting>
  <dataValidations count="2">
    <dataValidation type="whole" allowBlank="1" showInputMessage="1" showErrorMessage="1" errorTitle="Værdien skal være 0 eller 1" promptTitle="0=Passiv, 1=Aktiv" sqref="C5:C6" xr:uid="{76E00AD5-7E69-4122-8DD4-37BABE010860}">
      <formula1>0</formula1>
      <formula2>1</formula2>
    </dataValidation>
    <dataValidation type="whole" showInputMessage="1" showErrorMessage="1" errorTitle="Værdien skal være 0 eller 1" promptTitle="0=Passiv, 1=Aktiv" sqref="C8 C4" xr:uid="{0825964D-FFA5-4C29-8FCB-310E638B31B6}">
      <formula1>0</formula1>
      <formula2>1</formula2>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4BEB20-C807-4E3E-90B9-B5F99171945D}">
  <sheetPr codeName="Sheet1">
    <tabColor theme="9" tint="0.59999389629810485"/>
  </sheetPr>
  <dimension ref="A1:AI65"/>
  <sheetViews>
    <sheetView topLeftCell="A16" zoomScale="85" zoomScaleNormal="85" workbookViewId="0">
      <selection activeCell="Z31" sqref="Z31"/>
    </sheetView>
  </sheetViews>
  <sheetFormatPr defaultRowHeight="15" x14ac:dyDescent="0.25"/>
  <cols>
    <col min="1" max="1" width="11.42578125" bestFit="1" customWidth="1"/>
    <col min="2" max="3" width="10.28515625" bestFit="1" customWidth="1"/>
    <col min="4" max="4" width="10.5703125" bestFit="1" customWidth="1"/>
    <col min="5" max="5" width="10.28515625" bestFit="1" customWidth="1"/>
    <col min="9" max="9" width="9.42578125" customWidth="1"/>
    <col min="10" max="10" width="10.5703125" bestFit="1" customWidth="1"/>
    <col min="11" max="12" width="10.28515625" bestFit="1" customWidth="1"/>
    <col min="13" max="13" width="12.140625" style="16" bestFit="1" customWidth="1"/>
    <col min="14" max="14" width="12.42578125" style="16" bestFit="1" customWidth="1"/>
    <col min="15" max="15" width="10" style="16" customWidth="1"/>
    <col min="16" max="17" width="8.7109375" style="16" customWidth="1"/>
    <col min="18" max="18" width="8.7109375" customWidth="1"/>
    <col min="19" max="19" width="10.28515625" bestFit="1" customWidth="1"/>
    <col min="20" max="20" width="9.7109375" bestFit="1" customWidth="1"/>
    <col min="21" max="22" width="10.85546875" bestFit="1" customWidth="1"/>
    <col min="23" max="23" width="10.85546875" customWidth="1"/>
    <col min="24" max="25" width="10.85546875" bestFit="1" customWidth="1"/>
  </cols>
  <sheetData>
    <row r="1" spans="1:29" s="111" customFormat="1" ht="18.75" x14ac:dyDescent="0.3">
      <c r="A1" s="113" t="s">
        <v>200</v>
      </c>
      <c r="B1" s="109"/>
      <c r="C1" s="109"/>
      <c r="D1" s="109"/>
      <c r="E1" s="109"/>
      <c r="F1" s="110"/>
      <c r="G1" s="109"/>
      <c r="H1" s="109"/>
      <c r="I1" s="109"/>
      <c r="J1" s="109"/>
      <c r="K1" s="109"/>
      <c r="L1" s="109"/>
      <c r="M1" s="109"/>
      <c r="N1" s="109"/>
      <c r="O1" s="109"/>
      <c r="P1" s="109"/>
      <c r="Q1" s="109"/>
      <c r="R1" s="109"/>
      <c r="S1" s="109"/>
      <c r="T1" s="109"/>
      <c r="U1" s="109"/>
      <c r="V1" s="109"/>
      <c r="W1" s="109"/>
      <c r="X1" s="109"/>
      <c r="Y1" s="109"/>
      <c r="Z1" s="109"/>
      <c r="AA1" s="109"/>
      <c r="AB1" s="109"/>
      <c r="AC1" s="109"/>
    </row>
    <row r="2" spans="1:29" x14ac:dyDescent="0.25">
      <c r="L2" s="16"/>
      <c r="Q2"/>
    </row>
    <row r="3" spans="1:29" x14ac:dyDescent="0.25">
      <c r="A3" s="70"/>
      <c r="B3" s="71" t="s">
        <v>185</v>
      </c>
      <c r="C3" s="71" t="s">
        <v>186</v>
      </c>
      <c r="D3" s="71" t="s">
        <v>187</v>
      </c>
      <c r="E3" s="72" t="s">
        <v>188</v>
      </c>
      <c r="K3" s="4"/>
      <c r="L3" s="16"/>
      <c r="Q3"/>
    </row>
    <row r="4" spans="1:29" x14ac:dyDescent="0.25">
      <c r="A4" s="74" t="s">
        <v>177</v>
      </c>
      <c r="B4" s="223">
        <v>2021</v>
      </c>
      <c r="C4" s="223">
        <v>2023</v>
      </c>
      <c r="D4" s="224">
        <v>2021</v>
      </c>
      <c r="E4" s="224">
        <v>2021</v>
      </c>
      <c r="F4" s="66">
        <f>IF(IFERROR(FIND("FEJL",G4,1),0)=0,0,1)</f>
        <v>0</v>
      </c>
      <c r="G4" t="str">
        <f>IF(OR(PerStart&lt;PerDataFirst,PerStart&gt;PerDataLast,PerSlut&lt;PerDataFirst,PerSlut&gt;PerDataLast,PerSlut&lt;PerStart),"FEJL: Check start/slut angivelse","Periodeangivelse er OK")</f>
        <v>Periodeangivelse er OK</v>
      </c>
      <c r="L4" s="16"/>
      <c r="P4" s="273"/>
      <c r="Q4"/>
    </row>
    <row r="5" spans="1:29" ht="18" x14ac:dyDescent="0.25">
      <c r="A5" s="74" t="s">
        <v>193</v>
      </c>
      <c r="B5" s="73"/>
      <c r="C5" s="73"/>
      <c r="D5" s="225">
        <v>1</v>
      </c>
      <c r="E5" s="226">
        <v>12</v>
      </c>
      <c r="F5" s="65"/>
      <c r="G5" s="64"/>
      <c r="K5" s="363"/>
      <c r="L5" s="364"/>
      <c r="M5" s="364"/>
      <c r="P5" s="272"/>
      <c r="Q5"/>
    </row>
    <row r="6" spans="1:29" x14ac:dyDescent="0.25">
      <c r="A6" s="75" t="s">
        <v>194</v>
      </c>
      <c r="B6" s="85">
        <f>DATE(B4,1,1)</f>
        <v>44197</v>
      </c>
      <c r="C6" s="85">
        <f>DATE(C4,1,1)</f>
        <v>44927</v>
      </c>
      <c r="D6" s="85">
        <f>DATE(D4,D5,1)</f>
        <v>44197</v>
      </c>
      <c r="E6" s="86">
        <f>DATE(E4,E5,1)</f>
        <v>44531</v>
      </c>
      <c r="K6" s="300"/>
      <c r="L6" s="365"/>
      <c r="M6" s="365"/>
    </row>
    <row r="7" spans="1:29" x14ac:dyDescent="0.25">
      <c r="A7" s="76"/>
      <c r="B7" s="77"/>
      <c r="C7" s="77"/>
      <c r="D7" s="77"/>
      <c r="E7" s="77"/>
    </row>
    <row r="8" spans="1:29" s="111" customFormat="1" ht="18.75" x14ac:dyDescent="0.3">
      <c r="A8" s="113" t="s">
        <v>110</v>
      </c>
      <c r="B8" s="109"/>
      <c r="C8" s="109"/>
      <c r="D8" s="109"/>
      <c r="E8" s="109"/>
      <c r="F8" s="110"/>
      <c r="G8" s="110"/>
      <c r="H8" s="109"/>
      <c r="I8" s="109"/>
      <c r="J8" s="109"/>
      <c r="K8" s="109"/>
      <c r="L8" s="109"/>
      <c r="M8" s="109"/>
      <c r="N8" s="109"/>
      <c r="O8" s="109"/>
      <c r="P8" s="109"/>
      <c r="Q8" s="109"/>
      <c r="R8" s="109"/>
      <c r="S8" s="109"/>
      <c r="T8" s="109"/>
      <c r="U8" s="109"/>
      <c r="V8" s="109"/>
      <c r="W8" s="109"/>
      <c r="X8" s="109"/>
      <c r="Y8" s="109"/>
      <c r="Z8" s="109"/>
      <c r="AA8" s="109"/>
      <c r="AB8" s="109"/>
      <c r="AC8" s="109"/>
    </row>
    <row r="9" spans="1:29" x14ac:dyDescent="0.25">
      <c r="L9" s="78"/>
      <c r="R9" s="16"/>
      <c r="S9" s="16"/>
      <c r="T9" s="16"/>
    </row>
    <row r="10" spans="1:29" x14ac:dyDescent="0.25">
      <c r="B10" s="1"/>
      <c r="C10" s="13" t="s">
        <v>68</v>
      </c>
      <c r="E10" s="14" t="s">
        <v>58</v>
      </c>
      <c r="F10" s="14" t="s">
        <v>58</v>
      </c>
      <c r="G10" s="14"/>
      <c r="H10" s="13" t="s">
        <v>73</v>
      </c>
      <c r="I10" s="14" t="s">
        <v>57</v>
      </c>
      <c r="J10" s="14" t="s">
        <v>57</v>
      </c>
      <c r="K10" s="15" t="s">
        <v>57</v>
      </c>
      <c r="L10" s="15"/>
      <c r="M10" s="14"/>
      <c r="N10" s="14" t="s">
        <v>56</v>
      </c>
      <c r="O10" s="296" t="s">
        <v>306</v>
      </c>
      <c r="P10" s="14"/>
      <c r="Q10"/>
      <c r="R10" s="17" t="s">
        <v>217</v>
      </c>
      <c r="T10" s="17"/>
      <c r="U10" s="6"/>
      <c r="V10" s="6" t="s">
        <v>66</v>
      </c>
      <c r="W10" s="6" t="s">
        <v>66</v>
      </c>
      <c r="X10" s="6" t="s">
        <v>230</v>
      </c>
      <c r="Y10" s="6" t="s">
        <v>231</v>
      </c>
      <c r="Z10" s="6" t="s">
        <v>59</v>
      </c>
      <c r="AA10" s="6" t="s">
        <v>59</v>
      </c>
      <c r="AB10" s="6" t="s">
        <v>232</v>
      </c>
      <c r="AC10" s="6" t="s">
        <v>217</v>
      </c>
    </row>
    <row r="11" spans="1:29" x14ac:dyDescent="0.25">
      <c r="A11" s="114" t="s">
        <v>234</v>
      </c>
      <c r="B11" s="115" t="s">
        <v>184</v>
      </c>
      <c r="C11" s="115" t="s">
        <v>247</v>
      </c>
      <c r="D11" s="115" t="s">
        <v>248</v>
      </c>
      <c r="E11" s="115" t="s">
        <v>83</v>
      </c>
      <c r="F11" s="115" t="s">
        <v>307</v>
      </c>
      <c r="G11" s="115" t="s">
        <v>309</v>
      </c>
      <c r="H11" s="115" t="s">
        <v>310</v>
      </c>
      <c r="I11" s="115" t="s">
        <v>315</v>
      </c>
      <c r="J11" s="115" t="s">
        <v>249</v>
      </c>
      <c r="K11" s="165" t="s">
        <v>314</v>
      </c>
      <c r="L11" s="165" t="s">
        <v>301</v>
      </c>
      <c r="M11" s="115" t="s">
        <v>250</v>
      </c>
      <c r="N11" s="115" t="s">
        <v>308</v>
      </c>
      <c r="O11" s="115" t="s">
        <v>305</v>
      </c>
      <c r="P11" s="14"/>
      <c r="Q11" s="268" t="s">
        <v>235</v>
      </c>
      <c r="R11" s="115" t="s">
        <v>184</v>
      </c>
      <c r="S11" s="115" t="s">
        <v>251</v>
      </c>
      <c r="T11" s="332" t="s">
        <v>324</v>
      </c>
      <c r="U11" s="115" t="s">
        <v>226</v>
      </c>
      <c r="V11" s="115" t="s">
        <v>227</v>
      </c>
      <c r="W11" s="115" t="s">
        <v>237</v>
      </c>
      <c r="X11" s="115" t="s">
        <v>228</v>
      </c>
      <c r="Y11" s="115" t="s">
        <v>233</v>
      </c>
      <c r="Z11" s="165" t="s">
        <v>236</v>
      </c>
      <c r="AA11" s="115" t="s">
        <v>261</v>
      </c>
      <c r="AB11" s="164" t="s">
        <v>229</v>
      </c>
      <c r="AC11" s="164" t="s">
        <v>262</v>
      </c>
    </row>
    <row r="12" spans="1:29" x14ac:dyDescent="0.25">
      <c r="A12" s="7" t="s">
        <v>77</v>
      </c>
      <c r="B12" s="367">
        <v>1</v>
      </c>
      <c r="C12" s="6">
        <v>1</v>
      </c>
      <c r="D12" s="205">
        <v>0</v>
      </c>
      <c r="E12" s="208">
        <v>8.5</v>
      </c>
      <c r="F12" s="208">
        <v>14.5</v>
      </c>
      <c r="G12" s="208">
        <v>2.2000000000000002</v>
      </c>
      <c r="H12" s="261">
        <f>I12/E12*3.6/M12</f>
        <v>4.7672149428491775</v>
      </c>
      <c r="I12" s="210">
        <v>9.5</v>
      </c>
      <c r="J12" s="286">
        <v>2</v>
      </c>
      <c r="M12" s="298">
        <v>0.84399999999999997</v>
      </c>
      <c r="N12" s="208">
        <v>30</v>
      </c>
      <c r="O12" s="208">
        <v>0.01</v>
      </c>
      <c r="P12" s="4"/>
      <c r="Q12" s="269" t="s">
        <v>224</v>
      </c>
      <c r="R12" s="237">
        <v>0</v>
      </c>
      <c r="S12" s="212">
        <v>1</v>
      </c>
      <c r="T12" s="338">
        <v>0</v>
      </c>
      <c r="U12" s="212">
        <v>0</v>
      </c>
      <c r="V12" s="213">
        <v>2000</v>
      </c>
      <c r="W12" s="213">
        <v>2000</v>
      </c>
      <c r="X12" s="212">
        <v>0</v>
      </c>
      <c r="Y12" s="212">
        <v>1</v>
      </c>
      <c r="Z12" s="212">
        <v>1</v>
      </c>
      <c r="AA12" s="212">
        <v>6</v>
      </c>
      <c r="AB12" s="212">
        <v>12</v>
      </c>
      <c r="AC12" s="214">
        <v>1</v>
      </c>
    </row>
    <row r="13" spans="1:29" x14ac:dyDescent="0.25">
      <c r="A13" s="7" t="s">
        <v>78</v>
      </c>
      <c r="B13" s="368">
        <v>1</v>
      </c>
      <c r="C13" s="6">
        <v>1</v>
      </c>
      <c r="D13" s="206">
        <v>10</v>
      </c>
      <c r="E13" s="209">
        <v>8.5</v>
      </c>
      <c r="F13" s="209">
        <v>14.5</v>
      </c>
      <c r="G13" s="209">
        <v>6.3</v>
      </c>
      <c r="H13" s="261">
        <v>12.4</v>
      </c>
      <c r="I13" s="211">
        <v>22.5</v>
      </c>
      <c r="J13" s="284">
        <v>5.5</v>
      </c>
      <c r="K13" s="284">
        <v>8</v>
      </c>
      <c r="L13" s="362">
        <v>0.22470000000000001</v>
      </c>
      <c r="M13" s="299">
        <v>0.65600000000000003</v>
      </c>
      <c r="N13" s="209">
        <v>50</v>
      </c>
      <c r="O13" s="209">
        <v>0.01</v>
      </c>
      <c r="P13" s="4"/>
      <c r="Q13" s="270" t="s">
        <v>225</v>
      </c>
      <c r="R13" s="238">
        <v>0</v>
      </c>
      <c r="S13" s="216">
        <v>1</v>
      </c>
      <c r="T13" s="339">
        <v>0</v>
      </c>
      <c r="U13" s="216">
        <v>0</v>
      </c>
      <c r="V13" s="217">
        <v>10000</v>
      </c>
      <c r="W13" s="217">
        <v>2000</v>
      </c>
      <c r="X13" s="216">
        <v>0</v>
      </c>
      <c r="Y13" s="216">
        <v>10</v>
      </c>
      <c r="Z13" s="216">
        <v>30</v>
      </c>
      <c r="AA13" s="216">
        <v>0</v>
      </c>
      <c r="AB13" s="216">
        <v>12</v>
      </c>
      <c r="AC13" s="218">
        <v>1</v>
      </c>
    </row>
    <row r="14" spans="1:29" x14ac:dyDescent="0.25">
      <c r="A14" s="7" t="s">
        <v>198</v>
      </c>
      <c r="B14" s="368">
        <v>1</v>
      </c>
      <c r="C14" s="6">
        <v>2</v>
      </c>
      <c r="D14" s="206">
        <v>0</v>
      </c>
      <c r="E14" s="81"/>
      <c r="F14" s="297"/>
      <c r="G14" s="297"/>
      <c r="H14" s="82"/>
      <c r="I14" s="211">
        <v>10.5</v>
      </c>
      <c r="J14" s="285">
        <v>0</v>
      </c>
      <c r="K14" s="81"/>
      <c r="L14" s="297"/>
      <c r="M14" s="303">
        <v>0.85</v>
      </c>
      <c r="N14" s="209">
        <v>25</v>
      </c>
      <c r="O14" s="209">
        <v>0.01</v>
      </c>
      <c r="P14" s="4"/>
      <c r="Q14" s="270"/>
      <c r="R14" s="215">
        <v>0</v>
      </c>
      <c r="S14" s="216"/>
      <c r="T14" s="339"/>
      <c r="U14" s="216"/>
      <c r="V14" s="217"/>
      <c r="W14" s="217"/>
      <c r="X14" s="216"/>
      <c r="Y14" s="216"/>
      <c r="Z14" s="216"/>
      <c r="AA14" s="216"/>
      <c r="AB14" s="216"/>
      <c r="AC14" s="218"/>
    </row>
    <row r="15" spans="1:29" x14ac:dyDescent="0.25">
      <c r="A15" s="7" t="s">
        <v>199</v>
      </c>
      <c r="B15" s="368">
        <v>1</v>
      </c>
      <c r="C15" s="6">
        <v>3</v>
      </c>
      <c r="D15" s="206">
        <v>9</v>
      </c>
      <c r="E15" s="83"/>
      <c r="F15" s="73"/>
      <c r="G15" s="73"/>
      <c r="H15" s="84"/>
      <c r="I15" s="211">
        <v>8</v>
      </c>
      <c r="J15" s="285">
        <v>0</v>
      </c>
      <c r="K15" s="83"/>
      <c r="L15" s="73"/>
      <c r="M15" s="303">
        <v>1</v>
      </c>
      <c r="N15" s="209">
        <v>5</v>
      </c>
      <c r="O15" s="209">
        <v>0.01</v>
      </c>
      <c r="P15" s="4"/>
      <c r="Q15" s="270"/>
      <c r="R15" s="215"/>
      <c r="S15" s="216"/>
      <c r="T15" s="339"/>
      <c r="U15" s="216"/>
      <c r="V15" s="217"/>
      <c r="W15" s="217"/>
      <c r="X15" s="216"/>
      <c r="Y15" s="216"/>
      <c r="Z15" s="216"/>
      <c r="AA15" s="216"/>
      <c r="AB15" s="216"/>
      <c r="AC15" s="218"/>
    </row>
    <row r="16" spans="1:29" x14ac:dyDescent="0.25">
      <c r="A16" s="7" t="s">
        <v>80</v>
      </c>
      <c r="B16" s="368">
        <v>1</v>
      </c>
      <c r="C16" s="6">
        <v>4</v>
      </c>
      <c r="D16" s="207"/>
      <c r="E16" s="73"/>
      <c r="F16" s="73"/>
      <c r="G16" s="73"/>
      <c r="H16" s="73"/>
      <c r="I16" s="211">
        <v>15</v>
      </c>
      <c r="J16" s="285">
        <v>0</v>
      </c>
      <c r="K16" s="83"/>
      <c r="L16" s="73"/>
      <c r="M16" s="303">
        <v>1</v>
      </c>
      <c r="N16" s="209">
        <v>10</v>
      </c>
      <c r="O16" s="209">
        <v>0.01</v>
      </c>
      <c r="P16" s="4"/>
      <c r="Q16" s="270"/>
      <c r="R16" s="215"/>
      <c r="S16" s="216"/>
      <c r="T16" s="339"/>
      <c r="U16" s="216"/>
      <c r="V16" s="217"/>
      <c r="W16" s="217"/>
      <c r="X16" s="216"/>
      <c r="Y16" s="216"/>
      <c r="Z16" s="216"/>
      <c r="AA16" s="216"/>
      <c r="AB16" s="216"/>
      <c r="AC16" s="218"/>
    </row>
    <row r="17" spans="1:35" x14ac:dyDescent="0.25">
      <c r="A17" s="7" t="s">
        <v>246</v>
      </c>
      <c r="B17" s="368">
        <v>1</v>
      </c>
      <c r="C17" s="6">
        <v>5</v>
      </c>
      <c r="D17" s="206">
        <v>0</v>
      </c>
      <c r="E17" s="83"/>
      <c r="F17" s="73"/>
      <c r="G17" s="73"/>
      <c r="H17" s="84"/>
      <c r="I17" s="211">
        <v>100</v>
      </c>
      <c r="J17" s="285">
        <v>0</v>
      </c>
      <c r="K17" s="83"/>
      <c r="L17" s="73"/>
      <c r="M17" s="303">
        <v>1</v>
      </c>
      <c r="N17" s="209">
        <v>10</v>
      </c>
      <c r="O17" s="209">
        <v>0.01</v>
      </c>
      <c r="P17" s="4"/>
      <c r="Q17" s="271"/>
      <c r="R17" s="219"/>
      <c r="S17" s="220"/>
      <c r="T17" s="340"/>
      <c r="U17" s="220"/>
      <c r="V17" s="221"/>
      <c r="W17" s="221"/>
      <c r="X17" s="220"/>
      <c r="Y17" s="220"/>
      <c r="Z17" s="220"/>
      <c r="AA17" s="220"/>
      <c r="AB17" s="220"/>
      <c r="AC17" s="222"/>
    </row>
    <row r="18" spans="1:35" x14ac:dyDescent="0.25">
      <c r="B18" s="7"/>
      <c r="C18" s="2"/>
      <c r="D18" s="2"/>
      <c r="E18" s="2"/>
      <c r="I18" s="10"/>
      <c r="J18" s="9"/>
      <c r="K18" s="3"/>
      <c r="L18" s="3"/>
      <c r="M18"/>
      <c r="R18" s="16"/>
      <c r="S18" s="16"/>
      <c r="T18" s="16"/>
    </row>
    <row r="19" spans="1:35" s="111" customFormat="1" ht="18.75" x14ac:dyDescent="0.3">
      <c r="A19" s="113" t="s">
        <v>215</v>
      </c>
      <c r="B19" s="109"/>
      <c r="C19" s="109"/>
      <c r="D19" s="109"/>
      <c r="E19" s="109"/>
      <c r="F19" s="110"/>
      <c r="G19" s="109"/>
      <c r="H19" s="109"/>
      <c r="I19" s="109"/>
      <c r="J19" s="109"/>
      <c r="K19" s="109"/>
      <c r="L19" s="109"/>
      <c r="M19" s="109"/>
      <c r="N19" s="109"/>
      <c r="O19" s="109"/>
      <c r="P19" s="109"/>
      <c r="Q19" s="109"/>
      <c r="R19" s="109"/>
      <c r="S19" s="109"/>
      <c r="T19" s="109"/>
      <c r="U19" s="109"/>
      <c r="V19" s="109"/>
      <c r="W19" s="109"/>
      <c r="X19" s="109"/>
      <c r="Y19" s="109"/>
      <c r="Z19" s="109"/>
      <c r="AA19" s="109"/>
      <c r="AB19" s="109"/>
      <c r="AC19" s="109"/>
    </row>
    <row r="20" spans="1:35" x14ac:dyDescent="0.25">
      <c r="A20" s="23"/>
      <c r="B20" s="23"/>
      <c r="C20" s="23"/>
      <c r="D20" s="23"/>
      <c r="M20" s="6"/>
      <c r="N20" s="6" t="s">
        <v>60</v>
      </c>
      <c r="O20" s="6" t="s">
        <v>60</v>
      </c>
      <c r="P20" s="6" t="s">
        <v>63</v>
      </c>
      <c r="Q20" s="6" t="s">
        <v>217</v>
      </c>
      <c r="R20" s="6" t="s">
        <v>97</v>
      </c>
      <c r="S20" s="6" t="s">
        <v>216</v>
      </c>
      <c r="T20" s="6" t="s">
        <v>54</v>
      </c>
      <c r="U20" s="22" t="s">
        <v>100</v>
      </c>
      <c r="V20" s="22" t="s">
        <v>266</v>
      </c>
      <c r="W20" s="22" t="s">
        <v>482</v>
      </c>
      <c r="X20" s="22" t="s">
        <v>265</v>
      </c>
      <c r="Y20" s="22" t="s">
        <v>204</v>
      </c>
      <c r="Z20" s="22" t="s">
        <v>54</v>
      </c>
      <c r="AA20" s="22" t="s">
        <v>54</v>
      </c>
      <c r="AB20" s="22" t="s">
        <v>205</v>
      </c>
      <c r="AC20" s="22" t="s">
        <v>205</v>
      </c>
    </row>
    <row r="21" spans="1:35" x14ac:dyDescent="0.25">
      <c r="A21" s="399" t="s">
        <v>108</v>
      </c>
      <c r="B21" s="400"/>
      <c r="C21" s="400"/>
      <c r="D21" s="400"/>
      <c r="E21" s="400"/>
      <c r="F21" s="401"/>
      <c r="G21" s="399" t="s">
        <v>99</v>
      </c>
      <c r="H21" s="400"/>
      <c r="I21" s="400"/>
      <c r="J21" s="400"/>
      <c r="K21" s="400"/>
      <c r="L21" s="400"/>
      <c r="M21" s="401"/>
      <c r="N21" s="396" t="s">
        <v>190</v>
      </c>
      <c r="O21" s="398"/>
      <c r="P21" s="324" t="s">
        <v>189</v>
      </c>
      <c r="Q21" s="325"/>
      <c r="R21" s="326"/>
      <c r="S21" s="396" t="s">
        <v>210</v>
      </c>
      <c r="T21" s="397"/>
      <c r="U21" s="397"/>
      <c r="V21" s="397"/>
      <c r="W21" s="397"/>
      <c r="X21" s="397"/>
      <c r="Y21" s="397"/>
      <c r="Z21" s="398"/>
      <c r="AA21" s="396" t="s">
        <v>211</v>
      </c>
      <c r="AB21" s="397"/>
      <c r="AC21" s="398"/>
      <c r="AD21" s="17"/>
      <c r="AE21" s="17"/>
      <c r="AF21" s="17"/>
      <c r="AG21" s="17"/>
      <c r="AH21" s="17"/>
    </row>
    <row r="22" spans="1:35" x14ac:dyDescent="0.25">
      <c r="A22" s="331" t="s">
        <v>96</v>
      </c>
      <c r="B22" s="331" t="s">
        <v>95</v>
      </c>
      <c r="C22" s="331" t="s">
        <v>94</v>
      </c>
      <c r="D22" s="115"/>
      <c r="E22" s="115" t="s">
        <v>184</v>
      </c>
      <c r="F22" s="115" t="s">
        <v>140</v>
      </c>
      <c r="G22" s="115" t="str" cm="1">
        <f t="array" ref="G22:K22">TRANSPOSE(A12:A16)</f>
        <v>Ovn2</v>
      </c>
      <c r="H22" s="115" t="str">
        <v>Ovn3</v>
      </c>
      <c r="I22" s="115" t="str">
        <v>FlisK</v>
      </c>
      <c r="J22" s="115" t="str">
        <v>NS</v>
      </c>
      <c r="K22" s="115" t="str">
        <v>Cooler</v>
      </c>
      <c r="L22" s="115" t="s">
        <v>246</v>
      </c>
      <c r="M22" s="115" t="s">
        <v>326</v>
      </c>
      <c r="N22" s="115" t="s">
        <v>181</v>
      </c>
      <c r="O22" s="115" t="s">
        <v>61</v>
      </c>
      <c r="P22" s="332" t="s">
        <v>62</v>
      </c>
      <c r="Q22" s="165" t="s">
        <v>312</v>
      </c>
      <c r="R22" s="115" t="s">
        <v>98</v>
      </c>
      <c r="S22" s="115" t="s">
        <v>178</v>
      </c>
      <c r="T22" s="115" t="s">
        <v>179</v>
      </c>
      <c r="U22" s="115" t="s">
        <v>180</v>
      </c>
      <c r="V22" s="115" t="s">
        <v>191</v>
      </c>
      <c r="W22" s="115" t="s">
        <v>268</v>
      </c>
      <c r="X22" s="115" t="s">
        <v>267</v>
      </c>
      <c r="Y22" s="115" t="s">
        <v>208</v>
      </c>
      <c r="Z22" s="115" t="s">
        <v>209</v>
      </c>
      <c r="AA22" s="115" t="s">
        <v>206</v>
      </c>
      <c r="AB22" s="115" t="s">
        <v>192</v>
      </c>
      <c r="AC22" s="115" t="s">
        <v>207</v>
      </c>
      <c r="AD22" s="12"/>
      <c r="AE22" s="87" t="s">
        <v>178</v>
      </c>
      <c r="AF22" s="18"/>
      <c r="AG22" s="18"/>
      <c r="AH22" s="18"/>
      <c r="AI22" s="18"/>
    </row>
    <row r="23" spans="1:35" x14ac:dyDescent="0.25">
      <c r="A23" s="88">
        <f t="shared" ref="A23:A58" si="0">$B$4+INT((ROW(A23)-ROW($A$23))/12)</f>
        <v>2021</v>
      </c>
      <c r="B23" s="88">
        <f>MOD(ROW(B23)-ROW(B$23),12)+1</f>
        <v>1</v>
      </c>
      <c r="C23" s="89">
        <f t="shared" ref="C23:C58" si="1">DATE($A23,B23,1)</f>
        <v>44197</v>
      </c>
      <c r="D23" s="90" t="s">
        <v>141</v>
      </c>
      <c r="E23" s="156">
        <f t="shared" ref="E23:E58" si="2">_xlfn.LET(_xlpm.d,DATE(A23,B23,1),IF(AND(_xlpm.d&gt;=PerStart,_xlpm.d&lt;=PerSlut),1,0))</f>
        <v>1</v>
      </c>
      <c r="F23" s="88">
        <f t="shared" ref="F23:F57" si="3">IF(B23=12,31,_xlfn.DAYS(C24,C23))</f>
        <v>31</v>
      </c>
      <c r="G23" s="227">
        <f t="shared" ref="G23:G28" si="4">$F23</f>
        <v>31</v>
      </c>
      <c r="H23" s="227">
        <f t="shared" ref="H23:I38" si="5">$F23</f>
        <v>31</v>
      </c>
      <c r="I23" s="227">
        <f t="shared" si="5"/>
        <v>31</v>
      </c>
      <c r="J23" s="163">
        <f t="shared" ref="J23:J58" si="6">O23/$I$15/24</f>
        <v>20.833333333333332</v>
      </c>
      <c r="K23" s="227">
        <f>$F23</f>
        <v>31</v>
      </c>
      <c r="L23" s="227">
        <f>$F23</f>
        <v>31</v>
      </c>
      <c r="M23" s="163">
        <f>IF(H23&lt;F23,H23,F23)</f>
        <v>31</v>
      </c>
      <c r="N23" s="287">
        <v>28115</v>
      </c>
      <c r="O23" s="287">
        <v>4000</v>
      </c>
      <c r="P23" s="327">
        <v>4076.9</v>
      </c>
      <c r="Q23" s="156">
        <v>1</v>
      </c>
      <c r="R23" s="288">
        <v>378.33708333333323</v>
      </c>
      <c r="S23" s="229">
        <f>55*7.45</f>
        <v>409.75</v>
      </c>
      <c r="T23" s="291">
        <v>25.8</v>
      </c>
      <c r="U23" s="291">
        <v>31.8</v>
      </c>
      <c r="V23" s="291">
        <v>37</v>
      </c>
      <c r="W23" s="291">
        <f>42.5*10.6</f>
        <v>450.5</v>
      </c>
      <c r="X23" s="291">
        <v>178.5</v>
      </c>
      <c r="Y23" s="291">
        <v>5.3</v>
      </c>
      <c r="Z23" s="231">
        <f>0.5</f>
        <v>0.5</v>
      </c>
      <c r="AA23" s="232">
        <v>62.37</v>
      </c>
      <c r="AB23" s="231">
        <f>0.565/0.83*1000</f>
        <v>680.72289156626493</v>
      </c>
      <c r="AC23" s="231">
        <f>0.009/0.83*1000</f>
        <v>10.843373493975903</v>
      </c>
      <c r="AD23" s="9">
        <v>378.33708333333323</v>
      </c>
      <c r="AE23" s="229">
        <v>265.64662500000003</v>
      </c>
      <c r="AF23" s="16"/>
      <c r="AG23" s="16"/>
      <c r="AH23" s="16"/>
      <c r="AI23" s="16"/>
    </row>
    <row r="24" spans="1:35" x14ac:dyDescent="0.25">
      <c r="A24" s="88">
        <f t="shared" si="0"/>
        <v>2021</v>
      </c>
      <c r="B24" s="88">
        <f t="shared" ref="B24:B34" si="7">MOD(ROW(B24)-ROW(B$23),12)+1</f>
        <v>2</v>
      </c>
      <c r="C24" s="89">
        <f t="shared" si="1"/>
        <v>44228</v>
      </c>
      <c r="D24" s="90" t="s">
        <v>142</v>
      </c>
      <c r="E24" s="155">
        <f t="shared" si="2"/>
        <v>1</v>
      </c>
      <c r="F24" s="88">
        <f t="shared" si="3"/>
        <v>28</v>
      </c>
      <c r="G24" s="227">
        <f t="shared" si="4"/>
        <v>28</v>
      </c>
      <c r="H24" s="227">
        <f t="shared" si="5"/>
        <v>28</v>
      </c>
      <c r="I24" s="227">
        <f t="shared" si="5"/>
        <v>28</v>
      </c>
      <c r="J24" s="161">
        <f t="shared" si="6"/>
        <v>0</v>
      </c>
      <c r="K24" s="227">
        <f t="shared" ref="K24:L39" si="8">$F24</f>
        <v>28</v>
      </c>
      <c r="L24" s="227">
        <f t="shared" si="8"/>
        <v>28</v>
      </c>
      <c r="M24" s="161">
        <f>IF(H24&lt;F24,H24,F24)</f>
        <v>28</v>
      </c>
      <c r="N24" s="287">
        <v>23902</v>
      </c>
      <c r="O24" s="287">
        <v>0</v>
      </c>
      <c r="P24" s="327">
        <v>4120.58</v>
      </c>
      <c r="Q24" s="155">
        <v>0</v>
      </c>
      <c r="R24" s="288">
        <v>356.0961527777776</v>
      </c>
      <c r="S24" s="229">
        <f t="shared" ref="S24:S34" si="9">55*7.45</f>
        <v>409.75</v>
      </c>
      <c r="T24" s="291">
        <v>25.8</v>
      </c>
      <c r="U24" s="291">
        <v>31.8</v>
      </c>
      <c r="V24" s="291">
        <v>37</v>
      </c>
      <c r="W24" s="291">
        <f t="shared" ref="W24:W58" si="10">42.5*10.6</f>
        <v>450.5</v>
      </c>
      <c r="X24" s="291">
        <v>178.5</v>
      </c>
      <c r="Y24" s="291">
        <v>5.3</v>
      </c>
      <c r="Z24" s="231">
        <f t="shared" ref="Z24:Z58" si="11">0.5</f>
        <v>0.5</v>
      </c>
      <c r="AA24" s="232">
        <v>62.37</v>
      </c>
      <c r="AB24" s="231">
        <f t="shared" ref="AB24:AB58" si="12">0.565/0.83*1000</f>
        <v>680.72289156626493</v>
      </c>
      <c r="AC24" s="231">
        <f t="shared" ref="AC24:AC58" si="13">0.009/0.83*1000</f>
        <v>10.843373493975903</v>
      </c>
      <c r="AD24" s="9">
        <v>356.0961527777776</v>
      </c>
      <c r="AE24" s="229">
        <v>298.42762500000003</v>
      </c>
      <c r="AF24" s="16"/>
      <c r="AG24" s="16"/>
      <c r="AH24" s="16"/>
      <c r="AI24" s="16"/>
    </row>
    <row r="25" spans="1:35" x14ac:dyDescent="0.25">
      <c r="A25" s="88">
        <f t="shared" si="0"/>
        <v>2021</v>
      </c>
      <c r="B25" s="88">
        <f t="shared" si="7"/>
        <v>3</v>
      </c>
      <c r="C25" s="89">
        <f t="shared" si="1"/>
        <v>44256</v>
      </c>
      <c r="D25" s="90" t="s">
        <v>143</v>
      </c>
      <c r="E25" s="155">
        <f t="shared" si="2"/>
        <v>1</v>
      </c>
      <c r="F25" s="88">
        <f t="shared" si="3"/>
        <v>31</v>
      </c>
      <c r="G25" s="227">
        <f t="shared" si="4"/>
        <v>31</v>
      </c>
      <c r="H25" s="227">
        <f t="shared" si="5"/>
        <v>31</v>
      </c>
      <c r="I25" s="227">
        <f t="shared" si="5"/>
        <v>31</v>
      </c>
      <c r="J25" s="161">
        <f t="shared" si="6"/>
        <v>0</v>
      </c>
      <c r="K25" s="227">
        <f t="shared" si="8"/>
        <v>31</v>
      </c>
      <c r="L25" s="227">
        <f t="shared" si="8"/>
        <v>31</v>
      </c>
      <c r="M25" s="161">
        <f>IF(H25&lt;F25,H25,F25)</f>
        <v>31</v>
      </c>
      <c r="N25" s="287">
        <v>27355</v>
      </c>
      <c r="O25" s="287">
        <v>0</v>
      </c>
      <c r="P25" s="327">
        <v>4939.28</v>
      </c>
      <c r="Q25" s="155">
        <v>1</v>
      </c>
      <c r="R25" s="288">
        <v>347.18100806451616</v>
      </c>
      <c r="S25" s="229">
        <f t="shared" si="9"/>
        <v>409.75</v>
      </c>
      <c r="T25" s="291">
        <v>25.8</v>
      </c>
      <c r="U25" s="291">
        <v>31.8</v>
      </c>
      <c r="V25" s="291">
        <v>37</v>
      </c>
      <c r="W25" s="291">
        <f t="shared" si="10"/>
        <v>450.5</v>
      </c>
      <c r="X25" s="291">
        <v>178.5</v>
      </c>
      <c r="Y25" s="291">
        <v>5.3</v>
      </c>
      <c r="Z25" s="231">
        <f t="shared" si="11"/>
        <v>0.5</v>
      </c>
      <c r="AA25" s="232">
        <v>62.37</v>
      </c>
      <c r="AB25" s="231">
        <f t="shared" si="12"/>
        <v>680.72289156626493</v>
      </c>
      <c r="AC25" s="231">
        <f t="shared" si="13"/>
        <v>10.843373493975903</v>
      </c>
      <c r="AD25" s="9">
        <v>347.18100806451616</v>
      </c>
      <c r="AE25" s="229">
        <v>334.72087500000004</v>
      </c>
      <c r="AF25" s="16"/>
      <c r="AG25" s="16"/>
      <c r="AH25" s="16"/>
      <c r="AI25" s="16"/>
    </row>
    <row r="26" spans="1:35" x14ac:dyDescent="0.25">
      <c r="A26" s="88">
        <f t="shared" si="0"/>
        <v>2021</v>
      </c>
      <c r="B26" s="88">
        <f t="shared" si="7"/>
        <v>4</v>
      </c>
      <c r="C26" s="89">
        <f t="shared" si="1"/>
        <v>44287</v>
      </c>
      <c r="D26" s="90" t="s">
        <v>144</v>
      </c>
      <c r="E26" s="155">
        <f t="shared" si="2"/>
        <v>1</v>
      </c>
      <c r="F26" s="88">
        <f t="shared" si="3"/>
        <v>30</v>
      </c>
      <c r="G26" s="227">
        <f t="shared" si="4"/>
        <v>30</v>
      </c>
      <c r="H26" s="227">
        <f t="shared" si="5"/>
        <v>30</v>
      </c>
      <c r="I26" s="227">
        <f t="shared" si="5"/>
        <v>30</v>
      </c>
      <c r="J26" s="161">
        <f t="shared" si="6"/>
        <v>0</v>
      </c>
      <c r="K26" s="227">
        <f t="shared" si="8"/>
        <v>30</v>
      </c>
      <c r="L26" s="227">
        <f t="shared" si="8"/>
        <v>30</v>
      </c>
      <c r="M26" s="161">
        <f>IF(H26&lt;F26,H26,F26)</f>
        <v>30</v>
      </c>
      <c r="N26" s="287">
        <v>22497</v>
      </c>
      <c r="O26" s="287">
        <v>0</v>
      </c>
      <c r="P26" s="327">
        <v>4131.42</v>
      </c>
      <c r="Q26" s="155">
        <v>1</v>
      </c>
      <c r="R26" s="288">
        <v>356.0961527777776</v>
      </c>
      <c r="S26" s="229">
        <f t="shared" si="9"/>
        <v>409.75</v>
      </c>
      <c r="T26" s="291">
        <v>25.8</v>
      </c>
      <c r="U26" s="291">
        <v>31.8</v>
      </c>
      <c r="V26" s="291">
        <v>37</v>
      </c>
      <c r="W26" s="291">
        <f t="shared" si="10"/>
        <v>450.5</v>
      </c>
      <c r="X26" s="291">
        <v>178.5</v>
      </c>
      <c r="Y26" s="291">
        <v>5.3</v>
      </c>
      <c r="Z26" s="231">
        <f t="shared" si="11"/>
        <v>0.5</v>
      </c>
      <c r="AA26" s="232">
        <v>62.37</v>
      </c>
      <c r="AB26" s="231">
        <f t="shared" si="12"/>
        <v>680.72289156626493</v>
      </c>
      <c r="AC26" s="231">
        <f t="shared" si="13"/>
        <v>10.843373493975903</v>
      </c>
      <c r="AD26" s="9">
        <v>356.0961527777776</v>
      </c>
      <c r="AE26" s="229">
        <v>369.84337500000004</v>
      </c>
      <c r="AF26" s="16"/>
      <c r="AG26" s="16"/>
      <c r="AH26" s="16"/>
      <c r="AI26" s="16"/>
    </row>
    <row r="27" spans="1:35" x14ac:dyDescent="0.25">
      <c r="A27" s="88">
        <f t="shared" si="0"/>
        <v>2021</v>
      </c>
      <c r="B27" s="88">
        <f t="shared" si="7"/>
        <v>5</v>
      </c>
      <c r="C27" s="89">
        <f t="shared" si="1"/>
        <v>44317</v>
      </c>
      <c r="D27" s="90" t="s">
        <v>145</v>
      </c>
      <c r="E27" s="155">
        <f t="shared" si="2"/>
        <v>1</v>
      </c>
      <c r="F27" s="88">
        <f t="shared" si="3"/>
        <v>31</v>
      </c>
      <c r="G27" s="227">
        <f t="shared" si="4"/>
        <v>31</v>
      </c>
      <c r="H27" s="227">
        <f t="shared" si="5"/>
        <v>31</v>
      </c>
      <c r="I27" s="227">
        <f t="shared" si="5"/>
        <v>31</v>
      </c>
      <c r="J27" s="161">
        <f t="shared" si="6"/>
        <v>0</v>
      </c>
      <c r="K27" s="227">
        <f t="shared" si="8"/>
        <v>31</v>
      </c>
      <c r="L27" s="227">
        <f t="shared" si="8"/>
        <v>31</v>
      </c>
      <c r="M27" s="161">
        <f>IF(H27&lt;F27,H27,F27)</f>
        <v>31</v>
      </c>
      <c r="N27" s="287">
        <v>12760</v>
      </c>
      <c r="O27" s="287">
        <v>0</v>
      </c>
      <c r="P27" s="327">
        <v>2587.7199999999998</v>
      </c>
      <c r="Q27" s="155">
        <v>1</v>
      </c>
      <c r="R27" s="288">
        <v>410.46177419354831</v>
      </c>
      <c r="S27" s="229">
        <f t="shared" si="9"/>
        <v>409.75</v>
      </c>
      <c r="T27" s="291">
        <v>25.8</v>
      </c>
      <c r="U27" s="291">
        <v>31.8</v>
      </c>
      <c r="V27" s="291">
        <v>37</v>
      </c>
      <c r="W27" s="291">
        <f t="shared" si="10"/>
        <v>450.5</v>
      </c>
      <c r="X27" s="291">
        <v>178.5</v>
      </c>
      <c r="Y27" s="291">
        <v>5.3</v>
      </c>
      <c r="Z27" s="231">
        <f t="shared" si="11"/>
        <v>0.5</v>
      </c>
      <c r="AA27" s="232">
        <v>62.37</v>
      </c>
      <c r="AB27" s="231">
        <f t="shared" si="12"/>
        <v>680.72289156626493</v>
      </c>
      <c r="AC27" s="231">
        <f t="shared" si="13"/>
        <v>10.843373493975903</v>
      </c>
      <c r="AD27" s="9">
        <v>410.46177419354831</v>
      </c>
      <c r="AE27" s="229">
        <v>406.13662500000004</v>
      </c>
      <c r="AF27" s="16"/>
      <c r="AG27" s="16"/>
      <c r="AH27" s="16"/>
      <c r="AI27" s="16"/>
    </row>
    <row r="28" spans="1:35" x14ac:dyDescent="0.25">
      <c r="A28" s="88">
        <f t="shared" si="0"/>
        <v>2021</v>
      </c>
      <c r="B28" s="88">
        <f t="shared" si="7"/>
        <v>6</v>
      </c>
      <c r="C28" s="89">
        <f t="shared" si="1"/>
        <v>44348</v>
      </c>
      <c r="D28" s="90" t="s">
        <v>146</v>
      </c>
      <c r="E28" s="155">
        <f t="shared" si="2"/>
        <v>1</v>
      </c>
      <c r="F28" s="88">
        <f t="shared" si="3"/>
        <v>30</v>
      </c>
      <c r="G28" s="227">
        <f t="shared" si="4"/>
        <v>30</v>
      </c>
      <c r="H28" s="227">
        <v>5</v>
      </c>
      <c r="I28" s="227">
        <f t="shared" si="5"/>
        <v>30</v>
      </c>
      <c r="J28" s="161">
        <f t="shared" si="6"/>
        <v>0</v>
      </c>
      <c r="K28" s="227">
        <f t="shared" si="8"/>
        <v>30</v>
      </c>
      <c r="L28" s="227">
        <f t="shared" si="8"/>
        <v>30</v>
      </c>
      <c r="M28" s="161">
        <f>P28/7.5/24</f>
        <v>3.5676666666666663</v>
      </c>
      <c r="N28" s="287">
        <v>6100</v>
      </c>
      <c r="O28" s="287">
        <v>0</v>
      </c>
      <c r="P28" s="327">
        <v>642.17999999999995</v>
      </c>
      <c r="Q28" s="155">
        <v>1</v>
      </c>
      <c r="R28" s="288">
        <v>547.42162499999972</v>
      </c>
      <c r="S28" s="229">
        <f t="shared" si="9"/>
        <v>409.75</v>
      </c>
      <c r="T28" s="291">
        <v>25.8</v>
      </c>
      <c r="U28" s="291">
        <v>31.8</v>
      </c>
      <c r="V28" s="291">
        <v>37</v>
      </c>
      <c r="W28" s="291">
        <f t="shared" si="10"/>
        <v>450.5</v>
      </c>
      <c r="X28" s="291">
        <v>178.5</v>
      </c>
      <c r="Y28" s="291">
        <v>5.3</v>
      </c>
      <c r="Z28" s="231">
        <f t="shared" si="11"/>
        <v>0.5</v>
      </c>
      <c r="AA28" s="232">
        <v>62.37</v>
      </c>
      <c r="AB28" s="231">
        <f t="shared" si="12"/>
        <v>680.72289156626493</v>
      </c>
      <c r="AC28" s="231">
        <f t="shared" si="13"/>
        <v>10.843373493975903</v>
      </c>
      <c r="AD28" s="9">
        <v>547.42162499999972</v>
      </c>
      <c r="AE28" s="229">
        <v>441.25912500000004</v>
      </c>
      <c r="AF28" s="16"/>
      <c r="AG28" s="16"/>
      <c r="AH28" s="16"/>
      <c r="AI28" s="16"/>
    </row>
    <row r="29" spans="1:35" x14ac:dyDescent="0.25">
      <c r="A29" s="88">
        <f t="shared" si="0"/>
        <v>2021</v>
      </c>
      <c r="B29" s="88">
        <f t="shared" si="7"/>
        <v>7</v>
      </c>
      <c r="C29" s="89">
        <f t="shared" si="1"/>
        <v>44378</v>
      </c>
      <c r="D29" s="90" t="s">
        <v>147</v>
      </c>
      <c r="E29" s="155">
        <f t="shared" si="2"/>
        <v>1</v>
      </c>
      <c r="F29" s="88">
        <f t="shared" si="3"/>
        <v>31</v>
      </c>
      <c r="G29" s="227">
        <f>F29-3*7</f>
        <v>10</v>
      </c>
      <c r="H29" s="227">
        <f t="shared" si="5"/>
        <v>31</v>
      </c>
      <c r="I29" s="227">
        <f t="shared" si="5"/>
        <v>31</v>
      </c>
      <c r="J29" s="161">
        <f t="shared" si="6"/>
        <v>0</v>
      </c>
      <c r="K29" s="227">
        <f t="shared" si="8"/>
        <v>31</v>
      </c>
      <c r="L29" s="227">
        <f t="shared" si="8"/>
        <v>31</v>
      </c>
      <c r="M29" s="161">
        <f>P29/7.5/24</f>
        <v>0.43333333333333335</v>
      </c>
      <c r="N29" s="287">
        <v>6411</v>
      </c>
      <c r="O29" s="287">
        <v>0</v>
      </c>
      <c r="P29" s="327">
        <v>78</v>
      </c>
      <c r="Q29" s="155">
        <v>1</v>
      </c>
      <c r="R29" s="288">
        <v>605.37407258064457</v>
      </c>
      <c r="S29" s="229">
        <f t="shared" si="9"/>
        <v>409.75</v>
      </c>
      <c r="T29" s="291">
        <v>25.8</v>
      </c>
      <c r="U29" s="291">
        <v>31.8</v>
      </c>
      <c r="V29" s="291">
        <v>37</v>
      </c>
      <c r="W29" s="291">
        <f t="shared" si="10"/>
        <v>450.5</v>
      </c>
      <c r="X29" s="291">
        <v>178.5</v>
      </c>
      <c r="Y29" s="291">
        <v>5.3</v>
      </c>
      <c r="Z29" s="231">
        <f t="shared" si="11"/>
        <v>0.5</v>
      </c>
      <c r="AA29" s="232">
        <v>62.37</v>
      </c>
      <c r="AB29" s="231">
        <f t="shared" si="12"/>
        <v>680.72289156626493</v>
      </c>
      <c r="AC29" s="231">
        <f t="shared" si="13"/>
        <v>10.843373493975903</v>
      </c>
      <c r="AD29" s="9">
        <v>605.37407258064457</v>
      </c>
      <c r="AE29" s="229">
        <v>477.55237500000004</v>
      </c>
      <c r="AF29" s="16"/>
      <c r="AG29" s="16"/>
      <c r="AH29" s="16"/>
      <c r="AI29" s="16"/>
    </row>
    <row r="30" spans="1:35" x14ac:dyDescent="0.25">
      <c r="A30" s="88">
        <f t="shared" si="0"/>
        <v>2021</v>
      </c>
      <c r="B30" s="88">
        <f t="shared" si="7"/>
        <v>8</v>
      </c>
      <c r="C30" s="89">
        <f t="shared" si="1"/>
        <v>44409</v>
      </c>
      <c r="D30" s="90" t="s">
        <v>148</v>
      </c>
      <c r="E30" s="155">
        <f t="shared" si="2"/>
        <v>1</v>
      </c>
      <c r="F30" s="88">
        <f t="shared" si="3"/>
        <v>31</v>
      </c>
      <c r="G30" s="227">
        <f>F30-3*7</f>
        <v>10</v>
      </c>
      <c r="H30" s="227">
        <f t="shared" si="5"/>
        <v>31</v>
      </c>
      <c r="I30" s="227">
        <f t="shared" si="5"/>
        <v>31</v>
      </c>
      <c r="J30" s="161">
        <f t="shared" si="6"/>
        <v>0</v>
      </c>
      <c r="K30" s="227">
        <f t="shared" si="8"/>
        <v>31</v>
      </c>
      <c r="L30" s="227">
        <f t="shared" si="8"/>
        <v>31</v>
      </c>
      <c r="M30" s="161">
        <f>P30/7.5/24</f>
        <v>1.4472222222222222</v>
      </c>
      <c r="N30" s="287">
        <v>7774</v>
      </c>
      <c r="O30" s="287">
        <v>0</v>
      </c>
      <c r="P30" s="327">
        <v>260.5</v>
      </c>
      <c r="Q30" s="155">
        <v>1</v>
      </c>
      <c r="R30" s="288">
        <v>627.85237903225811</v>
      </c>
      <c r="S30" s="229">
        <f t="shared" si="9"/>
        <v>409.75</v>
      </c>
      <c r="T30" s="291">
        <v>25.8</v>
      </c>
      <c r="U30" s="291">
        <v>31.8</v>
      </c>
      <c r="V30" s="291">
        <v>37</v>
      </c>
      <c r="W30" s="291">
        <f t="shared" si="10"/>
        <v>450.5</v>
      </c>
      <c r="X30" s="291">
        <v>178.5</v>
      </c>
      <c r="Y30" s="291">
        <v>5.3</v>
      </c>
      <c r="Z30" s="231">
        <f t="shared" si="11"/>
        <v>0.5</v>
      </c>
      <c r="AA30" s="232">
        <v>62.37</v>
      </c>
      <c r="AB30" s="231">
        <f t="shared" si="12"/>
        <v>680.72289156626493</v>
      </c>
      <c r="AC30" s="231">
        <f t="shared" si="13"/>
        <v>10.843373493975903</v>
      </c>
      <c r="AD30" s="9">
        <v>627.85237903225811</v>
      </c>
      <c r="AE30" s="229">
        <v>513.84562500000004</v>
      </c>
      <c r="AF30" s="16"/>
      <c r="AG30" s="16"/>
      <c r="AH30" s="16"/>
      <c r="AI30" s="16"/>
    </row>
    <row r="31" spans="1:35" x14ac:dyDescent="0.25">
      <c r="A31" s="88">
        <f t="shared" si="0"/>
        <v>2021</v>
      </c>
      <c r="B31" s="88">
        <f t="shared" si="7"/>
        <v>9</v>
      </c>
      <c r="C31" s="89">
        <f t="shared" si="1"/>
        <v>44440</v>
      </c>
      <c r="D31" s="90" t="s">
        <v>149</v>
      </c>
      <c r="E31" s="155">
        <f t="shared" si="2"/>
        <v>1</v>
      </c>
      <c r="F31" s="88">
        <f t="shared" si="3"/>
        <v>30</v>
      </c>
      <c r="G31" s="227">
        <f>$F31</f>
        <v>30</v>
      </c>
      <c r="H31" s="227">
        <f t="shared" si="5"/>
        <v>30</v>
      </c>
      <c r="I31" s="227">
        <f t="shared" si="5"/>
        <v>30</v>
      </c>
      <c r="J31" s="161">
        <f t="shared" si="6"/>
        <v>0</v>
      </c>
      <c r="K31" s="227">
        <f t="shared" si="8"/>
        <v>30</v>
      </c>
      <c r="L31" s="227">
        <f t="shared" si="8"/>
        <v>30</v>
      </c>
      <c r="M31" s="161">
        <f>IF(H31&lt;F31,H31,F31)</f>
        <v>30</v>
      </c>
      <c r="N31" s="287">
        <v>8886</v>
      </c>
      <c r="O31" s="287">
        <v>0</v>
      </c>
      <c r="P31" s="327">
        <v>4821.5600000000004</v>
      </c>
      <c r="Q31" s="155">
        <v>1</v>
      </c>
      <c r="R31" s="288">
        <v>920.7574305555554</v>
      </c>
      <c r="S31" s="229">
        <f t="shared" si="9"/>
        <v>409.75</v>
      </c>
      <c r="T31" s="291">
        <v>25.8</v>
      </c>
      <c r="U31" s="291">
        <v>31.8</v>
      </c>
      <c r="V31" s="291">
        <v>37</v>
      </c>
      <c r="W31" s="291">
        <f t="shared" si="10"/>
        <v>450.5</v>
      </c>
      <c r="X31" s="291">
        <v>178.5</v>
      </c>
      <c r="Y31" s="291">
        <v>5.3</v>
      </c>
      <c r="Z31" s="231">
        <f t="shared" si="11"/>
        <v>0.5</v>
      </c>
      <c r="AA31" s="232">
        <v>62.37</v>
      </c>
      <c r="AB31" s="231">
        <f t="shared" si="12"/>
        <v>680.72289156626493</v>
      </c>
      <c r="AC31" s="231">
        <f t="shared" si="13"/>
        <v>10.843373493975903</v>
      </c>
      <c r="AD31" s="9">
        <v>920.7574305555554</v>
      </c>
      <c r="AE31" s="229">
        <v>548.9681250000001</v>
      </c>
      <c r="AF31" s="16"/>
      <c r="AG31" s="16"/>
      <c r="AH31" s="16"/>
      <c r="AI31" s="16"/>
    </row>
    <row r="32" spans="1:35" x14ac:dyDescent="0.25">
      <c r="A32" s="88">
        <f t="shared" si="0"/>
        <v>2021</v>
      </c>
      <c r="B32" s="88">
        <f t="shared" si="7"/>
        <v>10</v>
      </c>
      <c r="C32" s="89">
        <f t="shared" si="1"/>
        <v>44470</v>
      </c>
      <c r="D32" s="90" t="s">
        <v>150</v>
      </c>
      <c r="E32" s="155">
        <f t="shared" si="2"/>
        <v>1</v>
      </c>
      <c r="F32" s="88">
        <f t="shared" si="3"/>
        <v>31</v>
      </c>
      <c r="G32" s="227">
        <f>$F32</f>
        <v>31</v>
      </c>
      <c r="H32" s="227">
        <f t="shared" si="5"/>
        <v>31</v>
      </c>
      <c r="I32" s="227">
        <f t="shared" si="5"/>
        <v>31</v>
      </c>
      <c r="J32" s="161">
        <f t="shared" si="6"/>
        <v>0</v>
      </c>
      <c r="K32" s="227">
        <f t="shared" si="8"/>
        <v>31</v>
      </c>
      <c r="L32" s="227">
        <f t="shared" si="8"/>
        <v>31</v>
      </c>
      <c r="M32" s="161">
        <f t="shared" ref="M32:M58" si="14">IF(H32&lt;F32,H32,F32)</f>
        <v>31</v>
      </c>
      <c r="N32" s="287">
        <v>15610</v>
      </c>
      <c r="O32" s="287">
        <v>0</v>
      </c>
      <c r="P32" s="327">
        <v>4868.74</v>
      </c>
      <c r="Q32" s="155">
        <v>1</v>
      </c>
      <c r="R32" s="288">
        <v>794.33760752688215</v>
      </c>
      <c r="S32" s="229">
        <f t="shared" si="9"/>
        <v>409.75</v>
      </c>
      <c r="T32" s="291">
        <v>25.8</v>
      </c>
      <c r="U32" s="291">
        <v>31.8</v>
      </c>
      <c r="V32" s="291">
        <v>37</v>
      </c>
      <c r="W32" s="291">
        <f t="shared" si="10"/>
        <v>450.5</v>
      </c>
      <c r="X32" s="291">
        <v>178.5</v>
      </c>
      <c r="Y32" s="291">
        <v>5.3</v>
      </c>
      <c r="Z32" s="231">
        <f t="shared" si="11"/>
        <v>0.5</v>
      </c>
      <c r="AA32" s="232">
        <v>62.37</v>
      </c>
      <c r="AB32" s="231">
        <f t="shared" si="12"/>
        <v>680.72289156626493</v>
      </c>
      <c r="AC32" s="231">
        <f t="shared" si="13"/>
        <v>10.843373493975903</v>
      </c>
      <c r="AD32" s="9">
        <v>794.33760752688215</v>
      </c>
      <c r="AE32" s="229">
        <v>585.26137500000004</v>
      </c>
      <c r="AF32" s="16"/>
      <c r="AG32" s="16"/>
      <c r="AH32" s="16"/>
      <c r="AI32" s="16"/>
    </row>
    <row r="33" spans="1:35" x14ac:dyDescent="0.25">
      <c r="A33" s="88">
        <f t="shared" si="0"/>
        <v>2021</v>
      </c>
      <c r="B33" s="88">
        <f t="shared" si="7"/>
        <v>11</v>
      </c>
      <c r="C33" s="89">
        <f t="shared" si="1"/>
        <v>44501</v>
      </c>
      <c r="D33" s="90" t="s">
        <v>151</v>
      </c>
      <c r="E33" s="155">
        <f t="shared" si="2"/>
        <v>1</v>
      </c>
      <c r="F33" s="88">
        <f t="shared" si="3"/>
        <v>30</v>
      </c>
      <c r="G33" s="227">
        <f>$F33</f>
        <v>30</v>
      </c>
      <c r="H33" s="227">
        <f t="shared" si="5"/>
        <v>30</v>
      </c>
      <c r="I33" s="227">
        <f t="shared" si="5"/>
        <v>30</v>
      </c>
      <c r="J33" s="161">
        <f t="shared" si="6"/>
        <v>0</v>
      </c>
      <c r="K33" s="227">
        <f t="shared" si="8"/>
        <v>30</v>
      </c>
      <c r="L33" s="227">
        <f t="shared" si="8"/>
        <v>30</v>
      </c>
      <c r="M33" s="161">
        <f t="shared" si="14"/>
        <v>30</v>
      </c>
      <c r="N33" s="287">
        <v>20410</v>
      </c>
      <c r="O33" s="287">
        <v>0</v>
      </c>
      <c r="P33" s="327">
        <v>5228.4799999999996</v>
      </c>
      <c r="Q33" s="155">
        <v>1</v>
      </c>
      <c r="R33" s="288">
        <v>1014.278430555556</v>
      </c>
      <c r="S33" s="229">
        <f t="shared" si="9"/>
        <v>409.75</v>
      </c>
      <c r="T33" s="291">
        <v>25.8</v>
      </c>
      <c r="U33" s="291">
        <v>31.8</v>
      </c>
      <c r="V33" s="291">
        <v>37</v>
      </c>
      <c r="W33" s="291">
        <f t="shared" si="10"/>
        <v>450.5</v>
      </c>
      <c r="X33" s="291">
        <v>178.5</v>
      </c>
      <c r="Y33" s="291">
        <v>5.3</v>
      </c>
      <c r="Z33" s="231">
        <f t="shared" si="11"/>
        <v>0.5</v>
      </c>
      <c r="AA33" s="232">
        <v>62.37</v>
      </c>
      <c r="AB33" s="231">
        <f t="shared" si="12"/>
        <v>680.72289156626493</v>
      </c>
      <c r="AC33" s="231">
        <f t="shared" si="13"/>
        <v>10.843373493975903</v>
      </c>
      <c r="AD33" s="9">
        <v>1014.278430555556</v>
      </c>
      <c r="AE33" s="229">
        <v>620.38387499999999</v>
      </c>
      <c r="AF33" s="16"/>
      <c r="AG33" s="16"/>
      <c r="AH33" s="16"/>
      <c r="AI33" s="16"/>
    </row>
    <row r="34" spans="1:35" x14ac:dyDescent="0.25">
      <c r="A34" s="91">
        <f t="shared" si="0"/>
        <v>2021</v>
      </c>
      <c r="B34" s="91">
        <f t="shared" si="7"/>
        <v>12</v>
      </c>
      <c r="C34" s="92">
        <f t="shared" si="1"/>
        <v>44531</v>
      </c>
      <c r="D34" s="93" t="s">
        <v>152</v>
      </c>
      <c r="E34" s="157">
        <f t="shared" si="2"/>
        <v>1</v>
      </c>
      <c r="F34" s="91">
        <f t="shared" si="3"/>
        <v>31</v>
      </c>
      <c r="G34" s="228">
        <f>$F34</f>
        <v>31</v>
      </c>
      <c r="H34" s="228">
        <f t="shared" si="5"/>
        <v>31</v>
      </c>
      <c r="I34" s="228">
        <f t="shared" si="5"/>
        <v>31</v>
      </c>
      <c r="J34" s="162">
        <f t="shared" si="6"/>
        <v>29.166666666666668</v>
      </c>
      <c r="K34" s="228">
        <f t="shared" si="8"/>
        <v>31</v>
      </c>
      <c r="L34" s="228">
        <f t="shared" si="8"/>
        <v>31</v>
      </c>
      <c r="M34" s="162">
        <f t="shared" si="14"/>
        <v>31</v>
      </c>
      <c r="N34" s="289">
        <v>25475</v>
      </c>
      <c r="O34" s="289">
        <v>5600</v>
      </c>
      <c r="P34" s="395">
        <v>5266</v>
      </c>
      <c r="Q34" s="157">
        <v>1</v>
      </c>
      <c r="R34" s="290">
        <v>1420.7891397849471</v>
      </c>
      <c r="S34" s="233">
        <f t="shared" si="9"/>
        <v>409.75</v>
      </c>
      <c r="T34" s="292">
        <v>25.8</v>
      </c>
      <c r="U34" s="292">
        <v>31.8</v>
      </c>
      <c r="V34" s="292">
        <v>37</v>
      </c>
      <c r="W34" s="292">
        <f t="shared" si="10"/>
        <v>450.5</v>
      </c>
      <c r="X34" s="292">
        <v>178.5</v>
      </c>
      <c r="Y34" s="292">
        <v>5.3</v>
      </c>
      <c r="Z34" s="235">
        <f t="shared" si="11"/>
        <v>0.5</v>
      </c>
      <c r="AA34" s="236">
        <v>62.37</v>
      </c>
      <c r="AB34" s="235">
        <f t="shared" si="12"/>
        <v>680.72289156626493</v>
      </c>
      <c r="AC34" s="235">
        <f t="shared" si="13"/>
        <v>10.843373493975903</v>
      </c>
      <c r="AD34" s="9">
        <v>1420.7891397849471</v>
      </c>
      <c r="AE34" s="233">
        <v>656.67712499999993</v>
      </c>
      <c r="AF34" s="16"/>
      <c r="AG34" s="16"/>
      <c r="AH34" s="16"/>
      <c r="AI34" s="16"/>
    </row>
    <row r="35" spans="1:35" x14ac:dyDescent="0.25">
      <c r="A35" s="88">
        <f t="shared" si="0"/>
        <v>2022</v>
      </c>
      <c r="B35" s="88">
        <f>MOD(ROW(B35)-ROW(B$23),12)+1</f>
        <v>1</v>
      </c>
      <c r="C35" s="89">
        <f t="shared" si="1"/>
        <v>44562</v>
      </c>
      <c r="D35" s="90" t="s">
        <v>153</v>
      </c>
      <c r="E35" s="158">
        <f t="shared" si="2"/>
        <v>0</v>
      </c>
      <c r="F35" s="88">
        <f t="shared" si="3"/>
        <v>31</v>
      </c>
      <c r="G35" s="227">
        <f t="shared" ref="G35:I58" si="15">$F35</f>
        <v>31</v>
      </c>
      <c r="H35" s="227">
        <f t="shared" si="5"/>
        <v>31</v>
      </c>
      <c r="I35" s="227">
        <f t="shared" si="5"/>
        <v>31</v>
      </c>
      <c r="J35" s="163">
        <f t="shared" si="6"/>
        <v>20.833333333333332</v>
      </c>
      <c r="K35" s="227">
        <f t="shared" si="8"/>
        <v>31</v>
      </c>
      <c r="L35" s="227">
        <f t="shared" si="8"/>
        <v>31</v>
      </c>
      <c r="M35" s="163">
        <f t="shared" si="14"/>
        <v>31</v>
      </c>
      <c r="N35" s="229">
        <v>28115</v>
      </c>
      <c r="O35" s="229">
        <v>4000</v>
      </c>
      <c r="P35" s="302">
        <f t="shared" ref="P35:P47" si="16">8*H35*24</f>
        <v>5952</v>
      </c>
      <c r="Q35" s="158">
        <v>1</v>
      </c>
      <c r="R35" s="229">
        <v>800</v>
      </c>
      <c r="S35" s="229">
        <f>90*7.5</f>
        <v>675</v>
      </c>
      <c r="T35" s="230">
        <v>26</v>
      </c>
      <c r="U35" s="230">
        <v>31.8</v>
      </c>
      <c r="V35" s="230">
        <v>37</v>
      </c>
      <c r="W35" s="230">
        <f t="shared" si="10"/>
        <v>450.5</v>
      </c>
      <c r="X35" s="231">
        <v>179.2</v>
      </c>
      <c r="Y35" s="231">
        <v>5.3</v>
      </c>
      <c r="Z35" s="231">
        <f t="shared" si="11"/>
        <v>0.5</v>
      </c>
      <c r="AA35" s="232">
        <v>62.37</v>
      </c>
      <c r="AB35" s="231">
        <f t="shared" si="12"/>
        <v>680.72289156626493</v>
      </c>
      <c r="AC35" s="231">
        <f t="shared" si="13"/>
        <v>10.843373493975903</v>
      </c>
      <c r="AE35" s="229">
        <f>AE34+0.1561*7.5*$F35</f>
        <v>692.97037499999988</v>
      </c>
    </row>
    <row r="36" spans="1:35" x14ac:dyDescent="0.25">
      <c r="A36" s="88">
        <f t="shared" si="0"/>
        <v>2022</v>
      </c>
      <c r="B36" s="88">
        <f t="shared" ref="B36:B58" si="17">MOD(ROW(B36)-ROW(B$23),12)+1</f>
        <v>2</v>
      </c>
      <c r="C36" s="89">
        <f t="shared" si="1"/>
        <v>44593</v>
      </c>
      <c r="D36" s="90" t="s">
        <v>154</v>
      </c>
      <c r="E36" s="159">
        <f t="shared" si="2"/>
        <v>0</v>
      </c>
      <c r="F36" s="88">
        <f t="shared" si="3"/>
        <v>28</v>
      </c>
      <c r="G36" s="227">
        <f t="shared" si="15"/>
        <v>28</v>
      </c>
      <c r="H36" s="227">
        <f t="shared" si="5"/>
        <v>28</v>
      </c>
      <c r="I36" s="227">
        <f t="shared" si="5"/>
        <v>28</v>
      </c>
      <c r="J36" s="161">
        <f t="shared" si="6"/>
        <v>0</v>
      </c>
      <c r="K36" s="227">
        <f t="shared" si="8"/>
        <v>28</v>
      </c>
      <c r="L36" s="227">
        <f t="shared" si="8"/>
        <v>28</v>
      </c>
      <c r="M36" s="161">
        <f t="shared" si="14"/>
        <v>28</v>
      </c>
      <c r="N36" s="229">
        <v>23902</v>
      </c>
      <c r="O36" s="229">
        <v>0</v>
      </c>
      <c r="P36" s="302">
        <f t="shared" si="16"/>
        <v>5376</v>
      </c>
      <c r="Q36" s="159">
        <v>1</v>
      </c>
      <c r="R36" s="229">
        <v>800</v>
      </c>
      <c r="S36" s="229">
        <f t="shared" ref="S36:S46" si="18">90*7.5</f>
        <v>675</v>
      </c>
      <c r="T36" s="230">
        <v>26</v>
      </c>
      <c r="U36" s="230">
        <v>31.8</v>
      </c>
      <c r="V36" s="230">
        <v>37</v>
      </c>
      <c r="W36" s="230">
        <f t="shared" si="10"/>
        <v>450.5</v>
      </c>
      <c r="X36" s="231">
        <v>179.2</v>
      </c>
      <c r="Y36" s="231">
        <v>5.3</v>
      </c>
      <c r="Z36" s="231">
        <f t="shared" si="11"/>
        <v>0.5</v>
      </c>
      <c r="AA36" s="232">
        <v>62.37</v>
      </c>
      <c r="AB36" s="231">
        <f t="shared" si="12"/>
        <v>680.72289156626493</v>
      </c>
      <c r="AC36" s="231">
        <f t="shared" si="13"/>
        <v>10.843373493975903</v>
      </c>
      <c r="AE36" s="229">
        <f t="shared" ref="AE36:AE58" si="19">AE35+0.1561*7.5*$F36</f>
        <v>725.75137499999983</v>
      </c>
    </row>
    <row r="37" spans="1:35" x14ac:dyDescent="0.25">
      <c r="A37" s="88">
        <f t="shared" si="0"/>
        <v>2022</v>
      </c>
      <c r="B37" s="88">
        <f t="shared" si="17"/>
        <v>3</v>
      </c>
      <c r="C37" s="89">
        <f t="shared" si="1"/>
        <v>44621</v>
      </c>
      <c r="D37" s="90" t="s">
        <v>155</v>
      </c>
      <c r="E37" s="159">
        <f t="shared" si="2"/>
        <v>0</v>
      </c>
      <c r="F37" s="88">
        <f t="shared" si="3"/>
        <v>31</v>
      </c>
      <c r="G37" s="227">
        <f t="shared" si="15"/>
        <v>31</v>
      </c>
      <c r="H37" s="227">
        <f t="shared" si="5"/>
        <v>31</v>
      </c>
      <c r="I37" s="227">
        <f t="shared" si="5"/>
        <v>31</v>
      </c>
      <c r="J37" s="161">
        <f t="shared" si="6"/>
        <v>0</v>
      </c>
      <c r="K37" s="227">
        <f t="shared" si="8"/>
        <v>31</v>
      </c>
      <c r="L37" s="227">
        <f t="shared" si="8"/>
        <v>31</v>
      </c>
      <c r="M37" s="161">
        <f t="shared" si="14"/>
        <v>31</v>
      </c>
      <c r="N37" s="229">
        <v>27355</v>
      </c>
      <c r="O37" s="229">
        <v>0</v>
      </c>
      <c r="P37" s="302">
        <f t="shared" si="16"/>
        <v>5952</v>
      </c>
      <c r="Q37" s="159">
        <v>1</v>
      </c>
      <c r="R37" s="229">
        <v>800</v>
      </c>
      <c r="S37" s="229">
        <f t="shared" si="18"/>
        <v>675</v>
      </c>
      <c r="T37" s="230">
        <v>26</v>
      </c>
      <c r="U37" s="230">
        <v>31.8</v>
      </c>
      <c r="V37" s="230">
        <v>37</v>
      </c>
      <c r="W37" s="230">
        <f t="shared" si="10"/>
        <v>450.5</v>
      </c>
      <c r="X37" s="231">
        <v>179.2</v>
      </c>
      <c r="Y37" s="231">
        <v>5.3</v>
      </c>
      <c r="Z37" s="231">
        <f t="shared" si="11"/>
        <v>0.5</v>
      </c>
      <c r="AA37" s="232">
        <v>62.37</v>
      </c>
      <c r="AB37" s="231">
        <f t="shared" si="12"/>
        <v>680.72289156626493</v>
      </c>
      <c r="AC37" s="231">
        <f t="shared" si="13"/>
        <v>10.843373493975903</v>
      </c>
      <c r="AE37" s="229">
        <f t="shared" si="19"/>
        <v>762.04462499999977</v>
      </c>
    </row>
    <row r="38" spans="1:35" x14ac:dyDescent="0.25">
      <c r="A38" s="88">
        <f t="shared" si="0"/>
        <v>2022</v>
      </c>
      <c r="B38" s="88">
        <f t="shared" si="17"/>
        <v>4</v>
      </c>
      <c r="C38" s="89">
        <f t="shared" si="1"/>
        <v>44652</v>
      </c>
      <c r="D38" s="90" t="s">
        <v>156</v>
      </c>
      <c r="E38" s="159">
        <f t="shared" si="2"/>
        <v>0</v>
      </c>
      <c r="F38" s="88">
        <f t="shared" si="3"/>
        <v>30</v>
      </c>
      <c r="G38" s="227">
        <f t="shared" si="15"/>
        <v>30</v>
      </c>
      <c r="H38" s="227">
        <f t="shared" si="5"/>
        <v>30</v>
      </c>
      <c r="I38" s="227">
        <f t="shared" si="5"/>
        <v>30</v>
      </c>
      <c r="J38" s="161">
        <f t="shared" si="6"/>
        <v>0</v>
      </c>
      <c r="K38" s="227">
        <f t="shared" si="8"/>
        <v>30</v>
      </c>
      <c r="L38" s="227">
        <f t="shared" si="8"/>
        <v>30</v>
      </c>
      <c r="M38" s="161">
        <f t="shared" si="14"/>
        <v>30</v>
      </c>
      <c r="N38" s="229">
        <v>22497</v>
      </c>
      <c r="O38" s="229">
        <v>0</v>
      </c>
      <c r="P38" s="302">
        <f t="shared" si="16"/>
        <v>5760</v>
      </c>
      <c r="Q38" s="159">
        <v>1</v>
      </c>
      <c r="R38" s="229">
        <v>800</v>
      </c>
      <c r="S38" s="229">
        <f t="shared" si="18"/>
        <v>675</v>
      </c>
      <c r="T38" s="230">
        <v>26</v>
      </c>
      <c r="U38" s="230">
        <v>31.8</v>
      </c>
      <c r="V38" s="230">
        <v>37</v>
      </c>
      <c r="W38" s="230">
        <f t="shared" si="10"/>
        <v>450.5</v>
      </c>
      <c r="X38" s="231">
        <v>179.2</v>
      </c>
      <c r="Y38" s="231">
        <v>5.3</v>
      </c>
      <c r="Z38" s="231">
        <f t="shared" si="11"/>
        <v>0.5</v>
      </c>
      <c r="AA38" s="232">
        <v>62.37</v>
      </c>
      <c r="AB38" s="231">
        <f t="shared" si="12"/>
        <v>680.72289156626493</v>
      </c>
      <c r="AC38" s="231">
        <f t="shared" si="13"/>
        <v>10.843373493975903</v>
      </c>
      <c r="AE38" s="229">
        <f t="shared" si="19"/>
        <v>797.16712499999971</v>
      </c>
    </row>
    <row r="39" spans="1:35" x14ac:dyDescent="0.25">
      <c r="A39" s="88">
        <f t="shared" si="0"/>
        <v>2022</v>
      </c>
      <c r="B39" s="88">
        <f t="shared" si="17"/>
        <v>5</v>
      </c>
      <c r="C39" s="89">
        <f t="shared" si="1"/>
        <v>44682</v>
      </c>
      <c r="D39" s="90" t="s">
        <v>157</v>
      </c>
      <c r="E39" s="159">
        <f t="shared" si="2"/>
        <v>0</v>
      </c>
      <c r="F39" s="88">
        <f t="shared" si="3"/>
        <v>31</v>
      </c>
      <c r="G39" s="227">
        <f t="shared" si="15"/>
        <v>31</v>
      </c>
      <c r="H39" s="227">
        <f t="shared" si="15"/>
        <v>31</v>
      </c>
      <c r="I39" s="227">
        <f t="shared" si="15"/>
        <v>31</v>
      </c>
      <c r="J39" s="161">
        <f t="shared" si="6"/>
        <v>0</v>
      </c>
      <c r="K39" s="227">
        <f t="shared" si="8"/>
        <v>31</v>
      </c>
      <c r="L39" s="227">
        <f t="shared" si="8"/>
        <v>31</v>
      </c>
      <c r="M39" s="161">
        <f t="shared" si="14"/>
        <v>31</v>
      </c>
      <c r="N39" s="229">
        <v>12760</v>
      </c>
      <c r="O39" s="229">
        <v>0</v>
      </c>
      <c r="P39" s="302">
        <f t="shared" si="16"/>
        <v>5952</v>
      </c>
      <c r="Q39" s="159">
        <v>1</v>
      </c>
      <c r="R39" s="229">
        <v>800</v>
      </c>
      <c r="S39" s="229">
        <f t="shared" si="18"/>
        <v>675</v>
      </c>
      <c r="T39" s="230">
        <v>26</v>
      </c>
      <c r="U39" s="230">
        <v>31.8</v>
      </c>
      <c r="V39" s="230">
        <v>37</v>
      </c>
      <c r="W39" s="230">
        <f t="shared" si="10"/>
        <v>450.5</v>
      </c>
      <c r="X39" s="231">
        <v>179.2</v>
      </c>
      <c r="Y39" s="231">
        <v>5.3</v>
      </c>
      <c r="Z39" s="231">
        <f t="shared" si="11"/>
        <v>0.5</v>
      </c>
      <c r="AA39" s="232">
        <v>62.37</v>
      </c>
      <c r="AB39" s="231">
        <f t="shared" si="12"/>
        <v>680.72289156626493</v>
      </c>
      <c r="AC39" s="231">
        <f t="shared" si="13"/>
        <v>10.843373493975903</v>
      </c>
      <c r="AE39" s="229">
        <f t="shared" si="19"/>
        <v>833.46037499999966</v>
      </c>
    </row>
    <row r="40" spans="1:35" x14ac:dyDescent="0.25">
      <c r="A40" s="88">
        <f t="shared" si="0"/>
        <v>2022</v>
      </c>
      <c r="B40" s="88">
        <f t="shared" si="17"/>
        <v>6</v>
      </c>
      <c r="C40" s="89">
        <f t="shared" si="1"/>
        <v>44713</v>
      </c>
      <c r="D40" s="90" t="s">
        <v>158</v>
      </c>
      <c r="E40" s="159">
        <f t="shared" si="2"/>
        <v>0</v>
      </c>
      <c r="F40" s="88">
        <f t="shared" si="3"/>
        <v>30</v>
      </c>
      <c r="G40" s="227">
        <f t="shared" si="15"/>
        <v>30</v>
      </c>
      <c r="H40" s="227">
        <f>F40-4*7</f>
        <v>2</v>
      </c>
      <c r="I40" s="227">
        <f t="shared" si="15"/>
        <v>30</v>
      </c>
      <c r="J40" s="161">
        <f t="shared" si="6"/>
        <v>0</v>
      </c>
      <c r="K40" s="227">
        <f t="shared" ref="K40:L58" si="20">$F40</f>
        <v>30</v>
      </c>
      <c r="L40" s="227">
        <f t="shared" si="20"/>
        <v>30</v>
      </c>
      <c r="M40" s="161">
        <f t="shared" si="14"/>
        <v>2</v>
      </c>
      <c r="N40" s="229">
        <v>6100</v>
      </c>
      <c r="O40" s="229">
        <v>0</v>
      </c>
      <c r="P40" s="302">
        <f t="shared" si="16"/>
        <v>384</v>
      </c>
      <c r="Q40" s="159">
        <v>1</v>
      </c>
      <c r="R40" s="229">
        <v>800</v>
      </c>
      <c r="S40" s="229">
        <f t="shared" si="18"/>
        <v>675</v>
      </c>
      <c r="T40" s="230">
        <v>26</v>
      </c>
      <c r="U40" s="230">
        <v>31.8</v>
      </c>
      <c r="V40" s="230">
        <v>37</v>
      </c>
      <c r="W40" s="230">
        <f t="shared" si="10"/>
        <v>450.5</v>
      </c>
      <c r="X40" s="231">
        <v>179.2</v>
      </c>
      <c r="Y40" s="231">
        <v>5.3</v>
      </c>
      <c r="Z40" s="231">
        <f t="shared" si="11"/>
        <v>0.5</v>
      </c>
      <c r="AA40" s="232">
        <v>62.37</v>
      </c>
      <c r="AB40" s="231">
        <f t="shared" si="12"/>
        <v>680.72289156626493</v>
      </c>
      <c r="AC40" s="231">
        <f t="shared" si="13"/>
        <v>10.843373493975903</v>
      </c>
      <c r="AE40" s="229">
        <f t="shared" si="19"/>
        <v>868.5828749999996</v>
      </c>
    </row>
    <row r="41" spans="1:35" x14ac:dyDescent="0.25">
      <c r="A41" s="88">
        <f t="shared" si="0"/>
        <v>2022</v>
      </c>
      <c r="B41" s="88">
        <f t="shared" si="17"/>
        <v>7</v>
      </c>
      <c r="C41" s="89">
        <f t="shared" si="1"/>
        <v>44743</v>
      </c>
      <c r="D41" s="90" t="s">
        <v>159</v>
      </c>
      <c r="E41" s="159">
        <f t="shared" si="2"/>
        <v>0</v>
      </c>
      <c r="F41" s="88">
        <f t="shared" si="3"/>
        <v>31</v>
      </c>
      <c r="G41" s="227">
        <f>F41-4*7</f>
        <v>3</v>
      </c>
      <c r="H41" s="227">
        <f t="shared" si="15"/>
        <v>31</v>
      </c>
      <c r="I41" s="227">
        <f t="shared" si="15"/>
        <v>31</v>
      </c>
      <c r="J41" s="161">
        <f t="shared" si="6"/>
        <v>0</v>
      </c>
      <c r="K41" s="227">
        <f t="shared" si="20"/>
        <v>31</v>
      </c>
      <c r="L41" s="227">
        <f t="shared" si="20"/>
        <v>31</v>
      </c>
      <c r="M41" s="161">
        <f t="shared" si="14"/>
        <v>31</v>
      </c>
      <c r="N41" s="229">
        <v>6411</v>
      </c>
      <c r="O41" s="229">
        <v>0</v>
      </c>
      <c r="P41" s="302">
        <f t="shared" si="16"/>
        <v>5952</v>
      </c>
      <c r="Q41" s="159">
        <v>1</v>
      </c>
      <c r="R41" s="229">
        <v>800</v>
      </c>
      <c r="S41" s="229">
        <f t="shared" si="18"/>
        <v>675</v>
      </c>
      <c r="T41" s="230">
        <v>26</v>
      </c>
      <c r="U41" s="230">
        <v>31.8</v>
      </c>
      <c r="V41" s="230">
        <v>37</v>
      </c>
      <c r="W41" s="230">
        <f t="shared" si="10"/>
        <v>450.5</v>
      </c>
      <c r="X41" s="231">
        <v>179.2</v>
      </c>
      <c r="Y41" s="231">
        <v>5.3</v>
      </c>
      <c r="Z41" s="231">
        <f t="shared" si="11"/>
        <v>0.5</v>
      </c>
      <c r="AA41" s="232">
        <v>62.37</v>
      </c>
      <c r="AB41" s="231">
        <f t="shared" si="12"/>
        <v>680.72289156626493</v>
      </c>
      <c r="AC41" s="231">
        <f t="shared" si="13"/>
        <v>10.843373493975903</v>
      </c>
      <c r="AE41" s="229">
        <f t="shared" si="19"/>
        <v>904.87612499999955</v>
      </c>
    </row>
    <row r="42" spans="1:35" x14ac:dyDescent="0.25">
      <c r="A42" s="88">
        <f t="shared" si="0"/>
        <v>2022</v>
      </c>
      <c r="B42" s="88">
        <f t="shared" si="17"/>
        <v>8</v>
      </c>
      <c r="C42" s="89">
        <f t="shared" si="1"/>
        <v>44774</v>
      </c>
      <c r="D42" s="90" t="s">
        <v>160</v>
      </c>
      <c r="E42" s="159">
        <f t="shared" si="2"/>
        <v>0</v>
      </c>
      <c r="F42" s="88">
        <f t="shared" si="3"/>
        <v>31</v>
      </c>
      <c r="G42" s="227">
        <f t="shared" ref="G42:G54" si="21">$F42</f>
        <v>31</v>
      </c>
      <c r="H42" s="227">
        <f t="shared" si="15"/>
        <v>31</v>
      </c>
      <c r="I42" s="227">
        <f t="shared" si="15"/>
        <v>31</v>
      </c>
      <c r="J42" s="161">
        <f t="shared" si="6"/>
        <v>0</v>
      </c>
      <c r="K42" s="227">
        <f t="shared" si="20"/>
        <v>31</v>
      </c>
      <c r="L42" s="227">
        <f t="shared" si="20"/>
        <v>31</v>
      </c>
      <c r="M42" s="161">
        <f t="shared" si="14"/>
        <v>31</v>
      </c>
      <c r="N42" s="229">
        <v>7774</v>
      </c>
      <c r="O42" s="229">
        <v>0</v>
      </c>
      <c r="P42" s="302">
        <f t="shared" si="16"/>
        <v>5952</v>
      </c>
      <c r="Q42" s="159">
        <v>1</v>
      </c>
      <c r="R42" s="229">
        <v>800</v>
      </c>
      <c r="S42" s="229">
        <f t="shared" si="18"/>
        <v>675</v>
      </c>
      <c r="T42" s="230">
        <v>26</v>
      </c>
      <c r="U42" s="230">
        <v>31.8</v>
      </c>
      <c r="V42" s="230">
        <v>37</v>
      </c>
      <c r="W42" s="230">
        <f t="shared" si="10"/>
        <v>450.5</v>
      </c>
      <c r="X42" s="231">
        <v>179.2</v>
      </c>
      <c r="Y42" s="231">
        <v>5.3</v>
      </c>
      <c r="Z42" s="231">
        <f t="shared" si="11"/>
        <v>0.5</v>
      </c>
      <c r="AA42" s="232">
        <v>62.37</v>
      </c>
      <c r="AB42" s="231">
        <f t="shared" si="12"/>
        <v>680.72289156626493</v>
      </c>
      <c r="AC42" s="231">
        <f t="shared" si="13"/>
        <v>10.843373493975903</v>
      </c>
      <c r="AE42" s="229">
        <f t="shared" si="19"/>
        <v>941.16937499999949</v>
      </c>
    </row>
    <row r="43" spans="1:35" x14ac:dyDescent="0.25">
      <c r="A43" s="88">
        <f t="shared" si="0"/>
        <v>2022</v>
      </c>
      <c r="B43" s="88">
        <f t="shared" si="17"/>
        <v>9</v>
      </c>
      <c r="C43" s="89">
        <f t="shared" si="1"/>
        <v>44805</v>
      </c>
      <c r="D43" s="90" t="s">
        <v>161</v>
      </c>
      <c r="E43" s="159">
        <f t="shared" si="2"/>
        <v>0</v>
      </c>
      <c r="F43" s="88">
        <f t="shared" si="3"/>
        <v>30</v>
      </c>
      <c r="G43" s="227">
        <f t="shared" si="21"/>
        <v>30</v>
      </c>
      <c r="H43" s="227">
        <f t="shared" si="15"/>
        <v>30</v>
      </c>
      <c r="I43" s="227">
        <f t="shared" si="15"/>
        <v>30</v>
      </c>
      <c r="J43" s="161">
        <f t="shared" si="6"/>
        <v>0</v>
      </c>
      <c r="K43" s="227">
        <f t="shared" si="20"/>
        <v>30</v>
      </c>
      <c r="L43" s="227">
        <f t="shared" si="20"/>
        <v>30</v>
      </c>
      <c r="M43" s="161">
        <f t="shared" si="14"/>
        <v>30</v>
      </c>
      <c r="N43" s="229">
        <v>8886</v>
      </c>
      <c r="O43" s="229">
        <v>0</v>
      </c>
      <c r="P43" s="302">
        <f t="shared" si="16"/>
        <v>5760</v>
      </c>
      <c r="Q43" s="159">
        <v>1</v>
      </c>
      <c r="R43" s="229">
        <v>800</v>
      </c>
      <c r="S43" s="229">
        <f t="shared" si="18"/>
        <v>675</v>
      </c>
      <c r="T43" s="230">
        <v>26</v>
      </c>
      <c r="U43" s="230">
        <v>31.8</v>
      </c>
      <c r="V43" s="230">
        <v>37</v>
      </c>
      <c r="W43" s="230">
        <f t="shared" si="10"/>
        <v>450.5</v>
      </c>
      <c r="X43" s="231">
        <v>179.2</v>
      </c>
      <c r="Y43" s="231">
        <v>5.3</v>
      </c>
      <c r="Z43" s="231">
        <f t="shared" si="11"/>
        <v>0.5</v>
      </c>
      <c r="AA43" s="232">
        <v>62.37</v>
      </c>
      <c r="AB43" s="231">
        <f t="shared" si="12"/>
        <v>680.72289156626493</v>
      </c>
      <c r="AC43" s="231">
        <f t="shared" si="13"/>
        <v>10.843373493975903</v>
      </c>
      <c r="AE43" s="229">
        <f t="shared" si="19"/>
        <v>976.29187499999944</v>
      </c>
    </row>
    <row r="44" spans="1:35" x14ac:dyDescent="0.25">
      <c r="A44" s="88">
        <f t="shared" si="0"/>
        <v>2022</v>
      </c>
      <c r="B44" s="88">
        <f t="shared" si="17"/>
        <v>10</v>
      </c>
      <c r="C44" s="89">
        <f t="shared" si="1"/>
        <v>44835</v>
      </c>
      <c r="D44" s="90" t="s">
        <v>162</v>
      </c>
      <c r="E44" s="159">
        <f t="shared" si="2"/>
        <v>0</v>
      </c>
      <c r="F44" s="88">
        <f t="shared" si="3"/>
        <v>31</v>
      </c>
      <c r="G44" s="227">
        <f t="shared" si="21"/>
        <v>31</v>
      </c>
      <c r="H44" s="227">
        <f t="shared" si="15"/>
        <v>31</v>
      </c>
      <c r="I44" s="227">
        <f t="shared" si="15"/>
        <v>31</v>
      </c>
      <c r="J44" s="161">
        <f t="shared" si="6"/>
        <v>0</v>
      </c>
      <c r="K44" s="227">
        <f t="shared" si="20"/>
        <v>31</v>
      </c>
      <c r="L44" s="227">
        <f t="shared" si="20"/>
        <v>31</v>
      </c>
      <c r="M44" s="161">
        <f t="shared" si="14"/>
        <v>31</v>
      </c>
      <c r="N44" s="229">
        <v>15610</v>
      </c>
      <c r="O44" s="229">
        <v>0</v>
      </c>
      <c r="P44" s="302">
        <f t="shared" si="16"/>
        <v>5952</v>
      </c>
      <c r="Q44" s="159">
        <v>1</v>
      </c>
      <c r="R44" s="229">
        <v>800</v>
      </c>
      <c r="S44" s="229">
        <f t="shared" si="18"/>
        <v>675</v>
      </c>
      <c r="T44" s="230">
        <v>26</v>
      </c>
      <c r="U44" s="230">
        <v>31.8</v>
      </c>
      <c r="V44" s="230">
        <v>37</v>
      </c>
      <c r="W44" s="230">
        <f t="shared" si="10"/>
        <v>450.5</v>
      </c>
      <c r="X44" s="231">
        <v>179.2</v>
      </c>
      <c r="Y44" s="231">
        <v>5.3</v>
      </c>
      <c r="Z44" s="231">
        <f t="shared" si="11"/>
        <v>0.5</v>
      </c>
      <c r="AA44" s="232">
        <v>62.37</v>
      </c>
      <c r="AB44" s="231">
        <f t="shared" si="12"/>
        <v>680.72289156626493</v>
      </c>
      <c r="AC44" s="231">
        <f t="shared" si="13"/>
        <v>10.843373493975903</v>
      </c>
      <c r="AE44" s="229">
        <f t="shared" si="19"/>
        <v>1012.5851249999994</v>
      </c>
    </row>
    <row r="45" spans="1:35" x14ac:dyDescent="0.25">
      <c r="A45" s="88">
        <f t="shared" si="0"/>
        <v>2022</v>
      </c>
      <c r="B45" s="88">
        <f t="shared" si="17"/>
        <v>11</v>
      </c>
      <c r="C45" s="89">
        <f t="shared" si="1"/>
        <v>44866</v>
      </c>
      <c r="D45" s="90" t="s">
        <v>163</v>
      </c>
      <c r="E45" s="159">
        <f t="shared" si="2"/>
        <v>0</v>
      </c>
      <c r="F45" s="88">
        <f t="shared" si="3"/>
        <v>30</v>
      </c>
      <c r="G45" s="227">
        <f t="shared" si="21"/>
        <v>30</v>
      </c>
      <c r="H45" s="227">
        <f t="shared" si="15"/>
        <v>30</v>
      </c>
      <c r="I45" s="227">
        <f t="shared" si="15"/>
        <v>30</v>
      </c>
      <c r="J45" s="161">
        <f t="shared" si="6"/>
        <v>7.8125</v>
      </c>
      <c r="K45" s="227">
        <f t="shared" si="20"/>
        <v>30</v>
      </c>
      <c r="L45" s="227">
        <f t="shared" si="20"/>
        <v>30</v>
      </c>
      <c r="M45" s="161">
        <f t="shared" si="14"/>
        <v>30</v>
      </c>
      <c r="N45" s="229">
        <v>20410</v>
      </c>
      <c r="O45" s="229">
        <v>1500</v>
      </c>
      <c r="P45" s="302">
        <f t="shared" si="16"/>
        <v>5760</v>
      </c>
      <c r="Q45" s="159">
        <v>1</v>
      </c>
      <c r="R45" s="229">
        <v>800</v>
      </c>
      <c r="S45" s="229">
        <f t="shared" si="18"/>
        <v>675</v>
      </c>
      <c r="T45" s="230">
        <v>26</v>
      </c>
      <c r="U45" s="230">
        <v>31.8</v>
      </c>
      <c r="V45" s="230">
        <v>37</v>
      </c>
      <c r="W45" s="230">
        <f t="shared" si="10"/>
        <v>450.5</v>
      </c>
      <c r="X45" s="231">
        <v>179.2</v>
      </c>
      <c r="Y45" s="231">
        <v>5.3</v>
      </c>
      <c r="Z45" s="231">
        <f t="shared" si="11"/>
        <v>0.5</v>
      </c>
      <c r="AA45" s="232">
        <v>62.37</v>
      </c>
      <c r="AB45" s="231">
        <f t="shared" si="12"/>
        <v>680.72289156626493</v>
      </c>
      <c r="AC45" s="231">
        <f t="shared" si="13"/>
        <v>10.843373493975903</v>
      </c>
      <c r="AE45" s="229">
        <f t="shared" si="19"/>
        <v>1047.7076249999993</v>
      </c>
    </row>
    <row r="46" spans="1:35" x14ac:dyDescent="0.25">
      <c r="A46" s="91">
        <f t="shared" si="0"/>
        <v>2022</v>
      </c>
      <c r="B46" s="91">
        <f t="shared" si="17"/>
        <v>12</v>
      </c>
      <c r="C46" s="92">
        <f t="shared" si="1"/>
        <v>44896</v>
      </c>
      <c r="D46" s="93" t="s">
        <v>164</v>
      </c>
      <c r="E46" s="160">
        <f t="shared" si="2"/>
        <v>0</v>
      </c>
      <c r="F46" s="91">
        <f t="shared" si="3"/>
        <v>31</v>
      </c>
      <c r="G46" s="228">
        <f t="shared" si="21"/>
        <v>31</v>
      </c>
      <c r="H46" s="228">
        <f t="shared" si="15"/>
        <v>31</v>
      </c>
      <c r="I46" s="228">
        <f t="shared" si="15"/>
        <v>31</v>
      </c>
      <c r="J46" s="162">
        <f t="shared" si="6"/>
        <v>29.166666666666668</v>
      </c>
      <c r="K46" s="228">
        <f t="shared" si="20"/>
        <v>31</v>
      </c>
      <c r="L46" s="228">
        <f t="shared" si="20"/>
        <v>31</v>
      </c>
      <c r="M46" s="162">
        <f t="shared" si="14"/>
        <v>31</v>
      </c>
      <c r="N46" s="233">
        <v>25475</v>
      </c>
      <c r="O46" s="233">
        <v>5600</v>
      </c>
      <c r="P46" s="301">
        <f t="shared" si="16"/>
        <v>5952</v>
      </c>
      <c r="Q46" s="160">
        <v>1</v>
      </c>
      <c r="R46" s="233">
        <v>800</v>
      </c>
      <c r="S46" s="233">
        <f t="shared" si="18"/>
        <v>675</v>
      </c>
      <c r="T46" s="234">
        <v>26</v>
      </c>
      <c r="U46" s="234">
        <v>31.8</v>
      </c>
      <c r="V46" s="234">
        <v>37</v>
      </c>
      <c r="W46" s="234">
        <f t="shared" si="10"/>
        <v>450.5</v>
      </c>
      <c r="X46" s="235">
        <v>179.2</v>
      </c>
      <c r="Y46" s="235">
        <v>5.3</v>
      </c>
      <c r="Z46" s="235">
        <f t="shared" si="11"/>
        <v>0.5</v>
      </c>
      <c r="AA46" s="236">
        <v>62.37</v>
      </c>
      <c r="AB46" s="235">
        <f t="shared" si="12"/>
        <v>680.72289156626493</v>
      </c>
      <c r="AC46" s="235">
        <f t="shared" si="13"/>
        <v>10.843373493975903</v>
      </c>
      <c r="AE46" s="233">
        <f t="shared" si="19"/>
        <v>1084.0008749999993</v>
      </c>
    </row>
    <row r="47" spans="1:35" x14ac:dyDescent="0.25">
      <c r="A47" s="88">
        <f t="shared" si="0"/>
        <v>2023</v>
      </c>
      <c r="B47" s="88">
        <f t="shared" si="17"/>
        <v>1</v>
      </c>
      <c r="C47" s="89">
        <f t="shared" si="1"/>
        <v>44927</v>
      </c>
      <c r="D47" s="90" t="s">
        <v>165</v>
      </c>
      <c r="E47" s="158">
        <f t="shared" si="2"/>
        <v>0</v>
      </c>
      <c r="F47" s="88">
        <f t="shared" si="3"/>
        <v>31</v>
      </c>
      <c r="G47" s="227">
        <f t="shared" si="21"/>
        <v>31</v>
      </c>
      <c r="H47" s="227">
        <f t="shared" si="15"/>
        <v>31</v>
      </c>
      <c r="I47" s="227">
        <f t="shared" si="15"/>
        <v>31</v>
      </c>
      <c r="J47" s="163">
        <f t="shared" si="6"/>
        <v>20.833333333333332</v>
      </c>
      <c r="K47" s="227">
        <f t="shared" si="20"/>
        <v>31</v>
      </c>
      <c r="L47" s="227">
        <f t="shared" si="20"/>
        <v>31</v>
      </c>
      <c r="M47" s="163">
        <f t="shared" si="14"/>
        <v>31</v>
      </c>
      <c r="N47" s="229">
        <v>35300</v>
      </c>
      <c r="O47" s="229">
        <v>4000</v>
      </c>
      <c r="P47" s="302">
        <f t="shared" si="16"/>
        <v>5952</v>
      </c>
      <c r="Q47" s="158">
        <v>1</v>
      </c>
      <c r="R47" s="229">
        <v>400</v>
      </c>
      <c r="S47" s="229">
        <f t="shared" ref="S47:S58" si="22">S46+0.1561*7.5*$F47</f>
        <v>711.29324999999994</v>
      </c>
      <c r="T47" s="230">
        <v>26</v>
      </c>
      <c r="U47" s="230">
        <v>31.8</v>
      </c>
      <c r="V47" s="230">
        <v>37</v>
      </c>
      <c r="W47" s="230">
        <f t="shared" si="10"/>
        <v>450.5</v>
      </c>
      <c r="X47" s="231">
        <v>179.2</v>
      </c>
      <c r="Y47" s="231">
        <f t="shared" ref="Y47:Y58" si="23">5.3*1.1</f>
        <v>5.83</v>
      </c>
      <c r="Z47" s="231">
        <f t="shared" si="11"/>
        <v>0.5</v>
      </c>
      <c r="AA47" s="232">
        <v>62.37</v>
      </c>
      <c r="AB47" s="231">
        <f t="shared" si="12"/>
        <v>680.72289156626493</v>
      </c>
      <c r="AC47" s="231">
        <f t="shared" si="13"/>
        <v>10.843373493975903</v>
      </c>
      <c r="AE47" s="229">
        <f t="shared" si="19"/>
        <v>1120.2941249999992</v>
      </c>
    </row>
    <row r="48" spans="1:35" x14ac:dyDescent="0.25">
      <c r="A48" s="88">
        <f t="shared" si="0"/>
        <v>2023</v>
      </c>
      <c r="B48" s="88">
        <f t="shared" si="17"/>
        <v>2</v>
      </c>
      <c r="C48" s="89">
        <f t="shared" si="1"/>
        <v>44958</v>
      </c>
      <c r="D48" s="90" t="s">
        <v>166</v>
      </c>
      <c r="E48" s="159">
        <f t="shared" si="2"/>
        <v>0</v>
      </c>
      <c r="F48" s="88">
        <f t="shared" si="3"/>
        <v>28</v>
      </c>
      <c r="G48" s="227">
        <f t="shared" si="21"/>
        <v>28</v>
      </c>
      <c r="H48" s="227">
        <f t="shared" si="15"/>
        <v>28</v>
      </c>
      <c r="I48" s="227">
        <f t="shared" si="15"/>
        <v>28</v>
      </c>
      <c r="J48" s="161">
        <f t="shared" si="6"/>
        <v>0</v>
      </c>
      <c r="K48" s="227">
        <f t="shared" si="20"/>
        <v>28</v>
      </c>
      <c r="L48" s="227">
        <f t="shared" si="20"/>
        <v>28</v>
      </c>
      <c r="M48" s="161">
        <f t="shared" si="14"/>
        <v>28</v>
      </c>
      <c r="N48" s="229">
        <v>32000</v>
      </c>
      <c r="O48" s="229">
        <v>0</v>
      </c>
      <c r="P48" s="302">
        <f t="shared" ref="P48:P58" si="24">8*H48*24</f>
        <v>5376</v>
      </c>
      <c r="Q48" s="159">
        <v>1</v>
      </c>
      <c r="R48" s="229">
        <v>400</v>
      </c>
      <c r="S48" s="229">
        <f t="shared" si="22"/>
        <v>744.07424999999989</v>
      </c>
      <c r="T48" s="230">
        <v>26</v>
      </c>
      <c r="U48" s="230">
        <v>31.8</v>
      </c>
      <c r="V48" s="230">
        <v>37</v>
      </c>
      <c r="W48" s="230">
        <f t="shared" si="10"/>
        <v>450.5</v>
      </c>
      <c r="X48" s="231">
        <v>179.2</v>
      </c>
      <c r="Y48" s="231">
        <f t="shared" si="23"/>
        <v>5.83</v>
      </c>
      <c r="Z48" s="231">
        <f t="shared" si="11"/>
        <v>0.5</v>
      </c>
      <c r="AA48" s="232">
        <v>62.37</v>
      </c>
      <c r="AB48" s="231">
        <f t="shared" si="12"/>
        <v>680.72289156626493</v>
      </c>
      <c r="AC48" s="231">
        <f t="shared" si="13"/>
        <v>10.843373493975903</v>
      </c>
      <c r="AE48" s="229">
        <f t="shared" si="19"/>
        <v>1153.0751249999992</v>
      </c>
    </row>
    <row r="49" spans="1:31" x14ac:dyDescent="0.25">
      <c r="A49" s="88">
        <f t="shared" si="0"/>
        <v>2023</v>
      </c>
      <c r="B49" s="88">
        <f t="shared" si="17"/>
        <v>3</v>
      </c>
      <c r="C49" s="89">
        <f t="shared" si="1"/>
        <v>44986</v>
      </c>
      <c r="D49" s="90" t="s">
        <v>167</v>
      </c>
      <c r="E49" s="159">
        <f t="shared" si="2"/>
        <v>0</v>
      </c>
      <c r="F49" s="88">
        <f t="shared" si="3"/>
        <v>31</v>
      </c>
      <c r="G49" s="227">
        <f t="shared" si="21"/>
        <v>31</v>
      </c>
      <c r="H49" s="227">
        <f t="shared" si="15"/>
        <v>31</v>
      </c>
      <c r="I49" s="227">
        <f t="shared" si="15"/>
        <v>31</v>
      </c>
      <c r="J49" s="161">
        <f t="shared" si="6"/>
        <v>0</v>
      </c>
      <c r="K49" s="227">
        <f t="shared" si="20"/>
        <v>31</v>
      </c>
      <c r="L49" s="227">
        <f t="shared" si="20"/>
        <v>31</v>
      </c>
      <c r="M49" s="161">
        <f t="shared" si="14"/>
        <v>31</v>
      </c>
      <c r="N49" s="229">
        <v>29500</v>
      </c>
      <c r="O49" s="229">
        <v>0</v>
      </c>
      <c r="P49" s="302">
        <f t="shared" si="24"/>
        <v>5952</v>
      </c>
      <c r="Q49" s="159">
        <v>1</v>
      </c>
      <c r="R49" s="229">
        <v>400</v>
      </c>
      <c r="S49" s="229">
        <f t="shared" si="22"/>
        <v>780.36749999999984</v>
      </c>
      <c r="T49" s="230">
        <v>26</v>
      </c>
      <c r="U49" s="230">
        <v>31.8</v>
      </c>
      <c r="V49" s="230">
        <v>37</v>
      </c>
      <c r="W49" s="230">
        <f t="shared" si="10"/>
        <v>450.5</v>
      </c>
      <c r="X49" s="231">
        <v>179.2</v>
      </c>
      <c r="Y49" s="231">
        <f t="shared" si="23"/>
        <v>5.83</v>
      </c>
      <c r="Z49" s="231">
        <f t="shared" si="11"/>
        <v>0.5</v>
      </c>
      <c r="AA49" s="232">
        <v>62.37</v>
      </c>
      <c r="AB49" s="231">
        <f t="shared" si="12"/>
        <v>680.72289156626493</v>
      </c>
      <c r="AC49" s="231">
        <f t="shared" si="13"/>
        <v>10.843373493975903</v>
      </c>
      <c r="AE49" s="229">
        <f t="shared" si="19"/>
        <v>1189.3683749999991</v>
      </c>
    </row>
    <row r="50" spans="1:31" x14ac:dyDescent="0.25">
      <c r="A50" s="88">
        <f t="shared" si="0"/>
        <v>2023</v>
      </c>
      <c r="B50" s="88">
        <f t="shared" si="17"/>
        <v>4</v>
      </c>
      <c r="C50" s="89">
        <f t="shared" si="1"/>
        <v>45017</v>
      </c>
      <c r="D50" s="90" t="s">
        <v>168</v>
      </c>
      <c r="E50" s="159">
        <f t="shared" si="2"/>
        <v>0</v>
      </c>
      <c r="F50" s="88">
        <f t="shared" si="3"/>
        <v>30</v>
      </c>
      <c r="G50" s="227">
        <f t="shared" si="21"/>
        <v>30</v>
      </c>
      <c r="H50" s="227">
        <f t="shared" si="15"/>
        <v>30</v>
      </c>
      <c r="I50" s="227">
        <f t="shared" si="15"/>
        <v>30</v>
      </c>
      <c r="J50" s="161">
        <f t="shared" si="6"/>
        <v>0</v>
      </c>
      <c r="K50" s="227">
        <f t="shared" si="20"/>
        <v>30</v>
      </c>
      <c r="L50" s="227">
        <f t="shared" si="20"/>
        <v>30</v>
      </c>
      <c r="M50" s="161">
        <f t="shared" si="14"/>
        <v>30</v>
      </c>
      <c r="N50" s="229">
        <v>20000</v>
      </c>
      <c r="O50" s="229">
        <v>0</v>
      </c>
      <c r="P50" s="302">
        <f t="shared" si="24"/>
        <v>5760</v>
      </c>
      <c r="Q50" s="159">
        <v>1</v>
      </c>
      <c r="R50" s="229">
        <v>400</v>
      </c>
      <c r="S50" s="229">
        <f t="shared" si="22"/>
        <v>815.48999999999978</v>
      </c>
      <c r="T50" s="230">
        <v>26</v>
      </c>
      <c r="U50" s="230">
        <v>31.8</v>
      </c>
      <c r="V50" s="230">
        <v>37</v>
      </c>
      <c r="W50" s="230">
        <f t="shared" si="10"/>
        <v>450.5</v>
      </c>
      <c r="X50" s="231">
        <v>179.2</v>
      </c>
      <c r="Y50" s="231">
        <f t="shared" si="23"/>
        <v>5.83</v>
      </c>
      <c r="Z50" s="231">
        <f t="shared" si="11"/>
        <v>0.5</v>
      </c>
      <c r="AA50" s="232">
        <v>62.37</v>
      </c>
      <c r="AB50" s="231">
        <f t="shared" si="12"/>
        <v>680.72289156626493</v>
      </c>
      <c r="AC50" s="231">
        <f t="shared" si="13"/>
        <v>10.843373493975903</v>
      </c>
      <c r="AE50" s="229">
        <f t="shared" si="19"/>
        <v>1224.4908749999991</v>
      </c>
    </row>
    <row r="51" spans="1:31" x14ac:dyDescent="0.25">
      <c r="A51" s="88">
        <f t="shared" si="0"/>
        <v>2023</v>
      </c>
      <c r="B51" s="88">
        <f t="shared" si="17"/>
        <v>5</v>
      </c>
      <c r="C51" s="89">
        <f t="shared" si="1"/>
        <v>45047</v>
      </c>
      <c r="D51" s="90" t="s">
        <v>169</v>
      </c>
      <c r="E51" s="159">
        <f t="shared" si="2"/>
        <v>0</v>
      </c>
      <c r="F51" s="88">
        <f t="shared" si="3"/>
        <v>31</v>
      </c>
      <c r="G51" s="227">
        <f t="shared" si="21"/>
        <v>31</v>
      </c>
      <c r="H51" s="227">
        <f t="shared" si="15"/>
        <v>31</v>
      </c>
      <c r="I51" s="227">
        <f t="shared" si="15"/>
        <v>31</v>
      </c>
      <c r="J51" s="161">
        <f t="shared" si="6"/>
        <v>0</v>
      </c>
      <c r="K51" s="227">
        <f t="shared" si="20"/>
        <v>31</v>
      </c>
      <c r="L51" s="227">
        <f t="shared" si="20"/>
        <v>31</v>
      </c>
      <c r="M51" s="161">
        <f t="shared" si="14"/>
        <v>31</v>
      </c>
      <c r="N51" s="229">
        <v>13000</v>
      </c>
      <c r="O51" s="229">
        <v>0</v>
      </c>
      <c r="P51" s="302">
        <f t="shared" si="24"/>
        <v>5952</v>
      </c>
      <c r="Q51" s="159">
        <v>1</v>
      </c>
      <c r="R51" s="229">
        <v>400</v>
      </c>
      <c r="S51" s="229">
        <f t="shared" si="22"/>
        <v>851.78324999999973</v>
      </c>
      <c r="T51" s="230">
        <v>26</v>
      </c>
      <c r="U51" s="230">
        <v>31.8</v>
      </c>
      <c r="V51" s="230">
        <v>37</v>
      </c>
      <c r="W51" s="230">
        <f t="shared" si="10"/>
        <v>450.5</v>
      </c>
      <c r="X51" s="231">
        <v>179.2</v>
      </c>
      <c r="Y51" s="231">
        <f t="shared" si="23"/>
        <v>5.83</v>
      </c>
      <c r="Z51" s="231">
        <f t="shared" si="11"/>
        <v>0.5</v>
      </c>
      <c r="AA51" s="232">
        <v>62.37</v>
      </c>
      <c r="AB51" s="231">
        <f t="shared" si="12"/>
        <v>680.72289156626493</v>
      </c>
      <c r="AC51" s="231">
        <f t="shared" si="13"/>
        <v>10.843373493975903</v>
      </c>
      <c r="AE51" s="229">
        <f t="shared" si="19"/>
        <v>1260.784124999999</v>
      </c>
    </row>
    <row r="52" spans="1:31" x14ac:dyDescent="0.25">
      <c r="A52" s="88">
        <f t="shared" si="0"/>
        <v>2023</v>
      </c>
      <c r="B52" s="88">
        <f t="shared" si="17"/>
        <v>6</v>
      </c>
      <c r="C52" s="89">
        <f t="shared" si="1"/>
        <v>45078</v>
      </c>
      <c r="D52" s="90" t="s">
        <v>170</v>
      </c>
      <c r="E52" s="159">
        <f t="shared" si="2"/>
        <v>0</v>
      </c>
      <c r="F52" s="88">
        <f t="shared" si="3"/>
        <v>30</v>
      </c>
      <c r="G52" s="227">
        <f t="shared" si="21"/>
        <v>30</v>
      </c>
      <c r="H52" s="227">
        <f>F52-4*7</f>
        <v>2</v>
      </c>
      <c r="I52" s="227">
        <f t="shared" si="15"/>
        <v>30</v>
      </c>
      <c r="J52" s="161">
        <f t="shared" si="6"/>
        <v>0</v>
      </c>
      <c r="K52" s="227">
        <f t="shared" si="20"/>
        <v>30</v>
      </c>
      <c r="L52" s="227">
        <f t="shared" si="20"/>
        <v>30</v>
      </c>
      <c r="M52" s="161">
        <f t="shared" si="14"/>
        <v>2</v>
      </c>
      <c r="N52" s="229">
        <v>7500</v>
      </c>
      <c r="O52" s="229">
        <v>0</v>
      </c>
      <c r="P52" s="302">
        <f t="shared" si="24"/>
        <v>384</v>
      </c>
      <c r="Q52" s="159">
        <v>1</v>
      </c>
      <c r="R52" s="229">
        <v>400</v>
      </c>
      <c r="S52" s="229">
        <f t="shared" si="22"/>
        <v>886.90574999999967</v>
      </c>
      <c r="T52" s="230">
        <v>26</v>
      </c>
      <c r="U52" s="230">
        <v>31.8</v>
      </c>
      <c r="V52" s="230">
        <v>37</v>
      </c>
      <c r="W52" s="230">
        <f t="shared" si="10"/>
        <v>450.5</v>
      </c>
      <c r="X52" s="231">
        <v>179.2</v>
      </c>
      <c r="Y52" s="231">
        <f t="shared" si="23"/>
        <v>5.83</v>
      </c>
      <c r="Z52" s="231">
        <f t="shared" si="11"/>
        <v>0.5</v>
      </c>
      <c r="AA52" s="232">
        <v>62.37</v>
      </c>
      <c r="AB52" s="231">
        <f t="shared" si="12"/>
        <v>680.72289156626493</v>
      </c>
      <c r="AC52" s="231">
        <f t="shared" si="13"/>
        <v>10.843373493975903</v>
      </c>
      <c r="AE52" s="229">
        <f t="shared" si="19"/>
        <v>1295.9066249999989</v>
      </c>
    </row>
    <row r="53" spans="1:31" x14ac:dyDescent="0.25">
      <c r="A53" s="88">
        <f t="shared" si="0"/>
        <v>2023</v>
      </c>
      <c r="B53" s="88">
        <f t="shared" si="17"/>
        <v>7</v>
      </c>
      <c r="C53" s="89">
        <f t="shared" si="1"/>
        <v>45108</v>
      </c>
      <c r="D53" s="90" t="s">
        <v>171</v>
      </c>
      <c r="E53" s="159">
        <f t="shared" si="2"/>
        <v>0</v>
      </c>
      <c r="F53" s="88">
        <f t="shared" si="3"/>
        <v>31</v>
      </c>
      <c r="G53" s="227">
        <f>F53-4*7</f>
        <v>3</v>
      </c>
      <c r="H53" s="227">
        <f t="shared" si="15"/>
        <v>31</v>
      </c>
      <c r="I53" s="227">
        <f t="shared" si="15"/>
        <v>31</v>
      </c>
      <c r="J53" s="161">
        <f t="shared" si="6"/>
        <v>0</v>
      </c>
      <c r="K53" s="227">
        <f t="shared" si="20"/>
        <v>31</v>
      </c>
      <c r="L53" s="227">
        <f t="shared" si="20"/>
        <v>31</v>
      </c>
      <c r="M53" s="161">
        <f t="shared" si="14"/>
        <v>31</v>
      </c>
      <c r="N53" s="229">
        <v>7500</v>
      </c>
      <c r="O53" s="229">
        <v>0</v>
      </c>
      <c r="P53" s="302">
        <f t="shared" si="24"/>
        <v>5952</v>
      </c>
      <c r="Q53" s="159">
        <v>1</v>
      </c>
      <c r="R53" s="229">
        <v>400</v>
      </c>
      <c r="S53" s="229">
        <f t="shared" si="22"/>
        <v>923.19899999999961</v>
      </c>
      <c r="T53" s="230">
        <v>26</v>
      </c>
      <c r="U53" s="230">
        <v>31.8</v>
      </c>
      <c r="V53" s="230">
        <v>37</v>
      </c>
      <c r="W53" s="230">
        <f t="shared" si="10"/>
        <v>450.5</v>
      </c>
      <c r="X53" s="231">
        <v>179.2</v>
      </c>
      <c r="Y53" s="231">
        <f t="shared" si="23"/>
        <v>5.83</v>
      </c>
      <c r="Z53" s="231">
        <f t="shared" si="11"/>
        <v>0.5</v>
      </c>
      <c r="AA53" s="232">
        <v>62.37</v>
      </c>
      <c r="AB53" s="231">
        <f t="shared" si="12"/>
        <v>680.72289156626493</v>
      </c>
      <c r="AC53" s="231">
        <f t="shared" si="13"/>
        <v>10.843373493975903</v>
      </c>
      <c r="AE53" s="229">
        <f t="shared" si="19"/>
        <v>1332.1998749999989</v>
      </c>
    </row>
    <row r="54" spans="1:31" x14ac:dyDescent="0.25">
      <c r="A54" s="88">
        <f t="shared" si="0"/>
        <v>2023</v>
      </c>
      <c r="B54" s="88">
        <f t="shared" si="17"/>
        <v>8</v>
      </c>
      <c r="C54" s="89">
        <f t="shared" si="1"/>
        <v>45139</v>
      </c>
      <c r="D54" s="90" t="s">
        <v>172</v>
      </c>
      <c r="E54" s="159">
        <f t="shared" si="2"/>
        <v>0</v>
      </c>
      <c r="F54" s="88">
        <f t="shared" si="3"/>
        <v>31</v>
      </c>
      <c r="G54" s="227">
        <f t="shared" si="21"/>
        <v>31</v>
      </c>
      <c r="H54" s="227">
        <f t="shared" si="15"/>
        <v>31</v>
      </c>
      <c r="I54" s="227">
        <f t="shared" si="15"/>
        <v>31</v>
      </c>
      <c r="J54" s="161">
        <f t="shared" si="6"/>
        <v>0</v>
      </c>
      <c r="K54" s="227">
        <f t="shared" si="20"/>
        <v>31</v>
      </c>
      <c r="L54" s="227">
        <f t="shared" si="20"/>
        <v>31</v>
      </c>
      <c r="M54" s="161">
        <f t="shared" si="14"/>
        <v>31</v>
      </c>
      <c r="N54" s="229">
        <v>7000</v>
      </c>
      <c r="O54" s="229">
        <v>0</v>
      </c>
      <c r="P54" s="302">
        <f t="shared" si="24"/>
        <v>5952</v>
      </c>
      <c r="Q54" s="159">
        <v>1</v>
      </c>
      <c r="R54" s="229">
        <v>400</v>
      </c>
      <c r="S54" s="229">
        <f t="shared" si="22"/>
        <v>959.49224999999956</v>
      </c>
      <c r="T54" s="230">
        <v>26</v>
      </c>
      <c r="U54" s="230">
        <v>31.8</v>
      </c>
      <c r="V54" s="230">
        <v>37</v>
      </c>
      <c r="W54" s="230">
        <f t="shared" si="10"/>
        <v>450.5</v>
      </c>
      <c r="X54" s="231">
        <v>179.2</v>
      </c>
      <c r="Y54" s="231">
        <f t="shared" si="23"/>
        <v>5.83</v>
      </c>
      <c r="Z54" s="231">
        <f t="shared" si="11"/>
        <v>0.5</v>
      </c>
      <c r="AA54" s="232">
        <v>62.37</v>
      </c>
      <c r="AB54" s="231">
        <f t="shared" si="12"/>
        <v>680.72289156626493</v>
      </c>
      <c r="AC54" s="231">
        <f t="shared" si="13"/>
        <v>10.843373493975903</v>
      </c>
      <c r="AE54" s="229">
        <f t="shared" si="19"/>
        <v>1368.4931249999988</v>
      </c>
    </row>
    <row r="55" spans="1:31" x14ac:dyDescent="0.25">
      <c r="A55" s="88">
        <f t="shared" si="0"/>
        <v>2023</v>
      </c>
      <c r="B55" s="88">
        <f t="shared" si="17"/>
        <v>9</v>
      </c>
      <c r="C55" s="89">
        <f t="shared" si="1"/>
        <v>45170</v>
      </c>
      <c r="D55" s="90" t="s">
        <v>173</v>
      </c>
      <c r="E55" s="159">
        <f t="shared" si="2"/>
        <v>0</v>
      </c>
      <c r="F55" s="88">
        <f t="shared" si="3"/>
        <v>30</v>
      </c>
      <c r="G55" s="227">
        <f>$F55</f>
        <v>30</v>
      </c>
      <c r="H55" s="227">
        <f t="shared" si="15"/>
        <v>30</v>
      </c>
      <c r="I55" s="227">
        <f t="shared" si="15"/>
        <v>30</v>
      </c>
      <c r="J55" s="161">
        <f t="shared" si="6"/>
        <v>0</v>
      </c>
      <c r="K55" s="227">
        <f t="shared" si="20"/>
        <v>30</v>
      </c>
      <c r="L55" s="227">
        <f t="shared" si="20"/>
        <v>30</v>
      </c>
      <c r="M55" s="161">
        <f t="shared" si="14"/>
        <v>30</v>
      </c>
      <c r="N55" s="229">
        <v>8000</v>
      </c>
      <c r="O55" s="229">
        <v>0</v>
      </c>
      <c r="P55" s="302">
        <f t="shared" si="24"/>
        <v>5760</v>
      </c>
      <c r="Q55" s="159">
        <v>1</v>
      </c>
      <c r="R55" s="229">
        <v>400</v>
      </c>
      <c r="S55" s="229">
        <f t="shared" si="22"/>
        <v>994.6147499999995</v>
      </c>
      <c r="T55" s="230">
        <v>26</v>
      </c>
      <c r="U55" s="230">
        <v>31.8</v>
      </c>
      <c r="V55" s="230">
        <v>37</v>
      </c>
      <c r="W55" s="230">
        <f t="shared" si="10"/>
        <v>450.5</v>
      </c>
      <c r="X55" s="231">
        <v>179.2</v>
      </c>
      <c r="Y55" s="231">
        <f t="shared" si="23"/>
        <v>5.83</v>
      </c>
      <c r="Z55" s="231">
        <f t="shared" si="11"/>
        <v>0.5</v>
      </c>
      <c r="AA55" s="232">
        <v>62.37</v>
      </c>
      <c r="AB55" s="231">
        <f t="shared" si="12"/>
        <v>680.72289156626493</v>
      </c>
      <c r="AC55" s="231">
        <f t="shared" si="13"/>
        <v>10.843373493975903</v>
      </c>
      <c r="AE55" s="229">
        <f t="shared" si="19"/>
        <v>1403.6156249999988</v>
      </c>
    </row>
    <row r="56" spans="1:31" x14ac:dyDescent="0.25">
      <c r="A56" s="88">
        <f t="shared" si="0"/>
        <v>2023</v>
      </c>
      <c r="B56" s="88">
        <f t="shared" si="17"/>
        <v>10</v>
      </c>
      <c r="C56" s="89">
        <f t="shared" si="1"/>
        <v>45200</v>
      </c>
      <c r="D56" s="90" t="s">
        <v>174</v>
      </c>
      <c r="E56" s="159">
        <f t="shared" si="2"/>
        <v>0</v>
      </c>
      <c r="F56" s="88">
        <f t="shared" si="3"/>
        <v>31</v>
      </c>
      <c r="G56" s="227">
        <f>$F56</f>
        <v>31</v>
      </c>
      <c r="H56" s="227">
        <f t="shared" si="15"/>
        <v>31</v>
      </c>
      <c r="I56" s="227">
        <f t="shared" si="15"/>
        <v>31</v>
      </c>
      <c r="J56" s="161">
        <f t="shared" si="6"/>
        <v>0</v>
      </c>
      <c r="K56" s="227">
        <f t="shared" si="20"/>
        <v>31</v>
      </c>
      <c r="L56" s="227">
        <f t="shared" si="20"/>
        <v>31</v>
      </c>
      <c r="M56" s="161">
        <f t="shared" si="14"/>
        <v>31</v>
      </c>
      <c r="N56" s="229">
        <v>19700</v>
      </c>
      <c r="O56" s="229">
        <v>0</v>
      </c>
      <c r="P56" s="302">
        <f t="shared" si="24"/>
        <v>5952</v>
      </c>
      <c r="Q56" s="159">
        <v>1</v>
      </c>
      <c r="R56" s="229">
        <v>400</v>
      </c>
      <c r="S56" s="229">
        <f t="shared" si="22"/>
        <v>1030.9079999999994</v>
      </c>
      <c r="T56" s="230">
        <v>26</v>
      </c>
      <c r="U56" s="230">
        <v>31.8</v>
      </c>
      <c r="V56" s="230">
        <v>37</v>
      </c>
      <c r="W56" s="230">
        <f t="shared" si="10"/>
        <v>450.5</v>
      </c>
      <c r="X56" s="231">
        <v>179.2</v>
      </c>
      <c r="Y56" s="231">
        <f t="shared" si="23"/>
        <v>5.83</v>
      </c>
      <c r="Z56" s="231">
        <f t="shared" si="11"/>
        <v>0.5</v>
      </c>
      <c r="AA56" s="232">
        <v>62.37</v>
      </c>
      <c r="AB56" s="231">
        <f t="shared" si="12"/>
        <v>680.72289156626493</v>
      </c>
      <c r="AC56" s="231">
        <f t="shared" si="13"/>
        <v>10.843373493975903</v>
      </c>
      <c r="AE56" s="229">
        <f t="shared" si="19"/>
        <v>1439.9088749999987</v>
      </c>
    </row>
    <row r="57" spans="1:31" x14ac:dyDescent="0.25">
      <c r="A57" s="88">
        <f t="shared" si="0"/>
        <v>2023</v>
      </c>
      <c r="B57" s="88">
        <f t="shared" si="17"/>
        <v>11</v>
      </c>
      <c r="C57" s="89">
        <f t="shared" si="1"/>
        <v>45231</v>
      </c>
      <c r="D57" s="90" t="s">
        <v>175</v>
      </c>
      <c r="E57" s="159">
        <f t="shared" si="2"/>
        <v>0</v>
      </c>
      <c r="F57" s="88">
        <f t="shared" si="3"/>
        <v>30</v>
      </c>
      <c r="G57" s="227">
        <f>$F57</f>
        <v>30</v>
      </c>
      <c r="H57" s="227">
        <f t="shared" si="15"/>
        <v>30</v>
      </c>
      <c r="I57" s="227">
        <f t="shared" si="15"/>
        <v>30</v>
      </c>
      <c r="J57" s="161">
        <f t="shared" si="6"/>
        <v>7.8125</v>
      </c>
      <c r="K57" s="227">
        <f t="shared" si="20"/>
        <v>30</v>
      </c>
      <c r="L57" s="227">
        <f t="shared" si="20"/>
        <v>30</v>
      </c>
      <c r="M57" s="161">
        <f t="shared" si="14"/>
        <v>30</v>
      </c>
      <c r="N57" s="229">
        <v>27500</v>
      </c>
      <c r="O57" s="229">
        <v>1500</v>
      </c>
      <c r="P57" s="302">
        <f t="shared" si="24"/>
        <v>5760</v>
      </c>
      <c r="Q57" s="159">
        <v>1</v>
      </c>
      <c r="R57" s="229">
        <v>400</v>
      </c>
      <c r="S57" s="229">
        <f t="shared" si="22"/>
        <v>1066.0304999999994</v>
      </c>
      <c r="T57" s="230">
        <v>26</v>
      </c>
      <c r="U57" s="230">
        <v>31.8</v>
      </c>
      <c r="V57" s="230">
        <v>37</v>
      </c>
      <c r="W57" s="230">
        <f t="shared" si="10"/>
        <v>450.5</v>
      </c>
      <c r="X57" s="231">
        <v>179.2</v>
      </c>
      <c r="Y57" s="231">
        <f t="shared" si="23"/>
        <v>5.83</v>
      </c>
      <c r="Z57" s="231">
        <f t="shared" si="11"/>
        <v>0.5</v>
      </c>
      <c r="AA57" s="232">
        <v>62.37</v>
      </c>
      <c r="AB57" s="231">
        <f t="shared" si="12"/>
        <v>680.72289156626493</v>
      </c>
      <c r="AC57" s="231">
        <f t="shared" si="13"/>
        <v>10.843373493975903</v>
      </c>
      <c r="AE57" s="229">
        <f t="shared" si="19"/>
        <v>1475.0313749999987</v>
      </c>
    </row>
    <row r="58" spans="1:31" x14ac:dyDescent="0.25">
      <c r="A58" s="91">
        <f t="shared" si="0"/>
        <v>2023</v>
      </c>
      <c r="B58" s="91">
        <f t="shared" si="17"/>
        <v>12</v>
      </c>
      <c r="C58" s="92">
        <f t="shared" si="1"/>
        <v>45261</v>
      </c>
      <c r="D58" s="93" t="s">
        <v>176</v>
      </c>
      <c r="E58" s="160">
        <f t="shared" si="2"/>
        <v>0</v>
      </c>
      <c r="F58" s="91">
        <f>IF(B58=12,31,_xlfn.DAYS(D59,C58))</f>
        <v>31</v>
      </c>
      <c r="G58" s="228">
        <f>$F58</f>
        <v>31</v>
      </c>
      <c r="H58" s="228">
        <f t="shared" si="15"/>
        <v>31</v>
      </c>
      <c r="I58" s="228">
        <f t="shared" si="15"/>
        <v>31</v>
      </c>
      <c r="J58" s="162">
        <f t="shared" si="6"/>
        <v>29.166666666666668</v>
      </c>
      <c r="K58" s="228">
        <f t="shared" si="20"/>
        <v>31</v>
      </c>
      <c r="L58" s="228">
        <f t="shared" si="20"/>
        <v>31</v>
      </c>
      <c r="M58" s="162">
        <f t="shared" si="14"/>
        <v>31</v>
      </c>
      <c r="N58" s="233">
        <v>33000</v>
      </c>
      <c r="O58" s="233">
        <v>5600</v>
      </c>
      <c r="P58" s="301">
        <f t="shared" si="24"/>
        <v>5952</v>
      </c>
      <c r="Q58" s="160">
        <v>1</v>
      </c>
      <c r="R58" s="233">
        <v>400</v>
      </c>
      <c r="S58" s="233">
        <f t="shared" si="22"/>
        <v>1102.3237499999993</v>
      </c>
      <c r="T58" s="234">
        <v>26</v>
      </c>
      <c r="U58" s="234">
        <v>31.8</v>
      </c>
      <c r="V58" s="234">
        <v>37</v>
      </c>
      <c r="W58" s="234">
        <f t="shared" si="10"/>
        <v>450.5</v>
      </c>
      <c r="X58" s="235">
        <v>179.2</v>
      </c>
      <c r="Y58" s="235">
        <f t="shared" si="23"/>
        <v>5.83</v>
      </c>
      <c r="Z58" s="235">
        <f t="shared" si="11"/>
        <v>0.5</v>
      </c>
      <c r="AA58" s="236">
        <v>62.37</v>
      </c>
      <c r="AB58" s="235">
        <f t="shared" si="12"/>
        <v>680.72289156626493</v>
      </c>
      <c r="AC58" s="235">
        <f t="shared" si="13"/>
        <v>10.843373493975903</v>
      </c>
      <c r="AE58" s="233">
        <f t="shared" si="19"/>
        <v>1511.3246249999986</v>
      </c>
    </row>
    <row r="59" spans="1:31" x14ac:dyDescent="0.25">
      <c r="D59" s="20"/>
      <c r="E59" s="6"/>
    </row>
    <row r="60" spans="1:31" x14ac:dyDescent="0.25">
      <c r="D60" s="20"/>
      <c r="E60" s="6"/>
    </row>
    <row r="61" spans="1:31" x14ac:dyDescent="0.25">
      <c r="D61" s="20"/>
      <c r="E61" s="6"/>
    </row>
    <row r="62" spans="1:31" x14ac:dyDescent="0.25">
      <c r="D62" s="20"/>
      <c r="E62" s="6"/>
    </row>
    <row r="63" spans="1:31" x14ac:dyDescent="0.25">
      <c r="D63" s="20"/>
      <c r="E63" s="6"/>
    </row>
    <row r="64" spans="1:31" x14ac:dyDescent="0.25">
      <c r="D64" s="20"/>
      <c r="E64" s="6"/>
    </row>
    <row r="65" spans="4:5" x14ac:dyDescent="0.25">
      <c r="D65" s="20"/>
      <c r="E65" s="6"/>
    </row>
  </sheetData>
  <mergeCells count="5">
    <mergeCell ref="AA21:AC21"/>
    <mergeCell ref="N21:O21"/>
    <mergeCell ref="A21:F21"/>
    <mergeCell ref="S21:Z21"/>
    <mergeCell ref="G21:M21"/>
  </mergeCells>
  <phoneticPr fontId="16" type="noConversion"/>
  <conditionalFormatting sqref="G23:M58">
    <cfRule type="colorScale" priority="12">
      <colorScale>
        <cfvo type="min"/>
        <cfvo type="percentile" val="50"/>
        <cfvo type="max"/>
        <color theme="0" tint="-4.9989318521683403E-2"/>
        <color theme="7" tint="0.79998168889431442"/>
        <color theme="9" tint="0.59999389629810485"/>
      </colorScale>
    </cfRule>
  </conditionalFormatting>
  <conditionalFormatting sqref="D5:E5">
    <cfRule type="cellIs" dxfId="30" priority="11" operator="notBetween">
      <formula>1</formula>
      <formula>12</formula>
    </cfRule>
  </conditionalFormatting>
  <conditionalFormatting sqref="E23:E58">
    <cfRule type="cellIs" dxfId="29" priority="10" operator="greaterThan">
      <formula>0</formula>
    </cfRule>
  </conditionalFormatting>
  <conditionalFormatting sqref="G4">
    <cfRule type="containsText" dxfId="28" priority="9" operator="containsText" text="FEJL">
      <formula>NOT(ISERROR(SEARCH("FEJL",G4)))</formula>
    </cfRule>
  </conditionalFormatting>
  <conditionalFormatting sqref="F4">
    <cfRule type="cellIs" dxfId="27" priority="7" operator="greaterThan">
      <formula>0</formula>
    </cfRule>
  </conditionalFormatting>
  <conditionalFormatting sqref="B12:B17">
    <cfRule type="cellIs" dxfId="26" priority="4" operator="greaterThan">
      <formula>0</formula>
    </cfRule>
  </conditionalFormatting>
  <conditionalFormatting sqref="R12:R17">
    <cfRule type="cellIs" dxfId="25" priority="2" operator="greaterThan">
      <formula>0</formula>
    </cfRule>
    <cfRule type="cellIs" dxfId="24" priority="3" operator="greaterThan">
      <formula>0</formula>
    </cfRule>
  </conditionalFormatting>
  <conditionalFormatting sqref="Q23:Q58">
    <cfRule type="cellIs" dxfId="23" priority="1" operator="greaterThan">
      <formula>0</formula>
    </cfRule>
  </conditionalFormatting>
  <dataValidations count="1">
    <dataValidation type="whole" showErrorMessage="1" errorTitle="Fejl i månedsangivelse" error="Månedsnummer skal være et helt mellem 1 og 12." promptTitle="Fejl i periodeangivelse" prompt="Månedsangivelse skal være heltal mellem 1 og 12." sqref="D5:E5" xr:uid="{9E0BFE7A-3158-41EA-B421-A881A669B988}">
      <formula1>1</formula1>
      <formula2>12</formula2>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CE2D8-553D-4955-87A0-6D5F5E1FFD6D}">
  <sheetPr codeName="Sheet2">
    <tabColor theme="9" tint="0.59999389629810485"/>
  </sheetPr>
  <dimension ref="A1:AQ255"/>
  <sheetViews>
    <sheetView zoomScale="85" zoomScaleNormal="85" workbookViewId="0">
      <pane xSplit="4" ySplit="39" topLeftCell="E40" activePane="bottomRight" state="frozen"/>
      <selection pane="topRight" activeCell="E1" sqref="E1"/>
      <selection pane="bottomLeft" activeCell="A40" sqref="A40"/>
      <selection pane="bottomRight" activeCell="E40" sqref="E40"/>
    </sheetView>
  </sheetViews>
  <sheetFormatPr defaultRowHeight="15" outlineLevelRow="1" x14ac:dyDescent="0.25"/>
  <cols>
    <col min="1" max="1" width="2.7109375" customWidth="1"/>
    <col min="2" max="2" width="32.85546875" bestFit="1" customWidth="1"/>
    <col min="3" max="3" width="14.5703125" bestFit="1" customWidth="1"/>
    <col min="4" max="5" width="10.140625" bestFit="1" customWidth="1"/>
    <col min="6" max="11" width="10.7109375" customWidth="1"/>
    <col min="12" max="12" width="12.140625" bestFit="1" customWidth="1"/>
    <col min="13" max="13" width="12.42578125" bestFit="1" customWidth="1"/>
    <col min="14" max="15" width="10.7109375" customWidth="1"/>
    <col min="16" max="16" width="10.7109375" style="16" customWidth="1"/>
    <col min="17" max="21" width="10.7109375" customWidth="1"/>
    <col min="22" max="23" width="9.140625" customWidth="1"/>
    <col min="24" max="31" width="9.85546875" bestFit="1" customWidth="1"/>
    <col min="32" max="32" width="9.140625" customWidth="1"/>
    <col min="33" max="33" width="9.42578125" bestFit="1" customWidth="1"/>
    <col min="34" max="34" width="9.42578125" style="6" bestFit="1" customWidth="1"/>
    <col min="35" max="39" width="9.42578125" bestFit="1" customWidth="1"/>
  </cols>
  <sheetData>
    <row r="1" spans="1:43" s="111" customFormat="1" ht="18.75" x14ac:dyDescent="0.3">
      <c r="A1" s="109"/>
      <c r="B1" s="110" t="s">
        <v>109</v>
      </c>
      <c r="C1" s="109"/>
      <c r="D1" s="109"/>
      <c r="E1" s="110"/>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row>
    <row r="2" spans="1:43" outlineLevel="1" x14ac:dyDescent="0.25">
      <c r="D2" s="80"/>
      <c r="G2" s="80"/>
      <c r="H2" s="80"/>
      <c r="I2" s="11"/>
      <c r="J2" s="79"/>
      <c r="K2" s="79"/>
      <c r="L2" s="79"/>
      <c r="M2" s="386" t="s">
        <v>240</v>
      </c>
      <c r="N2" s="387"/>
      <c r="O2" s="405" t="s">
        <v>239</v>
      </c>
      <c r="P2" s="406"/>
      <c r="Q2" s="116"/>
      <c r="R2" s="116"/>
      <c r="S2" s="116"/>
      <c r="U2" s="402" t="s">
        <v>213</v>
      </c>
      <c r="V2" s="403"/>
      <c r="W2" s="404"/>
      <c r="Y2" s="16"/>
      <c r="AD2" s="9">
        <f>SUMIF(Y5:Y30,"=1",AD5:AD30)</f>
        <v>148732</v>
      </c>
      <c r="AH2"/>
      <c r="AQ2" s="6"/>
    </row>
    <row r="3" spans="1:43" outlineLevel="1" x14ac:dyDescent="0.25">
      <c r="C3" s="1"/>
      <c r="D3" s="6" t="s">
        <v>68</v>
      </c>
      <c r="E3" s="11" t="s">
        <v>238</v>
      </c>
      <c r="F3" s="6" t="s">
        <v>68</v>
      </c>
      <c r="G3" s="6" t="s">
        <v>68</v>
      </c>
      <c r="H3" s="6" t="s">
        <v>68</v>
      </c>
      <c r="I3" s="11" t="s">
        <v>68</v>
      </c>
      <c r="J3" s="6" t="s">
        <v>217</v>
      </c>
      <c r="K3" s="6" t="s">
        <v>217</v>
      </c>
      <c r="L3" s="6" t="s">
        <v>478</v>
      </c>
      <c r="M3" s="6" t="s">
        <v>64</v>
      </c>
      <c r="N3" s="6" t="s">
        <v>64</v>
      </c>
      <c r="O3" s="6" t="s">
        <v>66</v>
      </c>
      <c r="P3" s="6" t="s">
        <v>66</v>
      </c>
      <c r="Q3" s="6" t="s">
        <v>59</v>
      </c>
      <c r="R3" s="6" t="s">
        <v>58</v>
      </c>
      <c r="S3" s="6" t="s">
        <v>303</v>
      </c>
      <c r="T3" s="6" t="s">
        <v>100</v>
      </c>
      <c r="U3" s="104" t="s">
        <v>72</v>
      </c>
      <c r="V3" s="105" t="s">
        <v>71</v>
      </c>
      <c r="W3" s="166" t="s">
        <v>84</v>
      </c>
      <c r="Y3" s="16"/>
      <c r="AH3"/>
      <c r="AQ3" s="6"/>
    </row>
    <row r="4" spans="1:43" outlineLevel="1" x14ac:dyDescent="0.25">
      <c r="A4" s="94"/>
      <c r="B4" s="95" t="s">
        <v>0</v>
      </c>
      <c r="C4" s="96" t="s">
        <v>111</v>
      </c>
      <c r="D4" s="203" t="s">
        <v>184</v>
      </c>
      <c r="E4" s="204" t="s">
        <v>252</v>
      </c>
      <c r="F4" s="203" t="s">
        <v>88</v>
      </c>
      <c r="G4" s="203" t="s">
        <v>112</v>
      </c>
      <c r="H4" s="203" t="s">
        <v>323</v>
      </c>
      <c r="I4" s="204" t="s">
        <v>253</v>
      </c>
      <c r="J4" s="356" t="s">
        <v>242</v>
      </c>
      <c r="K4" s="356" t="s">
        <v>243</v>
      </c>
      <c r="L4" s="356" t="s">
        <v>477</v>
      </c>
      <c r="M4" s="356" t="s">
        <v>254</v>
      </c>
      <c r="N4" s="356" t="s">
        <v>255</v>
      </c>
      <c r="O4" s="203" t="s">
        <v>244</v>
      </c>
      <c r="P4" s="203" t="s">
        <v>245</v>
      </c>
      <c r="Q4" s="356" t="s">
        <v>256</v>
      </c>
      <c r="R4" s="356" t="s">
        <v>393</v>
      </c>
      <c r="S4" s="97" t="s">
        <v>304</v>
      </c>
      <c r="T4" s="357" t="s">
        <v>259</v>
      </c>
      <c r="U4" s="108" t="s">
        <v>214</v>
      </c>
      <c r="V4" s="97" t="s">
        <v>257</v>
      </c>
      <c r="W4" s="107" t="s">
        <v>302</v>
      </c>
      <c r="Y4" s="11" t="s">
        <v>184</v>
      </c>
      <c r="Z4" s="9" t="s">
        <v>88</v>
      </c>
      <c r="AA4" s="11" t="s">
        <v>112</v>
      </c>
      <c r="AB4" s="9" t="s">
        <v>113</v>
      </c>
      <c r="AD4" s="9" t="s">
        <v>260</v>
      </c>
      <c r="AE4" t="s">
        <v>449</v>
      </c>
      <c r="AH4"/>
      <c r="AQ4" s="6"/>
    </row>
    <row r="5" spans="1:43" outlineLevel="1" x14ac:dyDescent="0.25">
      <c r="A5" s="118"/>
      <c r="B5" s="119" t="s">
        <v>13</v>
      </c>
      <c r="C5" s="119" t="s">
        <v>14</v>
      </c>
      <c r="D5" s="167">
        <v>1</v>
      </c>
      <c r="E5" s="120">
        <v>1</v>
      </c>
      <c r="F5" s="167">
        <v>0</v>
      </c>
      <c r="G5" s="167">
        <v>0</v>
      </c>
      <c r="H5" s="167">
        <v>1</v>
      </c>
      <c r="I5" s="120">
        <v>1</v>
      </c>
      <c r="J5" s="176">
        <v>1</v>
      </c>
      <c r="K5" s="176">
        <v>1</v>
      </c>
      <c r="L5" s="388">
        <v>0.6</v>
      </c>
      <c r="M5" s="182">
        <v>12915.299999999997</v>
      </c>
      <c r="N5" s="182">
        <v>12915.299999999997</v>
      </c>
      <c r="O5" s="262">
        <f>IF($F5=0,-1,0)</f>
        <v>-1</v>
      </c>
      <c r="P5" s="262">
        <f>IF($F5=0,-1,0)</f>
        <v>-1</v>
      </c>
      <c r="Q5" s="182">
        <v>525</v>
      </c>
      <c r="R5" s="183">
        <v>10.5</v>
      </c>
      <c r="S5" s="183">
        <v>1.1000000000000001</v>
      </c>
      <c r="T5" s="184">
        <v>37</v>
      </c>
      <c r="U5" s="122">
        <f t="shared" ref="U5:U33" si="0">T5*R5/1000</f>
        <v>0.38850000000000001</v>
      </c>
      <c r="V5" s="121">
        <f t="shared" ref="V5:V33" si="1">Q5/R5</f>
        <v>50</v>
      </c>
      <c r="W5" s="123">
        <f t="shared" ref="W5:W33" si="2">IF(D5=0,0,N5*R5)/3.6</f>
        <v>37669.624999999993</v>
      </c>
      <c r="Y5" s="11">
        <v>1</v>
      </c>
      <c r="Z5" s="117" t="b">
        <f t="shared" ref="Z5:Z30" si="3">(F5&lt;&gt;0)</f>
        <v>0</v>
      </c>
      <c r="AA5" s="117" t="b">
        <f t="shared" ref="AA5:AA30" si="4">(H5&lt;&gt;0)</f>
        <v>1</v>
      </c>
      <c r="AB5" s="117" t="b">
        <f t="shared" ref="AB5:AB30" si="5">(I5&lt;&gt;0)</f>
        <v>1</v>
      </c>
      <c r="AD5" s="360">
        <v>9093</v>
      </c>
      <c r="AE5" s="360">
        <v>12915.299999999997</v>
      </c>
      <c r="AF5" s="361" t="str">
        <f t="shared" ref="AF5:AF30" si="6">C5</f>
        <v>DepoSort</v>
      </c>
      <c r="AH5"/>
      <c r="AQ5" s="6"/>
    </row>
    <row r="6" spans="1:43" outlineLevel="1" x14ac:dyDescent="0.25">
      <c r="A6" s="124"/>
      <c r="B6" s="125" t="s">
        <v>15</v>
      </c>
      <c r="C6" s="125" t="s">
        <v>16</v>
      </c>
      <c r="D6" s="168">
        <v>0</v>
      </c>
      <c r="E6" s="126">
        <v>1</v>
      </c>
      <c r="F6" s="168">
        <v>0</v>
      </c>
      <c r="G6" s="168">
        <v>0</v>
      </c>
      <c r="H6" s="168">
        <v>1</v>
      </c>
      <c r="I6" s="126">
        <v>1</v>
      </c>
      <c r="J6" s="177">
        <v>1</v>
      </c>
      <c r="K6" s="177">
        <v>1</v>
      </c>
      <c r="L6" s="389" t="s">
        <v>479</v>
      </c>
      <c r="M6" s="185">
        <v>0</v>
      </c>
      <c r="N6" s="185">
        <v>0</v>
      </c>
      <c r="O6" s="263">
        <f t="shared" ref="O6:P30" si="7">IF($F6=0,-1,0)</f>
        <v>-1</v>
      </c>
      <c r="P6" s="263">
        <f t="shared" si="7"/>
        <v>-1</v>
      </c>
      <c r="Q6" s="185">
        <v>525</v>
      </c>
      <c r="R6" s="186">
        <v>10.5</v>
      </c>
      <c r="S6" s="186">
        <v>1.1000000000000001</v>
      </c>
      <c r="T6" s="187">
        <v>37</v>
      </c>
      <c r="U6" s="128">
        <f t="shared" si="0"/>
        <v>0.38850000000000001</v>
      </c>
      <c r="V6" s="127">
        <f t="shared" si="1"/>
        <v>50</v>
      </c>
      <c r="W6" s="129">
        <f t="shared" si="2"/>
        <v>0</v>
      </c>
      <c r="Y6" s="11">
        <v>0</v>
      </c>
      <c r="Z6" s="117" t="b">
        <f t="shared" si="3"/>
        <v>0</v>
      </c>
      <c r="AA6" s="117" t="b">
        <f t="shared" si="4"/>
        <v>1</v>
      </c>
      <c r="AB6" s="117" t="b">
        <f t="shared" si="5"/>
        <v>1</v>
      </c>
      <c r="AD6" s="360">
        <v>0</v>
      </c>
      <c r="AE6" s="360">
        <v>0</v>
      </c>
      <c r="AF6" s="361" t="str">
        <f t="shared" si="6"/>
        <v>DepoSmaat</v>
      </c>
      <c r="AH6"/>
      <c r="AQ6" s="6"/>
    </row>
    <row r="7" spans="1:43" outlineLevel="1" x14ac:dyDescent="0.25">
      <c r="A7" s="124"/>
      <c r="B7" s="125" t="s">
        <v>17</v>
      </c>
      <c r="C7" s="125" t="s">
        <v>18</v>
      </c>
      <c r="D7" s="168">
        <v>0</v>
      </c>
      <c r="E7" s="126">
        <v>1</v>
      </c>
      <c r="F7" s="168">
        <v>0</v>
      </c>
      <c r="G7" s="168">
        <v>0</v>
      </c>
      <c r="H7" s="168">
        <v>1</v>
      </c>
      <c r="I7" s="126">
        <v>1</v>
      </c>
      <c r="J7" s="177">
        <v>1</v>
      </c>
      <c r="K7" s="177">
        <v>1</v>
      </c>
      <c r="L7" s="389" t="s">
        <v>479</v>
      </c>
      <c r="M7" s="185">
        <v>0</v>
      </c>
      <c r="N7" s="185">
        <v>0</v>
      </c>
      <c r="O7" s="263">
        <f t="shared" si="7"/>
        <v>-1</v>
      </c>
      <c r="P7" s="263">
        <f t="shared" si="7"/>
        <v>-1</v>
      </c>
      <c r="Q7" s="185">
        <v>525</v>
      </c>
      <c r="R7" s="186">
        <v>10.5</v>
      </c>
      <c r="S7" s="186">
        <v>1.1000000000000001</v>
      </c>
      <c r="T7" s="187">
        <v>37</v>
      </c>
      <c r="U7" s="128">
        <f t="shared" si="0"/>
        <v>0.38850000000000001</v>
      </c>
      <c r="V7" s="127">
        <f t="shared" si="1"/>
        <v>50</v>
      </c>
      <c r="W7" s="129">
        <f t="shared" si="2"/>
        <v>0</v>
      </c>
      <c r="Y7" s="11">
        <v>0</v>
      </c>
      <c r="Z7" s="117" t="b">
        <f t="shared" si="3"/>
        <v>0</v>
      </c>
      <c r="AA7" s="117" t="b">
        <f t="shared" si="4"/>
        <v>1</v>
      </c>
      <c r="AB7" s="117" t="b">
        <f t="shared" si="5"/>
        <v>1</v>
      </c>
      <c r="AD7" s="360">
        <v>0</v>
      </c>
      <c r="AE7" s="360">
        <v>0</v>
      </c>
      <c r="AF7" s="361" t="str">
        <f t="shared" si="6"/>
        <v>DepoNedd</v>
      </c>
      <c r="AH7"/>
      <c r="AQ7" s="6"/>
    </row>
    <row r="8" spans="1:43" outlineLevel="1" x14ac:dyDescent="0.25">
      <c r="A8" s="124"/>
      <c r="B8" s="130" t="s">
        <v>19</v>
      </c>
      <c r="C8" s="130" t="s">
        <v>20</v>
      </c>
      <c r="D8" s="168">
        <v>1</v>
      </c>
      <c r="E8" s="126">
        <v>1</v>
      </c>
      <c r="F8" s="168">
        <v>0</v>
      </c>
      <c r="G8" s="168">
        <v>0</v>
      </c>
      <c r="H8" s="168">
        <v>0</v>
      </c>
      <c r="I8" s="126">
        <v>1</v>
      </c>
      <c r="J8" s="177">
        <v>1</v>
      </c>
      <c r="K8" s="177">
        <v>1</v>
      </c>
      <c r="L8" s="389">
        <v>0</v>
      </c>
      <c r="M8" s="185">
        <v>28766.78</v>
      </c>
      <c r="N8" s="185">
        <v>28766.78</v>
      </c>
      <c r="O8" s="263">
        <f t="shared" si="7"/>
        <v>-1</v>
      </c>
      <c r="P8" s="263">
        <f t="shared" si="7"/>
        <v>-1</v>
      </c>
      <c r="Q8" s="185">
        <v>525</v>
      </c>
      <c r="R8" s="186">
        <v>9.4</v>
      </c>
      <c r="S8" s="186">
        <v>1.1000000000000001</v>
      </c>
      <c r="T8" s="187">
        <v>37</v>
      </c>
      <c r="U8" s="128">
        <f t="shared" si="0"/>
        <v>0.3478</v>
      </c>
      <c r="V8" s="127">
        <f t="shared" si="1"/>
        <v>55.851063829787229</v>
      </c>
      <c r="W8" s="129">
        <f t="shared" si="2"/>
        <v>75113.258888888886</v>
      </c>
      <c r="Y8" s="11">
        <v>1</v>
      </c>
      <c r="Z8" s="117" t="b">
        <f t="shared" si="3"/>
        <v>0</v>
      </c>
      <c r="AA8" s="117" t="b">
        <f t="shared" si="4"/>
        <v>0</v>
      </c>
      <c r="AB8" s="117" t="b">
        <f t="shared" si="5"/>
        <v>1</v>
      </c>
      <c r="AD8" s="360">
        <v>28869</v>
      </c>
      <c r="AE8" s="360">
        <v>28766.78</v>
      </c>
      <c r="AF8" s="361" t="str">
        <f t="shared" si="6"/>
        <v>Dagren</v>
      </c>
      <c r="AH8"/>
      <c r="AQ8" s="6"/>
    </row>
    <row r="9" spans="1:43" outlineLevel="1" x14ac:dyDescent="0.25">
      <c r="A9" s="124"/>
      <c r="B9" s="130" t="s">
        <v>21</v>
      </c>
      <c r="C9" s="130" t="s">
        <v>22</v>
      </c>
      <c r="D9" s="168">
        <v>1</v>
      </c>
      <c r="E9" s="126">
        <v>1</v>
      </c>
      <c r="F9" s="168">
        <v>0</v>
      </c>
      <c r="G9" s="168">
        <v>0</v>
      </c>
      <c r="H9" s="168">
        <v>0</v>
      </c>
      <c r="I9" s="126">
        <v>1</v>
      </c>
      <c r="J9" s="177">
        <v>1</v>
      </c>
      <c r="K9" s="177">
        <v>1</v>
      </c>
      <c r="L9" s="389">
        <v>0</v>
      </c>
      <c r="M9" s="185">
        <v>4232.4090000000006</v>
      </c>
      <c r="N9" s="185">
        <v>4232.4090000000006</v>
      </c>
      <c r="O9" s="263">
        <f t="shared" si="7"/>
        <v>-1</v>
      </c>
      <c r="P9" s="263">
        <f t="shared" si="7"/>
        <v>-1</v>
      </c>
      <c r="Q9" s="185">
        <v>525</v>
      </c>
      <c r="R9" s="186">
        <v>10.5</v>
      </c>
      <c r="S9" s="186">
        <v>1.1000000000000001</v>
      </c>
      <c r="T9" s="187">
        <v>37</v>
      </c>
      <c r="U9" s="128">
        <f t="shared" si="0"/>
        <v>0.38850000000000001</v>
      </c>
      <c r="V9" s="127">
        <f t="shared" si="1"/>
        <v>50</v>
      </c>
      <c r="W9" s="129">
        <f t="shared" si="2"/>
        <v>12344.526250000001</v>
      </c>
      <c r="Y9" s="11">
        <v>1</v>
      </c>
      <c r="Z9" s="117" t="b">
        <f t="shared" si="3"/>
        <v>0</v>
      </c>
      <c r="AA9" s="117" t="b">
        <f t="shared" si="4"/>
        <v>0</v>
      </c>
      <c r="AB9" s="117" t="b">
        <f t="shared" si="5"/>
        <v>1</v>
      </c>
      <c r="AD9" s="360">
        <v>3500</v>
      </c>
      <c r="AE9" s="360">
        <v>4232.4090000000006</v>
      </c>
      <c r="AF9" s="361" t="str">
        <f t="shared" si="6"/>
        <v>AndetBrand</v>
      </c>
      <c r="AH9"/>
      <c r="AQ9" s="6"/>
    </row>
    <row r="10" spans="1:43" outlineLevel="1" x14ac:dyDescent="0.25">
      <c r="A10" s="124"/>
      <c r="B10" s="130" t="s">
        <v>23</v>
      </c>
      <c r="C10" s="130" t="s">
        <v>24</v>
      </c>
      <c r="D10" s="168">
        <v>1</v>
      </c>
      <c r="E10" s="126">
        <v>1</v>
      </c>
      <c r="F10" s="168">
        <v>0</v>
      </c>
      <c r="G10" s="168">
        <v>0</v>
      </c>
      <c r="H10" s="168">
        <v>0</v>
      </c>
      <c r="I10" s="126">
        <v>1</v>
      </c>
      <c r="J10" s="177">
        <v>1</v>
      </c>
      <c r="K10" s="177">
        <v>1</v>
      </c>
      <c r="L10" s="389">
        <v>0</v>
      </c>
      <c r="M10" s="185">
        <v>33.35</v>
      </c>
      <c r="N10" s="185">
        <v>33.35</v>
      </c>
      <c r="O10" s="263">
        <f t="shared" si="7"/>
        <v>-1</v>
      </c>
      <c r="P10" s="263">
        <f t="shared" si="7"/>
        <v>-1</v>
      </c>
      <c r="Q10" s="185">
        <v>155</v>
      </c>
      <c r="R10" s="186">
        <v>14.5</v>
      </c>
      <c r="S10" s="186">
        <v>1.1000000000000001</v>
      </c>
      <c r="T10" s="187">
        <v>37</v>
      </c>
      <c r="U10" s="128">
        <f t="shared" si="0"/>
        <v>0.53649999999999998</v>
      </c>
      <c r="V10" s="127">
        <f t="shared" si="1"/>
        <v>10.689655172413794</v>
      </c>
      <c r="W10" s="129">
        <f t="shared" si="2"/>
        <v>134.32638888888889</v>
      </c>
      <c r="Y10" s="11">
        <v>0</v>
      </c>
      <c r="Z10" s="117" t="b">
        <f t="shared" si="3"/>
        <v>0</v>
      </c>
      <c r="AA10" s="117" t="b">
        <f t="shared" si="4"/>
        <v>0</v>
      </c>
      <c r="AB10" s="117" t="b">
        <f t="shared" si="5"/>
        <v>1</v>
      </c>
      <c r="AD10" s="360">
        <v>0</v>
      </c>
      <c r="AE10" s="360">
        <v>33.35</v>
      </c>
      <c r="AF10" s="361" t="str">
        <f t="shared" si="6"/>
        <v>Trae</v>
      </c>
      <c r="AH10"/>
      <c r="AQ10" s="6"/>
    </row>
    <row r="11" spans="1:43" outlineLevel="1" x14ac:dyDescent="0.25">
      <c r="A11" s="124"/>
      <c r="B11" s="130" t="s">
        <v>25</v>
      </c>
      <c r="C11" s="130" t="s">
        <v>26</v>
      </c>
      <c r="D11" s="168">
        <v>1</v>
      </c>
      <c r="E11" s="126">
        <v>1</v>
      </c>
      <c r="F11" s="168">
        <v>0</v>
      </c>
      <c r="G11" s="168">
        <v>0</v>
      </c>
      <c r="H11" s="168">
        <v>0</v>
      </c>
      <c r="I11" s="126">
        <v>1</v>
      </c>
      <c r="J11" s="177">
        <v>1</v>
      </c>
      <c r="K11" s="177">
        <v>1</v>
      </c>
      <c r="L11" s="389">
        <v>0</v>
      </c>
      <c r="M11" s="185">
        <v>4289.78</v>
      </c>
      <c r="N11" s="185">
        <v>4289.78</v>
      </c>
      <c r="O11" s="263">
        <f t="shared" si="7"/>
        <v>-1</v>
      </c>
      <c r="P11" s="263">
        <f t="shared" si="7"/>
        <v>-1</v>
      </c>
      <c r="Q11" s="185">
        <v>525</v>
      </c>
      <c r="R11" s="186">
        <v>12</v>
      </c>
      <c r="S11" s="186">
        <v>1.1000000000000001</v>
      </c>
      <c r="T11" s="187">
        <v>37</v>
      </c>
      <c r="U11" s="128">
        <f t="shared" si="0"/>
        <v>0.44400000000000001</v>
      </c>
      <c r="V11" s="127">
        <f t="shared" si="1"/>
        <v>43.75</v>
      </c>
      <c r="W11" s="129">
        <f t="shared" si="2"/>
        <v>14299.266666666666</v>
      </c>
      <c r="Y11" s="11">
        <v>0</v>
      </c>
      <c r="Z11" s="117" t="b">
        <f t="shared" si="3"/>
        <v>0</v>
      </c>
      <c r="AA11" s="117" t="b">
        <f t="shared" si="4"/>
        <v>0</v>
      </c>
      <c r="AB11" s="117" t="b">
        <f t="shared" si="5"/>
        <v>1</v>
      </c>
      <c r="AD11" s="360">
        <v>0</v>
      </c>
      <c r="AE11" s="360">
        <v>4289.78</v>
      </c>
      <c r="AF11" s="361" t="str">
        <f t="shared" si="6"/>
        <v>DagrenRast</v>
      </c>
      <c r="AH11"/>
      <c r="AQ11" s="6"/>
    </row>
    <row r="12" spans="1:43" outlineLevel="1" x14ac:dyDescent="0.25">
      <c r="A12" s="124"/>
      <c r="B12" s="130" t="s">
        <v>27</v>
      </c>
      <c r="C12" s="130" t="s">
        <v>28</v>
      </c>
      <c r="D12" s="168">
        <v>1</v>
      </c>
      <c r="E12" s="126">
        <v>1</v>
      </c>
      <c r="F12" s="168">
        <v>0</v>
      </c>
      <c r="G12" s="168">
        <v>0</v>
      </c>
      <c r="H12" s="168">
        <v>0</v>
      </c>
      <c r="I12" s="126">
        <v>1</v>
      </c>
      <c r="J12" s="177">
        <v>1</v>
      </c>
      <c r="K12" s="177">
        <v>1</v>
      </c>
      <c r="L12" s="389">
        <v>0</v>
      </c>
      <c r="M12" s="185">
        <v>106.89999999999998</v>
      </c>
      <c r="N12" s="185">
        <v>106.89999999999998</v>
      </c>
      <c r="O12" s="263">
        <f t="shared" si="7"/>
        <v>-1</v>
      </c>
      <c r="P12" s="263">
        <f t="shared" si="7"/>
        <v>-1</v>
      </c>
      <c r="Q12" s="185">
        <v>525</v>
      </c>
      <c r="R12" s="186">
        <v>9</v>
      </c>
      <c r="S12" s="186">
        <v>1.1000000000000001</v>
      </c>
      <c r="T12" s="187">
        <v>37</v>
      </c>
      <c r="U12" s="128">
        <f t="shared" si="0"/>
        <v>0.33300000000000002</v>
      </c>
      <c r="V12" s="127">
        <f t="shared" si="1"/>
        <v>58.333333333333336</v>
      </c>
      <c r="W12" s="129">
        <f t="shared" si="2"/>
        <v>267.24999999999994</v>
      </c>
      <c r="Y12" s="11">
        <v>1</v>
      </c>
      <c r="Z12" s="117" t="b">
        <f t="shared" si="3"/>
        <v>0</v>
      </c>
      <c r="AA12" s="117" t="b">
        <f t="shared" si="4"/>
        <v>0</v>
      </c>
      <c r="AB12" s="117" t="b">
        <f t="shared" si="5"/>
        <v>1</v>
      </c>
      <c r="AD12" s="360">
        <v>7800</v>
      </c>
      <c r="AE12" s="360">
        <v>106.89999999999998</v>
      </c>
      <c r="AF12" s="361" t="str">
        <f t="shared" si="6"/>
        <v>DagrenInst</v>
      </c>
      <c r="AH12"/>
      <c r="AQ12" s="6"/>
    </row>
    <row r="13" spans="1:43" outlineLevel="1" x14ac:dyDescent="0.25">
      <c r="A13" s="124"/>
      <c r="B13" s="130" t="s">
        <v>29</v>
      </c>
      <c r="C13" s="130" t="s">
        <v>30</v>
      </c>
      <c r="D13" s="168">
        <v>1</v>
      </c>
      <c r="E13" s="126">
        <v>1</v>
      </c>
      <c r="F13" s="168">
        <v>0</v>
      </c>
      <c r="G13" s="168">
        <v>0</v>
      </c>
      <c r="H13" s="168">
        <v>0</v>
      </c>
      <c r="I13" s="126">
        <v>1</v>
      </c>
      <c r="J13" s="177">
        <v>1</v>
      </c>
      <c r="K13" s="177">
        <v>1</v>
      </c>
      <c r="L13" s="389">
        <v>0</v>
      </c>
      <c r="M13" s="185">
        <v>4266.01</v>
      </c>
      <c r="N13" s="185">
        <v>4266.01</v>
      </c>
      <c r="O13" s="263">
        <f t="shared" si="7"/>
        <v>-1</v>
      </c>
      <c r="P13" s="263">
        <f t="shared" si="7"/>
        <v>-1</v>
      </c>
      <c r="Q13" s="185">
        <v>525</v>
      </c>
      <c r="R13" s="186">
        <v>11</v>
      </c>
      <c r="S13" s="186">
        <v>1.1000000000000001</v>
      </c>
      <c r="T13" s="187">
        <v>37</v>
      </c>
      <c r="U13" s="128">
        <f t="shared" si="0"/>
        <v>0.40699999999999997</v>
      </c>
      <c r="V13" s="127">
        <f t="shared" si="1"/>
        <v>47.727272727272727</v>
      </c>
      <c r="W13" s="129">
        <f t="shared" si="2"/>
        <v>13035.030555555555</v>
      </c>
      <c r="Y13" s="11">
        <v>0</v>
      </c>
      <c r="Z13" s="117" t="b">
        <f t="shared" si="3"/>
        <v>0</v>
      </c>
      <c r="AA13" s="117" t="b">
        <f t="shared" si="4"/>
        <v>0</v>
      </c>
      <c r="AB13" s="117" t="b">
        <f t="shared" si="5"/>
        <v>1</v>
      </c>
      <c r="AD13" s="360">
        <v>0</v>
      </c>
      <c r="AE13" s="360">
        <v>4266.01</v>
      </c>
      <c r="AF13" s="361" t="str">
        <f t="shared" si="6"/>
        <v>DagrenHandel</v>
      </c>
      <c r="AH13"/>
      <c r="AQ13" s="6"/>
    </row>
    <row r="14" spans="1:43" outlineLevel="1" x14ac:dyDescent="0.25">
      <c r="A14" s="124"/>
      <c r="B14" s="130" t="s">
        <v>31</v>
      </c>
      <c r="C14" s="130" t="s">
        <v>32</v>
      </c>
      <c r="D14" s="168">
        <v>1</v>
      </c>
      <c r="E14" s="126">
        <v>1</v>
      </c>
      <c r="F14" s="168">
        <v>0</v>
      </c>
      <c r="G14" s="168">
        <v>0</v>
      </c>
      <c r="H14" s="168">
        <v>0</v>
      </c>
      <c r="I14" s="126">
        <v>1</v>
      </c>
      <c r="J14" s="177">
        <v>1</v>
      </c>
      <c r="K14" s="177">
        <v>1</v>
      </c>
      <c r="L14" s="389">
        <v>0</v>
      </c>
      <c r="M14" s="185">
        <v>398.46</v>
      </c>
      <c r="N14" s="185">
        <v>398.46</v>
      </c>
      <c r="O14" s="263">
        <f t="shared" si="7"/>
        <v>-1</v>
      </c>
      <c r="P14" s="263">
        <f t="shared" si="7"/>
        <v>-1</v>
      </c>
      <c r="Q14" s="185">
        <v>525</v>
      </c>
      <c r="R14" s="186">
        <v>9.5</v>
      </c>
      <c r="S14" s="186">
        <v>1.1000000000000001</v>
      </c>
      <c r="T14" s="187">
        <v>37</v>
      </c>
      <c r="U14" s="128">
        <f t="shared" si="0"/>
        <v>0.35149999999999998</v>
      </c>
      <c r="V14" s="127">
        <f t="shared" si="1"/>
        <v>55.263157894736842</v>
      </c>
      <c r="W14" s="129">
        <f t="shared" si="2"/>
        <v>1051.4916666666666</v>
      </c>
      <c r="Y14" s="11">
        <v>0</v>
      </c>
      <c r="Z14" s="117" t="b">
        <f t="shared" si="3"/>
        <v>0</v>
      </c>
      <c r="AA14" s="117" t="b">
        <f t="shared" si="4"/>
        <v>0</v>
      </c>
      <c r="AB14" s="117" t="b">
        <f t="shared" si="5"/>
        <v>1</v>
      </c>
      <c r="AD14" s="360">
        <v>0</v>
      </c>
      <c r="AE14" s="360">
        <v>398.46</v>
      </c>
      <c r="AF14" s="361" t="str">
        <f t="shared" si="6"/>
        <v>DagrenRestau</v>
      </c>
      <c r="AH14"/>
      <c r="AQ14" s="6"/>
    </row>
    <row r="15" spans="1:43" outlineLevel="1" x14ac:dyDescent="0.25">
      <c r="A15" s="124"/>
      <c r="B15" s="130" t="s">
        <v>33</v>
      </c>
      <c r="C15" s="130" t="s">
        <v>34</v>
      </c>
      <c r="D15" s="168">
        <v>1</v>
      </c>
      <c r="E15" s="126">
        <v>1</v>
      </c>
      <c r="F15" s="168">
        <v>1</v>
      </c>
      <c r="G15" s="168">
        <v>0</v>
      </c>
      <c r="H15" s="168">
        <v>0</v>
      </c>
      <c r="I15" s="126">
        <v>1</v>
      </c>
      <c r="J15" s="177">
        <v>1</v>
      </c>
      <c r="K15" s="177">
        <v>1</v>
      </c>
      <c r="L15" s="389">
        <v>0</v>
      </c>
      <c r="M15" s="185">
        <v>6141.6699999999992</v>
      </c>
      <c r="N15" s="185">
        <v>6141.6699999999992</v>
      </c>
      <c r="O15" s="263">
        <v>0</v>
      </c>
      <c r="P15" s="263">
        <f t="shared" si="7"/>
        <v>0</v>
      </c>
      <c r="Q15" s="185">
        <v>525</v>
      </c>
      <c r="R15" s="186">
        <v>9</v>
      </c>
      <c r="S15" s="186">
        <v>1.1000000000000001</v>
      </c>
      <c r="T15" s="187">
        <v>37</v>
      </c>
      <c r="U15" s="128">
        <f t="shared" si="0"/>
        <v>0.33300000000000002</v>
      </c>
      <c r="V15" s="127">
        <f t="shared" si="1"/>
        <v>58.333333333333336</v>
      </c>
      <c r="W15" s="129">
        <f t="shared" si="2"/>
        <v>15354.174999999997</v>
      </c>
      <c r="Y15" s="11">
        <v>1</v>
      </c>
      <c r="Z15" s="117" t="b">
        <f t="shared" si="3"/>
        <v>1</v>
      </c>
      <c r="AA15" s="117" t="b">
        <f t="shared" si="4"/>
        <v>0</v>
      </c>
      <c r="AB15" s="117" t="b">
        <f t="shared" si="5"/>
        <v>1</v>
      </c>
      <c r="AD15" s="360">
        <v>5200</v>
      </c>
      <c r="AE15" s="360">
        <v>6141.6699999999992</v>
      </c>
      <c r="AF15" s="361" t="str">
        <f t="shared" si="6"/>
        <v>Erhverv</v>
      </c>
      <c r="AH15"/>
      <c r="AQ15" s="6"/>
    </row>
    <row r="16" spans="1:43" outlineLevel="1" x14ac:dyDescent="0.25">
      <c r="A16" s="124"/>
      <c r="B16" s="130" t="s">
        <v>35</v>
      </c>
      <c r="C16" s="130" t="s">
        <v>36</v>
      </c>
      <c r="D16" s="168">
        <v>1</v>
      </c>
      <c r="E16" s="126">
        <v>1</v>
      </c>
      <c r="F16" s="168">
        <v>0</v>
      </c>
      <c r="G16" s="168">
        <v>0</v>
      </c>
      <c r="H16" s="168">
        <v>0</v>
      </c>
      <c r="I16" s="126">
        <v>1</v>
      </c>
      <c r="J16" s="177">
        <v>1</v>
      </c>
      <c r="K16" s="177">
        <v>1</v>
      </c>
      <c r="L16" s="389">
        <v>0</v>
      </c>
      <c r="M16" s="185">
        <v>134.19</v>
      </c>
      <c r="N16" s="185">
        <v>134.19</v>
      </c>
      <c r="O16" s="263">
        <f t="shared" si="7"/>
        <v>-1</v>
      </c>
      <c r="P16" s="263">
        <f t="shared" si="7"/>
        <v>-1</v>
      </c>
      <c r="Q16" s="185">
        <v>785</v>
      </c>
      <c r="R16" s="186">
        <v>12</v>
      </c>
      <c r="S16" s="186">
        <v>1.1000000000000001</v>
      </c>
      <c r="T16" s="187">
        <v>37</v>
      </c>
      <c r="U16" s="128">
        <f t="shared" si="0"/>
        <v>0.44400000000000001</v>
      </c>
      <c r="V16" s="127">
        <f t="shared" si="1"/>
        <v>65.416666666666671</v>
      </c>
      <c r="W16" s="129">
        <f t="shared" si="2"/>
        <v>447.29999999999995</v>
      </c>
      <c r="Y16" s="11">
        <v>1</v>
      </c>
      <c r="Z16" s="117" t="b">
        <f t="shared" si="3"/>
        <v>0</v>
      </c>
      <c r="AA16" s="117" t="b">
        <f t="shared" si="4"/>
        <v>0</v>
      </c>
      <c r="AB16" s="117" t="b">
        <f t="shared" si="5"/>
        <v>1</v>
      </c>
      <c r="AD16" s="360">
        <v>500</v>
      </c>
      <c r="AE16" s="360">
        <v>134.19</v>
      </c>
      <c r="AF16" s="361" t="str">
        <f t="shared" si="6"/>
        <v>DagrenErhverv</v>
      </c>
      <c r="AH16"/>
      <c r="AQ16" s="6"/>
    </row>
    <row r="17" spans="1:43" outlineLevel="1" x14ac:dyDescent="0.25">
      <c r="A17" s="124"/>
      <c r="B17" s="125" t="s">
        <v>37</v>
      </c>
      <c r="C17" s="125" t="s">
        <v>38</v>
      </c>
      <c r="D17" s="168">
        <v>1</v>
      </c>
      <c r="E17" s="126">
        <v>1</v>
      </c>
      <c r="F17" s="168">
        <v>0</v>
      </c>
      <c r="G17" s="168">
        <v>0</v>
      </c>
      <c r="H17" s="168">
        <v>0</v>
      </c>
      <c r="I17" s="126">
        <v>1</v>
      </c>
      <c r="J17" s="177">
        <v>1</v>
      </c>
      <c r="K17" s="177">
        <v>1</v>
      </c>
      <c r="L17" s="389">
        <v>0</v>
      </c>
      <c r="M17" s="185">
        <v>57.78</v>
      </c>
      <c r="N17" s="185">
        <v>57.78</v>
      </c>
      <c r="O17" s="263">
        <f t="shared" si="7"/>
        <v>-1</v>
      </c>
      <c r="P17" s="263">
        <f t="shared" si="7"/>
        <v>-1</v>
      </c>
      <c r="Q17" s="185">
        <v>0</v>
      </c>
      <c r="R17" s="186">
        <v>10</v>
      </c>
      <c r="S17" s="186">
        <v>1.1000000000000001</v>
      </c>
      <c r="T17" s="187">
        <v>37</v>
      </c>
      <c r="U17" s="128">
        <f t="shared" si="0"/>
        <v>0.37</v>
      </c>
      <c r="V17" s="127">
        <f t="shared" si="1"/>
        <v>0</v>
      </c>
      <c r="W17" s="129">
        <f t="shared" si="2"/>
        <v>160.49999999999997</v>
      </c>
      <c r="Y17" s="11">
        <v>0</v>
      </c>
      <c r="Z17" s="117" t="b">
        <f t="shared" si="3"/>
        <v>0</v>
      </c>
      <c r="AA17" s="117" t="b">
        <f t="shared" si="4"/>
        <v>0</v>
      </c>
      <c r="AB17" s="117" t="b">
        <f t="shared" si="5"/>
        <v>1</v>
      </c>
      <c r="AD17" s="360">
        <v>0</v>
      </c>
      <c r="AE17" s="360">
        <v>57.78</v>
      </c>
      <c r="AF17" s="361" t="str">
        <f t="shared" si="6"/>
        <v>HandelKontor</v>
      </c>
      <c r="AH17"/>
      <c r="AQ17" s="6"/>
    </row>
    <row r="18" spans="1:43" outlineLevel="1" x14ac:dyDescent="0.25">
      <c r="A18" s="124"/>
      <c r="B18" s="130" t="s">
        <v>39</v>
      </c>
      <c r="C18" s="130" t="s">
        <v>40</v>
      </c>
      <c r="D18" s="168">
        <v>1</v>
      </c>
      <c r="E18" s="126">
        <v>1</v>
      </c>
      <c r="F18" s="168">
        <v>0</v>
      </c>
      <c r="G18" s="168">
        <v>0</v>
      </c>
      <c r="H18" s="168">
        <v>0</v>
      </c>
      <c r="I18" s="126">
        <v>1</v>
      </c>
      <c r="J18" s="177">
        <v>1</v>
      </c>
      <c r="K18" s="177">
        <v>1</v>
      </c>
      <c r="L18" s="389">
        <v>0</v>
      </c>
      <c r="M18" s="185">
        <v>12.89</v>
      </c>
      <c r="N18" s="185">
        <v>12.89</v>
      </c>
      <c r="O18" s="263">
        <f t="shared" si="7"/>
        <v>-1</v>
      </c>
      <c r="P18" s="263">
        <f t="shared" si="7"/>
        <v>-1</v>
      </c>
      <c r="Q18" s="185">
        <v>525</v>
      </c>
      <c r="R18" s="186">
        <v>11</v>
      </c>
      <c r="S18" s="186">
        <v>1.1000000000000001</v>
      </c>
      <c r="T18" s="187">
        <v>37</v>
      </c>
      <c r="U18" s="128">
        <f t="shared" si="0"/>
        <v>0.40699999999999997</v>
      </c>
      <c r="V18" s="127">
        <f t="shared" si="1"/>
        <v>47.727272727272727</v>
      </c>
      <c r="W18" s="129">
        <f t="shared" si="2"/>
        <v>39.386111111111113</v>
      </c>
      <c r="Y18" s="11">
        <v>0</v>
      </c>
      <c r="Z18" s="117" t="b">
        <f t="shared" si="3"/>
        <v>0</v>
      </c>
      <c r="AA18" s="117" t="b">
        <f t="shared" si="4"/>
        <v>0</v>
      </c>
      <c r="AB18" s="117" t="b">
        <f t="shared" si="5"/>
        <v>1</v>
      </c>
      <c r="AD18" s="360">
        <v>0</v>
      </c>
      <c r="AE18" s="360">
        <v>12.89</v>
      </c>
      <c r="AF18" s="361" t="str">
        <f t="shared" si="6"/>
        <v>Privat</v>
      </c>
      <c r="AH18"/>
      <c r="AQ18" s="6"/>
    </row>
    <row r="19" spans="1:43" outlineLevel="1" x14ac:dyDescent="0.25">
      <c r="A19" s="124"/>
      <c r="B19" s="130" t="s">
        <v>41</v>
      </c>
      <c r="C19" s="130" t="s">
        <v>42</v>
      </c>
      <c r="D19" s="168">
        <v>1</v>
      </c>
      <c r="E19" s="126">
        <v>1</v>
      </c>
      <c r="F19" s="168">
        <v>0</v>
      </c>
      <c r="G19" s="168">
        <v>1</v>
      </c>
      <c r="H19" s="168">
        <v>1</v>
      </c>
      <c r="I19" s="126">
        <v>1</v>
      </c>
      <c r="J19" s="177">
        <v>1</v>
      </c>
      <c r="K19" s="177">
        <v>1</v>
      </c>
      <c r="L19" s="389">
        <v>0.8</v>
      </c>
      <c r="M19" s="185">
        <v>34232.69</v>
      </c>
      <c r="N19" s="185">
        <v>34232.69</v>
      </c>
      <c r="O19" s="263">
        <f t="shared" si="7"/>
        <v>-1</v>
      </c>
      <c r="P19" s="263">
        <f t="shared" si="7"/>
        <v>-1</v>
      </c>
      <c r="Q19" s="185">
        <v>400</v>
      </c>
      <c r="R19" s="186">
        <v>10.5</v>
      </c>
      <c r="S19" s="186">
        <v>1.1000000000000001</v>
      </c>
      <c r="T19" s="187">
        <v>37</v>
      </c>
      <c r="U19" s="128">
        <f t="shared" si="0"/>
        <v>0.38850000000000001</v>
      </c>
      <c r="V19" s="127">
        <f t="shared" si="1"/>
        <v>38.095238095238095</v>
      </c>
      <c r="W19" s="129">
        <f t="shared" si="2"/>
        <v>99845.345833333326</v>
      </c>
      <c r="Y19" s="11">
        <v>1</v>
      </c>
      <c r="Z19" s="117" t="b">
        <f t="shared" si="3"/>
        <v>0</v>
      </c>
      <c r="AA19" s="117" t="b">
        <f t="shared" si="4"/>
        <v>1</v>
      </c>
      <c r="AB19" s="117" t="b">
        <f t="shared" si="5"/>
        <v>1</v>
      </c>
      <c r="AD19" s="360">
        <v>40000</v>
      </c>
      <c r="AE19" s="360">
        <v>34232.69</v>
      </c>
      <c r="AF19" s="361" t="str">
        <f t="shared" si="6"/>
        <v>TyskRest</v>
      </c>
      <c r="AH19"/>
      <c r="AQ19" s="6"/>
    </row>
    <row r="20" spans="1:43" outlineLevel="1" x14ac:dyDescent="0.25">
      <c r="A20" s="124"/>
      <c r="B20" s="130" t="s">
        <v>43</v>
      </c>
      <c r="C20" s="130" t="s">
        <v>44</v>
      </c>
      <c r="D20" s="168">
        <v>1</v>
      </c>
      <c r="E20" s="126">
        <v>1</v>
      </c>
      <c r="F20" s="168">
        <v>0</v>
      </c>
      <c r="G20" s="168">
        <v>0</v>
      </c>
      <c r="H20" s="168">
        <v>1</v>
      </c>
      <c r="I20" s="126">
        <v>1</v>
      </c>
      <c r="J20" s="177">
        <v>1</v>
      </c>
      <c r="K20" s="177">
        <v>1</v>
      </c>
      <c r="L20" s="389">
        <v>0</v>
      </c>
      <c r="M20" s="185">
        <v>154.09</v>
      </c>
      <c r="N20" s="185">
        <v>154.09</v>
      </c>
      <c r="O20" s="263">
        <f t="shared" si="7"/>
        <v>-1</v>
      </c>
      <c r="P20" s="263">
        <f t="shared" si="7"/>
        <v>-1</v>
      </c>
      <c r="Q20" s="185">
        <v>515</v>
      </c>
      <c r="R20" s="186">
        <v>10.5</v>
      </c>
      <c r="S20" s="186">
        <v>1.1000000000000001</v>
      </c>
      <c r="T20" s="187">
        <v>37</v>
      </c>
      <c r="U20" s="128">
        <f t="shared" si="0"/>
        <v>0.38850000000000001</v>
      </c>
      <c r="V20" s="127">
        <f t="shared" si="1"/>
        <v>49.047619047619051</v>
      </c>
      <c r="W20" s="129">
        <f t="shared" si="2"/>
        <v>449.42916666666662</v>
      </c>
      <c r="Y20" s="11">
        <v>1</v>
      </c>
      <c r="Z20" s="117" t="b">
        <f t="shared" si="3"/>
        <v>0</v>
      </c>
      <c r="AA20" s="117" t="b">
        <f t="shared" si="4"/>
        <v>1</v>
      </c>
      <c r="AB20" s="117" t="b">
        <f t="shared" si="5"/>
        <v>1</v>
      </c>
      <c r="AD20" s="360">
        <v>2000</v>
      </c>
      <c r="AE20" s="360">
        <v>154.09</v>
      </c>
      <c r="AF20" s="361" t="str">
        <f t="shared" si="6"/>
        <v>PolskRest</v>
      </c>
      <c r="AH20"/>
      <c r="AQ20" s="6"/>
    </row>
    <row r="21" spans="1:43" outlineLevel="1" x14ac:dyDescent="0.25">
      <c r="A21" s="124"/>
      <c r="B21" s="125" t="s">
        <v>45</v>
      </c>
      <c r="C21" s="125" t="s">
        <v>46</v>
      </c>
      <c r="D21" s="168">
        <v>0</v>
      </c>
      <c r="E21" s="126">
        <v>1</v>
      </c>
      <c r="F21" s="168">
        <v>1</v>
      </c>
      <c r="G21" s="168">
        <v>0</v>
      </c>
      <c r="H21" s="168">
        <v>0</v>
      </c>
      <c r="I21" s="126">
        <v>1</v>
      </c>
      <c r="J21" s="177">
        <v>1</v>
      </c>
      <c r="K21" s="177">
        <v>1</v>
      </c>
      <c r="L21" s="389" t="s">
        <v>479</v>
      </c>
      <c r="M21" s="185">
        <v>0</v>
      </c>
      <c r="N21" s="185">
        <v>0</v>
      </c>
      <c r="O21" s="263">
        <f t="shared" si="7"/>
        <v>0</v>
      </c>
      <c r="P21" s="263">
        <f t="shared" si="7"/>
        <v>0</v>
      </c>
      <c r="Q21" s="185">
        <v>0</v>
      </c>
      <c r="R21" s="186">
        <v>13</v>
      </c>
      <c r="S21" s="186">
        <v>1.1000000000000001</v>
      </c>
      <c r="T21" s="188">
        <v>37</v>
      </c>
      <c r="U21" s="131">
        <f t="shared" si="0"/>
        <v>0.48099999999999998</v>
      </c>
      <c r="V21" s="127">
        <f t="shared" si="1"/>
        <v>0</v>
      </c>
      <c r="W21" s="129">
        <f t="shared" si="2"/>
        <v>0</v>
      </c>
      <c r="Y21" s="11">
        <v>0</v>
      </c>
      <c r="Z21" s="117" t="b">
        <f t="shared" si="3"/>
        <v>1</v>
      </c>
      <c r="AA21" s="117" t="b">
        <f t="shared" si="4"/>
        <v>0</v>
      </c>
      <c r="AB21" s="117" t="b">
        <f t="shared" si="5"/>
        <v>1</v>
      </c>
      <c r="AD21" s="360">
        <v>0</v>
      </c>
      <c r="AE21" s="360">
        <v>0</v>
      </c>
      <c r="AF21" s="361" t="str">
        <f t="shared" si="6"/>
        <v>PcbTrae</v>
      </c>
      <c r="AH21"/>
      <c r="AQ21" s="6"/>
    </row>
    <row r="22" spans="1:43" outlineLevel="1" x14ac:dyDescent="0.25">
      <c r="A22" s="124"/>
      <c r="B22" s="125" t="s">
        <v>49</v>
      </c>
      <c r="C22" s="125" t="s">
        <v>50</v>
      </c>
      <c r="D22" s="168">
        <v>1</v>
      </c>
      <c r="E22" s="126">
        <v>1</v>
      </c>
      <c r="F22" s="168">
        <v>1</v>
      </c>
      <c r="G22" s="168">
        <v>0</v>
      </c>
      <c r="H22" s="168">
        <v>0</v>
      </c>
      <c r="I22" s="126">
        <v>1</v>
      </c>
      <c r="J22" s="177">
        <v>1</v>
      </c>
      <c r="K22" s="177">
        <v>1</v>
      </c>
      <c r="L22" s="389">
        <v>0</v>
      </c>
      <c r="M22" s="185">
        <v>1044.53</v>
      </c>
      <c r="N22" s="185">
        <v>1044.53</v>
      </c>
      <c r="O22" s="263">
        <f t="shared" si="7"/>
        <v>0</v>
      </c>
      <c r="P22" s="263">
        <f t="shared" si="7"/>
        <v>0</v>
      </c>
      <c r="Q22" s="185">
        <v>0</v>
      </c>
      <c r="R22" s="186">
        <v>14.5</v>
      </c>
      <c r="S22" s="186">
        <v>1.1000000000000001</v>
      </c>
      <c r="T22" s="188">
        <v>37</v>
      </c>
      <c r="U22" s="131">
        <f t="shared" si="0"/>
        <v>0.53649999999999998</v>
      </c>
      <c r="V22" s="127">
        <f t="shared" si="1"/>
        <v>0</v>
      </c>
      <c r="W22" s="129">
        <f t="shared" si="2"/>
        <v>4207.1347222222221</v>
      </c>
      <c r="Y22" s="11">
        <v>1</v>
      </c>
      <c r="Z22" s="117" t="b">
        <f t="shared" si="3"/>
        <v>1</v>
      </c>
      <c r="AA22" s="117" t="b">
        <f t="shared" si="4"/>
        <v>0</v>
      </c>
      <c r="AB22" s="117" t="b">
        <f t="shared" si="5"/>
        <v>1</v>
      </c>
      <c r="AD22" s="360">
        <v>1500</v>
      </c>
      <c r="AE22" s="360">
        <v>1044.53</v>
      </c>
      <c r="AF22" s="361" t="str">
        <f t="shared" si="6"/>
        <v>TraeRekv</v>
      </c>
      <c r="AH22"/>
      <c r="AQ22" s="6"/>
    </row>
    <row r="23" spans="1:43" outlineLevel="1" x14ac:dyDescent="0.25">
      <c r="A23" s="124"/>
      <c r="B23" s="130" t="s">
        <v>51</v>
      </c>
      <c r="C23" s="130" t="s">
        <v>52</v>
      </c>
      <c r="D23" s="168">
        <v>0</v>
      </c>
      <c r="E23" s="126">
        <v>1</v>
      </c>
      <c r="F23" s="168">
        <v>0</v>
      </c>
      <c r="G23" s="168">
        <v>0</v>
      </c>
      <c r="H23" s="168">
        <v>0</v>
      </c>
      <c r="I23" s="126">
        <v>1</v>
      </c>
      <c r="J23" s="177">
        <v>1</v>
      </c>
      <c r="K23" s="177">
        <v>1</v>
      </c>
      <c r="L23" s="389" t="s">
        <v>479</v>
      </c>
      <c r="M23" s="185">
        <v>0</v>
      </c>
      <c r="N23" s="185">
        <v>0</v>
      </c>
      <c r="O23" s="263">
        <f t="shared" si="7"/>
        <v>-1</v>
      </c>
      <c r="P23" s="263">
        <f t="shared" si="7"/>
        <v>-1</v>
      </c>
      <c r="Q23" s="185">
        <v>0</v>
      </c>
      <c r="R23" s="186">
        <v>14.7</v>
      </c>
      <c r="S23" s="186">
        <v>1.1000000000000001</v>
      </c>
      <c r="T23" s="188">
        <v>37</v>
      </c>
      <c r="U23" s="131">
        <f t="shared" si="0"/>
        <v>0.54389999999999994</v>
      </c>
      <c r="V23" s="127">
        <f t="shared" si="1"/>
        <v>0</v>
      </c>
      <c r="W23" s="129">
        <f t="shared" si="2"/>
        <v>0</v>
      </c>
      <c r="Y23" s="11">
        <v>0</v>
      </c>
      <c r="Z23" s="117" t="b">
        <f t="shared" si="3"/>
        <v>0</v>
      </c>
      <c r="AA23" s="117" t="b">
        <f t="shared" si="4"/>
        <v>0</v>
      </c>
      <c r="AB23" s="117" t="b">
        <f t="shared" si="5"/>
        <v>1</v>
      </c>
      <c r="AD23" s="360">
        <v>0</v>
      </c>
      <c r="AE23" s="360">
        <v>0</v>
      </c>
      <c r="AF23" s="361" t="str">
        <f t="shared" si="6"/>
        <v>Halm</v>
      </c>
      <c r="AH23"/>
      <c r="AQ23" s="6"/>
    </row>
    <row r="24" spans="1:43" outlineLevel="1" x14ac:dyDescent="0.25">
      <c r="A24" s="124"/>
      <c r="B24" s="130" t="s">
        <v>53</v>
      </c>
      <c r="C24" s="130" t="s">
        <v>55</v>
      </c>
      <c r="D24" s="168">
        <v>1</v>
      </c>
      <c r="E24" s="126">
        <v>1</v>
      </c>
      <c r="F24" s="168">
        <v>0</v>
      </c>
      <c r="G24" s="168">
        <v>0</v>
      </c>
      <c r="H24" s="168">
        <v>0</v>
      </c>
      <c r="I24" s="126">
        <v>1</v>
      </c>
      <c r="J24" s="177">
        <v>1</v>
      </c>
      <c r="K24" s="177">
        <v>1</v>
      </c>
      <c r="L24" s="389">
        <v>1</v>
      </c>
      <c r="M24" s="185">
        <v>113.93999999999998</v>
      </c>
      <c r="N24" s="185">
        <v>113.93999999999998</v>
      </c>
      <c r="O24" s="263">
        <f t="shared" si="7"/>
        <v>-1</v>
      </c>
      <c r="P24" s="263">
        <f t="shared" si="7"/>
        <v>-1</v>
      </c>
      <c r="Q24" s="185">
        <v>685</v>
      </c>
      <c r="R24" s="186">
        <v>14</v>
      </c>
      <c r="S24" s="186">
        <v>1.1000000000000001</v>
      </c>
      <c r="T24" s="188">
        <v>37</v>
      </c>
      <c r="U24" s="131">
        <f t="shared" si="0"/>
        <v>0.51800000000000002</v>
      </c>
      <c r="V24" s="127">
        <f t="shared" si="1"/>
        <v>48.928571428571431</v>
      </c>
      <c r="W24" s="129">
        <f t="shared" si="2"/>
        <v>443.09999999999997</v>
      </c>
      <c r="Y24" s="11">
        <v>1</v>
      </c>
      <c r="Z24" s="117" t="b">
        <f t="shared" si="3"/>
        <v>0</v>
      </c>
      <c r="AA24" s="117" t="b">
        <f t="shared" si="4"/>
        <v>0</v>
      </c>
      <c r="AB24" s="117" t="b">
        <f t="shared" si="5"/>
        <v>1</v>
      </c>
      <c r="AD24" s="360">
        <v>120</v>
      </c>
      <c r="AE24" s="360">
        <v>113.93999999999998</v>
      </c>
      <c r="AF24" s="361" t="str">
        <f t="shared" si="6"/>
        <v>Pulver</v>
      </c>
      <c r="AH24"/>
      <c r="AQ24" s="6"/>
    </row>
    <row r="25" spans="1:43" outlineLevel="1" x14ac:dyDescent="0.25">
      <c r="A25" s="132"/>
      <c r="B25" s="133" t="s">
        <v>47</v>
      </c>
      <c r="C25" s="133" t="s">
        <v>69</v>
      </c>
      <c r="D25" s="169">
        <v>1</v>
      </c>
      <c r="E25" s="134">
        <v>1</v>
      </c>
      <c r="F25" s="169">
        <v>1</v>
      </c>
      <c r="G25" s="169">
        <v>0</v>
      </c>
      <c r="H25" s="169">
        <v>0</v>
      </c>
      <c r="I25" s="134">
        <v>1</v>
      </c>
      <c r="J25" s="178">
        <v>1</v>
      </c>
      <c r="K25" s="178">
        <v>1</v>
      </c>
      <c r="L25" s="390">
        <v>1</v>
      </c>
      <c r="M25" s="189">
        <v>212.2</v>
      </c>
      <c r="N25" s="189">
        <v>212.2</v>
      </c>
      <c r="O25" s="264">
        <f t="shared" si="7"/>
        <v>0</v>
      </c>
      <c r="P25" s="264">
        <f t="shared" si="7"/>
        <v>0</v>
      </c>
      <c r="Q25" s="189">
        <v>155</v>
      </c>
      <c r="R25" s="190">
        <v>9</v>
      </c>
      <c r="S25" s="190">
        <v>1.1000000000000001</v>
      </c>
      <c r="T25" s="191">
        <v>0</v>
      </c>
      <c r="U25" s="136">
        <f t="shared" si="0"/>
        <v>0</v>
      </c>
      <c r="V25" s="135">
        <f t="shared" si="1"/>
        <v>17.222222222222221</v>
      </c>
      <c r="W25" s="137">
        <f t="shared" si="2"/>
        <v>530.5</v>
      </c>
      <c r="Y25" s="11">
        <v>1</v>
      </c>
      <c r="Z25" s="117" t="b">
        <f t="shared" si="3"/>
        <v>1</v>
      </c>
      <c r="AA25" s="117" t="b">
        <f t="shared" si="4"/>
        <v>0</v>
      </c>
      <c r="AB25" s="117" t="b">
        <f t="shared" si="5"/>
        <v>1</v>
      </c>
      <c r="AD25" s="360">
        <v>150</v>
      </c>
      <c r="AE25" s="360">
        <v>212.2</v>
      </c>
      <c r="AF25" s="361" t="str">
        <f t="shared" si="6"/>
        <v>FlisAffald</v>
      </c>
      <c r="AH25"/>
      <c r="AQ25" s="6"/>
    </row>
    <row r="26" spans="1:43" outlineLevel="1" x14ac:dyDescent="0.25">
      <c r="A26" s="138"/>
      <c r="B26" s="119" t="s">
        <v>183</v>
      </c>
      <c r="C26" s="119" t="s">
        <v>85</v>
      </c>
      <c r="D26" s="170">
        <v>0</v>
      </c>
      <c r="E26" s="120">
        <v>1</v>
      </c>
      <c r="F26" s="170">
        <v>1</v>
      </c>
      <c r="G26" s="170">
        <v>1</v>
      </c>
      <c r="H26" s="170">
        <v>1</v>
      </c>
      <c r="I26" s="120">
        <v>0</v>
      </c>
      <c r="J26" s="179">
        <v>1</v>
      </c>
      <c r="K26" s="179">
        <v>1</v>
      </c>
      <c r="L26" s="391">
        <v>1</v>
      </c>
      <c r="M26" s="192">
        <f>IF(G26=0,N26,0)</f>
        <v>0</v>
      </c>
      <c r="N26" s="192">
        <v>20000</v>
      </c>
      <c r="O26" s="265">
        <v>-1</v>
      </c>
      <c r="P26" s="265">
        <v>-1</v>
      </c>
      <c r="Q26" s="192">
        <f>-35*R26</f>
        <v>-402.5</v>
      </c>
      <c r="R26" s="193">
        <v>11.5</v>
      </c>
      <c r="S26" s="193"/>
      <c r="T26" s="184">
        <v>0</v>
      </c>
      <c r="U26" s="122">
        <f t="shared" si="0"/>
        <v>0</v>
      </c>
      <c r="V26" s="139">
        <f t="shared" si="1"/>
        <v>-35</v>
      </c>
      <c r="W26" s="140">
        <f t="shared" si="2"/>
        <v>0</v>
      </c>
      <c r="Y26" s="11">
        <v>1</v>
      </c>
      <c r="Z26" s="117" t="b">
        <f t="shared" si="3"/>
        <v>1</v>
      </c>
      <c r="AA26" s="117" t="b">
        <f t="shared" si="4"/>
        <v>1</v>
      </c>
      <c r="AB26" s="117" t="b">
        <f t="shared" si="5"/>
        <v>0</v>
      </c>
      <c r="AD26" s="360">
        <v>50000</v>
      </c>
      <c r="AE26" s="360"/>
      <c r="AF26" s="361" t="str">
        <f t="shared" si="6"/>
        <v>NyAff1</v>
      </c>
      <c r="AH26"/>
      <c r="AQ26" s="6"/>
    </row>
    <row r="27" spans="1:43" outlineLevel="1" x14ac:dyDescent="0.25">
      <c r="A27" s="141"/>
      <c r="B27" s="130" t="s">
        <v>86</v>
      </c>
      <c r="C27" s="130" t="s">
        <v>87</v>
      </c>
      <c r="D27" s="171">
        <v>0</v>
      </c>
      <c r="E27" s="126">
        <v>1</v>
      </c>
      <c r="F27" s="171">
        <v>0</v>
      </c>
      <c r="G27" s="171">
        <v>1</v>
      </c>
      <c r="H27" s="171">
        <v>0</v>
      </c>
      <c r="I27" s="126">
        <v>1</v>
      </c>
      <c r="J27" s="180">
        <v>1</v>
      </c>
      <c r="K27" s="180">
        <v>1</v>
      </c>
      <c r="L27" s="392"/>
      <c r="M27" s="194">
        <f>IF(G27=0,N27,0)</f>
        <v>0</v>
      </c>
      <c r="N27" s="194">
        <v>10000</v>
      </c>
      <c r="O27" s="266">
        <f t="shared" si="7"/>
        <v>-1</v>
      </c>
      <c r="P27" s="266">
        <f t="shared" si="7"/>
        <v>-1</v>
      </c>
      <c r="Q27" s="194">
        <v>450</v>
      </c>
      <c r="R27" s="195">
        <v>10.5</v>
      </c>
      <c r="S27" s="195"/>
      <c r="T27" s="187">
        <v>37</v>
      </c>
      <c r="U27" s="128">
        <f t="shared" si="0"/>
        <v>0.38850000000000001</v>
      </c>
      <c r="V27" s="142">
        <f t="shared" si="1"/>
        <v>42.857142857142854</v>
      </c>
      <c r="W27" s="143">
        <f t="shared" si="2"/>
        <v>0</v>
      </c>
      <c r="Y27" s="11">
        <v>0</v>
      </c>
      <c r="Z27" s="117" t="b">
        <f t="shared" si="3"/>
        <v>0</v>
      </c>
      <c r="AA27" s="117" t="b">
        <f t="shared" si="4"/>
        <v>0</v>
      </c>
      <c r="AB27" s="117" t="b">
        <f t="shared" si="5"/>
        <v>1</v>
      </c>
      <c r="AD27" s="360">
        <v>40000</v>
      </c>
      <c r="AE27" s="360"/>
      <c r="AF27" s="361" t="str">
        <f t="shared" si="6"/>
        <v>NyAff2</v>
      </c>
      <c r="AH27"/>
      <c r="AQ27" s="6"/>
    </row>
    <row r="28" spans="1:43" outlineLevel="1" x14ac:dyDescent="0.25">
      <c r="A28" s="141"/>
      <c r="B28" s="130" t="s">
        <v>101</v>
      </c>
      <c r="C28" s="130" t="s">
        <v>102</v>
      </c>
      <c r="D28" s="171">
        <v>0</v>
      </c>
      <c r="E28" s="126">
        <v>1</v>
      </c>
      <c r="F28" s="171">
        <v>0</v>
      </c>
      <c r="G28" s="171">
        <v>1</v>
      </c>
      <c r="H28" s="171">
        <v>0</v>
      </c>
      <c r="I28" s="126">
        <v>1</v>
      </c>
      <c r="J28" s="180">
        <v>0</v>
      </c>
      <c r="K28" s="180">
        <v>1</v>
      </c>
      <c r="L28" s="392"/>
      <c r="M28" s="194">
        <f>IF(G28=0,N28,0)</f>
        <v>0</v>
      </c>
      <c r="N28" s="194">
        <v>10000</v>
      </c>
      <c r="O28" s="266">
        <f t="shared" si="7"/>
        <v>-1</v>
      </c>
      <c r="P28" s="266">
        <f t="shared" si="7"/>
        <v>-1</v>
      </c>
      <c r="Q28" s="194">
        <v>500</v>
      </c>
      <c r="R28" s="195">
        <v>9.5</v>
      </c>
      <c r="S28" s="195"/>
      <c r="T28" s="187">
        <v>37</v>
      </c>
      <c r="U28" s="128">
        <f t="shared" si="0"/>
        <v>0.35149999999999998</v>
      </c>
      <c r="V28" s="142">
        <f t="shared" si="1"/>
        <v>52.631578947368418</v>
      </c>
      <c r="W28" s="143">
        <f t="shared" si="2"/>
        <v>0</v>
      </c>
      <c r="Y28" s="11">
        <v>0</v>
      </c>
      <c r="Z28" s="117" t="b">
        <f t="shared" si="3"/>
        <v>0</v>
      </c>
      <c r="AA28" s="117" t="b">
        <f t="shared" si="4"/>
        <v>0</v>
      </c>
      <c r="AB28" s="117" t="b">
        <f t="shared" si="5"/>
        <v>1</v>
      </c>
      <c r="AD28" s="360">
        <v>30000</v>
      </c>
      <c r="AE28" s="360"/>
      <c r="AF28" s="361" t="str">
        <f t="shared" si="6"/>
        <v>NyAff3</v>
      </c>
      <c r="AH28"/>
      <c r="AQ28" s="6"/>
    </row>
    <row r="29" spans="1:43" outlineLevel="1" x14ac:dyDescent="0.25">
      <c r="A29" s="141"/>
      <c r="B29" s="130" t="s">
        <v>103</v>
      </c>
      <c r="C29" s="130" t="s">
        <v>104</v>
      </c>
      <c r="D29" s="171">
        <v>0</v>
      </c>
      <c r="E29" s="126">
        <v>1</v>
      </c>
      <c r="F29" s="171">
        <v>0</v>
      </c>
      <c r="G29" s="171">
        <v>1</v>
      </c>
      <c r="H29" s="171">
        <v>0</v>
      </c>
      <c r="I29" s="126">
        <v>1</v>
      </c>
      <c r="J29" s="180">
        <v>0</v>
      </c>
      <c r="K29" s="180">
        <v>1</v>
      </c>
      <c r="L29" s="392"/>
      <c r="M29" s="194">
        <f>IF(G29=0,N29,0)</f>
        <v>0</v>
      </c>
      <c r="N29" s="194">
        <v>10000</v>
      </c>
      <c r="O29" s="266">
        <f t="shared" si="7"/>
        <v>-1</v>
      </c>
      <c r="P29" s="266">
        <f t="shared" si="7"/>
        <v>-1</v>
      </c>
      <c r="Q29" s="194">
        <v>550</v>
      </c>
      <c r="R29" s="195">
        <v>8.5</v>
      </c>
      <c r="S29" s="195"/>
      <c r="T29" s="187">
        <v>37</v>
      </c>
      <c r="U29" s="128">
        <f t="shared" si="0"/>
        <v>0.3145</v>
      </c>
      <c r="V29" s="142">
        <f t="shared" si="1"/>
        <v>64.705882352941174</v>
      </c>
      <c r="W29" s="143">
        <f t="shared" si="2"/>
        <v>0</v>
      </c>
      <c r="Y29" s="11">
        <v>0</v>
      </c>
      <c r="Z29" s="117" t="b">
        <f t="shared" si="3"/>
        <v>0</v>
      </c>
      <c r="AA29" s="117" t="b">
        <f t="shared" si="4"/>
        <v>0</v>
      </c>
      <c r="AB29" s="117" t="b">
        <f t="shared" si="5"/>
        <v>1</v>
      </c>
      <c r="AD29" s="360">
        <v>20000</v>
      </c>
      <c r="AE29" s="360"/>
      <c r="AF29" s="361" t="str">
        <f t="shared" si="6"/>
        <v>NyAff4</v>
      </c>
      <c r="AH29"/>
      <c r="AQ29" s="6"/>
    </row>
    <row r="30" spans="1:43" outlineLevel="1" x14ac:dyDescent="0.25">
      <c r="A30" s="144"/>
      <c r="B30" s="133" t="s">
        <v>105</v>
      </c>
      <c r="C30" s="133" t="s">
        <v>106</v>
      </c>
      <c r="D30" s="172">
        <v>0</v>
      </c>
      <c r="E30" s="134">
        <v>1</v>
      </c>
      <c r="F30" s="172">
        <v>0</v>
      </c>
      <c r="G30" s="172">
        <v>1</v>
      </c>
      <c r="H30" s="172">
        <v>0</v>
      </c>
      <c r="I30" s="134">
        <v>1</v>
      </c>
      <c r="J30" s="181">
        <v>0</v>
      </c>
      <c r="K30" s="181">
        <v>1</v>
      </c>
      <c r="L30" s="393"/>
      <c r="M30" s="196">
        <f>IF(G30=0,N30,0)</f>
        <v>0</v>
      </c>
      <c r="N30" s="196">
        <v>10000</v>
      </c>
      <c r="O30" s="267">
        <f t="shared" si="7"/>
        <v>-1</v>
      </c>
      <c r="P30" s="267">
        <f t="shared" si="7"/>
        <v>-1</v>
      </c>
      <c r="Q30" s="196">
        <v>600</v>
      </c>
      <c r="R30" s="197">
        <v>7.5</v>
      </c>
      <c r="S30" s="197"/>
      <c r="T30" s="198">
        <v>37</v>
      </c>
      <c r="U30" s="146">
        <f t="shared" si="0"/>
        <v>0.27750000000000002</v>
      </c>
      <c r="V30" s="145">
        <f t="shared" si="1"/>
        <v>80</v>
      </c>
      <c r="W30" s="147">
        <f t="shared" si="2"/>
        <v>0</v>
      </c>
      <c r="Y30" s="11">
        <v>0</v>
      </c>
      <c r="Z30" s="117" t="b">
        <f t="shared" si="3"/>
        <v>0</v>
      </c>
      <c r="AA30" s="117" t="b">
        <f t="shared" si="4"/>
        <v>0</v>
      </c>
      <c r="AB30" s="117" t="b">
        <f t="shared" si="5"/>
        <v>1</v>
      </c>
      <c r="AD30" s="360">
        <v>10000</v>
      </c>
      <c r="AE30" s="5"/>
      <c r="AF30" s="361" t="str">
        <f t="shared" si="6"/>
        <v>NyAff5</v>
      </c>
      <c r="AH30"/>
      <c r="AQ30" s="6"/>
    </row>
    <row r="31" spans="1:43" outlineLevel="1" x14ac:dyDescent="0.25">
      <c r="A31" s="118"/>
      <c r="B31" s="119" t="s">
        <v>203</v>
      </c>
      <c r="C31" s="119" t="s">
        <v>48</v>
      </c>
      <c r="D31" s="167">
        <v>1</v>
      </c>
      <c r="E31" s="120">
        <v>2</v>
      </c>
      <c r="F31" s="173">
        <v>0</v>
      </c>
      <c r="G31" s="98">
        <v>1</v>
      </c>
      <c r="H31" s="98">
        <v>1</v>
      </c>
      <c r="I31" s="120">
        <v>0</v>
      </c>
      <c r="J31" s="154">
        <v>0</v>
      </c>
      <c r="K31" s="154">
        <v>0</v>
      </c>
      <c r="L31" s="154"/>
      <c r="M31" s="154">
        <v>0</v>
      </c>
      <c r="N31" s="99">
        <v>0</v>
      </c>
      <c r="O31" s="99">
        <v>-1</v>
      </c>
      <c r="P31" s="99">
        <v>-1</v>
      </c>
      <c r="Q31" s="182">
        <f>-50*R31</f>
        <v>-470</v>
      </c>
      <c r="R31" s="183">
        <v>9.4</v>
      </c>
      <c r="S31" s="341"/>
      <c r="T31" s="199">
        <v>0</v>
      </c>
      <c r="U31" s="148">
        <f t="shared" si="0"/>
        <v>0</v>
      </c>
      <c r="V31" s="121">
        <f t="shared" si="1"/>
        <v>-50</v>
      </c>
      <c r="W31" s="123">
        <f t="shared" si="2"/>
        <v>0</v>
      </c>
      <c r="Y31" s="11">
        <v>1</v>
      </c>
      <c r="Z31" s="9"/>
      <c r="AA31" s="9"/>
      <c r="AB31" s="9"/>
      <c r="AD31" s="9"/>
      <c r="AH31"/>
      <c r="AQ31" s="6"/>
    </row>
    <row r="32" spans="1:43" outlineLevel="1" x14ac:dyDescent="0.25">
      <c r="A32" s="149"/>
      <c r="B32" s="130" t="s">
        <v>70</v>
      </c>
      <c r="C32" s="130" t="s">
        <v>65</v>
      </c>
      <c r="D32" s="168">
        <v>1</v>
      </c>
      <c r="E32" s="126">
        <v>3</v>
      </c>
      <c r="F32" s="174">
        <v>0</v>
      </c>
      <c r="G32" s="100">
        <v>1</v>
      </c>
      <c r="H32" s="100">
        <v>1</v>
      </c>
      <c r="I32" s="126">
        <v>0</v>
      </c>
      <c r="J32" s="100">
        <v>0</v>
      </c>
      <c r="K32" s="100">
        <v>0</v>
      </c>
      <c r="L32" s="100"/>
      <c r="M32" s="100">
        <v>0</v>
      </c>
      <c r="N32" s="101">
        <v>11000</v>
      </c>
      <c r="O32" s="101">
        <v>-1</v>
      </c>
      <c r="P32" s="101">
        <v>-1</v>
      </c>
      <c r="Q32" s="200">
        <f>-52.5*3.6</f>
        <v>-189</v>
      </c>
      <c r="R32" s="186">
        <v>3.6</v>
      </c>
      <c r="S32" s="186"/>
      <c r="T32" s="188">
        <v>0</v>
      </c>
      <c r="U32" s="131">
        <f t="shared" si="0"/>
        <v>0</v>
      </c>
      <c r="V32" s="127">
        <f t="shared" si="1"/>
        <v>-52.5</v>
      </c>
      <c r="W32" s="129">
        <f t="shared" si="2"/>
        <v>11000</v>
      </c>
      <c r="Y32" s="11">
        <v>1</v>
      </c>
      <c r="Z32" s="9"/>
      <c r="AA32" s="9"/>
      <c r="AB32" s="9"/>
      <c r="AE32" s="9"/>
      <c r="AH32"/>
      <c r="AQ32" s="6"/>
    </row>
    <row r="33" spans="1:43" outlineLevel="1" x14ac:dyDescent="0.25">
      <c r="A33" s="150"/>
      <c r="B33" s="151" t="s">
        <v>76</v>
      </c>
      <c r="C33" s="151" t="s">
        <v>76</v>
      </c>
      <c r="D33" s="169">
        <v>1</v>
      </c>
      <c r="E33" s="134">
        <v>4</v>
      </c>
      <c r="F33" s="175">
        <v>0</v>
      </c>
      <c r="G33" s="152">
        <v>1</v>
      </c>
      <c r="H33" s="152">
        <v>1</v>
      </c>
      <c r="I33" s="134">
        <v>0</v>
      </c>
      <c r="J33" s="152">
        <v>0</v>
      </c>
      <c r="K33" s="152">
        <v>0</v>
      </c>
      <c r="L33" s="152"/>
      <c r="M33" s="152">
        <v>0</v>
      </c>
      <c r="N33" s="153">
        <v>20000</v>
      </c>
      <c r="O33" s="153">
        <v>-1</v>
      </c>
      <c r="P33" s="153">
        <v>-1</v>
      </c>
      <c r="Q33" s="201">
        <v>-5000</v>
      </c>
      <c r="R33" s="190">
        <v>44</v>
      </c>
      <c r="S33" s="190"/>
      <c r="T33" s="202">
        <f>3200/R33</f>
        <v>72.727272727272734</v>
      </c>
      <c r="U33" s="146">
        <f t="shared" si="0"/>
        <v>3.2000000000000006</v>
      </c>
      <c r="V33" s="135">
        <f t="shared" si="1"/>
        <v>-113.63636363636364</v>
      </c>
      <c r="W33" s="137">
        <f t="shared" si="2"/>
        <v>244444.44444444444</v>
      </c>
      <c r="Y33" s="11">
        <v>1</v>
      </c>
      <c r="Z33" s="9"/>
      <c r="AA33" s="9"/>
      <c r="AB33" s="9"/>
      <c r="AH33"/>
      <c r="AQ33" s="6"/>
    </row>
    <row r="34" spans="1:43" x14ac:dyDescent="0.25">
      <c r="A34" s="94"/>
      <c r="B34" s="102">
        <f>COUNTA(B5:B30)</f>
        <v>26</v>
      </c>
      <c r="C34" s="94"/>
      <c r="D34" s="359">
        <f>COUNTIF(D5:D30,"&gt;0")</f>
        <v>17</v>
      </c>
      <c r="E34" s="102"/>
      <c r="F34" s="102">
        <f>COUNTIF(F5:F33,"&gt;0")</f>
        <v>5</v>
      </c>
      <c r="G34" s="102">
        <f>COUNTIF(G5:G33,"&gt;0")</f>
        <v>9</v>
      </c>
      <c r="H34" s="102">
        <f>COUNTIF(H5:H33,"&gt;0")</f>
        <v>9</v>
      </c>
      <c r="I34" s="102">
        <f>COUNTIF(I5:I33,"&gt;0")</f>
        <v>25</v>
      </c>
      <c r="J34" s="94"/>
      <c r="K34" s="94"/>
      <c r="L34" s="94"/>
      <c r="M34" s="293">
        <f>SUMPRODUCT(D5:D30,M5:M30)</f>
        <v>97112.968999999997</v>
      </c>
      <c r="N34" s="293">
        <f>SUMPRODUCT(D5:D30,N5:N30)</f>
        <v>97112.968999999997</v>
      </c>
      <c r="O34" s="94"/>
      <c r="P34" s="94"/>
      <c r="Q34" s="94"/>
      <c r="R34" s="94"/>
      <c r="S34" s="94"/>
      <c r="T34" s="103"/>
      <c r="U34" s="106"/>
      <c r="V34" s="94"/>
      <c r="W34" s="293">
        <f>SUMPRODUCT(D5:D25,W5:W25)</f>
        <v>275391.64624999993</v>
      </c>
      <c r="X34" s="16">
        <f>W34/M34</f>
        <v>2.8357864977848628</v>
      </c>
      <c r="Y34" s="9">
        <f>X34*3.6</f>
        <v>10.208831392025507</v>
      </c>
      <c r="Z34" s="9"/>
      <c r="AA34" s="9"/>
      <c r="AH34"/>
      <c r="AP34" s="6"/>
    </row>
    <row r="35" spans="1:43" x14ac:dyDescent="0.25">
      <c r="O35" s="16"/>
      <c r="P35"/>
      <c r="AG35" s="6"/>
      <c r="AH35"/>
    </row>
    <row r="36" spans="1:43" s="111" customFormat="1" ht="18.75" x14ac:dyDescent="0.3">
      <c r="A36" s="109"/>
      <c r="B36" s="110" t="s">
        <v>182</v>
      </c>
      <c r="C36" s="109"/>
      <c r="D36" s="109"/>
      <c r="E36" s="109"/>
      <c r="F36" s="110"/>
      <c r="G36" s="112"/>
      <c r="H36" s="112"/>
      <c r="I36" s="112"/>
      <c r="J36" s="112"/>
      <c r="K36" s="112"/>
      <c r="L36" s="112"/>
      <c r="M36" s="112"/>
      <c r="N36" s="112"/>
      <c r="O36" s="112"/>
      <c r="P36" s="112"/>
      <c r="Q36" s="112"/>
      <c r="R36" s="112"/>
      <c r="S36" s="112"/>
      <c r="T36" s="112"/>
      <c r="U36" s="112"/>
      <c r="V36" s="112"/>
      <c r="W36" s="112"/>
      <c r="X36" s="112"/>
      <c r="Y36" s="112"/>
      <c r="Z36" s="112"/>
      <c r="AA36" s="112"/>
      <c r="AB36" s="112"/>
      <c r="AC36" s="112"/>
      <c r="AD36" s="112"/>
      <c r="AE36" s="112"/>
      <c r="AF36" s="112"/>
      <c r="AG36" s="112"/>
      <c r="AH36" s="112"/>
      <c r="AI36" s="112"/>
      <c r="AJ36" s="112"/>
      <c r="AK36" s="112"/>
      <c r="AL36" s="112"/>
      <c r="AM36" s="112"/>
    </row>
    <row r="37" spans="1:43" x14ac:dyDescent="0.25">
      <c r="B37" s="369">
        <f>IF(FixAffald2021&lt;&gt;0, Affald2021!C9, IF(AND($I5&lt;&gt;0,$H5=0),$N5/12,$N5))</f>
        <v>3908.64</v>
      </c>
      <c r="C37" s="1" t="s">
        <v>116</v>
      </c>
      <c r="D37" s="32">
        <f t="shared" ref="D37:AM37" si="8">_xlfn.LET(_xlpm.d,D38,IF(AND(_xlpm.d&gt;=PerStart,_xlpm.d&lt;=PerSlut),1,0))</f>
        <v>1</v>
      </c>
      <c r="E37" s="24">
        <f t="shared" si="8"/>
        <v>1</v>
      </c>
      <c r="F37" s="24">
        <f t="shared" si="8"/>
        <v>1</v>
      </c>
      <c r="G37" s="24">
        <f t="shared" si="8"/>
        <v>1</v>
      </c>
      <c r="H37" s="24">
        <f t="shared" si="8"/>
        <v>1</v>
      </c>
      <c r="I37" s="24">
        <f t="shared" si="8"/>
        <v>1</v>
      </c>
      <c r="J37" s="24">
        <f t="shared" si="8"/>
        <v>1</v>
      </c>
      <c r="K37" s="24">
        <f t="shared" si="8"/>
        <v>1</v>
      </c>
      <c r="L37" s="24">
        <f t="shared" si="8"/>
        <v>1</v>
      </c>
      <c r="M37" s="24">
        <f t="shared" si="8"/>
        <v>1</v>
      </c>
      <c r="N37" s="24">
        <f t="shared" si="8"/>
        <v>1</v>
      </c>
      <c r="O37" s="24">
        <f t="shared" si="8"/>
        <v>1</v>
      </c>
      <c r="P37" s="32">
        <f t="shared" si="8"/>
        <v>0</v>
      </c>
      <c r="Q37" s="24">
        <f t="shared" si="8"/>
        <v>0</v>
      </c>
      <c r="R37" s="24">
        <f t="shared" si="8"/>
        <v>0</v>
      </c>
      <c r="S37" s="24">
        <f t="shared" si="8"/>
        <v>0</v>
      </c>
      <c r="T37" s="24">
        <f t="shared" si="8"/>
        <v>0</v>
      </c>
      <c r="U37" s="24">
        <f t="shared" si="8"/>
        <v>0</v>
      </c>
      <c r="V37" s="24">
        <f t="shared" si="8"/>
        <v>0</v>
      </c>
      <c r="W37" s="24">
        <f t="shared" si="8"/>
        <v>0</v>
      </c>
      <c r="X37" s="24">
        <f t="shared" si="8"/>
        <v>0</v>
      </c>
      <c r="Y37" s="24">
        <f t="shared" si="8"/>
        <v>0</v>
      </c>
      <c r="Z37" s="24">
        <f t="shared" si="8"/>
        <v>0</v>
      </c>
      <c r="AA37" s="24">
        <f t="shared" si="8"/>
        <v>0</v>
      </c>
      <c r="AB37" s="32">
        <f t="shared" si="8"/>
        <v>0</v>
      </c>
      <c r="AC37" s="24">
        <f t="shared" si="8"/>
        <v>0</v>
      </c>
      <c r="AD37" s="24">
        <f t="shared" si="8"/>
        <v>0</v>
      </c>
      <c r="AE37" s="24">
        <f t="shared" si="8"/>
        <v>0</v>
      </c>
      <c r="AF37" s="24">
        <f t="shared" si="8"/>
        <v>0</v>
      </c>
      <c r="AG37" s="24">
        <f t="shared" si="8"/>
        <v>0</v>
      </c>
      <c r="AH37" s="24">
        <f t="shared" si="8"/>
        <v>0</v>
      </c>
      <c r="AI37" s="24">
        <f t="shared" si="8"/>
        <v>0</v>
      </c>
      <c r="AJ37" s="24">
        <f t="shared" si="8"/>
        <v>0</v>
      </c>
      <c r="AK37" s="24">
        <f t="shared" si="8"/>
        <v>0</v>
      </c>
      <c r="AL37" s="24">
        <f t="shared" si="8"/>
        <v>0</v>
      </c>
      <c r="AM37" s="24">
        <f t="shared" si="8"/>
        <v>0</v>
      </c>
    </row>
    <row r="38" spans="1:43" x14ac:dyDescent="0.25">
      <c r="B38" s="369">
        <f>IF(OR($H5=0,AND($AB5,NOT($AA5))),$M5/12,0)</f>
        <v>0</v>
      </c>
      <c r="C38" s="21" t="s">
        <v>107</v>
      </c>
      <c r="D38" s="35" cm="1">
        <f t="array" ref="D38:AM38">TRANSPOSE(PeriodRange)</f>
        <v>44197</v>
      </c>
      <c r="E38" s="31">
        <v>44228</v>
      </c>
      <c r="F38" s="31">
        <v>44256</v>
      </c>
      <c r="G38" s="31">
        <v>44287</v>
      </c>
      <c r="H38" s="31">
        <v>44317</v>
      </c>
      <c r="I38" s="31">
        <v>44348</v>
      </c>
      <c r="J38" s="31">
        <v>44378</v>
      </c>
      <c r="K38" s="31">
        <v>44409</v>
      </c>
      <c r="L38" s="31">
        <v>44440</v>
      </c>
      <c r="M38" s="31">
        <v>44470</v>
      </c>
      <c r="N38" s="31">
        <v>44501</v>
      </c>
      <c r="O38" s="31">
        <v>44531</v>
      </c>
      <c r="P38" s="33">
        <v>44562</v>
      </c>
      <c r="Q38" s="31">
        <v>44593</v>
      </c>
      <c r="R38" s="31">
        <v>44621</v>
      </c>
      <c r="S38" s="31">
        <v>44652</v>
      </c>
      <c r="T38" s="31">
        <v>44682</v>
      </c>
      <c r="U38" s="31">
        <v>44713</v>
      </c>
      <c r="V38" s="31">
        <v>44743</v>
      </c>
      <c r="W38" s="31">
        <v>44774</v>
      </c>
      <c r="X38" s="31">
        <v>44805</v>
      </c>
      <c r="Y38" s="31">
        <v>44835</v>
      </c>
      <c r="Z38" s="31">
        <v>44866</v>
      </c>
      <c r="AA38" s="31">
        <v>44896</v>
      </c>
      <c r="AB38" s="35">
        <v>44927</v>
      </c>
      <c r="AC38" s="31">
        <v>44958</v>
      </c>
      <c r="AD38" s="31">
        <v>44986</v>
      </c>
      <c r="AE38" s="31">
        <v>45017</v>
      </c>
      <c r="AF38" s="31">
        <v>45047</v>
      </c>
      <c r="AG38" s="31">
        <v>45078</v>
      </c>
      <c r="AH38" s="31">
        <v>45108</v>
      </c>
      <c r="AI38" s="31">
        <v>45139</v>
      </c>
      <c r="AJ38" s="31">
        <v>45170</v>
      </c>
      <c r="AK38" s="31">
        <v>45200</v>
      </c>
      <c r="AL38" s="31">
        <v>45231</v>
      </c>
      <c r="AM38" s="31">
        <v>45261</v>
      </c>
    </row>
    <row r="39" spans="1:43" x14ac:dyDescent="0.25">
      <c r="B39" s="27" t="s">
        <v>74</v>
      </c>
      <c r="C39" s="21" t="s">
        <v>75</v>
      </c>
      <c r="D39" s="67" t="s">
        <v>141</v>
      </c>
      <c r="E39" s="68" t="s">
        <v>142</v>
      </c>
      <c r="F39" s="68" t="s">
        <v>143</v>
      </c>
      <c r="G39" s="68" t="s">
        <v>144</v>
      </c>
      <c r="H39" s="68" t="s">
        <v>145</v>
      </c>
      <c r="I39" s="68" t="s">
        <v>146</v>
      </c>
      <c r="J39" s="68" t="s">
        <v>147</v>
      </c>
      <c r="K39" s="68" t="s">
        <v>148</v>
      </c>
      <c r="L39" s="68" t="s">
        <v>149</v>
      </c>
      <c r="M39" s="68" t="s">
        <v>150</v>
      </c>
      <c r="N39" s="68" t="s">
        <v>151</v>
      </c>
      <c r="O39" s="68" t="s">
        <v>152</v>
      </c>
      <c r="P39" s="69" t="s">
        <v>153</v>
      </c>
      <c r="Q39" s="68" t="s">
        <v>154</v>
      </c>
      <c r="R39" s="68" t="s">
        <v>155</v>
      </c>
      <c r="S39" s="68" t="s">
        <v>156</v>
      </c>
      <c r="T39" s="68" t="s">
        <v>157</v>
      </c>
      <c r="U39" s="68" t="s">
        <v>158</v>
      </c>
      <c r="V39" s="68" t="s">
        <v>159</v>
      </c>
      <c r="W39" s="68" t="s">
        <v>160</v>
      </c>
      <c r="X39" s="68" t="s">
        <v>161</v>
      </c>
      <c r="Y39" s="68" t="s">
        <v>162</v>
      </c>
      <c r="Z39" s="68" t="s">
        <v>163</v>
      </c>
      <c r="AA39" s="68" t="s">
        <v>164</v>
      </c>
      <c r="AB39" s="67" t="s">
        <v>165</v>
      </c>
      <c r="AC39" s="68" t="s">
        <v>166</v>
      </c>
      <c r="AD39" s="68" t="s">
        <v>167</v>
      </c>
      <c r="AE39" s="68" t="s">
        <v>168</v>
      </c>
      <c r="AF39" s="68" t="s">
        <v>169</v>
      </c>
      <c r="AG39" s="68" t="s">
        <v>170</v>
      </c>
      <c r="AH39" s="68" t="s">
        <v>171</v>
      </c>
      <c r="AI39" s="68" t="s">
        <v>172</v>
      </c>
      <c r="AJ39" s="68" t="s">
        <v>173</v>
      </c>
      <c r="AK39" s="68" t="s">
        <v>174</v>
      </c>
      <c r="AL39" s="68" t="s">
        <v>175</v>
      </c>
      <c r="AM39" s="68" t="s">
        <v>176</v>
      </c>
    </row>
    <row r="40" spans="1:43" s="26" customFormat="1" ht="15.75" x14ac:dyDescent="0.25">
      <c r="A40" s="37" t="s">
        <v>400</v>
      </c>
      <c r="B40" s="41"/>
      <c r="C40" s="29"/>
      <c r="D40" s="34"/>
      <c r="E40" s="30"/>
      <c r="F40" s="30"/>
      <c r="G40" s="30"/>
      <c r="H40" s="30"/>
      <c r="I40" s="30"/>
      <c r="J40" s="30"/>
      <c r="K40" s="30"/>
      <c r="L40" s="30"/>
      <c r="M40" s="30"/>
      <c r="N40" s="30"/>
      <c r="O40" s="30"/>
      <c r="P40" s="34"/>
      <c r="Q40" s="30"/>
      <c r="R40" s="30"/>
      <c r="S40" s="30"/>
      <c r="T40" s="30"/>
      <c r="U40" s="30"/>
      <c r="V40" s="30"/>
      <c r="W40" s="30"/>
      <c r="X40" s="30"/>
      <c r="Y40" s="30"/>
      <c r="Z40" s="30"/>
      <c r="AA40" s="30"/>
      <c r="AB40" s="34"/>
      <c r="AC40" s="30"/>
      <c r="AD40" s="30"/>
      <c r="AE40" s="30"/>
      <c r="AF40" s="30"/>
      <c r="AG40" s="30"/>
      <c r="AH40" s="30"/>
      <c r="AI40" s="30"/>
      <c r="AJ40" s="30"/>
      <c r="AK40" s="30"/>
      <c r="AL40" s="30"/>
      <c r="AM40" s="30"/>
    </row>
    <row r="41" spans="1:43" s="248" customFormat="1" outlineLevel="1" x14ac:dyDescent="0.25">
      <c r="B41" s="248" t="str" cm="1">
        <f t="array" ref="B41:B66">Affaldsfraktioner</f>
        <v>DepoSort</v>
      </c>
      <c r="C41" s="22" t="s">
        <v>255</v>
      </c>
      <c r="D41" s="381">
        <f>IF(FixAffald2021&lt;&gt;0, Affald2021!C9, IF($I5&lt;&gt;0,$N5/12,$N5))</f>
        <v>3908.64</v>
      </c>
      <c r="E41" s="382">
        <f>IF(FixAffald2021&lt;&gt;0, Affald2021!D9, IF($I5&lt;&gt;0,$N5/12,$N5))</f>
        <v>973</v>
      </c>
      <c r="F41" s="382">
        <f>IF(FixAffald2021&lt;&gt;0, Affald2021!E9, IF($I5&lt;&gt;0,$N5/12,$N5))</f>
        <v>1702.59</v>
      </c>
      <c r="G41" s="382">
        <f>IF(FixAffald2021&lt;&gt;0, Affald2021!F9, IF($I5&lt;&gt;0,$N5/12,$N5))</f>
        <v>1267.99</v>
      </c>
      <c r="H41" s="382">
        <f>IF(FixAffald2021&lt;&gt;0, Affald2021!G9, IF($I5&lt;&gt;0,$N5/12,$N5))</f>
        <v>105.72</v>
      </c>
      <c r="I41" s="382">
        <f>IF(FixAffald2021&lt;&gt;0, Affald2021!H9, IF($I5&lt;&gt;0,$N5/12,$N5))</f>
        <v>0</v>
      </c>
      <c r="J41" s="382">
        <f>IF(FixAffald2021&lt;&gt;0, Affald2021!I9, IF($I5&lt;&gt;0,$N5/12,$N5))</f>
        <v>182.36</v>
      </c>
      <c r="K41" s="382">
        <f>IF(FixAffald2021&lt;&gt;0, Affald2021!J9, IF($I5&lt;&gt;0,$N5/12,$N5))</f>
        <v>161.74</v>
      </c>
      <c r="L41" s="382">
        <f>IF(FixAffald2021&lt;&gt;0, Affald2021!K9, IF($I5&lt;&gt;0,$N5/12,$N5))</f>
        <v>1474.88</v>
      </c>
      <c r="M41" s="382">
        <f>IF(FixAffald2021&lt;&gt;0, Affald2021!L9, IF($I5&lt;&gt;0,$N5/12,$N5))</f>
        <v>1389.91</v>
      </c>
      <c r="N41" s="382">
        <f>IF(FixAffald2021&lt;&gt;0, Affald2021!M9, IF($I5&lt;&gt;0,$N5/12,$N5))</f>
        <v>187.49</v>
      </c>
      <c r="O41" s="382">
        <f>IF(FixAffald2021&lt;&gt;0, Affald2021!N9, IF($I5&lt;&gt;0,$N5/12,$N5))</f>
        <v>1560.98</v>
      </c>
      <c r="P41" s="249">
        <f>IF($I5&lt;&gt;0,$N5/12,$N5)</f>
        <v>1076.2749999999999</v>
      </c>
      <c r="Q41" s="250">
        <f t="shared" ref="Q41:AM52" si="9">IF($I5&lt;&gt;0,$N5/12,$N5)</f>
        <v>1076.2749999999999</v>
      </c>
      <c r="R41" s="250">
        <f t="shared" si="9"/>
        <v>1076.2749999999999</v>
      </c>
      <c r="S41" s="250">
        <f t="shared" si="9"/>
        <v>1076.2749999999999</v>
      </c>
      <c r="T41" s="250">
        <f t="shared" si="9"/>
        <v>1076.2749999999999</v>
      </c>
      <c r="U41" s="250">
        <f t="shared" si="9"/>
        <v>1076.2749999999999</v>
      </c>
      <c r="V41" s="250">
        <f t="shared" si="9"/>
        <v>1076.2749999999999</v>
      </c>
      <c r="W41" s="250">
        <f t="shared" si="9"/>
        <v>1076.2749999999999</v>
      </c>
      <c r="X41" s="250">
        <f t="shared" si="9"/>
        <v>1076.2749999999999</v>
      </c>
      <c r="Y41" s="250">
        <f t="shared" si="9"/>
        <v>1076.2749999999999</v>
      </c>
      <c r="Z41" s="250">
        <f t="shared" si="9"/>
        <v>1076.2749999999999</v>
      </c>
      <c r="AA41" s="250">
        <f t="shared" si="9"/>
        <v>1076.2749999999999</v>
      </c>
      <c r="AB41" s="249">
        <f t="shared" si="9"/>
        <v>1076.2749999999999</v>
      </c>
      <c r="AC41" s="250">
        <f t="shared" si="9"/>
        <v>1076.2749999999999</v>
      </c>
      <c r="AD41" s="250">
        <f t="shared" si="9"/>
        <v>1076.2749999999999</v>
      </c>
      <c r="AE41" s="250">
        <f t="shared" si="9"/>
        <v>1076.2749999999999</v>
      </c>
      <c r="AF41" s="250">
        <f t="shared" si="9"/>
        <v>1076.2749999999999</v>
      </c>
      <c r="AG41" s="250">
        <f t="shared" si="9"/>
        <v>1076.2749999999999</v>
      </c>
      <c r="AH41" s="250">
        <f t="shared" si="9"/>
        <v>1076.2749999999999</v>
      </c>
      <c r="AI41" s="250">
        <f t="shared" si="9"/>
        <v>1076.2749999999999</v>
      </c>
      <c r="AJ41" s="250">
        <f t="shared" si="9"/>
        <v>1076.2749999999999</v>
      </c>
      <c r="AK41" s="250">
        <f t="shared" si="9"/>
        <v>1076.2749999999999</v>
      </c>
      <c r="AL41" s="250">
        <f t="shared" si="9"/>
        <v>1076.2749999999999</v>
      </c>
      <c r="AM41" s="250">
        <f t="shared" si="9"/>
        <v>1076.2749999999999</v>
      </c>
    </row>
    <row r="42" spans="1:43" s="248" customFormat="1" outlineLevel="1" x14ac:dyDescent="0.25">
      <c r="B42" s="248" t="str">
        <v>DepoSmaat</v>
      </c>
      <c r="C42" s="22" t="s">
        <v>255</v>
      </c>
      <c r="D42" s="381">
        <f>IF(FixAffald2021&lt;&gt;0, Affald2021!C10, IF($I6&lt;&gt;0,$N6/12,$N6))</f>
        <v>0</v>
      </c>
      <c r="E42" s="382">
        <f>IF(FixAffald2021&lt;&gt;0, Affald2021!D10, IF($I6&lt;&gt;0,$N6/12,$N6))</f>
        <v>0</v>
      </c>
      <c r="F42" s="382">
        <f>IF(FixAffald2021&lt;&gt;0, Affald2021!E10, IF($I6&lt;&gt;0,$N6/12,$N6))</f>
        <v>0</v>
      </c>
      <c r="G42" s="382">
        <f>IF(FixAffald2021&lt;&gt;0, Affald2021!F10, IF($I6&lt;&gt;0,$N6/12,$N6))</f>
        <v>0</v>
      </c>
      <c r="H42" s="382">
        <f>IF(FixAffald2021&lt;&gt;0, Affald2021!G10, IF($I6&lt;&gt;0,$N6/12,$N6))</f>
        <v>0</v>
      </c>
      <c r="I42" s="382">
        <f>IF(FixAffald2021&lt;&gt;0, Affald2021!H10, IF($I6&lt;&gt;0,$N6/12,$N6))</f>
        <v>0</v>
      </c>
      <c r="J42" s="382">
        <f>IF(FixAffald2021&lt;&gt;0, Affald2021!I10, IF($I6&lt;&gt;0,$N6/12,$N6))</f>
        <v>0</v>
      </c>
      <c r="K42" s="382">
        <f>IF(FixAffald2021&lt;&gt;0, Affald2021!J10, IF($I6&lt;&gt;0,$N6/12,$N6))</f>
        <v>0</v>
      </c>
      <c r="L42" s="382">
        <f>IF(FixAffald2021&lt;&gt;0, Affald2021!K10, IF($I6&lt;&gt;0,$N6/12,$N6))</f>
        <v>0</v>
      </c>
      <c r="M42" s="382">
        <f>IF(FixAffald2021&lt;&gt;0, Affald2021!L10, IF($I6&lt;&gt;0,$N6/12,$N6))</f>
        <v>0</v>
      </c>
      <c r="N42" s="382">
        <f>IF(FixAffald2021&lt;&gt;0, Affald2021!M10, IF($I6&lt;&gt;0,$N6/12,$N6))</f>
        <v>0</v>
      </c>
      <c r="O42" s="382">
        <f>IF(FixAffald2021&lt;&gt;0, Affald2021!N10, IF($I6&lt;&gt;0,$N6/12,$N6))</f>
        <v>0</v>
      </c>
      <c r="P42" s="249">
        <f t="shared" ref="P42:AE66" si="10">IF($I6&lt;&gt;0,$N6/12,$N6)</f>
        <v>0</v>
      </c>
      <c r="Q42" s="250">
        <f t="shared" si="10"/>
        <v>0</v>
      </c>
      <c r="R42" s="250">
        <f t="shared" si="10"/>
        <v>0</v>
      </c>
      <c r="S42" s="250">
        <f t="shared" si="10"/>
        <v>0</v>
      </c>
      <c r="T42" s="250">
        <f t="shared" si="10"/>
        <v>0</v>
      </c>
      <c r="U42" s="250">
        <f t="shared" si="10"/>
        <v>0</v>
      </c>
      <c r="V42" s="250">
        <f t="shared" si="10"/>
        <v>0</v>
      </c>
      <c r="W42" s="250">
        <f t="shared" si="10"/>
        <v>0</v>
      </c>
      <c r="X42" s="250">
        <f t="shared" si="10"/>
        <v>0</v>
      </c>
      <c r="Y42" s="250">
        <f t="shared" si="10"/>
        <v>0</v>
      </c>
      <c r="Z42" s="250">
        <f t="shared" si="10"/>
        <v>0</v>
      </c>
      <c r="AA42" s="250">
        <f t="shared" si="10"/>
        <v>0</v>
      </c>
      <c r="AB42" s="249">
        <f t="shared" si="10"/>
        <v>0</v>
      </c>
      <c r="AC42" s="250">
        <f t="shared" si="10"/>
        <v>0</v>
      </c>
      <c r="AD42" s="250">
        <f t="shared" si="10"/>
        <v>0</v>
      </c>
      <c r="AE42" s="250">
        <f t="shared" si="10"/>
        <v>0</v>
      </c>
      <c r="AF42" s="250">
        <f t="shared" si="9"/>
        <v>0</v>
      </c>
      <c r="AG42" s="250">
        <f t="shared" si="9"/>
        <v>0</v>
      </c>
      <c r="AH42" s="250">
        <f t="shared" si="9"/>
        <v>0</v>
      </c>
      <c r="AI42" s="250">
        <f t="shared" si="9"/>
        <v>0</v>
      </c>
      <c r="AJ42" s="250">
        <f t="shared" si="9"/>
        <v>0</v>
      </c>
      <c r="AK42" s="250">
        <f t="shared" si="9"/>
        <v>0</v>
      </c>
      <c r="AL42" s="250">
        <f t="shared" si="9"/>
        <v>0</v>
      </c>
      <c r="AM42" s="250">
        <f t="shared" si="9"/>
        <v>0</v>
      </c>
    </row>
    <row r="43" spans="1:43" s="248" customFormat="1" outlineLevel="1" x14ac:dyDescent="0.25">
      <c r="B43" s="248" t="str">
        <v>DepoNedd</v>
      </c>
      <c r="C43" s="22" t="s">
        <v>255</v>
      </c>
      <c r="D43" s="381">
        <f>IF(FixAffald2021&lt;&gt;0, Affald2021!C11, IF($I7&lt;&gt;0,$N7/12,$N7))</f>
        <v>0</v>
      </c>
      <c r="E43" s="382">
        <f>IF(FixAffald2021&lt;&gt;0, Affald2021!D11, IF($I7&lt;&gt;0,$N7/12,$N7))</f>
        <v>0</v>
      </c>
      <c r="F43" s="382">
        <f>IF(FixAffald2021&lt;&gt;0, Affald2021!E11, IF($I7&lt;&gt;0,$N7/12,$N7))</f>
        <v>0</v>
      </c>
      <c r="G43" s="382">
        <f>IF(FixAffald2021&lt;&gt;0, Affald2021!F11, IF($I7&lt;&gt;0,$N7/12,$N7))</f>
        <v>0</v>
      </c>
      <c r="H43" s="382">
        <f>IF(FixAffald2021&lt;&gt;0, Affald2021!G11, IF($I7&lt;&gt;0,$N7/12,$N7))</f>
        <v>0</v>
      </c>
      <c r="I43" s="382">
        <f>IF(FixAffald2021&lt;&gt;0, Affald2021!H11, IF($I7&lt;&gt;0,$N7/12,$N7))</f>
        <v>0</v>
      </c>
      <c r="J43" s="382">
        <f>IF(FixAffald2021&lt;&gt;0, Affald2021!I11, IF($I7&lt;&gt;0,$N7/12,$N7))</f>
        <v>0</v>
      </c>
      <c r="K43" s="382">
        <f>IF(FixAffald2021&lt;&gt;0, Affald2021!J11, IF($I7&lt;&gt;0,$N7/12,$N7))</f>
        <v>0</v>
      </c>
      <c r="L43" s="382">
        <f>IF(FixAffald2021&lt;&gt;0, Affald2021!K11, IF($I7&lt;&gt;0,$N7/12,$N7))</f>
        <v>0</v>
      </c>
      <c r="M43" s="382">
        <f>IF(FixAffald2021&lt;&gt;0, Affald2021!L11, IF($I7&lt;&gt;0,$N7/12,$N7))</f>
        <v>0</v>
      </c>
      <c r="N43" s="382">
        <f>IF(FixAffald2021&lt;&gt;0, Affald2021!M11, IF($I7&lt;&gt;0,$N7/12,$N7))</f>
        <v>0</v>
      </c>
      <c r="O43" s="382">
        <f>IF(FixAffald2021&lt;&gt;0, Affald2021!N11, IF($I7&lt;&gt;0,$N7/12,$N7))</f>
        <v>0</v>
      </c>
      <c r="P43" s="249">
        <f t="shared" si="10"/>
        <v>0</v>
      </c>
      <c r="Q43" s="250">
        <f t="shared" si="9"/>
        <v>0</v>
      </c>
      <c r="R43" s="250">
        <f t="shared" si="9"/>
        <v>0</v>
      </c>
      <c r="S43" s="250">
        <f t="shared" si="9"/>
        <v>0</v>
      </c>
      <c r="T43" s="250">
        <f t="shared" si="9"/>
        <v>0</v>
      </c>
      <c r="U43" s="250">
        <f t="shared" si="9"/>
        <v>0</v>
      </c>
      <c r="V43" s="250">
        <f t="shared" si="9"/>
        <v>0</v>
      </c>
      <c r="W43" s="250">
        <f t="shared" si="9"/>
        <v>0</v>
      </c>
      <c r="X43" s="250">
        <f t="shared" si="9"/>
        <v>0</v>
      </c>
      <c r="Y43" s="250">
        <f t="shared" si="9"/>
        <v>0</v>
      </c>
      <c r="Z43" s="250">
        <f t="shared" si="9"/>
        <v>0</v>
      </c>
      <c r="AA43" s="250">
        <f t="shared" si="9"/>
        <v>0</v>
      </c>
      <c r="AB43" s="249">
        <f t="shared" si="9"/>
        <v>0</v>
      </c>
      <c r="AC43" s="250">
        <f t="shared" si="9"/>
        <v>0</v>
      </c>
      <c r="AD43" s="250">
        <f t="shared" si="9"/>
        <v>0</v>
      </c>
      <c r="AE43" s="250">
        <f t="shared" si="9"/>
        <v>0</v>
      </c>
      <c r="AF43" s="250">
        <f t="shared" si="9"/>
        <v>0</v>
      </c>
      <c r="AG43" s="250">
        <f t="shared" si="9"/>
        <v>0</v>
      </c>
      <c r="AH43" s="250">
        <f t="shared" si="9"/>
        <v>0</v>
      </c>
      <c r="AI43" s="250">
        <f t="shared" si="9"/>
        <v>0</v>
      </c>
      <c r="AJ43" s="250">
        <f t="shared" si="9"/>
        <v>0</v>
      </c>
      <c r="AK43" s="250">
        <f t="shared" si="9"/>
        <v>0</v>
      </c>
      <c r="AL43" s="250">
        <f t="shared" si="9"/>
        <v>0</v>
      </c>
      <c r="AM43" s="250">
        <f t="shared" si="9"/>
        <v>0</v>
      </c>
    </row>
    <row r="44" spans="1:43" s="248" customFormat="1" outlineLevel="1" x14ac:dyDescent="0.25">
      <c r="B44" s="248" t="str">
        <v>Dagren</v>
      </c>
      <c r="C44" s="22" t="s">
        <v>255</v>
      </c>
      <c r="D44" s="381">
        <f>IF(FixAffald2021&lt;&gt;0, Affald2021!C12, IF($I8&lt;&gt;0,$N8/12,$N8))</f>
        <v>2356.98</v>
      </c>
      <c r="E44" s="382">
        <f>IF(FixAffald2021&lt;&gt;0, Affald2021!D12, IF($I8&lt;&gt;0,$N8/12,$N8))</f>
        <v>2129.9</v>
      </c>
      <c r="F44" s="382">
        <f>IF(FixAffald2021&lt;&gt;0, Affald2021!E12, IF($I8&lt;&gt;0,$N8/12,$N8))</f>
        <v>2515.21</v>
      </c>
      <c r="G44" s="382">
        <f>IF(FixAffald2021&lt;&gt;0, Affald2021!F12, IF($I8&lt;&gt;0,$N8/12,$N8))</f>
        <v>2421.34</v>
      </c>
      <c r="H44" s="382">
        <f>IF(FixAffald2021&lt;&gt;0, Affald2021!G12, IF($I8&lt;&gt;0,$N8/12,$N8))</f>
        <v>2323.06</v>
      </c>
      <c r="I44" s="382">
        <f>IF(FixAffald2021&lt;&gt;0, Affald2021!H12, IF($I8&lt;&gt;0,$N8/12,$N8))</f>
        <v>2443.7399999999998</v>
      </c>
      <c r="J44" s="382">
        <f>IF(FixAffald2021&lt;&gt;0, Affald2021!I12, IF($I8&lt;&gt;0,$N8/12,$N8))</f>
        <v>2591.08</v>
      </c>
      <c r="K44" s="382">
        <f>IF(FixAffald2021&lt;&gt;0, Affald2021!J12, IF($I8&lt;&gt;0,$N8/12,$N8))</f>
        <v>2530.84</v>
      </c>
      <c r="L44" s="382">
        <f>IF(FixAffald2021&lt;&gt;0, Affald2021!K12, IF($I8&lt;&gt;0,$N8/12,$N8))</f>
        <v>2388.4499999999998</v>
      </c>
      <c r="M44" s="382">
        <f>IF(FixAffald2021&lt;&gt;0, Affald2021!L12, IF($I8&lt;&gt;0,$N8/12,$N8))</f>
        <v>2269.38</v>
      </c>
      <c r="N44" s="382">
        <f>IF(FixAffald2021&lt;&gt;0, Affald2021!M12, IF($I8&lt;&gt;0,$N8/12,$N8))</f>
        <v>2350.34</v>
      </c>
      <c r="O44" s="382">
        <f>IF(FixAffald2021&lt;&gt;0, Affald2021!N12, IF($I8&lt;&gt;0,$N8/12,$N8))</f>
        <v>2446.46</v>
      </c>
      <c r="P44" s="249">
        <f t="shared" si="10"/>
        <v>2397.2316666666666</v>
      </c>
      <c r="Q44" s="250">
        <f t="shared" si="9"/>
        <v>2397.2316666666666</v>
      </c>
      <c r="R44" s="250">
        <f t="shared" si="9"/>
        <v>2397.2316666666666</v>
      </c>
      <c r="S44" s="250">
        <f t="shared" si="9"/>
        <v>2397.2316666666666</v>
      </c>
      <c r="T44" s="250">
        <f t="shared" si="9"/>
        <v>2397.2316666666666</v>
      </c>
      <c r="U44" s="250">
        <f t="shared" si="9"/>
        <v>2397.2316666666666</v>
      </c>
      <c r="V44" s="250">
        <f t="shared" si="9"/>
        <v>2397.2316666666666</v>
      </c>
      <c r="W44" s="250">
        <f t="shared" si="9"/>
        <v>2397.2316666666666</v>
      </c>
      <c r="X44" s="250">
        <f t="shared" si="9"/>
        <v>2397.2316666666666</v>
      </c>
      <c r="Y44" s="250">
        <f t="shared" si="9"/>
        <v>2397.2316666666666</v>
      </c>
      <c r="Z44" s="250">
        <f t="shared" si="9"/>
        <v>2397.2316666666666</v>
      </c>
      <c r="AA44" s="250">
        <f t="shared" si="9"/>
        <v>2397.2316666666666</v>
      </c>
      <c r="AB44" s="249">
        <f t="shared" si="9"/>
        <v>2397.2316666666666</v>
      </c>
      <c r="AC44" s="250">
        <f t="shared" si="9"/>
        <v>2397.2316666666666</v>
      </c>
      <c r="AD44" s="250">
        <f t="shared" si="9"/>
        <v>2397.2316666666666</v>
      </c>
      <c r="AE44" s="250">
        <f t="shared" si="9"/>
        <v>2397.2316666666666</v>
      </c>
      <c r="AF44" s="250">
        <f t="shared" si="9"/>
        <v>2397.2316666666666</v>
      </c>
      <c r="AG44" s="250">
        <f t="shared" si="9"/>
        <v>2397.2316666666666</v>
      </c>
      <c r="AH44" s="250">
        <f t="shared" si="9"/>
        <v>2397.2316666666666</v>
      </c>
      <c r="AI44" s="250">
        <f t="shared" si="9"/>
        <v>2397.2316666666666</v>
      </c>
      <c r="AJ44" s="250">
        <f t="shared" si="9"/>
        <v>2397.2316666666666</v>
      </c>
      <c r="AK44" s="250">
        <f t="shared" si="9"/>
        <v>2397.2316666666666</v>
      </c>
      <c r="AL44" s="250">
        <f t="shared" si="9"/>
        <v>2397.2316666666666</v>
      </c>
      <c r="AM44" s="250">
        <f t="shared" si="9"/>
        <v>2397.2316666666666</v>
      </c>
    </row>
    <row r="45" spans="1:43" s="248" customFormat="1" outlineLevel="1" x14ac:dyDescent="0.25">
      <c r="B45" s="248" t="str">
        <v>AndetBrand</v>
      </c>
      <c r="C45" s="22" t="s">
        <v>255</v>
      </c>
      <c r="D45" s="381">
        <f>IF(FixAffald2021&lt;&gt;0, Affald2021!C13, IF($I9&lt;&gt;0,$N9/12,$N9))</f>
        <v>437.56</v>
      </c>
      <c r="E45" s="382">
        <f>IF(FixAffald2021&lt;&gt;0, Affald2021!D13, IF($I9&lt;&gt;0,$N9/12,$N9))</f>
        <v>345</v>
      </c>
      <c r="F45" s="382">
        <f>IF(FixAffald2021&lt;&gt;0, Affald2021!E13, IF($I9&lt;&gt;0,$N9/12,$N9))</f>
        <v>540.71</v>
      </c>
      <c r="G45" s="382">
        <f>IF(FixAffald2021&lt;&gt;0, Affald2021!F13, IF($I9&lt;&gt;0,$N9/12,$N9))</f>
        <v>440.19</v>
      </c>
      <c r="H45" s="382">
        <f>IF(FixAffald2021&lt;&gt;0, Affald2021!G13, IF($I9&lt;&gt;0,$N9/12,$N9))</f>
        <v>404.17</v>
      </c>
      <c r="I45" s="382">
        <f>IF(FixAffald2021&lt;&gt;0, Affald2021!H13, IF($I9&lt;&gt;0,$N9/12,$N9))</f>
        <v>104.08</v>
      </c>
      <c r="J45" s="382">
        <f>IF(FixAffald2021&lt;&gt;0, Affald2021!I13, IF($I9&lt;&gt;0,$N9/12,$N9))</f>
        <v>311.55</v>
      </c>
      <c r="K45" s="382">
        <f>IF(FixAffald2021&lt;&gt;0, Affald2021!J13, IF($I9&lt;&gt;0,$N9/12,$N9))</f>
        <v>308.589</v>
      </c>
      <c r="L45" s="382">
        <f>IF(FixAffald2021&lt;&gt;0, Affald2021!K13, IF($I9&lt;&gt;0,$N9/12,$N9))</f>
        <v>384.76</v>
      </c>
      <c r="M45" s="382">
        <f>IF(FixAffald2021&lt;&gt;0, Affald2021!L13, IF($I9&lt;&gt;0,$N9/12,$N9))</f>
        <v>338.54</v>
      </c>
      <c r="N45" s="382">
        <f>IF(FixAffald2021&lt;&gt;0, Affald2021!M13, IF($I9&lt;&gt;0,$N9/12,$N9))</f>
        <v>295.89</v>
      </c>
      <c r="O45" s="382">
        <f>IF(FixAffald2021&lt;&gt;0, Affald2021!N13, IF($I9&lt;&gt;0,$N9/12,$N9))</f>
        <v>321.37</v>
      </c>
      <c r="P45" s="249">
        <f t="shared" si="10"/>
        <v>352.70075000000003</v>
      </c>
      <c r="Q45" s="250">
        <f t="shared" si="9"/>
        <v>352.70075000000003</v>
      </c>
      <c r="R45" s="250">
        <f t="shared" si="9"/>
        <v>352.70075000000003</v>
      </c>
      <c r="S45" s="250">
        <f t="shared" si="9"/>
        <v>352.70075000000003</v>
      </c>
      <c r="T45" s="250">
        <f t="shared" si="9"/>
        <v>352.70075000000003</v>
      </c>
      <c r="U45" s="250">
        <f t="shared" si="9"/>
        <v>352.70075000000003</v>
      </c>
      <c r="V45" s="250">
        <f t="shared" si="9"/>
        <v>352.70075000000003</v>
      </c>
      <c r="W45" s="250">
        <f t="shared" si="9"/>
        <v>352.70075000000003</v>
      </c>
      <c r="X45" s="250">
        <f t="shared" si="9"/>
        <v>352.70075000000003</v>
      </c>
      <c r="Y45" s="250">
        <f t="shared" si="9"/>
        <v>352.70075000000003</v>
      </c>
      <c r="Z45" s="250">
        <f t="shared" si="9"/>
        <v>352.70075000000003</v>
      </c>
      <c r="AA45" s="250">
        <f t="shared" si="9"/>
        <v>352.70075000000003</v>
      </c>
      <c r="AB45" s="249">
        <f t="shared" si="9"/>
        <v>352.70075000000003</v>
      </c>
      <c r="AC45" s="250">
        <f t="shared" si="9"/>
        <v>352.70075000000003</v>
      </c>
      <c r="AD45" s="250">
        <f t="shared" si="9"/>
        <v>352.70075000000003</v>
      </c>
      <c r="AE45" s="250">
        <f t="shared" si="9"/>
        <v>352.70075000000003</v>
      </c>
      <c r="AF45" s="250">
        <f t="shared" si="9"/>
        <v>352.70075000000003</v>
      </c>
      <c r="AG45" s="250">
        <f t="shared" si="9"/>
        <v>352.70075000000003</v>
      </c>
      <c r="AH45" s="250">
        <f t="shared" si="9"/>
        <v>352.70075000000003</v>
      </c>
      <c r="AI45" s="250">
        <f t="shared" si="9"/>
        <v>352.70075000000003</v>
      </c>
      <c r="AJ45" s="250">
        <f t="shared" si="9"/>
        <v>352.70075000000003</v>
      </c>
      <c r="AK45" s="250">
        <f t="shared" si="9"/>
        <v>352.70075000000003</v>
      </c>
      <c r="AL45" s="250">
        <f t="shared" si="9"/>
        <v>352.70075000000003</v>
      </c>
      <c r="AM45" s="250">
        <f t="shared" si="9"/>
        <v>352.70075000000003</v>
      </c>
    </row>
    <row r="46" spans="1:43" s="248" customFormat="1" outlineLevel="1" x14ac:dyDescent="0.25">
      <c r="B46" s="248" t="str">
        <v>Trae</v>
      </c>
      <c r="C46" s="22" t="s">
        <v>255</v>
      </c>
      <c r="D46" s="381">
        <f>IF(FixAffald2021&lt;&gt;0, Affald2021!C14, IF($I10&lt;&gt;0,$N10/12,$N10))</f>
        <v>0</v>
      </c>
      <c r="E46" s="382">
        <f>IF(FixAffald2021&lt;&gt;0, Affald2021!D14, IF($I10&lt;&gt;0,$N10/12,$N10))</f>
        <v>0</v>
      </c>
      <c r="F46" s="382">
        <f>IF(FixAffald2021&lt;&gt;0, Affald2021!E14, IF($I10&lt;&gt;0,$N10/12,$N10))</f>
        <v>0</v>
      </c>
      <c r="G46" s="382">
        <f>IF(FixAffald2021&lt;&gt;0, Affald2021!F14, IF($I10&lt;&gt;0,$N10/12,$N10))</f>
        <v>33.35</v>
      </c>
      <c r="H46" s="382">
        <f>IF(FixAffald2021&lt;&gt;0, Affald2021!G14, IF($I10&lt;&gt;0,$N10/12,$N10))</f>
        <v>0</v>
      </c>
      <c r="I46" s="382">
        <f>IF(FixAffald2021&lt;&gt;0, Affald2021!H14, IF($I10&lt;&gt;0,$N10/12,$N10))</f>
        <v>0</v>
      </c>
      <c r="J46" s="382">
        <f>IF(FixAffald2021&lt;&gt;0, Affald2021!I14, IF($I10&lt;&gt;0,$N10/12,$N10))</f>
        <v>0</v>
      </c>
      <c r="K46" s="382">
        <f>IF(FixAffald2021&lt;&gt;0, Affald2021!J14, IF($I10&lt;&gt;0,$N10/12,$N10))</f>
        <v>0</v>
      </c>
      <c r="L46" s="382">
        <f>IF(FixAffald2021&lt;&gt;0, Affald2021!K14, IF($I10&lt;&gt;0,$N10/12,$N10))</f>
        <v>0</v>
      </c>
      <c r="M46" s="382">
        <f>IF(FixAffald2021&lt;&gt;0, Affald2021!L14, IF($I10&lt;&gt;0,$N10/12,$N10))</f>
        <v>0</v>
      </c>
      <c r="N46" s="382">
        <f>IF(FixAffald2021&lt;&gt;0, Affald2021!M14, IF($I10&lt;&gt;0,$N10/12,$N10))</f>
        <v>0</v>
      </c>
      <c r="O46" s="382">
        <f>IF(FixAffald2021&lt;&gt;0, Affald2021!N14, IF($I10&lt;&gt;0,$N10/12,$N10))</f>
        <v>0</v>
      </c>
      <c r="P46" s="249">
        <f t="shared" si="10"/>
        <v>2.7791666666666668</v>
      </c>
      <c r="Q46" s="250">
        <f t="shared" si="9"/>
        <v>2.7791666666666668</v>
      </c>
      <c r="R46" s="250">
        <f t="shared" si="9"/>
        <v>2.7791666666666668</v>
      </c>
      <c r="S46" s="250">
        <f t="shared" si="9"/>
        <v>2.7791666666666668</v>
      </c>
      <c r="T46" s="250">
        <f t="shared" si="9"/>
        <v>2.7791666666666668</v>
      </c>
      <c r="U46" s="250">
        <f t="shared" si="9"/>
        <v>2.7791666666666668</v>
      </c>
      <c r="V46" s="250">
        <f t="shared" si="9"/>
        <v>2.7791666666666668</v>
      </c>
      <c r="W46" s="250">
        <f t="shared" si="9"/>
        <v>2.7791666666666668</v>
      </c>
      <c r="X46" s="250">
        <f t="shared" si="9"/>
        <v>2.7791666666666668</v>
      </c>
      <c r="Y46" s="250">
        <f t="shared" si="9"/>
        <v>2.7791666666666668</v>
      </c>
      <c r="Z46" s="250">
        <f t="shared" si="9"/>
        <v>2.7791666666666668</v>
      </c>
      <c r="AA46" s="250">
        <f t="shared" si="9"/>
        <v>2.7791666666666668</v>
      </c>
      <c r="AB46" s="249">
        <f t="shared" si="9"/>
        <v>2.7791666666666668</v>
      </c>
      <c r="AC46" s="250">
        <f t="shared" si="9"/>
        <v>2.7791666666666668</v>
      </c>
      <c r="AD46" s="250">
        <f t="shared" si="9"/>
        <v>2.7791666666666668</v>
      </c>
      <c r="AE46" s="250">
        <f t="shared" si="9"/>
        <v>2.7791666666666668</v>
      </c>
      <c r="AF46" s="250">
        <f t="shared" si="9"/>
        <v>2.7791666666666668</v>
      </c>
      <c r="AG46" s="250">
        <f t="shared" si="9"/>
        <v>2.7791666666666668</v>
      </c>
      <c r="AH46" s="250">
        <f t="shared" si="9"/>
        <v>2.7791666666666668</v>
      </c>
      <c r="AI46" s="250">
        <f t="shared" si="9"/>
        <v>2.7791666666666668</v>
      </c>
      <c r="AJ46" s="250">
        <f t="shared" si="9"/>
        <v>2.7791666666666668</v>
      </c>
      <c r="AK46" s="250">
        <f t="shared" si="9"/>
        <v>2.7791666666666668</v>
      </c>
      <c r="AL46" s="250">
        <f t="shared" si="9"/>
        <v>2.7791666666666668</v>
      </c>
      <c r="AM46" s="250">
        <f t="shared" si="9"/>
        <v>2.7791666666666668</v>
      </c>
    </row>
    <row r="47" spans="1:43" s="248" customFormat="1" outlineLevel="1" x14ac:dyDescent="0.25">
      <c r="B47" s="248" t="str">
        <v>DagrenRast</v>
      </c>
      <c r="C47" s="22" t="s">
        <v>255</v>
      </c>
      <c r="D47" s="381">
        <f>IF(FixAffald2021&lt;&gt;0, Affald2021!C15, IF($I11&lt;&gt;0,$N11/12,$N11))</f>
        <v>291.66000000000003</v>
      </c>
      <c r="E47" s="382">
        <f>IF(FixAffald2021&lt;&gt;0, Affald2021!D15, IF($I11&lt;&gt;0,$N11/12,$N11))</f>
        <v>260.87</v>
      </c>
      <c r="F47" s="382">
        <f>IF(FixAffald2021&lt;&gt;0, Affald2021!E15, IF($I11&lt;&gt;0,$N11/12,$N11))</f>
        <v>347.07</v>
      </c>
      <c r="G47" s="382">
        <f>IF(FixAffald2021&lt;&gt;0, Affald2021!F15, IF($I11&lt;&gt;0,$N11/12,$N11))</f>
        <v>332.39</v>
      </c>
      <c r="H47" s="382">
        <f>IF(FixAffald2021&lt;&gt;0, Affald2021!G15, IF($I11&lt;&gt;0,$N11/12,$N11))</f>
        <v>330.62</v>
      </c>
      <c r="I47" s="382">
        <f>IF(FixAffald2021&lt;&gt;0, Affald2021!H15, IF($I11&lt;&gt;0,$N11/12,$N11))</f>
        <v>417.61</v>
      </c>
      <c r="J47" s="382">
        <f>IF(FixAffald2021&lt;&gt;0, Affald2021!I15, IF($I11&lt;&gt;0,$N11/12,$N11))</f>
        <v>481.77</v>
      </c>
      <c r="K47" s="382">
        <f>IF(FixAffald2021&lt;&gt;0, Affald2021!J15, IF($I11&lt;&gt;0,$N11/12,$N11))</f>
        <v>404.79</v>
      </c>
      <c r="L47" s="382">
        <f>IF(FixAffald2021&lt;&gt;0, Affald2021!K15, IF($I11&lt;&gt;0,$N11/12,$N11))</f>
        <v>419.89</v>
      </c>
      <c r="M47" s="382">
        <f>IF(FixAffald2021&lt;&gt;0, Affald2021!L15, IF($I11&lt;&gt;0,$N11/12,$N11))</f>
        <v>377.54</v>
      </c>
      <c r="N47" s="382">
        <f>IF(FixAffald2021&lt;&gt;0, Affald2021!M15, IF($I11&lt;&gt;0,$N11/12,$N11))</f>
        <v>311.19</v>
      </c>
      <c r="O47" s="382">
        <f>IF(FixAffald2021&lt;&gt;0, Affald2021!N15, IF($I11&lt;&gt;0,$N11/12,$N11))</f>
        <v>314.38</v>
      </c>
      <c r="P47" s="249">
        <f t="shared" si="10"/>
        <v>357.48166666666663</v>
      </c>
      <c r="Q47" s="250">
        <f t="shared" si="9"/>
        <v>357.48166666666663</v>
      </c>
      <c r="R47" s="250">
        <f t="shared" si="9"/>
        <v>357.48166666666663</v>
      </c>
      <c r="S47" s="250">
        <f t="shared" si="9"/>
        <v>357.48166666666663</v>
      </c>
      <c r="T47" s="250">
        <f t="shared" si="9"/>
        <v>357.48166666666663</v>
      </c>
      <c r="U47" s="250">
        <f t="shared" si="9"/>
        <v>357.48166666666663</v>
      </c>
      <c r="V47" s="250">
        <f t="shared" si="9"/>
        <v>357.48166666666663</v>
      </c>
      <c r="W47" s="250">
        <f t="shared" si="9"/>
        <v>357.48166666666663</v>
      </c>
      <c r="X47" s="250">
        <f t="shared" si="9"/>
        <v>357.48166666666663</v>
      </c>
      <c r="Y47" s="250">
        <f t="shared" si="9"/>
        <v>357.48166666666663</v>
      </c>
      <c r="Z47" s="250">
        <f t="shared" si="9"/>
        <v>357.48166666666663</v>
      </c>
      <c r="AA47" s="250">
        <f t="shared" si="9"/>
        <v>357.48166666666663</v>
      </c>
      <c r="AB47" s="249">
        <f t="shared" si="9"/>
        <v>357.48166666666663</v>
      </c>
      <c r="AC47" s="250">
        <f t="shared" si="9"/>
        <v>357.48166666666663</v>
      </c>
      <c r="AD47" s="250">
        <f t="shared" si="9"/>
        <v>357.48166666666663</v>
      </c>
      <c r="AE47" s="250">
        <f t="shared" si="9"/>
        <v>357.48166666666663</v>
      </c>
      <c r="AF47" s="250">
        <f t="shared" si="9"/>
        <v>357.48166666666663</v>
      </c>
      <c r="AG47" s="250">
        <f t="shared" si="9"/>
        <v>357.48166666666663</v>
      </c>
      <c r="AH47" s="250">
        <f t="shared" si="9"/>
        <v>357.48166666666663</v>
      </c>
      <c r="AI47" s="250">
        <f t="shared" si="9"/>
        <v>357.48166666666663</v>
      </c>
      <c r="AJ47" s="250">
        <f t="shared" si="9"/>
        <v>357.48166666666663</v>
      </c>
      <c r="AK47" s="250">
        <f t="shared" si="9"/>
        <v>357.48166666666663</v>
      </c>
      <c r="AL47" s="250">
        <f t="shared" si="9"/>
        <v>357.48166666666663</v>
      </c>
      <c r="AM47" s="250">
        <f t="shared" si="9"/>
        <v>357.48166666666663</v>
      </c>
    </row>
    <row r="48" spans="1:43" s="248" customFormat="1" outlineLevel="1" x14ac:dyDescent="0.25">
      <c r="B48" s="248" t="str">
        <v>DagrenInst</v>
      </c>
      <c r="C48" s="22" t="s">
        <v>255</v>
      </c>
      <c r="D48" s="381">
        <f>IF(FixAffald2021&lt;&gt;0, Affald2021!C16, IF($I12&lt;&gt;0,$N12/12,$N12))</f>
        <v>6.15</v>
      </c>
      <c r="E48" s="382">
        <f>IF(FixAffald2021&lt;&gt;0, Affald2021!D16, IF($I12&lt;&gt;0,$N12/12,$N12))</f>
        <v>4.05</v>
      </c>
      <c r="F48" s="382">
        <f>IF(FixAffald2021&lt;&gt;0, Affald2021!E16, IF($I12&lt;&gt;0,$N12/12,$N12))</f>
        <v>6.72</v>
      </c>
      <c r="G48" s="382">
        <f>IF(FixAffald2021&lt;&gt;0, Affald2021!F16, IF($I12&lt;&gt;0,$N12/12,$N12))</f>
        <v>18.61</v>
      </c>
      <c r="H48" s="382">
        <f>IF(FixAffald2021&lt;&gt;0, Affald2021!G16, IF($I12&lt;&gt;0,$N12/12,$N12))</f>
        <v>9.65</v>
      </c>
      <c r="I48" s="382">
        <f>IF(FixAffald2021&lt;&gt;0, Affald2021!H16, IF($I12&lt;&gt;0,$N12/12,$N12))</f>
        <v>6.24</v>
      </c>
      <c r="J48" s="382">
        <f>IF(FixAffald2021&lt;&gt;0, Affald2021!I16, IF($I12&lt;&gt;0,$N12/12,$N12))</f>
        <v>13.02</v>
      </c>
      <c r="K48" s="382">
        <f>IF(FixAffald2021&lt;&gt;0, Affald2021!J16, IF($I12&lt;&gt;0,$N12/12,$N12))</f>
        <v>3.41</v>
      </c>
      <c r="L48" s="382">
        <f>IF(FixAffald2021&lt;&gt;0, Affald2021!K16, IF($I12&lt;&gt;0,$N12/12,$N12))</f>
        <v>14.3</v>
      </c>
      <c r="M48" s="382">
        <f>IF(FixAffald2021&lt;&gt;0, Affald2021!L16, IF($I12&lt;&gt;0,$N12/12,$N12))</f>
        <v>12.24</v>
      </c>
      <c r="N48" s="382">
        <f>IF(FixAffald2021&lt;&gt;0, Affald2021!M16, IF($I12&lt;&gt;0,$N12/12,$N12))</f>
        <v>4.9400000000000004</v>
      </c>
      <c r="O48" s="382">
        <f>IF(FixAffald2021&lt;&gt;0, Affald2021!N16, IF($I12&lt;&gt;0,$N12/12,$N12))</f>
        <v>7.57</v>
      </c>
      <c r="P48" s="249">
        <f t="shared" si="10"/>
        <v>8.9083333333333314</v>
      </c>
      <c r="Q48" s="250">
        <f t="shared" si="9"/>
        <v>8.9083333333333314</v>
      </c>
      <c r="R48" s="250">
        <f t="shared" si="9"/>
        <v>8.9083333333333314</v>
      </c>
      <c r="S48" s="250">
        <f t="shared" si="9"/>
        <v>8.9083333333333314</v>
      </c>
      <c r="T48" s="250">
        <f t="shared" si="9"/>
        <v>8.9083333333333314</v>
      </c>
      <c r="U48" s="250">
        <f t="shared" si="9"/>
        <v>8.9083333333333314</v>
      </c>
      <c r="V48" s="250">
        <f t="shared" si="9"/>
        <v>8.9083333333333314</v>
      </c>
      <c r="W48" s="250">
        <f t="shared" si="9"/>
        <v>8.9083333333333314</v>
      </c>
      <c r="X48" s="250">
        <f t="shared" si="9"/>
        <v>8.9083333333333314</v>
      </c>
      <c r="Y48" s="250">
        <f t="shared" si="9"/>
        <v>8.9083333333333314</v>
      </c>
      <c r="Z48" s="250">
        <f t="shared" si="9"/>
        <v>8.9083333333333314</v>
      </c>
      <c r="AA48" s="250">
        <f t="shared" si="9"/>
        <v>8.9083333333333314</v>
      </c>
      <c r="AB48" s="249">
        <f t="shared" si="9"/>
        <v>8.9083333333333314</v>
      </c>
      <c r="AC48" s="250">
        <f t="shared" si="9"/>
        <v>8.9083333333333314</v>
      </c>
      <c r="AD48" s="250">
        <f t="shared" si="9"/>
        <v>8.9083333333333314</v>
      </c>
      <c r="AE48" s="250">
        <f t="shared" si="9"/>
        <v>8.9083333333333314</v>
      </c>
      <c r="AF48" s="250">
        <f t="shared" si="9"/>
        <v>8.9083333333333314</v>
      </c>
      <c r="AG48" s="250">
        <f t="shared" si="9"/>
        <v>8.9083333333333314</v>
      </c>
      <c r="AH48" s="250">
        <f t="shared" si="9"/>
        <v>8.9083333333333314</v>
      </c>
      <c r="AI48" s="250">
        <f t="shared" si="9"/>
        <v>8.9083333333333314</v>
      </c>
      <c r="AJ48" s="250">
        <f t="shared" si="9"/>
        <v>8.9083333333333314</v>
      </c>
      <c r="AK48" s="250">
        <f t="shared" si="9"/>
        <v>8.9083333333333314</v>
      </c>
      <c r="AL48" s="250">
        <f t="shared" si="9"/>
        <v>8.9083333333333314</v>
      </c>
      <c r="AM48" s="250">
        <f t="shared" si="9"/>
        <v>8.9083333333333314</v>
      </c>
    </row>
    <row r="49" spans="2:39" s="248" customFormat="1" outlineLevel="1" x14ac:dyDescent="0.25">
      <c r="B49" s="248" t="str">
        <v>DagrenHandel</v>
      </c>
      <c r="C49" s="22" t="s">
        <v>255</v>
      </c>
      <c r="D49" s="381">
        <f>IF(FixAffald2021&lt;&gt;0, Affald2021!C17, IF($I13&lt;&gt;0,$N13/12,$N13))</f>
        <v>257</v>
      </c>
      <c r="E49" s="382">
        <f>IF(FixAffald2021&lt;&gt;0, Affald2021!D17, IF($I13&lt;&gt;0,$N13/12,$N13))</f>
        <v>257.76</v>
      </c>
      <c r="F49" s="382">
        <f>IF(FixAffald2021&lt;&gt;0, Affald2021!E17, IF($I13&lt;&gt;0,$N13/12,$N13))</f>
        <v>307.94</v>
      </c>
      <c r="G49" s="382">
        <f>IF(FixAffald2021&lt;&gt;0, Affald2021!F17, IF($I13&lt;&gt;0,$N13/12,$N13))</f>
        <v>309.31</v>
      </c>
      <c r="H49" s="382">
        <f>IF(FixAffald2021&lt;&gt;0, Affald2021!G17, IF($I13&lt;&gt;0,$N13/12,$N13))</f>
        <v>337.34</v>
      </c>
      <c r="I49" s="382">
        <f>IF(FixAffald2021&lt;&gt;0, Affald2021!H17, IF($I13&lt;&gt;0,$N13/12,$N13))</f>
        <v>441.4</v>
      </c>
      <c r="J49" s="382">
        <f>IF(FixAffald2021&lt;&gt;0, Affald2021!I17, IF($I13&lt;&gt;0,$N13/12,$N13))</f>
        <v>494.33</v>
      </c>
      <c r="K49" s="382">
        <f>IF(FixAffald2021&lt;&gt;0, Affald2021!J17, IF($I13&lt;&gt;0,$N13/12,$N13))</f>
        <v>298.83999999999997</v>
      </c>
      <c r="L49" s="382">
        <f>IF(FixAffald2021&lt;&gt;0, Affald2021!K17, IF($I13&lt;&gt;0,$N13/12,$N13))</f>
        <v>458.61</v>
      </c>
      <c r="M49" s="382">
        <f>IF(FixAffald2021&lt;&gt;0, Affald2021!L17, IF($I13&lt;&gt;0,$N13/12,$N13))</f>
        <v>310.66000000000003</v>
      </c>
      <c r="N49" s="382">
        <f>IF(FixAffald2021&lt;&gt;0, Affald2021!M17, IF($I13&lt;&gt;0,$N13/12,$N13))</f>
        <v>449.82</v>
      </c>
      <c r="O49" s="382">
        <f>IF(FixAffald2021&lt;&gt;0, Affald2021!N17, IF($I13&lt;&gt;0,$N13/12,$N13))</f>
        <v>343.27</v>
      </c>
      <c r="P49" s="249">
        <f t="shared" si="10"/>
        <v>355.50083333333333</v>
      </c>
      <c r="Q49" s="250">
        <f t="shared" si="9"/>
        <v>355.50083333333333</v>
      </c>
      <c r="R49" s="250">
        <f t="shared" si="9"/>
        <v>355.50083333333333</v>
      </c>
      <c r="S49" s="250">
        <f t="shared" si="9"/>
        <v>355.50083333333333</v>
      </c>
      <c r="T49" s="250">
        <f t="shared" si="9"/>
        <v>355.50083333333333</v>
      </c>
      <c r="U49" s="250">
        <f t="shared" si="9"/>
        <v>355.50083333333333</v>
      </c>
      <c r="V49" s="250">
        <f t="shared" si="9"/>
        <v>355.50083333333333</v>
      </c>
      <c r="W49" s="250">
        <f t="shared" si="9"/>
        <v>355.50083333333333</v>
      </c>
      <c r="X49" s="250">
        <f t="shared" si="9"/>
        <v>355.50083333333333</v>
      </c>
      <c r="Y49" s="250">
        <f t="shared" si="9"/>
        <v>355.50083333333333</v>
      </c>
      <c r="Z49" s="250">
        <f t="shared" si="9"/>
        <v>355.50083333333333</v>
      </c>
      <c r="AA49" s="250">
        <f t="shared" si="9"/>
        <v>355.50083333333333</v>
      </c>
      <c r="AB49" s="249">
        <f t="shared" si="9"/>
        <v>355.50083333333333</v>
      </c>
      <c r="AC49" s="250">
        <f t="shared" si="9"/>
        <v>355.50083333333333</v>
      </c>
      <c r="AD49" s="250">
        <f t="shared" si="9"/>
        <v>355.50083333333333</v>
      </c>
      <c r="AE49" s="250">
        <f t="shared" si="9"/>
        <v>355.50083333333333</v>
      </c>
      <c r="AF49" s="250">
        <f t="shared" si="9"/>
        <v>355.50083333333333</v>
      </c>
      <c r="AG49" s="250">
        <f t="shared" si="9"/>
        <v>355.50083333333333</v>
      </c>
      <c r="AH49" s="250">
        <f t="shared" si="9"/>
        <v>355.50083333333333</v>
      </c>
      <c r="AI49" s="250">
        <f t="shared" si="9"/>
        <v>355.50083333333333</v>
      </c>
      <c r="AJ49" s="250">
        <f t="shared" si="9"/>
        <v>355.50083333333333</v>
      </c>
      <c r="AK49" s="250">
        <f t="shared" si="9"/>
        <v>355.50083333333333</v>
      </c>
      <c r="AL49" s="250">
        <f t="shared" si="9"/>
        <v>355.50083333333333</v>
      </c>
      <c r="AM49" s="250">
        <f t="shared" si="9"/>
        <v>355.50083333333333</v>
      </c>
    </row>
    <row r="50" spans="2:39" s="248" customFormat="1" outlineLevel="1" x14ac:dyDescent="0.25">
      <c r="B50" s="248" t="str">
        <v>DagrenRestau</v>
      </c>
      <c r="C50" s="22" t="s">
        <v>255</v>
      </c>
      <c r="D50" s="381">
        <f>IF(FixAffald2021&lt;&gt;0, Affald2021!C18, IF($I14&lt;&gt;0,$N14/12,$N14))</f>
        <v>22.8</v>
      </c>
      <c r="E50" s="382">
        <f>IF(FixAffald2021&lt;&gt;0, Affald2021!D18, IF($I14&lt;&gt;0,$N14/12,$N14))</f>
        <v>23.96</v>
      </c>
      <c r="F50" s="382">
        <f>IF(FixAffald2021&lt;&gt;0, Affald2021!E18, IF($I14&lt;&gt;0,$N14/12,$N14))</f>
        <v>21.49</v>
      </c>
      <c r="G50" s="382">
        <f>IF(FixAffald2021&lt;&gt;0, Affald2021!F18, IF($I14&lt;&gt;0,$N14/12,$N14))</f>
        <v>22.12</v>
      </c>
      <c r="H50" s="382">
        <f>IF(FixAffald2021&lt;&gt;0, Affald2021!G18, IF($I14&lt;&gt;0,$N14/12,$N14))</f>
        <v>24.73</v>
      </c>
      <c r="I50" s="382">
        <f>IF(FixAffald2021&lt;&gt;0, Affald2021!H18, IF($I14&lt;&gt;0,$N14/12,$N14))</f>
        <v>27.84</v>
      </c>
      <c r="J50" s="382">
        <f>IF(FixAffald2021&lt;&gt;0, Affald2021!I18, IF($I14&lt;&gt;0,$N14/12,$N14))</f>
        <v>57.59</v>
      </c>
      <c r="K50" s="382">
        <f>IF(FixAffald2021&lt;&gt;0, Affald2021!J18, IF($I14&lt;&gt;0,$N14/12,$N14))</f>
        <v>49.56</v>
      </c>
      <c r="L50" s="382">
        <f>IF(FixAffald2021&lt;&gt;0, Affald2021!K18, IF($I14&lt;&gt;0,$N14/12,$N14))</f>
        <v>33.479999999999997</v>
      </c>
      <c r="M50" s="382">
        <f>IF(FixAffald2021&lt;&gt;0, Affald2021!L18, IF($I14&lt;&gt;0,$N14/12,$N14))</f>
        <v>43.96</v>
      </c>
      <c r="N50" s="382">
        <f>IF(FixAffald2021&lt;&gt;0, Affald2021!M18, IF($I14&lt;&gt;0,$N14/12,$N14))</f>
        <v>39.01</v>
      </c>
      <c r="O50" s="382">
        <f>IF(FixAffald2021&lt;&gt;0, Affald2021!N18, IF($I14&lt;&gt;0,$N14/12,$N14))</f>
        <v>31.92</v>
      </c>
      <c r="P50" s="249">
        <f t="shared" si="10"/>
        <v>33.204999999999998</v>
      </c>
      <c r="Q50" s="250">
        <f t="shared" si="9"/>
        <v>33.204999999999998</v>
      </c>
      <c r="R50" s="250">
        <f t="shared" si="9"/>
        <v>33.204999999999998</v>
      </c>
      <c r="S50" s="250">
        <f t="shared" si="9"/>
        <v>33.204999999999998</v>
      </c>
      <c r="T50" s="250">
        <f t="shared" si="9"/>
        <v>33.204999999999998</v>
      </c>
      <c r="U50" s="250">
        <f t="shared" si="9"/>
        <v>33.204999999999998</v>
      </c>
      <c r="V50" s="250">
        <f t="shared" si="9"/>
        <v>33.204999999999998</v>
      </c>
      <c r="W50" s="250">
        <f t="shared" si="9"/>
        <v>33.204999999999998</v>
      </c>
      <c r="X50" s="250">
        <f t="shared" si="9"/>
        <v>33.204999999999998</v>
      </c>
      <c r="Y50" s="250">
        <f t="shared" si="9"/>
        <v>33.204999999999998</v>
      </c>
      <c r="Z50" s="250">
        <f t="shared" si="9"/>
        <v>33.204999999999998</v>
      </c>
      <c r="AA50" s="250">
        <f t="shared" si="9"/>
        <v>33.204999999999998</v>
      </c>
      <c r="AB50" s="249">
        <f t="shared" si="9"/>
        <v>33.204999999999998</v>
      </c>
      <c r="AC50" s="250">
        <f t="shared" si="9"/>
        <v>33.204999999999998</v>
      </c>
      <c r="AD50" s="250">
        <f t="shared" si="9"/>
        <v>33.204999999999998</v>
      </c>
      <c r="AE50" s="250">
        <f t="shared" si="9"/>
        <v>33.204999999999998</v>
      </c>
      <c r="AF50" s="250">
        <f t="shared" si="9"/>
        <v>33.204999999999998</v>
      </c>
      <c r="AG50" s="250">
        <f t="shared" si="9"/>
        <v>33.204999999999998</v>
      </c>
      <c r="AH50" s="250">
        <f t="shared" si="9"/>
        <v>33.204999999999998</v>
      </c>
      <c r="AI50" s="250">
        <f t="shared" si="9"/>
        <v>33.204999999999998</v>
      </c>
      <c r="AJ50" s="250">
        <f t="shared" si="9"/>
        <v>33.204999999999998</v>
      </c>
      <c r="AK50" s="250">
        <f t="shared" si="9"/>
        <v>33.204999999999998</v>
      </c>
      <c r="AL50" s="250">
        <f t="shared" si="9"/>
        <v>33.204999999999998</v>
      </c>
      <c r="AM50" s="250">
        <f t="shared" si="9"/>
        <v>33.204999999999998</v>
      </c>
    </row>
    <row r="51" spans="2:39" s="248" customFormat="1" outlineLevel="1" x14ac:dyDescent="0.25">
      <c r="B51" s="248" t="str">
        <v>Erhverv</v>
      </c>
      <c r="C51" s="22" t="s">
        <v>255</v>
      </c>
      <c r="D51" s="381">
        <f>IF(FixAffald2021&lt;&gt;0, Affald2021!C19, IF($I15&lt;&gt;0,$N15/12,$N15))</f>
        <v>1016</v>
      </c>
      <c r="E51" s="382">
        <f>IF(FixAffald2021&lt;&gt;0, Affald2021!D19, IF($I15&lt;&gt;0,$N15/12,$N15))</f>
        <v>1240.74</v>
      </c>
      <c r="F51" s="382">
        <f>IF(FixAffald2021&lt;&gt;0, Affald2021!E19, IF($I15&lt;&gt;0,$N15/12,$N15))</f>
        <v>783.2</v>
      </c>
      <c r="G51" s="382">
        <f>IF(FixAffald2021&lt;&gt;0, Affald2021!F19, IF($I15&lt;&gt;0,$N15/12,$N15))</f>
        <v>577.03</v>
      </c>
      <c r="H51" s="382">
        <f>IF(FixAffald2021&lt;&gt;0, Affald2021!G19, IF($I15&lt;&gt;0,$N15/12,$N15))</f>
        <v>314.81</v>
      </c>
      <c r="I51" s="382">
        <f>IF(FixAffald2021&lt;&gt;0, Affald2021!H19, IF($I15&lt;&gt;0,$N15/12,$N15))</f>
        <v>84.14</v>
      </c>
      <c r="J51" s="382">
        <f>IF(FixAffald2021&lt;&gt;0, Affald2021!I19, IF($I15&lt;&gt;0,$N15/12,$N15))</f>
        <v>329.48</v>
      </c>
      <c r="K51" s="382">
        <f>IF(FixAffald2021&lt;&gt;0, Affald2021!J19, IF($I15&lt;&gt;0,$N15/12,$N15))</f>
        <v>582.48</v>
      </c>
      <c r="L51" s="382">
        <f>IF(FixAffald2021&lt;&gt;0, Affald2021!K19, IF($I15&lt;&gt;0,$N15/12,$N15))</f>
        <v>237.45</v>
      </c>
      <c r="M51" s="382">
        <f>IF(FixAffald2021&lt;&gt;0, Affald2021!L19, IF($I15&lt;&gt;0,$N15/12,$N15))</f>
        <v>406.18</v>
      </c>
      <c r="N51" s="382">
        <f>IF(FixAffald2021&lt;&gt;0, Affald2021!M19, IF($I15&lt;&gt;0,$N15/12,$N15))</f>
        <v>337.86</v>
      </c>
      <c r="O51" s="382">
        <f>IF(FixAffald2021&lt;&gt;0, Affald2021!N19, IF($I15&lt;&gt;0,$N15/12,$N15))</f>
        <v>232.3</v>
      </c>
      <c r="P51" s="249">
        <f t="shared" si="10"/>
        <v>511.80583333333328</v>
      </c>
      <c r="Q51" s="250">
        <f t="shared" si="9"/>
        <v>511.80583333333328</v>
      </c>
      <c r="R51" s="250">
        <f t="shared" si="9"/>
        <v>511.80583333333328</v>
      </c>
      <c r="S51" s="250">
        <f t="shared" si="9"/>
        <v>511.80583333333328</v>
      </c>
      <c r="T51" s="250">
        <f t="shared" si="9"/>
        <v>511.80583333333328</v>
      </c>
      <c r="U51" s="250">
        <f t="shared" si="9"/>
        <v>511.80583333333328</v>
      </c>
      <c r="V51" s="250">
        <f t="shared" si="9"/>
        <v>511.80583333333328</v>
      </c>
      <c r="W51" s="250">
        <f t="shared" si="9"/>
        <v>511.80583333333328</v>
      </c>
      <c r="X51" s="250">
        <f t="shared" si="9"/>
        <v>511.80583333333328</v>
      </c>
      <c r="Y51" s="250">
        <f t="shared" si="9"/>
        <v>511.80583333333328</v>
      </c>
      <c r="Z51" s="250">
        <f t="shared" si="9"/>
        <v>511.80583333333328</v>
      </c>
      <c r="AA51" s="250">
        <f t="shared" si="9"/>
        <v>511.80583333333328</v>
      </c>
      <c r="AB51" s="249">
        <f t="shared" si="9"/>
        <v>511.80583333333328</v>
      </c>
      <c r="AC51" s="250">
        <f t="shared" si="9"/>
        <v>511.80583333333328</v>
      </c>
      <c r="AD51" s="250">
        <f t="shared" si="9"/>
        <v>511.80583333333328</v>
      </c>
      <c r="AE51" s="250">
        <f t="shared" si="9"/>
        <v>511.80583333333328</v>
      </c>
      <c r="AF51" s="250">
        <f t="shared" si="9"/>
        <v>511.80583333333328</v>
      </c>
      <c r="AG51" s="250">
        <f t="shared" si="9"/>
        <v>511.80583333333328</v>
      </c>
      <c r="AH51" s="250">
        <f t="shared" si="9"/>
        <v>511.80583333333328</v>
      </c>
      <c r="AI51" s="250">
        <f t="shared" si="9"/>
        <v>511.80583333333328</v>
      </c>
      <c r="AJ51" s="250">
        <f t="shared" si="9"/>
        <v>511.80583333333328</v>
      </c>
      <c r="AK51" s="250">
        <f t="shared" si="9"/>
        <v>511.80583333333328</v>
      </c>
      <c r="AL51" s="250">
        <f t="shared" si="9"/>
        <v>511.80583333333328</v>
      </c>
      <c r="AM51" s="250">
        <f t="shared" si="9"/>
        <v>511.80583333333328</v>
      </c>
    </row>
    <row r="52" spans="2:39" s="248" customFormat="1" outlineLevel="1" x14ac:dyDescent="0.25">
      <c r="B52" s="248" t="str">
        <v>DagrenErhverv</v>
      </c>
      <c r="C52" s="22" t="s">
        <v>255</v>
      </c>
      <c r="D52" s="381">
        <f>IF(FixAffald2021&lt;&gt;0, Affald2021!C20, IF($I16&lt;&gt;0,$N16/12,$N16))</f>
        <v>13.53</v>
      </c>
      <c r="E52" s="382">
        <f>IF(FixAffald2021&lt;&gt;0, Affald2021!D20, IF($I16&lt;&gt;0,$N16/12,$N16))</f>
        <v>1.68</v>
      </c>
      <c r="F52" s="382">
        <f>IF(FixAffald2021&lt;&gt;0, Affald2021!E20, IF($I16&lt;&gt;0,$N16/12,$N16))</f>
        <v>11.22</v>
      </c>
      <c r="G52" s="382">
        <f>IF(FixAffald2021&lt;&gt;0, Affald2021!F20, IF($I16&lt;&gt;0,$N16/12,$N16))</f>
        <v>9.2799999999999994</v>
      </c>
      <c r="H52" s="382">
        <f>IF(FixAffald2021&lt;&gt;0, Affald2021!G20, IF($I16&lt;&gt;0,$N16/12,$N16))</f>
        <v>11.42</v>
      </c>
      <c r="I52" s="382">
        <f>IF(FixAffald2021&lt;&gt;0, Affald2021!H20, IF($I16&lt;&gt;0,$N16/12,$N16))</f>
        <v>5.75</v>
      </c>
      <c r="J52" s="382">
        <f>IF(FixAffald2021&lt;&gt;0, Affald2021!I20, IF($I16&lt;&gt;0,$N16/12,$N16))</f>
        <v>3.48</v>
      </c>
      <c r="K52" s="382">
        <f>IF(FixAffald2021&lt;&gt;0, Affald2021!J20, IF($I16&lt;&gt;0,$N16/12,$N16))</f>
        <v>14.44</v>
      </c>
      <c r="L52" s="382">
        <f>IF(FixAffald2021&lt;&gt;0, Affald2021!K20, IF($I16&lt;&gt;0,$N16/12,$N16))</f>
        <v>5.71</v>
      </c>
      <c r="M52" s="382">
        <f>IF(FixAffald2021&lt;&gt;0, Affald2021!L20, IF($I16&lt;&gt;0,$N16/12,$N16))</f>
        <v>44.54</v>
      </c>
      <c r="N52" s="382">
        <f>IF(FixAffald2021&lt;&gt;0, Affald2021!M20, IF($I16&lt;&gt;0,$N16/12,$N16))</f>
        <v>11.77</v>
      </c>
      <c r="O52" s="382">
        <f>IF(FixAffald2021&lt;&gt;0, Affald2021!N20, IF($I16&lt;&gt;0,$N16/12,$N16))</f>
        <v>1.37</v>
      </c>
      <c r="P52" s="249">
        <f t="shared" si="10"/>
        <v>11.182499999999999</v>
      </c>
      <c r="Q52" s="250">
        <f t="shared" si="9"/>
        <v>11.182499999999999</v>
      </c>
      <c r="R52" s="250">
        <f t="shared" si="9"/>
        <v>11.182499999999999</v>
      </c>
      <c r="S52" s="250">
        <f t="shared" si="9"/>
        <v>11.182499999999999</v>
      </c>
      <c r="T52" s="250">
        <f t="shared" si="9"/>
        <v>11.182499999999999</v>
      </c>
      <c r="U52" s="250">
        <f t="shared" si="9"/>
        <v>11.182499999999999</v>
      </c>
      <c r="V52" s="250">
        <f t="shared" si="9"/>
        <v>11.182499999999999</v>
      </c>
      <c r="W52" s="250">
        <f t="shared" si="9"/>
        <v>11.182499999999999</v>
      </c>
      <c r="X52" s="250">
        <f t="shared" si="9"/>
        <v>11.182499999999999</v>
      </c>
      <c r="Y52" s="250">
        <f t="shared" si="9"/>
        <v>11.182499999999999</v>
      </c>
      <c r="Z52" s="250">
        <f t="shared" si="9"/>
        <v>11.182499999999999</v>
      </c>
      <c r="AA52" s="250">
        <f t="shared" si="9"/>
        <v>11.182499999999999</v>
      </c>
      <c r="AB52" s="249">
        <f t="shared" si="9"/>
        <v>11.182499999999999</v>
      </c>
      <c r="AC52" s="250">
        <f t="shared" si="9"/>
        <v>11.182499999999999</v>
      </c>
      <c r="AD52" s="250">
        <f t="shared" si="9"/>
        <v>11.182499999999999</v>
      </c>
      <c r="AE52" s="250">
        <f t="shared" si="9"/>
        <v>11.182499999999999</v>
      </c>
      <c r="AF52" s="250">
        <f t="shared" si="9"/>
        <v>11.182499999999999</v>
      </c>
      <c r="AG52" s="250">
        <f t="shared" si="9"/>
        <v>11.182499999999999</v>
      </c>
      <c r="AH52" s="250">
        <f t="shared" ref="Q52:AM63" si="11">IF($I16&lt;&gt;0,$N16/12,$N16)</f>
        <v>11.182499999999999</v>
      </c>
      <c r="AI52" s="250">
        <f t="shared" si="11"/>
        <v>11.182499999999999</v>
      </c>
      <c r="AJ52" s="250">
        <f t="shared" si="11"/>
        <v>11.182499999999999</v>
      </c>
      <c r="AK52" s="250">
        <f t="shared" si="11"/>
        <v>11.182499999999999</v>
      </c>
      <c r="AL52" s="250">
        <f t="shared" si="11"/>
        <v>11.182499999999999</v>
      </c>
      <c r="AM52" s="250">
        <f t="shared" si="11"/>
        <v>11.182499999999999</v>
      </c>
    </row>
    <row r="53" spans="2:39" s="248" customFormat="1" outlineLevel="1" x14ac:dyDescent="0.25">
      <c r="B53" s="248" t="str">
        <v>HandelKontor</v>
      </c>
      <c r="C53" s="22" t="s">
        <v>255</v>
      </c>
      <c r="D53" s="381">
        <f>IF(FixAffald2021&lt;&gt;0, Affald2021!C21, IF($I17&lt;&gt;0,$N17/12,$N17))</f>
        <v>6.79</v>
      </c>
      <c r="E53" s="382">
        <f>IF(FixAffald2021&lt;&gt;0, Affald2021!D21, IF($I17&lt;&gt;0,$N17/12,$N17))</f>
        <v>2.12</v>
      </c>
      <c r="F53" s="382">
        <f>IF(FixAffald2021&lt;&gt;0, Affald2021!E21, IF($I17&lt;&gt;0,$N17/12,$N17))</f>
        <v>4.6399999999999997</v>
      </c>
      <c r="G53" s="382">
        <f>IF(FixAffald2021&lt;&gt;0, Affald2021!F21, IF($I17&lt;&gt;0,$N17/12,$N17))</f>
        <v>3.35</v>
      </c>
      <c r="H53" s="382">
        <f>IF(FixAffald2021&lt;&gt;0, Affald2021!G21, IF($I17&lt;&gt;0,$N17/12,$N17))</f>
        <v>8.83</v>
      </c>
      <c r="I53" s="382">
        <f>IF(FixAffald2021&lt;&gt;0, Affald2021!H21, IF($I17&lt;&gt;0,$N17/12,$N17))</f>
        <v>8.82</v>
      </c>
      <c r="J53" s="382">
        <f>IF(FixAffald2021&lt;&gt;0, Affald2021!I21, IF($I17&lt;&gt;0,$N17/12,$N17))</f>
        <v>3.03</v>
      </c>
      <c r="K53" s="382">
        <f>IF(FixAffald2021&lt;&gt;0, Affald2021!J21, IF($I17&lt;&gt;0,$N17/12,$N17))</f>
        <v>1.72</v>
      </c>
      <c r="L53" s="382">
        <f>IF(FixAffald2021&lt;&gt;0, Affald2021!K21, IF($I17&lt;&gt;0,$N17/12,$N17))</f>
        <v>4.71</v>
      </c>
      <c r="M53" s="382">
        <f>IF(FixAffald2021&lt;&gt;0, Affald2021!L21, IF($I17&lt;&gt;0,$N17/12,$N17))</f>
        <v>2.21</v>
      </c>
      <c r="N53" s="382">
        <f>IF(FixAffald2021&lt;&gt;0, Affald2021!M21, IF($I17&lt;&gt;0,$N17/12,$N17))</f>
        <v>4.29</v>
      </c>
      <c r="O53" s="382">
        <f>IF(FixAffald2021&lt;&gt;0, Affald2021!N21, IF($I17&lt;&gt;0,$N17/12,$N17))</f>
        <v>7.27</v>
      </c>
      <c r="P53" s="249">
        <f t="shared" si="10"/>
        <v>4.8150000000000004</v>
      </c>
      <c r="Q53" s="250">
        <f t="shared" si="11"/>
        <v>4.8150000000000004</v>
      </c>
      <c r="R53" s="250">
        <f t="shared" si="11"/>
        <v>4.8150000000000004</v>
      </c>
      <c r="S53" s="250">
        <f t="shared" si="11"/>
        <v>4.8150000000000004</v>
      </c>
      <c r="T53" s="250">
        <f t="shared" si="11"/>
        <v>4.8150000000000004</v>
      </c>
      <c r="U53" s="250">
        <f t="shared" si="11"/>
        <v>4.8150000000000004</v>
      </c>
      <c r="V53" s="250">
        <f t="shared" si="11"/>
        <v>4.8150000000000004</v>
      </c>
      <c r="W53" s="250">
        <f t="shared" si="11"/>
        <v>4.8150000000000004</v>
      </c>
      <c r="X53" s="250">
        <f t="shared" si="11"/>
        <v>4.8150000000000004</v>
      </c>
      <c r="Y53" s="250">
        <f t="shared" si="11"/>
        <v>4.8150000000000004</v>
      </c>
      <c r="Z53" s="250">
        <f t="shared" si="11"/>
        <v>4.8150000000000004</v>
      </c>
      <c r="AA53" s="250">
        <f t="shared" si="11"/>
        <v>4.8150000000000004</v>
      </c>
      <c r="AB53" s="249">
        <f t="shared" si="11"/>
        <v>4.8150000000000004</v>
      </c>
      <c r="AC53" s="250">
        <f t="shared" si="11"/>
        <v>4.8150000000000004</v>
      </c>
      <c r="AD53" s="250">
        <f t="shared" si="11"/>
        <v>4.8150000000000004</v>
      </c>
      <c r="AE53" s="250">
        <f t="shared" si="11"/>
        <v>4.8150000000000004</v>
      </c>
      <c r="AF53" s="250">
        <f t="shared" si="11"/>
        <v>4.8150000000000004</v>
      </c>
      <c r="AG53" s="250">
        <f t="shared" si="11"/>
        <v>4.8150000000000004</v>
      </c>
      <c r="AH53" s="250">
        <f t="shared" si="11"/>
        <v>4.8150000000000004</v>
      </c>
      <c r="AI53" s="250">
        <f t="shared" si="11"/>
        <v>4.8150000000000004</v>
      </c>
      <c r="AJ53" s="250">
        <f t="shared" si="11"/>
        <v>4.8150000000000004</v>
      </c>
      <c r="AK53" s="250">
        <f t="shared" si="11"/>
        <v>4.8150000000000004</v>
      </c>
      <c r="AL53" s="250">
        <f t="shared" si="11"/>
        <v>4.8150000000000004</v>
      </c>
      <c r="AM53" s="250">
        <f t="shared" si="11"/>
        <v>4.8150000000000004</v>
      </c>
    </row>
    <row r="54" spans="2:39" s="248" customFormat="1" outlineLevel="1" x14ac:dyDescent="0.25">
      <c r="B54" s="248" t="str">
        <v>Privat</v>
      </c>
      <c r="C54" s="22" t="s">
        <v>255</v>
      </c>
      <c r="D54" s="381">
        <f>IF(FixAffald2021&lt;&gt;0, Affald2021!C22, IF($I18&lt;&gt;0,$N18/12,$N18))</f>
        <v>0</v>
      </c>
      <c r="E54" s="382">
        <f>IF(FixAffald2021&lt;&gt;0, Affald2021!D22, IF($I18&lt;&gt;0,$N18/12,$N18))</f>
        <v>4.32</v>
      </c>
      <c r="F54" s="382">
        <f>IF(FixAffald2021&lt;&gt;0, Affald2021!E22, IF($I18&lt;&gt;0,$N18/12,$N18))</f>
        <v>0</v>
      </c>
      <c r="G54" s="382">
        <f>IF(FixAffald2021&lt;&gt;0, Affald2021!F22, IF($I18&lt;&gt;0,$N18/12,$N18))</f>
        <v>0</v>
      </c>
      <c r="H54" s="382">
        <f>IF(FixAffald2021&lt;&gt;0, Affald2021!G22, IF($I18&lt;&gt;0,$N18/12,$N18))</f>
        <v>0.45</v>
      </c>
      <c r="I54" s="382">
        <f>IF(FixAffald2021&lt;&gt;0, Affald2021!H22, IF($I18&lt;&gt;0,$N18/12,$N18))</f>
        <v>0</v>
      </c>
      <c r="J54" s="382">
        <f>IF(FixAffald2021&lt;&gt;0, Affald2021!I22, IF($I18&lt;&gt;0,$N18/12,$N18))</f>
        <v>2.4700000000000002</v>
      </c>
      <c r="K54" s="382">
        <f>IF(FixAffald2021&lt;&gt;0, Affald2021!J22, IF($I18&lt;&gt;0,$N18/12,$N18))</f>
        <v>0</v>
      </c>
      <c r="L54" s="382">
        <f>IF(FixAffald2021&lt;&gt;0, Affald2021!K22, IF($I18&lt;&gt;0,$N18/12,$N18))</f>
        <v>0</v>
      </c>
      <c r="M54" s="382">
        <f>IF(FixAffald2021&lt;&gt;0, Affald2021!L22, IF($I18&lt;&gt;0,$N18/12,$N18))</f>
        <v>0</v>
      </c>
      <c r="N54" s="382">
        <f>IF(FixAffald2021&lt;&gt;0, Affald2021!M22, IF($I18&lt;&gt;0,$N18/12,$N18))</f>
        <v>2.5</v>
      </c>
      <c r="O54" s="382">
        <f>IF(FixAffald2021&lt;&gt;0, Affald2021!N22, IF($I18&lt;&gt;0,$N18/12,$N18))</f>
        <v>3.15</v>
      </c>
      <c r="P54" s="249">
        <f t="shared" si="10"/>
        <v>1.0741666666666667</v>
      </c>
      <c r="Q54" s="250">
        <f t="shared" si="11"/>
        <v>1.0741666666666667</v>
      </c>
      <c r="R54" s="250">
        <f t="shared" si="11"/>
        <v>1.0741666666666667</v>
      </c>
      <c r="S54" s="250">
        <f t="shared" si="11"/>
        <v>1.0741666666666667</v>
      </c>
      <c r="T54" s="250">
        <f t="shared" si="11"/>
        <v>1.0741666666666667</v>
      </c>
      <c r="U54" s="250">
        <f t="shared" si="11"/>
        <v>1.0741666666666667</v>
      </c>
      <c r="V54" s="250">
        <f t="shared" si="11"/>
        <v>1.0741666666666667</v>
      </c>
      <c r="W54" s="250">
        <f t="shared" si="11"/>
        <v>1.0741666666666667</v>
      </c>
      <c r="X54" s="250">
        <f t="shared" si="11"/>
        <v>1.0741666666666667</v>
      </c>
      <c r="Y54" s="250">
        <f t="shared" si="11"/>
        <v>1.0741666666666667</v>
      </c>
      <c r="Z54" s="250">
        <f t="shared" si="11"/>
        <v>1.0741666666666667</v>
      </c>
      <c r="AA54" s="250">
        <f t="shared" si="11"/>
        <v>1.0741666666666667</v>
      </c>
      <c r="AB54" s="249">
        <f t="shared" si="11"/>
        <v>1.0741666666666667</v>
      </c>
      <c r="AC54" s="250">
        <f t="shared" si="11"/>
        <v>1.0741666666666667</v>
      </c>
      <c r="AD54" s="250">
        <f t="shared" si="11"/>
        <v>1.0741666666666667</v>
      </c>
      <c r="AE54" s="250">
        <f t="shared" si="11"/>
        <v>1.0741666666666667</v>
      </c>
      <c r="AF54" s="250">
        <f t="shared" si="11"/>
        <v>1.0741666666666667</v>
      </c>
      <c r="AG54" s="250">
        <f t="shared" si="11"/>
        <v>1.0741666666666667</v>
      </c>
      <c r="AH54" s="250">
        <f t="shared" si="11"/>
        <v>1.0741666666666667</v>
      </c>
      <c r="AI54" s="250">
        <f t="shared" si="11"/>
        <v>1.0741666666666667</v>
      </c>
      <c r="AJ54" s="250">
        <f t="shared" si="11"/>
        <v>1.0741666666666667</v>
      </c>
      <c r="AK54" s="250">
        <f t="shared" si="11"/>
        <v>1.0741666666666667</v>
      </c>
      <c r="AL54" s="250">
        <f t="shared" si="11"/>
        <v>1.0741666666666667</v>
      </c>
      <c r="AM54" s="250">
        <f t="shared" si="11"/>
        <v>1.0741666666666667</v>
      </c>
    </row>
    <row r="55" spans="2:39" s="248" customFormat="1" outlineLevel="1" x14ac:dyDescent="0.25">
      <c r="B55" s="248" t="str">
        <v>TyskRest</v>
      </c>
      <c r="C55" s="22" t="s">
        <v>255</v>
      </c>
      <c r="D55" s="381">
        <f>IF(FixAffald2021&lt;&gt;0, Affald2021!C23, IF($I19&lt;&gt;0,$N19/12,$N19))</f>
        <v>3226.38</v>
      </c>
      <c r="E55" s="382">
        <f>IF(FixAffald2021&lt;&gt;0, Affald2021!D23, IF($I19&lt;&gt;0,$N19/12,$N19))</f>
        <v>4072.27</v>
      </c>
      <c r="F55" s="382">
        <f>IF(FixAffald2021&lt;&gt;0, Affald2021!E23, IF($I19&lt;&gt;0,$N19/12,$N19))</f>
        <v>3888.09</v>
      </c>
      <c r="G55" s="382">
        <f>IF(FixAffald2021&lt;&gt;0, Affald2021!F23, IF($I19&lt;&gt;0,$N19/12,$N19))</f>
        <v>3229.34</v>
      </c>
      <c r="H55" s="382">
        <f>IF(FixAffald2021&lt;&gt;0, Affald2021!G23, IF($I19&lt;&gt;0,$N19/12,$N19))</f>
        <v>1665.58</v>
      </c>
      <c r="I55" s="382">
        <f>IF(FixAffald2021&lt;&gt;0, Affald2021!H23, IF($I19&lt;&gt;0,$N19/12,$N19))</f>
        <v>1131.17</v>
      </c>
      <c r="J55" s="382">
        <f>IF(FixAffald2021&lt;&gt;0, Affald2021!I23, IF($I19&lt;&gt;0,$N19/12,$N19))</f>
        <v>1712.01</v>
      </c>
      <c r="K55" s="382">
        <f>IF(FixAffald2021&lt;&gt;0, Affald2021!J23, IF($I19&lt;&gt;0,$N19/12,$N19))</f>
        <v>1884.5</v>
      </c>
      <c r="L55" s="382">
        <f>IF(FixAffald2021&lt;&gt;0, Affald2021!K23, IF($I19&lt;&gt;0,$N19/12,$N19))</f>
        <v>1798.93</v>
      </c>
      <c r="M55" s="382">
        <f>IF(FixAffald2021&lt;&gt;0, Affald2021!L23, IF($I19&lt;&gt;0,$N19/12,$N19))</f>
        <v>3232.96</v>
      </c>
      <c r="N55" s="382">
        <f>IF(FixAffald2021&lt;&gt;0, Affald2021!M23, IF($I19&lt;&gt;0,$N19/12,$N19))</f>
        <v>4388.75</v>
      </c>
      <c r="O55" s="382">
        <f>IF(FixAffald2021&lt;&gt;0, Affald2021!N23, IF($I19&lt;&gt;0,$N19/12,$N19))</f>
        <v>4002.71</v>
      </c>
      <c r="P55" s="249">
        <f t="shared" si="10"/>
        <v>2852.7241666666669</v>
      </c>
      <c r="Q55" s="250">
        <f t="shared" si="11"/>
        <v>2852.7241666666669</v>
      </c>
      <c r="R55" s="250">
        <f t="shared" si="11"/>
        <v>2852.7241666666669</v>
      </c>
      <c r="S55" s="250">
        <f t="shared" si="11"/>
        <v>2852.7241666666669</v>
      </c>
      <c r="T55" s="250">
        <f t="shared" si="11"/>
        <v>2852.7241666666669</v>
      </c>
      <c r="U55" s="250">
        <f t="shared" si="11"/>
        <v>2852.7241666666669</v>
      </c>
      <c r="V55" s="250">
        <f t="shared" si="11"/>
        <v>2852.7241666666669</v>
      </c>
      <c r="W55" s="250">
        <f t="shared" si="11"/>
        <v>2852.7241666666669</v>
      </c>
      <c r="X55" s="250">
        <f t="shared" si="11"/>
        <v>2852.7241666666669</v>
      </c>
      <c r="Y55" s="250">
        <f t="shared" si="11"/>
        <v>2852.7241666666669</v>
      </c>
      <c r="Z55" s="250">
        <f t="shared" si="11"/>
        <v>2852.7241666666669</v>
      </c>
      <c r="AA55" s="250">
        <f t="shared" si="11"/>
        <v>2852.7241666666669</v>
      </c>
      <c r="AB55" s="249">
        <f t="shared" si="11"/>
        <v>2852.7241666666669</v>
      </c>
      <c r="AC55" s="250">
        <f t="shared" si="11"/>
        <v>2852.7241666666669</v>
      </c>
      <c r="AD55" s="250">
        <f t="shared" si="11"/>
        <v>2852.7241666666669</v>
      </c>
      <c r="AE55" s="250">
        <f t="shared" si="11"/>
        <v>2852.7241666666669</v>
      </c>
      <c r="AF55" s="250">
        <f t="shared" si="11"/>
        <v>2852.7241666666669</v>
      </c>
      <c r="AG55" s="250">
        <f t="shared" si="11"/>
        <v>2852.7241666666669</v>
      </c>
      <c r="AH55" s="250">
        <f t="shared" si="11"/>
        <v>2852.7241666666669</v>
      </c>
      <c r="AI55" s="250">
        <f t="shared" si="11"/>
        <v>2852.7241666666669</v>
      </c>
      <c r="AJ55" s="250">
        <f t="shared" si="11"/>
        <v>2852.7241666666669</v>
      </c>
      <c r="AK55" s="250">
        <f t="shared" si="11"/>
        <v>2852.7241666666669</v>
      </c>
      <c r="AL55" s="250">
        <f t="shared" si="11"/>
        <v>2852.7241666666669</v>
      </c>
      <c r="AM55" s="250">
        <f t="shared" si="11"/>
        <v>2852.7241666666669</v>
      </c>
    </row>
    <row r="56" spans="2:39" s="248" customFormat="1" outlineLevel="1" x14ac:dyDescent="0.25">
      <c r="B56" s="248" t="str">
        <v>PolskRest</v>
      </c>
      <c r="C56" s="22" t="s">
        <v>255</v>
      </c>
      <c r="D56" s="381">
        <f>IF(FixAffald2021&lt;&gt;0, Affald2021!C24, IF($I20&lt;&gt;0,$N20/12,$N20))</f>
        <v>0</v>
      </c>
      <c r="E56" s="382">
        <f>IF(FixAffald2021&lt;&gt;0, Affald2021!D24, IF($I20&lt;&gt;0,$N20/12,$N20))</f>
        <v>0</v>
      </c>
      <c r="F56" s="382">
        <f>IF(FixAffald2021&lt;&gt;0, Affald2021!E24, IF($I20&lt;&gt;0,$N20/12,$N20))</f>
        <v>0</v>
      </c>
      <c r="G56" s="382">
        <f>IF(FixAffald2021&lt;&gt;0, Affald2021!F24, IF($I20&lt;&gt;0,$N20/12,$N20))</f>
        <v>154.09</v>
      </c>
      <c r="H56" s="382">
        <f>IF(FixAffald2021&lt;&gt;0, Affald2021!G24, IF($I20&lt;&gt;0,$N20/12,$N20))</f>
        <v>0</v>
      </c>
      <c r="I56" s="382">
        <f>IF(FixAffald2021&lt;&gt;0, Affald2021!H24, IF($I20&lt;&gt;0,$N20/12,$N20))</f>
        <v>0</v>
      </c>
      <c r="J56" s="382">
        <f>IF(FixAffald2021&lt;&gt;0, Affald2021!I24, IF($I20&lt;&gt;0,$N20/12,$N20))</f>
        <v>0</v>
      </c>
      <c r="K56" s="382">
        <f>IF(FixAffald2021&lt;&gt;0, Affald2021!J24, IF($I20&lt;&gt;0,$N20/12,$N20))</f>
        <v>0</v>
      </c>
      <c r="L56" s="382">
        <f>IF(FixAffald2021&lt;&gt;0, Affald2021!K24, IF($I20&lt;&gt;0,$N20/12,$N20))</f>
        <v>0</v>
      </c>
      <c r="M56" s="382">
        <f>IF(FixAffald2021&lt;&gt;0, Affald2021!L24, IF($I20&lt;&gt;0,$N20/12,$N20))</f>
        <v>0</v>
      </c>
      <c r="N56" s="382">
        <f>IF(FixAffald2021&lt;&gt;0, Affald2021!M24, IF($I20&lt;&gt;0,$N20/12,$N20))</f>
        <v>0</v>
      </c>
      <c r="O56" s="382">
        <f>IF(FixAffald2021&lt;&gt;0, Affald2021!N24, IF($I20&lt;&gt;0,$N20/12,$N20))</f>
        <v>0</v>
      </c>
      <c r="P56" s="249">
        <f t="shared" si="10"/>
        <v>12.840833333333334</v>
      </c>
      <c r="Q56" s="250">
        <f t="shared" si="11"/>
        <v>12.840833333333334</v>
      </c>
      <c r="R56" s="250">
        <f t="shared" si="11"/>
        <v>12.840833333333334</v>
      </c>
      <c r="S56" s="250">
        <f t="shared" si="11"/>
        <v>12.840833333333334</v>
      </c>
      <c r="T56" s="250">
        <f t="shared" si="11"/>
        <v>12.840833333333334</v>
      </c>
      <c r="U56" s="250">
        <f t="shared" si="11"/>
        <v>12.840833333333334</v>
      </c>
      <c r="V56" s="250">
        <f t="shared" si="11"/>
        <v>12.840833333333334</v>
      </c>
      <c r="W56" s="250">
        <f t="shared" si="11"/>
        <v>12.840833333333334</v>
      </c>
      <c r="X56" s="250">
        <f t="shared" si="11"/>
        <v>12.840833333333334</v>
      </c>
      <c r="Y56" s="250">
        <f t="shared" si="11"/>
        <v>12.840833333333334</v>
      </c>
      <c r="Z56" s="250">
        <f t="shared" si="11"/>
        <v>12.840833333333334</v>
      </c>
      <c r="AA56" s="250">
        <f t="shared" si="11"/>
        <v>12.840833333333334</v>
      </c>
      <c r="AB56" s="249">
        <f t="shared" si="11"/>
        <v>12.840833333333334</v>
      </c>
      <c r="AC56" s="250">
        <f t="shared" si="11"/>
        <v>12.840833333333334</v>
      </c>
      <c r="AD56" s="250">
        <f t="shared" si="11"/>
        <v>12.840833333333334</v>
      </c>
      <c r="AE56" s="250">
        <f t="shared" si="11"/>
        <v>12.840833333333334</v>
      </c>
      <c r="AF56" s="250">
        <f t="shared" si="11"/>
        <v>12.840833333333334</v>
      </c>
      <c r="AG56" s="250">
        <f t="shared" si="11"/>
        <v>12.840833333333334</v>
      </c>
      <c r="AH56" s="250">
        <f t="shared" si="11"/>
        <v>12.840833333333334</v>
      </c>
      <c r="AI56" s="250">
        <f t="shared" si="11"/>
        <v>12.840833333333334</v>
      </c>
      <c r="AJ56" s="250">
        <f t="shared" si="11"/>
        <v>12.840833333333334</v>
      </c>
      <c r="AK56" s="250">
        <f t="shared" si="11"/>
        <v>12.840833333333334</v>
      </c>
      <c r="AL56" s="250">
        <f t="shared" si="11"/>
        <v>12.840833333333334</v>
      </c>
      <c r="AM56" s="250">
        <f t="shared" si="11"/>
        <v>12.840833333333334</v>
      </c>
    </row>
    <row r="57" spans="2:39" s="248" customFormat="1" outlineLevel="1" x14ac:dyDescent="0.25">
      <c r="B57" s="248" t="str">
        <v>PcbTrae</v>
      </c>
      <c r="C57" s="22" t="s">
        <v>255</v>
      </c>
      <c r="D57" s="381">
        <f>IF(FixAffald2021&lt;&gt;0, Affald2021!C25, IF($I21&lt;&gt;0,$N21/12,$N21))</f>
        <v>0</v>
      </c>
      <c r="E57" s="382">
        <f>IF(FixAffald2021&lt;&gt;0, Affald2021!D25, IF($I21&lt;&gt;0,$N21/12,$N21))</f>
        <v>0</v>
      </c>
      <c r="F57" s="382">
        <f>IF(FixAffald2021&lt;&gt;0, Affald2021!E25, IF($I21&lt;&gt;0,$N21/12,$N21))</f>
        <v>0</v>
      </c>
      <c r="G57" s="382">
        <f>IF(FixAffald2021&lt;&gt;0, Affald2021!F25, IF($I21&lt;&gt;0,$N21/12,$N21))</f>
        <v>0</v>
      </c>
      <c r="H57" s="382">
        <f>IF(FixAffald2021&lt;&gt;0, Affald2021!G25, IF($I21&lt;&gt;0,$N21/12,$N21))</f>
        <v>0</v>
      </c>
      <c r="I57" s="382">
        <f>IF(FixAffald2021&lt;&gt;0, Affald2021!H25, IF($I21&lt;&gt;0,$N21/12,$N21))</f>
        <v>0</v>
      </c>
      <c r="J57" s="382">
        <f>IF(FixAffald2021&lt;&gt;0, Affald2021!I25, IF($I21&lt;&gt;0,$N21/12,$N21))</f>
        <v>0</v>
      </c>
      <c r="K57" s="382">
        <f>IF(FixAffald2021&lt;&gt;0, Affald2021!J25, IF($I21&lt;&gt;0,$N21/12,$N21))</f>
        <v>0</v>
      </c>
      <c r="L57" s="382">
        <f>IF(FixAffald2021&lt;&gt;0, Affald2021!K25, IF($I21&lt;&gt;0,$N21/12,$N21))</f>
        <v>0</v>
      </c>
      <c r="M57" s="382">
        <f>IF(FixAffald2021&lt;&gt;0, Affald2021!L25, IF($I21&lt;&gt;0,$N21/12,$N21))</f>
        <v>0</v>
      </c>
      <c r="N57" s="382">
        <f>IF(FixAffald2021&lt;&gt;0, Affald2021!M25, IF($I21&lt;&gt;0,$N21/12,$N21))</f>
        <v>0</v>
      </c>
      <c r="O57" s="382">
        <f>IF(FixAffald2021&lt;&gt;0, Affald2021!N25, IF($I21&lt;&gt;0,$N21/12,$N21))</f>
        <v>0</v>
      </c>
      <c r="P57" s="249">
        <f t="shared" si="10"/>
        <v>0</v>
      </c>
      <c r="Q57" s="250">
        <f t="shared" si="11"/>
        <v>0</v>
      </c>
      <c r="R57" s="250">
        <f t="shared" si="11"/>
        <v>0</v>
      </c>
      <c r="S57" s="250">
        <f t="shared" si="11"/>
        <v>0</v>
      </c>
      <c r="T57" s="250">
        <f t="shared" si="11"/>
        <v>0</v>
      </c>
      <c r="U57" s="250">
        <f t="shared" si="11"/>
        <v>0</v>
      </c>
      <c r="V57" s="250">
        <f t="shared" si="11"/>
        <v>0</v>
      </c>
      <c r="W57" s="250">
        <f t="shared" si="11"/>
        <v>0</v>
      </c>
      <c r="X57" s="250">
        <f t="shared" si="11"/>
        <v>0</v>
      </c>
      <c r="Y57" s="250">
        <f t="shared" si="11"/>
        <v>0</v>
      </c>
      <c r="Z57" s="250">
        <f t="shared" si="11"/>
        <v>0</v>
      </c>
      <c r="AA57" s="250">
        <f t="shared" si="11"/>
        <v>0</v>
      </c>
      <c r="AB57" s="249">
        <f t="shared" si="11"/>
        <v>0</v>
      </c>
      <c r="AC57" s="250">
        <f t="shared" si="11"/>
        <v>0</v>
      </c>
      <c r="AD57" s="250">
        <f t="shared" si="11"/>
        <v>0</v>
      </c>
      <c r="AE57" s="250">
        <f t="shared" si="11"/>
        <v>0</v>
      </c>
      <c r="AF57" s="250">
        <f t="shared" si="11"/>
        <v>0</v>
      </c>
      <c r="AG57" s="250">
        <f t="shared" si="11"/>
        <v>0</v>
      </c>
      <c r="AH57" s="250">
        <f t="shared" si="11"/>
        <v>0</v>
      </c>
      <c r="AI57" s="250">
        <f t="shared" si="11"/>
        <v>0</v>
      </c>
      <c r="AJ57" s="250">
        <f t="shared" si="11"/>
        <v>0</v>
      </c>
      <c r="AK57" s="250">
        <f t="shared" si="11"/>
        <v>0</v>
      </c>
      <c r="AL57" s="250">
        <f t="shared" si="11"/>
        <v>0</v>
      </c>
      <c r="AM57" s="250">
        <f t="shared" si="11"/>
        <v>0</v>
      </c>
    </row>
    <row r="58" spans="2:39" s="248" customFormat="1" outlineLevel="1" x14ac:dyDescent="0.25">
      <c r="B58" s="248" t="str">
        <v>TraeRekv</v>
      </c>
      <c r="C58" s="22" t="s">
        <v>255</v>
      </c>
      <c r="D58" s="381">
        <f>IF(FixAffald2021&lt;&gt;0, Affald2021!C26, IF($I22&lt;&gt;0,$N22/12,$N22))</f>
        <v>57.5</v>
      </c>
      <c r="E58" s="382">
        <f>IF(FixAffald2021&lt;&gt;0, Affald2021!D26, IF($I22&lt;&gt;0,$N22/12,$N22))</f>
        <v>143.63</v>
      </c>
      <c r="F58" s="382">
        <f>IF(FixAffald2021&lt;&gt;0, Affald2021!E26, IF($I22&lt;&gt;0,$N22/12,$N22))</f>
        <v>49.69</v>
      </c>
      <c r="G58" s="382">
        <f>IF(FixAffald2021&lt;&gt;0, Affald2021!F26, IF($I22&lt;&gt;0,$N22/12,$N22))</f>
        <v>116.49</v>
      </c>
      <c r="H58" s="382">
        <f>IF(FixAffald2021&lt;&gt;0, Affald2021!G26, IF($I22&lt;&gt;0,$N22/12,$N22))</f>
        <v>144.72</v>
      </c>
      <c r="I58" s="382">
        <f>IF(FixAffald2021&lt;&gt;0, Affald2021!H26, IF($I22&lt;&gt;0,$N22/12,$N22))</f>
        <v>157.86000000000001</v>
      </c>
      <c r="J58" s="382">
        <f>IF(FixAffald2021&lt;&gt;0, Affald2021!I26, IF($I22&lt;&gt;0,$N22/12,$N22))</f>
        <v>62.1</v>
      </c>
      <c r="K58" s="382">
        <f>IF(FixAffald2021&lt;&gt;0, Affald2021!J26, IF($I22&lt;&gt;0,$N22/12,$N22))</f>
        <v>2.92</v>
      </c>
      <c r="L58" s="382">
        <f>IF(FixAffald2021&lt;&gt;0, Affald2021!K26, IF($I22&lt;&gt;0,$N22/12,$N22))</f>
        <v>54.7</v>
      </c>
      <c r="M58" s="382">
        <f>IF(FixAffald2021&lt;&gt;0, Affald2021!L26, IF($I22&lt;&gt;0,$N22/12,$N22))</f>
        <v>78.22</v>
      </c>
      <c r="N58" s="382">
        <f>IF(FixAffald2021&lt;&gt;0, Affald2021!M26, IF($I22&lt;&gt;0,$N22/12,$N22))</f>
        <v>92.89</v>
      </c>
      <c r="O58" s="382">
        <f>IF(FixAffald2021&lt;&gt;0, Affald2021!N26, IF($I22&lt;&gt;0,$N22/12,$N22))</f>
        <v>83.81</v>
      </c>
      <c r="P58" s="249">
        <f t="shared" si="10"/>
        <v>87.044166666666669</v>
      </c>
      <c r="Q58" s="250">
        <f t="shared" si="11"/>
        <v>87.044166666666669</v>
      </c>
      <c r="R58" s="250">
        <f t="shared" si="11"/>
        <v>87.044166666666669</v>
      </c>
      <c r="S58" s="250">
        <f t="shared" si="11"/>
        <v>87.044166666666669</v>
      </c>
      <c r="T58" s="250">
        <f t="shared" si="11"/>
        <v>87.044166666666669</v>
      </c>
      <c r="U58" s="250">
        <f t="shared" si="11"/>
        <v>87.044166666666669</v>
      </c>
      <c r="V58" s="250">
        <f t="shared" si="11"/>
        <v>87.044166666666669</v>
      </c>
      <c r="W58" s="250">
        <f t="shared" si="11"/>
        <v>87.044166666666669</v>
      </c>
      <c r="X58" s="250">
        <f t="shared" si="11"/>
        <v>87.044166666666669</v>
      </c>
      <c r="Y58" s="250">
        <f t="shared" si="11"/>
        <v>87.044166666666669</v>
      </c>
      <c r="Z58" s="250">
        <f t="shared" si="11"/>
        <v>87.044166666666669</v>
      </c>
      <c r="AA58" s="250">
        <f t="shared" si="11"/>
        <v>87.044166666666669</v>
      </c>
      <c r="AB58" s="249">
        <f t="shared" si="11"/>
        <v>87.044166666666669</v>
      </c>
      <c r="AC58" s="250">
        <f t="shared" si="11"/>
        <v>87.044166666666669</v>
      </c>
      <c r="AD58" s="250">
        <f t="shared" si="11"/>
        <v>87.044166666666669</v>
      </c>
      <c r="AE58" s="250">
        <f t="shared" si="11"/>
        <v>87.044166666666669</v>
      </c>
      <c r="AF58" s="250">
        <f t="shared" si="11"/>
        <v>87.044166666666669</v>
      </c>
      <c r="AG58" s="250">
        <f t="shared" si="11"/>
        <v>87.044166666666669</v>
      </c>
      <c r="AH58" s="250">
        <f t="shared" si="11"/>
        <v>87.044166666666669</v>
      </c>
      <c r="AI58" s="250">
        <f t="shared" si="11"/>
        <v>87.044166666666669</v>
      </c>
      <c r="AJ58" s="250">
        <f t="shared" si="11"/>
        <v>87.044166666666669</v>
      </c>
      <c r="AK58" s="250">
        <f t="shared" si="11"/>
        <v>87.044166666666669</v>
      </c>
      <c r="AL58" s="250">
        <f t="shared" si="11"/>
        <v>87.044166666666669</v>
      </c>
      <c r="AM58" s="250">
        <f t="shared" si="11"/>
        <v>87.044166666666669</v>
      </c>
    </row>
    <row r="59" spans="2:39" s="248" customFormat="1" outlineLevel="1" x14ac:dyDescent="0.25">
      <c r="B59" s="248" t="str">
        <v>Halm</v>
      </c>
      <c r="C59" s="22" t="s">
        <v>255</v>
      </c>
      <c r="D59" s="381">
        <f>IF(FixAffald2021&lt;&gt;0, Affald2021!C27, IF($I23&lt;&gt;0,$N23/12,$N23))</f>
        <v>0</v>
      </c>
      <c r="E59" s="382">
        <f>IF(FixAffald2021&lt;&gt;0, Affald2021!D27, IF($I23&lt;&gt;0,$N23/12,$N23))</f>
        <v>0</v>
      </c>
      <c r="F59" s="382">
        <f>IF(FixAffald2021&lt;&gt;0, Affald2021!E27, IF($I23&lt;&gt;0,$N23/12,$N23))</f>
        <v>0</v>
      </c>
      <c r="G59" s="382">
        <f>IF(FixAffald2021&lt;&gt;0, Affald2021!F27, IF($I23&lt;&gt;0,$N23/12,$N23))</f>
        <v>0</v>
      </c>
      <c r="H59" s="382">
        <f>IF(FixAffald2021&lt;&gt;0, Affald2021!G27, IF($I23&lt;&gt;0,$N23/12,$N23))</f>
        <v>0</v>
      </c>
      <c r="I59" s="382">
        <f>IF(FixAffald2021&lt;&gt;0, Affald2021!H27, IF($I23&lt;&gt;0,$N23/12,$N23))</f>
        <v>0</v>
      </c>
      <c r="J59" s="382">
        <f>IF(FixAffald2021&lt;&gt;0, Affald2021!I27, IF($I23&lt;&gt;0,$N23/12,$N23))</f>
        <v>0</v>
      </c>
      <c r="K59" s="382">
        <f>IF(FixAffald2021&lt;&gt;0, Affald2021!J27, IF($I23&lt;&gt;0,$N23/12,$N23))</f>
        <v>0</v>
      </c>
      <c r="L59" s="382">
        <f>IF(FixAffald2021&lt;&gt;0, Affald2021!K27, IF($I23&lt;&gt;0,$N23/12,$N23))</f>
        <v>0</v>
      </c>
      <c r="M59" s="382">
        <f>IF(FixAffald2021&lt;&gt;0, Affald2021!L27, IF($I23&lt;&gt;0,$N23/12,$N23))</f>
        <v>0</v>
      </c>
      <c r="N59" s="382">
        <f>IF(FixAffald2021&lt;&gt;0, Affald2021!M27, IF($I23&lt;&gt;0,$N23/12,$N23))</f>
        <v>0</v>
      </c>
      <c r="O59" s="382">
        <f>IF(FixAffald2021&lt;&gt;0, Affald2021!N27, IF($I23&lt;&gt;0,$N23/12,$N23))</f>
        <v>0</v>
      </c>
      <c r="P59" s="249">
        <f t="shared" si="10"/>
        <v>0</v>
      </c>
      <c r="Q59" s="250">
        <f t="shared" si="11"/>
        <v>0</v>
      </c>
      <c r="R59" s="250">
        <f t="shared" si="11"/>
        <v>0</v>
      </c>
      <c r="S59" s="250">
        <f t="shared" si="11"/>
        <v>0</v>
      </c>
      <c r="T59" s="250">
        <f t="shared" si="11"/>
        <v>0</v>
      </c>
      <c r="U59" s="250">
        <f t="shared" si="11"/>
        <v>0</v>
      </c>
      <c r="V59" s="250">
        <f t="shared" si="11"/>
        <v>0</v>
      </c>
      <c r="W59" s="250">
        <f t="shared" si="11"/>
        <v>0</v>
      </c>
      <c r="X59" s="250">
        <f t="shared" si="11"/>
        <v>0</v>
      </c>
      <c r="Y59" s="250">
        <f t="shared" si="11"/>
        <v>0</v>
      </c>
      <c r="Z59" s="250">
        <f t="shared" si="11"/>
        <v>0</v>
      </c>
      <c r="AA59" s="250">
        <f t="shared" si="11"/>
        <v>0</v>
      </c>
      <c r="AB59" s="249">
        <f t="shared" si="11"/>
        <v>0</v>
      </c>
      <c r="AC59" s="250">
        <f t="shared" si="11"/>
        <v>0</v>
      </c>
      <c r="AD59" s="250">
        <f t="shared" si="11"/>
        <v>0</v>
      </c>
      <c r="AE59" s="250">
        <f t="shared" si="11"/>
        <v>0</v>
      </c>
      <c r="AF59" s="250">
        <f t="shared" si="11"/>
        <v>0</v>
      </c>
      <c r="AG59" s="250">
        <f t="shared" si="11"/>
        <v>0</v>
      </c>
      <c r="AH59" s="250">
        <f t="shared" si="11"/>
        <v>0</v>
      </c>
      <c r="AI59" s="250">
        <f t="shared" si="11"/>
        <v>0</v>
      </c>
      <c r="AJ59" s="250">
        <f t="shared" si="11"/>
        <v>0</v>
      </c>
      <c r="AK59" s="250">
        <f t="shared" si="11"/>
        <v>0</v>
      </c>
      <c r="AL59" s="250">
        <f t="shared" si="11"/>
        <v>0</v>
      </c>
      <c r="AM59" s="250">
        <f t="shared" si="11"/>
        <v>0</v>
      </c>
    </row>
    <row r="60" spans="2:39" s="248" customFormat="1" outlineLevel="1" x14ac:dyDescent="0.25">
      <c r="B60" s="248" t="str">
        <v>Pulver</v>
      </c>
      <c r="C60" s="22" t="s">
        <v>255</v>
      </c>
      <c r="D60" s="381">
        <f>IF(FixAffald2021&lt;&gt;0, Affald2021!C28, IF($I24&lt;&gt;0,$N24/12,$N24))</f>
        <v>10.62</v>
      </c>
      <c r="E60" s="382">
        <f>IF(FixAffald2021&lt;&gt;0, Affald2021!D28, IF($I24&lt;&gt;0,$N24/12,$N24))</f>
        <v>9.24</v>
      </c>
      <c r="F60" s="382">
        <f>IF(FixAffald2021&lt;&gt;0, Affald2021!E28, IF($I24&lt;&gt;0,$N24/12,$N24))</f>
        <v>15.29</v>
      </c>
      <c r="G60" s="382">
        <f>IF(FixAffald2021&lt;&gt;0, Affald2021!F28, IF($I24&lt;&gt;0,$N24/12,$N24))</f>
        <v>9.17</v>
      </c>
      <c r="H60" s="382">
        <f>IF(FixAffald2021&lt;&gt;0, Affald2021!G28, IF($I24&lt;&gt;0,$N24/12,$N24))</f>
        <v>12.23</v>
      </c>
      <c r="I60" s="382">
        <f>IF(FixAffald2021&lt;&gt;0, Affald2021!H28, IF($I24&lt;&gt;0,$N24/12,$N24))</f>
        <v>12.06</v>
      </c>
      <c r="J60" s="382">
        <f>IF(FixAffald2021&lt;&gt;0, Affald2021!I28, IF($I24&lt;&gt;0,$N24/12,$N24))</f>
        <v>10.96</v>
      </c>
      <c r="K60" s="382">
        <f>IF(FixAffald2021&lt;&gt;0, Affald2021!J28, IF($I24&lt;&gt;0,$N24/12,$N24))</f>
        <v>10.58</v>
      </c>
      <c r="L60" s="382">
        <f>IF(FixAffald2021&lt;&gt;0, Affald2021!K28, IF($I24&lt;&gt;0,$N24/12,$N24))</f>
        <v>0.91</v>
      </c>
      <c r="M60" s="382">
        <f>IF(FixAffald2021&lt;&gt;0, Affald2021!L28, IF($I24&lt;&gt;0,$N24/12,$N24))</f>
        <v>0</v>
      </c>
      <c r="N60" s="382">
        <f>IF(FixAffald2021&lt;&gt;0, Affald2021!M28, IF($I24&lt;&gt;0,$N24/12,$N24))</f>
        <v>9.4700000000000006</v>
      </c>
      <c r="O60" s="382">
        <f>IF(FixAffald2021&lt;&gt;0, Affald2021!N28, IF($I24&lt;&gt;0,$N24/12,$N24))</f>
        <v>13.41</v>
      </c>
      <c r="P60" s="249">
        <f t="shared" si="10"/>
        <v>9.4949999999999992</v>
      </c>
      <c r="Q60" s="250">
        <f t="shared" si="11"/>
        <v>9.4949999999999992</v>
      </c>
      <c r="R60" s="250">
        <f t="shared" si="11"/>
        <v>9.4949999999999992</v>
      </c>
      <c r="S60" s="250">
        <f t="shared" si="11"/>
        <v>9.4949999999999992</v>
      </c>
      <c r="T60" s="250">
        <f t="shared" si="11"/>
        <v>9.4949999999999992</v>
      </c>
      <c r="U60" s="250">
        <f t="shared" si="11"/>
        <v>9.4949999999999992</v>
      </c>
      <c r="V60" s="250">
        <f t="shared" si="11"/>
        <v>9.4949999999999992</v>
      </c>
      <c r="W60" s="250">
        <f t="shared" si="11"/>
        <v>9.4949999999999992</v>
      </c>
      <c r="X60" s="250">
        <f t="shared" si="11"/>
        <v>9.4949999999999992</v>
      </c>
      <c r="Y60" s="250">
        <f t="shared" si="11"/>
        <v>9.4949999999999992</v>
      </c>
      <c r="Z60" s="250">
        <f t="shared" si="11"/>
        <v>9.4949999999999992</v>
      </c>
      <c r="AA60" s="250">
        <f t="shared" si="11"/>
        <v>9.4949999999999992</v>
      </c>
      <c r="AB60" s="249">
        <f t="shared" si="11"/>
        <v>9.4949999999999992</v>
      </c>
      <c r="AC60" s="250">
        <f t="shared" si="11"/>
        <v>9.4949999999999992</v>
      </c>
      <c r="AD60" s="250">
        <f t="shared" si="11"/>
        <v>9.4949999999999992</v>
      </c>
      <c r="AE60" s="250">
        <f t="shared" si="11"/>
        <v>9.4949999999999992</v>
      </c>
      <c r="AF60" s="250">
        <f t="shared" si="11"/>
        <v>9.4949999999999992</v>
      </c>
      <c r="AG60" s="250">
        <f t="shared" si="11"/>
        <v>9.4949999999999992</v>
      </c>
      <c r="AH60" s="250">
        <f t="shared" si="11"/>
        <v>9.4949999999999992</v>
      </c>
      <c r="AI60" s="250">
        <f t="shared" si="11"/>
        <v>9.4949999999999992</v>
      </c>
      <c r="AJ60" s="250">
        <f t="shared" si="11"/>
        <v>9.4949999999999992</v>
      </c>
      <c r="AK60" s="250">
        <f t="shared" si="11"/>
        <v>9.4949999999999992</v>
      </c>
      <c r="AL60" s="250">
        <f t="shared" si="11"/>
        <v>9.4949999999999992</v>
      </c>
      <c r="AM60" s="250">
        <f t="shared" si="11"/>
        <v>9.4949999999999992</v>
      </c>
    </row>
    <row r="61" spans="2:39" s="248" customFormat="1" outlineLevel="1" x14ac:dyDescent="0.25">
      <c r="B61" s="248" t="str">
        <v>FlisAffald</v>
      </c>
      <c r="C61" s="22" t="s">
        <v>255</v>
      </c>
      <c r="D61" s="381">
        <f>IF(FixAffald2021&lt;&gt;0, Affald2021!C29, IF($I25&lt;&gt;0,$N25/12,$N25))</f>
        <v>15.19</v>
      </c>
      <c r="E61" s="382">
        <f>IF(FixAffald2021&lt;&gt;0, Affald2021!D29, IF($I25&lt;&gt;0,$N25/12,$N25))</f>
        <v>5.42</v>
      </c>
      <c r="F61" s="382">
        <f>IF(FixAffald2021&lt;&gt;0, Affald2021!E29, IF($I25&lt;&gt;0,$N25/12,$N25))</f>
        <v>32.67</v>
      </c>
      <c r="G61" s="382">
        <f>IF(FixAffald2021&lt;&gt;0, Affald2021!F29, IF($I25&lt;&gt;0,$N25/12,$N25))</f>
        <v>48.46</v>
      </c>
      <c r="H61" s="382">
        <f>IF(FixAffald2021&lt;&gt;0, Affald2021!G29, IF($I25&lt;&gt;0,$N25/12,$N25))</f>
        <v>9.11</v>
      </c>
      <c r="I61" s="382">
        <f>IF(FixAffald2021&lt;&gt;0, Affald2021!H29, IF($I25&lt;&gt;0,$N25/12,$N25))</f>
        <v>2.0499999999999998</v>
      </c>
      <c r="J61" s="382">
        <f>IF(FixAffald2021&lt;&gt;0, Affald2021!I29, IF($I25&lt;&gt;0,$N25/12,$N25))</f>
        <v>23.1</v>
      </c>
      <c r="K61" s="382">
        <f>IF(FixAffald2021&lt;&gt;0, Affald2021!J29, IF($I25&lt;&gt;0,$N25/12,$N25))</f>
        <v>25.1</v>
      </c>
      <c r="L61" s="382">
        <f>IF(FixAffald2021&lt;&gt;0, Affald2021!K29, IF($I25&lt;&gt;0,$N25/12,$N25))</f>
        <v>24.47</v>
      </c>
      <c r="M61" s="382">
        <f>IF(FixAffald2021&lt;&gt;0, Affald2021!L29, IF($I25&lt;&gt;0,$N25/12,$N25))</f>
        <v>15.68</v>
      </c>
      <c r="N61" s="382">
        <f>IF(FixAffald2021&lt;&gt;0, Affald2021!M29, IF($I25&lt;&gt;0,$N25/12,$N25))</f>
        <v>4.9800000000000004</v>
      </c>
      <c r="O61" s="382">
        <f>IF(FixAffald2021&lt;&gt;0, Affald2021!N29, IF($I25&lt;&gt;0,$N25/12,$N25))</f>
        <v>5.97</v>
      </c>
      <c r="P61" s="249">
        <f t="shared" si="10"/>
        <v>17.683333333333334</v>
      </c>
      <c r="Q61" s="250">
        <f t="shared" si="11"/>
        <v>17.683333333333334</v>
      </c>
      <c r="R61" s="250">
        <f t="shared" si="11"/>
        <v>17.683333333333334</v>
      </c>
      <c r="S61" s="250">
        <f t="shared" si="11"/>
        <v>17.683333333333334</v>
      </c>
      <c r="T61" s="250">
        <f t="shared" si="11"/>
        <v>17.683333333333334</v>
      </c>
      <c r="U61" s="250">
        <f t="shared" si="11"/>
        <v>17.683333333333334</v>
      </c>
      <c r="V61" s="250">
        <f t="shared" si="11"/>
        <v>17.683333333333334</v>
      </c>
      <c r="W61" s="250">
        <f t="shared" si="11"/>
        <v>17.683333333333334</v>
      </c>
      <c r="X61" s="250">
        <f t="shared" si="11"/>
        <v>17.683333333333334</v>
      </c>
      <c r="Y61" s="250">
        <f t="shared" si="11"/>
        <v>17.683333333333334</v>
      </c>
      <c r="Z61" s="250">
        <f t="shared" si="11"/>
        <v>17.683333333333334</v>
      </c>
      <c r="AA61" s="250">
        <f t="shared" si="11"/>
        <v>17.683333333333334</v>
      </c>
      <c r="AB61" s="249">
        <f t="shared" si="11"/>
        <v>17.683333333333334</v>
      </c>
      <c r="AC61" s="250">
        <f t="shared" si="11"/>
        <v>17.683333333333334</v>
      </c>
      <c r="AD61" s="250">
        <f t="shared" si="11"/>
        <v>17.683333333333334</v>
      </c>
      <c r="AE61" s="250">
        <f t="shared" si="11"/>
        <v>17.683333333333334</v>
      </c>
      <c r="AF61" s="250">
        <f t="shared" si="11"/>
        <v>17.683333333333334</v>
      </c>
      <c r="AG61" s="250">
        <f t="shared" si="11"/>
        <v>17.683333333333334</v>
      </c>
      <c r="AH61" s="250">
        <f t="shared" si="11"/>
        <v>17.683333333333334</v>
      </c>
      <c r="AI61" s="250">
        <f t="shared" si="11"/>
        <v>17.683333333333334</v>
      </c>
      <c r="AJ61" s="250">
        <f t="shared" si="11"/>
        <v>17.683333333333334</v>
      </c>
      <c r="AK61" s="250">
        <f t="shared" si="11"/>
        <v>17.683333333333334</v>
      </c>
      <c r="AL61" s="250">
        <f t="shared" si="11"/>
        <v>17.683333333333334</v>
      </c>
      <c r="AM61" s="250">
        <f t="shared" si="11"/>
        <v>17.683333333333334</v>
      </c>
    </row>
    <row r="62" spans="2:39" s="248" customFormat="1" outlineLevel="1" x14ac:dyDescent="0.25">
      <c r="B62" s="248" t="str">
        <v>NyAff1</v>
      </c>
      <c r="C62" s="22" t="s">
        <v>255</v>
      </c>
      <c r="D62" s="249">
        <f>IF(FixAffald2021&lt;&gt;0, Affald2021!C30, IF($I26&lt;&gt;0,$N26/12,$N26))</f>
        <v>0</v>
      </c>
      <c r="E62" s="250">
        <f>IF(FixAffald2021&lt;&gt;0, Affald2021!D30, IF($I26&lt;&gt;0,$N26/12,$N26))</f>
        <v>0</v>
      </c>
      <c r="F62" s="250">
        <f>IF(FixAffald2021&lt;&gt;0, Affald2021!E30, IF($I26&lt;&gt;0,$N26/12,$N26))</f>
        <v>0</v>
      </c>
      <c r="G62" s="250">
        <f>IF(FixAffald2021&lt;&gt;0, Affald2021!F30, IF($I26&lt;&gt;0,$N26/12,$N26))</f>
        <v>0</v>
      </c>
      <c r="H62" s="250">
        <f>IF(FixAffald2021&lt;&gt;0, Affald2021!G30, IF($I26&lt;&gt;0,$N26/12,$N26))</f>
        <v>0</v>
      </c>
      <c r="I62" s="250">
        <f>IF(FixAffald2021&lt;&gt;0, Affald2021!H30, IF($I26&lt;&gt;0,$N26/12,$N26))</f>
        <v>0</v>
      </c>
      <c r="J62" s="250">
        <f>IF(FixAffald2021&lt;&gt;0, Affald2021!I30, IF($I26&lt;&gt;0,$N26/12,$N26))</f>
        <v>0</v>
      </c>
      <c r="K62" s="250">
        <f>IF(FixAffald2021&lt;&gt;0, Affald2021!J30, IF($I26&lt;&gt;0,$N26/12,$N26))</f>
        <v>0</v>
      </c>
      <c r="L62" s="250">
        <f>IF(FixAffald2021&lt;&gt;0, Affald2021!K30, IF($I26&lt;&gt;0,$N26/12,$N26))</f>
        <v>0</v>
      </c>
      <c r="M62" s="250">
        <f>IF(FixAffald2021&lt;&gt;0, Affald2021!L30, IF($I26&lt;&gt;0,$N26/12,$N26))</f>
        <v>0</v>
      </c>
      <c r="N62" s="250">
        <f>IF(FixAffald2021&lt;&gt;0, Affald2021!M30, IF($I26&lt;&gt;0,$N26/12,$N26))</f>
        <v>0</v>
      </c>
      <c r="O62" s="250">
        <f>IF(FixAffald2021&lt;&gt;0, Affald2021!N30, IF($I26&lt;&gt;0,$N26/12,$N26))</f>
        <v>0</v>
      </c>
      <c r="P62" s="249">
        <f t="shared" si="10"/>
        <v>20000</v>
      </c>
      <c r="Q62" s="250">
        <f t="shared" si="11"/>
        <v>20000</v>
      </c>
      <c r="R62" s="250">
        <f t="shared" si="11"/>
        <v>20000</v>
      </c>
      <c r="S62" s="250">
        <f t="shared" si="11"/>
        <v>20000</v>
      </c>
      <c r="T62" s="250">
        <f t="shared" si="11"/>
        <v>20000</v>
      </c>
      <c r="U62" s="250">
        <f t="shared" si="11"/>
        <v>20000</v>
      </c>
      <c r="V62" s="250">
        <f t="shared" si="11"/>
        <v>20000</v>
      </c>
      <c r="W62" s="250">
        <f t="shared" si="11"/>
        <v>20000</v>
      </c>
      <c r="X62" s="250">
        <f t="shared" si="11"/>
        <v>20000</v>
      </c>
      <c r="Y62" s="250">
        <f t="shared" si="11"/>
        <v>20000</v>
      </c>
      <c r="Z62" s="250">
        <f t="shared" si="11"/>
        <v>20000</v>
      </c>
      <c r="AA62" s="250">
        <f t="shared" si="11"/>
        <v>20000</v>
      </c>
      <c r="AB62" s="249">
        <f t="shared" si="11"/>
        <v>20000</v>
      </c>
      <c r="AC62" s="250">
        <f t="shared" si="11"/>
        <v>20000</v>
      </c>
      <c r="AD62" s="250">
        <f t="shared" si="11"/>
        <v>20000</v>
      </c>
      <c r="AE62" s="250">
        <f t="shared" si="11"/>
        <v>20000</v>
      </c>
      <c r="AF62" s="250">
        <f t="shared" si="11"/>
        <v>20000</v>
      </c>
      <c r="AG62" s="250">
        <f t="shared" si="11"/>
        <v>20000</v>
      </c>
      <c r="AH62" s="250">
        <f t="shared" si="11"/>
        <v>20000</v>
      </c>
      <c r="AI62" s="250">
        <f t="shared" si="11"/>
        <v>20000</v>
      </c>
      <c r="AJ62" s="250">
        <f t="shared" si="11"/>
        <v>20000</v>
      </c>
      <c r="AK62" s="250">
        <f t="shared" si="11"/>
        <v>20000</v>
      </c>
      <c r="AL62" s="250">
        <f t="shared" si="11"/>
        <v>20000</v>
      </c>
      <c r="AM62" s="250">
        <f t="shared" si="11"/>
        <v>20000</v>
      </c>
    </row>
    <row r="63" spans="2:39" s="248" customFormat="1" outlineLevel="1" x14ac:dyDescent="0.25">
      <c r="B63" s="248" t="str">
        <v>NyAff2</v>
      </c>
      <c r="C63" s="22" t="s">
        <v>255</v>
      </c>
      <c r="D63" s="249">
        <f>IF(FixAffald2021&lt;&gt;0, Affald2021!C31, IF($I27&lt;&gt;0,$N27/12,$N27))</f>
        <v>0</v>
      </c>
      <c r="E63" s="250">
        <f>IF(FixAffald2021&lt;&gt;0, Affald2021!D31, IF($I27&lt;&gt;0,$N27/12,$N27))</f>
        <v>0</v>
      </c>
      <c r="F63" s="250">
        <f>IF(FixAffald2021&lt;&gt;0, Affald2021!E31, IF($I27&lt;&gt;0,$N27/12,$N27))</f>
        <v>0</v>
      </c>
      <c r="G63" s="250">
        <f>IF(FixAffald2021&lt;&gt;0, Affald2021!F31, IF($I27&lt;&gt;0,$N27/12,$N27))</f>
        <v>0</v>
      </c>
      <c r="H63" s="250">
        <f>IF(FixAffald2021&lt;&gt;0, Affald2021!G31, IF($I27&lt;&gt;0,$N27/12,$N27))</f>
        <v>0</v>
      </c>
      <c r="I63" s="250">
        <f>IF(FixAffald2021&lt;&gt;0, Affald2021!H31, IF($I27&lt;&gt;0,$N27/12,$N27))</f>
        <v>0</v>
      </c>
      <c r="J63" s="250">
        <f>IF(FixAffald2021&lt;&gt;0, Affald2021!I31, IF($I27&lt;&gt;0,$N27/12,$N27))</f>
        <v>0</v>
      </c>
      <c r="K63" s="250">
        <f>IF(FixAffald2021&lt;&gt;0, Affald2021!J31, IF($I27&lt;&gt;0,$N27/12,$N27))</f>
        <v>0</v>
      </c>
      <c r="L63" s="250">
        <f>IF(FixAffald2021&lt;&gt;0, Affald2021!K31, IF($I27&lt;&gt;0,$N27/12,$N27))</f>
        <v>0</v>
      </c>
      <c r="M63" s="250">
        <f>IF(FixAffald2021&lt;&gt;0, Affald2021!L31, IF($I27&lt;&gt;0,$N27/12,$N27))</f>
        <v>0</v>
      </c>
      <c r="N63" s="250">
        <f>IF(FixAffald2021&lt;&gt;0, Affald2021!M31, IF($I27&lt;&gt;0,$N27/12,$N27))</f>
        <v>0</v>
      </c>
      <c r="O63" s="250">
        <f>IF(FixAffald2021&lt;&gt;0, Affald2021!N31, IF($I27&lt;&gt;0,$N27/12,$N27))</f>
        <v>0</v>
      </c>
      <c r="P63" s="249">
        <f t="shared" si="10"/>
        <v>833.33333333333337</v>
      </c>
      <c r="Q63" s="250">
        <f t="shared" si="11"/>
        <v>833.33333333333337</v>
      </c>
      <c r="R63" s="250">
        <f t="shared" si="11"/>
        <v>833.33333333333337</v>
      </c>
      <c r="S63" s="250">
        <f t="shared" si="11"/>
        <v>833.33333333333337</v>
      </c>
      <c r="T63" s="250">
        <f t="shared" si="11"/>
        <v>833.33333333333337</v>
      </c>
      <c r="U63" s="250">
        <f t="shared" si="11"/>
        <v>833.33333333333337</v>
      </c>
      <c r="V63" s="250">
        <f t="shared" si="11"/>
        <v>833.33333333333337</v>
      </c>
      <c r="W63" s="250">
        <f t="shared" si="11"/>
        <v>833.33333333333337</v>
      </c>
      <c r="X63" s="250">
        <f t="shared" si="11"/>
        <v>833.33333333333337</v>
      </c>
      <c r="Y63" s="250">
        <f t="shared" si="11"/>
        <v>833.33333333333337</v>
      </c>
      <c r="Z63" s="250">
        <f t="shared" si="11"/>
        <v>833.33333333333337</v>
      </c>
      <c r="AA63" s="250">
        <f t="shared" si="11"/>
        <v>833.33333333333337</v>
      </c>
      <c r="AB63" s="249">
        <f t="shared" si="11"/>
        <v>833.33333333333337</v>
      </c>
      <c r="AC63" s="250">
        <f t="shared" si="11"/>
        <v>833.33333333333337</v>
      </c>
      <c r="AD63" s="250">
        <f t="shared" si="11"/>
        <v>833.33333333333337</v>
      </c>
      <c r="AE63" s="250">
        <f t="shared" si="11"/>
        <v>833.33333333333337</v>
      </c>
      <c r="AF63" s="250">
        <f t="shared" si="11"/>
        <v>833.33333333333337</v>
      </c>
      <c r="AG63" s="250">
        <f t="shared" si="11"/>
        <v>833.33333333333337</v>
      </c>
      <c r="AH63" s="250">
        <f t="shared" si="11"/>
        <v>833.33333333333337</v>
      </c>
      <c r="AI63" s="250">
        <f t="shared" si="11"/>
        <v>833.33333333333337</v>
      </c>
      <c r="AJ63" s="250">
        <f t="shared" ref="Q63:AM66" si="12">IF($I27&lt;&gt;0,$N27/12,$N27)</f>
        <v>833.33333333333337</v>
      </c>
      <c r="AK63" s="250">
        <f t="shared" si="12"/>
        <v>833.33333333333337</v>
      </c>
      <c r="AL63" s="250">
        <f t="shared" si="12"/>
        <v>833.33333333333337</v>
      </c>
      <c r="AM63" s="250">
        <f t="shared" si="12"/>
        <v>833.33333333333337</v>
      </c>
    </row>
    <row r="64" spans="2:39" s="248" customFormat="1" outlineLevel="1" x14ac:dyDescent="0.25">
      <c r="B64" s="248" t="str">
        <v>NyAff3</v>
      </c>
      <c r="C64" s="22" t="s">
        <v>255</v>
      </c>
      <c r="D64" s="249">
        <f>IF(FixAffald2021&lt;&gt;0, Affald2021!C32, IF($I28&lt;&gt;0,$N28/12,$N28))</f>
        <v>0</v>
      </c>
      <c r="E64" s="250">
        <f>IF(FixAffald2021&lt;&gt;0, Affald2021!D32, IF($I28&lt;&gt;0,$N28/12,$N28))</f>
        <v>0</v>
      </c>
      <c r="F64" s="250">
        <f>IF(FixAffald2021&lt;&gt;0, Affald2021!E32, IF($I28&lt;&gt;0,$N28/12,$N28))</f>
        <v>0</v>
      </c>
      <c r="G64" s="250">
        <f>IF(FixAffald2021&lt;&gt;0, Affald2021!F32, IF($I28&lt;&gt;0,$N28/12,$N28))</f>
        <v>0</v>
      </c>
      <c r="H64" s="250">
        <f>IF(FixAffald2021&lt;&gt;0, Affald2021!G32, IF($I28&lt;&gt;0,$N28/12,$N28))</f>
        <v>0</v>
      </c>
      <c r="I64" s="250">
        <f>IF(FixAffald2021&lt;&gt;0, Affald2021!H32, IF($I28&lt;&gt;0,$N28/12,$N28))</f>
        <v>0</v>
      </c>
      <c r="J64" s="250">
        <f>IF(FixAffald2021&lt;&gt;0, Affald2021!I32, IF($I28&lt;&gt;0,$N28/12,$N28))</f>
        <v>0</v>
      </c>
      <c r="K64" s="250">
        <f>IF(FixAffald2021&lt;&gt;0, Affald2021!J32, IF($I28&lt;&gt;0,$N28/12,$N28))</f>
        <v>0</v>
      </c>
      <c r="L64" s="250">
        <f>IF(FixAffald2021&lt;&gt;0, Affald2021!K32, IF($I28&lt;&gt;0,$N28/12,$N28))</f>
        <v>0</v>
      </c>
      <c r="M64" s="250">
        <f>IF(FixAffald2021&lt;&gt;0, Affald2021!L32, IF($I28&lt;&gt;0,$N28/12,$N28))</f>
        <v>0</v>
      </c>
      <c r="N64" s="250">
        <f>IF(FixAffald2021&lt;&gt;0, Affald2021!M32, IF($I28&lt;&gt;0,$N28/12,$N28))</f>
        <v>0</v>
      </c>
      <c r="O64" s="250">
        <f>IF(FixAffald2021&lt;&gt;0, Affald2021!N32, IF($I28&lt;&gt;0,$N28/12,$N28))</f>
        <v>0</v>
      </c>
      <c r="P64" s="249">
        <f t="shared" si="10"/>
        <v>833.33333333333337</v>
      </c>
      <c r="Q64" s="250">
        <f t="shared" si="12"/>
        <v>833.33333333333337</v>
      </c>
      <c r="R64" s="250">
        <f t="shared" si="12"/>
        <v>833.33333333333337</v>
      </c>
      <c r="S64" s="250">
        <f t="shared" si="12"/>
        <v>833.33333333333337</v>
      </c>
      <c r="T64" s="250">
        <f t="shared" si="12"/>
        <v>833.33333333333337</v>
      </c>
      <c r="U64" s="250">
        <f t="shared" si="12"/>
        <v>833.33333333333337</v>
      </c>
      <c r="V64" s="250">
        <f t="shared" si="12"/>
        <v>833.33333333333337</v>
      </c>
      <c r="W64" s="250">
        <f t="shared" si="12"/>
        <v>833.33333333333337</v>
      </c>
      <c r="X64" s="250">
        <f t="shared" si="12"/>
        <v>833.33333333333337</v>
      </c>
      <c r="Y64" s="250">
        <f t="shared" si="12"/>
        <v>833.33333333333337</v>
      </c>
      <c r="Z64" s="250">
        <f t="shared" si="12"/>
        <v>833.33333333333337</v>
      </c>
      <c r="AA64" s="250">
        <f t="shared" si="12"/>
        <v>833.33333333333337</v>
      </c>
      <c r="AB64" s="249">
        <f t="shared" si="12"/>
        <v>833.33333333333337</v>
      </c>
      <c r="AC64" s="250">
        <f t="shared" si="12"/>
        <v>833.33333333333337</v>
      </c>
      <c r="AD64" s="250">
        <f t="shared" si="12"/>
        <v>833.33333333333337</v>
      </c>
      <c r="AE64" s="250">
        <f t="shared" si="12"/>
        <v>833.33333333333337</v>
      </c>
      <c r="AF64" s="250">
        <f t="shared" si="12"/>
        <v>833.33333333333337</v>
      </c>
      <c r="AG64" s="250">
        <f t="shared" si="12"/>
        <v>833.33333333333337</v>
      </c>
      <c r="AH64" s="250">
        <f t="shared" si="12"/>
        <v>833.33333333333337</v>
      </c>
      <c r="AI64" s="250">
        <f t="shared" si="12"/>
        <v>833.33333333333337</v>
      </c>
      <c r="AJ64" s="250">
        <f t="shared" si="12"/>
        <v>833.33333333333337</v>
      </c>
      <c r="AK64" s="250">
        <f t="shared" si="12"/>
        <v>833.33333333333337</v>
      </c>
      <c r="AL64" s="250">
        <f t="shared" si="12"/>
        <v>833.33333333333337</v>
      </c>
      <c r="AM64" s="250">
        <f t="shared" si="12"/>
        <v>833.33333333333337</v>
      </c>
    </row>
    <row r="65" spans="1:39" s="248" customFormat="1" outlineLevel="1" x14ac:dyDescent="0.25">
      <c r="B65" s="248" t="str">
        <v>NyAff4</v>
      </c>
      <c r="C65" s="22" t="s">
        <v>255</v>
      </c>
      <c r="D65" s="249">
        <f>IF(FixAffald2021&lt;&gt;0, Affald2021!C33, IF($I29&lt;&gt;0,$N29/12,$N29))</f>
        <v>0</v>
      </c>
      <c r="E65" s="250">
        <f>IF(FixAffald2021&lt;&gt;0, Affald2021!D33, IF($I29&lt;&gt;0,$N29/12,$N29))</f>
        <v>0</v>
      </c>
      <c r="F65" s="250">
        <f>IF(FixAffald2021&lt;&gt;0, Affald2021!E33, IF($I29&lt;&gt;0,$N29/12,$N29))</f>
        <v>0</v>
      </c>
      <c r="G65" s="250">
        <f>IF(FixAffald2021&lt;&gt;0, Affald2021!F33, IF($I29&lt;&gt;0,$N29/12,$N29))</f>
        <v>0</v>
      </c>
      <c r="H65" s="250">
        <f>IF(FixAffald2021&lt;&gt;0, Affald2021!G33, IF($I29&lt;&gt;0,$N29/12,$N29))</f>
        <v>0</v>
      </c>
      <c r="I65" s="250">
        <f>IF(FixAffald2021&lt;&gt;0, Affald2021!H33, IF($I29&lt;&gt;0,$N29/12,$N29))</f>
        <v>0</v>
      </c>
      <c r="J65" s="250">
        <f>IF(FixAffald2021&lt;&gt;0, Affald2021!I33, IF($I29&lt;&gt;0,$N29/12,$N29))</f>
        <v>0</v>
      </c>
      <c r="K65" s="250">
        <f>IF(FixAffald2021&lt;&gt;0, Affald2021!J33, IF($I29&lt;&gt;0,$N29/12,$N29))</f>
        <v>0</v>
      </c>
      <c r="L65" s="250">
        <f>IF(FixAffald2021&lt;&gt;0, Affald2021!K33, IF($I29&lt;&gt;0,$N29/12,$N29))</f>
        <v>0</v>
      </c>
      <c r="M65" s="250">
        <f>IF(FixAffald2021&lt;&gt;0, Affald2021!L33, IF($I29&lt;&gt;0,$N29/12,$N29))</f>
        <v>0</v>
      </c>
      <c r="N65" s="250">
        <f>IF(FixAffald2021&lt;&gt;0, Affald2021!M33, IF($I29&lt;&gt;0,$N29/12,$N29))</f>
        <v>0</v>
      </c>
      <c r="O65" s="250">
        <f>IF(FixAffald2021&lt;&gt;0, Affald2021!N33, IF($I29&lt;&gt;0,$N29/12,$N29))</f>
        <v>0</v>
      </c>
      <c r="P65" s="249">
        <f t="shared" si="10"/>
        <v>833.33333333333337</v>
      </c>
      <c r="Q65" s="250">
        <f t="shared" si="12"/>
        <v>833.33333333333337</v>
      </c>
      <c r="R65" s="250">
        <f t="shared" si="12"/>
        <v>833.33333333333337</v>
      </c>
      <c r="S65" s="250">
        <f t="shared" si="12"/>
        <v>833.33333333333337</v>
      </c>
      <c r="T65" s="250">
        <f t="shared" si="12"/>
        <v>833.33333333333337</v>
      </c>
      <c r="U65" s="250">
        <f t="shared" si="12"/>
        <v>833.33333333333337</v>
      </c>
      <c r="V65" s="250">
        <f t="shared" si="12"/>
        <v>833.33333333333337</v>
      </c>
      <c r="W65" s="250">
        <f t="shared" si="12"/>
        <v>833.33333333333337</v>
      </c>
      <c r="X65" s="250">
        <f t="shared" si="12"/>
        <v>833.33333333333337</v>
      </c>
      <c r="Y65" s="250">
        <f t="shared" si="12"/>
        <v>833.33333333333337</v>
      </c>
      <c r="Z65" s="250">
        <f t="shared" si="12"/>
        <v>833.33333333333337</v>
      </c>
      <c r="AA65" s="250">
        <f t="shared" si="12"/>
        <v>833.33333333333337</v>
      </c>
      <c r="AB65" s="249">
        <f t="shared" si="12"/>
        <v>833.33333333333337</v>
      </c>
      <c r="AC65" s="250">
        <f t="shared" si="12"/>
        <v>833.33333333333337</v>
      </c>
      <c r="AD65" s="250">
        <f t="shared" si="12"/>
        <v>833.33333333333337</v>
      </c>
      <c r="AE65" s="250">
        <f t="shared" si="12"/>
        <v>833.33333333333337</v>
      </c>
      <c r="AF65" s="250">
        <f t="shared" si="12"/>
        <v>833.33333333333337</v>
      </c>
      <c r="AG65" s="250">
        <f t="shared" si="12"/>
        <v>833.33333333333337</v>
      </c>
      <c r="AH65" s="250">
        <f t="shared" si="12"/>
        <v>833.33333333333337</v>
      </c>
      <c r="AI65" s="250">
        <f t="shared" si="12"/>
        <v>833.33333333333337</v>
      </c>
      <c r="AJ65" s="250">
        <f t="shared" si="12"/>
        <v>833.33333333333337</v>
      </c>
      <c r="AK65" s="250">
        <f t="shared" si="12"/>
        <v>833.33333333333337</v>
      </c>
      <c r="AL65" s="250">
        <f t="shared" si="12"/>
        <v>833.33333333333337</v>
      </c>
      <c r="AM65" s="250">
        <f t="shared" si="12"/>
        <v>833.33333333333337</v>
      </c>
    </row>
    <row r="66" spans="1:39" s="248" customFormat="1" outlineLevel="1" x14ac:dyDescent="0.25">
      <c r="B66" s="248" t="str">
        <v>NyAff5</v>
      </c>
      <c r="C66" s="22" t="s">
        <v>255</v>
      </c>
      <c r="D66" s="249">
        <f>IF(FixAffald2021&lt;&gt;0, Affald2021!C34, IF($I30&lt;&gt;0,$N30/12,$N30))</f>
        <v>0</v>
      </c>
      <c r="E66" s="250">
        <f>IF(FixAffald2021&lt;&gt;0, Affald2021!D34, IF($I30&lt;&gt;0,$N30/12,$N30))</f>
        <v>0</v>
      </c>
      <c r="F66" s="250">
        <f>IF(FixAffald2021&lt;&gt;0, Affald2021!E34, IF($I30&lt;&gt;0,$N30/12,$N30))</f>
        <v>0</v>
      </c>
      <c r="G66" s="250">
        <f>IF(FixAffald2021&lt;&gt;0, Affald2021!F34, IF($I30&lt;&gt;0,$N30/12,$N30))</f>
        <v>0</v>
      </c>
      <c r="H66" s="250">
        <f>IF(FixAffald2021&lt;&gt;0, Affald2021!G34, IF($I30&lt;&gt;0,$N30/12,$N30))</f>
        <v>0</v>
      </c>
      <c r="I66" s="250">
        <f>IF(FixAffald2021&lt;&gt;0, Affald2021!H34, IF($I30&lt;&gt;0,$N30/12,$N30))</f>
        <v>0</v>
      </c>
      <c r="J66" s="250">
        <f>IF(FixAffald2021&lt;&gt;0, Affald2021!I34, IF($I30&lt;&gt;0,$N30/12,$N30))</f>
        <v>0</v>
      </c>
      <c r="K66" s="250">
        <f>IF(FixAffald2021&lt;&gt;0, Affald2021!J34, IF($I30&lt;&gt;0,$N30/12,$N30))</f>
        <v>0</v>
      </c>
      <c r="L66" s="250">
        <f>IF(FixAffald2021&lt;&gt;0, Affald2021!K34, IF($I30&lt;&gt;0,$N30/12,$N30))</f>
        <v>0</v>
      </c>
      <c r="M66" s="250">
        <f>IF(FixAffald2021&lt;&gt;0, Affald2021!L34, IF($I30&lt;&gt;0,$N30/12,$N30))</f>
        <v>0</v>
      </c>
      <c r="N66" s="250">
        <f>IF(FixAffald2021&lt;&gt;0, Affald2021!M34, IF($I30&lt;&gt;0,$N30/12,$N30))</f>
        <v>0</v>
      </c>
      <c r="O66" s="250">
        <f>IF(FixAffald2021&lt;&gt;0, Affald2021!N34, IF($I30&lt;&gt;0,$N30/12,$N30))</f>
        <v>0</v>
      </c>
      <c r="P66" s="249">
        <f t="shared" si="10"/>
        <v>833.33333333333337</v>
      </c>
      <c r="Q66" s="250">
        <f t="shared" si="12"/>
        <v>833.33333333333337</v>
      </c>
      <c r="R66" s="250">
        <f t="shared" si="12"/>
        <v>833.33333333333337</v>
      </c>
      <c r="S66" s="250">
        <f t="shared" si="12"/>
        <v>833.33333333333337</v>
      </c>
      <c r="T66" s="250">
        <f t="shared" si="12"/>
        <v>833.33333333333337</v>
      </c>
      <c r="U66" s="250">
        <f t="shared" si="12"/>
        <v>833.33333333333337</v>
      </c>
      <c r="V66" s="250">
        <f t="shared" si="12"/>
        <v>833.33333333333337</v>
      </c>
      <c r="W66" s="250">
        <f t="shared" si="12"/>
        <v>833.33333333333337</v>
      </c>
      <c r="X66" s="250">
        <f t="shared" si="12"/>
        <v>833.33333333333337</v>
      </c>
      <c r="Y66" s="250">
        <f t="shared" si="12"/>
        <v>833.33333333333337</v>
      </c>
      <c r="Z66" s="250">
        <f t="shared" si="12"/>
        <v>833.33333333333337</v>
      </c>
      <c r="AA66" s="250">
        <f t="shared" si="12"/>
        <v>833.33333333333337</v>
      </c>
      <c r="AB66" s="249">
        <f t="shared" si="12"/>
        <v>833.33333333333337</v>
      </c>
      <c r="AC66" s="250">
        <f t="shared" si="12"/>
        <v>833.33333333333337</v>
      </c>
      <c r="AD66" s="250">
        <f t="shared" si="12"/>
        <v>833.33333333333337</v>
      </c>
      <c r="AE66" s="250">
        <f t="shared" si="12"/>
        <v>833.33333333333337</v>
      </c>
      <c r="AF66" s="250">
        <f t="shared" si="12"/>
        <v>833.33333333333337</v>
      </c>
      <c r="AG66" s="250">
        <f t="shared" si="12"/>
        <v>833.33333333333337</v>
      </c>
      <c r="AH66" s="250">
        <f t="shared" si="12"/>
        <v>833.33333333333337</v>
      </c>
      <c r="AI66" s="250">
        <f t="shared" si="12"/>
        <v>833.33333333333337</v>
      </c>
      <c r="AJ66" s="250">
        <f t="shared" si="12"/>
        <v>833.33333333333337</v>
      </c>
      <c r="AK66" s="250">
        <f t="shared" si="12"/>
        <v>833.33333333333337</v>
      </c>
      <c r="AL66" s="250">
        <f t="shared" si="12"/>
        <v>833.33333333333337</v>
      </c>
      <c r="AM66" s="250">
        <f t="shared" si="12"/>
        <v>833.33333333333337</v>
      </c>
    </row>
    <row r="67" spans="1:39" outlineLevel="1" x14ac:dyDescent="0.25">
      <c r="A67" s="294"/>
      <c r="B67" t="str" cm="1">
        <f t="array" ref="B67:B69">ØvrigeBrændsler</f>
        <v>Flis</v>
      </c>
      <c r="C67" s="22" t="s">
        <v>255</v>
      </c>
      <c r="D67" s="249"/>
      <c r="E67" s="250"/>
      <c r="F67" s="250"/>
      <c r="G67" s="250"/>
      <c r="H67" s="250"/>
      <c r="I67" s="250"/>
      <c r="J67" s="250"/>
      <c r="K67" s="250"/>
      <c r="L67" s="250"/>
      <c r="M67" s="250"/>
      <c r="N67" s="250"/>
      <c r="O67" s="250"/>
      <c r="P67" s="249"/>
      <c r="Q67" s="250"/>
      <c r="R67" s="250"/>
      <c r="S67" s="250"/>
      <c r="T67" s="250"/>
      <c r="U67" s="250"/>
      <c r="V67" s="250"/>
      <c r="W67" s="250"/>
      <c r="X67" s="250"/>
      <c r="Y67" s="250"/>
      <c r="Z67" s="250"/>
      <c r="AA67" s="250"/>
      <c r="AB67" s="249"/>
      <c r="AC67" s="250"/>
      <c r="AD67" s="250"/>
      <c r="AE67" s="250"/>
      <c r="AF67" s="250"/>
      <c r="AG67" s="250"/>
      <c r="AH67" s="250"/>
      <c r="AI67" s="250"/>
      <c r="AJ67" s="250"/>
      <c r="AK67" s="250"/>
      <c r="AL67" s="250"/>
      <c r="AM67" s="250"/>
    </row>
    <row r="68" spans="1:39" outlineLevel="1" x14ac:dyDescent="0.25">
      <c r="A68" s="295"/>
      <c r="B68" t="str">
        <v>NSvarme</v>
      </c>
      <c r="C68" s="22" t="s">
        <v>255</v>
      </c>
      <c r="D68" s="249"/>
      <c r="E68" s="250"/>
      <c r="F68" s="250"/>
      <c r="G68" s="250"/>
      <c r="H68" s="250"/>
      <c r="I68" s="250"/>
      <c r="J68" s="250"/>
      <c r="K68" s="250"/>
      <c r="L68" s="250"/>
      <c r="M68" s="250"/>
      <c r="N68" s="250"/>
      <c r="O68" s="250"/>
      <c r="P68" s="249"/>
      <c r="Q68" s="250"/>
      <c r="R68" s="250"/>
      <c r="S68" s="250"/>
      <c r="T68" s="250"/>
      <c r="U68" s="250"/>
      <c r="V68" s="250"/>
      <c r="W68" s="250"/>
      <c r="X68" s="250"/>
      <c r="Y68" s="250"/>
      <c r="Z68" s="250"/>
      <c r="AA68" s="250"/>
      <c r="AB68" s="249"/>
      <c r="AC68" s="250"/>
      <c r="AD68" s="250"/>
      <c r="AE68" s="250"/>
      <c r="AF68" s="250"/>
      <c r="AG68" s="250"/>
      <c r="AH68" s="250"/>
      <c r="AI68" s="250"/>
      <c r="AJ68" s="250"/>
      <c r="AK68" s="250"/>
      <c r="AL68" s="250"/>
      <c r="AM68" s="250"/>
    </row>
    <row r="69" spans="1:39" outlineLevel="1" x14ac:dyDescent="0.25">
      <c r="A69" s="295"/>
      <c r="B69" t="str">
        <v>PeakFuel</v>
      </c>
      <c r="C69" s="22" t="s">
        <v>255</v>
      </c>
      <c r="D69" s="249"/>
      <c r="E69" s="250"/>
      <c r="F69" s="250"/>
      <c r="G69" s="250"/>
      <c r="H69" s="250"/>
      <c r="I69" s="250"/>
      <c r="J69" s="250"/>
      <c r="K69" s="250"/>
      <c r="L69" s="250"/>
      <c r="M69" s="250"/>
      <c r="N69" s="250"/>
      <c r="O69" s="250"/>
      <c r="P69" s="249"/>
      <c r="Q69" s="250"/>
      <c r="R69" s="250"/>
      <c r="S69" s="250"/>
      <c r="T69" s="250"/>
      <c r="U69" s="250"/>
      <c r="V69" s="250"/>
      <c r="W69" s="250"/>
      <c r="X69" s="250"/>
      <c r="Y69" s="250"/>
      <c r="Z69" s="250"/>
      <c r="AA69" s="250"/>
      <c r="AB69" s="249"/>
      <c r="AC69" s="250"/>
      <c r="AD69" s="250"/>
      <c r="AE69" s="250"/>
      <c r="AF69" s="250"/>
      <c r="AG69" s="250"/>
      <c r="AH69" s="250"/>
      <c r="AI69" s="250"/>
      <c r="AJ69" s="250"/>
      <c r="AK69" s="250"/>
      <c r="AL69" s="250"/>
      <c r="AM69" s="250"/>
    </row>
    <row r="70" spans="1:39" s="26" customFormat="1" ht="15.75" x14ac:dyDescent="0.25">
      <c r="A70" s="37" t="s">
        <v>401</v>
      </c>
      <c r="B70" s="29"/>
      <c r="C70" s="29"/>
      <c r="D70" s="34"/>
      <c r="E70" s="30"/>
      <c r="F70" s="30"/>
      <c r="G70" s="30"/>
      <c r="H70" s="30"/>
      <c r="I70" s="30"/>
      <c r="J70" s="30"/>
      <c r="K70" s="30"/>
      <c r="L70" s="30"/>
      <c r="M70" s="30"/>
      <c r="N70" s="30"/>
      <c r="O70" s="30"/>
      <c r="P70" s="34"/>
      <c r="Q70" s="30"/>
      <c r="R70" s="30"/>
      <c r="S70" s="30"/>
      <c r="T70" s="30"/>
      <c r="U70" s="30"/>
      <c r="V70" s="30"/>
      <c r="W70" s="30"/>
      <c r="X70" s="30"/>
      <c r="Y70" s="30"/>
      <c r="Z70" s="30"/>
      <c r="AA70" s="30"/>
      <c r="AB70" s="34"/>
      <c r="AC70" s="30"/>
      <c r="AD70" s="30"/>
      <c r="AE70" s="30"/>
      <c r="AF70" s="30"/>
      <c r="AG70" s="30"/>
      <c r="AH70" s="30"/>
      <c r="AI70" s="30"/>
      <c r="AJ70" s="30"/>
      <c r="AK70" s="30"/>
      <c r="AL70" s="30"/>
      <c r="AM70" s="30"/>
    </row>
    <row r="71" spans="1:39" s="239" customFormat="1" outlineLevel="1" x14ac:dyDescent="0.25">
      <c r="B71" s="239" t="str" cm="1">
        <f t="array" ref="B71:B96">Affaldsfraktioner</f>
        <v>DepoSort</v>
      </c>
      <c r="C71" s="240" t="s">
        <v>254</v>
      </c>
      <c r="D71" s="379">
        <f>IF(FixAffald2021&lt;&gt;0,Affald2021!C9,IF(AND($I5&lt;&gt;0,$G5=0),$M5/12,0))</f>
        <v>3908.64</v>
      </c>
      <c r="E71" s="380">
        <f>IF(FixAffald2021&lt;&gt;0,Affald2021!D9,IF(AND($I5&lt;&gt;0,$G5=0),$M5/12,0))</f>
        <v>973</v>
      </c>
      <c r="F71" s="380">
        <f>IF(FixAffald2021&lt;&gt;0,Affald2021!E9,IF(AND($I5&lt;&gt;0,$G5=0),$M5/12,0))</f>
        <v>1702.59</v>
      </c>
      <c r="G71" s="380">
        <f>IF(FixAffald2021&lt;&gt;0,Affald2021!F9,IF(AND($I5&lt;&gt;0,$G5=0),$M5/12,0))</f>
        <v>1267.99</v>
      </c>
      <c r="H71" s="380">
        <f>IF(FixAffald2021&lt;&gt;0,Affald2021!G9,IF(AND($I5&lt;&gt;0,$G5=0),$M5/12,0))</f>
        <v>105.72</v>
      </c>
      <c r="I71" s="380">
        <f>IF(FixAffald2021&lt;&gt;0,Affald2021!H9,IF(AND($I5&lt;&gt;0,$G5=0),$M5/12,0))</f>
        <v>0</v>
      </c>
      <c r="J71" s="380">
        <f>IF(FixAffald2021&lt;&gt;0,Affald2021!I9,IF(AND($I5&lt;&gt;0,$G5=0),$M5/12,0))</f>
        <v>182.36</v>
      </c>
      <c r="K71" s="380">
        <f>IF(FixAffald2021&lt;&gt;0,Affald2021!J9,IF(AND($I5&lt;&gt;0,$G5=0),$M5/12,0))</f>
        <v>161.74</v>
      </c>
      <c r="L71" s="380">
        <f>IF(FixAffald2021&lt;&gt;0,Affald2021!K9,IF(AND($I5&lt;&gt;0,$G5=0),$M5/12,0))</f>
        <v>1474.88</v>
      </c>
      <c r="M71" s="380">
        <f>IF(FixAffald2021&lt;&gt;0,Affald2021!L9,IF(AND($I5&lt;&gt;0,$G5=0),$M5/12,0))</f>
        <v>1389.91</v>
      </c>
      <c r="N71" s="380">
        <f>IF(FixAffald2021&lt;&gt;0,Affald2021!M9,IF(AND($I5&lt;&gt;0,$G5=0),$M5/12,0))</f>
        <v>187.49</v>
      </c>
      <c r="O71" s="380">
        <f>IF(FixAffald2021&lt;&gt;0,Affald2021!N9,IF(AND($I5&lt;&gt;0,$G5=0),$M5/12,0))</f>
        <v>1560.98</v>
      </c>
      <c r="P71" s="241">
        <f>IF(AND($I5&lt;&gt;0,$G5=0),$M5/12,0)</f>
        <v>1076.2749999999999</v>
      </c>
      <c r="Q71" s="242">
        <f t="shared" ref="Q71:AM82" si="13">IF(AND($I5&lt;&gt;0,$G5=0),$M5/12,0)</f>
        <v>1076.2749999999999</v>
      </c>
      <c r="R71" s="242">
        <f t="shared" si="13"/>
        <v>1076.2749999999999</v>
      </c>
      <c r="S71" s="242">
        <f t="shared" si="13"/>
        <v>1076.2749999999999</v>
      </c>
      <c r="T71" s="242">
        <f t="shared" si="13"/>
        <v>1076.2749999999999</v>
      </c>
      <c r="U71" s="242">
        <f t="shared" si="13"/>
        <v>1076.2749999999999</v>
      </c>
      <c r="V71" s="242">
        <f t="shared" si="13"/>
        <v>1076.2749999999999</v>
      </c>
      <c r="W71" s="242">
        <f t="shared" si="13"/>
        <v>1076.2749999999999</v>
      </c>
      <c r="X71" s="242">
        <f t="shared" si="13"/>
        <v>1076.2749999999999</v>
      </c>
      <c r="Y71" s="242">
        <f t="shared" si="13"/>
        <v>1076.2749999999999</v>
      </c>
      <c r="Z71" s="242">
        <f t="shared" si="13"/>
        <v>1076.2749999999999</v>
      </c>
      <c r="AA71" s="242">
        <f t="shared" si="13"/>
        <v>1076.2749999999999</v>
      </c>
      <c r="AB71" s="241">
        <f t="shared" si="13"/>
        <v>1076.2749999999999</v>
      </c>
      <c r="AC71" s="242">
        <f t="shared" si="13"/>
        <v>1076.2749999999999</v>
      </c>
      <c r="AD71" s="242">
        <f t="shared" si="13"/>
        <v>1076.2749999999999</v>
      </c>
      <c r="AE71" s="242">
        <f t="shared" si="13"/>
        <v>1076.2749999999999</v>
      </c>
      <c r="AF71" s="242">
        <f t="shared" si="13"/>
        <v>1076.2749999999999</v>
      </c>
      <c r="AG71" s="242">
        <f t="shared" si="13"/>
        <v>1076.2749999999999</v>
      </c>
      <c r="AH71" s="242">
        <f t="shared" si="13"/>
        <v>1076.2749999999999</v>
      </c>
      <c r="AI71" s="242">
        <f t="shared" si="13"/>
        <v>1076.2749999999999</v>
      </c>
      <c r="AJ71" s="242">
        <f t="shared" si="13"/>
        <v>1076.2749999999999</v>
      </c>
      <c r="AK71" s="242">
        <f t="shared" si="13"/>
        <v>1076.2749999999999</v>
      </c>
      <c r="AL71" s="242">
        <f t="shared" si="13"/>
        <v>1076.2749999999999</v>
      </c>
      <c r="AM71" s="242">
        <f t="shared" si="13"/>
        <v>1076.2749999999999</v>
      </c>
    </row>
    <row r="72" spans="1:39" s="239" customFormat="1" outlineLevel="1" x14ac:dyDescent="0.25">
      <c r="B72" s="239" t="str">
        <v>DepoSmaat</v>
      </c>
      <c r="C72" s="240" t="s">
        <v>254</v>
      </c>
      <c r="D72" s="379">
        <f>IF(FixAffald2021&lt;&gt;0,Affald2021!C10,IF(AND($I6&lt;&gt;0,$G6=0),$M6/12,0))</f>
        <v>0</v>
      </c>
      <c r="E72" s="380">
        <f>IF(FixAffald2021&lt;&gt;0,Affald2021!D10,IF(AND($I6&lt;&gt;0,$G6=0),$M6/12,0))</f>
        <v>0</v>
      </c>
      <c r="F72" s="380">
        <f>IF(FixAffald2021&lt;&gt;0,Affald2021!E10,IF(AND($I6&lt;&gt;0,$G6=0),$M6/12,0))</f>
        <v>0</v>
      </c>
      <c r="G72" s="380">
        <f>IF(FixAffald2021&lt;&gt;0,Affald2021!F10,IF(AND($I6&lt;&gt;0,$G6=0),$M6/12,0))</f>
        <v>0</v>
      </c>
      <c r="H72" s="380">
        <f>IF(FixAffald2021&lt;&gt;0,Affald2021!G10,IF(AND($I6&lt;&gt;0,$G6=0),$M6/12,0))</f>
        <v>0</v>
      </c>
      <c r="I72" s="380">
        <f>IF(FixAffald2021&lt;&gt;0,Affald2021!H10,IF(AND($I6&lt;&gt;0,$G6=0),$M6/12,0))</f>
        <v>0</v>
      </c>
      <c r="J72" s="380">
        <f>IF(FixAffald2021&lt;&gt;0,Affald2021!I10,IF(AND($I6&lt;&gt;0,$G6=0),$M6/12,0))</f>
        <v>0</v>
      </c>
      <c r="K72" s="380">
        <f>IF(FixAffald2021&lt;&gt;0,Affald2021!J10,IF(AND($I6&lt;&gt;0,$G6=0),$M6/12,0))</f>
        <v>0</v>
      </c>
      <c r="L72" s="380">
        <f>IF(FixAffald2021&lt;&gt;0,Affald2021!K10,IF(AND($I6&lt;&gt;0,$G6=0),$M6/12,0))</f>
        <v>0</v>
      </c>
      <c r="M72" s="380">
        <f>IF(FixAffald2021&lt;&gt;0,Affald2021!L10,IF(AND($I6&lt;&gt;0,$G6=0),$M6/12,0))</f>
        <v>0</v>
      </c>
      <c r="N72" s="380">
        <f>IF(FixAffald2021&lt;&gt;0,Affald2021!M10,IF(AND($I6&lt;&gt;0,$G6=0),$M6/12,0))</f>
        <v>0</v>
      </c>
      <c r="O72" s="380">
        <f>IF(FixAffald2021&lt;&gt;0,Affald2021!N10,IF(AND($I6&lt;&gt;0,$G6=0),$M6/12,0))</f>
        <v>0</v>
      </c>
      <c r="P72" s="241">
        <f t="shared" ref="P72:AE99" si="14">IF(AND($I6&lt;&gt;0,$G6=0),$M6/12,0)</f>
        <v>0</v>
      </c>
      <c r="Q72" s="242">
        <f t="shared" si="14"/>
        <v>0</v>
      </c>
      <c r="R72" s="242">
        <f t="shared" si="14"/>
        <v>0</v>
      </c>
      <c r="S72" s="242">
        <f t="shared" si="14"/>
        <v>0</v>
      </c>
      <c r="T72" s="242">
        <f t="shared" si="14"/>
        <v>0</v>
      </c>
      <c r="U72" s="242">
        <f t="shared" si="14"/>
        <v>0</v>
      </c>
      <c r="V72" s="242">
        <f t="shared" si="14"/>
        <v>0</v>
      </c>
      <c r="W72" s="242">
        <f t="shared" si="14"/>
        <v>0</v>
      </c>
      <c r="X72" s="242">
        <f t="shared" si="14"/>
        <v>0</v>
      </c>
      <c r="Y72" s="242">
        <f t="shared" si="14"/>
        <v>0</v>
      </c>
      <c r="Z72" s="242">
        <f t="shared" si="14"/>
        <v>0</v>
      </c>
      <c r="AA72" s="242">
        <f t="shared" si="14"/>
        <v>0</v>
      </c>
      <c r="AB72" s="241">
        <f t="shared" si="14"/>
        <v>0</v>
      </c>
      <c r="AC72" s="242">
        <f t="shared" si="14"/>
        <v>0</v>
      </c>
      <c r="AD72" s="242">
        <f t="shared" si="14"/>
        <v>0</v>
      </c>
      <c r="AE72" s="242">
        <f t="shared" si="14"/>
        <v>0</v>
      </c>
      <c r="AF72" s="242">
        <f t="shared" si="13"/>
        <v>0</v>
      </c>
      <c r="AG72" s="242">
        <f t="shared" si="13"/>
        <v>0</v>
      </c>
      <c r="AH72" s="242">
        <f t="shared" si="13"/>
        <v>0</v>
      </c>
      <c r="AI72" s="242">
        <f t="shared" si="13"/>
        <v>0</v>
      </c>
      <c r="AJ72" s="242">
        <f t="shared" si="13"/>
        <v>0</v>
      </c>
      <c r="AK72" s="242">
        <f t="shared" si="13"/>
        <v>0</v>
      </c>
      <c r="AL72" s="242">
        <f t="shared" si="13"/>
        <v>0</v>
      </c>
      <c r="AM72" s="242">
        <f t="shared" si="13"/>
        <v>0</v>
      </c>
    </row>
    <row r="73" spans="1:39" s="239" customFormat="1" outlineLevel="1" x14ac:dyDescent="0.25">
      <c r="B73" s="239" t="str">
        <v>DepoNedd</v>
      </c>
      <c r="C73" s="240" t="s">
        <v>254</v>
      </c>
      <c r="D73" s="379">
        <f>IF(FixAffald2021&lt;&gt;0,Affald2021!C11,IF(AND($I7&lt;&gt;0,$G7=0),$M7/12,0))</f>
        <v>0</v>
      </c>
      <c r="E73" s="380">
        <f>IF(FixAffald2021&lt;&gt;0,Affald2021!D11,IF(AND($I7&lt;&gt;0,$G7=0),$M7/12,0))</f>
        <v>0</v>
      </c>
      <c r="F73" s="380">
        <f>IF(FixAffald2021&lt;&gt;0,Affald2021!E11,IF(AND($I7&lt;&gt;0,$G7=0),$M7/12,0))</f>
        <v>0</v>
      </c>
      <c r="G73" s="380">
        <f>IF(FixAffald2021&lt;&gt;0,Affald2021!F11,IF(AND($I7&lt;&gt;0,$G7=0),$M7/12,0))</f>
        <v>0</v>
      </c>
      <c r="H73" s="380">
        <f>IF(FixAffald2021&lt;&gt;0,Affald2021!G11,IF(AND($I7&lt;&gt;0,$G7=0),$M7/12,0))</f>
        <v>0</v>
      </c>
      <c r="I73" s="380">
        <f>IF(FixAffald2021&lt;&gt;0,Affald2021!H11,IF(AND($I7&lt;&gt;0,$G7=0),$M7/12,0))</f>
        <v>0</v>
      </c>
      <c r="J73" s="380">
        <f>IF(FixAffald2021&lt;&gt;0,Affald2021!I11,IF(AND($I7&lt;&gt;0,$G7=0),$M7/12,0))</f>
        <v>0</v>
      </c>
      <c r="K73" s="380">
        <f>IF(FixAffald2021&lt;&gt;0,Affald2021!J11,IF(AND($I7&lt;&gt;0,$G7=0),$M7/12,0))</f>
        <v>0</v>
      </c>
      <c r="L73" s="380">
        <f>IF(FixAffald2021&lt;&gt;0,Affald2021!K11,IF(AND($I7&lt;&gt;0,$G7=0),$M7/12,0))</f>
        <v>0</v>
      </c>
      <c r="M73" s="380">
        <f>IF(FixAffald2021&lt;&gt;0,Affald2021!L11,IF(AND($I7&lt;&gt;0,$G7=0),$M7/12,0))</f>
        <v>0</v>
      </c>
      <c r="N73" s="380">
        <f>IF(FixAffald2021&lt;&gt;0,Affald2021!M11,IF(AND($I7&lt;&gt;0,$G7=0),$M7/12,0))</f>
        <v>0</v>
      </c>
      <c r="O73" s="380">
        <f>IF(FixAffald2021&lt;&gt;0,Affald2021!N11,IF(AND($I7&lt;&gt;0,$G7=0),$M7/12,0))</f>
        <v>0</v>
      </c>
      <c r="P73" s="241">
        <f t="shared" si="14"/>
        <v>0</v>
      </c>
      <c r="Q73" s="242">
        <f t="shared" si="13"/>
        <v>0</v>
      </c>
      <c r="R73" s="242">
        <f t="shared" si="13"/>
        <v>0</v>
      </c>
      <c r="S73" s="242">
        <f t="shared" si="13"/>
        <v>0</v>
      </c>
      <c r="T73" s="242">
        <f t="shared" si="13"/>
        <v>0</v>
      </c>
      <c r="U73" s="242">
        <f t="shared" si="13"/>
        <v>0</v>
      </c>
      <c r="V73" s="242">
        <f t="shared" si="13"/>
        <v>0</v>
      </c>
      <c r="W73" s="242">
        <f t="shared" si="13"/>
        <v>0</v>
      </c>
      <c r="X73" s="242">
        <f t="shared" si="13"/>
        <v>0</v>
      </c>
      <c r="Y73" s="242">
        <f t="shared" si="13"/>
        <v>0</v>
      </c>
      <c r="Z73" s="242">
        <f t="shared" si="13"/>
        <v>0</v>
      </c>
      <c r="AA73" s="242">
        <f t="shared" si="13"/>
        <v>0</v>
      </c>
      <c r="AB73" s="241">
        <f t="shared" si="13"/>
        <v>0</v>
      </c>
      <c r="AC73" s="242">
        <f t="shared" si="13"/>
        <v>0</v>
      </c>
      <c r="AD73" s="242">
        <f t="shared" si="13"/>
        <v>0</v>
      </c>
      <c r="AE73" s="242">
        <f t="shared" si="13"/>
        <v>0</v>
      </c>
      <c r="AF73" s="242">
        <f t="shared" si="13"/>
        <v>0</v>
      </c>
      <c r="AG73" s="242">
        <f t="shared" si="13"/>
        <v>0</v>
      </c>
      <c r="AH73" s="242">
        <f t="shared" si="13"/>
        <v>0</v>
      </c>
      <c r="AI73" s="242">
        <f t="shared" si="13"/>
        <v>0</v>
      </c>
      <c r="AJ73" s="242">
        <f t="shared" si="13"/>
        <v>0</v>
      </c>
      <c r="AK73" s="242">
        <f t="shared" si="13"/>
        <v>0</v>
      </c>
      <c r="AL73" s="242">
        <f t="shared" si="13"/>
        <v>0</v>
      </c>
      <c r="AM73" s="242">
        <f t="shared" si="13"/>
        <v>0</v>
      </c>
    </row>
    <row r="74" spans="1:39" s="239" customFormat="1" outlineLevel="1" x14ac:dyDescent="0.25">
      <c r="B74" s="239" t="str">
        <v>Dagren</v>
      </c>
      <c r="C74" s="240" t="s">
        <v>254</v>
      </c>
      <c r="D74" s="379">
        <f>IF(FixAffald2021&lt;&gt;0,Affald2021!C12,IF(AND($I8&lt;&gt;0,$G8=0),$M8/12,0))</f>
        <v>2356.98</v>
      </c>
      <c r="E74" s="380">
        <f>IF(FixAffald2021&lt;&gt;0,Affald2021!D12,IF(AND($I8&lt;&gt;0,$G8=0),$M8/12,0))</f>
        <v>2129.9</v>
      </c>
      <c r="F74" s="380">
        <f>IF(FixAffald2021&lt;&gt;0,Affald2021!E12,IF(AND($I8&lt;&gt;0,$G8=0),$M8/12,0))</f>
        <v>2515.21</v>
      </c>
      <c r="G74" s="380">
        <f>IF(FixAffald2021&lt;&gt;0,Affald2021!F12,IF(AND($I8&lt;&gt;0,$G8=0),$M8/12,0))</f>
        <v>2421.34</v>
      </c>
      <c r="H74" s="380">
        <f>IF(FixAffald2021&lt;&gt;0,Affald2021!G12,IF(AND($I8&lt;&gt;0,$G8=0),$M8/12,0))</f>
        <v>2323.06</v>
      </c>
      <c r="I74" s="380">
        <f>IF(FixAffald2021&lt;&gt;0,Affald2021!H12,IF(AND($I8&lt;&gt;0,$G8=0),$M8/12,0))</f>
        <v>2443.7399999999998</v>
      </c>
      <c r="J74" s="380">
        <f>IF(FixAffald2021&lt;&gt;0,Affald2021!I12,IF(AND($I8&lt;&gt;0,$G8=0),$M8/12,0))</f>
        <v>2591.08</v>
      </c>
      <c r="K74" s="380">
        <f>IF(FixAffald2021&lt;&gt;0,Affald2021!J12,IF(AND($I8&lt;&gt;0,$G8=0),$M8/12,0))</f>
        <v>2530.84</v>
      </c>
      <c r="L74" s="380">
        <f>IF(FixAffald2021&lt;&gt;0,Affald2021!K12,IF(AND($I8&lt;&gt;0,$G8=0),$M8/12,0))</f>
        <v>2388.4499999999998</v>
      </c>
      <c r="M74" s="380">
        <f>IF(FixAffald2021&lt;&gt;0,Affald2021!L12,IF(AND($I8&lt;&gt;0,$G8=0),$M8/12,0))</f>
        <v>2269.38</v>
      </c>
      <c r="N74" s="380">
        <f>IF(FixAffald2021&lt;&gt;0,Affald2021!M12,IF(AND($I8&lt;&gt;0,$G8=0),$M8/12,0))</f>
        <v>2350.34</v>
      </c>
      <c r="O74" s="380">
        <f>IF(FixAffald2021&lt;&gt;0,Affald2021!N12,IF(AND($I8&lt;&gt;0,$G8=0),$M8/12,0))</f>
        <v>2446.46</v>
      </c>
      <c r="P74" s="241">
        <f t="shared" si="14"/>
        <v>2397.2316666666666</v>
      </c>
      <c r="Q74" s="242">
        <f t="shared" si="13"/>
        <v>2397.2316666666666</v>
      </c>
      <c r="R74" s="242">
        <f t="shared" si="13"/>
        <v>2397.2316666666666</v>
      </c>
      <c r="S74" s="242">
        <f t="shared" si="13"/>
        <v>2397.2316666666666</v>
      </c>
      <c r="T74" s="242">
        <f t="shared" si="13"/>
        <v>2397.2316666666666</v>
      </c>
      <c r="U74" s="242">
        <f t="shared" si="13"/>
        <v>2397.2316666666666</v>
      </c>
      <c r="V74" s="242">
        <f t="shared" si="13"/>
        <v>2397.2316666666666</v>
      </c>
      <c r="W74" s="242">
        <f t="shared" si="13"/>
        <v>2397.2316666666666</v>
      </c>
      <c r="X74" s="242">
        <f t="shared" si="13"/>
        <v>2397.2316666666666</v>
      </c>
      <c r="Y74" s="242">
        <f t="shared" si="13"/>
        <v>2397.2316666666666</v>
      </c>
      <c r="Z74" s="242">
        <f t="shared" si="13"/>
        <v>2397.2316666666666</v>
      </c>
      <c r="AA74" s="242">
        <f t="shared" si="13"/>
        <v>2397.2316666666666</v>
      </c>
      <c r="AB74" s="241">
        <f t="shared" si="13"/>
        <v>2397.2316666666666</v>
      </c>
      <c r="AC74" s="242">
        <f t="shared" si="13"/>
        <v>2397.2316666666666</v>
      </c>
      <c r="AD74" s="242">
        <f t="shared" si="13"/>
        <v>2397.2316666666666</v>
      </c>
      <c r="AE74" s="242">
        <f t="shared" si="13"/>
        <v>2397.2316666666666</v>
      </c>
      <c r="AF74" s="242">
        <f t="shared" si="13"/>
        <v>2397.2316666666666</v>
      </c>
      <c r="AG74" s="242">
        <f t="shared" si="13"/>
        <v>2397.2316666666666</v>
      </c>
      <c r="AH74" s="242">
        <f t="shared" si="13"/>
        <v>2397.2316666666666</v>
      </c>
      <c r="AI74" s="242">
        <f t="shared" si="13"/>
        <v>2397.2316666666666</v>
      </c>
      <c r="AJ74" s="242">
        <f t="shared" si="13"/>
        <v>2397.2316666666666</v>
      </c>
      <c r="AK74" s="242">
        <f t="shared" si="13"/>
        <v>2397.2316666666666</v>
      </c>
      <c r="AL74" s="242">
        <f t="shared" si="13"/>
        <v>2397.2316666666666</v>
      </c>
      <c r="AM74" s="242">
        <f t="shared" si="13"/>
        <v>2397.2316666666666</v>
      </c>
    </row>
    <row r="75" spans="1:39" s="239" customFormat="1" outlineLevel="1" x14ac:dyDescent="0.25">
      <c r="B75" s="239" t="str">
        <v>AndetBrand</v>
      </c>
      <c r="C75" s="240" t="s">
        <v>254</v>
      </c>
      <c r="D75" s="379">
        <f>IF(FixAffald2021&lt;&gt;0,Affald2021!C13,IF(AND($I9&lt;&gt;0,$G9=0),$M9/12,0))</f>
        <v>437.56</v>
      </c>
      <c r="E75" s="380">
        <f>IF(FixAffald2021&lt;&gt;0,Affald2021!D13,IF(AND($I9&lt;&gt;0,$G9=0),$M9/12,0))</f>
        <v>345</v>
      </c>
      <c r="F75" s="380">
        <f>IF(FixAffald2021&lt;&gt;0,Affald2021!E13,IF(AND($I9&lt;&gt;0,$G9=0),$M9/12,0))</f>
        <v>540.71</v>
      </c>
      <c r="G75" s="380">
        <f>IF(FixAffald2021&lt;&gt;0,Affald2021!F13,IF(AND($I9&lt;&gt;0,$G9=0),$M9/12,0))</f>
        <v>440.19</v>
      </c>
      <c r="H75" s="380">
        <f>IF(FixAffald2021&lt;&gt;0,Affald2021!G13,IF(AND($I9&lt;&gt;0,$G9=0),$M9/12,0))</f>
        <v>404.17</v>
      </c>
      <c r="I75" s="380">
        <f>IF(FixAffald2021&lt;&gt;0,Affald2021!H13,IF(AND($I9&lt;&gt;0,$G9=0),$M9/12,0))</f>
        <v>104.08</v>
      </c>
      <c r="J75" s="380">
        <f>IF(FixAffald2021&lt;&gt;0,Affald2021!I13,IF(AND($I9&lt;&gt;0,$G9=0),$M9/12,0))</f>
        <v>311.55</v>
      </c>
      <c r="K75" s="380">
        <f>IF(FixAffald2021&lt;&gt;0,Affald2021!J13,IF(AND($I9&lt;&gt;0,$G9=0),$M9/12,0))</f>
        <v>308.589</v>
      </c>
      <c r="L75" s="380">
        <f>IF(FixAffald2021&lt;&gt;0,Affald2021!K13,IF(AND($I9&lt;&gt;0,$G9=0),$M9/12,0))</f>
        <v>384.76</v>
      </c>
      <c r="M75" s="380">
        <f>IF(FixAffald2021&lt;&gt;0,Affald2021!L13,IF(AND($I9&lt;&gt;0,$G9=0),$M9/12,0))</f>
        <v>338.54</v>
      </c>
      <c r="N75" s="380">
        <f>IF(FixAffald2021&lt;&gt;0,Affald2021!M13,IF(AND($I9&lt;&gt;0,$G9=0),$M9/12,0))</f>
        <v>295.89</v>
      </c>
      <c r="O75" s="380">
        <f>IF(FixAffald2021&lt;&gt;0,Affald2021!N13,IF(AND($I9&lt;&gt;0,$G9=0),$M9/12,0))</f>
        <v>321.37</v>
      </c>
      <c r="P75" s="241">
        <f t="shared" si="14"/>
        <v>352.70075000000003</v>
      </c>
      <c r="Q75" s="242">
        <f t="shared" si="13"/>
        <v>352.70075000000003</v>
      </c>
      <c r="R75" s="242">
        <f t="shared" si="13"/>
        <v>352.70075000000003</v>
      </c>
      <c r="S75" s="242">
        <f t="shared" si="13"/>
        <v>352.70075000000003</v>
      </c>
      <c r="T75" s="242">
        <f t="shared" si="13"/>
        <v>352.70075000000003</v>
      </c>
      <c r="U75" s="242">
        <f t="shared" si="13"/>
        <v>352.70075000000003</v>
      </c>
      <c r="V75" s="242">
        <f t="shared" si="13"/>
        <v>352.70075000000003</v>
      </c>
      <c r="W75" s="242">
        <f t="shared" si="13"/>
        <v>352.70075000000003</v>
      </c>
      <c r="X75" s="242">
        <f t="shared" si="13"/>
        <v>352.70075000000003</v>
      </c>
      <c r="Y75" s="242">
        <f t="shared" si="13"/>
        <v>352.70075000000003</v>
      </c>
      <c r="Z75" s="242">
        <f t="shared" si="13"/>
        <v>352.70075000000003</v>
      </c>
      <c r="AA75" s="242">
        <f t="shared" si="13"/>
        <v>352.70075000000003</v>
      </c>
      <c r="AB75" s="241">
        <f t="shared" si="13"/>
        <v>352.70075000000003</v>
      </c>
      <c r="AC75" s="242">
        <f t="shared" si="13"/>
        <v>352.70075000000003</v>
      </c>
      <c r="AD75" s="242">
        <f t="shared" si="13"/>
        <v>352.70075000000003</v>
      </c>
      <c r="AE75" s="242">
        <f t="shared" si="13"/>
        <v>352.70075000000003</v>
      </c>
      <c r="AF75" s="242">
        <f t="shared" si="13"/>
        <v>352.70075000000003</v>
      </c>
      <c r="AG75" s="242">
        <f t="shared" si="13"/>
        <v>352.70075000000003</v>
      </c>
      <c r="AH75" s="242">
        <f t="shared" si="13"/>
        <v>352.70075000000003</v>
      </c>
      <c r="AI75" s="242">
        <f t="shared" si="13"/>
        <v>352.70075000000003</v>
      </c>
      <c r="AJ75" s="242">
        <f t="shared" si="13"/>
        <v>352.70075000000003</v>
      </c>
      <c r="AK75" s="242">
        <f t="shared" si="13"/>
        <v>352.70075000000003</v>
      </c>
      <c r="AL75" s="242">
        <f t="shared" si="13"/>
        <v>352.70075000000003</v>
      </c>
      <c r="AM75" s="242">
        <f t="shared" si="13"/>
        <v>352.70075000000003</v>
      </c>
    </row>
    <row r="76" spans="1:39" s="239" customFormat="1" outlineLevel="1" x14ac:dyDescent="0.25">
      <c r="B76" s="239" t="str">
        <v>Trae</v>
      </c>
      <c r="C76" s="240" t="s">
        <v>254</v>
      </c>
      <c r="D76" s="379">
        <f>IF(FixAffald2021&lt;&gt;0,Affald2021!C14,IF(AND($I10&lt;&gt;0,$G10=0),$M10/12,0))</f>
        <v>0</v>
      </c>
      <c r="E76" s="380">
        <f>IF(FixAffald2021&lt;&gt;0,Affald2021!D14,IF(AND($I10&lt;&gt;0,$G10=0),$M10/12,0))</f>
        <v>0</v>
      </c>
      <c r="F76" s="380">
        <f>IF(FixAffald2021&lt;&gt;0,Affald2021!E14,IF(AND($I10&lt;&gt;0,$G10=0),$M10/12,0))</f>
        <v>0</v>
      </c>
      <c r="G76" s="380">
        <f>IF(FixAffald2021&lt;&gt;0,Affald2021!F14,IF(AND($I10&lt;&gt;0,$G10=0),$M10/12,0))</f>
        <v>33.35</v>
      </c>
      <c r="H76" s="380">
        <f>IF(FixAffald2021&lt;&gt;0,Affald2021!G14,IF(AND($I10&lt;&gt;0,$G10=0),$M10/12,0))</f>
        <v>0</v>
      </c>
      <c r="I76" s="380">
        <f>IF(FixAffald2021&lt;&gt;0,Affald2021!H14,IF(AND($I10&lt;&gt;0,$G10=0),$M10/12,0))</f>
        <v>0</v>
      </c>
      <c r="J76" s="380">
        <f>IF(FixAffald2021&lt;&gt;0,Affald2021!I14,IF(AND($I10&lt;&gt;0,$G10=0),$M10/12,0))</f>
        <v>0</v>
      </c>
      <c r="K76" s="380">
        <f>IF(FixAffald2021&lt;&gt;0,Affald2021!J14,IF(AND($I10&lt;&gt;0,$G10=0),$M10/12,0))</f>
        <v>0</v>
      </c>
      <c r="L76" s="380">
        <f>IF(FixAffald2021&lt;&gt;0,Affald2021!K14,IF(AND($I10&lt;&gt;0,$G10=0),$M10/12,0))</f>
        <v>0</v>
      </c>
      <c r="M76" s="380">
        <f>IF(FixAffald2021&lt;&gt;0,Affald2021!L14,IF(AND($I10&lt;&gt;0,$G10=0),$M10/12,0))</f>
        <v>0</v>
      </c>
      <c r="N76" s="380">
        <f>IF(FixAffald2021&lt;&gt;0,Affald2021!M14,IF(AND($I10&lt;&gt;0,$G10=0),$M10/12,0))</f>
        <v>0</v>
      </c>
      <c r="O76" s="380">
        <f>IF(FixAffald2021&lt;&gt;0,Affald2021!N14,IF(AND($I10&lt;&gt;0,$G10=0),$M10/12,0))</f>
        <v>0</v>
      </c>
      <c r="P76" s="241">
        <f t="shared" si="14"/>
        <v>2.7791666666666668</v>
      </c>
      <c r="Q76" s="242">
        <f t="shared" si="13"/>
        <v>2.7791666666666668</v>
      </c>
      <c r="R76" s="242">
        <f t="shared" si="13"/>
        <v>2.7791666666666668</v>
      </c>
      <c r="S76" s="242">
        <f t="shared" si="13"/>
        <v>2.7791666666666668</v>
      </c>
      <c r="T76" s="242">
        <f t="shared" si="13"/>
        <v>2.7791666666666668</v>
      </c>
      <c r="U76" s="242">
        <f t="shared" si="13"/>
        <v>2.7791666666666668</v>
      </c>
      <c r="V76" s="242">
        <f t="shared" si="13"/>
        <v>2.7791666666666668</v>
      </c>
      <c r="W76" s="242">
        <f t="shared" si="13"/>
        <v>2.7791666666666668</v>
      </c>
      <c r="X76" s="242">
        <f t="shared" si="13"/>
        <v>2.7791666666666668</v>
      </c>
      <c r="Y76" s="242">
        <f t="shared" si="13"/>
        <v>2.7791666666666668</v>
      </c>
      <c r="Z76" s="242">
        <f t="shared" si="13"/>
        <v>2.7791666666666668</v>
      </c>
      <c r="AA76" s="242">
        <f t="shared" si="13"/>
        <v>2.7791666666666668</v>
      </c>
      <c r="AB76" s="241">
        <f t="shared" si="13"/>
        <v>2.7791666666666668</v>
      </c>
      <c r="AC76" s="242">
        <f t="shared" si="13"/>
        <v>2.7791666666666668</v>
      </c>
      <c r="AD76" s="242">
        <f t="shared" si="13"/>
        <v>2.7791666666666668</v>
      </c>
      <c r="AE76" s="242">
        <f t="shared" si="13"/>
        <v>2.7791666666666668</v>
      </c>
      <c r="AF76" s="242">
        <f t="shared" si="13"/>
        <v>2.7791666666666668</v>
      </c>
      <c r="AG76" s="242">
        <f t="shared" si="13"/>
        <v>2.7791666666666668</v>
      </c>
      <c r="AH76" s="242">
        <f t="shared" si="13"/>
        <v>2.7791666666666668</v>
      </c>
      <c r="AI76" s="242">
        <f t="shared" si="13"/>
        <v>2.7791666666666668</v>
      </c>
      <c r="AJ76" s="242">
        <f t="shared" si="13"/>
        <v>2.7791666666666668</v>
      </c>
      <c r="AK76" s="242">
        <f t="shared" si="13"/>
        <v>2.7791666666666668</v>
      </c>
      <c r="AL76" s="242">
        <f t="shared" si="13"/>
        <v>2.7791666666666668</v>
      </c>
      <c r="AM76" s="242">
        <f t="shared" si="13"/>
        <v>2.7791666666666668</v>
      </c>
    </row>
    <row r="77" spans="1:39" s="239" customFormat="1" outlineLevel="1" x14ac:dyDescent="0.25">
      <c r="B77" s="239" t="str">
        <v>DagrenRast</v>
      </c>
      <c r="C77" s="240" t="s">
        <v>254</v>
      </c>
      <c r="D77" s="379">
        <f>IF(FixAffald2021&lt;&gt;0,Affald2021!C15,IF(AND($I11&lt;&gt;0,$G11=0),$M11/12,0))</f>
        <v>291.66000000000003</v>
      </c>
      <c r="E77" s="380">
        <f>IF(FixAffald2021&lt;&gt;0,Affald2021!D15,IF(AND($I11&lt;&gt;0,$G11=0),$M11/12,0))</f>
        <v>260.87</v>
      </c>
      <c r="F77" s="380">
        <f>IF(FixAffald2021&lt;&gt;0,Affald2021!E15,IF(AND($I11&lt;&gt;0,$G11=0),$M11/12,0))</f>
        <v>347.07</v>
      </c>
      <c r="G77" s="380">
        <f>IF(FixAffald2021&lt;&gt;0,Affald2021!F15,IF(AND($I11&lt;&gt;0,$G11=0),$M11/12,0))</f>
        <v>332.39</v>
      </c>
      <c r="H77" s="380">
        <f>IF(FixAffald2021&lt;&gt;0,Affald2021!G15,IF(AND($I11&lt;&gt;0,$G11=0),$M11/12,0))</f>
        <v>330.62</v>
      </c>
      <c r="I77" s="380">
        <f>IF(FixAffald2021&lt;&gt;0,Affald2021!H15,IF(AND($I11&lt;&gt;0,$G11=0),$M11/12,0))</f>
        <v>417.61</v>
      </c>
      <c r="J77" s="380">
        <f>IF(FixAffald2021&lt;&gt;0,Affald2021!I15,IF(AND($I11&lt;&gt;0,$G11=0),$M11/12,0))</f>
        <v>481.77</v>
      </c>
      <c r="K77" s="380">
        <f>IF(FixAffald2021&lt;&gt;0,Affald2021!J15,IF(AND($I11&lt;&gt;0,$G11=0),$M11/12,0))</f>
        <v>404.79</v>
      </c>
      <c r="L77" s="380">
        <f>IF(FixAffald2021&lt;&gt;0,Affald2021!K15,IF(AND($I11&lt;&gt;0,$G11=0),$M11/12,0))</f>
        <v>419.89</v>
      </c>
      <c r="M77" s="380">
        <f>IF(FixAffald2021&lt;&gt;0,Affald2021!L15,IF(AND($I11&lt;&gt;0,$G11=0),$M11/12,0))</f>
        <v>377.54</v>
      </c>
      <c r="N77" s="380">
        <f>IF(FixAffald2021&lt;&gt;0,Affald2021!M15,IF(AND($I11&lt;&gt;0,$G11=0),$M11/12,0))</f>
        <v>311.19</v>
      </c>
      <c r="O77" s="380">
        <f>IF(FixAffald2021&lt;&gt;0,Affald2021!N15,IF(AND($I11&lt;&gt;0,$G11=0),$M11/12,0))</f>
        <v>314.38</v>
      </c>
      <c r="P77" s="241">
        <f t="shared" si="14"/>
        <v>357.48166666666663</v>
      </c>
      <c r="Q77" s="242">
        <f t="shared" si="13"/>
        <v>357.48166666666663</v>
      </c>
      <c r="R77" s="242">
        <f t="shared" si="13"/>
        <v>357.48166666666663</v>
      </c>
      <c r="S77" s="242">
        <f t="shared" si="13"/>
        <v>357.48166666666663</v>
      </c>
      <c r="T77" s="242">
        <f t="shared" si="13"/>
        <v>357.48166666666663</v>
      </c>
      <c r="U77" s="242">
        <f t="shared" si="13"/>
        <v>357.48166666666663</v>
      </c>
      <c r="V77" s="242">
        <f t="shared" si="13"/>
        <v>357.48166666666663</v>
      </c>
      <c r="W77" s="242">
        <f t="shared" si="13"/>
        <v>357.48166666666663</v>
      </c>
      <c r="X77" s="242">
        <f t="shared" si="13"/>
        <v>357.48166666666663</v>
      </c>
      <c r="Y77" s="242">
        <f t="shared" si="13"/>
        <v>357.48166666666663</v>
      </c>
      <c r="Z77" s="242">
        <f t="shared" si="13"/>
        <v>357.48166666666663</v>
      </c>
      <c r="AA77" s="242">
        <f t="shared" si="13"/>
        <v>357.48166666666663</v>
      </c>
      <c r="AB77" s="241">
        <f t="shared" si="13"/>
        <v>357.48166666666663</v>
      </c>
      <c r="AC77" s="242">
        <f t="shared" si="13"/>
        <v>357.48166666666663</v>
      </c>
      <c r="AD77" s="242">
        <f t="shared" si="13"/>
        <v>357.48166666666663</v>
      </c>
      <c r="AE77" s="242">
        <f t="shared" si="13"/>
        <v>357.48166666666663</v>
      </c>
      <c r="AF77" s="242">
        <f t="shared" si="13"/>
        <v>357.48166666666663</v>
      </c>
      <c r="AG77" s="242">
        <f t="shared" si="13"/>
        <v>357.48166666666663</v>
      </c>
      <c r="AH77" s="242">
        <f t="shared" si="13"/>
        <v>357.48166666666663</v>
      </c>
      <c r="AI77" s="242">
        <f t="shared" si="13"/>
        <v>357.48166666666663</v>
      </c>
      <c r="AJ77" s="242">
        <f t="shared" si="13"/>
        <v>357.48166666666663</v>
      </c>
      <c r="AK77" s="242">
        <f t="shared" si="13"/>
        <v>357.48166666666663</v>
      </c>
      <c r="AL77" s="242">
        <f t="shared" si="13"/>
        <v>357.48166666666663</v>
      </c>
      <c r="AM77" s="242">
        <f t="shared" si="13"/>
        <v>357.48166666666663</v>
      </c>
    </row>
    <row r="78" spans="1:39" s="239" customFormat="1" outlineLevel="1" x14ac:dyDescent="0.25">
      <c r="B78" s="239" t="str">
        <v>DagrenInst</v>
      </c>
      <c r="C78" s="240" t="s">
        <v>254</v>
      </c>
      <c r="D78" s="379">
        <f>IF(FixAffald2021&lt;&gt;0,Affald2021!C16,IF(AND($I12&lt;&gt;0,$G12=0),$M12/12,0))</f>
        <v>6.15</v>
      </c>
      <c r="E78" s="380">
        <f>IF(FixAffald2021&lt;&gt;0,Affald2021!D16,IF(AND($I12&lt;&gt;0,$G12=0),$M12/12,0))</f>
        <v>4.05</v>
      </c>
      <c r="F78" s="380">
        <f>IF(FixAffald2021&lt;&gt;0,Affald2021!E16,IF(AND($I12&lt;&gt;0,$G12=0),$M12/12,0))</f>
        <v>6.72</v>
      </c>
      <c r="G78" s="380">
        <f>IF(FixAffald2021&lt;&gt;0,Affald2021!F16,IF(AND($I12&lt;&gt;0,$G12=0),$M12/12,0))</f>
        <v>18.61</v>
      </c>
      <c r="H78" s="380">
        <f>IF(FixAffald2021&lt;&gt;0,Affald2021!G16,IF(AND($I12&lt;&gt;0,$G12=0),$M12/12,0))</f>
        <v>9.65</v>
      </c>
      <c r="I78" s="380">
        <f>IF(FixAffald2021&lt;&gt;0,Affald2021!H16,IF(AND($I12&lt;&gt;0,$G12=0),$M12/12,0))</f>
        <v>6.24</v>
      </c>
      <c r="J78" s="380">
        <f>IF(FixAffald2021&lt;&gt;0,Affald2021!I16,IF(AND($I12&lt;&gt;0,$G12=0),$M12/12,0))</f>
        <v>13.02</v>
      </c>
      <c r="K78" s="380">
        <f>IF(FixAffald2021&lt;&gt;0,Affald2021!J16,IF(AND($I12&lt;&gt;0,$G12=0),$M12/12,0))</f>
        <v>3.41</v>
      </c>
      <c r="L78" s="380">
        <f>IF(FixAffald2021&lt;&gt;0,Affald2021!K16,IF(AND($I12&lt;&gt;0,$G12=0),$M12/12,0))</f>
        <v>14.3</v>
      </c>
      <c r="M78" s="380">
        <f>IF(FixAffald2021&lt;&gt;0,Affald2021!L16,IF(AND($I12&lt;&gt;0,$G12=0),$M12/12,0))</f>
        <v>12.24</v>
      </c>
      <c r="N78" s="380">
        <f>IF(FixAffald2021&lt;&gt;0,Affald2021!M16,IF(AND($I12&lt;&gt;0,$G12=0),$M12/12,0))</f>
        <v>4.9400000000000004</v>
      </c>
      <c r="O78" s="380">
        <f>IF(FixAffald2021&lt;&gt;0,Affald2021!N16,IF(AND($I12&lt;&gt;0,$G12=0),$M12/12,0))</f>
        <v>7.57</v>
      </c>
      <c r="P78" s="241">
        <f t="shared" si="14"/>
        <v>8.9083333333333314</v>
      </c>
      <c r="Q78" s="242">
        <f t="shared" si="13"/>
        <v>8.9083333333333314</v>
      </c>
      <c r="R78" s="242">
        <f t="shared" si="13"/>
        <v>8.9083333333333314</v>
      </c>
      <c r="S78" s="242">
        <f t="shared" si="13"/>
        <v>8.9083333333333314</v>
      </c>
      <c r="T78" s="242">
        <f t="shared" si="13"/>
        <v>8.9083333333333314</v>
      </c>
      <c r="U78" s="242">
        <f t="shared" si="13"/>
        <v>8.9083333333333314</v>
      </c>
      <c r="V78" s="242">
        <f t="shared" si="13"/>
        <v>8.9083333333333314</v>
      </c>
      <c r="W78" s="242">
        <f t="shared" si="13"/>
        <v>8.9083333333333314</v>
      </c>
      <c r="X78" s="242">
        <f t="shared" si="13"/>
        <v>8.9083333333333314</v>
      </c>
      <c r="Y78" s="242">
        <f t="shared" si="13"/>
        <v>8.9083333333333314</v>
      </c>
      <c r="Z78" s="242">
        <f t="shared" si="13"/>
        <v>8.9083333333333314</v>
      </c>
      <c r="AA78" s="242">
        <f t="shared" si="13"/>
        <v>8.9083333333333314</v>
      </c>
      <c r="AB78" s="241">
        <f t="shared" si="13"/>
        <v>8.9083333333333314</v>
      </c>
      <c r="AC78" s="242">
        <f t="shared" si="13"/>
        <v>8.9083333333333314</v>
      </c>
      <c r="AD78" s="242">
        <f t="shared" si="13"/>
        <v>8.9083333333333314</v>
      </c>
      <c r="AE78" s="242">
        <f t="shared" si="13"/>
        <v>8.9083333333333314</v>
      </c>
      <c r="AF78" s="242">
        <f t="shared" si="13"/>
        <v>8.9083333333333314</v>
      </c>
      <c r="AG78" s="242">
        <f t="shared" si="13"/>
        <v>8.9083333333333314</v>
      </c>
      <c r="AH78" s="242">
        <f t="shared" si="13"/>
        <v>8.9083333333333314</v>
      </c>
      <c r="AI78" s="242">
        <f t="shared" si="13"/>
        <v>8.9083333333333314</v>
      </c>
      <c r="AJ78" s="242">
        <f t="shared" si="13"/>
        <v>8.9083333333333314</v>
      </c>
      <c r="AK78" s="242">
        <f t="shared" si="13"/>
        <v>8.9083333333333314</v>
      </c>
      <c r="AL78" s="242">
        <f t="shared" si="13"/>
        <v>8.9083333333333314</v>
      </c>
      <c r="AM78" s="242">
        <f t="shared" si="13"/>
        <v>8.9083333333333314</v>
      </c>
    </row>
    <row r="79" spans="1:39" s="239" customFormat="1" outlineLevel="1" x14ac:dyDescent="0.25">
      <c r="B79" s="239" t="str">
        <v>DagrenHandel</v>
      </c>
      <c r="C79" s="240" t="s">
        <v>254</v>
      </c>
      <c r="D79" s="379">
        <f>IF(FixAffald2021&lt;&gt;0,Affald2021!C17,IF(AND($I13&lt;&gt;0,$G13=0),$M13/12,0))</f>
        <v>257</v>
      </c>
      <c r="E79" s="380">
        <f>IF(FixAffald2021&lt;&gt;0,Affald2021!D17,IF(AND($I13&lt;&gt;0,$G13=0),$M13/12,0))</f>
        <v>257.76</v>
      </c>
      <c r="F79" s="380">
        <f>IF(FixAffald2021&lt;&gt;0,Affald2021!E17,IF(AND($I13&lt;&gt;0,$G13=0),$M13/12,0))</f>
        <v>307.94</v>
      </c>
      <c r="G79" s="380">
        <f>IF(FixAffald2021&lt;&gt;0,Affald2021!F17,IF(AND($I13&lt;&gt;0,$G13=0),$M13/12,0))</f>
        <v>309.31</v>
      </c>
      <c r="H79" s="380">
        <f>IF(FixAffald2021&lt;&gt;0,Affald2021!G17,IF(AND($I13&lt;&gt;0,$G13=0),$M13/12,0))</f>
        <v>337.34</v>
      </c>
      <c r="I79" s="380">
        <f>IF(FixAffald2021&lt;&gt;0,Affald2021!H17,IF(AND($I13&lt;&gt;0,$G13=0),$M13/12,0))</f>
        <v>441.4</v>
      </c>
      <c r="J79" s="380">
        <f>IF(FixAffald2021&lt;&gt;0,Affald2021!I17,IF(AND($I13&lt;&gt;0,$G13=0),$M13/12,0))</f>
        <v>494.33</v>
      </c>
      <c r="K79" s="380">
        <f>IF(FixAffald2021&lt;&gt;0,Affald2021!J17,IF(AND($I13&lt;&gt;0,$G13=0),$M13/12,0))</f>
        <v>298.83999999999997</v>
      </c>
      <c r="L79" s="380">
        <f>IF(FixAffald2021&lt;&gt;0,Affald2021!K17,IF(AND($I13&lt;&gt;0,$G13=0),$M13/12,0))</f>
        <v>458.61</v>
      </c>
      <c r="M79" s="380">
        <f>IF(FixAffald2021&lt;&gt;0,Affald2021!L17,IF(AND($I13&lt;&gt;0,$G13=0),$M13/12,0))</f>
        <v>310.66000000000003</v>
      </c>
      <c r="N79" s="380">
        <f>IF(FixAffald2021&lt;&gt;0,Affald2021!M17,IF(AND($I13&lt;&gt;0,$G13=0),$M13/12,0))</f>
        <v>449.82</v>
      </c>
      <c r="O79" s="380">
        <f>IF(FixAffald2021&lt;&gt;0,Affald2021!N17,IF(AND($I13&lt;&gt;0,$G13=0),$M13/12,0))</f>
        <v>343.27</v>
      </c>
      <c r="P79" s="241">
        <f t="shared" si="14"/>
        <v>355.50083333333333</v>
      </c>
      <c r="Q79" s="242">
        <f t="shared" si="13"/>
        <v>355.50083333333333</v>
      </c>
      <c r="R79" s="242">
        <f t="shared" si="13"/>
        <v>355.50083333333333</v>
      </c>
      <c r="S79" s="242">
        <f t="shared" si="13"/>
        <v>355.50083333333333</v>
      </c>
      <c r="T79" s="242">
        <f t="shared" si="13"/>
        <v>355.50083333333333</v>
      </c>
      <c r="U79" s="242">
        <f t="shared" si="13"/>
        <v>355.50083333333333</v>
      </c>
      <c r="V79" s="242">
        <f t="shared" si="13"/>
        <v>355.50083333333333</v>
      </c>
      <c r="W79" s="242">
        <f t="shared" si="13"/>
        <v>355.50083333333333</v>
      </c>
      <c r="X79" s="242">
        <f t="shared" si="13"/>
        <v>355.50083333333333</v>
      </c>
      <c r="Y79" s="242">
        <f t="shared" si="13"/>
        <v>355.50083333333333</v>
      </c>
      <c r="Z79" s="242">
        <f t="shared" si="13"/>
        <v>355.50083333333333</v>
      </c>
      <c r="AA79" s="242">
        <f t="shared" si="13"/>
        <v>355.50083333333333</v>
      </c>
      <c r="AB79" s="241">
        <f t="shared" si="13"/>
        <v>355.50083333333333</v>
      </c>
      <c r="AC79" s="242">
        <f t="shared" si="13"/>
        <v>355.50083333333333</v>
      </c>
      <c r="AD79" s="242">
        <f t="shared" si="13"/>
        <v>355.50083333333333</v>
      </c>
      <c r="AE79" s="242">
        <f t="shared" si="13"/>
        <v>355.50083333333333</v>
      </c>
      <c r="AF79" s="242">
        <f t="shared" si="13"/>
        <v>355.50083333333333</v>
      </c>
      <c r="AG79" s="242">
        <f t="shared" si="13"/>
        <v>355.50083333333333</v>
      </c>
      <c r="AH79" s="242">
        <f t="shared" si="13"/>
        <v>355.50083333333333</v>
      </c>
      <c r="AI79" s="242">
        <f t="shared" si="13"/>
        <v>355.50083333333333</v>
      </c>
      <c r="AJ79" s="242">
        <f t="shared" si="13"/>
        <v>355.50083333333333</v>
      </c>
      <c r="AK79" s="242">
        <f t="shared" si="13"/>
        <v>355.50083333333333</v>
      </c>
      <c r="AL79" s="242">
        <f t="shared" si="13"/>
        <v>355.50083333333333</v>
      </c>
      <c r="AM79" s="242">
        <f t="shared" si="13"/>
        <v>355.50083333333333</v>
      </c>
    </row>
    <row r="80" spans="1:39" s="239" customFormat="1" outlineLevel="1" x14ac:dyDescent="0.25">
      <c r="B80" s="239" t="str">
        <v>DagrenRestau</v>
      </c>
      <c r="C80" s="240" t="s">
        <v>254</v>
      </c>
      <c r="D80" s="379">
        <f>IF(FixAffald2021&lt;&gt;0,Affald2021!C18,IF(AND($I14&lt;&gt;0,$G14=0),$M14/12,0))</f>
        <v>22.8</v>
      </c>
      <c r="E80" s="380">
        <f>IF(FixAffald2021&lt;&gt;0,Affald2021!D18,IF(AND($I14&lt;&gt;0,$G14=0),$M14/12,0))</f>
        <v>23.96</v>
      </c>
      <c r="F80" s="380">
        <f>IF(FixAffald2021&lt;&gt;0,Affald2021!E18,IF(AND($I14&lt;&gt;0,$G14=0),$M14/12,0))</f>
        <v>21.49</v>
      </c>
      <c r="G80" s="380">
        <f>IF(FixAffald2021&lt;&gt;0,Affald2021!F18,IF(AND($I14&lt;&gt;0,$G14=0),$M14/12,0))</f>
        <v>22.12</v>
      </c>
      <c r="H80" s="380">
        <f>IF(FixAffald2021&lt;&gt;0,Affald2021!G18,IF(AND($I14&lt;&gt;0,$G14=0),$M14/12,0))</f>
        <v>24.73</v>
      </c>
      <c r="I80" s="380">
        <f>IF(FixAffald2021&lt;&gt;0,Affald2021!H18,IF(AND($I14&lt;&gt;0,$G14=0),$M14/12,0))</f>
        <v>27.84</v>
      </c>
      <c r="J80" s="380">
        <f>IF(FixAffald2021&lt;&gt;0,Affald2021!I18,IF(AND($I14&lt;&gt;0,$G14=0),$M14/12,0))</f>
        <v>57.59</v>
      </c>
      <c r="K80" s="380">
        <f>IF(FixAffald2021&lt;&gt;0,Affald2021!J18,IF(AND($I14&lt;&gt;0,$G14=0),$M14/12,0))</f>
        <v>49.56</v>
      </c>
      <c r="L80" s="380">
        <f>IF(FixAffald2021&lt;&gt;0,Affald2021!K18,IF(AND($I14&lt;&gt;0,$G14=0),$M14/12,0))</f>
        <v>33.479999999999997</v>
      </c>
      <c r="M80" s="380">
        <f>IF(FixAffald2021&lt;&gt;0,Affald2021!L18,IF(AND($I14&lt;&gt;0,$G14=0),$M14/12,0))</f>
        <v>43.96</v>
      </c>
      <c r="N80" s="380">
        <f>IF(FixAffald2021&lt;&gt;0,Affald2021!M18,IF(AND($I14&lt;&gt;0,$G14=0),$M14/12,0))</f>
        <v>39.01</v>
      </c>
      <c r="O80" s="380">
        <f>IF(FixAffald2021&lt;&gt;0,Affald2021!N18,IF(AND($I14&lt;&gt;0,$G14=0),$M14/12,0))</f>
        <v>31.92</v>
      </c>
      <c r="P80" s="241">
        <f t="shared" si="14"/>
        <v>33.204999999999998</v>
      </c>
      <c r="Q80" s="242">
        <f t="shared" si="13"/>
        <v>33.204999999999998</v>
      </c>
      <c r="R80" s="242">
        <f t="shared" si="13"/>
        <v>33.204999999999998</v>
      </c>
      <c r="S80" s="242">
        <f t="shared" si="13"/>
        <v>33.204999999999998</v>
      </c>
      <c r="T80" s="242">
        <f t="shared" si="13"/>
        <v>33.204999999999998</v>
      </c>
      <c r="U80" s="242">
        <f t="shared" si="13"/>
        <v>33.204999999999998</v>
      </c>
      <c r="V80" s="242">
        <f t="shared" si="13"/>
        <v>33.204999999999998</v>
      </c>
      <c r="W80" s="242">
        <f t="shared" si="13"/>
        <v>33.204999999999998</v>
      </c>
      <c r="X80" s="242">
        <f t="shared" si="13"/>
        <v>33.204999999999998</v>
      </c>
      <c r="Y80" s="242">
        <f t="shared" si="13"/>
        <v>33.204999999999998</v>
      </c>
      <c r="Z80" s="242">
        <f t="shared" si="13"/>
        <v>33.204999999999998</v>
      </c>
      <c r="AA80" s="242">
        <f t="shared" si="13"/>
        <v>33.204999999999998</v>
      </c>
      <c r="AB80" s="241">
        <f t="shared" si="13"/>
        <v>33.204999999999998</v>
      </c>
      <c r="AC80" s="242">
        <f t="shared" si="13"/>
        <v>33.204999999999998</v>
      </c>
      <c r="AD80" s="242">
        <f t="shared" si="13"/>
        <v>33.204999999999998</v>
      </c>
      <c r="AE80" s="242">
        <f t="shared" si="13"/>
        <v>33.204999999999998</v>
      </c>
      <c r="AF80" s="242">
        <f t="shared" si="13"/>
        <v>33.204999999999998</v>
      </c>
      <c r="AG80" s="242">
        <f t="shared" si="13"/>
        <v>33.204999999999998</v>
      </c>
      <c r="AH80" s="242">
        <f t="shared" si="13"/>
        <v>33.204999999999998</v>
      </c>
      <c r="AI80" s="242">
        <f t="shared" si="13"/>
        <v>33.204999999999998</v>
      </c>
      <c r="AJ80" s="242">
        <f t="shared" si="13"/>
        <v>33.204999999999998</v>
      </c>
      <c r="AK80" s="242">
        <f t="shared" si="13"/>
        <v>33.204999999999998</v>
      </c>
      <c r="AL80" s="242">
        <f t="shared" si="13"/>
        <v>33.204999999999998</v>
      </c>
      <c r="AM80" s="242">
        <f t="shared" si="13"/>
        <v>33.204999999999998</v>
      </c>
    </row>
    <row r="81" spans="2:39" s="239" customFormat="1" outlineLevel="1" x14ac:dyDescent="0.25">
      <c r="B81" s="239" t="str">
        <v>Erhverv</v>
      </c>
      <c r="C81" s="240" t="s">
        <v>254</v>
      </c>
      <c r="D81" s="379">
        <f>IF(FixAffald2021&lt;&gt;0,Affald2021!C19,IF(AND($I15&lt;&gt;0,$G15=0),$M15/12,0))</f>
        <v>1016</v>
      </c>
      <c r="E81" s="380">
        <f>IF(FixAffald2021&lt;&gt;0,Affald2021!D19,IF(AND($I15&lt;&gt;0,$G15=0),$M15/12,0))</f>
        <v>1240.74</v>
      </c>
      <c r="F81" s="380">
        <f>IF(FixAffald2021&lt;&gt;0,Affald2021!E19,IF(AND($I15&lt;&gt;0,$G15=0),$M15/12,0))</f>
        <v>783.2</v>
      </c>
      <c r="G81" s="380">
        <f>IF(FixAffald2021&lt;&gt;0,Affald2021!F19,IF(AND($I15&lt;&gt;0,$G15=0),$M15/12,0))</f>
        <v>577.03</v>
      </c>
      <c r="H81" s="380">
        <f>IF(FixAffald2021&lt;&gt;0,Affald2021!G19,IF(AND($I15&lt;&gt;0,$G15=0),$M15/12,0))</f>
        <v>314.81</v>
      </c>
      <c r="I81" s="380">
        <f>IF(FixAffald2021&lt;&gt;0,Affald2021!H19,IF(AND($I15&lt;&gt;0,$G15=0),$M15/12,0))</f>
        <v>84.14</v>
      </c>
      <c r="J81" s="380">
        <f>IF(FixAffald2021&lt;&gt;0,Affald2021!I19,IF(AND($I15&lt;&gt;0,$G15=0),$M15/12,0))</f>
        <v>329.48</v>
      </c>
      <c r="K81" s="380">
        <f>IF(FixAffald2021&lt;&gt;0,Affald2021!J19,IF(AND($I15&lt;&gt;0,$G15=0),$M15/12,0))</f>
        <v>582.48</v>
      </c>
      <c r="L81" s="380">
        <f>IF(FixAffald2021&lt;&gt;0,Affald2021!K19,IF(AND($I15&lt;&gt;0,$G15=0),$M15/12,0))</f>
        <v>237.45</v>
      </c>
      <c r="M81" s="380">
        <f>IF(FixAffald2021&lt;&gt;0,Affald2021!L19,IF(AND($I15&lt;&gt;0,$G15=0),$M15/12,0))</f>
        <v>406.18</v>
      </c>
      <c r="N81" s="380">
        <f>IF(FixAffald2021&lt;&gt;0,Affald2021!M19,IF(AND($I15&lt;&gt;0,$G15=0),$M15/12,0))</f>
        <v>337.86</v>
      </c>
      <c r="O81" s="380">
        <f>IF(FixAffald2021&lt;&gt;0,Affald2021!N19,IF(AND($I15&lt;&gt;0,$G15=0),$M15/12,0))</f>
        <v>232.3</v>
      </c>
      <c r="P81" s="241">
        <f t="shared" si="14"/>
        <v>511.80583333333328</v>
      </c>
      <c r="Q81" s="242">
        <f t="shared" si="13"/>
        <v>511.80583333333328</v>
      </c>
      <c r="R81" s="242">
        <f t="shared" si="13"/>
        <v>511.80583333333328</v>
      </c>
      <c r="S81" s="242">
        <f t="shared" si="13"/>
        <v>511.80583333333328</v>
      </c>
      <c r="T81" s="242">
        <f t="shared" si="13"/>
        <v>511.80583333333328</v>
      </c>
      <c r="U81" s="242">
        <f t="shared" si="13"/>
        <v>511.80583333333328</v>
      </c>
      <c r="V81" s="242">
        <f t="shared" si="13"/>
        <v>511.80583333333328</v>
      </c>
      <c r="W81" s="242">
        <f t="shared" si="13"/>
        <v>511.80583333333328</v>
      </c>
      <c r="X81" s="242">
        <f t="shared" si="13"/>
        <v>511.80583333333328</v>
      </c>
      <c r="Y81" s="242">
        <f t="shared" si="13"/>
        <v>511.80583333333328</v>
      </c>
      <c r="Z81" s="242">
        <f t="shared" si="13"/>
        <v>511.80583333333328</v>
      </c>
      <c r="AA81" s="242">
        <f t="shared" si="13"/>
        <v>511.80583333333328</v>
      </c>
      <c r="AB81" s="241">
        <f t="shared" si="13"/>
        <v>511.80583333333328</v>
      </c>
      <c r="AC81" s="242">
        <f t="shared" si="13"/>
        <v>511.80583333333328</v>
      </c>
      <c r="AD81" s="242">
        <f t="shared" si="13"/>
        <v>511.80583333333328</v>
      </c>
      <c r="AE81" s="242">
        <f t="shared" si="13"/>
        <v>511.80583333333328</v>
      </c>
      <c r="AF81" s="242">
        <f t="shared" si="13"/>
        <v>511.80583333333328</v>
      </c>
      <c r="AG81" s="242">
        <f t="shared" si="13"/>
        <v>511.80583333333328</v>
      </c>
      <c r="AH81" s="242">
        <f t="shared" si="13"/>
        <v>511.80583333333328</v>
      </c>
      <c r="AI81" s="242">
        <f t="shared" si="13"/>
        <v>511.80583333333328</v>
      </c>
      <c r="AJ81" s="242">
        <f t="shared" si="13"/>
        <v>511.80583333333328</v>
      </c>
      <c r="AK81" s="242">
        <f t="shared" si="13"/>
        <v>511.80583333333328</v>
      </c>
      <c r="AL81" s="242">
        <f t="shared" si="13"/>
        <v>511.80583333333328</v>
      </c>
      <c r="AM81" s="242">
        <f t="shared" si="13"/>
        <v>511.80583333333328</v>
      </c>
    </row>
    <row r="82" spans="2:39" s="239" customFormat="1" outlineLevel="1" x14ac:dyDescent="0.25">
      <c r="B82" s="239" t="str">
        <v>DagrenErhverv</v>
      </c>
      <c r="C82" s="240" t="s">
        <v>254</v>
      </c>
      <c r="D82" s="379">
        <f>IF(FixAffald2021&lt;&gt;0,Affald2021!C20,IF(AND($I16&lt;&gt;0,$G16=0),$M16/12,0))</f>
        <v>13.53</v>
      </c>
      <c r="E82" s="380">
        <f>IF(FixAffald2021&lt;&gt;0,Affald2021!D20,IF(AND($I16&lt;&gt;0,$G16=0),$M16/12,0))</f>
        <v>1.68</v>
      </c>
      <c r="F82" s="380">
        <f>IF(FixAffald2021&lt;&gt;0,Affald2021!E20,IF(AND($I16&lt;&gt;0,$G16=0),$M16/12,0))</f>
        <v>11.22</v>
      </c>
      <c r="G82" s="380">
        <f>IF(FixAffald2021&lt;&gt;0,Affald2021!F20,IF(AND($I16&lt;&gt;0,$G16=0),$M16/12,0))</f>
        <v>9.2799999999999994</v>
      </c>
      <c r="H82" s="380">
        <f>IF(FixAffald2021&lt;&gt;0,Affald2021!G20,IF(AND($I16&lt;&gt;0,$G16=0),$M16/12,0))</f>
        <v>11.42</v>
      </c>
      <c r="I82" s="380">
        <f>IF(FixAffald2021&lt;&gt;0,Affald2021!H20,IF(AND($I16&lt;&gt;0,$G16=0),$M16/12,0))</f>
        <v>5.75</v>
      </c>
      <c r="J82" s="380">
        <f>IF(FixAffald2021&lt;&gt;0,Affald2021!I20,IF(AND($I16&lt;&gt;0,$G16=0),$M16/12,0))</f>
        <v>3.48</v>
      </c>
      <c r="K82" s="380">
        <f>IF(FixAffald2021&lt;&gt;0,Affald2021!J20,IF(AND($I16&lt;&gt;0,$G16=0),$M16/12,0))</f>
        <v>14.44</v>
      </c>
      <c r="L82" s="380">
        <f>IF(FixAffald2021&lt;&gt;0,Affald2021!K20,IF(AND($I16&lt;&gt;0,$G16=0),$M16/12,0))</f>
        <v>5.71</v>
      </c>
      <c r="M82" s="380">
        <f>IF(FixAffald2021&lt;&gt;0,Affald2021!L20,IF(AND($I16&lt;&gt;0,$G16=0),$M16/12,0))</f>
        <v>44.54</v>
      </c>
      <c r="N82" s="380">
        <f>IF(FixAffald2021&lt;&gt;0,Affald2021!M20,IF(AND($I16&lt;&gt;0,$G16=0),$M16/12,0))</f>
        <v>11.77</v>
      </c>
      <c r="O82" s="380">
        <f>IF(FixAffald2021&lt;&gt;0,Affald2021!N20,IF(AND($I16&lt;&gt;0,$G16=0),$M16/12,0))</f>
        <v>1.37</v>
      </c>
      <c r="P82" s="241">
        <f t="shared" si="14"/>
        <v>11.182499999999999</v>
      </c>
      <c r="Q82" s="242">
        <f t="shared" si="13"/>
        <v>11.182499999999999</v>
      </c>
      <c r="R82" s="242">
        <f t="shared" si="13"/>
        <v>11.182499999999999</v>
      </c>
      <c r="S82" s="242">
        <f t="shared" si="13"/>
        <v>11.182499999999999</v>
      </c>
      <c r="T82" s="242">
        <f t="shared" si="13"/>
        <v>11.182499999999999</v>
      </c>
      <c r="U82" s="242">
        <f t="shared" si="13"/>
        <v>11.182499999999999</v>
      </c>
      <c r="V82" s="242">
        <f t="shared" si="13"/>
        <v>11.182499999999999</v>
      </c>
      <c r="W82" s="242">
        <f t="shared" si="13"/>
        <v>11.182499999999999</v>
      </c>
      <c r="X82" s="242">
        <f t="shared" si="13"/>
        <v>11.182499999999999</v>
      </c>
      <c r="Y82" s="242">
        <f t="shared" si="13"/>
        <v>11.182499999999999</v>
      </c>
      <c r="Z82" s="242">
        <f t="shared" si="13"/>
        <v>11.182499999999999</v>
      </c>
      <c r="AA82" s="242">
        <f t="shared" si="13"/>
        <v>11.182499999999999</v>
      </c>
      <c r="AB82" s="241">
        <f t="shared" si="13"/>
        <v>11.182499999999999</v>
      </c>
      <c r="AC82" s="242">
        <f t="shared" si="13"/>
        <v>11.182499999999999</v>
      </c>
      <c r="AD82" s="242">
        <f t="shared" si="13"/>
        <v>11.182499999999999</v>
      </c>
      <c r="AE82" s="242">
        <f t="shared" si="13"/>
        <v>11.182499999999999</v>
      </c>
      <c r="AF82" s="242">
        <f t="shared" si="13"/>
        <v>11.182499999999999</v>
      </c>
      <c r="AG82" s="242">
        <f t="shared" si="13"/>
        <v>11.182499999999999</v>
      </c>
      <c r="AH82" s="242">
        <f t="shared" ref="Q82:AM93" si="15">IF(AND($I16&lt;&gt;0,$G16=0),$M16/12,0)</f>
        <v>11.182499999999999</v>
      </c>
      <c r="AI82" s="242">
        <f t="shared" si="15"/>
        <v>11.182499999999999</v>
      </c>
      <c r="AJ82" s="242">
        <f t="shared" si="15"/>
        <v>11.182499999999999</v>
      </c>
      <c r="AK82" s="242">
        <f t="shared" si="15"/>
        <v>11.182499999999999</v>
      </c>
      <c r="AL82" s="242">
        <f t="shared" si="15"/>
        <v>11.182499999999999</v>
      </c>
      <c r="AM82" s="242">
        <f t="shared" si="15"/>
        <v>11.182499999999999</v>
      </c>
    </row>
    <row r="83" spans="2:39" s="239" customFormat="1" outlineLevel="1" x14ac:dyDescent="0.25">
      <c r="B83" s="239" t="str">
        <v>HandelKontor</v>
      </c>
      <c r="C83" s="240" t="s">
        <v>254</v>
      </c>
      <c r="D83" s="379">
        <f>IF(FixAffald2021&lt;&gt;0,Affald2021!C21,IF(AND($I17&lt;&gt;0,$G17=0),$M17/12,0))</f>
        <v>6.79</v>
      </c>
      <c r="E83" s="380">
        <f>IF(FixAffald2021&lt;&gt;0,Affald2021!D21,IF(AND($I17&lt;&gt;0,$G17=0),$M17/12,0))</f>
        <v>2.12</v>
      </c>
      <c r="F83" s="380">
        <f>IF(FixAffald2021&lt;&gt;0,Affald2021!E21,IF(AND($I17&lt;&gt;0,$G17=0),$M17/12,0))</f>
        <v>4.6399999999999997</v>
      </c>
      <c r="G83" s="380">
        <f>IF(FixAffald2021&lt;&gt;0,Affald2021!F21,IF(AND($I17&lt;&gt;0,$G17=0),$M17/12,0))</f>
        <v>3.35</v>
      </c>
      <c r="H83" s="380">
        <f>IF(FixAffald2021&lt;&gt;0,Affald2021!G21,IF(AND($I17&lt;&gt;0,$G17=0),$M17/12,0))</f>
        <v>8.83</v>
      </c>
      <c r="I83" s="380">
        <f>IF(FixAffald2021&lt;&gt;0,Affald2021!H21,IF(AND($I17&lt;&gt;0,$G17=0),$M17/12,0))</f>
        <v>8.82</v>
      </c>
      <c r="J83" s="380">
        <f>IF(FixAffald2021&lt;&gt;0,Affald2021!I21,IF(AND($I17&lt;&gt;0,$G17=0),$M17/12,0))</f>
        <v>3.03</v>
      </c>
      <c r="K83" s="380">
        <f>IF(FixAffald2021&lt;&gt;0,Affald2021!J21,IF(AND($I17&lt;&gt;0,$G17=0),$M17/12,0))</f>
        <v>1.72</v>
      </c>
      <c r="L83" s="380">
        <f>IF(FixAffald2021&lt;&gt;0,Affald2021!K21,IF(AND($I17&lt;&gt;0,$G17=0),$M17/12,0))</f>
        <v>4.71</v>
      </c>
      <c r="M83" s="380">
        <f>IF(FixAffald2021&lt;&gt;0,Affald2021!L21,IF(AND($I17&lt;&gt;0,$G17=0),$M17/12,0))</f>
        <v>2.21</v>
      </c>
      <c r="N83" s="380">
        <f>IF(FixAffald2021&lt;&gt;0,Affald2021!M21,IF(AND($I17&lt;&gt;0,$G17=0),$M17/12,0))</f>
        <v>4.29</v>
      </c>
      <c r="O83" s="380">
        <f>IF(FixAffald2021&lt;&gt;0,Affald2021!N21,IF(AND($I17&lt;&gt;0,$G17=0),$M17/12,0))</f>
        <v>7.27</v>
      </c>
      <c r="P83" s="241">
        <f t="shared" si="14"/>
        <v>4.8150000000000004</v>
      </c>
      <c r="Q83" s="242">
        <f t="shared" si="15"/>
        <v>4.8150000000000004</v>
      </c>
      <c r="R83" s="242">
        <f t="shared" si="15"/>
        <v>4.8150000000000004</v>
      </c>
      <c r="S83" s="242">
        <f t="shared" si="15"/>
        <v>4.8150000000000004</v>
      </c>
      <c r="T83" s="242">
        <f t="shared" si="15"/>
        <v>4.8150000000000004</v>
      </c>
      <c r="U83" s="242">
        <f t="shared" si="15"/>
        <v>4.8150000000000004</v>
      </c>
      <c r="V83" s="242">
        <f t="shared" si="15"/>
        <v>4.8150000000000004</v>
      </c>
      <c r="W83" s="242">
        <f t="shared" si="15"/>
        <v>4.8150000000000004</v>
      </c>
      <c r="X83" s="242">
        <f t="shared" si="15"/>
        <v>4.8150000000000004</v>
      </c>
      <c r="Y83" s="242">
        <f t="shared" si="15"/>
        <v>4.8150000000000004</v>
      </c>
      <c r="Z83" s="242">
        <f t="shared" si="15"/>
        <v>4.8150000000000004</v>
      </c>
      <c r="AA83" s="242">
        <f t="shared" si="15"/>
        <v>4.8150000000000004</v>
      </c>
      <c r="AB83" s="241">
        <f t="shared" si="15"/>
        <v>4.8150000000000004</v>
      </c>
      <c r="AC83" s="242">
        <f t="shared" si="15"/>
        <v>4.8150000000000004</v>
      </c>
      <c r="AD83" s="242">
        <f t="shared" si="15"/>
        <v>4.8150000000000004</v>
      </c>
      <c r="AE83" s="242">
        <f t="shared" si="15"/>
        <v>4.8150000000000004</v>
      </c>
      <c r="AF83" s="242">
        <f t="shared" si="15"/>
        <v>4.8150000000000004</v>
      </c>
      <c r="AG83" s="242">
        <f t="shared" si="15"/>
        <v>4.8150000000000004</v>
      </c>
      <c r="AH83" s="242">
        <f t="shared" si="15"/>
        <v>4.8150000000000004</v>
      </c>
      <c r="AI83" s="242">
        <f t="shared" si="15"/>
        <v>4.8150000000000004</v>
      </c>
      <c r="AJ83" s="242">
        <f t="shared" si="15"/>
        <v>4.8150000000000004</v>
      </c>
      <c r="AK83" s="242">
        <f t="shared" si="15"/>
        <v>4.8150000000000004</v>
      </c>
      <c r="AL83" s="242">
        <f t="shared" si="15"/>
        <v>4.8150000000000004</v>
      </c>
      <c r="AM83" s="242">
        <f t="shared" si="15"/>
        <v>4.8150000000000004</v>
      </c>
    </row>
    <row r="84" spans="2:39" s="239" customFormat="1" outlineLevel="1" x14ac:dyDescent="0.25">
      <c r="B84" s="239" t="str">
        <v>Privat</v>
      </c>
      <c r="C84" s="240" t="s">
        <v>254</v>
      </c>
      <c r="D84" s="379">
        <f>IF(FixAffald2021&lt;&gt;0,Affald2021!C22,IF(AND($I18&lt;&gt;0,$G18=0),$M18/12,0))</f>
        <v>0</v>
      </c>
      <c r="E84" s="380">
        <f>IF(FixAffald2021&lt;&gt;0,Affald2021!D22,IF(AND($I18&lt;&gt;0,$G18=0),$M18/12,0))</f>
        <v>4.32</v>
      </c>
      <c r="F84" s="380">
        <f>IF(FixAffald2021&lt;&gt;0,Affald2021!E22,IF(AND($I18&lt;&gt;0,$G18=0),$M18/12,0))</f>
        <v>0</v>
      </c>
      <c r="G84" s="380">
        <f>IF(FixAffald2021&lt;&gt;0,Affald2021!F22,IF(AND($I18&lt;&gt;0,$G18=0),$M18/12,0))</f>
        <v>0</v>
      </c>
      <c r="H84" s="380">
        <f>IF(FixAffald2021&lt;&gt;0,Affald2021!G22,IF(AND($I18&lt;&gt;0,$G18=0),$M18/12,0))</f>
        <v>0.45</v>
      </c>
      <c r="I84" s="380">
        <f>IF(FixAffald2021&lt;&gt;0,Affald2021!H22,IF(AND($I18&lt;&gt;0,$G18=0),$M18/12,0))</f>
        <v>0</v>
      </c>
      <c r="J84" s="380">
        <f>IF(FixAffald2021&lt;&gt;0,Affald2021!I22,IF(AND($I18&lt;&gt;0,$G18=0),$M18/12,0))</f>
        <v>2.4700000000000002</v>
      </c>
      <c r="K84" s="380">
        <f>IF(FixAffald2021&lt;&gt;0,Affald2021!J22,IF(AND($I18&lt;&gt;0,$G18=0),$M18/12,0))</f>
        <v>0</v>
      </c>
      <c r="L84" s="380">
        <f>IF(FixAffald2021&lt;&gt;0,Affald2021!K22,IF(AND($I18&lt;&gt;0,$G18=0),$M18/12,0))</f>
        <v>0</v>
      </c>
      <c r="M84" s="380">
        <f>IF(FixAffald2021&lt;&gt;0,Affald2021!L22,IF(AND($I18&lt;&gt;0,$G18=0),$M18/12,0))</f>
        <v>0</v>
      </c>
      <c r="N84" s="380">
        <f>IF(FixAffald2021&lt;&gt;0,Affald2021!M22,IF(AND($I18&lt;&gt;0,$G18=0),$M18/12,0))</f>
        <v>2.5</v>
      </c>
      <c r="O84" s="380">
        <f>IF(FixAffald2021&lt;&gt;0,Affald2021!N22,IF(AND($I18&lt;&gt;0,$G18=0),$M18/12,0))</f>
        <v>3.15</v>
      </c>
      <c r="P84" s="241">
        <f t="shared" si="14"/>
        <v>1.0741666666666667</v>
      </c>
      <c r="Q84" s="242">
        <f t="shared" si="15"/>
        <v>1.0741666666666667</v>
      </c>
      <c r="R84" s="242">
        <f t="shared" si="15"/>
        <v>1.0741666666666667</v>
      </c>
      <c r="S84" s="242">
        <f t="shared" si="15"/>
        <v>1.0741666666666667</v>
      </c>
      <c r="T84" s="242">
        <f t="shared" si="15"/>
        <v>1.0741666666666667</v>
      </c>
      <c r="U84" s="242">
        <f t="shared" si="15"/>
        <v>1.0741666666666667</v>
      </c>
      <c r="V84" s="242">
        <f t="shared" si="15"/>
        <v>1.0741666666666667</v>
      </c>
      <c r="W84" s="242">
        <f t="shared" si="15"/>
        <v>1.0741666666666667</v>
      </c>
      <c r="X84" s="242">
        <f t="shared" si="15"/>
        <v>1.0741666666666667</v>
      </c>
      <c r="Y84" s="242">
        <f t="shared" si="15"/>
        <v>1.0741666666666667</v>
      </c>
      <c r="Z84" s="242">
        <f t="shared" si="15"/>
        <v>1.0741666666666667</v>
      </c>
      <c r="AA84" s="242">
        <f t="shared" si="15"/>
        <v>1.0741666666666667</v>
      </c>
      <c r="AB84" s="241">
        <f t="shared" si="15"/>
        <v>1.0741666666666667</v>
      </c>
      <c r="AC84" s="242">
        <f t="shared" si="15"/>
        <v>1.0741666666666667</v>
      </c>
      <c r="AD84" s="242">
        <f t="shared" si="15"/>
        <v>1.0741666666666667</v>
      </c>
      <c r="AE84" s="242">
        <f t="shared" si="15"/>
        <v>1.0741666666666667</v>
      </c>
      <c r="AF84" s="242">
        <f t="shared" si="15"/>
        <v>1.0741666666666667</v>
      </c>
      <c r="AG84" s="242">
        <f t="shared" si="15"/>
        <v>1.0741666666666667</v>
      </c>
      <c r="AH84" s="242">
        <f t="shared" si="15"/>
        <v>1.0741666666666667</v>
      </c>
      <c r="AI84" s="242">
        <f t="shared" si="15"/>
        <v>1.0741666666666667</v>
      </c>
      <c r="AJ84" s="242">
        <f t="shared" si="15"/>
        <v>1.0741666666666667</v>
      </c>
      <c r="AK84" s="242">
        <f t="shared" si="15"/>
        <v>1.0741666666666667</v>
      </c>
      <c r="AL84" s="242">
        <f t="shared" si="15"/>
        <v>1.0741666666666667</v>
      </c>
      <c r="AM84" s="242">
        <f t="shared" si="15"/>
        <v>1.0741666666666667</v>
      </c>
    </row>
    <row r="85" spans="2:39" s="239" customFormat="1" outlineLevel="1" x14ac:dyDescent="0.25">
      <c r="B85" s="239" t="str">
        <v>TyskRest</v>
      </c>
      <c r="C85" s="240" t="s">
        <v>254</v>
      </c>
      <c r="D85" s="379">
        <f>IF(FixAffald2021&lt;&gt;0,Affald2021!C23,IF(AND($I19&lt;&gt;0,$G19=0),$M19/12,0))</f>
        <v>3226.38</v>
      </c>
      <c r="E85" s="380">
        <f>IF(FixAffald2021&lt;&gt;0,Affald2021!D23,IF(AND($I19&lt;&gt;0,$G19=0),$M19/12,0))</f>
        <v>4072.27</v>
      </c>
      <c r="F85" s="380">
        <f>IF(FixAffald2021&lt;&gt;0,Affald2021!E23,IF(AND($I19&lt;&gt;0,$G19=0),$M19/12,0))</f>
        <v>3888.09</v>
      </c>
      <c r="G85" s="380">
        <f>IF(FixAffald2021&lt;&gt;0,Affald2021!F23,IF(AND($I19&lt;&gt;0,$G19=0),$M19/12,0))</f>
        <v>3229.34</v>
      </c>
      <c r="H85" s="380">
        <f>IF(FixAffald2021&lt;&gt;0,Affald2021!G23,IF(AND($I19&lt;&gt;0,$G19=0),$M19/12,0))</f>
        <v>1665.58</v>
      </c>
      <c r="I85" s="380">
        <f>IF(FixAffald2021&lt;&gt;0,Affald2021!H23,IF(AND($I19&lt;&gt;0,$G19=0),$M19/12,0))</f>
        <v>1131.17</v>
      </c>
      <c r="J85" s="380">
        <f>IF(FixAffald2021&lt;&gt;0,Affald2021!I23,IF(AND($I19&lt;&gt;0,$G19=0),$M19/12,0))</f>
        <v>1712.01</v>
      </c>
      <c r="K85" s="380">
        <f>IF(FixAffald2021&lt;&gt;0,Affald2021!J23,IF(AND($I19&lt;&gt;0,$G19=0),$M19/12,0))</f>
        <v>1884.5</v>
      </c>
      <c r="L85" s="380">
        <f>IF(FixAffald2021&lt;&gt;0,Affald2021!K23,IF(AND($I19&lt;&gt;0,$G19=0),$M19/12,0))</f>
        <v>1798.93</v>
      </c>
      <c r="M85" s="380">
        <f>IF(FixAffald2021&lt;&gt;0,Affald2021!L23,IF(AND($I19&lt;&gt;0,$G19=0),$M19/12,0))</f>
        <v>3232.96</v>
      </c>
      <c r="N85" s="380">
        <f>IF(FixAffald2021&lt;&gt;0,Affald2021!M23,IF(AND($I19&lt;&gt;0,$G19=0),$M19/12,0))</f>
        <v>4388.75</v>
      </c>
      <c r="O85" s="380">
        <f>IF(FixAffald2021&lt;&gt;0,Affald2021!N23,IF(AND($I19&lt;&gt;0,$G19=0),$M19/12,0))</f>
        <v>4002.71</v>
      </c>
      <c r="P85" s="241">
        <f t="shared" si="14"/>
        <v>0</v>
      </c>
      <c r="Q85" s="242">
        <f t="shared" si="15"/>
        <v>0</v>
      </c>
      <c r="R85" s="242">
        <f t="shared" si="15"/>
        <v>0</v>
      </c>
      <c r="S85" s="242">
        <f t="shared" si="15"/>
        <v>0</v>
      </c>
      <c r="T85" s="242">
        <f t="shared" si="15"/>
        <v>0</v>
      </c>
      <c r="U85" s="242">
        <f t="shared" si="15"/>
        <v>0</v>
      </c>
      <c r="V85" s="242">
        <f t="shared" si="15"/>
        <v>0</v>
      </c>
      <c r="W85" s="242">
        <f t="shared" si="15"/>
        <v>0</v>
      </c>
      <c r="X85" s="242">
        <f t="shared" si="15"/>
        <v>0</v>
      </c>
      <c r="Y85" s="242">
        <f t="shared" si="15"/>
        <v>0</v>
      </c>
      <c r="Z85" s="242">
        <f t="shared" si="15"/>
        <v>0</v>
      </c>
      <c r="AA85" s="242">
        <f t="shared" si="15"/>
        <v>0</v>
      </c>
      <c r="AB85" s="241">
        <f t="shared" si="15"/>
        <v>0</v>
      </c>
      <c r="AC85" s="242">
        <f t="shared" si="15"/>
        <v>0</v>
      </c>
      <c r="AD85" s="242">
        <f t="shared" si="15"/>
        <v>0</v>
      </c>
      <c r="AE85" s="242">
        <f t="shared" si="15"/>
        <v>0</v>
      </c>
      <c r="AF85" s="242">
        <f t="shared" si="15"/>
        <v>0</v>
      </c>
      <c r="AG85" s="242">
        <f t="shared" si="15"/>
        <v>0</v>
      </c>
      <c r="AH85" s="242">
        <f t="shared" si="15"/>
        <v>0</v>
      </c>
      <c r="AI85" s="242">
        <f t="shared" si="15"/>
        <v>0</v>
      </c>
      <c r="AJ85" s="242">
        <f t="shared" si="15"/>
        <v>0</v>
      </c>
      <c r="AK85" s="242">
        <f t="shared" si="15"/>
        <v>0</v>
      </c>
      <c r="AL85" s="242">
        <f t="shared" si="15"/>
        <v>0</v>
      </c>
      <c r="AM85" s="242">
        <f t="shared" si="15"/>
        <v>0</v>
      </c>
    </row>
    <row r="86" spans="2:39" s="239" customFormat="1" outlineLevel="1" x14ac:dyDescent="0.25">
      <c r="B86" s="239" t="str">
        <v>PolskRest</v>
      </c>
      <c r="C86" s="240" t="s">
        <v>254</v>
      </c>
      <c r="D86" s="379">
        <f>IF(FixAffald2021&lt;&gt;0,Affald2021!C24,IF(AND($I20&lt;&gt;0,$G20=0),$M20/12,0))</f>
        <v>0</v>
      </c>
      <c r="E86" s="380">
        <f>IF(FixAffald2021&lt;&gt;0,Affald2021!D24,IF(AND($I20&lt;&gt;0,$G20=0),$M20/12,0))</f>
        <v>0</v>
      </c>
      <c r="F86" s="380">
        <f>IF(FixAffald2021&lt;&gt;0,Affald2021!E24,IF(AND($I20&lt;&gt;0,$G20=0),$M20/12,0))</f>
        <v>0</v>
      </c>
      <c r="G86" s="380">
        <f>IF(FixAffald2021&lt;&gt;0,Affald2021!F24,IF(AND($I20&lt;&gt;0,$G20=0),$M20/12,0))</f>
        <v>154.09</v>
      </c>
      <c r="H86" s="380">
        <f>IF(FixAffald2021&lt;&gt;0,Affald2021!G24,IF(AND($I20&lt;&gt;0,$G20=0),$M20/12,0))</f>
        <v>0</v>
      </c>
      <c r="I86" s="380">
        <f>IF(FixAffald2021&lt;&gt;0,Affald2021!H24,IF(AND($I20&lt;&gt;0,$G20=0),$M20/12,0))</f>
        <v>0</v>
      </c>
      <c r="J86" s="380">
        <f>IF(FixAffald2021&lt;&gt;0,Affald2021!I24,IF(AND($I20&lt;&gt;0,$G20=0),$M20/12,0))</f>
        <v>0</v>
      </c>
      <c r="K86" s="380">
        <f>IF(FixAffald2021&lt;&gt;0,Affald2021!J24,IF(AND($I20&lt;&gt;0,$G20=0),$M20/12,0))</f>
        <v>0</v>
      </c>
      <c r="L86" s="380">
        <f>IF(FixAffald2021&lt;&gt;0,Affald2021!K24,IF(AND($I20&lt;&gt;0,$G20=0),$M20/12,0))</f>
        <v>0</v>
      </c>
      <c r="M86" s="380">
        <f>IF(FixAffald2021&lt;&gt;0,Affald2021!L24,IF(AND($I20&lt;&gt;0,$G20=0),$M20/12,0))</f>
        <v>0</v>
      </c>
      <c r="N86" s="380">
        <f>IF(FixAffald2021&lt;&gt;0,Affald2021!M24,IF(AND($I20&lt;&gt;0,$G20=0),$M20/12,0))</f>
        <v>0</v>
      </c>
      <c r="O86" s="380">
        <f>IF(FixAffald2021&lt;&gt;0,Affald2021!N24,IF(AND($I20&lt;&gt;0,$G20=0),$M20/12,0))</f>
        <v>0</v>
      </c>
      <c r="P86" s="241">
        <f t="shared" si="14"/>
        <v>12.840833333333334</v>
      </c>
      <c r="Q86" s="242">
        <f t="shared" si="15"/>
        <v>12.840833333333334</v>
      </c>
      <c r="R86" s="242">
        <f t="shared" si="15"/>
        <v>12.840833333333334</v>
      </c>
      <c r="S86" s="242">
        <f t="shared" si="15"/>
        <v>12.840833333333334</v>
      </c>
      <c r="T86" s="242">
        <f t="shared" si="15"/>
        <v>12.840833333333334</v>
      </c>
      <c r="U86" s="242">
        <f t="shared" si="15"/>
        <v>12.840833333333334</v>
      </c>
      <c r="V86" s="242">
        <f t="shared" si="15"/>
        <v>12.840833333333334</v>
      </c>
      <c r="W86" s="242">
        <f t="shared" si="15"/>
        <v>12.840833333333334</v>
      </c>
      <c r="X86" s="242">
        <f t="shared" si="15"/>
        <v>12.840833333333334</v>
      </c>
      <c r="Y86" s="242">
        <f t="shared" si="15"/>
        <v>12.840833333333334</v>
      </c>
      <c r="Z86" s="242">
        <f t="shared" si="15"/>
        <v>12.840833333333334</v>
      </c>
      <c r="AA86" s="242">
        <f t="shared" si="15"/>
        <v>12.840833333333334</v>
      </c>
      <c r="AB86" s="241">
        <f t="shared" si="15"/>
        <v>12.840833333333334</v>
      </c>
      <c r="AC86" s="242">
        <f t="shared" si="15"/>
        <v>12.840833333333334</v>
      </c>
      <c r="AD86" s="242">
        <f t="shared" si="15"/>
        <v>12.840833333333334</v>
      </c>
      <c r="AE86" s="242">
        <f t="shared" si="15"/>
        <v>12.840833333333334</v>
      </c>
      <c r="AF86" s="242">
        <f t="shared" si="15"/>
        <v>12.840833333333334</v>
      </c>
      <c r="AG86" s="242">
        <f t="shared" si="15"/>
        <v>12.840833333333334</v>
      </c>
      <c r="AH86" s="242">
        <f t="shared" si="15"/>
        <v>12.840833333333334</v>
      </c>
      <c r="AI86" s="242">
        <f t="shared" si="15"/>
        <v>12.840833333333334</v>
      </c>
      <c r="AJ86" s="242">
        <f t="shared" si="15"/>
        <v>12.840833333333334</v>
      </c>
      <c r="AK86" s="242">
        <f t="shared" si="15"/>
        <v>12.840833333333334</v>
      </c>
      <c r="AL86" s="242">
        <f t="shared" si="15"/>
        <v>12.840833333333334</v>
      </c>
      <c r="AM86" s="242">
        <f t="shared" si="15"/>
        <v>12.840833333333334</v>
      </c>
    </row>
    <row r="87" spans="2:39" s="239" customFormat="1" outlineLevel="1" x14ac:dyDescent="0.25">
      <c r="B87" s="239" t="str">
        <v>PcbTrae</v>
      </c>
      <c r="C87" s="240" t="s">
        <v>254</v>
      </c>
      <c r="D87" s="379">
        <f>IF(FixAffald2021&lt;&gt;0,Affald2021!C25,IF(AND($I21&lt;&gt;0,$G21=0),$M21/12,0))</f>
        <v>0</v>
      </c>
      <c r="E87" s="380">
        <f>IF(FixAffald2021&lt;&gt;0,Affald2021!D25,IF(AND($I21&lt;&gt;0,$G21=0),$M21/12,0))</f>
        <v>0</v>
      </c>
      <c r="F87" s="380">
        <f>IF(FixAffald2021&lt;&gt;0,Affald2021!E25,IF(AND($I21&lt;&gt;0,$G21=0),$M21/12,0))</f>
        <v>0</v>
      </c>
      <c r="G87" s="380">
        <f>IF(FixAffald2021&lt;&gt;0,Affald2021!F25,IF(AND($I21&lt;&gt;0,$G21=0),$M21/12,0))</f>
        <v>0</v>
      </c>
      <c r="H87" s="380">
        <f>IF(FixAffald2021&lt;&gt;0,Affald2021!G25,IF(AND($I21&lt;&gt;0,$G21=0),$M21/12,0))</f>
        <v>0</v>
      </c>
      <c r="I87" s="380">
        <f>IF(FixAffald2021&lt;&gt;0,Affald2021!H25,IF(AND($I21&lt;&gt;0,$G21=0),$M21/12,0))</f>
        <v>0</v>
      </c>
      <c r="J87" s="380">
        <f>IF(FixAffald2021&lt;&gt;0,Affald2021!I25,IF(AND($I21&lt;&gt;0,$G21=0),$M21/12,0))</f>
        <v>0</v>
      </c>
      <c r="K87" s="380">
        <f>IF(FixAffald2021&lt;&gt;0,Affald2021!J25,IF(AND($I21&lt;&gt;0,$G21=0),$M21/12,0))</f>
        <v>0</v>
      </c>
      <c r="L87" s="380">
        <f>IF(FixAffald2021&lt;&gt;0,Affald2021!K25,IF(AND($I21&lt;&gt;0,$G21=0),$M21/12,0))</f>
        <v>0</v>
      </c>
      <c r="M87" s="380">
        <f>IF(FixAffald2021&lt;&gt;0,Affald2021!L25,IF(AND($I21&lt;&gt;0,$G21=0),$M21/12,0))</f>
        <v>0</v>
      </c>
      <c r="N87" s="380">
        <f>IF(FixAffald2021&lt;&gt;0,Affald2021!M25,IF(AND($I21&lt;&gt;0,$G21=0),$M21/12,0))</f>
        <v>0</v>
      </c>
      <c r="O87" s="380">
        <f>IF(FixAffald2021&lt;&gt;0,Affald2021!N25,IF(AND($I21&lt;&gt;0,$G21=0),$M21/12,0))</f>
        <v>0</v>
      </c>
      <c r="P87" s="241">
        <f t="shared" si="14"/>
        <v>0</v>
      </c>
      <c r="Q87" s="242">
        <f t="shared" si="15"/>
        <v>0</v>
      </c>
      <c r="R87" s="242">
        <f t="shared" si="15"/>
        <v>0</v>
      </c>
      <c r="S87" s="242">
        <f t="shared" si="15"/>
        <v>0</v>
      </c>
      <c r="T87" s="242">
        <f t="shared" si="15"/>
        <v>0</v>
      </c>
      <c r="U87" s="242">
        <f t="shared" si="15"/>
        <v>0</v>
      </c>
      <c r="V87" s="242">
        <f t="shared" si="15"/>
        <v>0</v>
      </c>
      <c r="W87" s="242">
        <f t="shared" si="15"/>
        <v>0</v>
      </c>
      <c r="X87" s="242">
        <f t="shared" si="15"/>
        <v>0</v>
      </c>
      <c r="Y87" s="242">
        <f t="shared" si="15"/>
        <v>0</v>
      </c>
      <c r="Z87" s="242">
        <f t="shared" si="15"/>
        <v>0</v>
      </c>
      <c r="AA87" s="242">
        <f t="shared" si="15"/>
        <v>0</v>
      </c>
      <c r="AB87" s="241">
        <f t="shared" si="15"/>
        <v>0</v>
      </c>
      <c r="AC87" s="242">
        <f t="shared" si="15"/>
        <v>0</v>
      </c>
      <c r="AD87" s="242">
        <f t="shared" si="15"/>
        <v>0</v>
      </c>
      <c r="AE87" s="242">
        <f t="shared" si="15"/>
        <v>0</v>
      </c>
      <c r="AF87" s="242">
        <f t="shared" si="15"/>
        <v>0</v>
      </c>
      <c r="AG87" s="242">
        <f t="shared" si="15"/>
        <v>0</v>
      </c>
      <c r="AH87" s="242">
        <f t="shared" si="15"/>
        <v>0</v>
      </c>
      <c r="AI87" s="242">
        <f t="shared" si="15"/>
        <v>0</v>
      </c>
      <c r="AJ87" s="242">
        <f t="shared" si="15"/>
        <v>0</v>
      </c>
      <c r="AK87" s="242">
        <f t="shared" si="15"/>
        <v>0</v>
      </c>
      <c r="AL87" s="242">
        <f t="shared" si="15"/>
        <v>0</v>
      </c>
      <c r="AM87" s="242">
        <f t="shared" si="15"/>
        <v>0</v>
      </c>
    </row>
    <row r="88" spans="2:39" s="239" customFormat="1" outlineLevel="1" x14ac:dyDescent="0.25">
      <c r="B88" s="239" t="str">
        <v>TraeRekv</v>
      </c>
      <c r="C88" s="240" t="s">
        <v>254</v>
      </c>
      <c r="D88" s="379">
        <f>IF(FixAffald2021&lt;&gt;0,Affald2021!C26,IF(AND($I22&lt;&gt;0,$G22=0),$M22/12,0))</f>
        <v>57.5</v>
      </c>
      <c r="E88" s="380">
        <f>IF(FixAffald2021&lt;&gt;0,Affald2021!D26,IF(AND($I22&lt;&gt;0,$G22=0),$M22/12,0))</f>
        <v>143.63</v>
      </c>
      <c r="F88" s="380">
        <f>IF(FixAffald2021&lt;&gt;0,Affald2021!E26,IF(AND($I22&lt;&gt;0,$G22=0),$M22/12,0))</f>
        <v>49.69</v>
      </c>
      <c r="G88" s="380">
        <f>IF(FixAffald2021&lt;&gt;0,Affald2021!F26,IF(AND($I22&lt;&gt;0,$G22=0),$M22/12,0))</f>
        <v>116.49</v>
      </c>
      <c r="H88" s="380">
        <f>IF(FixAffald2021&lt;&gt;0,Affald2021!G26,IF(AND($I22&lt;&gt;0,$G22=0),$M22/12,0))</f>
        <v>144.72</v>
      </c>
      <c r="I88" s="380">
        <f>IF(FixAffald2021&lt;&gt;0,Affald2021!H26,IF(AND($I22&lt;&gt;0,$G22=0),$M22/12,0))</f>
        <v>157.86000000000001</v>
      </c>
      <c r="J88" s="380">
        <f>IF(FixAffald2021&lt;&gt;0,Affald2021!I26,IF(AND($I22&lt;&gt;0,$G22=0),$M22/12,0))</f>
        <v>62.1</v>
      </c>
      <c r="K88" s="380">
        <f>IF(FixAffald2021&lt;&gt;0,Affald2021!J26,IF(AND($I22&lt;&gt;0,$G22=0),$M22/12,0))</f>
        <v>2.92</v>
      </c>
      <c r="L88" s="380">
        <f>IF(FixAffald2021&lt;&gt;0,Affald2021!K26,IF(AND($I22&lt;&gt;0,$G22=0),$M22/12,0))</f>
        <v>54.7</v>
      </c>
      <c r="M88" s="380">
        <f>IF(FixAffald2021&lt;&gt;0,Affald2021!L26,IF(AND($I22&lt;&gt;0,$G22=0),$M22/12,0))</f>
        <v>78.22</v>
      </c>
      <c r="N88" s="380">
        <f>IF(FixAffald2021&lt;&gt;0,Affald2021!M26,IF(AND($I22&lt;&gt;0,$G22=0),$M22/12,0))</f>
        <v>92.89</v>
      </c>
      <c r="O88" s="380">
        <f>IF(FixAffald2021&lt;&gt;0,Affald2021!N26,IF(AND($I22&lt;&gt;0,$G22=0),$M22/12,0))</f>
        <v>83.81</v>
      </c>
      <c r="P88" s="241">
        <f t="shared" si="14"/>
        <v>87.044166666666669</v>
      </c>
      <c r="Q88" s="242">
        <f t="shared" si="15"/>
        <v>87.044166666666669</v>
      </c>
      <c r="R88" s="242">
        <f t="shared" si="15"/>
        <v>87.044166666666669</v>
      </c>
      <c r="S88" s="242">
        <f t="shared" si="15"/>
        <v>87.044166666666669</v>
      </c>
      <c r="T88" s="242">
        <f t="shared" si="15"/>
        <v>87.044166666666669</v>
      </c>
      <c r="U88" s="242">
        <f t="shared" si="15"/>
        <v>87.044166666666669</v>
      </c>
      <c r="V88" s="242">
        <f t="shared" si="15"/>
        <v>87.044166666666669</v>
      </c>
      <c r="W88" s="242">
        <f t="shared" si="15"/>
        <v>87.044166666666669</v>
      </c>
      <c r="X88" s="242">
        <f t="shared" si="15"/>
        <v>87.044166666666669</v>
      </c>
      <c r="Y88" s="242">
        <f t="shared" si="15"/>
        <v>87.044166666666669</v>
      </c>
      <c r="Z88" s="242">
        <f t="shared" si="15"/>
        <v>87.044166666666669</v>
      </c>
      <c r="AA88" s="242">
        <f t="shared" si="15"/>
        <v>87.044166666666669</v>
      </c>
      <c r="AB88" s="241">
        <f t="shared" si="15"/>
        <v>87.044166666666669</v>
      </c>
      <c r="AC88" s="242">
        <f t="shared" si="15"/>
        <v>87.044166666666669</v>
      </c>
      <c r="AD88" s="242">
        <f t="shared" si="15"/>
        <v>87.044166666666669</v>
      </c>
      <c r="AE88" s="242">
        <f t="shared" si="15"/>
        <v>87.044166666666669</v>
      </c>
      <c r="AF88" s="242">
        <f t="shared" si="15"/>
        <v>87.044166666666669</v>
      </c>
      <c r="AG88" s="242">
        <f t="shared" si="15"/>
        <v>87.044166666666669</v>
      </c>
      <c r="AH88" s="242">
        <f t="shared" si="15"/>
        <v>87.044166666666669</v>
      </c>
      <c r="AI88" s="242">
        <f t="shared" si="15"/>
        <v>87.044166666666669</v>
      </c>
      <c r="AJ88" s="242">
        <f t="shared" si="15"/>
        <v>87.044166666666669</v>
      </c>
      <c r="AK88" s="242">
        <f t="shared" si="15"/>
        <v>87.044166666666669</v>
      </c>
      <c r="AL88" s="242">
        <f t="shared" si="15"/>
        <v>87.044166666666669</v>
      </c>
      <c r="AM88" s="242">
        <f t="shared" si="15"/>
        <v>87.044166666666669</v>
      </c>
    </row>
    <row r="89" spans="2:39" s="239" customFormat="1" outlineLevel="1" x14ac:dyDescent="0.25">
      <c r="B89" s="239" t="str">
        <v>Halm</v>
      </c>
      <c r="C89" s="240" t="s">
        <v>254</v>
      </c>
      <c r="D89" s="379">
        <f>IF(FixAffald2021&lt;&gt;0,Affald2021!C27,IF(AND($I23&lt;&gt;0,$G23=0),$M23/12,0))</f>
        <v>0</v>
      </c>
      <c r="E89" s="380">
        <f>IF(FixAffald2021&lt;&gt;0,Affald2021!D27,IF(AND($I23&lt;&gt;0,$G23=0),$M23/12,0))</f>
        <v>0</v>
      </c>
      <c r="F89" s="380">
        <f>IF(FixAffald2021&lt;&gt;0,Affald2021!E27,IF(AND($I23&lt;&gt;0,$G23=0),$M23/12,0))</f>
        <v>0</v>
      </c>
      <c r="G89" s="380">
        <f>IF(FixAffald2021&lt;&gt;0,Affald2021!F27,IF(AND($I23&lt;&gt;0,$G23=0),$M23/12,0))</f>
        <v>0</v>
      </c>
      <c r="H89" s="380">
        <f>IF(FixAffald2021&lt;&gt;0,Affald2021!G27,IF(AND($I23&lt;&gt;0,$G23=0),$M23/12,0))</f>
        <v>0</v>
      </c>
      <c r="I89" s="380">
        <f>IF(FixAffald2021&lt;&gt;0,Affald2021!H27,IF(AND($I23&lt;&gt;0,$G23=0),$M23/12,0))</f>
        <v>0</v>
      </c>
      <c r="J89" s="380">
        <f>IF(FixAffald2021&lt;&gt;0,Affald2021!I27,IF(AND($I23&lt;&gt;0,$G23=0),$M23/12,0))</f>
        <v>0</v>
      </c>
      <c r="K89" s="380">
        <f>IF(FixAffald2021&lt;&gt;0,Affald2021!J27,IF(AND($I23&lt;&gt;0,$G23=0),$M23/12,0))</f>
        <v>0</v>
      </c>
      <c r="L89" s="380">
        <f>IF(FixAffald2021&lt;&gt;0,Affald2021!K27,IF(AND($I23&lt;&gt;0,$G23=0),$M23/12,0))</f>
        <v>0</v>
      </c>
      <c r="M89" s="380">
        <f>IF(FixAffald2021&lt;&gt;0,Affald2021!L27,IF(AND($I23&lt;&gt;0,$G23=0),$M23/12,0))</f>
        <v>0</v>
      </c>
      <c r="N89" s="380">
        <f>IF(FixAffald2021&lt;&gt;0,Affald2021!M27,IF(AND($I23&lt;&gt;0,$G23=0),$M23/12,0))</f>
        <v>0</v>
      </c>
      <c r="O89" s="380">
        <f>IF(FixAffald2021&lt;&gt;0,Affald2021!N27,IF(AND($I23&lt;&gt;0,$G23=0),$M23/12,0))</f>
        <v>0</v>
      </c>
      <c r="P89" s="241">
        <f t="shared" si="14"/>
        <v>0</v>
      </c>
      <c r="Q89" s="242">
        <f t="shared" si="15"/>
        <v>0</v>
      </c>
      <c r="R89" s="242">
        <f t="shared" si="15"/>
        <v>0</v>
      </c>
      <c r="S89" s="242">
        <f t="shared" si="15"/>
        <v>0</v>
      </c>
      <c r="T89" s="242">
        <f t="shared" si="15"/>
        <v>0</v>
      </c>
      <c r="U89" s="242">
        <f t="shared" si="15"/>
        <v>0</v>
      </c>
      <c r="V89" s="242">
        <f t="shared" si="15"/>
        <v>0</v>
      </c>
      <c r="W89" s="242">
        <f t="shared" si="15"/>
        <v>0</v>
      </c>
      <c r="X89" s="242">
        <f t="shared" si="15"/>
        <v>0</v>
      </c>
      <c r="Y89" s="242">
        <f t="shared" si="15"/>
        <v>0</v>
      </c>
      <c r="Z89" s="242">
        <f t="shared" si="15"/>
        <v>0</v>
      </c>
      <c r="AA89" s="242">
        <f t="shared" si="15"/>
        <v>0</v>
      </c>
      <c r="AB89" s="241">
        <f t="shared" si="15"/>
        <v>0</v>
      </c>
      <c r="AC89" s="242">
        <f t="shared" si="15"/>
        <v>0</v>
      </c>
      <c r="AD89" s="242">
        <f t="shared" si="15"/>
        <v>0</v>
      </c>
      <c r="AE89" s="242">
        <f t="shared" si="15"/>
        <v>0</v>
      </c>
      <c r="AF89" s="242">
        <f t="shared" si="15"/>
        <v>0</v>
      </c>
      <c r="AG89" s="242">
        <f t="shared" si="15"/>
        <v>0</v>
      </c>
      <c r="AH89" s="242">
        <f t="shared" si="15"/>
        <v>0</v>
      </c>
      <c r="AI89" s="242">
        <f t="shared" si="15"/>
        <v>0</v>
      </c>
      <c r="AJ89" s="242">
        <f t="shared" si="15"/>
        <v>0</v>
      </c>
      <c r="AK89" s="242">
        <f t="shared" si="15"/>
        <v>0</v>
      </c>
      <c r="AL89" s="242">
        <f t="shared" si="15"/>
        <v>0</v>
      </c>
      <c r="AM89" s="242">
        <f t="shared" si="15"/>
        <v>0</v>
      </c>
    </row>
    <row r="90" spans="2:39" s="239" customFormat="1" outlineLevel="1" x14ac:dyDescent="0.25">
      <c r="B90" s="239" t="str">
        <v>Pulver</v>
      </c>
      <c r="C90" s="240" t="s">
        <v>254</v>
      </c>
      <c r="D90" s="379">
        <f>IF(FixAffald2021&lt;&gt;0,Affald2021!C28,IF(AND($I24&lt;&gt;0,$G24=0),$M24/12,0))</f>
        <v>10.62</v>
      </c>
      <c r="E90" s="380">
        <f>IF(FixAffald2021&lt;&gt;0,Affald2021!D28,IF(AND($I24&lt;&gt;0,$G24=0),$M24/12,0))</f>
        <v>9.24</v>
      </c>
      <c r="F90" s="380">
        <f>IF(FixAffald2021&lt;&gt;0,Affald2021!E28,IF(AND($I24&lt;&gt;0,$G24=0),$M24/12,0))</f>
        <v>15.29</v>
      </c>
      <c r="G90" s="380">
        <f>IF(FixAffald2021&lt;&gt;0,Affald2021!F28,IF(AND($I24&lt;&gt;0,$G24=0),$M24/12,0))</f>
        <v>9.17</v>
      </c>
      <c r="H90" s="380">
        <f>IF(FixAffald2021&lt;&gt;0,Affald2021!G28,IF(AND($I24&lt;&gt;0,$G24=0),$M24/12,0))</f>
        <v>12.23</v>
      </c>
      <c r="I90" s="380">
        <f>IF(FixAffald2021&lt;&gt;0,Affald2021!H28,IF(AND($I24&lt;&gt;0,$G24=0),$M24/12,0))</f>
        <v>12.06</v>
      </c>
      <c r="J90" s="380">
        <f>IF(FixAffald2021&lt;&gt;0,Affald2021!I28,IF(AND($I24&lt;&gt;0,$G24=0),$M24/12,0))</f>
        <v>10.96</v>
      </c>
      <c r="K90" s="380">
        <f>IF(FixAffald2021&lt;&gt;0,Affald2021!J28,IF(AND($I24&lt;&gt;0,$G24=0),$M24/12,0))</f>
        <v>10.58</v>
      </c>
      <c r="L90" s="380">
        <f>IF(FixAffald2021&lt;&gt;0,Affald2021!K28,IF(AND($I24&lt;&gt;0,$G24=0),$M24/12,0))</f>
        <v>0.91</v>
      </c>
      <c r="M90" s="380">
        <f>IF(FixAffald2021&lt;&gt;0,Affald2021!L28,IF(AND($I24&lt;&gt;0,$G24=0),$M24/12,0))</f>
        <v>0</v>
      </c>
      <c r="N90" s="380">
        <f>IF(FixAffald2021&lt;&gt;0,Affald2021!M28,IF(AND($I24&lt;&gt;0,$G24=0),$M24/12,0))</f>
        <v>9.4700000000000006</v>
      </c>
      <c r="O90" s="380">
        <f>IF(FixAffald2021&lt;&gt;0,Affald2021!N28,IF(AND($I24&lt;&gt;0,$G24=0),$M24/12,0))</f>
        <v>13.41</v>
      </c>
      <c r="P90" s="241">
        <f t="shared" si="14"/>
        <v>9.4949999999999992</v>
      </c>
      <c r="Q90" s="242">
        <f t="shared" si="15"/>
        <v>9.4949999999999992</v>
      </c>
      <c r="R90" s="242">
        <f t="shared" si="15"/>
        <v>9.4949999999999992</v>
      </c>
      <c r="S90" s="242">
        <f t="shared" si="15"/>
        <v>9.4949999999999992</v>
      </c>
      <c r="T90" s="242">
        <f t="shared" si="15"/>
        <v>9.4949999999999992</v>
      </c>
      <c r="U90" s="242">
        <f t="shared" si="15"/>
        <v>9.4949999999999992</v>
      </c>
      <c r="V90" s="242">
        <f t="shared" si="15"/>
        <v>9.4949999999999992</v>
      </c>
      <c r="W90" s="242">
        <f t="shared" si="15"/>
        <v>9.4949999999999992</v>
      </c>
      <c r="X90" s="242">
        <f t="shared" si="15"/>
        <v>9.4949999999999992</v>
      </c>
      <c r="Y90" s="242">
        <f t="shared" si="15"/>
        <v>9.4949999999999992</v>
      </c>
      <c r="Z90" s="242">
        <f t="shared" si="15"/>
        <v>9.4949999999999992</v>
      </c>
      <c r="AA90" s="242">
        <f t="shared" si="15"/>
        <v>9.4949999999999992</v>
      </c>
      <c r="AB90" s="241">
        <f t="shared" si="15"/>
        <v>9.4949999999999992</v>
      </c>
      <c r="AC90" s="242">
        <f t="shared" si="15"/>
        <v>9.4949999999999992</v>
      </c>
      <c r="AD90" s="242">
        <f t="shared" si="15"/>
        <v>9.4949999999999992</v>
      </c>
      <c r="AE90" s="242">
        <f t="shared" si="15"/>
        <v>9.4949999999999992</v>
      </c>
      <c r="AF90" s="242">
        <f t="shared" si="15"/>
        <v>9.4949999999999992</v>
      </c>
      <c r="AG90" s="242">
        <f t="shared" si="15"/>
        <v>9.4949999999999992</v>
      </c>
      <c r="AH90" s="242">
        <f t="shared" si="15"/>
        <v>9.4949999999999992</v>
      </c>
      <c r="AI90" s="242">
        <f t="shared" si="15"/>
        <v>9.4949999999999992</v>
      </c>
      <c r="AJ90" s="242">
        <f t="shared" si="15"/>
        <v>9.4949999999999992</v>
      </c>
      <c r="AK90" s="242">
        <f t="shared" si="15"/>
        <v>9.4949999999999992</v>
      </c>
      <c r="AL90" s="242">
        <f t="shared" si="15"/>
        <v>9.4949999999999992</v>
      </c>
      <c r="AM90" s="242">
        <f t="shared" si="15"/>
        <v>9.4949999999999992</v>
      </c>
    </row>
    <row r="91" spans="2:39" s="239" customFormat="1" outlineLevel="1" x14ac:dyDescent="0.25">
      <c r="B91" s="239" t="str">
        <v>FlisAffald</v>
      </c>
      <c r="C91" s="240" t="s">
        <v>254</v>
      </c>
      <c r="D91" s="379">
        <f>IF(FixAffald2021&lt;&gt;0,Affald2021!C29,IF(AND($I25&lt;&gt;0,$G25=0),$M25/12,0))</f>
        <v>15.19</v>
      </c>
      <c r="E91" s="380">
        <f>IF(FixAffald2021&lt;&gt;0,Affald2021!D29,IF(AND($I25&lt;&gt;0,$G25=0),$M25/12,0))</f>
        <v>5.42</v>
      </c>
      <c r="F91" s="380">
        <f>IF(FixAffald2021&lt;&gt;0,Affald2021!E29,IF(AND($I25&lt;&gt;0,$G25=0),$M25/12,0))</f>
        <v>32.67</v>
      </c>
      <c r="G91" s="380">
        <f>IF(FixAffald2021&lt;&gt;0,Affald2021!F29,IF(AND($I25&lt;&gt;0,$G25=0),$M25/12,0))</f>
        <v>48.46</v>
      </c>
      <c r="H91" s="380">
        <f>IF(FixAffald2021&lt;&gt;0,Affald2021!G29,IF(AND($I25&lt;&gt;0,$G25=0),$M25/12,0))</f>
        <v>9.11</v>
      </c>
      <c r="I91" s="380">
        <f>IF(FixAffald2021&lt;&gt;0,Affald2021!H29,IF(AND($I25&lt;&gt;0,$G25=0),$M25/12,0))</f>
        <v>2.0499999999999998</v>
      </c>
      <c r="J91" s="380">
        <f>IF(FixAffald2021&lt;&gt;0,Affald2021!I29,IF(AND($I25&lt;&gt;0,$G25=0),$M25/12,0))</f>
        <v>23.1</v>
      </c>
      <c r="K91" s="380">
        <f>IF(FixAffald2021&lt;&gt;0,Affald2021!J29,IF(AND($I25&lt;&gt;0,$G25=0),$M25/12,0))</f>
        <v>25.1</v>
      </c>
      <c r="L91" s="380">
        <f>IF(FixAffald2021&lt;&gt;0,Affald2021!K29,IF(AND($I25&lt;&gt;0,$G25=0),$M25/12,0))</f>
        <v>24.47</v>
      </c>
      <c r="M91" s="380">
        <f>IF(FixAffald2021&lt;&gt;0,Affald2021!L29,IF(AND($I25&lt;&gt;0,$G25=0),$M25/12,0))</f>
        <v>15.68</v>
      </c>
      <c r="N91" s="380">
        <f>IF(FixAffald2021&lt;&gt;0,Affald2021!M29,IF(AND($I25&lt;&gt;0,$G25=0),$M25/12,0))</f>
        <v>4.9800000000000004</v>
      </c>
      <c r="O91" s="380">
        <f>IF(FixAffald2021&lt;&gt;0,Affald2021!N29,IF(AND($I25&lt;&gt;0,$G25=0),$M25/12,0))</f>
        <v>5.97</v>
      </c>
      <c r="P91" s="241">
        <f t="shared" si="14"/>
        <v>17.683333333333334</v>
      </c>
      <c r="Q91" s="242">
        <f t="shared" si="15"/>
        <v>17.683333333333334</v>
      </c>
      <c r="R91" s="242">
        <f t="shared" si="15"/>
        <v>17.683333333333334</v>
      </c>
      <c r="S91" s="242">
        <f t="shared" si="15"/>
        <v>17.683333333333334</v>
      </c>
      <c r="T91" s="242">
        <f t="shared" si="15"/>
        <v>17.683333333333334</v>
      </c>
      <c r="U91" s="242">
        <f t="shared" si="15"/>
        <v>17.683333333333334</v>
      </c>
      <c r="V91" s="242">
        <f t="shared" si="15"/>
        <v>17.683333333333334</v>
      </c>
      <c r="W91" s="242">
        <f t="shared" si="15"/>
        <v>17.683333333333334</v>
      </c>
      <c r="X91" s="242">
        <f t="shared" si="15"/>
        <v>17.683333333333334</v>
      </c>
      <c r="Y91" s="242">
        <f t="shared" si="15"/>
        <v>17.683333333333334</v>
      </c>
      <c r="Z91" s="242">
        <f t="shared" si="15"/>
        <v>17.683333333333334</v>
      </c>
      <c r="AA91" s="242">
        <f t="shared" si="15"/>
        <v>17.683333333333334</v>
      </c>
      <c r="AB91" s="241">
        <f t="shared" si="15"/>
        <v>17.683333333333334</v>
      </c>
      <c r="AC91" s="242">
        <f t="shared" si="15"/>
        <v>17.683333333333334</v>
      </c>
      <c r="AD91" s="242">
        <f t="shared" si="15"/>
        <v>17.683333333333334</v>
      </c>
      <c r="AE91" s="242">
        <f t="shared" si="15"/>
        <v>17.683333333333334</v>
      </c>
      <c r="AF91" s="242">
        <f t="shared" si="15"/>
        <v>17.683333333333334</v>
      </c>
      <c r="AG91" s="242">
        <f t="shared" si="15"/>
        <v>17.683333333333334</v>
      </c>
      <c r="AH91" s="242">
        <f t="shared" si="15"/>
        <v>17.683333333333334</v>
      </c>
      <c r="AI91" s="242">
        <f t="shared" si="15"/>
        <v>17.683333333333334</v>
      </c>
      <c r="AJ91" s="242">
        <f t="shared" si="15"/>
        <v>17.683333333333334</v>
      </c>
      <c r="AK91" s="242">
        <f t="shared" si="15"/>
        <v>17.683333333333334</v>
      </c>
      <c r="AL91" s="242">
        <f t="shared" si="15"/>
        <v>17.683333333333334</v>
      </c>
      <c r="AM91" s="242">
        <f t="shared" si="15"/>
        <v>17.683333333333334</v>
      </c>
    </row>
    <row r="92" spans="2:39" s="239" customFormat="1" outlineLevel="1" x14ac:dyDescent="0.25">
      <c r="B92" s="239" t="str">
        <v>NyAff1</v>
      </c>
      <c r="C92" s="240" t="s">
        <v>254</v>
      </c>
      <c r="D92" s="241">
        <f>IF(FixAffald2021&lt;&gt;0,Affald2021!C30,IF(AND($I26&lt;&gt;0,$G26=0),$M26/12,0))</f>
        <v>0</v>
      </c>
      <c r="E92" s="242">
        <f>IF(FixAffald2021&lt;&gt;0,Affald2021!D30,IF(AND($I26&lt;&gt;0,$G26=0),$M26/12,0))</f>
        <v>0</v>
      </c>
      <c r="F92" s="242">
        <f>IF(FixAffald2021&lt;&gt;0,Affald2021!E30,IF(AND($I26&lt;&gt;0,$G26=0),$M26/12,0))</f>
        <v>0</v>
      </c>
      <c r="G92" s="242">
        <f>IF(FixAffald2021&lt;&gt;0,Affald2021!F30,IF(AND($I26&lt;&gt;0,$G26=0),$M26/12,0))</f>
        <v>0</v>
      </c>
      <c r="H92" s="242">
        <f>IF(FixAffald2021&lt;&gt;0,Affald2021!G30,IF(AND($I26&lt;&gt;0,$G26=0),$M26/12,0))</f>
        <v>0</v>
      </c>
      <c r="I92" s="242">
        <f>IF(FixAffald2021&lt;&gt;0,Affald2021!H30,IF(AND($I26&lt;&gt;0,$G26=0),$M26/12,0))</f>
        <v>0</v>
      </c>
      <c r="J92" s="242">
        <f>IF(FixAffald2021&lt;&gt;0,Affald2021!I30,IF(AND($I26&lt;&gt;0,$G26=0),$M26/12,0))</f>
        <v>0</v>
      </c>
      <c r="K92" s="242">
        <f>IF(FixAffald2021&lt;&gt;0,Affald2021!J30,IF(AND($I26&lt;&gt;0,$G26=0),$M26/12,0))</f>
        <v>0</v>
      </c>
      <c r="L92" s="242">
        <f>IF(FixAffald2021&lt;&gt;0,Affald2021!K30,IF(AND($I26&lt;&gt;0,$G26=0),$M26/12,0))</f>
        <v>0</v>
      </c>
      <c r="M92" s="242">
        <f>IF(FixAffald2021&lt;&gt;0,Affald2021!L30,IF(AND($I26&lt;&gt;0,$G26=0),$M26/12,0))</f>
        <v>0</v>
      </c>
      <c r="N92" s="242">
        <f>IF(FixAffald2021&lt;&gt;0,Affald2021!M30,IF(AND($I26&lt;&gt;0,$G26=0),$M26/12,0))</f>
        <v>0</v>
      </c>
      <c r="O92" s="242">
        <f>IF(FixAffald2021&lt;&gt;0,Affald2021!N30,IF(AND($I26&lt;&gt;0,$G26=0),$M26/12,0))</f>
        <v>0</v>
      </c>
      <c r="P92" s="241">
        <f t="shared" si="14"/>
        <v>0</v>
      </c>
      <c r="Q92" s="242">
        <f t="shared" si="15"/>
        <v>0</v>
      </c>
      <c r="R92" s="242">
        <f t="shared" si="15"/>
        <v>0</v>
      </c>
      <c r="S92" s="242">
        <f t="shared" si="15"/>
        <v>0</v>
      </c>
      <c r="T92" s="242">
        <f t="shared" si="15"/>
        <v>0</v>
      </c>
      <c r="U92" s="242">
        <f t="shared" si="15"/>
        <v>0</v>
      </c>
      <c r="V92" s="242">
        <f t="shared" si="15"/>
        <v>0</v>
      </c>
      <c r="W92" s="242">
        <f t="shared" si="15"/>
        <v>0</v>
      </c>
      <c r="X92" s="242">
        <f t="shared" si="15"/>
        <v>0</v>
      </c>
      <c r="Y92" s="242">
        <f t="shared" si="15"/>
        <v>0</v>
      </c>
      <c r="Z92" s="242">
        <f t="shared" si="15"/>
        <v>0</v>
      </c>
      <c r="AA92" s="242">
        <f t="shared" si="15"/>
        <v>0</v>
      </c>
      <c r="AB92" s="241">
        <f t="shared" si="15"/>
        <v>0</v>
      </c>
      <c r="AC92" s="242">
        <f t="shared" si="15"/>
        <v>0</v>
      </c>
      <c r="AD92" s="242">
        <f t="shared" si="15"/>
        <v>0</v>
      </c>
      <c r="AE92" s="242">
        <f t="shared" si="15"/>
        <v>0</v>
      </c>
      <c r="AF92" s="242">
        <f t="shared" si="15"/>
        <v>0</v>
      </c>
      <c r="AG92" s="242">
        <f t="shared" si="15"/>
        <v>0</v>
      </c>
      <c r="AH92" s="242">
        <f t="shared" si="15"/>
        <v>0</v>
      </c>
      <c r="AI92" s="242">
        <f t="shared" si="15"/>
        <v>0</v>
      </c>
      <c r="AJ92" s="242">
        <f t="shared" si="15"/>
        <v>0</v>
      </c>
      <c r="AK92" s="242">
        <f t="shared" si="15"/>
        <v>0</v>
      </c>
      <c r="AL92" s="242">
        <f t="shared" si="15"/>
        <v>0</v>
      </c>
      <c r="AM92" s="242">
        <f t="shared" si="15"/>
        <v>0</v>
      </c>
    </row>
    <row r="93" spans="2:39" s="239" customFormat="1" outlineLevel="1" x14ac:dyDescent="0.25">
      <c r="B93" s="239" t="str">
        <v>NyAff2</v>
      </c>
      <c r="C93" s="240" t="s">
        <v>254</v>
      </c>
      <c r="D93" s="241">
        <f>IF(FixAffald2021&lt;&gt;0,Affald2021!C31,IF(AND($I27&lt;&gt;0,$G27=0),$M27/12,0))</f>
        <v>0</v>
      </c>
      <c r="E93" s="242">
        <f>IF(FixAffald2021&lt;&gt;0,Affald2021!D31,IF(AND($I27&lt;&gt;0,$G27=0),$M27/12,0))</f>
        <v>0</v>
      </c>
      <c r="F93" s="242">
        <f>IF(FixAffald2021&lt;&gt;0,Affald2021!E31,IF(AND($I27&lt;&gt;0,$G27=0),$M27/12,0))</f>
        <v>0</v>
      </c>
      <c r="G93" s="242">
        <f>IF(FixAffald2021&lt;&gt;0,Affald2021!F31,IF(AND($I27&lt;&gt;0,$G27=0),$M27/12,0))</f>
        <v>0</v>
      </c>
      <c r="H93" s="242">
        <f>IF(FixAffald2021&lt;&gt;0,Affald2021!G31,IF(AND($I27&lt;&gt;0,$G27=0),$M27/12,0))</f>
        <v>0</v>
      </c>
      <c r="I93" s="242">
        <f>IF(FixAffald2021&lt;&gt;0,Affald2021!H31,IF(AND($I27&lt;&gt;0,$G27=0),$M27/12,0))</f>
        <v>0</v>
      </c>
      <c r="J93" s="242">
        <f>IF(FixAffald2021&lt;&gt;0,Affald2021!I31,IF(AND($I27&lt;&gt;0,$G27=0),$M27/12,0))</f>
        <v>0</v>
      </c>
      <c r="K93" s="242">
        <f>IF(FixAffald2021&lt;&gt;0,Affald2021!J31,IF(AND($I27&lt;&gt;0,$G27=0),$M27/12,0))</f>
        <v>0</v>
      </c>
      <c r="L93" s="242">
        <f>IF(FixAffald2021&lt;&gt;0,Affald2021!K31,IF(AND($I27&lt;&gt;0,$G27=0),$M27/12,0))</f>
        <v>0</v>
      </c>
      <c r="M93" s="242">
        <f>IF(FixAffald2021&lt;&gt;0,Affald2021!L31,IF(AND($I27&lt;&gt;0,$G27=0),$M27/12,0))</f>
        <v>0</v>
      </c>
      <c r="N93" s="242">
        <f>IF(FixAffald2021&lt;&gt;0,Affald2021!M31,IF(AND($I27&lt;&gt;0,$G27=0),$M27/12,0))</f>
        <v>0</v>
      </c>
      <c r="O93" s="242">
        <f>IF(FixAffald2021&lt;&gt;0,Affald2021!N31,IF(AND($I27&lt;&gt;0,$G27=0),$M27/12,0))</f>
        <v>0</v>
      </c>
      <c r="P93" s="241">
        <f t="shared" si="14"/>
        <v>0</v>
      </c>
      <c r="Q93" s="242">
        <f t="shared" si="15"/>
        <v>0</v>
      </c>
      <c r="R93" s="242">
        <f t="shared" si="15"/>
        <v>0</v>
      </c>
      <c r="S93" s="242">
        <f t="shared" si="15"/>
        <v>0</v>
      </c>
      <c r="T93" s="242">
        <f t="shared" si="15"/>
        <v>0</v>
      </c>
      <c r="U93" s="242">
        <f t="shared" si="15"/>
        <v>0</v>
      </c>
      <c r="V93" s="242">
        <f t="shared" si="15"/>
        <v>0</v>
      </c>
      <c r="W93" s="242">
        <f t="shared" si="15"/>
        <v>0</v>
      </c>
      <c r="X93" s="242">
        <f t="shared" si="15"/>
        <v>0</v>
      </c>
      <c r="Y93" s="242">
        <f t="shared" si="15"/>
        <v>0</v>
      </c>
      <c r="Z93" s="242">
        <f t="shared" si="15"/>
        <v>0</v>
      </c>
      <c r="AA93" s="242">
        <f t="shared" si="15"/>
        <v>0</v>
      </c>
      <c r="AB93" s="241">
        <f t="shared" si="15"/>
        <v>0</v>
      </c>
      <c r="AC93" s="242">
        <f t="shared" si="15"/>
        <v>0</v>
      </c>
      <c r="AD93" s="242">
        <f t="shared" si="15"/>
        <v>0</v>
      </c>
      <c r="AE93" s="242">
        <f t="shared" si="15"/>
        <v>0</v>
      </c>
      <c r="AF93" s="242">
        <f t="shared" si="15"/>
        <v>0</v>
      </c>
      <c r="AG93" s="242">
        <f t="shared" si="15"/>
        <v>0</v>
      </c>
      <c r="AH93" s="242">
        <f t="shared" si="15"/>
        <v>0</v>
      </c>
      <c r="AI93" s="242">
        <f t="shared" si="15"/>
        <v>0</v>
      </c>
      <c r="AJ93" s="242">
        <f t="shared" ref="Q93:AM99" si="16">IF(AND($I27&lt;&gt;0,$G27=0),$M27/12,0)</f>
        <v>0</v>
      </c>
      <c r="AK93" s="242">
        <f t="shared" si="16"/>
        <v>0</v>
      </c>
      <c r="AL93" s="242">
        <f t="shared" si="16"/>
        <v>0</v>
      </c>
      <c r="AM93" s="242">
        <f t="shared" si="16"/>
        <v>0</v>
      </c>
    </row>
    <row r="94" spans="2:39" s="239" customFormat="1" outlineLevel="1" x14ac:dyDescent="0.25">
      <c r="B94" s="239" t="str">
        <v>NyAff3</v>
      </c>
      <c r="C94" s="240" t="s">
        <v>254</v>
      </c>
      <c r="D94" s="241">
        <f>IF(FixAffald2021&lt;&gt;0,Affald2021!C32,IF(AND($I28&lt;&gt;0,$G28=0),$M28/12,0))</f>
        <v>0</v>
      </c>
      <c r="E94" s="242">
        <f>IF(FixAffald2021&lt;&gt;0,Affald2021!D32,IF(AND($I28&lt;&gt;0,$G28=0),$M28/12,0))</f>
        <v>0</v>
      </c>
      <c r="F94" s="242">
        <f>IF(FixAffald2021&lt;&gt;0,Affald2021!E32,IF(AND($I28&lt;&gt;0,$G28=0),$M28/12,0))</f>
        <v>0</v>
      </c>
      <c r="G94" s="242">
        <f>IF(FixAffald2021&lt;&gt;0,Affald2021!F32,IF(AND($I28&lt;&gt;0,$G28=0),$M28/12,0))</f>
        <v>0</v>
      </c>
      <c r="H94" s="242">
        <f>IF(FixAffald2021&lt;&gt;0,Affald2021!G32,IF(AND($I28&lt;&gt;0,$G28=0),$M28/12,0))</f>
        <v>0</v>
      </c>
      <c r="I94" s="242">
        <f>IF(FixAffald2021&lt;&gt;0,Affald2021!H32,IF(AND($I28&lt;&gt;0,$G28=0),$M28/12,0))</f>
        <v>0</v>
      </c>
      <c r="J94" s="242">
        <f>IF(FixAffald2021&lt;&gt;0,Affald2021!I32,IF(AND($I28&lt;&gt;0,$G28=0),$M28/12,0))</f>
        <v>0</v>
      </c>
      <c r="K94" s="242">
        <f>IF(FixAffald2021&lt;&gt;0,Affald2021!J32,IF(AND($I28&lt;&gt;0,$G28=0),$M28/12,0))</f>
        <v>0</v>
      </c>
      <c r="L94" s="242">
        <f>IF(FixAffald2021&lt;&gt;0,Affald2021!K32,IF(AND($I28&lt;&gt;0,$G28=0),$M28/12,0))</f>
        <v>0</v>
      </c>
      <c r="M94" s="242">
        <f>IF(FixAffald2021&lt;&gt;0,Affald2021!L32,IF(AND($I28&lt;&gt;0,$G28=0),$M28/12,0))</f>
        <v>0</v>
      </c>
      <c r="N94" s="242">
        <f>IF(FixAffald2021&lt;&gt;0,Affald2021!M32,IF(AND($I28&lt;&gt;0,$G28=0),$M28/12,0))</f>
        <v>0</v>
      </c>
      <c r="O94" s="242">
        <f>IF(FixAffald2021&lt;&gt;0,Affald2021!N32,IF(AND($I28&lt;&gt;0,$G28=0),$M28/12,0))</f>
        <v>0</v>
      </c>
      <c r="P94" s="241">
        <f t="shared" si="14"/>
        <v>0</v>
      </c>
      <c r="Q94" s="242">
        <f t="shared" si="16"/>
        <v>0</v>
      </c>
      <c r="R94" s="242">
        <f t="shared" si="16"/>
        <v>0</v>
      </c>
      <c r="S94" s="242">
        <f t="shared" si="16"/>
        <v>0</v>
      </c>
      <c r="T94" s="242">
        <f t="shared" si="16"/>
        <v>0</v>
      </c>
      <c r="U94" s="242">
        <f t="shared" si="16"/>
        <v>0</v>
      </c>
      <c r="V94" s="242">
        <f t="shared" si="16"/>
        <v>0</v>
      </c>
      <c r="W94" s="242">
        <f t="shared" si="16"/>
        <v>0</v>
      </c>
      <c r="X94" s="242">
        <f t="shared" si="16"/>
        <v>0</v>
      </c>
      <c r="Y94" s="242">
        <f t="shared" si="16"/>
        <v>0</v>
      </c>
      <c r="Z94" s="242">
        <f t="shared" si="16"/>
        <v>0</v>
      </c>
      <c r="AA94" s="242">
        <f t="shared" si="16"/>
        <v>0</v>
      </c>
      <c r="AB94" s="241">
        <f t="shared" si="16"/>
        <v>0</v>
      </c>
      <c r="AC94" s="242">
        <f t="shared" si="16"/>
        <v>0</v>
      </c>
      <c r="AD94" s="242">
        <f t="shared" si="16"/>
        <v>0</v>
      </c>
      <c r="AE94" s="242">
        <f t="shared" si="16"/>
        <v>0</v>
      </c>
      <c r="AF94" s="242">
        <f t="shared" si="16"/>
        <v>0</v>
      </c>
      <c r="AG94" s="242">
        <f t="shared" si="16"/>
        <v>0</v>
      </c>
      <c r="AH94" s="242">
        <f t="shared" si="16"/>
        <v>0</v>
      </c>
      <c r="AI94" s="242">
        <f t="shared" si="16"/>
        <v>0</v>
      </c>
      <c r="AJ94" s="242">
        <f t="shared" si="16"/>
        <v>0</v>
      </c>
      <c r="AK94" s="242">
        <f t="shared" si="16"/>
        <v>0</v>
      </c>
      <c r="AL94" s="242">
        <f t="shared" si="16"/>
        <v>0</v>
      </c>
      <c r="AM94" s="242">
        <f t="shared" si="16"/>
        <v>0</v>
      </c>
    </row>
    <row r="95" spans="2:39" s="239" customFormat="1" outlineLevel="1" x14ac:dyDescent="0.25">
      <c r="B95" s="239" t="str">
        <v>NyAff4</v>
      </c>
      <c r="C95" s="240" t="s">
        <v>254</v>
      </c>
      <c r="D95" s="241">
        <f>IF(FixAffald2021&lt;&gt;0,Affald2021!C33,IF(AND($I29&lt;&gt;0,$G29=0),$M29/12,0))</f>
        <v>0</v>
      </c>
      <c r="E95" s="242">
        <f>IF(FixAffald2021&lt;&gt;0,Affald2021!D33,IF(AND($I29&lt;&gt;0,$G29=0),$M29/12,0))</f>
        <v>0</v>
      </c>
      <c r="F95" s="242">
        <f>IF(FixAffald2021&lt;&gt;0,Affald2021!E33,IF(AND($I29&lt;&gt;0,$G29=0),$M29/12,0))</f>
        <v>0</v>
      </c>
      <c r="G95" s="242">
        <f>IF(FixAffald2021&lt;&gt;0,Affald2021!F33,IF(AND($I29&lt;&gt;0,$G29=0),$M29/12,0))</f>
        <v>0</v>
      </c>
      <c r="H95" s="242">
        <f>IF(FixAffald2021&lt;&gt;0,Affald2021!G33,IF(AND($I29&lt;&gt;0,$G29=0),$M29/12,0))</f>
        <v>0</v>
      </c>
      <c r="I95" s="242">
        <f>IF(FixAffald2021&lt;&gt;0,Affald2021!H33,IF(AND($I29&lt;&gt;0,$G29=0),$M29/12,0))</f>
        <v>0</v>
      </c>
      <c r="J95" s="242">
        <f>IF(FixAffald2021&lt;&gt;0,Affald2021!I33,IF(AND($I29&lt;&gt;0,$G29=0),$M29/12,0))</f>
        <v>0</v>
      </c>
      <c r="K95" s="242">
        <f>IF(FixAffald2021&lt;&gt;0,Affald2021!J33,IF(AND($I29&lt;&gt;0,$G29=0),$M29/12,0))</f>
        <v>0</v>
      </c>
      <c r="L95" s="242">
        <f>IF(FixAffald2021&lt;&gt;0,Affald2021!K33,IF(AND($I29&lt;&gt;0,$G29=0),$M29/12,0))</f>
        <v>0</v>
      </c>
      <c r="M95" s="242">
        <f>IF(FixAffald2021&lt;&gt;0,Affald2021!L33,IF(AND($I29&lt;&gt;0,$G29=0),$M29/12,0))</f>
        <v>0</v>
      </c>
      <c r="N95" s="242">
        <f>IF(FixAffald2021&lt;&gt;0,Affald2021!M33,IF(AND($I29&lt;&gt;0,$G29=0),$M29/12,0))</f>
        <v>0</v>
      </c>
      <c r="O95" s="242">
        <f>IF(FixAffald2021&lt;&gt;0,Affald2021!N33,IF(AND($I29&lt;&gt;0,$G29=0),$M29/12,0))</f>
        <v>0</v>
      </c>
      <c r="P95" s="241">
        <f t="shared" si="14"/>
        <v>0</v>
      </c>
      <c r="Q95" s="242">
        <f t="shared" si="16"/>
        <v>0</v>
      </c>
      <c r="R95" s="242">
        <f t="shared" si="16"/>
        <v>0</v>
      </c>
      <c r="S95" s="242">
        <f t="shared" si="16"/>
        <v>0</v>
      </c>
      <c r="T95" s="242">
        <f t="shared" si="16"/>
        <v>0</v>
      </c>
      <c r="U95" s="242">
        <f t="shared" si="16"/>
        <v>0</v>
      </c>
      <c r="V95" s="242">
        <f t="shared" si="16"/>
        <v>0</v>
      </c>
      <c r="W95" s="242">
        <f t="shared" si="16"/>
        <v>0</v>
      </c>
      <c r="X95" s="242">
        <f t="shared" si="16"/>
        <v>0</v>
      </c>
      <c r="Y95" s="242">
        <f t="shared" si="16"/>
        <v>0</v>
      </c>
      <c r="Z95" s="242">
        <f t="shared" si="16"/>
        <v>0</v>
      </c>
      <c r="AA95" s="242">
        <f t="shared" si="16"/>
        <v>0</v>
      </c>
      <c r="AB95" s="241">
        <f t="shared" si="16"/>
        <v>0</v>
      </c>
      <c r="AC95" s="242">
        <f t="shared" si="16"/>
        <v>0</v>
      </c>
      <c r="AD95" s="242">
        <f t="shared" si="16"/>
        <v>0</v>
      </c>
      <c r="AE95" s="242">
        <f t="shared" si="16"/>
        <v>0</v>
      </c>
      <c r="AF95" s="242">
        <f t="shared" si="16"/>
        <v>0</v>
      </c>
      <c r="AG95" s="242">
        <f t="shared" si="16"/>
        <v>0</v>
      </c>
      <c r="AH95" s="242">
        <f t="shared" si="16"/>
        <v>0</v>
      </c>
      <c r="AI95" s="242">
        <f t="shared" si="16"/>
        <v>0</v>
      </c>
      <c r="AJ95" s="242">
        <f t="shared" si="16"/>
        <v>0</v>
      </c>
      <c r="AK95" s="242">
        <f t="shared" si="16"/>
        <v>0</v>
      </c>
      <c r="AL95" s="242">
        <f t="shared" si="16"/>
        <v>0</v>
      </c>
      <c r="AM95" s="242">
        <f t="shared" si="16"/>
        <v>0</v>
      </c>
    </row>
    <row r="96" spans="2:39" s="239" customFormat="1" outlineLevel="1" x14ac:dyDescent="0.25">
      <c r="B96" s="239" t="str">
        <v>NyAff5</v>
      </c>
      <c r="C96" s="240" t="s">
        <v>254</v>
      </c>
      <c r="D96" s="241">
        <f>IF(FixAffald2021&lt;&gt;0,Affald2021!C34,IF(AND($I30&lt;&gt;0,$G30=0),$M30/12,0))</f>
        <v>0</v>
      </c>
      <c r="E96" s="242">
        <f>IF(FixAffald2021&lt;&gt;0,Affald2021!D34,IF(AND($I30&lt;&gt;0,$G30=0),$M30/12,0))</f>
        <v>0</v>
      </c>
      <c r="F96" s="242">
        <f>IF(FixAffald2021&lt;&gt;0,Affald2021!E34,IF(AND($I30&lt;&gt;0,$G30=0),$M30/12,0))</f>
        <v>0</v>
      </c>
      <c r="G96" s="242">
        <f>IF(FixAffald2021&lt;&gt;0,Affald2021!F34,IF(AND($I30&lt;&gt;0,$G30=0),$M30/12,0))</f>
        <v>0</v>
      </c>
      <c r="H96" s="242">
        <f>IF(FixAffald2021&lt;&gt;0,Affald2021!G34,IF(AND($I30&lt;&gt;0,$G30=0),$M30/12,0))</f>
        <v>0</v>
      </c>
      <c r="I96" s="242">
        <f>IF(FixAffald2021&lt;&gt;0,Affald2021!H34,IF(AND($I30&lt;&gt;0,$G30=0),$M30/12,0))</f>
        <v>0</v>
      </c>
      <c r="J96" s="242">
        <f>IF(FixAffald2021&lt;&gt;0,Affald2021!I34,IF(AND($I30&lt;&gt;0,$G30=0),$M30/12,0))</f>
        <v>0</v>
      </c>
      <c r="K96" s="242">
        <f>IF(FixAffald2021&lt;&gt;0,Affald2021!J34,IF(AND($I30&lt;&gt;0,$G30=0),$M30/12,0))</f>
        <v>0</v>
      </c>
      <c r="L96" s="242">
        <f>IF(FixAffald2021&lt;&gt;0,Affald2021!K34,IF(AND($I30&lt;&gt;0,$G30=0),$M30/12,0))</f>
        <v>0</v>
      </c>
      <c r="M96" s="242">
        <f>IF(FixAffald2021&lt;&gt;0,Affald2021!L34,IF(AND($I30&lt;&gt;0,$G30=0),$M30/12,0))</f>
        <v>0</v>
      </c>
      <c r="N96" s="242">
        <f>IF(FixAffald2021&lt;&gt;0,Affald2021!M34,IF(AND($I30&lt;&gt;0,$G30=0),$M30/12,0))</f>
        <v>0</v>
      </c>
      <c r="O96" s="242">
        <f>IF(FixAffald2021&lt;&gt;0,Affald2021!N34,IF(AND($I30&lt;&gt;0,$G30=0),$M30/12,0))</f>
        <v>0</v>
      </c>
      <c r="P96" s="241">
        <f t="shared" si="14"/>
        <v>0</v>
      </c>
      <c r="Q96" s="242">
        <f t="shared" si="16"/>
        <v>0</v>
      </c>
      <c r="R96" s="242">
        <f t="shared" si="16"/>
        <v>0</v>
      </c>
      <c r="S96" s="242">
        <f t="shared" si="16"/>
        <v>0</v>
      </c>
      <c r="T96" s="242">
        <f t="shared" si="16"/>
        <v>0</v>
      </c>
      <c r="U96" s="242">
        <f t="shared" si="16"/>
        <v>0</v>
      </c>
      <c r="V96" s="242">
        <f t="shared" si="16"/>
        <v>0</v>
      </c>
      <c r="W96" s="242">
        <f t="shared" si="16"/>
        <v>0</v>
      </c>
      <c r="X96" s="242">
        <f t="shared" si="16"/>
        <v>0</v>
      </c>
      <c r="Y96" s="242">
        <f t="shared" si="16"/>
        <v>0</v>
      </c>
      <c r="Z96" s="242">
        <f t="shared" si="16"/>
        <v>0</v>
      </c>
      <c r="AA96" s="242">
        <f t="shared" si="16"/>
        <v>0</v>
      </c>
      <c r="AB96" s="241">
        <f t="shared" si="16"/>
        <v>0</v>
      </c>
      <c r="AC96" s="242">
        <f t="shared" si="16"/>
        <v>0</v>
      </c>
      <c r="AD96" s="242">
        <f t="shared" si="16"/>
        <v>0</v>
      </c>
      <c r="AE96" s="242">
        <f t="shared" si="16"/>
        <v>0</v>
      </c>
      <c r="AF96" s="242">
        <f t="shared" si="16"/>
        <v>0</v>
      </c>
      <c r="AG96" s="242">
        <f t="shared" si="16"/>
        <v>0</v>
      </c>
      <c r="AH96" s="242">
        <f t="shared" si="16"/>
        <v>0</v>
      </c>
      <c r="AI96" s="242">
        <f t="shared" si="16"/>
        <v>0</v>
      </c>
      <c r="AJ96" s="242">
        <f t="shared" si="16"/>
        <v>0</v>
      </c>
      <c r="AK96" s="242">
        <f t="shared" si="16"/>
        <v>0</v>
      </c>
      <c r="AL96" s="242">
        <f t="shared" si="16"/>
        <v>0</v>
      </c>
      <c r="AM96" s="242">
        <f t="shared" si="16"/>
        <v>0</v>
      </c>
    </row>
    <row r="97" spans="1:39" outlineLevel="1" x14ac:dyDescent="0.25">
      <c r="A97" s="294"/>
      <c r="B97" t="str" cm="1">
        <f t="array" ref="B97:B99">ØvrigeBrændsler</f>
        <v>Flis</v>
      </c>
      <c r="C97" s="240" t="s">
        <v>254</v>
      </c>
      <c r="D97" s="241">
        <f>IF(FixAffald2021&lt;&gt;0,Affald2021!C35,IF(AND($I31&lt;&gt;0,$G31=0),$M31/12,0))</f>
        <v>0</v>
      </c>
      <c r="E97" s="242">
        <f>IF(FixAffald2021&lt;&gt;0,Affald2021!D35,IF(AND($I31&lt;&gt;0,$G31=0),$M31/12,0))</f>
        <v>0</v>
      </c>
      <c r="F97" s="242">
        <f>IF(FixAffald2021&lt;&gt;0,Affald2021!E35,IF(AND($I31&lt;&gt;0,$G31=0),$M31/12,0))</f>
        <v>0</v>
      </c>
      <c r="G97" s="242">
        <f>IF(FixAffald2021&lt;&gt;0,Affald2021!F35,IF(AND($I31&lt;&gt;0,$G31=0),$M31/12,0))</f>
        <v>0</v>
      </c>
      <c r="H97" s="242">
        <f>IF(FixAffald2021&lt;&gt;0,Affald2021!G35,IF(AND($I31&lt;&gt;0,$G31=0),$M31/12,0))</f>
        <v>0</v>
      </c>
      <c r="I97" s="242">
        <f>IF(FixAffald2021&lt;&gt;0,Affald2021!H35,IF(AND($I31&lt;&gt;0,$G31=0),$M31/12,0))</f>
        <v>0</v>
      </c>
      <c r="J97" s="242">
        <f>IF(FixAffald2021&lt;&gt;0,Affald2021!I35,IF(AND($I31&lt;&gt;0,$G31=0),$M31/12,0))</f>
        <v>0</v>
      </c>
      <c r="K97" s="242">
        <f>IF(FixAffald2021&lt;&gt;0,Affald2021!J35,IF(AND($I31&lt;&gt;0,$G31=0),$M31/12,0))</f>
        <v>0</v>
      </c>
      <c r="L97" s="242">
        <f>IF(FixAffald2021&lt;&gt;0,Affald2021!K35,IF(AND($I31&lt;&gt;0,$G31=0),$M31/12,0))</f>
        <v>0</v>
      </c>
      <c r="M97" s="242">
        <f>IF(FixAffald2021&lt;&gt;0,Affald2021!L35,IF(AND($I31&lt;&gt;0,$G31=0),$M31/12,0))</f>
        <v>0</v>
      </c>
      <c r="N97" s="242">
        <f>IF(FixAffald2021&lt;&gt;0,Affald2021!M35,IF(AND($I31&lt;&gt;0,$G31=0),$M31/12,0))</f>
        <v>0</v>
      </c>
      <c r="O97" s="242">
        <f>IF(FixAffald2021&lt;&gt;0,Affald2021!N35,IF(AND($I31&lt;&gt;0,$G31=0),$M31/12,0))</f>
        <v>0</v>
      </c>
      <c r="P97" s="241">
        <f t="shared" si="14"/>
        <v>0</v>
      </c>
      <c r="Q97" s="242">
        <f t="shared" si="16"/>
        <v>0</v>
      </c>
      <c r="R97" s="242">
        <f t="shared" si="16"/>
        <v>0</v>
      </c>
      <c r="S97" s="242">
        <f t="shared" si="16"/>
        <v>0</v>
      </c>
      <c r="T97" s="242">
        <f t="shared" si="16"/>
        <v>0</v>
      </c>
      <c r="U97" s="242">
        <f t="shared" si="16"/>
        <v>0</v>
      </c>
      <c r="V97" s="242">
        <f t="shared" si="16"/>
        <v>0</v>
      </c>
      <c r="W97" s="242">
        <f t="shared" si="16"/>
        <v>0</v>
      </c>
      <c r="X97" s="242">
        <f t="shared" si="16"/>
        <v>0</v>
      </c>
      <c r="Y97" s="242">
        <f t="shared" si="16"/>
        <v>0</v>
      </c>
      <c r="Z97" s="242">
        <f t="shared" si="16"/>
        <v>0</v>
      </c>
      <c r="AA97" s="242">
        <f t="shared" si="16"/>
        <v>0</v>
      </c>
      <c r="AB97" s="241">
        <f t="shared" si="16"/>
        <v>0</v>
      </c>
      <c r="AC97" s="242">
        <f t="shared" si="16"/>
        <v>0</v>
      </c>
      <c r="AD97" s="242">
        <f t="shared" si="16"/>
        <v>0</v>
      </c>
      <c r="AE97" s="242">
        <f t="shared" si="16"/>
        <v>0</v>
      </c>
      <c r="AF97" s="242">
        <f t="shared" si="16"/>
        <v>0</v>
      </c>
      <c r="AG97" s="242">
        <f t="shared" si="16"/>
        <v>0</v>
      </c>
      <c r="AH97" s="242">
        <f t="shared" si="16"/>
        <v>0</v>
      </c>
      <c r="AI97" s="242">
        <f t="shared" si="16"/>
        <v>0</v>
      </c>
      <c r="AJ97" s="242">
        <f t="shared" si="16"/>
        <v>0</v>
      </c>
      <c r="AK97" s="242">
        <f t="shared" si="16"/>
        <v>0</v>
      </c>
      <c r="AL97" s="242">
        <f t="shared" si="16"/>
        <v>0</v>
      </c>
      <c r="AM97" s="242">
        <f t="shared" si="16"/>
        <v>0</v>
      </c>
    </row>
    <row r="98" spans="1:39" outlineLevel="1" x14ac:dyDescent="0.25">
      <c r="A98" s="295"/>
      <c r="B98" t="str">
        <v>NSvarme</v>
      </c>
      <c r="C98" s="240" t="s">
        <v>254</v>
      </c>
      <c r="D98" s="241">
        <f>IF(FixAffald2021&lt;&gt;0,Affald2021!C36,IF(AND($I32&lt;&gt;0,$G32=0),$M32/12,0))</f>
        <v>0</v>
      </c>
      <c r="E98" s="242">
        <f>IF(FixAffald2021&lt;&gt;0,Affald2021!D36,IF(AND($I32&lt;&gt;0,$G32=0),$M32/12,0))</f>
        <v>0</v>
      </c>
      <c r="F98" s="242">
        <f>IF(FixAffald2021&lt;&gt;0,Affald2021!E36,IF(AND($I32&lt;&gt;0,$G32=0),$M32/12,0))</f>
        <v>0</v>
      </c>
      <c r="G98" s="242">
        <f>IF(FixAffald2021&lt;&gt;0,Affald2021!F36,IF(AND($I32&lt;&gt;0,$G32=0),$M32/12,0))</f>
        <v>0</v>
      </c>
      <c r="H98" s="242">
        <f>IF(FixAffald2021&lt;&gt;0,Affald2021!G36,IF(AND($I32&lt;&gt;0,$G32=0),$M32/12,0))</f>
        <v>0</v>
      </c>
      <c r="I98" s="242">
        <f>IF(FixAffald2021&lt;&gt;0,Affald2021!H36,IF(AND($I32&lt;&gt;0,$G32=0),$M32/12,0))</f>
        <v>0</v>
      </c>
      <c r="J98" s="242">
        <f>IF(FixAffald2021&lt;&gt;0,Affald2021!I36,IF(AND($I32&lt;&gt;0,$G32=0),$M32/12,0))</f>
        <v>0</v>
      </c>
      <c r="K98" s="242">
        <f>IF(FixAffald2021&lt;&gt;0,Affald2021!J36,IF(AND($I32&lt;&gt;0,$G32=0),$M32/12,0))</f>
        <v>0</v>
      </c>
      <c r="L98" s="242">
        <f>IF(FixAffald2021&lt;&gt;0,Affald2021!K36,IF(AND($I32&lt;&gt;0,$G32=0),$M32/12,0))</f>
        <v>0</v>
      </c>
      <c r="M98" s="242">
        <f>IF(FixAffald2021&lt;&gt;0,Affald2021!L36,IF(AND($I32&lt;&gt;0,$G32=0),$M32/12,0))</f>
        <v>0</v>
      </c>
      <c r="N98" s="242">
        <f>IF(FixAffald2021&lt;&gt;0,Affald2021!M36,IF(AND($I32&lt;&gt;0,$G32=0),$M32/12,0))</f>
        <v>0</v>
      </c>
      <c r="O98" s="242">
        <f>IF(FixAffald2021&lt;&gt;0,Affald2021!N36,IF(AND($I32&lt;&gt;0,$G32=0),$M32/12,0))</f>
        <v>0</v>
      </c>
      <c r="P98" s="241">
        <f t="shared" si="14"/>
        <v>0</v>
      </c>
      <c r="Q98" s="242">
        <f t="shared" si="16"/>
        <v>0</v>
      </c>
      <c r="R98" s="242">
        <f t="shared" si="16"/>
        <v>0</v>
      </c>
      <c r="S98" s="242">
        <f t="shared" si="16"/>
        <v>0</v>
      </c>
      <c r="T98" s="242">
        <f t="shared" si="16"/>
        <v>0</v>
      </c>
      <c r="U98" s="242">
        <f t="shared" si="16"/>
        <v>0</v>
      </c>
      <c r="V98" s="242">
        <f t="shared" si="16"/>
        <v>0</v>
      </c>
      <c r="W98" s="242">
        <f t="shared" si="16"/>
        <v>0</v>
      </c>
      <c r="X98" s="242">
        <f t="shared" si="16"/>
        <v>0</v>
      </c>
      <c r="Y98" s="242">
        <f t="shared" si="16"/>
        <v>0</v>
      </c>
      <c r="Z98" s="242">
        <f t="shared" si="16"/>
        <v>0</v>
      </c>
      <c r="AA98" s="242">
        <f t="shared" si="16"/>
        <v>0</v>
      </c>
      <c r="AB98" s="241">
        <f t="shared" si="16"/>
        <v>0</v>
      </c>
      <c r="AC98" s="242">
        <f t="shared" si="16"/>
        <v>0</v>
      </c>
      <c r="AD98" s="242">
        <f t="shared" si="16"/>
        <v>0</v>
      </c>
      <c r="AE98" s="242">
        <f t="shared" si="16"/>
        <v>0</v>
      </c>
      <c r="AF98" s="242">
        <f t="shared" si="16"/>
        <v>0</v>
      </c>
      <c r="AG98" s="242">
        <f t="shared" si="16"/>
        <v>0</v>
      </c>
      <c r="AH98" s="242">
        <f t="shared" si="16"/>
        <v>0</v>
      </c>
      <c r="AI98" s="242">
        <f t="shared" si="16"/>
        <v>0</v>
      </c>
      <c r="AJ98" s="242">
        <f t="shared" si="16"/>
        <v>0</v>
      </c>
      <c r="AK98" s="242">
        <f t="shared" si="16"/>
        <v>0</v>
      </c>
      <c r="AL98" s="242">
        <f t="shared" si="16"/>
        <v>0</v>
      </c>
      <c r="AM98" s="242">
        <f t="shared" si="16"/>
        <v>0</v>
      </c>
    </row>
    <row r="99" spans="1:39" outlineLevel="1" x14ac:dyDescent="0.25">
      <c r="A99" s="295"/>
      <c r="B99" t="str">
        <v>PeakFuel</v>
      </c>
      <c r="C99" s="240" t="s">
        <v>254</v>
      </c>
      <c r="D99" s="241">
        <f>IF(FixAffald2021&lt;&gt;0,Affald2021!C37,IF(AND($I33&lt;&gt;0,$G33=0),$M33/12,0))</f>
        <v>0</v>
      </c>
      <c r="E99" s="242">
        <f>IF(FixAffald2021&lt;&gt;0,Affald2021!D37,IF(AND($I33&lt;&gt;0,$G33=0),$M33/12,0))</f>
        <v>0</v>
      </c>
      <c r="F99" s="242">
        <f>IF(FixAffald2021&lt;&gt;0,Affald2021!E37,IF(AND($I33&lt;&gt;0,$G33=0),$M33/12,0))</f>
        <v>0</v>
      </c>
      <c r="G99" s="242">
        <f>IF(FixAffald2021&lt;&gt;0,Affald2021!F37,IF(AND($I33&lt;&gt;0,$G33=0),$M33/12,0))</f>
        <v>0</v>
      </c>
      <c r="H99" s="242">
        <f>IF(FixAffald2021&lt;&gt;0,Affald2021!G37,IF(AND($I33&lt;&gt;0,$G33=0),$M33/12,0))</f>
        <v>0</v>
      </c>
      <c r="I99" s="242">
        <f>IF(FixAffald2021&lt;&gt;0,Affald2021!H37,IF(AND($I33&lt;&gt;0,$G33=0),$M33/12,0))</f>
        <v>0</v>
      </c>
      <c r="J99" s="242">
        <f>IF(FixAffald2021&lt;&gt;0,Affald2021!I37,IF(AND($I33&lt;&gt;0,$G33=0),$M33/12,0))</f>
        <v>0</v>
      </c>
      <c r="K99" s="242">
        <f>IF(FixAffald2021&lt;&gt;0,Affald2021!J37,IF(AND($I33&lt;&gt;0,$G33=0),$M33/12,0))</f>
        <v>0</v>
      </c>
      <c r="L99" s="242">
        <f>IF(FixAffald2021&lt;&gt;0,Affald2021!K37,IF(AND($I33&lt;&gt;0,$G33=0),$M33/12,0))</f>
        <v>0</v>
      </c>
      <c r="M99" s="242">
        <f>IF(FixAffald2021&lt;&gt;0,Affald2021!L37,IF(AND($I33&lt;&gt;0,$G33=0),$M33/12,0))</f>
        <v>0</v>
      </c>
      <c r="N99" s="242">
        <f>IF(FixAffald2021&lt;&gt;0,Affald2021!M37,IF(AND($I33&lt;&gt;0,$G33=0),$M33/12,0))</f>
        <v>0</v>
      </c>
      <c r="O99" s="242">
        <f>IF(FixAffald2021&lt;&gt;0,Affald2021!N37,IF(AND($I33&lt;&gt;0,$G33=0),$M33/12,0))</f>
        <v>0</v>
      </c>
      <c r="P99" s="241">
        <f t="shared" si="14"/>
        <v>0</v>
      </c>
      <c r="Q99" s="242">
        <f t="shared" si="16"/>
        <v>0</v>
      </c>
      <c r="R99" s="242">
        <f t="shared" si="16"/>
        <v>0</v>
      </c>
      <c r="S99" s="242">
        <f t="shared" si="16"/>
        <v>0</v>
      </c>
      <c r="T99" s="242">
        <f t="shared" si="16"/>
        <v>0</v>
      </c>
      <c r="U99" s="242">
        <f t="shared" si="16"/>
        <v>0</v>
      </c>
      <c r="V99" s="242">
        <f t="shared" si="16"/>
        <v>0</v>
      </c>
      <c r="W99" s="242">
        <f t="shared" si="16"/>
        <v>0</v>
      </c>
      <c r="X99" s="242">
        <f t="shared" si="16"/>
        <v>0</v>
      </c>
      <c r="Y99" s="242">
        <f t="shared" si="16"/>
        <v>0</v>
      </c>
      <c r="Z99" s="242">
        <f t="shared" si="16"/>
        <v>0</v>
      </c>
      <c r="AA99" s="242">
        <f t="shared" si="16"/>
        <v>0</v>
      </c>
      <c r="AB99" s="241">
        <f t="shared" si="16"/>
        <v>0</v>
      </c>
      <c r="AC99" s="242">
        <f t="shared" si="16"/>
        <v>0</v>
      </c>
      <c r="AD99" s="242">
        <f t="shared" si="16"/>
        <v>0</v>
      </c>
      <c r="AE99" s="242">
        <f t="shared" si="16"/>
        <v>0</v>
      </c>
      <c r="AF99" s="242">
        <f t="shared" si="16"/>
        <v>0</v>
      </c>
      <c r="AG99" s="242">
        <f t="shared" si="16"/>
        <v>0</v>
      </c>
      <c r="AH99" s="242">
        <f t="shared" si="16"/>
        <v>0</v>
      </c>
      <c r="AI99" s="242">
        <f t="shared" si="16"/>
        <v>0</v>
      </c>
      <c r="AJ99" s="242">
        <f t="shared" si="16"/>
        <v>0</v>
      </c>
      <c r="AK99" s="242">
        <f t="shared" si="16"/>
        <v>0</v>
      </c>
      <c r="AL99" s="242">
        <f t="shared" si="16"/>
        <v>0</v>
      </c>
      <c r="AM99" s="242">
        <f t="shared" si="16"/>
        <v>0</v>
      </c>
    </row>
    <row r="100" spans="1:39" s="40" customFormat="1" ht="15.75" x14ac:dyDescent="0.25">
      <c r="A100" s="37" t="s">
        <v>114</v>
      </c>
      <c r="B100" s="36"/>
      <c r="C100" s="36"/>
      <c r="D100" s="38"/>
      <c r="E100" s="39"/>
      <c r="F100" s="39"/>
      <c r="G100" s="39"/>
      <c r="H100" s="39"/>
      <c r="I100" s="39"/>
      <c r="J100" s="39"/>
      <c r="K100" s="39"/>
      <c r="L100" s="39"/>
      <c r="M100" s="39"/>
      <c r="N100" s="39"/>
      <c r="O100" s="39"/>
      <c r="P100" s="38"/>
      <c r="Q100" s="39"/>
      <c r="R100" s="39"/>
      <c r="S100" s="39"/>
      <c r="T100" s="39"/>
      <c r="U100" s="39"/>
      <c r="V100" s="39"/>
      <c r="W100" s="39"/>
      <c r="X100" s="39"/>
      <c r="Y100" s="39"/>
      <c r="Z100" s="39"/>
      <c r="AA100" s="39"/>
      <c r="AB100" s="38"/>
      <c r="AC100" s="39"/>
      <c r="AD100" s="39"/>
      <c r="AE100" s="39"/>
      <c r="AF100" s="39"/>
      <c r="AG100" s="39"/>
      <c r="AH100" s="39"/>
      <c r="AI100" s="39"/>
      <c r="AJ100" s="39"/>
      <c r="AK100" s="39"/>
      <c r="AL100" s="39"/>
      <c r="AM100" s="39"/>
    </row>
    <row r="101" spans="1:39" s="243" customFormat="1" outlineLevel="1" x14ac:dyDescent="0.25">
      <c r="B101" s="243" t="str" cm="1">
        <f t="array" ref="B101:B126">Affaldsfraktioner</f>
        <v>DepoSort</v>
      </c>
      <c r="C101" s="244" t="s">
        <v>393</v>
      </c>
      <c r="D101" s="245">
        <f t="shared" ref="D101:AM101" si="17">$R5</f>
        <v>10.5</v>
      </c>
      <c r="E101" s="246">
        <f t="shared" si="17"/>
        <v>10.5</v>
      </c>
      <c r="F101" s="246">
        <f t="shared" si="17"/>
        <v>10.5</v>
      </c>
      <c r="G101" s="246">
        <f t="shared" si="17"/>
        <v>10.5</v>
      </c>
      <c r="H101" s="246">
        <f t="shared" si="17"/>
        <v>10.5</v>
      </c>
      <c r="I101" s="246">
        <f t="shared" si="17"/>
        <v>10.5</v>
      </c>
      <c r="J101" s="246">
        <f t="shared" si="17"/>
        <v>10.5</v>
      </c>
      <c r="K101" s="246">
        <f t="shared" si="17"/>
        <v>10.5</v>
      </c>
      <c r="L101" s="246">
        <f t="shared" si="17"/>
        <v>10.5</v>
      </c>
      <c r="M101" s="246">
        <f t="shared" si="17"/>
        <v>10.5</v>
      </c>
      <c r="N101" s="246">
        <f t="shared" si="17"/>
        <v>10.5</v>
      </c>
      <c r="O101" s="246">
        <f t="shared" si="17"/>
        <v>10.5</v>
      </c>
      <c r="P101" s="245">
        <f t="shared" si="17"/>
        <v>10.5</v>
      </c>
      <c r="Q101" s="246">
        <f t="shared" si="17"/>
        <v>10.5</v>
      </c>
      <c r="R101" s="246">
        <f t="shared" si="17"/>
        <v>10.5</v>
      </c>
      <c r="S101" s="246">
        <f t="shared" si="17"/>
        <v>10.5</v>
      </c>
      <c r="T101" s="246">
        <f t="shared" si="17"/>
        <v>10.5</v>
      </c>
      <c r="U101" s="246">
        <f t="shared" si="17"/>
        <v>10.5</v>
      </c>
      <c r="V101" s="246">
        <f t="shared" si="17"/>
        <v>10.5</v>
      </c>
      <c r="W101" s="246">
        <f t="shared" si="17"/>
        <v>10.5</v>
      </c>
      <c r="X101" s="246">
        <f t="shared" si="17"/>
        <v>10.5</v>
      </c>
      <c r="Y101" s="246">
        <f t="shared" si="17"/>
        <v>10.5</v>
      </c>
      <c r="Z101" s="246">
        <f t="shared" si="17"/>
        <v>10.5</v>
      </c>
      <c r="AA101" s="246">
        <f t="shared" si="17"/>
        <v>10.5</v>
      </c>
      <c r="AB101" s="245">
        <f t="shared" si="17"/>
        <v>10.5</v>
      </c>
      <c r="AC101" s="246">
        <f t="shared" si="17"/>
        <v>10.5</v>
      </c>
      <c r="AD101" s="246">
        <f t="shared" si="17"/>
        <v>10.5</v>
      </c>
      <c r="AE101" s="246">
        <f t="shared" si="17"/>
        <v>10.5</v>
      </c>
      <c r="AF101" s="246">
        <f t="shared" si="17"/>
        <v>10.5</v>
      </c>
      <c r="AG101" s="246">
        <f t="shared" si="17"/>
        <v>10.5</v>
      </c>
      <c r="AH101" s="246">
        <f t="shared" si="17"/>
        <v>10.5</v>
      </c>
      <c r="AI101" s="246">
        <f t="shared" si="17"/>
        <v>10.5</v>
      </c>
      <c r="AJ101" s="246">
        <f t="shared" si="17"/>
        <v>10.5</v>
      </c>
      <c r="AK101" s="246">
        <f t="shared" si="17"/>
        <v>10.5</v>
      </c>
      <c r="AL101" s="246">
        <f t="shared" si="17"/>
        <v>10.5</v>
      </c>
      <c r="AM101" s="246">
        <f t="shared" si="17"/>
        <v>10.5</v>
      </c>
    </row>
    <row r="102" spans="1:39" s="243" customFormat="1" outlineLevel="1" x14ac:dyDescent="0.25">
      <c r="B102" s="243" t="str">
        <v>DepoSmaat</v>
      </c>
      <c r="C102" s="244" t="s">
        <v>393</v>
      </c>
      <c r="D102" s="245">
        <f t="shared" ref="D102:AM102" si="18">$R6</f>
        <v>10.5</v>
      </c>
      <c r="E102" s="246">
        <f t="shared" si="18"/>
        <v>10.5</v>
      </c>
      <c r="F102" s="246">
        <f t="shared" si="18"/>
        <v>10.5</v>
      </c>
      <c r="G102" s="246">
        <f t="shared" si="18"/>
        <v>10.5</v>
      </c>
      <c r="H102" s="246">
        <f t="shared" si="18"/>
        <v>10.5</v>
      </c>
      <c r="I102" s="246">
        <f t="shared" si="18"/>
        <v>10.5</v>
      </c>
      <c r="J102" s="246">
        <f t="shared" si="18"/>
        <v>10.5</v>
      </c>
      <c r="K102" s="246">
        <f t="shared" si="18"/>
        <v>10.5</v>
      </c>
      <c r="L102" s="246">
        <f t="shared" si="18"/>
        <v>10.5</v>
      </c>
      <c r="M102" s="246">
        <f t="shared" si="18"/>
        <v>10.5</v>
      </c>
      <c r="N102" s="246">
        <f t="shared" si="18"/>
        <v>10.5</v>
      </c>
      <c r="O102" s="246">
        <f t="shared" si="18"/>
        <v>10.5</v>
      </c>
      <c r="P102" s="245">
        <f t="shared" si="18"/>
        <v>10.5</v>
      </c>
      <c r="Q102" s="246">
        <f t="shared" si="18"/>
        <v>10.5</v>
      </c>
      <c r="R102" s="246">
        <f t="shared" si="18"/>
        <v>10.5</v>
      </c>
      <c r="S102" s="246">
        <f t="shared" si="18"/>
        <v>10.5</v>
      </c>
      <c r="T102" s="246">
        <f t="shared" si="18"/>
        <v>10.5</v>
      </c>
      <c r="U102" s="246">
        <f t="shared" si="18"/>
        <v>10.5</v>
      </c>
      <c r="V102" s="246">
        <f t="shared" si="18"/>
        <v>10.5</v>
      </c>
      <c r="W102" s="246">
        <f t="shared" si="18"/>
        <v>10.5</v>
      </c>
      <c r="X102" s="246">
        <f t="shared" si="18"/>
        <v>10.5</v>
      </c>
      <c r="Y102" s="246">
        <f t="shared" si="18"/>
        <v>10.5</v>
      </c>
      <c r="Z102" s="246">
        <f t="shared" si="18"/>
        <v>10.5</v>
      </c>
      <c r="AA102" s="246">
        <f t="shared" si="18"/>
        <v>10.5</v>
      </c>
      <c r="AB102" s="245">
        <f t="shared" si="18"/>
        <v>10.5</v>
      </c>
      <c r="AC102" s="246">
        <f t="shared" si="18"/>
        <v>10.5</v>
      </c>
      <c r="AD102" s="246">
        <f t="shared" si="18"/>
        <v>10.5</v>
      </c>
      <c r="AE102" s="246">
        <f t="shared" si="18"/>
        <v>10.5</v>
      </c>
      <c r="AF102" s="246">
        <f t="shared" si="18"/>
        <v>10.5</v>
      </c>
      <c r="AG102" s="246">
        <f t="shared" si="18"/>
        <v>10.5</v>
      </c>
      <c r="AH102" s="246">
        <f t="shared" si="18"/>
        <v>10.5</v>
      </c>
      <c r="AI102" s="246">
        <f t="shared" si="18"/>
        <v>10.5</v>
      </c>
      <c r="AJ102" s="246">
        <f t="shared" si="18"/>
        <v>10.5</v>
      </c>
      <c r="AK102" s="246">
        <f t="shared" si="18"/>
        <v>10.5</v>
      </c>
      <c r="AL102" s="246">
        <f t="shared" si="18"/>
        <v>10.5</v>
      </c>
      <c r="AM102" s="246">
        <f t="shared" si="18"/>
        <v>10.5</v>
      </c>
    </row>
    <row r="103" spans="1:39" s="243" customFormat="1" outlineLevel="1" x14ac:dyDescent="0.25">
      <c r="B103" s="243" t="str">
        <v>DepoNedd</v>
      </c>
      <c r="C103" s="244" t="s">
        <v>393</v>
      </c>
      <c r="D103" s="245">
        <f t="shared" ref="D103:AM103" si="19">$R7</f>
        <v>10.5</v>
      </c>
      <c r="E103" s="246">
        <f t="shared" si="19"/>
        <v>10.5</v>
      </c>
      <c r="F103" s="246">
        <f t="shared" si="19"/>
        <v>10.5</v>
      </c>
      <c r="G103" s="246">
        <f t="shared" si="19"/>
        <v>10.5</v>
      </c>
      <c r="H103" s="246">
        <f t="shared" si="19"/>
        <v>10.5</v>
      </c>
      <c r="I103" s="246">
        <f t="shared" si="19"/>
        <v>10.5</v>
      </c>
      <c r="J103" s="246">
        <f t="shared" si="19"/>
        <v>10.5</v>
      </c>
      <c r="K103" s="246">
        <f t="shared" si="19"/>
        <v>10.5</v>
      </c>
      <c r="L103" s="246">
        <f t="shared" si="19"/>
        <v>10.5</v>
      </c>
      <c r="M103" s="246">
        <f t="shared" si="19"/>
        <v>10.5</v>
      </c>
      <c r="N103" s="246">
        <f t="shared" si="19"/>
        <v>10.5</v>
      </c>
      <c r="O103" s="246">
        <f t="shared" si="19"/>
        <v>10.5</v>
      </c>
      <c r="P103" s="245">
        <f t="shared" si="19"/>
        <v>10.5</v>
      </c>
      <c r="Q103" s="246">
        <f t="shared" si="19"/>
        <v>10.5</v>
      </c>
      <c r="R103" s="246">
        <f t="shared" si="19"/>
        <v>10.5</v>
      </c>
      <c r="S103" s="246">
        <f t="shared" si="19"/>
        <v>10.5</v>
      </c>
      <c r="T103" s="246">
        <f t="shared" si="19"/>
        <v>10.5</v>
      </c>
      <c r="U103" s="246">
        <f t="shared" si="19"/>
        <v>10.5</v>
      </c>
      <c r="V103" s="246">
        <f t="shared" si="19"/>
        <v>10.5</v>
      </c>
      <c r="W103" s="246">
        <f t="shared" si="19"/>
        <v>10.5</v>
      </c>
      <c r="X103" s="246">
        <f t="shared" si="19"/>
        <v>10.5</v>
      </c>
      <c r="Y103" s="246">
        <f t="shared" si="19"/>
        <v>10.5</v>
      </c>
      <c r="Z103" s="246">
        <f t="shared" si="19"/>
        <v>10.5</v>
      </c>
      <c r="AA103" s="246">
        <f t="shared" si="19"/>
        <v>10.5</v>
      </c>
      <c r="AB103" s="245">
        <f t="shared" si="19"/>
        <v>10.5</v>
      </c>
      <c r="AC103" s="246">
        <f t="shared" si="19"/>
        <v>10.5</v>
      </c>
      <c r="AD103" s="246">
        <f t="shared" si="19"/>
        <v>10.5</v>
      </c>
      <c r="AE103" s="246">
        <f t="shared" si="19"/>
        <v>10.5</v>
      </c>
      <c r="AF103" s="246">
        <f t="shared" si="19"/>
        <v>10.5</v>
      </c>
      <c r="AG103" s="246">
        <f t="shared" si="19"/>
        <v>10.5</v>
      </c>
      <c r="AH103" s="246">
        <f t="shared" si="19"/>
        <v>10.5</v>
      </c>
      <c r="AI103" s="246">
        <f t="shared" si="19"/>
        <v>10.5</v>
      </c>
      <c r="AJ103" s="246">
        <f t="shared" si="19"/>
        <v>10.5</v>
      </c>
      <c r="AK103" s="246">
        <f t="shared" si="19"/>
        <v>10.5</v>
      </c>
      <c r="AL103" s="246">
        <f t="shared" si="19"/>
        <v>10.5</v>
      </c>
      <c r="AM103" s="246">
        <f t="shared" si="19"/>
        <v>10.5</v>
      </c>
    </row>
    <row r="104" spans="1:39" s="243" customFormat="1" outlineLevel="1" x14ac:dyDescent="0.25">
      <c r="B104" s="243" t="str">
        <v>Dagren</v>
      </c>
      <c r="C104" s="244" t="s">
        <v>393</v>
      </c>
      <c r="D104" s="245">
        <f t="shared" ref="D104:AM104" si="20">$R8</f>
        <v>9.4</v>
      </c>
      <c r="E104" s="246">
        <f t="shared" si="20"/>
        <v>9.4</v>
      </c>
      <c r="F104" s="246">
        <f t="shared" si="20"/>
        <v>9.4</v>
      </c>
      <c r="G104" s="246">
        <f t="shared" si="20"/>
        <v>9.4</v>
      </c>
      <c r="H104" s="246">
        <f t="shared" si="20"/>
        <v>9.4</v>
      </c>
      <c r="I104" s="246">
        <f t="shared" si="20"/>
        <v>9.4</v>
      </c>
      <c r="J104" s="246">
        <f t="shared" si="20"/>
        <v>9.4</v>
      </c>
      <c r="K104" s="246">
        <f t="shared" si="20"/>
        <v>9.4</v>
      </c>
      <c r="L104" s="246">
        <f t="shared" si="20"/>
        <v>9.4</v>
      </c>
      <c r="M104" s="246">
        <f t="shared" si="20"/>
        <v>9.4</v>
      </c>
      <c r="N104" s="246">
        <f t="shared" si="20"/>
        <v>9.4</v>
      </c>
      <c r="O104" s="246">
        <f t="shared" si="20"/>
        <v>9.4</v>
      </c>
      <c r="P104" s="245">
        <f t="shared" si="20"/>
        <v>9.4</v>
      </c>
      <c r="Q104" s="246">
        <f t="shared" si="20"/>
        <v>9.4</v>
      </c>
      <c r="R104" s="246">
        <f t="shared" si="20"/>
        <v>9.4</v>
      </c>
      <c r="S104" s="246">
        <f t="shared" si="20"/>
        <v>9.4</v>
      </c>
      <c r="T104" s="246">
        <f t="shared" si="20"/>
        <v>9.4</v>
      </c>
      <c r="U104" s="246">
        <f t="shared" si="20"/>
        <v>9.4</v>
      </c>
      <c r="V104" s="246">
        <f t="shared" si="20"/>
        <v>9.4</v>
      </c>
      <c r="W104" s="246">
        <f t="shared" si="20"/>
        <v>9.4</v>
      </c>
      <c r="X104" s="246">
        <f t="shared" si="20"/>
        <v>9.4</v>
      </c>
      <c r="Y104" s="246">
        <f t="shared" si="20"/>
        <v>9.4</v>
      </c>
      <c r="Z104" s="246">
        <f t="shared" si="20"/>
        <v>9.4</v>
      </c>
      <c r="AA104" s="246">
        <f t="shared" si="20"/>
        <v>9.4</v>
      </c>
      <c r="AB104" s="245">
        <f t="shared" si="20"/>
        <v>9.4</v>
      </c>
      <c r="AC104" s="246">
        <f t="shared" si="20"/>
        <v>9.4</v>
      </c>
      <c r="AD104" s="246">
        <f t="shared" si="20"/>
        <v>9.4</v>
      </c>
      <c r="AE104" s="246">
        <f t="shared" si="20"/>
        <v>9.4</v>
      </c>
      <c r="AF104" s="246">
        <f t="shared" si="20"/>
        <v>9.4</v>
      </c>
      <c r="AG104" s="246">
        <f t="shared" si="20"/>
        <v>9.4</v>
      </c>
      <c r="AH104" s="246">
        <f t="shared" si="20"/>
        <v>9.4</v>
      </c>
      <c r="AI104" s="246">
        <f t="shared" si="20"/>
        <v>9.4</v>
      </c>
      <c r="AJ104" s="246">
        <f t="shared" si="20"/>
        <v>9.4</v>
      </c>
      <c r="AK104" s="246">
        <f t="shared" si="20"/>
        <v>9.4</v>
      </c>
      <c r="AL104" s="246">
        <f t="shared" si="20"/>
        <v>9.4</v>
      </c>
      <c r="AM104" s="246">
        <f t="shared" si="20"/>
        <v>9.4</v>
      </c>
    </row>
    <row r="105" spans="1:39" s="243" customFormat="1" outlineLevel="1" x14ac:dyDescent="0.25">
      <c r="B105" s="243" t="str">
        <v>AndetBrand</v>
      </c>
      <c r="C105" s="244" t="s">
        <v>393</v>
      </c>
      <c r="D105" s="245">
        <f t="shared" ref="D105:AM105" si="21">$R9</f>
        <v>10.5</v>
      </c>
      <c r="E105" s="246">
        <f t="shared" si="21"/>
        <v>10.5</v>
      </c>
      <c r="F105" s="246">
        <f t="shared" si="21"/>
        <v>10.5</v>
      </c>
      <c r="G105" s="246">
        <f t="shared" si="21"/>
        <v>10.5</v>
      </c>
      <c r="H105" s="246">
        <f t="shared" si="21"/>
        <v>10.5</v>
      </c>
      <c r="I105" s="246">
        <f t="shared" si="21"/>
        <v>10.5</v>
      </c>
      <c r="J105" s="246">
        <f t="shared" si="21"/>
        <v>10.5</v>
      </c>
      <c r="K105" s="246">
        <f t="shared" si="21"/>
        <v>10.5</v>
      </c>
      <c r="L105" s="246">
        <f t="shared" si="21"/>
        <v>10.5</v>
      </c>
      <c r="M105" s="246">
        <f t="shared" si="21"/>
        <v>10.5</v>
      </c>
      <c r="N105" s="246">
        <f t="shared" si="21"/>
        <v>10.5</v>
      </c>
      <c r="O105" s="246">
        <f t="shared" si="21"/>
        <v>10.5</v>
      </c>
      <c r="P105" s="245">
        <f t="shared" si="21"/>
        <v>10.5</v>
      </c>
      <c r="Q105" s="246">
        <f t="shared" si="21"/>
        <v>10.5</v>
      </c>
      <c r="R105" s="246">
        <f t="shared" si="21"/>
        <v>10.5</v>
      </c>
      <c r="S105" s="246">
        <f t="shared" si="21"/>
        <v>10.5</v>
      </c>
      <c r="T105" s="246">
        <f t="shared" si="21"/>
        <v>10.5</v>
      </c>
      <c r="U105" s="246">
        <f t="shared" si="21"/>
        <v>10.5</v>
      </c>
      <c r="V105" s="246">
        <f t="shared" si="21"/>
        <v>10.5</v>
      </c>
      <c r="W105" s="246">
        <f t="shared" si="21"/>
        <v>10.5</v>
      </c>
      <c r="X105" s="246">
        <f t="shared" si="21"/>
        <v>10.5</v>
      </c>
      <c r="Y105" s="246">
        <f t="shared" si="21"/>
        <v>10.5</v>
      </c>
      <c r="Z105" s="246">
        <f t="shared" si="21"/>
        <v>10.5</v>
      </c>
      <c r="AA105" s="246">
        <f t="shared" si="21"/>
        <v>10.5</v>
      </c>
      <c r="AB105" s="245">
        <f t="shared" si="21"/>
        <v>10.5</v>
      </c>
      <c r="AC105" s="246">
        <f t="shared" si="21"/>
        <v>10.5</v>
      </c>
      <c r="AD105" s="246">
        <f t="shared" si="21"/>
        <v>10.5</v>
      </c>
      <c r="AE105" s="246">
        <f t="shared" si="21"/>
        <v>10.5</v>
      </c>
      <c r="AF105" s="246">
        <f t="shared" si="21"/>
        <v>10.5</v>
      </c>
      <c r="AG105" s="246">
        <f t="shared" si="21"/>
        <v>10.5</v>
      </c>
      <c r="AH105" s="246">
        <f t="shared" si="21"/>
        <v>10.5</v>
      </c>
      <c r="AI105" s="246">
        <f t="shared" si="21"/>
        <v>10.5</v>
      </c>
      <c r="AJ105" s="246">
        <f t="shared" si="21"/>
        <v>10.5</v>
      </c>
      <c r="AK105" s="246">
        <f t="shared" si="21"/>
        <v>10.5</v>
      </c>
      <c r="AL105" s="246">
        <f t="shared" si="21"/>
        <v>10.5</v>
      </c>
      <c r="AM105" s="246">
        <f t="shared" si="21"/>
        <v>10.5</v>
      </c>
    </row>
    <row r="106" spans="1:39" s="243" customFormat="1" outlineLevel="1" x14ac:dyDescent="0.25">
      <c r="B106" s="243" t="str">
        <v>Trae</v>
      </c>
      <c r="C106" s="244" t="s">
        <v>393</v>
      </c>
      <c r="D106" s="245">
        <f t="shared" ref="D106:AM106" si="22">$R10</f>
        <v>14.5</v>
      </c>
      <c r="E106" s="246">
        <f t="shared" si="22"/>
        <v>14.5</v>
      </c>
      <c r="F106" s="246">
        <f t="shared" si="22"/>
        <v>14.5</v>
      </c>
      <c r="G106" s="246">
        <f t="shared" si="22"/>
        <v>14.5</v>
      </c>
      <c r="H106" s="246">
        <f t="shared" si="22"/>
        <v>14.5</v>
      </c>
      <c r="I106" s="246">
        <f t="shared" si="22"/>
        <v>14.5</v>
      </c>
      <c r="J106" s="246">
        <f t="shared" si="22"/>
        <v>14.5</v>
      </c>
      <c r="K106" s="246">
        <f t="shared" si="22"/>
        <v>14.5</v>
      </c>
      <c r="L106" s="246">
        <f t="shared" si="22"/>
        <v>14.5</v>
      </c>
      <c r="M106" s="246">
        <f t="shared" si="22"/>
        <v>14.5</v>
      </c>
      <c r="N106" s="246">
        <f t="shared" si="22"/>
        <v>14.5</v>
      </c>
      <c r="O106" s="246">
        <f t="shared" si="22"/>
        <v>14.5</v>
      </c>
      <c r="P106" s="245">
        <f t="shared" si="22"/>
        <v>14.5</v>
      </c>
      <c r="Q106" s="246">
        <f t="shared" si="22"/>
        <v>14.5</v>
      </c>
      <c r="R106" s="246">
        <f t="shared" si="22"/>
        <v>14.5</v>
      </c>
      <c r="S106" s="246">
        <f t="shared" si="22"/>
        <v>14.5</v>
      </c>
      <c r="T106" s="246">
        <f t="shared" si="22"/>
        <v>14.5</v>
      </c>
      <c r="U106" s="246">
        <f t="shared" si="22"/>
        <v>14.5</v>
      </c>
      <c r="V106" s="246">
        <f t="shared" si="22"/>
        <v>14.5</v>
      </c>
      <c r="W106" s="246">
        <f t="shared" si="22"/>
        <v>14.5</v>
      </c>
      <c r="X106" s="246">
        <f t="shared" si="22"/>
        <v>14.5</v>
      </c>
      <c r="Y106" s="246">
        <f t="shared" si="22"/>
        <v>14.5</v>
      </c>
      <c r="Z106" s="246">
        <f t="shared" si="22"/>
        <v>14.5</v>
      </c>
      <c r="AA106" s="246">
        <f t="shared" si="22"/>
        <v>14.5</v>
      </c>
      <c r="AB106" s="245">
        <f t="shared" si="22"/>
        <v>14.5</v>
      </c>
      <c r="AC106" s="246">
        <f t="shared" si="22"/>
        <v>14.5</v>
      </c>
      <c r="AD106" s="246">
        <f t="shared" si="22"/>
        <v>14.5</v>
      </c>
      <c r="AE106" s="246">
        <f t="shared" si="22"/>
        <v>14.5</v>
      </c>
      <c r="AF106" s="246">
        <f t="shared" si="22"/>
        <v>14.5</v>
      </c>
      <c r="AG106" s="246">
        <f t="shared" si="22"/>
        <v>14.5</v>
      </c>
      <c r="AH106" s="246">
        <f t="shared" si="22"/>
        <v>14.5</v>
      </c>
      <c r="AI106" s="246">
        <f t="shared" si="22"/>
        <v>14.5</v>
      </c>
      <c r="AJ106" s="246">
        <f t="shared" si="22"/>
        <v>14.5</v>
      </c>
      <c r="AK106" s="246">
        <f t="shared" si="22"/>
        <v>14.5</v>
      </c>
      <c r="AL106" s="246">
        <f t="shared" si="22"/>
        <v>14.5</v>
      </c>
      <c r="AM106" s="246">
        <f t="shared" si="22"/>
        <v>14.5</v>
      </c>
    </row>
    <row r="107" spans="1:39" s="243" customFormat="1" outlineLevel="1" x14ac:dyDescent="0.25">
      <c r="B107" s="243" t="str">
        <v>DagrenRast</v>
      </c>
      <c r="C107" s="244" t="s">
        <v>393</v>
      </c>
      <c r="D107" s="245">
        <f t="shared" ref="D107:AM107" si="23">$R11</f>
        <v>12</v>
      </c>
      <c r="E107" s="246">
        <f t="shared" si="23"/>
        <v>12</v>
      </c>
      <c r="F107" s="246">
        <f t="shared" si="23"/>
        <v>12</v>
      </c>
      <c r="G107" s="246">
        <f t="shared" si="23"/>
        <v>12</v>
      </c>
      <c r="H107" s="246">
        <f t="shared" si="23"/>
        <v>12</v>
      </c>
      <c r="I107" s="246">
        <f t="shared" si="23"/>
        <v>12</v>
      </c>
      <c r="J107" s="246">
        <f t="shared" si="23"/>
        <v>12</v>
      </c>
      <c r="K107" s="246">
        <f t="shared" si="23"/>
        <v>12</v>
      </c>
      <c r="L107" s="246">
        <f t="shared" si="23"/>
        <v>12</v>
      </c>
      <c r="M107" s="246">
        <f t="shared" si="23"/>
        <v>12</v>
      </c>
      <c r="N107" s="246">
        <f t="shared" si="23"/>
        <v>12</v>
      </c>
      <c r="O107" s="246">
        <f t="shared" si="23"/>
        <v>12</v>
      </c>
      <c r="P107" s="245">
        <f t="shared" si="23"/>
        <v>12</v>
      </c>
      <c r="Q107" s="246">
        <f t="shared" si="23"/>
        <v>12</v>
      </c>
      <c r="R107" s="246">
        <f t="shared" si="23"/>
        <v>12</v>
      </c>
      <c r="S107" s="246">
        <f t="shared" si="23"/>
        <v>12</v>
      </c>
      <c r="T107" s="246">
        <f t="shared" si="23"/>
        <v>12</v>
      </c>
      <c r="U107" s="246">
        <f t="shared" si="23"/>
        <v>12</v>
      </c>
      <c r="V107" s="246">
        <f t="shared" si="23"/>
        <v>12</v>
      </c>
      <c r="W107" s="246">
        <f t="shared" si="23"/>
        <v>12</v>
      </c>
      <c r="X107" s="246">
        <f t="shared" si="23"/>
        <v>12</v>
      </c>
      <c r="Y107" s="246">
        <f t="shared" si="23"/>
        <v>12</v>
      </c>
      <c r="Z107" s="246">
        <f t="shared" si="23"/>
        <v>12</v>
      </c>
      <c r="AA107" s="246">
        <f t="shared" si="23"/>
        <v>12</v>
      </c>
      <c r="AB107" s="245">
        <f t="shared" si="23"/>
        <v>12</v>
      </c>
      <c r="AC107" s="246">
        <f t="shared" si="23"/>
        <v>12</v>
      </c>
      <c r="AD107" s="246">
        <f t="shared" si="23"/>
        <v>12</v>
      </c>
      <c r="AE107" s="246">
        <f t="shared" si="23"/>
        <v>12</v>
      </c>
      <c r="AF107" s="246">
        <f t="shared" si="23"/>
        <v>12</v>
      </c>
      <c r="AG107" s="246">
        <f t="shared" si="23"/>
        <v>12</v>
      </c>
      <c r="AH107" s="246">
        <f t="shared" si="23"/>
        <v>12</v>
      </c>
      <c r="AI107" s="246">
        <f t="shared" si="23"/>
        <v>12</v>
      </c>
      <c r="AJ107" s="246">
        <f t="shared" si="23"/>
        <v>12</v>
      </c>
      <c r="AK107" s="246">
        <f t="shared" si="23"/>
        <v>12</v>
      </c>
      <c r="AL107" s="246">
        <f t="shared" si="23"/>
        <v>12</v>
      </c>
      <c r="AM107" s="246">
        <f t="shared" si="23"/>
        <v>12</v>
      </c>
    </row>
    <row r="108" spans="1:39" s="243" customFormat="1" outlineLevel="1" x14ac:dyDescent="0.25">
      <c r="B108" s="243" t="str">
        <v>DagrenInst</v>
      </c>
      <c r="C108" s="244" t="s">
        <v>393</v>
      </c>
      <c r="D108" s="245">
        <f t="shared" ref="D108:AM108" si="24">$R12</f>
        <v>9</v>
      </c>
      <c r="E108" s="246">
        <f t="shared" si="24"/>
        <v>9</v>
      </c>
      <c r="F108" s="246">
        <f t="shared" si="24"/>
        <v>9</v>
      </c>
      <c r="G108" s="246">
        <f t="shared" si="24"/>
        <v>9</v>
      </c>
      <c r="H108" s="246">
        <f t="shared" si="24"/>
        <v>9</v>
      </c>
      <c r="I108" s="246">
        <f t="shared" si="24"/>
        <v>9</v>
      </c>
      <c r="J108" s="246">
        <f t="shared" si="24"/>
        <v>9</v>
      </c>
      <c r="K108" s="246">
        <f t="shared" si="24"/>
        <v>9</v>
      </c>
      <c r="L108" s="246">
        <f t="shared" si="24"/>
        <v>9</v>
      </c>
      <c r="M108" s="246">
        <f t="shared" si="24"/>
        <v>9</v>
      </c>
      <c r="N108" s="246">
        <f t="shared" si="24"/>
        <v>9</v>
      </c>
      <c r="O108" s="246">
        <f t="shared" si="24"/>
        <v>9</v>
      </c>
      <c r="P108" s="245">
        <f t="shared" si="24"/>
        <v>9</v>
      </c>
      <c r="Q108" s="246">
        <f t="shared" si="24"/>
        <v>9</v>
      </c>
      <c r="R108" s="246">
        <f t="shared" si="24"/>
        <v>9</v>
      </c>
      <c r="S108" s="246">
        <f t="shared" si="24"/>
        <v>9</v>
      </c>
      <c r="T108" s="246">
        <f t="shared" si="24"/>
        <v>9</v>
      </c>
      <c r="U108" s="246">
        <f t="shared" si="24"/>
        <v>9</v>
      </c>
      <c r="V108" s="246">
        <f t="shared" si="24"/>
        <v>9</v>
      </c>
      <c r="W108" s="246">
        <f t="shared" si="24"/>
        <v>9</v>
      </c>
      <c r="X108" s="246">
        <f t="shared" si="24"/>
        <v>9</v>
      </c>
      <c r="Y108" s="246">
        <f t="shared" si="24"/>
        <v>9</v>
      </c>
      <c r="Z108" s="246">
        <f t="shared" si="24"/>
        <v>9</v>
      </c>
      <c r="AA108" s="246">
        <f t="shared" si="24"/>
        <v>9</v>
      </c>
      <c r="AB108" s="245">
        <f t="shared" si="24"/>
        <v>9</v>
      </c>
      <c r="AC108" s="246">
        <f t="shared" si="24"/>
        <v>9</v>
      </c>
      <c r="AD108" s="246">
        <f t="shared" si="24"/>
        <v>9</v>
      </c>
      <c r="AE108" s="246">
        <f t="shared" si="24"/>
        <v>9</v>
      </c>
      <c r="AF108" s="246">
        <f t="shared" si="24"/>
        <v>9</v>
      </c>
      <c r="AG108" s="246">
        <f t="shared" si="24"/>
        <v>9</v>
      </c>
      <c r="AH108" s="246">
        <f t="shared" si="24"/>
        <v>9</v>
      </c>
      <c r="AI108" s="246">
        <f t="shared" si="24"/>
        <v>9</v>
      </c>
      <c r="AJ108" s="246">
        <f t="shared" si="24"/>
        <v>9</v>
      </c>
      <c r="AK108" s="246">
        <f t="shared" si="24"/>
        <v>9</v>
      </c>
      <c r="AL108" s="246">
        <f t="shared" si="24"/>
        <v>9</v>
      </c>
      <c r="AM108" s="246">
        <f t="shared" si="24"/>
        <v>9</v>
      </c>
    </row>
    <row r="109" spans="1:39" s="243" customFormat="1" outlineLevel="1" x14ac:dyDescent="0.25">
      <c r="B109" s="243" t="str">
        <v>DagrenHandel</v>
      </c>
      <c r="C109" s="244" t="s">
        <v>393</v>
      </c>
      <c r="D109" s="245">
        <f t="shared" ref="D109:AM109" si="25">$R13</f>
        <v>11</v>
      </c>
      <c r="E109" s="246">
        <f t="shared" si="25"/>
        <v>11</v>
      </c>
      <c r="F109" s="246">
        <f t="shared" si="25"/>
        <v>11</v>
      </c>
      <c r="G109" s="246">
        <f t="shared" si="25"/>
        <v>11</v>
      </c>
      <c r="H109" s="246">
        <f t="shared" si="25"/>
        <v>11</v>
      </c>
      <c r="I109" s="246">
        <f t="shared" si="25"/>
        <v>11</v>
      </c>
      <c r="J109" s="246">
        <f t="shared" si="25"/>
        <v>11</v>
      </c>
      <c r="K109" s="246">
        <f t="shared" si="25"/>
        <v>11</v>
      </c>
      <c r="L109" s="246">
        <f t="shared" si="25"/>
        <v>11</v>
      </c>
      <c r="M109" s="246">
        <f t="shared" si="25"/>
        <v>11</v>
      </c>
      <c r="N109" s="246">
        <f t="shared" si="25"/>
        <v>11</v>
      </c>
      <c r="O109" s="246">
        <f t="shared" si="25"/>
        <v>11</v>
      </c>
      <c r="P109" s="245">
        <f t="shared" si="25"/>
        <v>11</v>
      </c>
      <c r="Q109" s="246">
        <f t="shared" si="25"/>
        <v>11</v>
      </c>
      <c r="R109" s="246">
        <f t="shared" si="25"/>
        <v>11</v>
      </c>
      <c r="S109" s="246">
        <f t="shared" si="25"/>
        <v>11</v>
      </c>
      <c r="T109" s="246">
        <f t="shared" si="25"/>
        <v>11</v>
      </c>
      <c r="U109" s="246">
        <f t="shared" si="25"/>
        <v>11</v>
      </c>
      <c r="V109" s="246">
        <f t="shared" si="25"/>
        <v>11</v>
      </c>
      <c r="W109" s="246">
        <f t="shared" si="25"/>
        <v>11</v>
      </c>
      <c r="X109" s="246">
        <f t="shared" si="25"/>
        <v>11</v>
      </c>
      <c r="Y109" s="246">
        <f t="shared" si="25"/>
        <v>11</v>
      </c>
      <c r="Z109" s="246">
        <f t="shared" si="25"/>
        <v>11</v>
      </c>
      <c r="AA109" s="246">
        <f t="shared" si="25"/>
        <v>11</v>
      </c>
      <c r="AB109" s="245">
        <f t="shared" si="25"/>
        <v>11</v>
      </c>
      <c r="AC109" s="246">
        <f t="shared" si="25"/>
        <v>11</v>
      </c>
      <c r="AD109" s="246">
        <f t="shared" si="25"/>
        <v>11</v>
      </c>
      <c r="AE109" s="246">
        <f t="shared" si="25"/>
        <v>11</v>
      </c>
      <c r="AF109" s="246">
        <f t="shared" si="25"/>
        <v>11</v>
      </c>
      <c r="AG109" s="246">
        <f t="shared" si="25"/>
        <v>11</v>
      </c>
      <c r="AH109" s="246">
        <f t="shared" si="25"/>
        <v>11</v>
      </c>
      <c r="AI109" s="246">
        <f t="shared" si="25"/>
        <v>11</v>
      </c>
      <c r="AJ109" s="246">
        <f t="shared" si="25"/>
        <v>11</v>
      </c>
      <c r="AK109" s="246">
        <f t="shared" si="25"/>
        <v>11</v>
      </c>
      <c r="AL109" s="246">
        <f t="shared" si="25"/>
        <v>11</v>
      </c>
      <c r="AM109" s="246">
        <f t="shared" si="25"/>
        <v>11</v>
      </c>
    </row>
    <row r="110" spans="1:39" s="243" customFormat="1" outlineLevel="1" x14ac:dyDescent="0.25">
      <c r="B110" s="243" t="str">
        <v>DagrenRestau</v>
      </c>
      <c r="C110" s="244" t="s">
        <v>393</v>
      </c>
      <c r="D110" s="245">
        <f t="shared" ref="D110:AM110" si="26">$R14</f>
        <v>9.5</v>
      </c>
      <c r="E110" s="246">
        <f t="shared" si="26"/>
        <v>9.5</v>
      </c>
      <c r="F110" s="246">
        <f t="shared" si="26"/>
        <v>9.5</v>
      </c>
      <c r="G110" s="246">
        <f t="shared" si="26"/>
        <v>9.5</v>
      </c>
      <c r="H110" s="246">
        <f t="shared" si="26"/>
        <v>9.5</v>
      </c>
      <c r="I110" s="246">
        <f t="shared" si="26"/>
        <v>9.5</v>
      </c>
      <c r="J110" s="246">
        <f t="shared" si="26"/>
        <v>9.5</v>
      </c>
      <c r="K110" s="246">
        <f t="shared" si="26"/>
        <v>9.5</v>
      </c>
      <c r="L110" s="246">
        <f t="shared" si="26"/>
        <v>9.5</v>
      </c>
      <c r="M110" s="246">
        <f t="shared" si="26"/>
        <v>9.5</v>
      </c>
      <c r="N110" s="246">
        <f t="shared" si="26"/>
        <v>9.5</v>
      </c>
      <c r="O110" s="246">
        <f t="shared" si="26"/>
        <v>9.5</v>
      </c>
      <c r="P110" s="245">
        <f t="shared" si="26"/>
        <v>9.5</v>
      </c>
      <c r="Q110" s="246">
        <f t="shared" si="26"/>
        <v>9.5</v>
      </c>
      <c r="R110" s="246">
        <f t="shared" si="26"/>
        <v>9.5</v>
      </c>
      <c r="S110" s="246">
        <f t="shared" si="26"/>
        <v>9.5</v>
      </c>
      <c r="T110" s="246">
        <f t="shared" si="26"/>
        <v>9.5</v>
      </c>
      <c r="U110" s="246">
        <f t="shared" si="26"/>
        <v>9.5</v>
      </c>
      <c r="V110" s="246">
        <f t="shared" si="26"/>
        <v>9.5</v>
      </c>
      <c r="W110" s="246">
        <f t="shared" si="26"/>
        <v>9.5</v>
      </c>
      <c r="X110" s="246">
        <f t="shared" si="26"/>
        <v>9.5</v>
      </c>
      <c r="Y110" s="246">
        <f t="shared" si="26"/>
        <v>9.5</v>
      </c>
      <c r="Z110" s="246">
        <f t="shared" si="26"/>
        <v>9.5</v>
      </c>
      <c r="AA110" s="246">
        <f t="shared" si="26"/>
        <v>9.5</v>
      </c>
      <c r="AB110" s="245">
        <f t="shared" si="26"/>
        <v>9.5</v>
      </c>
      <c r="AC110" s="246">
        <f t="shared" si="26"/>
        <v>9.5</v>
      </c>
      <c r="AD110" s="246">
        <f t="shared" si="26"/>
        <v>9.5</v>
      </c>
      <c r="AE110" s="246">
        <f t="shared" si="26"/>
        <v>9.5</v>
      </c>
      <c r="AF110" s="246">
        <f t="shared" si="26"/>
        <v>9.5</v>
      </c>
      <c r="AG110" s="246">
        <f t="shared" si="26"/>
        <v>9.5</v>
      </c>
      <c r="AH110" s="246">
        <f t="shared" si="26"/>
        <v>9.5</v>
      </c>
      <c r="AI110" s="246">
        <f t="shared" si="26"/>
        <v>9.5</v>
      </c>
      <c r="AJ110" s="246">
        <f t="shared" si="26"/>
        <v>9.5</v>
      </c>
      <c r="AK110" s="246">
        <f t="shared" si="26"/>
        <v>9.5</v>
      </c>
      <c r="AL110" s="246">
        <f t="shared" si="26"/>
        <v>9.5</v>
      </c>
      <c r="AM110" s="246">
        <f t="shared" si="26"/>
        <v>9.5</v>
      </c>
    </row>
    <row r="111" spans="1:39" s="243" customFormat="1" outlineLevel="1" x14ac:dyDescent="0.25">
      <c r="B111" s="243" t="str">
        <v>Erhverv</v>
      </c>
      <c r="C111" s="244" t="s">
        <v>393</v>
      </c>
      <c r="D111" s="245">
        <f t="shared" ref="D111:AM111" si="27">$R15</f>
        <v>9</v>
      </c>
      <c r="E111" s="246">
        <f t="shared" si="27"/>
        <v>9</v>
      </c>
      <c r="F111" s="246">
        <f t="shared" si="27"/>
        <v>9</v>
      </c>
      <c r="G111" s="246">
        <f t="shared" si="27"/>
        <v>9</v>
      </c>
      <c r="H111" s="246">
        <f t="shared" si="27"/>
        <v>9</v>
      </c>
      <c r="I111" s="246">
        <f t="shared" si="27"/>
        <v>9</v>
      </c>
      <c r="J111" s="246">
        <f t="shared" si="27"/>
        <v>9</v>
      </c>
      <c r="K111" s="246">
        <f t="shared" si="27"/>
        <v>9</v>
      </c>
      <c r="L111" s="246">
        <f t="shared" si="27"/>
        <v>9</v>
      </c>
      <c r="M111" s="246">
        <f t="shared" si="27"/>
        <v>9</v>
      </c>
      <c r="N111" s="246">
        <f t="shared" si="27"/>
        <v>9</v>
      </c>
      <c r="O111" s="246">
        <f t="shared" si="27"/>
        <v>9</v>
      </c>
      <c r="P111" s="245">
        <f t="shared" si="27"/>
        <v>9</v>
      </c>
      <c r="Q111" s="246">
        <f t="shared" si="27"/>
        <v>9</v>
      </c>
      <c r="R111" s="246">
        <f t="shared" si="27"/>
        <v>9</v>
      </c>
      <c r="S111" s="246">
        <f t="shared" si="27"/>
        <v>9</v>
      </c>
      <c r="T111" s="246">
        <f t="shared" si="27"/>
        <v>9</v>
      </c>
      <c r="U111" s="246">
        <f t="shared" si="27"/>
        <v>9</v>
      </c>
      <c r="V111" s="246">
        <f t="shared" si="27"/>
        <v>9</v>
      </c>
      <c r="W111" s="246">
        <f t="shared" si="27"/>
        <v>9</v>
      </c>
      <c r="X111" s="246">
        <f t="shared" si="27"/>
        <v>9</v>
      </c>
      <c r="Y111" s="246">
        <f t="shared" si="27"/>
        <v>9</v>
      </c>
      <c r="Z111" s="246">
        <f t="shared" si="27"/>
        <v>9</v>
      </c>
      <c r="AA111" s="246">
        <f t="shared" si="27"/>
        <v>9</v>
      </c>
      <c r="AB111" s="245">
        <f t="shared" si="27"/>
        <v>9</v>
      </c>
      <c r="AC111" s="246">
        <f t="shared" si="27"/>
        <v>9</v>
      </c>
      <c r="AD111" s="246">
        <f t="shared" si="27"/>
        <v>9</v>
      </c>
      <c r="AE111" s="246">
        <f t="shared" si="27"/>
        <v>9</v>
      </c>
      <c r="AF111" s="246">
        <f t="shared" si="27"/>
        <v>9</v>
      </c>
      <c r="AG111" s="246">
        <f t="shared" si="27"/>
        <v>9</v>
      </c>
      <c r="AH111" s="246">
        <f t="shared" si="27"/>
        <v>9</v>
      </c>
      <c r="AI111" s="246">
        <f t="shared" si="27"/>
        <v>9</v>
      </c>
      <c r="AJ111" s="246">
        <f t="shared" si="27"/>
        <v>9</v>
      </c>
      <c r="AK111" s="246">
        <f t="shared" si="27"/>
        <v>9</v>
      </c>
      <c r="AL111" s="246">
        <f t="shared" si="27"/>
        <v>9</v>
      </c>
      <c r="AM111" s="246">
        <f t="shared" si="27"/>
        <v>9</v>
      </c>
    </row>
    <row r="112" spans="1:39" s="243" customFormat="1" outlineLevel="1" x14ac:dyDescent="0.25">
      <c r="B112" s="243" t="str">
        <v>DagrenErhverv</v>
      </c>
      <c r="C112" s="244" t="s">
        <v>393</v>
      </c>
      <c r="D112" s="245">
        <f t="shared" ref="D112:AM112" si="28">$R16</f>
        <v>12</v>
      </c>
      <c r="E112" s="246">
        <f t="shared" si="28"/>
        <v>12</v>
      </c>
      <c r="F112" s="246">
        <f t="shared" si="28"/>
        <v>12</v>
      </c>
      <c r="G112" s="246">
        <f t="shared" si="28"/>
        <v>12</v>
      </c>
      <c r="H112" s="246">
        <f t="shared" si="28"/>
        <v>12</v>
      </c>
      <c r="I112" s="246">
        <f t="shared" si="28"/>
        <v>12</v>
      </c>
      <c r="J112" s="246">
        <f t="shared" si="28"/>
        <v>12</v>
      </c>
      <c r="K112" s="246">
        <f t="shared" si="28"/>
        <v>12</v>
      </c>
      <c r="L112" s="246">
        <f t="shared" si="28"/>
        <v>12</v>
      </c>
      <c r="M112" s="246">
        <f t="shared" si="28"/>
        <v>12</v>
      </c>
      <c r="N112" s="246">
        <f t="shared" si="28"/>
        <v>12</v>
      </c>
      <c r="O112" s="246">
        <f t="shared" si="28"/>
        <v>12</v>
      </c>
      <c r="P112" s="245">
        <f t="shared" si="28"/>
        <v>12</v>
      </c>
      <c r="Q112" s="246">
        <f t="shared" si="28"/>
        <v>12</v>
      </c>
      <c r="R112" s="246">
        <f t="shared" si="28"/>
        <v>12</v>
      </c>
      <c r="S112" s="246">
        <f t="shared" si="28"/>
        <v>12</v>
      </c>
      <c r="T112" s="246">
        <f t="shared" si="28"/>
        <v>12</v>
      </c>
      <c r="U112" s="246">
        <f t="shared" si="28"/>
        <v>12</v>
      </c>
      <c r="V112" s="246">
        <f t="shared" si="28"/>
        <v>12</v>
      </c>
      <c r="W112" s="246">
        <f t="shared" si="28"/>
        <v>12</v>
      </c>
      <c r="X112" s="246">
        <f t="shared" si="28"/>
        <v>12</v>
      </c>
      <c r="Y112" s="246">
        <f t="shared" si="28"/>
        <v>12</v>
      </c>
      <c r="Z112" s="246">
        <f t="shared" si="28"/>
        <v>12</v>
      </c>
      <c r="AA112" s="246">
        <f t="shared" si="28"/>
        <v>12</v>
      </c>
      <c r="AB112" s="245">
        <f t="shared" si="28"/>
        <v>12</v>
      </c>
      <c r="AC112" s="246">
        <f t="shared" si="28"/>
        <v>12</v>
      </c>
      <c r="AD112" s="246">
        <f t="shared" si="28"/>
        <v>12</v>
      </c>
      <c r="AE112" s="246">
        <f t="shared" si="28"/>
        <v>12</v>
      </c>
      <c r="AF112" s="246">
        <f t="shared" si="28"/>
        <v>12</v>
      </c>
      <c r="AG112" s="246">
        <f t="shared" si="28"/>
        <v>12</v>
      </c>
      <c r="AH112" s="246">
        <f t="shared" si="28"/>
        <v>12</v>
      </c>
      <c r="AI112" s="246">
        <f t="shared" si="28"/>
        <v>12</v>
      </c>
      <c r="AJ112" s="246">
        <f t="shared" si="28"/>
        <v>12</v>
      </c>
      <c r="AK112" s="246">
        <f t="shared" si="28"/>
        <v>12</v>
      </c>
      <c r="AL112" s="246">
        <f t="shared" si="28"/>
        <v>12</v>
      </c>
      <c r="AM112" s="246">
        <f t="shared" si="28"/>
        <v>12</v>
      </c>
    </row>
    <row r="113" spans="1:39" s="243" customFormat="1" outlineLevel="1" x14ac:dyDescent="0.25">
      <c r="B113" s="243" t="str">
        <v>HandelKontor</v>
      </c>
      <c r="C113" s="244" t="s">
        <v>393</v>
      </c>
      <c r="D113" s="245">
        <f t="shared" ref="D113:AM113" si="29">$R17</f>
        <v>10</v>
      </c>
      <c r="E113" s="246">
        <f t="shared" si="29"/>
        <v>10</v>
      </c>
      <c r="F113" s="246">
        <f t="shared" si="29"/>
        <v>10</v>
      </c>
      <c r="G113" s="246">
        <f t="shared" si="29"/>
        <v>10</v>
      </c>
      <c r="H113" s="246">
        <f t="shared" si="29"/>
        <v>10</v>
      </c>
      <c r="I113" s="246">
        <f t="shared" si="29"/>
        <v>10</v>
      </c>
      <c r="J113" s="246">
        <f t="shared" si="29"/>
        <v>10</v>
      </c>
      <c r="K113" s="246">
        <f t="shared" si="29"/>
        <v>10</v>
      </c>
      <c r="L113" s="246">
        <f t="shared" si="29"/>
        <v>10</v>
      </c>
      <c r="M113" s="246">
        <f t="shared" si="29"/>
        <v>10</v>
      </c>
      <c r="N113" s="246">
        <f t="shared" si="29"/>
        <v>10</v>
      </c>
      <c r="O113" s="246">
        <f t="shared" si="29"/>
        <v>10</v>
      </c>
      <c r="P113" s="245">
        <f t="shared" si="29"/>
        <v>10</v>
      </c>
      <c r="Q113" s="246">
        <f t="shared" si="29"/>
        <v>10</v>
      </c>
      <c r="R113" s="246">
        <f t="shared" si="29"/>
        <v>10</v>
      </c>
      <c r="S113" s="246">
        <f t="shared" si="29"/>
        <v>10</v>
      </c>
      <c r="T113" s="246">
        <f t="shared" si="29"/>
        <v>10</v>
      </c>
      <c r="U113" s="246">
        <f t="shared" si="29"/>
        <v>10</v>
      </c>
      <c r="V113" s="246">
        <f t="shared" si="29"/>
        <v>10</v>
      </c>
      <c r="W113" s="246">
        <f t="shared" si="29"/>
        <v>10</v>
      </c>
      <c r="X113" s="246">
        <f t="shared" si="29"/>
        <v>10</v>
      </c>
      <c r="Y113" s="246">
        <f t="shared" si="29"/>
        <v>10</v>
      </c>
      <c r="Z113" s="246">
        <f t="shared" si="29"/>
        <v>10</v>
      </c>
      <c r="AA113" s="246">
        <f t="shared" si="29"/>
        <v>10</v>
      </c>
      <c r="AB113" s="245">
        <f t="shared" si="29"/>
        <v>10</v>
      </c>
      <c r="AC113" s="246">
        <f t="shared" si="29"/>
        <v>10</v>
      </c>
      <c r="AD113" s="246">
        <f t="shared" si="29"/>
        <v>10</v>
      </c>
      <c r="AE113" s="246">
        <f t="shared" si="29"/>
        <v>10</v>
      </c>
      <c r="AF113" s="246">
        <f t="shared" si="29"/>
        <v>10</v>
      </c>
      <c r="AG113" s="246">
        <f t="shared" si="29"/>
        <v>10</v>
      </c>
      <c r="AH113" s="246">
        <f t="shared" si="29"/>
        <v>10</v>
      </c>
      <c r="AI113" s="246">
        <f t="shared" si="29"/>
        <v>10</v>
      </c>
      <c r="AJ113" s="246">
        <f t="shared" si="29"/>
        <v>10</v>
      </c>
      <c r="AK113" s="246">
        <f t="shared" si="29"/>
        <v>10</v>
      </c>
      <c r="AL113" s="246">
        <f t="shared" si="29"/>
        <v>10</v>
      </c>
      <c r="AM113" s="246">
        <f t="shared" si="29"/>
        <v>10</v>
      </c>
    </row>
    <row r="114" spans="1:39" s="243" customFormat="1" outlineLevel="1" x14ac:dyDescent="0.25">
      <c r="B114" s="243" t="str">
        <v>Privat</v>
      </c>
      <c r="C114" s="244" t="s">
        <v>393</v>
      </c>
      <c r="D114" s="245">
        <f t="shared" ref="D114:AM114" si="30">$R18</f>
        <v>11</v>
      </c>
      <c r="E114" s="246">
        <f t="shared" si="30"/>
        <v>11</v>
      </c>
      <c r="F114" s="246">
        <f t="shared" si="30"/>
        <v>11</v>
      </c>
      <c r="G114" s="246">
        <f t="shared" si="30"/>
        <v>11</v>
      </c>
      <c r="H114" s="246">
        <f t="shared" si="30"/>
        <v>11</v>
      </c>
      <c r="I114" s="246">
        <f t="shared" si="30"/>
        <v>11</v>
      </c>
      <c r="J114" s="246">
        <f t="shared" si="30"/>
        <v>11</v>
      </c>
      <c r="K114" s="246">
        <f t="shared" si="30"/>
        <v>11</v>
      </c>
      <c r="L114" s="246">
        <f t="shared" si="30"/>
        <v>11</v>
      </c>
      <c r="M114" s="246">
        <f t="shared" si="30"/>
        <v>11</v>
      </c>
      <c r="N114" s="246">
        <f t="shared" si="30"/>
        <v>11</v>
      </c>
      <c r="O114" s="246">
        <f t="shared" si="30"/>
        <v>11</v>
      </c>
      <c r="P114" s="245">
        <f t="shared" si="30"/>
        <v>11</v>
      </c>
      <c r="Q114" s="246">
        <f t="shared" si="30"/>
        <v>11</v>
      </c>
      <c r="R114" s="246">
        <f t="shared" si="30"/>
        <v>11</v>
      </c>
      <c r="S114" s="246">
        <f t="shared" si="30"/>
        <v>11</v>
      </c>
      <c r="T114" s="246">
        <f t="shared" si="30"/>
        <v>11</v>
      </c>
      <c r="U114" s="246">
        <f t="shared" si="30"/>
        <v>11</v>
      </c>
      <c r="V114" s="246">
        <f t="shared" si="30"/>
        <v>11</v>
      </c>
      <c r="W114" s="246">
        <f t="shared" si="30"/>
        <v>11</v>
      </c>
      <c r="X114" s="246">
        <f t="shared" si="30"/>
        <v>11</v>
      </c>
      <c r="Y114" s="246">
        <f t="shared" si="30"/>
        <v>11</v>
      </c>
      <c r="Z114" s="246">
        <f t="shared" si="30"/>
        <v>11</v>
      </c>
      <c r="AA114" s="246">
        <f t="shared" si="30"/>
        <v>11</v>
      </c>
      <c r="AB114" s="245">
        <f t="shared" si="30"/>
        <v>11</v>
      </c>
      <c r="AC114" s="246">
        <f t="shared" si="30"/>
        <v>11</v>
      </c>
      <c r="AD114" s="246">
        <f t="shared" si="30"/>
        <v>11</v>
      </c>
      <c r="AE114" s="246">
        <f t="shared" si="30"/>
        <v>11</v>
      </c>
      <c r="AF114" s="246">
        <f t="shared" si="30"/>
        <v>11</v>
      </c>
      <c r="AG114" s="246">
        <f t="shared" si="30"/>
        <v>11</v>
      </c>
      <c r="AH114" s="246">
        <f t="shared" si="30"/>
        <v>11</v>
      </c>
      <c r="AI114" s="246">
        <f t="shared" si="30"/>
        <v>11</v>
      </c>
      <c r="AJ114" s="246">
        <f t="shared" si="30"/>
        <v>11</v>
      </c>
      <c r="AK114" s="246">
        <f t="shared" si="30"/>
        <v>11</v>
      </c>
      <c r="AL114" s="246">
        <f t="shared" si="30"/>
        <v>11</v>
      </c>
      <c r="AM114" s="246">
        <f t="shared" si="30"/>
        <v>11</v>
      </c>
    </row>
    <row r="115" spans="1:39" s="243" customFormat="1" outlineLevel="1" x14ac:dyDescent="0.25">
      <c r="B115" s="243" t="str">
        <v>TyskRest</v>
      </c>
      <c r="C115" s="244" t="s">
        <v>393</v>
      </c>
      <c r="D115" s="245">
        <f t="shared" ref="D115:AM115" si="31">$R19</f>
        <v>10.5</v>
      </c>
      <c r="E115" s="246">
        <f t="shared" si="31"/>
        <v>10.5</v>
      </c>
      <c r="F115" s="246">
        <f t="shared" si="31"/>
        <v>10.5</v>
      </c>
      <c r="G115" s="246">
        <f t="shared" si="31"/>
        <v>10.5</v>
      </c>
      <c r="H115" s="246">
        <f t="shared" si="31"/>
        <v>10.5</v>
      </c>
      <c r="I115" s="246">
        <f t="shared" si="31"/>
        <v>10.5</v>
      </c>
      <c r="J115" s="246">
        <f t="shared" si="31"/>
        <v>10.5</v>
      </c>
      <c r="K115" s="246">
        <f t="shared" si="31"/>
        <v>10.5</v>
      </c>
      <c r="L115" s="246">
        <f t="shared" si="31"/>
        <v>10.5</v>
      </c>
      <c r="M115" s="246">
        <f t="shared" si="31"/>
        <v>10.5</v>
      </c>
      <c r="N115" s="246">
        <f t="shared" si="31"/>
        <v>10.5</v>
      </c>
      <c r="O115" s="246">
        <f t="shared" si="31"/>
        <v>10.5</v>
      </c>
      <c r="P115" s="245">
        <f t="shared" si="31"/>
        <v>10.5</v>
      </c>
      <c r="Q115" s="246">
        <f t="shared" si="31"/>
        <v>10.5</v>
      </c>
      <c r="R115" s="246">
        <f t="shared" si="31"/>
        <v>10.5</v>
      </c>
      <c r="S115" s="246">
        <f t="shared" si="31"/>
        <v>10.5</v>
      </c>
      <c r="T115" s="246">
        <f t="shared" si="31"/>
        <v>10.5</v>
      </c>
      <c r="U115" s="246">
        <f t="shared" si="31"/>
        <v>10.5</v>
      </c>
      <c r="V115" s="246">
        <f t="shared" si="31"/>
        <v>10.5</v>
      </c>
      <c r="W115" s="246">
        <f t="shared" si="31"/>
        <v>10.5</v>
      </c>
      <c r="X115" s="246">
        <f t="shared" si="31"/>
        <v>10.5</v>
      </c>
      <c r="Y115" s="246">
        <f t="shared" si="31"/>
        <v>10.5</v>
      </c>
      <c r="Z115" s="246">
        <f t="shared" si="31"/>
        <v>10.5</v>
      </c>
      <c r="AA115" s="246">
        <f t="shared" si="31"/>
        <v>10.5</v>
      </c>
      <c r="AB115" s="245">
        <f t="shared" si="31"/>
        <v>10.5</v>
      </c>
      <c r="AC115" s="246">
        <f t="shared" si="31"/>
        <v>10.5</v>
      </c>
      <c r="AD115" s="246">
        <f t="shared" si="31"/>
        <v>10.5</v>
      </c>
      <c r="AE115" s="246">
        <f t="shared" si="31"/>
        <v>10.5</v>
      </c>
      <c r="AF115" s="246">
        <f t="shared" si="31"/>
        <v>10.5</v>
      </c>
      <c r="AG115" s="246">
        <f t="shared" si="31"/>
        <v>10.5</v>
      </c>
      <c r="AH115" s="246">
        <f t="shared" si="31"/>
        <v>10.5</v>
      </c>
      <c r="AI115" s="246">
        <f t="shared" si="31"/>
        <v>10.5</v>
      </c>
      <c r="AJ115" s="246">
        <f t="shared" si="31"/>
        <v>10.5</v>
      </c>
      <c r="AK115" s="246">
        <f t="shared" si="31"/>
        <v>10.5</v>
      </c>
      <c r="AL115" s="246">
        <f t="shared" si="31"/>
        <v>10.5</v>
      </c>
      <c r="AM115" s="246">
        <f t="shared" si="31"/>
        <v>10.5</v>
      </c>
    </row>
    <row r="116" spans="1:39" s="243" customFormat="1" outlineLevel="1" x14ac:dyDescent="0.25">
      <c r="B116" s="243" t="str">
        <v>PolskRest</v>
      </c>
      <c r="C116" s="244" t="s">
        <v>393</v>
      </c>
      <c r="D116" s="245">
        <f t="shared" ref="D116:AM116" si="32">$R20</f>
        <v>10.5</v>
      </c>
      <c r="E116" s="246">
        <f t="shared" si="32"/>
        <v>10.5</v>
      </c>
      <c r="F116" s="246">
        <f t="shared" si="32"/>
        <v>10.5</v>
      </c>
      <c r="G116" s="246">
        <f t="shared" si="32"/>
        <v>10.5</v>
      </c>
      <c r="H116" s="246">
        <f t="shared" si="32"/>
        <v>10.5</v>
      </c>
      <c r="I116" s="246">
        <f t="shared" si="32"/>
        <v>10.5</v>
      </c>
      <c r="J116" s="246">
        <f t="shared" si="32"/>
        <v>10.5</v>
      </c>
      <c r="K116" s="246">
        <f t="shared" si="32"/>
        <v>10.5</v>
      </c>
      <c r="L116" s="246">
        <f t="shared" si="32"/>
        <v>10.5</v>
      </c>
      <c r="M116" s="246">
        <f t="shared" si="32"/>
        <v>10.5</v>
      </c>
      <c r="N116" s="246">
        <f t="shared" si="32"/>
        <v>10.5</v>
      </c>
      <c r="O116" s="246">
        <f t="shared" si="32"/>
        <v>10.5</v>
      </c>
      <c r="P116" s="245">
        <f t="shared" si="32"/>
        <v>10.5</v>
      </c>
      <c r="Q116" s="246">
        <f t="shared" si="32"/>
        <v>10.5</v>
      </c>
      <c r="R116" s="246">
        <f t="shared" si="32"/>
        <v>10.5</v>
      </c>
      <c r="S116" s="246">
        <f t="shared" si="32"/>
        <v>10.5</v>
      </c>
      <c r="T116" s="246">
        <f t="shared" si="32"/>
        <v>10.5</v>
      </c>
      <c r="U116" s="246">
        <f t="shared" si="32"/>
        <v>10.5</v>
      </c>
      <c r="V116" s="246">
        <f t="shared" si="32"/>
        <v>10.5</v>
      </c>
      <c r="W116" s="246">
        <f t="shared" si="32"/>
        <v>10.5</v>
      </c>
      <c r="X116" s="246">
        <f t="shared" si="32"/>
        <v>10.5</v>
      </c>
      <c r="Y116" s="246">
        <f t="shared" si="32"/>
        <v>10.5</v>
      </c>
      <c r="Z116" s="246">
        <f t="shared" si="32"/>
        <v>10.5</v>
      </c>
      <c r="AA116" s="246">
        <f t="shared" si="32"/>
        <v>10.5</v>
      </c>
      <c r="AB116" s="245">
        <f t="shared" si="32"/>
        <v>10.5</v>
      </c>
      <c r="AC116" s="246">
        <f t="shared" si="32"/>
        <v>10.5</v>
      </c>
      <c r="AD116" s="246">
        <f t="shared" si="32"/>
        <v>10.5</v>
      </c>
      <c r="AE116" s="246">
        <f t="shared" si="32"/>
        <v>10.5</v>
      </c>
      <c r="AF116" s="246">
        <f t="shared" si="32"/>
        <v>10.5</v>
      </c>
      <c r="AG116" s="246">
        <f t="shared" si="32"/>
        <v>10.5</v>
      </c>
      <c r="AH116" s="246">
        <f t="shared" si="32"/>
        <v>10.5</v>
      </c>
      <c r="AI116" s="246">
        <f t="shared" si="32"/>
        <v>10.5</v>
      </c>
      <c r="AJ116" s="246">
        <f t="shared" si="32"/>
        <v>10.5</v>
      </c>
      <c r="AK116" s="246">
        <f t="shared" si="32"/>
        <v>10.5</v>
      </c>
      <c r="AL116" s="246">
        <f t="shared" si="32"/>
        <v>10.5</v>
      </c>
      <c r="AM116" s="246">
        <f t="shared" si="32"/>
        <v>10.5</v>
      </c>
    </row>
    <row r="117" spans="1:39" s="243" customFormat="1" outlineLevel="1" x14ac:dyDescent="0.25">
      <c r="B117" s="243" t="str">
        <v>PcbTrae</v>
      </c>
      <c r="C117" s="244" t="s">
        <v>393</v>
      </c>
      <c r="D117" s="245">
        <f t="shared" ref="D117:AM117" si="33">$R21</f>
        <v>13</v>
      </c>
      <c r="E117" s="246">
        <f t="shared" si="33"/>
        <v>13</v>
      </c>
      <c r="F117" s="246">
        <f t="shared" si="33"/>
        <v>13</v>
      </c>
      <c r="G117" s="246">
        <f t="shared" si="33"/>
        <v>13</v>
      </c>
      <c r="H117" s="246">
        <f t="shared" si="33"/>
        <v>13</v>
      </c>
      <c r="I117" s="246">
        <f t="shared" si="33"/>
        <v>13</v>
      </c>
      <c r="J117" s="246">
        <f t="shared" si="33"/>
        <v>13</v>
      </c>
      <c r="K117" s="246">
        <f t="shared" si="33"/>
        <v>13</v>
      </c>
      <c r="L117" s="246">
        <f t="shared" si="33"/>
        <v>13</v>
      </c>
      <c r="M117" s="246">
        <f t="shared" si="33"/>
        <v>13</v>
      </c>
      <c r="N117" s="246">
        <f t="shared" si="33"/>
        <v>13</v>
      </c>
      <c r="O117" s="246">
        <f t="shared" si="33"/>
        <v>13</v>
      </c>
      <c r="P117" s="245">
        <f t="shared" si="33"/>
        <v>13</v>
      </c>
      <c r="Q117" s="246">
        <f t="shared" si="33"/>
        <v>13</v>
      </c>
      <c r="R117" s="246">
        <f t="shared" si="33"/>
        <v>13</v>
      </c>
      <c r="S117" s="246">
        <f t="shared" si="33"/>
        <v>13</v>
      </c>
      <c r="T117" s="246">
        <f t="shared" si="33"/>
        <v>13</v>
      </c>
      <c r="U117" s="246">
        <f t="shared" si="33"/>
        <v>13</v>
      </c>
      <c r="V117" s="246">
        <f t="shared" si="33"/>
        <v>13</v>
      </c>
      <c r="W117" s="246">
        <f t="shared" si="33"/>
        <v>13</v>
      </c>
      <c r="X117" s="246">
        <f t="shared" si="33"/>
        <v>13</v>
      </c>
      <c r="Y117" s="246">
        <f t="shared" si="33"/>
        <v>13</v>
      </c>
      <c r="Z117" s="246">
        <f t="shared" si="33"/>
        <v>13</v>
      </c>
      <c r="AA117" s="246">
        <f t="shared" si="33"/>
        <v>13</v>
      </c>
      <c r="AB117" s="245">
        <f t="shared" si="33"/>
        <v>13</v>
      </c>
      <c r="AC117" s="246">
        <f t="shared" si="33"/>
        <v>13</v>
      </c>
      <c r="AD117" s="246">
        <f t="shared" si="33"/>
        <v>13</v>
      </c>
      <c r="AE117" s="246">
        <f t="shared" si="33"/>
        <v>13</v>
      </c>
      <c r="AF117" s="246">
        <f t="shared" si="33"/>
        <v>13</v>
      </c>
      <c r="AG117" s="246">
        <f t="shared" si="33"/>
        <v>13</v>
      </c>
      <c r="AH117" s="246">
        <f t="shared" si="33"/>
        <v>13</v>
      </c>
      <c r="AI117" s="246">
        <f t="shared" si="33"/>
        <v>13</v>
      </c>
      <c r="AJ117" s="246">
        <f t="shared" si="33"/>
        <v>13</v>
      </c>
      <c r="AK117" s="246">
        <f t="shared" si="33"/>
        <v>13</v>
      </c>
      <c r="AL117" s="246">
        <f t="shared" si="33"/>
        <v>13</v>
      </c>
      <c r="AM117" s="246">
        <f t="shared" si="33"/>
        <v>13</v>
      </c>
    </row>
    <row r="118" spans="1:39" s="243" customFormat="1" outlineLevel="1" x14ac:dyDescent="0.25">
      <c r="B118" s="243" t="str">
        <v>TraeRekv</v>
      </c>
      <c r="C118" s="244" t="s">
        <v>393</v>
      </c>
      <c r="D118" s="245">
        <f t="shared" ref="D118:AM118" si="34">$R22</f>
        <v>14.5</v>
      </c>
      <c r="E118" s="246">
        <f t="shared" si="34"/>
        <v>14.5</v>
      </c>
      <c r="F118" s="246">
        <f t="shared" si="34"/>
        <v>14.5</v>
      </c>
      <c r="G118" s="246">
        <f t="shared" si="34"/>
        <v>14.5</v>
      </c>
      <c r="H118" s="246">
        <f t="shared" si="34"/>
        <v>14.5</v>
      </c>
      <c r="I118" s="246">
        <f t="shared" si="34"/>
        <v>14.5</v>
      </c>
      <c r="J118" s="246">
        <f t="shared" si="34"/>
        <v>14.5</v>
      </c>
      <c r="K118" s="246">
        <f t="shared" si="34"/>
        <v>14.5</v>
      </c>
      <c r="L118" s="246">
        <f t="shared" si="34"/>
        <v>14.5</v>
      </c>
      <c r="M118" s="246">
        <f t="shared" si="34"/>
        <v>14.5</v>
      </c>
      <c r="N118" s="246">
        <f t="shared" si="34"/>
        <v>14.5</v>
      </c>
      <c r="O118" s="246">
        <f t="shared" si="34"/>
        <v>14.5</v>
      </c>
      <c r="P118" s="245">
        <f t="shared" si="34"/>
        <v>14.5</v>
      </c>
      <c r="Q118" s="246">
        <f t="shared" si="34"/>
        <v>14.5</v>
      </c>
      <c r="R118" s="246">
        <f t="shared" si="34"/>
        <v>14.5</v>
      </c>
      <c r="S118" s="246">
        <f t="shared" si="34"/>
        <v>14.5</v>
      </c>
      <c r="T118" s="246">
        <f t="shared" si="34"/>
        <v>14.5</v>
      </c>
      <c r="U118" s="246">
        <f t="shared" si="34"/>
        <v>14.5</v>
      </c>
      <c r="V118" s="246">
        <f t="shared" si="34"/>
        <v>14.5</v>
      </c>
      <c r="W118" s="246">
        <f t="shared" si="34"/>
        <v>14.5</v>
      </c>
      <c r="X118" s="246">
        <f t="shared" si="34"/>
        <v>14.5</v>
      </c>
      <c r="Y118" s="246">
        <f t="shared" si="34"/>
        <v>14.5</v>
      </c>
      <c r="Z118" s="246">
        <f t="shared" si="34"/>
        <v>14.5</v>
      </c>
      <c r="AA118" s="246">
        <f t="shared" si="34"/>
        <v>14.5</v>
      </c>
      <c r="AB118" s="245">
        <f t="shared" si="34"/>
        <v>14.5</v>
      </c>
      <c r="AC118" s="246">
        <f t="shared" si="34"/>
        <v>14.5</v>
      </c>
      <c r="AD118" s="246">
        <f t="shared" si="34"/>
        <v>14.5</v>
      </c>
      <c r="AE118" s="246">
        <f t="shared" si="34"/>
        <v>14.5</v>
      </c>
      <c r="AF118" s="246">
        <f t="shared" si="34"/>
        <v>14.5</v>
      </c>
      <c r="AG118" s="246">
        <f t="shared" si="34"/>
        <v>14.5</v>
      </c>
      <c r="AH118" s="246">
        <f t="shared" si="34"/>
        <v>14.5</v>
      </c>
      <c r="AI118" s="246">
        <f t="shared" si="34"/>
        <v>14.5</v>
      </c>
      <c r="AJ118" s="246">
        <f t="shared" si="34"/>
        <v>14.5</v>
      </c>
      <c r="AK118" s="246">
        <f t="shared" si="34"/>
        <v>14.5</v>
      </c>
      <c r="AL118" s="246">
        <f t="shared" si="34"/>
        <v>14.5</v>
      </c>
      <c r="AM118" s="246">
        <f t="shared" si="34"/>
        <v>14.5</v>
      </c>
    </row>
    <row r="119" spans="1:39" s="243" customFormat="1" outlineLevel="1" x14ac:dyDescent="0.25">
      <c r="B119" s="243" t="str">
        <v>Halm</v>
      </c>
      <c r="C119" s="244" t="s">
        <v>393</v>
      </c>
      <c r="D119" s="245">
        <f t="shared" ref="D119:AM119" si="35">$R23</f>
        <v>14.7</v>
      </c>
      <c r="E119" s="246">
        <f t="shared" si="35"/>
        <v>14.7</v>
      </c>
      <c r="F119" s="246">
        <f t="shared" si="35"/>
        <v>14.7</v>
      </c>
      <c r="G119" s="246">
        <f t="shared" si="35"/>
        <v>14.7</v>
      </c>
      <c r="H119" s="246">
        <f t="shared" si="35"/>
        <v>14.7</v>
      </c>
      <c r="I119" s="246">
        <f t="shared" si="35"/>
        <v>14.7</v>
      </c>
      <c r="J119" s="246">
        <f t="shared" si="35"/>
        <v>14.7</v>
      </c>
      <c r="K119" s="246">
        <f t="shared" si="35"/>
        <v>14.7</v>
      </c>
      <c r="L119" s="246">
        <f t="shared" si="35"/>
        <v>14.7</v>
      </c>
      <c r="M119" s="246">
        <f t="shared" si="35"/>
        <v>14.7</v>
      </c>
      <c r="N119" s="246">
        <f t="shared" si="35"/>
        <v>14.7</v>
      </c>
      <c r="O119" s="246">
        <f t="shared" si="35"/>
        <v>14.7</v>
      </c>
      <c r="P119" s="245">
        <f t="shared" si="35"/>
        <v>14.7</v>
      </c>
      <c r="Q119" s="246">
        <f t="shared" si="35"/>
        <v>14.7</v>
      </c>
      <c r="R119" s="246">
        <f t="shared" si="35"/>
        <v>14.7</v>
      </c>
      <c r="S119" s="246">
        <f t="shared" si="35"/>
        <v>14.7</v>
      </c>
      <c r="T119" s="246">
        <f t="shared" si="35"/>
        <v>14.7</v>
      </c>
      <c r="U119" s="246">
        <f t="shared" si="35"/>
        <v>14.7</v>
      </c>
      <c r="V119" s="246">
        <f t="shared" si="35"/>
        <v>14.7</v>
      </c>
      <c r="W119" s="246">
        <f t="shared" si="35"/>
        <v>14.7</v>
      </c>
      <c r="X119" s="246">
        <f t="shared" si="35"/>
        <v>14.7</v>
      </c>
      <c r="Y119" s="246">
        <f t="shared" si="35"/>
        <v>14.7</v>
      </c>
      <c r="Z119" s="246">
        <f t="shared" si="35"/>
        <v>14.7</v>
      </c>
      <c r="AA119" s="246">
        <f t="shared" si="35"/>
        <v>14.7</v>
      </c>
      <c r="AB119" s="245">
        <f t="shared" si="35"/>
        <v>14.7</v>
      </c>
      <c r="AC119" s="246">
        <f t="shared" si="35"/>
        <v>14.7</v>
      </c>
      <c r="AD119" s="246">
        <f t="shared" si="35"/>
        <v>14.7</v>
      </c>
      <c r="AE119" s="246">
        <f t="shared" si="35"/>
        <v>14.7</v>
      </c>
      <c r="AF119" s="246">
        <f t="shared" si="35"/>
        <v>14.7</v>
      </c>
      <c r="AG119" s="246">
        <f t="shared" si="35"/>
        <v>14.7</v>
      </c>
      <c r="AH119" s="246">
        <f t="shared" si="35"/>
        <v>14.7</v>
      </c>
      <c r="AI119" s="246">
        <f t="shared" si="35"/>
        <v>14.7</v>
      </c>
      <c r="AJ119" s="246">
        <f t="shared" si="35"/>
        <v>14.7</v>
      </c>
      <c r="AK119" s="246">
        <f t="shared" si="35"/>
        <v>14.7</v>
      </c>
      <c r="AL119" s="246">
        <f t="shared" si="35"/>
        <v>14.7</v>
      </c>
      <c r="AM119" s="246">
        <f t="shared" si="35"/>
        <v>14.7</v>
      </c>
    </row>
    <row r="120" spans="1:39" s="243" customFormat="1" outlineLevel="1" x14ac:dyDescent="0.25">
      <c r="A120" s="247"/>
      <c r="B120" s="243" t="str">
        <v>Pulver</v>
      </c>
      <c r="C120" s="244" t="s">
        <v>393</v>
      </c>
      <c r="D120" s="245">
        <f t="shared" ref="D120:AM120" si="36">$R24</f>
        <v>14</v>
      </c>
      <c r="E120" s="246">
        <f t="shared" si="36"/>
        <v>14</v>
      </c>
      <c r="F120" s="246">
        <f t="shared" si="36"/>
        <v>14</v>
      </c>
      <c r="G120" s="246">
        <f t="shared" si="36"/>
        <v>14</v>
      </c>
      <c r="H120" s="246">
        <f t="shared" si="36"/>
        <v>14</v>
      </c>
      <c r="I120" s="246">
        <f t="shared" si="36"/>
        <v>14</v>
      </c>
      <c r="J120" s="246">
        <f t="shared" si="36"/>
        <v>14</v>
      </c>
      <c r="K120" s="246">
        <f t="shared" si="36"/>
        <v>14</v>
      </c>
      <c r="L120" s="246">
        <f t="shared" si="36"/>
        <v>14</v>
      </c>
      <c r="M120" s="246">
        <f t="shared" si="36"/>
        <v>14</v>
      </c>
      <c r="N120" s="246">
        <f t="shared" si="36"/>
        <v>14</v>
      </c>
      <c r="O120" s="246">
        <f t="shared" si="36"/>
        <v>14</v>
      </c>
      <c r="P120" s="245">
        <f t="shared" si="36"/>
        <v>14</v>
      </c>
      <c r="Q120" s="246">
        <f t="shared" si="36"/>
        <v>14</v>
      </c>
      <c r="R120" s="246">
        <f t="shared" si="36"/>
        <v>14</v>
      </c>
      <c r="S120" s="246">
        <f t="shared" si="36"/>
        <v>14</v>
      </c>
      <c r="T120" s="246">
        <f t="shared" si="36"/>
        <v>14</v>
      </c>
      <c r="U120" s="246">
        <f t="shared" si="36"/>
        <v>14</v>
      </c>
      <c r="V120" s="246">
        <f t="shared" si="36"/>
        <v>14</v>
      </c>
      <c r="W120" s="246">
        <f t="shared" si="36"/>
        <v>14</v>
      </c>
      <c r="X120" s="246">
        <f t="shared" si="36"/>
        <v>14</v>
      </c>
      <c r="Y120" s="246">
        <f t="shared" si="36"/>
        <v>14</v>
      </c>
      <c r="Z120" s="246">
        <f t="shared" si="36"/>
        <v>14</v>
      </c>
      <c r="AA120" s="246">
        <f t="shared" si="36"/>
        <v>14</v>
      </c>
      <c r="AB120" s="245">
        <f t="shared" si="36"/>
        <v>14</v>
      </c>
      <c r="AC120" s="246">
        <f t="shared" si="36"/>
        <v>14</v>
      </c>
      <c r="AD120" s="246">
        <f t="shared" si="36"/>
        <v>14</v>
      </c>
      <c r="AE120" s="246">
        <f t="shared" si="36"/>
        <v>14</v>
      </c>
      <c r="AF120" s="246">
        <f t="shared" si="36"/>
        <v>14</v>
      </c>
      <c r="AG120" s="246">
        <f t="shared" si="36"/>
        <v>14</v>
      </c>
      <c r="AH120" s="246">
        <f t="shared" si="36"/>
        <v>14</v>
      </c>
      <c r="AI120" s="246">
        <f t="shared" si="36"/>
        <v>14</v>
      </c>
      <c r="AJ120" s="246">
        <f t="shared" si="36"/>
        <v>14</v>
      </c>
      <c r="AK120" s="246">
        <f t="shared" si="36"/>
        <v>14</v>
      </c>
      <c r="AL120" s="246">
        <f t="shared" si="36"/>
        <v>14</v>
      </c>
      <c r="AM120" s="246">
        <f t="shared" si="36"/>
        <v>14</v>
      </c>
    </row>
    <row r="121" spans="1:39" s="243" customFormat="1" outlineLevel="1" x14ac:dyDescent="0.25">
      <c r="A121" s="247"/>
      <c r="B121" s="243" t="str">
        <v>FlisAffald</v>
      </c>
      <c r="C121" s="244" t="s">
        <v>393</v>
      </c>
      <c r="D121" s="245">
        <f t="shared" ref="D121:AM121" si="37">$R25</f>
        <v>9</v>
      </c>
      <c r="E121" s="246">
        <f t="shared" si="37"/>
        <v>9</v>
      </c>
      <c r="F121" s="246">
        <f t="shared" si="37"/>
        <v>9</v>
      </c>
      <c r="G121" s="246">
        <f t="shared" si="37"/>
        <v>9</v>
      </c>
      <c r="H121" s="246">
        <f t="shared" si="37"/>
        <v>9</v>
      </c>
      <c r="I121" s="246">
        <f t="shared" si="37"/>
        <v>9</v>
      </c>
      <c r="J121" s="246">
        <f t="shared" si="37"/>
        <v>9</v>
      </c>
      <c r="K121" s="246">
        <f t="shared" si="37"/>
        <v>9</v>
      </c>
      <c r="L121" s="246">
        <f t="shared" si="37"/>
        <v>9</v>
      </c>
      <c r="M121" s="246">
        <f t="shared" si="37"/>
        <v>9</v>
      </c>
      <c r="N121" s="246">
        <f t="shared" si="37"/>
        <v>9</v>
      </c>
      <c r="O121" s="246">
        <f t="shared" si="37"/>
        <v>9</v>
      </c>
      <c r="P121" s="245">
        <f t="shared" si="37"/>
        <v>9</v>
      </c>
      <c r="Q121" s="246">
        <f t="shared" si="37"/>
        <v>9</v>
      </c>
      <c r="R121" s="246">
        <f t="shared" si="37"/>
        <v>9</v>
      </c>
      <c r="S121" s="246">
        <f t="shared" si="37"/>
        <v>9</v>
      </c>
      <c r="T121" s="246">
        <f t="shared" si="37"/>
        <v>9</v>
      </c>
      <c r="U121" s="246">
        <f t="shared" si="37"/>
        <v>9</v>
      </c>
      <c r="V121" s="246">
        <f t="shared" si="37"/>
        <v>9</v>
      </c>
      <c r="W121" s="246">
        <f t="shared" si="37"/>
        <v>9</v>
      </c>
      <c r="X121" s="246">
        <f t="shared" si="37"/>
        <v>9</v>
      </c>
      <c r="Y121" s="246">
        <f t="shared" si="37"/>
        <v>9</v>
      </c>
      <c r="Z121" s="246">
        <f t="shared" si="37"/>
        <v>9</v>
      </c>
      <c r="AA121" s="246">
        <f t="shared" si="37"/>
        <v>9</v>
      </c>
      <c r="AB121" s="245">
        <f t="shared" si="37"/>
        <v>9</v>
      </c>
      <c r="AC121" s="246">
        <f t="shared" si="37"/>
        <v>9</v>
      </c>
      <c r="AD121" s="246">
        <f t="shared" si="37"/>
        <v>9</v>
      </c>
      <c r="AE121" s="246">
        <f t="shared" si="37"/>
        <v>9</v>
      </c>
      <c r="AF121" s="246">
        <f t="shared" si="37"/>
        <v>9</v>
      </c>
      <c r="AG121" s="246">
        <f t="shared" si="37"/>
        <v>9</v>
      </c>
      <c r="AH121" s="246">
        <f t="shared" si="37"/>
        <v>9</v>
      </c>
      <c r="AI121" s="246">
        <f t="shared" si="37"/>
        <v>9</v>
      </c>
      <c r="AJ121" s="246">
        <f t="shared" si="37"/>
        <v>9</v>
      </c>
      <c r="AK121" s="246">
        <f t="shared" si="37"/>
        <v>9</v>
      </c>
      <c r="AL121" s="246">
        <f t="shared" si="37"/>
        <v>9</v>
      </c>
      <c r="AM121" s="246">
        <f t="shared" si="37"/>
        <v>9</v>
      </c>
    </row>
    <row r="122" spans="1:39" s="243" customFormat="1" outlineLevel="1" x14ac:dyDescent="0.25">
      <c r="A122" s="247"/>
      <c r="B122" s="243" t="str">
        <v>NyAff1</v>
      </c>
      <c r="C122" s="244" t="s">
        <v>393</v>
      </c>
      <c r="D122" s="245">
        <f t="shared" ref="D122:AM122" si="38">$R26</f>
        <v>11.5</v>
      </c>
      <c r="E122" s="246">
        <f t="shared" si="38"/>
        <v>11.5</v>
      </c>
      <c r="F122" s="246">
        <f t="shared" si="38"/>
        <v>11.5</v>
      </c>
      <c r="G122" s="246">
        <f t="shared" si="38"/>
        <v>11.5</v>
      </c>
      <c r="H122" s="246">
        <f t="shared" si="38"/>
        <v>11.5</v>
      </c>
      <c r="I122" s="246">
        <f t="shared" si="38"/>
        <v>11.5</v>
      </c>
      <c r="J122" s="246">
        <f t="shared" si="38"/>
        <v>11.5</v>
      </c>
      <c r="K122" s="246">
        <f t="shared" si="38"/>
        <v>11.5</v>
      </c>
      <c r="L122" s="246">
        <f t="shared" si="38"/>
        <v>11.5</v>
      </c>
      <c r="M122" s="246">
        <f t="shared" si="38"/>
        <v>11.5</v>
      </c>
      <c r="N122" s="246">
        <f t="shared" si="38"/>
        <v>11.5</v>
      </c>
      <c r="O122" s="246">
        <f t="shared" si="38"/>
        <v>11.5</v>
      </c>
      <c r="P122" s="245">
        <f t="shared" si="38"/>
        <v>11.5</v>
      </c>
      <c r="Q122" s="246">
        <f t="shared" si="38"/>
        <v>11.5</v>
      </c>
      <c r="R122" s="246">
        <f t="shared" si="38"/>
        <v>11.5</v>
      </c>
      <c r="S122" s="246">
        <f t="shared" si="38"/>
        <v>11.5</v>
      </c>
      <c r="T122" s="246">
        <f t="shared" si="38"/>
        <v>11.5</v>
      </c>
      <c r="U122" s="246">
        <f t="shared" si="38"/>
        <v>11.5</v>
      </c>
      <c r="V122" s="246">
        <f t="shared" si="38"/>
        <v>11.5</v>
      </c>
      <c r="W122" s="246">
        <f t="shared" si="38"/>
        <v>11.5</v>
      </c>
      <c r="X122" s="246">
        <f t="shared" si="38"/>
        <v>11.5</v>
      </c>
      <c r="Y122" s="246">
        <f t="shared" si="38"/>
        <v>11.5</v>
      </c>
      <c r="Z122" s="246">
        <f t="shared" si="38"/>
        <v>11.5</v>
      </c>
      <c r="AA122" s="246">
        <f t="shared" si="38"/>
        <v>11.5</v>
      </c>
      <c r="AB122" s="245">
        <f t="shared" si="38"/>
        <v>11.5</v>
      </c>
      <c r="AC122" s="246">
        <f t="shared" si="38"/>
        <v>11.5</v>
      </c>
      <c r="AD122" s="246">
        <f t="shared" si="38"/>
        <v>11.5</v>
      </c>
      <c r="AE122" s="246">
        <f t="shared" si="38"/>
        <v>11.5</v>
      </c>
      <c r="AF122" s="246">
        <f t="shared" si="38"/>
        <v>11.5</v>
      </c>
      <c r="AG122" s="246">
        <f t="shared" si="38"/>
        <v>11.5</v>
      </c>
      <c r="AH122" s="246">
        <f t="shared" si="38"/>
        <v>11.5</v>
      </c>
      <c r="AI122" s="246">
        <f t="shared" si="38"/>
        <v>11.5</v>
      </c>
      <c r="AJ122" s="246">
        <f t="shared" si="38"/>
        <v>11.5</v>
      </c>
      <c r="AK122" s="246">
        <f t="shared" si="38"/>
        <v>11.5</v>
      </c>
      <c r="AL122" s="246">
        <f t="shared" si="38"/>
        <v>11.5</v>
      </c>
      <c r="AM122" s="246">
        <f t="shared" si="38"/>
        <v>11.5</v>
      </c>
    </row>
    <row r="123" spans="1:39" s="243" customFormat="1" outlineLevel="1" x14ac:dyDescent="0.25">
      <c r="B123" s="243" t="str">
        <v>NyAff2</v>
      </c>
      <c r="C123" s="244" t="s">
        <v>393</v>
      </c>
      <c r="D123" s="245">
        <f t="shared" ref="D123:AM123" si="39">$R27</f>
        <v>10.5</v>
      </c>
      <c r="E123" s="246">
        <f t="shared" si="39"/>
        <v>10.5</v>
      </c>
      <c r="F123" s="246">
        <f t="shared" si="39"/>
        <v>10.5</v>
      </c>
      <c r="G123" s="246">
        <f t="shared" si="39"/>
        <v>10.5</v>
      </c>
      <c r="H123" s="246">
        <f t="shared" si="39"/>
        <v>10.5</v>
      </c>
      <c r="I123" s="246">
        <f t="shared" si="39"/>
        <v>10.5</v>
      </c>
      <c r="J123" s="246">
        <f t="shared" si="39"/>
        <v>10.5</v>
      </c>
      <c r="K123" s="246">
        <f t="shared" si="39"/>
        <v>10.5</v>
      </c>
      <c r="L123" s="246">
        <f t="shared" si="39"/>
        <v>10.5</v>
      </c>
      <c r="M123" s="246">
        <f t="shared" si="39"/>
        <v>10.5</v>
      </c>
      <c r="N123" s="246">
        <f t="shared" si="39"/>
        <v>10.5</v>
      </c>
      <c r="O123" s="246">
        <f t="shared" si="39"/>
        <v>10.5</v>
      </c>
      <c r="P123" s="245">
        <f t="shared" si="39"/>
        <v>10.5</v>
      </c>
      <c r="Q123" s="246">
        <f t="shared" si="39"/>
        <v>10.5</v>
      </c>
      <c r="R123" s="246">
        <f t="shared" si="39"/>
        <v>10.5</v>
      </c>
      <c r="S123" s="246">
        <f t="shared" si="39"/>
        <v>10.5</v>
      </c>
      <c r="T123" s="246">
        <f t="shared" si="39"/>
        <v>10.5</v>
      </c>
      <c r="U123" s="246">
        <f t="shared" si="39"/>
        <v>10.5</v>
      </c>
      <c r="V123" s="246">
        <f t="shared" si="39"/>
        <v>10.5</v>
      </c>
      <c r="W123" s="246">
        <f t="shared" si="39"/>
        <v>10.5</v>
      </c>
      <c r="X123" s="246">
        <f t="shared" si="39"/>
        <v>10.5</v>
      </c>
      <c r="Y123" s="246">
        <f t="shared" si="39"/>
        <v>10.5</v>
      </c>
      <c r="Z123" s="246">
        <f t="shared" si="39"/>
        <v>10.5</v>
      </c>
      <c r="AA123" s="246">
        <f t="shared" si="39"/>
        <v>10.5</v>
      </c>
      <c r="AB123" s="245">
        <f t="shared" si="39"/>
        <v>10.5</v>
      </c>
      <c r="AC123" s="246">
        <f t="shared" si="39"/>
        <v>10.5</v>
      </c>
      <c r="AD123" s="246">
        <f t="shared" si="39"/>
        <v>10.5</v>
      </c>
      <c r="AE123" s="246">
        <f t="shared" si="39"/>
        <v>10.5</v>
      </c>
      <c r="AF123" s="246">
        <f t="shared" si="39"/>
        <v>10.5</v>
      </c>
      <c r="AG123" s="246">
        <f t="shared" si="39"/>
        <v>10.5</v>
      </c>
      <c r="AH123" s="246">
        <f t="shared" si="39"/>
        <v>10.5</v>
      </c>
      <c r="AI123" s="246">
        <f t="shared" si="39"/>
        <v>10.5</v>
      </c>
      <c r="AJ123" s="246">
        <f t="shared" si="39"/>
        <v>10.5</v>
      </c>
      <c r="AK123" s="246">
        <f t="shared" si="39"/>
        <v>10.5</v>
      </c>
      <c r="AL123" s="246">
        <f t="shared" si="39"/>
        <v>10.5</v>
      </c>
      <c r="AM123" s="246">
        <f t="shared" si="39"/>
        <v>10.5</v>
      </c>
    </row>
    <row r="124" spans="1:39" s="243" customFormat="1" outlineLevel="1" x14ac:dyDescent="0.25">
      <c r="B124" s="243" t="str">
        <v>NyAff3</v>
      </c>
      <c r="C124" s="244" t="s">
        <v>393</v>
      </c>
      <c r="D124" s="245">
        <f t="shared" ref="D124:AM124" si="40">$R28</f>
        <v>9.5</v>
      </c>
      <c r="E124" s="246">
        <f t="shared" si="40"/>
        <v>9.5</v>
      </c>
      <c r="F124" s="246">
        <f t="shared" si="40"/>
        <v>9.5</v>
      </c>
      <c r="G124" s="246">
        <f t="shared" si="40"/>
        <v>9.5</v>
      </c>
      <c r="H124" s="246">
        <f t="shared" si="40"/>
        <v>9.5</v>
      </c>
      <c r="I124" s="246">
        <f t="shared" si="40"/>
        <v>9.5</v>
      </c>
      <c r="J124" s="246">
        <f t="shared" si="40"/>
        <v>9.5</v>
      </c>
      <c r="K124" s="246">
        <f t="shared" si="40"/>
        <v>9.5</v>
      </c>
      <c r="L124" s="246">
        <f t="shared" si="40"/>
        <v>9.5</v>
      </c>
      <c r="M124" s="246">
        <f t="shared" si="40"/>
        <v>9.5</v>
      </c>
      <c r="N124" s="246">
        <f t="shared" si="40"/>
        <v>9.5</v>
      </c>
      <c r="O124" s="246">
        <f t="shared" si="40"/>
        <v>9.5</v>
      </c>
      <c r="P124" s="245">
        <f t="shared" si="40"/>
        <v>9.5</v>
      </c>
      <c r="Q124" s="246">
        <f t="shared" si="40"/>
        <v>9.5</v>
      </c>
      <c r="R124" s="246">
        <f t="shared" si="40"/>
        <v>9.5</v>
      </c>
      <c r="S124" s="246">
        <f t="shared" si="40"/>
        <v>9.5</v>
      </c>
      <c r="T124" s="246">
        <f t="shared" si="40"/>
        <v>9.5</v>
      </c>
      <c r="U124" s="246">
        <f t="shared" si="40"/>
        <v>9.5</v>
      </c>
      <c r="V124" s="246">
        <f t="shared" si="40"/>
        <v>9.5</v>
      </c>
      <c r="W124" s="246">
        <f t="shared" si="40"/>
        <v>9.5</v>
      </c>
      <c r="X124" s="246">
        <f t="shared" si="40"/>
        <v>9.5</v>
      </c>
      <c r="Y124" s="246">
        <f t="shared" si="40"/>
        <v>9.5</v>
      </c>
      <c r="Z124" s="246">
        <f t="shared" si="40"/>
        <v>9.5</v>
      </c>
      <c r="AA124" s="246">
        <f t="shared" si="40"/>
        <v>9.5</v>
      </c>
      <c r="AB124" s="245">
        <f t="shared" si="40"/>
        <v>9.5</v>
      </c>
      <c r="AC124" s="246">
        <f t="shared" si="40"/>
        <v>9.5</v>
      </c>
      <c r="AD124" s="246">
        <f t="shared" si="40"/>
        <v>9.5</v>
      </c>
      <c r="AE124" s="246">
        <f t="shared" si="40"/>
        <v>9.5</v>
      </c>
      <c r="AF124" s="246">
        <f t="shared" si="40"/>
        <v>9.5</v>
      </c>
      <c r="AG124" s="246">
        <f t="shared" si="40"/>
        <v>9.5</v>
      </c>
      <c r="AH124" s="246">
        <f t="shared" si="40"/>
        <v>9.5</v>
      </c>
      <c r="AI124" s="246">
        <f t="shared" si="40"/>
        <v>9.5</v>
      </c>
      <c r="AJ124" s="246">
        <f t="shared" si="40"/>
        <v>9.5</v>
      </c>
      <c r="AK124" s="246">
        <f t="shared" si="40"/>
        <v>9.5</v>
      </c>
      <c r="AL124" s="246">
        <f t="shared" si="40"/>
        <v>9.5</v>
      </c>
      <c r="AM124" s="246">
        <f t="shared" si="40"/>
        <v>9.5</v>
      </c>
    </row>
    <row r="125" spans="1:39" s="243" customFormat="1" outlineLevel="1" x14ac:dyDescent="0.25">
      <c r="B125" s="243" t="str">
        <v>NyAff4</v>
      </c>
      <c r="C125" s="244" t="s">
        <v>393</v>
      </c>
      <c r="D125" s="245">
        <f t="shared" ref="D125:AM125" si="41">$R29</f>
        <v>8.5</v>
      </c>
      <c r="E125" s="246">
        <f t="shared" si="41"/>
        <v>8.5</v>
      </c>
      <c r="F125" s="246">
        <f t="shared" si="41"/>
        <v>8.5</v>
      </c>
      <c r="G125" s="246">
        <f t="shared" si="41"/>
        <v>8.5</v>
      </c>
      <c r="H125" s="246">
        <f t="shared" si="41"/>
        <v>8.5</v>
      </c>
      <c r="I125" s="246">
        <f t="shared" si="41"/>
        <v>8.5</v>
      </c>
      <c r="J125" s="246">
        <f t="shared" si="41"/>
        <v>8.5</v>
      </c>
      <c r="K125" s="246">
        <f t="shared" si="41"/>
        <v>8.5</v>
      </c>
      <c r="L125" s="246">
        <f t="shared" si="41"/>
        <v>8.5</v>
      </c>
      <c r="M125" s="246">
        <f t="shared" si="41"/>
        <v>8.5</v>
      </c>
      <c r="N125" s="246">
        <f t="shared" si="41"/>
        <v>8.5</v>
      </c>
      <c r="O125" s="246">
        <f t="shared" si="41"/>
        <v>8.5</v>
      </c>
      <c r="P125" s="245">
        <f t="shared" si="41"/>
        <v>8.5</v>
      </c>
      <c r="Q125" s="246">
        <f t="shared" si="41"/>
        <v>8.5</v>
      </c>
      <c r="R125" s="246">
        <f t="shared" si="41"/>
        <v>8.5</v>
      </c>
      <c r="S125" s="246">
        <f t="shared" si="41"/>
        <v>8.5</v>
      </c>
      <c r="T125" s="246">
        <f t="shared" si="41"/>
        <v>8.5</v>
      </c>
      <c r="U125" s="246">
        <f t="shared" si="41"/>
        <v>8.5</v>
      </c>
      <c r="V125" s="246">
        <f t="shared" si="41"/>
        <v>8.5</v>
      </c>
      <c r="W125" s="246">
        <f t="shared" si="41"/>
        <v>8.5</v>
      </c>
      <c r="X125" s="246">
        <f t="shared" si="41"/>
        <v>8.5</v>
      </c>
      <c r="Y125" s="246">
        <f t="shared" si="41"/>
        <v>8.5</v>
      </c>
      <c r="Z125" s="246">
        <f t="shared" si="41"/>
        <v>8.5</v>
      </c>
      <c r="AA125" s="246">
        <f t="shared" si="41"/>
        <v>8.5</v>
      </c>
      <c r="AB125" s="245">
        <f t="shared" si="41"/>
        <v>8.5</v>
      </c>
      <c r="AC125" s="246">
        <f t="shared" si="41"/>
        <v>8.5</v>
      </c>
      <c r="AD125" s="246">
        <f t="shared" si="41"/>
        <v>8.5</v>
      </c>
      <c r="AE125" s="246">
        <f t="shared" si="41"/>
        <v>8.5</v>
      </c>
      <c r="AF125" s="246">
        <f t="shared" si="41"/>
        <v>8.5</v>
      </c>
      <c r="AG125" s="246">
        <f t="shared" si="41"/>
        <v>8.5</v>
      </c>
      <c r="AH125" s="246">
        <f t="shared" si="41"/>
        <v>8.5</v>
      </c>
      <c r="AI125" s="246">
        <f t="shared" si="41"/>
        <v>8.5</v>
      </c>
      <c r="AJ125" s="246">
        <f t="shared" si="41"/>
        <v>8.5</v>
      </c>
      <c r="AK125" s="246">
        <f t="shared" si="41"/>
        <v>8.5</v>
      </c>
      <c r="AL125" s="246">
        <f t="shared" si="41"/>
        <v>8.5</v>
      </c>
      <c r="AM125" s="246">
        <f t="shared" si="41"/>
        <v>8.5</v>
      </c>
    </row>
    <row r="126" spans="1:39" s="243" customFormat="1" outlineLevel="1" x14ac:dyDescent="0.25">
      <c r="B126" s="243" t="str">
        <v>NyAff5</v>
      </c>
      <c r="C126" s="244" t="s">
        <v>393</v>
      </c>
      <c r="D126" s="245">
        <f t="shared" ref="D126:AM126" si="42">$R30</f>
        <v>7.5</v>
      </c>
      <c r="E126" s="246">
        <f t="shared" si="42"/>
        <v>7.5</v>
      </c>
      <c r="F126" s="246">
        <f t="shared" si="42"/>
        <v>7.5</v>
      </c>
      <c r="G126" s="246">
        <f t="shared" si="42"/>
        <v>7.5</v>
      </c>
      <c r="H126" s="246">
        <f t="shared" si="42"/>
        <v>7.5</v>
      </c>
      <c r="I126" s="246">
        <f t="shared" si="42"/>
        <v>7.5</v>
      </c>
      <c r="J126" s="246">
        <f t="shared" si="42"/>
        <v>7.5</v>
      </c>
      <c r="K126" s="246">
        <f t="shared" si="42"/>
        <v>7.5</v>
      </c>
      <c r="L126" s="246">
        <f t="shared" si="42"/>
        <v>7.5</v>
      </c>
      <c r="M126" s="246">
        <f t="shared" si="42"/>
        <v>7.5</v>
      </c>
      <c r="N126" s="246">
        <f t="shared" si="42"/>
        <v>7.5</v>
      </c>
      <c r="O126" s="246">
        <f t="shared" si="42"/>
        <v>7.5</v>
      </c>
      <c r="P126" s="245">
        <f t="shared" si="42"/>
        <v>7.5</v>
      </c>
      <c r="Q126" s="246">
        <f t="shared" si="42"/>
        <v>7.5</v>
      </c>
      <c r="R126" s="246">
        <f t="shared" si="42"/>
        <v>7.5</v>
      </c>
      <c r="S126" s="246">
        <f t="shared" si="42"/>
        <v>7.5</v>
      </c>
      <c r="T126" s="246">
        <f t="shared" si="42"/>
        <v>7.5</v>
      </c>
      <c r="U126" s="246">
        <f t="shared" si="42"/>
        <v>7.5</v>
      </c>
      <c r="V126" s="246">
        <f t="shared" si="42"/>
        <v>7.5</v>
      </c>
      <c r="W126" s="246">
        <f t="shared" si="42"/>
        <v>7.5</v>
      </c>
      <c r="X126" s="246">
        <f t="shared" si="42"/>
        <v>7.5</v>
      </c>
      <c r="Y126" s="246">
        <f t="shared" si="42"/>
        <v>7.5</v>
      </c>
      <c r="Z126" s="246">
        <f t="shared" si="42"/>
        <v>7.5</v>
      </c>
      <c r="AA126" s="246">
        <f t="shared" si="42"/>
        <v>7.5</v>
      </c>
      <c r="AB126" s="245">
        <f t="shared" si="42"/>
        <v>7.5</v>
      </c>
      <c r="AC126" s="246">
        <f t="shared" si="42"/>
        <v>7.5</v>
      </c>
      <c r="AD126" s="246">
        <f t="shared" si="42"/>
        <v>7.5</v>
      </c>
      <c r="AE126" s="246">
        <f t="shared" si="42"/>
        <v>7.5</v>
      </c>
      <c r="AF126" s="246">
        <f t="shared" si="42"/>
        <v>7.5</v>
      </c>
      <c r="AG126" s="246">
        <f t="shared" si="42"/>
        <v>7.5</v>
      </c>
      <c r="AH126" s="246">
        <f t="shared" si="42"/>
        <v>7.5</v>
      </c>
      <c r="AI126" s="246">
        <f t="shared" si="42"/>
        <v>7.5</v>
      </c>
      <c r="AJ126" s="246">
        <f t="shared" si="42"/>
        <v>7.5</v>
      </c>
      <c r="AK126" s="246">
        <f t="shared" si="42"/>
        <v>7.5</v>
      </c>
      <c r="AL126" s="246">
        <f t="shared" si="42"/>
        <v>7.5</v>
      </c>
      <c r="AM126" s="246">
        <f t="shared" si="42"/>
        <v>7.5</v>
      </c>
    </row>
    <row r="127" spans="1:39" outlineLevel="1" x14ac:dyDescent="0.25">
      <c r="A127" s="294"/>
      <c r="B127" t="str" cm="1">
        <f t="array" ref="B127:B129">ØvrigeBrændsler</f>
        <v>Flis</v>
      </c>
      <c r="C127" s="244" t="s">
        <v>393</v>
      </c>
      <c r="D127" s="245">
        <f t="shared" ref="D127:AM127" si="43">$R31</f>
        <v>9.4</v>
      </c>
      <c r="E127" s="246">
        <f t="shared" si="43"/>
        <v>9.4</v>
      </c>
      <c r="F127" s="246">
        <f t="shared" si="43"/>
        <v>9.4</v>
      </c>
      <c r="G127" s="246">
        <f t="shared" si="43"/>
        <v>9.4</v>
      </c>
      <c r="H127" s="246">
        <f t="shared" si="43"/>
        <v>9.4</v>
      </c>
      <c r="I127" s="246">
        <f t="shared" si="43"/>
        <v>9.4</v>
      </c>
      <c r="J127" s="246">
        <f t="shared" si="43"/>
        <v>9.4</v>
      </c>
      <c r="K127" s="246">
        <f t="shared" si="43"/>
        <v>9.4</v>
      </c>
      <c r="L127" s="246">
        <f t="shared" si="43"/>
        <v>9.4</v>
      </c>
      <c r="M127" s="246">
        <f t="shared" si="43"/>
        <v>9.4</v>
      </c>
      <c r="N127" s="246">
        <f t="shared" si="43"/>
        <v>9.4</v>
      </c>
      <c r="O127" s="246">
        <f t="shared" si="43"/>
        <v>9.4</v>
      </c>
      <c r="P127" s="245">
        <f t="shared" si="43"/>
        <v>9.4</v>
      </c>
      <c r="Q127" s="246">
        <f t="shared" si="43"/>
        <v>9.4</v>
      </c>
      <c r="R127" s="246">
        <f t="shared" si="43"/>
        <v>9.4</v>
      </c>
      <c r="S127" s="246">
        <f t="shared" si="43"/>
        <v>9.4</v>
      </c>
      <c r="T127" s="246">
        <f t="shared" si="43"/>
        <v>9.4</v>
      </c>
      <c r="U127" s="246">
        <f t="shared" si="43"/>
        <v>9.4</v>
      </c>
      <c r="V127" s="246">
        <f t="shared" si="43"/>
        <v>9.4</v>
      </c>
      <c r="W127" s="246">
        <f t="shared" si="43"/>
        <v>9.4</v>
      </c>
      <c r="X127" s="246">
        <f t="shared" si="43"/>
        <v>9.4</v>
      </c>
      <c r="Y127" s="246">
        <f t="shared" si="43"/>
        <v>9.4</v>
      </c>
      <c r="Z127" s="246">
        <f t="shared" si="43"/>
        <v>9.4</v>
      </c>
      <c r="AA127" s="246">
        <f t="shared" si="43"/>
        <v>9.4</v>
      </c>
      <c r="AB127" s="245">
        <f t="shared" si="43"/>
        <v>9.4</v>
      </c>
      <c r="AC127" s="246">
        <f t="shared" si="43"/>
        <v>9.4</v>
      </c>
      <c r="AD127" s="246">
        <f t="shared" si="43"/>
        <v>9.4</v>
      </c>
      <c r="AE127" s="246">
        <f t="shared" si="43"/>
        <v>9.4</v>
      </c>
      <c r="AF127" s="246">
        <f t="shared" si="43"/>
        <v>9.4</v>
      </c>
      <c r="AG127" s="246">
        <f t="shared" si="43"/>
        <v>9.4</v>
      </c>
      <c r="AH127" s="246">
        <f t="shared" si="43"/>
        <v>9.4</v>
      </c>
      <c r="AI127" s="246">
        <f t="shared" si="43"/>
        <v>9.4</v>
      </c>
      <c r="AJ127" s="246">
        <f t="shared" si="43"/>
        <v>9.4</v>
      </c>
      <c r="AK127" s="246">
        <f t="shared" si="43"/>
        <v>9.4</v>
      </c>
      <c r="AL127" s="246">
        <f t="shared" si="43"/>
        <v>9.4</v>
      </c>
      <c r="AM127" s="246">
        <f t="shared" si="43"/>
        <v>9.4</v>
      </c>
    </row>
    <row r="128" spans="1:39" outlineLevel="1" x14ac:dyDescent="0.25">
      <c r="A128" s="295"/>
      <c r="B128" t="str">
        <v>NSvarme</v>
      </c>
      <c r="C128" s="244" t="s">
        <v>393</v>
      </c>
      <c r="D128" s="245">
        <f t="shared" ref="D128:AM128" si="44">$R32</f>
        <v>3.6</v>
      </c>
      <c r="E128" s="246">
        <f t="shared" si="44"/>
        <v>3.6</v>
      </c>
      <c r="F128" s="246">
        <f t="shared" si="44"/>
        <v>3.6</v>
      </c>
      <c r="G128" s="246">
        <f t="shared" si="44"/>
        <v>3.6</v>
      </c>
      <c r="H128" s="246">
        <f t="shared" si="44"/>
        <v>3.6</v>
      </c>
      <c r="I128" s="246">
        <f t="shared" si="44"/>
        <v>3.6</v>
      </c>
      <c r="J128" s="246">
        <f t="shared" si="44"/>
        <v>3.6</v>
      </c>
      <c r="K128" s="246">
        <f t="shared" si="44"/>
        <v>3.6</v>
      </c>
      <c r="L128" s="246">
        <f t="shared" si="44"/>
        <v>3.6</v>
      </c>
      <c r="M128" s="246">
        <f t="shared" si="44"/>
        <v>3.6</v>
      </c>
      <c r="N128" s="246">
        <f t="shared" si="44"/>
        <v>3.6</v>
      </c>
      <c r="O128" s="246">
        <f t="shared" si="44"/>
        <v>3.6</v>
      </c>
      <c r="P128" s="245">
        <f t="shared" si="44"/>
        <v>3.6</v>
      </c>
      <c r="Q128" s="246">
        <f t="shared" si="44"/>
        <v>3.6</v>
      </c>
      <c r="R128" s="246">
        <f t="shared" si="44"/>
        <v>3.6</v>
      </c>
      <c r="S128" s="246">
        <f t="shared" si="44"/>
        <v>3.6</v>
      </c>
      <c r="T128" s="246">
        <f t="shared" si="44"/>
        <v>3.6</v>
      </c>
      <c r="U128" s="246">
        <f t="shared" si="44"/>
        <v>3.6</v>
      </c>
      <c r="V128" s="246">
        <f t="shared" si="44"/>
        <v>3.6</v>
      </c>
      <c r="W128" s="246">
        <f t="shared" si="44"/>
        <v>3.6</v>
      </c>
      <c r="X128" s="246">
        <f t="shared" si="44"/>
        <v>3.6</v>
      </c>
      <c r="Y128" s="246">
        <f t="shared" si="44"/>
        <v>3.6</v>
      </c>
      <c r="Z128" s="246">
        <f t="shared" si="44"/>
        <v>3.6</v>
      </c>
      <c r="AA128" s="246">
        <f t="shared" si="44"/>
        <v>3.6</v>
      </c>
      <c r="AB128" s="245">
        <f t="shared" si="44"/>
        <v>3.6</v>
      </c>
      <c r="AC128" s="246">
        <f t="shared" si="44"/>
        <v>3.6</v>
      </c>
      <c r="AD128" s="246">
        <f t="shared" si="44"/>
        <v>3.6</v>
      </c>
      <c r="AE128" s="246">
        <f t="shared" si="44"/>
        <v>3.6</v>
      </c>
      <c r="AF128" s="246">
        <f t="shared" si="44"/>
        <v>3.6</v>
      </c>
      <c r="AG128" s="246">
        <f t="shared" si="44"/>
        <v>3.6</v>
      </c>
      <c r="AH128" s="246">
        <f t="shared" si="44"/>
        <v>3.6</v>
      </c>
      <c r="AI128" s="246">
        <f t="shared" si="44"/>
        <v>3.6</v>
      </c>
      <c r="AJ128" s="246">
        <f t="shared" si="44"/>
        <v>3.6</v>
      </c>
      <c r="AK128" s="246">
        <f t="shared" si="44"/>
        <v>3.6</v>
      </c>
      <c r="AL128" s="246">
        <f t="shared" si="44"/>
        <v>3.6</v>
      </c>
      <c r="AM128" s="246">
        <f t="shared" si="44"/>
        <v>3.6</v>
      </c>
    </row>
    <row r="129" spans="1:39" outlineLevel="1" x14ac:dyDescent="0.25">
      <c r="A129" s="295"/>
      <c r="B129" t="str">
        <v>PeakFuel</v>
      </c>
      <c r="C129" s="244" t="s">
        <v>393</v>
      </c>
      <c r="D129" s="245">
        <f t="shared" ref="D129:AM129" si="45">$R33</f>
        <v>44</v>
      </c>
      <c r="E129" s="246">
        <f t="shared" si="45"/>
        <v>44</v>
      </c>
      <c r="F129" s="246">
        <f t="shared" si="45"/>
        <v>44</v>
      </c>
      <c r="G129" s="246">
        <f t="shared" si="45"/>
        <v>44</v>
      </c>
      <c r="H129" s="246">
        <f t="shared" si="45"/>
        <v>44</v>
      </c>
      <c r="I129" s="246">
        <f t="shared" si="45"/>
        <v>44</v>
      </c>
      <c r="J129" s="246">
        <f t="shared" si="45"/>
        <v>44</v>
      </c>
      <c r="K129" s="246">
        <f t="shared" si="45"/>
        <v>44</v>
      </c>
      <c r="L129" s="246">
        <f t="shared" si="45"/>
        <v>44</v>
      </c>
      <c r="M129" s="246">
        <f t="shared" si="45"/>
        <v>44</v>
      </c>
      <c r="N129" s="246">
        <f t="shared" si="45"/>
        <v>44</v>
      </c>
      <c r="O129" s="246">
        <f t="shared" si="45"/>
        <v>44</v>
      </c>
      <c r="P129" s="245">
        <f t="shared" si="45"/>
        <v>44</v>
      </c>
      <c r="Q129" s="246">
        <f t="shared" si="45"/>
        <v>44</v>
      </c>
      <c r="R129" s="246">
        <f t="shared" si="45"/>
        <v>44</v>
      </c>
      <c r="S129" s="246">
        <f t="shared" si="45"/>
        <v>44</v>
      </c>
      <c r="T129" s="246">
        <f t="shared" si="45"/>
        <v>44</v>
      </c>
      <c r="U129" s="246">
        <f t="shared" si="45"/>
        <v>44</v>
      </c>
      <c r="V129" s="246">
        <f t="shared" si="45"/>
        <v>44</v>
      </c>
      <c r="W129" s="246">
        <f t="shared" si="45"/>
        <v>44</v>
      </c>
      <c r="X129" s="246">
        <f t="shared" si="45"/>
        <v>44</v>
      </c>
      <c r="Y129" s="246">
        <f t="shared" si="45"/>
        <v>44</v>
      </c>
      <c r="Z129" s="246">
        <f t="shared" si="45"/>
        <v>44</v>
      </c>
      <c r="AA129" s="246">
        <f t="shared" si="45"/>
        <v>44</v>
      </c>
      <c r="AB129" s="245">
        <f t="shared" si="45"/>
        <v>44</v>
      </c>
      <c r="AC129" s="246">
        <f t="shared" si="45"/>
        <v>44</v>
      </c>
      <c r="AD129" s="246">
        <f t="shared" si="45"/>
        <v>44</v>
      </c>
      <c r="AE129" s="246">
        <f t="shared" si="45"/>
        <v>44</v>
      </c>
      <c r="AF129" s="246">
        <f t="shared" si="45"/>
        <v>44</v>
      </c>
      <c r="AG129" s="246">
        <f t="shared" si="45"/>
        <v>44</v>
      </c>
      <c r="AH129" s="246">
        <f t="shared" si="45"/>
        <v>44</v>
      </c>
      <c r="AI129" s="246">
        <f t="shared" si="45"/>
        <v>44</v>
      </c>
      <c r="AJ129" s="246">
        <f t="shared" si="45"/>
        <v>44</v>
      </c>
      <c r="AK129" s="246">
        <f t="shared" si="45"/>
        <v>44</v>
      </c>
      <c r="AL129" s="246">
        <f t="shared" si="45"/>
        <v>44</v>
      </c>
      <c r="AM129" s="246">
        <f t="shared" si="45"/>
        <v>44</v>
      </c>
    </row>
    <row r="130" spans="1:39" s="40" customFormat="1" ht="15.75" x14ac:dyDescent="0.25">
      <c r="A130" s="37" t="s">
        <v>115</v>
      </c>
      <c r="B130" s="36"/>
      <c r="C130" s="36"/>
      <c r="D130" s="38"/>
      <c r="E130" s="39"/>
      <c r="F130" s="39"/>
      <c r="G130" s="39"/>
      <c r="H130" s="39"/>
      <c r="I130" s="39"/>
      <c r="J130" s="39"/>
      <c r="K130" s="39"/>
      <c r="L130" s="39"/>
      <c r="M130" s="39"/>
      <c r="N130" s="39"/>
      <c r="O130" s="39"/>
      <c r="P130" s="38"/>
      <c r="Q130" s="39"/>
      <c r="R130" s="39"/>
      <c r="S130" s="39"/>
      <c r="T130" s="39"/>
      <c r="U130" s="39"/>
      <c r="V130" s="39"/>
      <c r="W130" s="39"/>
      <c r="X130" s="39"/>
      <c r="Y130" s="39"/>
      <c r="Z130" s="39"/>
      <c r="AA130" s="39"/>
      <c r="AB130" s="38"/>
      <c r="AC130" s="39"/>
      <c r="AD130" s="39"/>
      <c r="AE130" s="39"/>
      <c r="AF130" s="39"/>
      <c r="AG130" s="39"/>
      <c r="AH130" s="39"/>
      <c r="AI130" s="39"/>
      <c r="AJ130" s="39"/>
      <c r="AK130" s="39"/>
      <c r="AL130" s="39"/>
      <c r="AM130" s="39"/>
    </row>
    <row r="131" spans="1:39" s="251" customFormat="1" outlineLevel="1" x14ac:dyDescent="0.25">
      <c r="B131" s="251" t="str">
        <f t="shared" ref="B131:B156" si="46">B101</f>
        <v>DepoSort</v>
      </c>
      <c r="C131" s="252" t="s">
        <v>256</v>
      </c>
      <c r="D131" s="253">
        <f t="shared" ref="D131:AM131" si="47">$Q5</f>
        <v>525</v>
      </c>
      <c r="E131" s="254">
        <f t="shared" si="47"/>
        <v>525</v>
      </c>
      <c r="F131" s="254">
        <f t="shared" si="47"/>
        <v>525</v>
      </c>
      <c r="G131" s="254">
        <f t="shared" si="47"/>
        <v>525</v>
      </c>
      <c r="H131" s="254">
        <f t="shared" si="47"/>
        <v>525</v>
      </c>
      <c r="I131" s="254">
        <f t="shared" si="47"/>
        <v>525</v>
      </c>
      <c r="J131" s="254">
        <f t="shared" si="47"/>
        <v>525</v>
      </c>
      <c r="K131" s="254">
        <f t="shared" si="47"/>
        <v>525</v>
      </c>
      <c r="L131" s="254">
        <f t="shared" si="47"/>
        <v>525</v>
      </c>
      <c r="M131" s="254">
        <f t="shared" si="47"/>
        <v>525</v>
      </c>
      <c r="N131" s="254">
        <f t="shared" si="47"/>
        <v>525</v>
      </c>
      <c r="O131" s="254">
        <f t="shared" si="47"/>
        <v>525</v>
      </c>
      <c r="P131" s="253">
        <f t="shared" si="47"/>
        <v>525</v>
      </c>
      <c r="Q131" s="254">
        <f t="shared" si="47"/>
        <v>525</v>
      </c>
      <c r="R131" s="254">
        <f t="shared" si="47"/>
        <v>525</v>
      </c>
      <c r="S131" s="254">
        <f t="shared" si="47"/>
        <v>525</v>
      </c>
      <c r="T131" s="254">
        <f t="shared" si="47"/>
        <v>525</v>
      </c>
      <c r="U131" s="254">
        <f t="shared" si="47"/>
        <v>525</v>
      </c>
      <c r="V131" s="254">
        <f t="shared" si="47"/>
        <v>525</v>
      </c>
      <c r="W131" s="254">
        <f t="shared" si="47"/>
        <v>525</v>
      </c>
      <c r="X131" s="254">
        <f t="shared" si="47"/>
        <v>525</v>
      </c>
      <c r="Y131" s="254">
        <f t="shared" si="47"/>
        <v>525</v>
      </c>
      <c r="Z131" s="254">
        <f t="shared" si="47"/>
        <v>525</v>
      </c>
      <c r="AA131" s="254">
        <f t="shared" si="47"/>
        <v>525</v>
      </c>
      <c r="AB131" s="253">
        <f t="shared" si="47"/>
        <v>525</v>
      </c>
      <c r="AC131" s="254">
        <f t="shared" si="47"/>
        <v>525</v>
      </c>
      <c r="AD131" s="254">
        <f t="shared" si="47"/>
        <v>525</v>
      </c>
      <c r="AE131" s="254">
        <f t="shared" si="47"/>
        <v>525</v>
      </c>
      <c r="AF131" s="254">
        <f t="shared" si="47"/>
        <v>525</v>
      </c>
      <c r="AG131" s="254">
        <f t="shared" si="47"/>
        <v>525</v>
      </c>
      <c r="AH131" s="254">
        <f t="shared" si="47"/>
        <v>525</v>
      </c>
      <c r="AI131" s="254">
        <f t="shared" si="47"/>
        <v>525</v>
      </c>
      <c r="AJ131" s="254">
        <f t="shared" si="47"/>
        <v>525</v>
      </c>
      <c r="AK131" s="254">
        <f t="shared" si="47"/>
        <v>525</v>
      </c>
      <c r="AL131" s="254">
        <f t="shared" si="47"/>
        <v>525</v>
      </c>
      <c r="AM131" s="254">
        <f t="shared" si="47"/>
        <v>525</v>
      </c>
    </row>
    <row r="132" spans="1:39" s="251" customFormat="1" outlineLevel="1" x14ac:dyDescent="0.25">
      <c r="B132" s="251" t="str">
        <f t="shared" si="46"/>
        <v>DepoSmaat</v>
      </c>
      <c r="C132" s="252" t="s">
        <v>256</v>
      </c>
      <c r="D132" s="253">
        <f t="shared" ref="D132:AM132" si="48">$Q6</f>
        <v>525</v>
      </c>
      <c r="E132" s="254">
        <f t="shared" si="48"/>
        <v>525</v>
      </c>
      <c r="F132" s="254">
        <f t="shared" si="48"/>
        <v>525</v>
      </c>
      <c r="G132" s="254">
        <f t="shared" si="48"/>
        <v>525</v>
      </c>
      <c r="H132" s="254">
        <f t="shared" si="48"/>
        <v>525</v>
      </c>
      <c r="I132" s="254">
        <f t="shared" si="48"/>
        <v>525</v>
      </c>
      <c r="J132" s="254">
        <f t="shared" si="48"/>
        <v>525</v>
      </c>
      <c r="K132" s="254">
        <f t="shared" si="48"/>
        <v>525</v>
      </c>
      <c r="L132" s="254">
        <f t="shared" si="48"/>
        <v>525</v>
      </c>
      <c r="M132" s="254">
        <f t="shared" si="48"/>
        <v>525</v>
      </c>
      <c r="N132" s="254">
        <f t="shared" si="48"/>
        <v>525</v>
      </c>
      <c r="O132" s="254">
        <f t="shared" si="48"/>
        <v>525</v>
      </c>
      <c r="P132" s="253">
        <f t="shared" si="48"/>
        <v>525</v>
      </c>
      <c r="Q132" s="254">
        <f t="shared" si="48"/>
        <v>525</v>
      </c>
      <c r="R132" s="254">
        <f t="shared" si="48"/>
        <v>525</v>
      </c>
      <c r="S132" s="254">
        <f t="shared" si="48"/>
        <v>525</v>
      </c>
      <c r="T132" s="254">
        <f t="shared" si="48"/>
        <v>525</v>
      </c>
      <c r="U132" s="254">
        <f t="shared" si="48"/>
        <v>525</v>
      </c>
      <c r="V132" s="254">
        <f t="shared" si="48"/>
        <v>525</v>
      </c>
      <c r="W132" s="254">
        <f t="shared" si="48"/>
        <v>525</v>
      </c>
      <c r="X132" s="254">
        <f t="shared" si="48"/>
        <v>525</v>
      </c>
      <c r="Y132" s="254">
        <f t="shared" si="48"/>
        <v>525</v>
      </c>
      <c r="Z132" s="254">
        <f t="shared" si="48"/>
        <v>525</v>
      </c>
      <c r="AA132" s="254">
        <f t="shared" si="48"/>
        <v>525</v>
      </c>
      <c r="AB132" s="253">
        <f t="shared" si="48"/>
        <v>525</v>
      </c>
      <c r="AC132" s="254">
        <f t="shared" si="48"/>
        <v>525</v>
      </c>
      <c r="AD132" s="254">
        <f t="shared" si="48"/>
        <v>525</v>
      </c>
      <c r="AE132" s="254">
        <f t="shared" si="48"/>
        <v>525</v>
      </c>
      <c r="AF132" s="254">
        <f t="shared" si="48"/>
        <v>525</v>
      </c>
      <c r="AG132" s="254">
        <f t="shared" si="48"/>
        <v>525</v>
      </c>
      <c r="AH132" s="254">
        <f t="shared" si="48"/>
        <v>525</v>
      </c>
      <c r="AI132" s="254">
        <f t="shared" si="48"/>
        <v>525</v>
      </c>
      <c r="AJ132" s="254">
        <f t="shared" si="48"/>
        <v>525</v>
      </c>
      <c r="AK132" s="254">
        <f t="shared" si="48"/>
        <v>525</v>
      </c>
      <c r="AL132" s="254">
        <f t="shared" si="48"/>
        <v>525</v>
      </c>
      <c r="AM132" s="254">
        <f t="shared" si="48"/>
        <v>525</v>
      </c>
    </row>
    <row r="133" spans="1:39" s="251" customFormat="1" outlineLevel="1" x14ac:dyDescent="0.25">
      <c r="B133" s="251" t="str">
        <f t="shared" si="46"/>
        <v>DepoNedd</v>
      </c>
      <c r="C133" s="252" t="s">
        <v>256</v>
      </c>
      <c r="D133" s="253">
        <f t="shared" ref="D133:AM133" si="49">$Q7</f>
        <v>525</v>
      </c>
      <c r="E133" s="254">
        <f t="shared" si="49"/>
        <v>525</v>
      </c>
      <c r="F133" s="254">
        <f t="shared" si="49"/>
        <v>525</v>
      </c>
      <c r="G133" s="254">
        <f t="shared" si="49"/>
        <v>525</v>
      </c>
      <c r="H133" s="254">
        <f t="shared" si="49"/>
        <v>525</v>
      </c>
      <c r="I133" s="254">
        <f t="shared" si="49"/>
        <v>525</v>
      </c>
      <c r="J133" s="254">
        <f t="shared" si="49"/>
        <v>525</v>
      </c>
      <c r="K133" s="254">
        <f t="shared" si="49"/>
        <v>525</v>
      </c>
      <c r="L133" s="254">
        <f t="shared" si="49"/>
        <v>525</v>
      </c>
      <c r="M133" s="254">
        <f t="shared" si="49"/>
        <v>525</v>
      </c>
      <c r="N133" s="254">
        <f t="shared" si="49"/>
        <v>525</v>
      </c>
      <c r="O133" s="254">
        <f t="shared" si="49"/>
        <v>525</v>
      </c>
      <c r="P133" s="253">
        <f t="shared" si="49"/>
        <v>525</v>
      </c>
      <c r="Q133" s="254">
        <f t="shared" si="49"/>
        <v>525</v>
      </c>
      <c r="R133" s="254">
        <f t="shared" si="49"/>
        <v>525</v>
      </c>
      <c r="S133" s="254">
        <f t="shared" si="49"/>
        <v>525</v>
      </c>
      <c r="T133" s="254">
        <f t="shared" si="49"/>
        <v>525</v>
      </c>
      <c r="U133" s="254">
        <f t="shared" si="49"/>
        <v>525</v>
      </c>
      <c r="V133" s="254">
        <f t="shared" si="49"/>
        <v>525</v>
      </c>
      <c r="W133" s="254">
        <f t="shared" si="49"/>
        <v>525</v>
      </c>
      <c r="X133" s="254">
        <f t="shared" si="49"/>
        <v>525</v>
      </c>
      <c r="Y133" s="254">
        <f t="shared" si="49"/>
        <v>525</v>
      </c>
      <c r="Z133" s="254">
        <f t="shared" si="49"/>
        <v>525</v>
      </c>
      <c r="AA133" s="254">
        <f t="shared" si="49"/>
        <v>525</v>
      </c>
      <c r="AB133" s="253">
        <f t="shared" si="49"/>
        <v>525</v>
      </c>
      <c r="AC133" s="254">
        <f t="shared" si="49"/>
        <v>525</v>
      </c>
      <c r="AD133" s="254">
        <f t="shared" si="49"/>
        <v>525</v>
      </c>
      <c r="AE133" s="254">
        <f t="shared" si="49"/>
        <v>525</v>
      </c>
      <c r="AF133" s="254">
        <f t="shared" si="49"/>
        <v>525</v>
      </c>
      <c r="AG133" s="254">
        <f t="shared" si="49"/>
        <v>525</v>
      </c>
      <c r="AH133" s="254">
        <f t="shared" si="49"/>
        <v>525</v>
      </c>
      <c r="AI133" s="254">
        <f t="shared" si="49"/>
        <v>525</v>
      </c>
      <c r="AJ133" s="254">
        <f t="shared" si="49"/>
        <v>525</v>
      </c>
      <c r="AK133" s="254">
        <f t="shared" si="49"/>
        <v>525</v>
      </c>
      <c r="AL133" s="254">
        <f t="shared" si="49"/>
        <v>525</v>
      </c>
      <c r="AM133" s="254">
        <f t="shared" si="49"/>
        <v>525</v>
      </c>
    </row>
    <row r="134" spans="1:39" s="251" customFormat="1" outlineLevel="1" x14ac:dyDescent="0.25">
      <c r="B134" s="251" t="str">
        <f t="shared" si="46"/>
        <v>Dagren</v>
      </c>
      <c r="C134" s="252" t="s">
        <v>256</v>
      </c>
      <c r="D134" s="253">
        <f t="shared" ref="D134:AM134" si="50">$Q8</f>
        <v>525</v>
      </c>
      <c r="E134" s="254">
        <f t="shared" si="50"/>
        <v>525</v>
      </c>
      <c r="F134" s="254">
        <f t="shared" si="50"/>
        <v>525</v>
      </c>
      <c r="G134" s="254">
        <f t="shared" si="50"/>
        <v>525</v>
      </c>
      <c r="H134" s="254">
        <f t="shared" si="50"/>
        <v>525</v>
      </c>
      <c r="I134" s="254">
        <f t="shared" si="50"/>
        <v>525</v>
      </c>
      <c r="J134" s="254">
        <f t="shared" si="50"/>
        <v>525</v>
      </c>
      <c r="K134" s="254">
        <f t="shared" si="50"/>
        <v>525</v>
      </c>
      <c r="L134" s="254">
        <f t="shared" si="50"/>
        <v>525</v>
      </c>
      <c r="M134" s="254">
        <f t="shared" si="50"/>
        <v>525</v>
      </c>
      <c r="N134" s="254">
        <f t="shared" si="50"/>
        <v>525</v>
      </c>
      <c r="O134" s="254">
        <f t="shared" si="50"/>
        <v>525</v>
      </c>
      <c r="P134" s="253">
        <f t="shared" si="50"/>
        <v>525</v>
      </c>
      <c r="Q134" s="254">
        <f t="shared" si="50"/>
        <v>525</v>
      </c>
      <c r="R134" s="254">
        <f t="shared" si="50"/>
        <v>525</v>
      </c>
      <c r="S134" s="254">
        <f t="shared" si="50"/>
        <v>525</v>
      </c>
      <c r="T134" s="254">
        <f t="shared" si="50"/>
        <v>525</v>
      </c>
      <c r="U134" s="254">
        <f t="shared" si="50"/>
        <v>525</v>
      </c>
      <c r="V134" s="254">
        <f t="shared" si="50"/>
        <v>525</v>
      </c>
      <c r="W134" s="254">
        <f t="shared" si="50"/>
        <v>525</v>
      </c>
      <c r="X134" s="254">
        <f t="shared" si="50"/>
        <v>525</v>
      </c>
      <c r="Y134" s="254">
        <f t="shared" si="50"/>
        <v>525</v>
      </c>
      <c r="Z134" s="254">
        <f t="shared" si="50"/>
        <v>525</v>
      </c>
      <c r="AA134" s="254">
        <f t="shared" si="50"/>
        <v>525</v>
      </c>
      <c r="AB134" s="253">
        <f t="shared" si="50"/>
        <v>525</v>
      </c>
      <c r="AC134" s="254">
        <f t="shared" si="50"/>
        <v>525</v>
      </c>
      <c r="AD134" s="254">
        <f t="shared" si="50"/>
        <v>525</v>
      </c>
      <c r="AE134" s="254">
        <f t="shared" si="50"/>
        <v>525</v>
      </c>
      <c r="AF134" s="254">
        <f t="shared" si="50"/>
        <v>525</v>
      </c>
      <c r="AG134" s="254">
        <f t="shared" si="50"/>
        <v>525</v>
      </c>
      <c r="AH134" s="254">
        <f t="shared" si="50"/>
        <v>525</v>
      </c>
      <c r="AI134" s="254">
        <f t="shared" si="50"/>
        <v>525</v>
      </c>
      <c r="AJ134" s="254">
        <f t="shared" si="50"/>
        <v>525</v>
      </c>
      <c r="AK134" s="254">
        <f t="shared" si="50"/>
        <v>525</v>
      </c>
      <c r="AL134" s="254">
        <f t="shared" si="50"/>
        <v>525</v>
      </c>
      <c r="AM134" s="254">
        <f t="shared" si="50"/>
        <v>525</v>
      </c>
    </row>
    <row r="135" spans="1:39" s="251" customFormat="1" outlineLevel="1" x14ac:dyDescent="0.25">
      <c r="B135" s="251" t="str">
        <f t="shared" si="46"/>
        <v>AndetBrand</v>
      </c>
      <c r="C135" s="252" t="s">
        <v>256</v>
      </c>
      <c r="D135" s="253">
        <f t="shared" ref="D135:AM135" si="51">$Q9</f>
        <v>525</v>
      </c>
      <c r="E135" s="254">
        <f t="shared" si="51"/>
        <v>525</v>
      </c>
      <c r="F135" s="254">
        <f t="shared" si="51"/>
        <v>525</v>
      </c>
      <c r="G135" s="254">
        <f t="shared" si="51"/>
        <v>525</v>
      </c>
      <c r="H135" s="254">
        <f t="shared" si="51"/>
        <v>525</v>
      </c>
      <c r="I135" s="254">
        <f t="shared" si="51"/>
        <v>525</v>
      </c>
      <c r="J135" s="254">
        <f t="shared" si="51"/>
        <v>525</v>
      </c>
      <c r="K135" s="254">
        <f t="shared" si="51"/>
        <v>525</v>
      </c>
      <c r="L135" s="254">
        <f t="shared" si="51"/>
        <v>525</v>
      </c>
      <c r="M135" s="254">
        <f t="shared" si="51"/>
        <v>525</v>
      </c>
      <c r="N135" s="254">
        <f t="shared" si="51"/>
        <v>525</v>
      </c>
      <c r="O135" s="254">
        <f t="shared" si="51"/>
        <v>525</v>
      </c>
      <c r="P135" s="253">
        <f t="shared" si="51"/>
        <v>525</v>
      </c>
      <c r="Q135" s="254">
        <f t="shared" si="51"/>
        <v>525</v>
      </c>
      <c r="R135" s="254">
        <f t="shared" si="51"/>
        <v>525</v>
      </c>
      <c r="S135" s="254">
        <f t="shared" si="51"/>
        <v>525</v>
      </c>
      <c r="T135" s="254">
        <f t="shared" si="51"/>
        <v>525</v>
      </c>
      <c r="U135" s="254">
        <f t="shared" si="51"/>
        <v>525</v>
      </c>
      <c r="V135" s="254">
        <f t="shared" si="51"/>
        <v>525</v>
      </c>
      <c r="W135" s="254">
        <f t="shared" si="51"/>
        <v>525</v>
      </c>
      <c r="X135" s="254">
        <f t="shared" si="51"/>
        <v>525</v>
      </c>
      <c r="Y135" s="254">
        <f t="shared" si="51"/>
        <v>525</v>
      </c>
      <c r="Z135" s="254">
        <f t="shared" si="51"/>
        <v>525</v>
      </c>
      <c r="AA135" s="254">
        <f t="shared" si="51"/>
        <v>525</v>
      </c>
      <c r="AB135" s="253">
        <f t="shared" si="51"/>
        <v>525</v>
      </c>
      <c r="AC135" s="254">
        <f t="shared" si="51"/>
        <v>525</v>
      </c>
      <c r="AD135" s="254">
        <f t="shared" si="51"/>
        <v>525</v>
      </c>
      <c r="AE135" s="254">
        <f t="shared" si="51"/>
        <v>525</v>
      </c>
      <c r="AF135" s="254">
        <f t="shared" si="51"/>
        <v>525</v>
      </c>
      <c r="AG135" s="254">
        <f t="shared" si="51"/>
        <v>525</v>
      </c>
      <c r="AH135" s="254">
        <f t="shared" si="51"/>
        <v>525</v>
      </c>
      <c r="AI135" s="254">
        <f t="shared" si="51"/>
        <v>525</v>
      </c>
      <c r="AJ135" s="254">
        <f t="shared" si="51"/>
        <v>525</v>
      </c>
      <c r="AK135" s="254">
        <f t="shared" si="51"/>
        <v>525</v>
      </c>
      <c r="AL135" s="254">
        <f t="shared" si="51"/>
        <v>525</v>
      </c>
      <c r="AM135" s="254">
        <f t="shared" si="51"/>
        <v>525</v>
      </c>
    </row>
    <row r="136" spans="1:39" s="251" customFormat="1" outlineLevel="1" x14ac:dyDescent="0.25">
      <c r="B136" s="251" t="str">
        <f t="shared" si="46"/>
        <v>Trae</v>
      </c>
      <c r="C136" s="252" t="s">
        <v>256</v>
      </c>
      <c r="D136" s="253">
        <f t="shared" ref="D136:AM136" si="52">$Q10</f>
        <v>155</v>
      </c>
      <c r="E136" s="254">
        <f t="shared" si="52"/>
        <v>155</v>
      </c>
      <c r="F136" s="254">
        <f t="shared" si="52"/>
        <v>155</v>
      </c>
      <c r="G136" s="254">
        <f t="shared" si="52"/>
        <v>155</v>
      </c>
      <c r="H136" s="254">
        <f t="shared" si="52"/>
        <v>155</v>
      </c>
      <c r="I136" s="254">
        <f t="shared" si="52"/>
        <v>155</v>
      </c>
      <c r="J136" s="254">
        <f t="shared" si="52"/>
        <v>155</v>
      </c>
      <c r="K136" s="254">
        <f t="shared" si="52"/>
        <v>155</v>
      </c>
      <c r="L136" s="254">
        <f t="shared" si="52"/>
        <v>155</v>
      </c>
      <c r="M136" s="254">
        <f t="shared" si="52"/>
        <v>155</v>
      </c>
      <c r="N136" s="254">
        <f t="shared" si="52"/>
        <v>155</v>
      </c>
      <c r="O136" s="254">
        <f t="shared" si="52"/>
        <v>155</v>
      </c>
      <c r="P136" s="253">
        <f t="shared" si="52"/>
        <v>155</v>
      </c>
      <c r="Q136" s="254">
        <f t="shared" si="52"/>
        <v>155</v>
      </c>
      <c r="R136" s="254">
        <f t="shared" si="52"/>
        <v>155</v>
      </c>
      <c r="S136" s="254">
        <f t="shared" si="52"/>
        <v>155</v>
      </c>
      <c r="T136" s="254">
        <f t="shared" si="52"/>
        <v>155</v>
      </c>
      <c r="U136" s="254">
        <f t="shared" si="52"/>
        <v>155</v>
      </c>
      <c r="V136" s="254">
        <f t="shared" si="52"/>
        <v>155</v>
      </c>
      <c r="W136" s="254">
        <f t="shared" si="52"/>
        <v>155</v>
      </c>
      <c r="X136" s="254">
        <f t="shared" si="52"/>
        <v>155</v>
      </c>
      <c r="Y136" s="254">
        <f t="shared" si="52"/>
        <v>155</v>
      </c>
      <c r="Z136" s="254">
        <f t="shared" si="52"/>
        <v>155</v>
      </c>
      <c r="AA136" s="254">
        <f t="shared" si="52"/>
        <v>155</v>
      </c>
      <c r="AB136" s="253">
        <f t="shared" si="52"/>
        <v>155</v>
      </c>
      <c r="AC136" s="254">
        <f t="shared" si="52"/>
        <v>155</v>
      </c>
      <c r="AD136" s="254">
        <f t="shared" si="52"/>
        <v>155</v>
      </c>
      <c r="AE136" s="254">
        <f t="shared" si="52"/>
        <v>155</v>
      </c>
      <c r="AF136" s="254">
        <f t="shared" si="52"/>
        <v>155</v>
      </c>
      <c r="AG136" s="254">
        <f t="shared" si="52"/>
        <v>155</v>
      </c>
      <c r="AH136" s="254">
        <f t="shared" si="52"/>
        <v>155</v>
      </c>
      <c r="AI136" s="254">
        <f t="shared" si="52"/>
        <v>155</v>
      </c>
      <c r="AJ136" s="254">
        <f t="shared" si="52"/>
        <v>155</v>
      </c>
      <c r="AK136" s="254">
        <f t="shared" si="52"/>
        <v>155</v>
      </c>
      <c r="AL136" s="254">
        <f t="shared" si="52"/>
        <v>155</v>
      </c>
      <c r="AM136" s="254">
        <f t="shared" si="52"/>
        <v>155</v>
      </c>
    </row>
    <row r="137" spans="1:39" s="251" customFormat="1" outlineLevel="1" x14ac:dyDescent="0.25">
      <c r="B137" s="251" t="str">
        <f t="shared" si="46"/>
        <v>DagrenRast</v>
      </c>
      <c r="C137" s="252" t="s">
        <v>256</v>
      </c>
      <c r="D137" s="253">
        <f t="shared" ref="D137:AM137" si="53">$Q11</f>
        <v>525</v>
      </c>
      <c r="E137" s="254">
        <f t="shared" si="53"/>
        <v>525</v>
      </c>
      <c r="F137" s="254">
        <f t="shared" si="53"/>
        <v>525</v>
      </c>
      <c r="G137" s="254">
        <f t="shared" si="53"/>
        <v>525</v>
      </c>
      <c r="H137" s="254">
        <f t="shared" si="53"/>
        <v>525</v>
      </c>
      <c r="I137" s="254">
        <f t="shared" si="53"/>
        <v>525</v>
      </c>
      <c r="J137" s="254">
        <f t="shared" si="53"/>
        <v>525</v>
      </c>
      <c r="K137" s="254">
        <f t="shared" si="53"/>
        <v>525</v>
      </c>
      <c r="L137" s="254">
        <f t="shared" si="53"/>
        <v>525</v>
      </c>
      <c r="M137" s="254">
        <f t="shared" si="53"/>
        <v>525</v>
      </c>
      <c r="N137" s="254">
        <f t="shared" si="53"/>
        <v>525</v>
      </c>
      <c r="O137" s="254">
        <f t="shared" si="53"/>
        <v>525</v>
      </c>
      <c r="P137" s="253">
        <f t="shared" si="53"/>
        <v>525</v>
      </c>
      <c r="Q137" s="254">
        <f t="shared" si="53"/>
        <v>525</v>
      </c>
      <c r="R137" s="254">
        <f t="shared" si="53"/>
        <v>525</v>
      </c>
      <c r="S137" s="254">
        <f t="shared" si="53"/>
        <v>525</v>
      </c>
      <c r="T137" s="254">
        <f t="shared" si="53"/>
        <v>525</v>
      </c>
      <c r="U137" s="254">
        <f t="shared" si="53"/>
        <v>525</v>
      </c>
      <c r="V137" s="254">
        <f t="shared" si="53"/>
        <v>525</v>
      </c>
      <c r="W137" s="254">
        <f t="shared" si="53"/>
        <v>525</v>
      </c>
      <c r="X137" s="254">
        <f t="shared" si="53"/>
        <v>525</v>
      </c>
      <c r="Y137" s="254">
        <f t="shared" si="53"/>
        <v>525</v>
      </c>
      <c r="Z137" s="254">
        <f t="shared" si="53"/>
        <v>525</v>
      </c>
      <c r="AA137" s="254">
        <f t="shared" si="53"/>
        <v>525</v>
      </c>
      <c r="AB137" s="253">
        <f t="shared" si="53"/>
        <v>525</v>
      </c>
      <c r="AC137" s="254">
        <f t="shared" si="53"/>
        <v>525</v>
      </c>
      <c r="AD137" s="254">
        <f t="shared" si="53"/>
        <v>525</v>
      </c>
      <c r="AE137" s="254">
        <f t="shared" si="53"/>
        <v>525</v>
      </c>
      <c r="AF137" s="254">
        <f t="shared" si="53"/>
        <v>525</v>
      </c>
      <c r="AG137" s="254">
        <f t="shared" si="53"/>
        <v>525</v>
      </c>
      <c r="AH137" s="254">
        <f t="shared" si="53"/>
        <v>525</v>
      </c>
      <c r="AI137" s="254">
        <f t="shared" si="53"/>
        <v>525</v>
      </c>
      <c r="AJ137" s="254">
        <f t="shared" si="53"/>
        <v>525</v>
      </c>
      <c r="AK137" s="254">
        <f t="shared" si="53"/>
        <v>525</v>
      </c>
      <c r="AL137" s="254">
        <f t="shared" si="53"/>
        <v>525</v>
      </c>
      <c r="AM137" s="254">
        <f t="shared" si="53"/>
        <v>525</v>
      </c>
    </row>
    <row r="138" spans="1:39" s="251" customFormat="1" outlineLevel="1" x14ac:dyDescent="0.25">
      <c r="B138" s="251" t="str">
        <f t="shared" si="46"/>
        <v>DagrenInst</v>
      </c>
      <c r="C138" s="252" t="s">
        <v>256</v>
      </c>
      <c r="D138" s="253">
        <f t="shared" ref="D138:AM138" si="54">$Q12</f>
        <v>525</v>
      </c>
      <c r="E138" s="254">
        <f t="shared" si="54"/>
        <v>525</v>
      </c>
      <c r="F138" s="254">
        <f t="shared" si="54"/>
        <v>525</v>
      </c>
      <c r="G138" s="254">
        <f t="shared" si="54"/>
        <v>525</v>
      </c>
      <c r="H138" s="254">
        <f t="shared" si="54"/>
        <v>525</v>
      </c>
      <c r="I138" s="254">
        <f t="shared" si="54"/>
        <v>525</v>
      </c>
      <c r="J138" s="254">
        <f t="shared" si="54"/>
        <v>525</v>
      </c>
      <c r="K138" s="254">
        <f t="shared" si="54"/>
        <v>525</v>
      </c>
      <c r="L138" s="254">
        <f t="shared" si="54"/>
        <v>525</v>
      </c>
      <c r="M138" s="254">
        <f t="shared" si="54"/>
        <v>525</v>
      </c>
      <c r="N138" s="254">
        <f t="shared" si="54"/>
        <v>525</v>
      </c>
      <c r="O138" s="254">
        <f t="shared" si="54"/>
        <v>525</v>
      </c>
      <c r="P138" s="253">
        <f t="shared" si="54"/>
        <v>525</v>
      </c>
      <c r="Q138" s="254">
        <f t="shared" si="54"/>
        <v>525</v>
      </c>
      <c r="R138" s="254">
        <f t="shared" si="54"/>
        <v>525</v>
      </c>
      <c r="S138" s="254">
        <f t="shared" si="54"/>
        <v>525</v>
      </c>
      <c r="T138" s="254">
        <f t="shared" si="54"/>
        <v>525</v>
      </c>
      <c r="U138" s="254">
        <f t="shared" si="54"/>
        <v>525</v>
      </c>
      <c r="V138" s="254">
        <f t="shared" si="54"/>
        <v>525</v>
      </c>
      <c r="W138" s="254">
        <f t="shared" si="54"/>
        <v>525</v>
      </c>
      <c r="X138" s="254">
        <f t="shared" si="54"/>
        <v>525</v>
      </c>
      <c r="Y138" s="254">
        <f t="shared" si="54"/>
        <v>525</v>
      </c>
      <c r="Z138" s="254">
        <f t="shared" si="54"/>
        <v>525</v>
      </c>
      <c r="AA138" s="254">
        <f t="shared" si="54"/>
        <v>525</v>
      </c>
      <c r="AB138" s="253">
        <f t="shared" si="54"/>
        <v>525</v>
      </c>
      <c r="AC138" s="254">
        <f t="shared" si="54"/>
        <v>525</v>
      </c>
      <c r="AD138" s="254">
        <f t="shared" si="54"/>
        <v>525</v>
      </c>
      <c r="AE138" s="254">
        <f t="shared" si="54"/>
        <v>525</v>
      </c>
      <c r="AF138" s="254">
        <f t="shared" si="54"/>
        <v>525</v>
      </c>
      <c r="AG138" s="254">
        <f t="shared" si="54"/>
        <v>525</v>
      </c>
      <c r="AH138" s="254">
        <f t="shared" si="54"/>
        <v>525</v>
      </c>
      <c r="AI138" s="254">
        <f t="shared" si="54"/>
        <v>525</v>
      </c>
      <c r="AJ138" s="254">
        <f t="shared" si="54"/>
        <v>525</v>
      </c>
      <c r="AK138" s="254">
        <f t="shared" si="54"/>
        <v>525</v>
      </c>
      <c r="AL138" s="254">
        <f t="shared" si="54"/>
        <v>525</v>
      </c>
      <c r="AM138" s="254">
        <f t="shared" si="54"/>
        <v>525</v>
      </c>
    </row>
    <row r="139" spans="1:39" s="251" customFormat="1" outlineLevel="1" x14ac:dyDescent="0.25">
      <c r="B139" s="251" t="str">
        <f t="shared" si="46"/>
        <v>DagrenHandel</v>
      </c>
      <c r="C139" s="252" t="s">
        <v>256</v>
      </c>
      <c r="D139" s="253">
        <f t="shared" ref="D139:AM139" si="55">$Q13</f>
        <v>525</v>
      </c>
      <c r="E139" s="254">
        <f t="shared" si="55"/>
        <v>525</v>
      </c>
      <c r="F139" s="254">
        <f t="shared" si="55"/>
        <v>525</v>
      </c>
      <c r="G139" s="254">
        <f t="shared" si="55"/>
        <v>525</v>
      </c>
      <c r="H139" s="254">
        <f t="shared" si="55"/>
        <v>525</v>
      </c>
      <c r="I139" s="254">
        <f t="shared" si="55"/>
        <v>525</v>
      </c>
      <c r="J139" s="254">
        <f t="shared" si="55"/>
        <v>525</v>
      </c>
      <c r="K139" s="254">
        <f t="shared" si="55"/>
        <v>525</v>
      </c>
      <c r="L139" s="254">
        <f t="shared" si="55"/>
        <v>525</v>
      </c>
      <c r="M139" s="254">
        <f t="shared" si="55"/>
        <v>525</v>
      </c>
      <c r="N139" s="254">
        <f t="shared" si="55"/>
        <v>525</v>
      </c>
      <c r="O139" s="254">
        <f t="shared" si="55"/>
        <v>525</v>
      </c>
      <c r="P139" s="253">
        <f t="shared" si="55"/>
        <v>525</v>
      </c>
      <c r="Q139" s="254">
        <f t="shared" si="55"/>
        <v>525</v>
      </c>
      <c r="R139" s="254">
        <f t="shared" si="55"/>
        <v>525</v>
      </c>
      <c r="S139" s="254">
        <f t="shared" si="55"/>
        <v>525</v>
      </c>
      <c r="T139" s="254">
        <f t="shared" si="55"/>
        <v>525</v>
      </c>
      <c r="U139" s="254">
        <f t="shared" si="55"/>
        <v>525</v>
      </c>
      <c r="V139" s="254">
        <f t="shared" si="55"/>
        <v>525</v>
      </c>
      <c r="W139" s="254">
        <f t="shared" si="55"/>
        <v>525</v>
      </c>
      <c r="X139" s="254">
        <f t="shared" si="55"/>
        <v>525</v>
      </c>
      <c r="Y139" s="254">
        <f t="shared" si="55"/>
        <v>525</v>
      </c>
      <c r="Z139" s="254">
        <f t="shared" si="55"/>
        <v>525</v>
      </c>
      <c r="AA139" s="254">
        <f t="shared" si="55"/>
        <v>525</v>
      </c>
      <c r="AB139" s="253">
        <f t="shared" si="55"/>
        <v>525</v>
      </c>
      <c r="AC139" s="254">
        <f t="shared" si="55"/>
        <v>525</v>
      </c>
      <c r="AD139" s="254">
        <f t="shared" si="55"/>
        <v>525</v>
      </c>
      <c r="AE139" s="254">
        <f t="shared" si="55"/>
        <v>525</v>
      </c>
      <c r="AF139" s="254">
        <f t="shared" si="55"/>
        <v>525</v>
      </c>
      <c r="AG139" s="254">
        <f t="shared" si="55"/>
        <v>525</v>
      </c>
      <c r="AH139" s="254">
        <f t="shared" si="55"/>
        <v>525</v>
      </c>
      <c r="AI139" s="254">
        <f t="shared" si="55"/>
        <v>525</v>
      </c>
      <c r="AJ139" s="254">
        <f t="shared" si="55"/>
        <v>525</v>
      </c>
      <c r="AK139" s="254">
        <f t="shared" si="55"/>
        <v>525</v>
      </c>
      <c r="AL139" s="254">
        <f t="shared" si="55"/>
        <v>525</v>
      </c>
      <c r="AM139" s="254">
        <f t="shared" si="55"/>
        <v>525</v>
      </c>
    </row>
    <row r="140" spans="1:39" s="251" customFormat="1" outlineLevel="1" x14ac:dyDescent="0.25">
      <c r="B140" s="251" t="str">
        <f t="shared" si="46"/>
        <v>DagrenRestau</v>
      </c>
      <c r="C140" s="252" t="s">
        <v>256</v>
      </c>
      <c r="D140" s="253">
        <f t="shared" ref="D140:AM140" si="56">$Q14</f>
        <v>525</v>
      </c>
      <c r="E140" s="254">
        <f t="shared" si="56"/>
        <v>525</v>
      </c>
      <c r="F140" s="254">
        <f t="shared" si="56"/>
        <v>525</v>
      </c>
      <c r="G140" s="254">
        <f t="shared" si="56"/>
        <v>525</v>
      </c>
      <c r="H140" s="254">
        <f t="shared" si="56"/>
        <v>525</v>
      </c>
      <c r="I140" s="254">
        <f t="shared" si="56"/>
        <v>525</v>
      </c>
      <c r="J140" s="254">
        <f t="shared" si="56"/>
        <v>525</v>
      </c>
      <c r="K140" s="254">
        <f t="shared" si="56"/>
        <v>525</v>
      </c>
      <c r="L140" s="254">
        <f t="shared" si="56"/>
        <v>525</v>
      </c>
      <c r="M140" s="254">
        <f t="shared" si="56"/>
        <v>525</v>
      </c>
      <c r="N140" s="254">
        <f t="shared" si="56"/>
        <v>525</v>
      </c>
      <c r="O140" s="254">
        <f t="shared" si="56"/>
        <v>525</v>
      </c>
      <c r="P140" s="253">
        <f t="shared" si="56"/>
        <v>525</v>
      </c>
      <c r="Q140" s="254">
        <f t="shared" si="56"/>
        <v>525</v>
      </c>
      <c r="R140" s="254">
        <f t="shared" si="56"/>
        <v>525</v>
      </c>
      <c r="S140" s="254">
        <f t="shared" si="56"/>
        <v>525</v>
      </c>
      <c r="T140" s="254">
        <f t="shared" si="56"/>
        <v>525</v>
      </c>
      <c r="U140" s="254">
        <f t="shared" si="56"/>
        <v>525</v>
      </c>
      <c r="V140" s="254">
        <f t="shared" si="56"/>
        <v>525</v>
      </c>
      <c r="W140" s="254">
        <f t="shared" si="56"/>
        <v>525</v>
      </c>
      <c r="X140" s="254">
        <f t="shared" si="56"/>
        <v>525</v>
      </c>
      <c r="Y140" s="254">
        <f t="shared" si="56"/>
        <v>525</v>
      </c>
      <c r="Z140" s="254">
        <f t="shared" si="56"/>
        <v>525</v>
      </c>
      <c r="AA140" s="254">
        <f t="shared" si="56"/>
        <v>525</v>
      </c>
      <c r="AB140" s="253">
        <f t="shared" si="56"/>
        <v>525</v>
      </c>
      <c r="AC140" s="254">
        <f t="shared" si="56"/>
        <v>525</v>
      </c>
      <c r="AD140" s="254">
        <f t="shared" si="56"/>
        <v>525</v>
      </c>
      <c r="AE140" s="254">
        <f t="shared" si="56"/>
        <v>525</v>
      </c>
      <c r="AF140" s="254">
        <f t="shared" si="56"/>
        <v>525</v>
      </c>
      <c r="AG140" s="254">
        <f t="shared" si="56"/>
        <v>525</v>
      </c>
      <c r="AH140" s="254">
        <f t="shared" si="56"/>
        <v>525</v>
      </c>
      <c r="AI140" s="254">
        <f t="shared" si="56"/>
        <v>525</v>
      </c>
      <c r="AJ140" s="254">
        <f t="shared" si="56"/>
        <v>525</v>
      </c>
      <c r="AK140" s="254">
        <f t="shared" si="56"/>
        <v>525</v>
      </c>
      <c r="AL140" s="254">
        <f t="shared" si="56"/>
        <v>525</v>
      </c>
      <c r="AM140" s="254">
        <f t="shared" si="56"/>
        <v>525</v>
      </c>
    </row>
    <row r="141" spans="1:39" s="251" customFormat="1" outlineLevel="1" x14ac:dyDescent="0.25">
      <c r="B141" s="251" t="str">
        <f t="shared" si="46"/>
        <v>Erhverv</v>
      </c>
      <c r="C141" s="252" t="s">
        <v>256</v>
      </c>
      <c r="D141" s="253">
        <f t="shared" ref="D141:AM141" si="57">$Q15</f>
        <v>525</v>
      </c>
      <c r="E141" s="254">
        <f t="shared" si="57"/>
        <v>525</v>
      </c>
      <c r="F141" s="254">
        <f t="shared" si="57"/>
        <v>525</v>
      </c>
      <c r="G141" s="254">
        <f t="shared" si="57"/>
        <v>525</v>
      </c>
      <c r="H141" s="254">
        <f t="shared" si="57"/>
        <v>525</v>
      </c>
      <c r="I141" s="254">
        <f t="shared" si="57"/>
        <v>525</v>
      </c>
      <c r="J141" s="254">
        <f t="shared" si="57"/>
        <v>525</v>
      </c>
      <c r="K141" s="254">
        <f t="shared" si="57"/>
        <v>525</v>
      </c>
      <c r="L141" s="254">
        <f t="shared" si="57"/>
        <v>525</v>
      </c>
      <c r="M141" s="254">
        <f t="shared" si="57"/>
        <v>525</v>
      </c>
      <c r="N141" s="254">
        <f t="shared" si="57"/>
        <v>525</v>
      </c>
      <c r="O141" s="254">
        <f t="shared" si="57"/>
        <v>525</v>
      </c>
      <c r="P141" s="253">
        <f t="shared" si="57"/>
        <v>525</v>
      </c>
      <c r="Q141" s="254">
        <f t="shared" si="57"/>
        <v>525</v>
      </c>
      <c r="R141" s="254">
        <f t="shared" si="57"/>
        <v>525</v>
      </c>
      <c r="S141" s="254">
        <f t="shared" si="57"/>
        <v>525</v>
      </c>
      <c r="T141" s="254">
        <f t="shared" si="57"/>
        <v>525</v>
      </c>
      <c r="U141" s="254">
        <f t="shared" si="57"/>
        <v>525</v>
      </c>
      <c r="V141" s="254">
        <f t="shared" si="57"/>
        <v>525</v>
      </c>
      <c r="W141" s="254">
        <f t="shared" si="57"/>
        <v>525</v>
      </c>
      <c r="X141" s="254">
        <f t="shared" si="57"/>
        <v>525</v>
      </c>
      <c r="Y141" s="254">
        <f t="shared" si="57"/>
        <v>525</v>
      </c>
      <c r="Z141" s="254">
        <f t="shared" si="57"/>
        <v>525</v>
      </c>
      <c r="AA141" s="254">
        <f t="shared" si="57"/>
        <v>525</v>
      </c>
      <c r="AB141" s="253">
        <f t="shared" si="57"/>
        <v>525</v>
      </c>
      <c r="AC141" s="254">
        <f t="shared" si="57"/>
        <v>525</v>
      </c>
      <c r="AD141" s="254">
        <f t="shared" si="57"/>
        <v>525</v>
      </c>
      <c r="AE141" s="254">
        <f t="shared" si="57"/>
        <v>525</v>
      </c>
      <c r="AF141" s="254">
        <f t="shared" si="57"/>
        <v>525</v>
      </c>
      <c r="AG141" s="254">
        <f t="shared" si="57"/>
        <v>525</v>
      </c>
      <c r="AH141" s="254">
        <f t="shared" si="57"/>
        <v>525</v>
      </c>
      <c r="AI141" s="254">
        <f t="shared" si="57"/>
        <v>525</v>
      </c>
      <c r="AJ141" s="254">
        <f t="shared" si="57"/>
        <v>525</v>
      </c>
      <c r="AK141" s="254">
        <f t="shared" si="57"/>
        <v>525</v>
      </c>
      <c r="AL141" s="254">
        <f t="shared" si="57"/>
        <v>525</v>
      </c>
      <c r="AM141" s="254">
        <f t="shared" si="57"/>
        <v>525</v>
      </c>
    </row>
    <row r="142" spans="1:39" s="251" customFormat="1" outlineLevel="1" x14ac:dyDescent="0.25">
      <c r="B142" s="251" t="str">
        <f t="shared" si="46"/>
        <v>DagrenErhverv</v>
      </c>
      <c r="C142" s="252" t="s">
        <v>256</v>
      </c>
      <c r="D142" s="253">
        <f t="shared" ref="D142:AM142" si="58">$Q16</f>
        <v>785</v>
      </c>
      <c r="E142" s="254">
        <f t="shared" si="58"/>
        <v>785</v>
      </c>
      <c r="F142" s="254">
        <f t="shared" si="58"/>
        <v>785</v>
      </c>
      <c r="G142" s="254">
        <f t="shared" si="58"/>
        <v>785</v>
      </c>
      <c r="H142" s="254">
        <f t="shared" si="58"/>
        <v>785</v>
      </c>
      <c r="I142" s="254">
        <f t="shared" si="58"/>
        <v>785</v>
      </c>
      <c r="J142" s="254">
        <f t="shared" si="58"/>
        <v>785</v>
      </c>
      <c r="K142" s="254">
        <f t="shared" si="58"/>
        <v>785</v>
      </c>
      <c r="L142" s="254">
        <f t="shared" si="58"/>
        <v>785</v>
      </c>
      <c r="M142" s="254">
        <f t="shared" si="58"/>
        <v>785</v>
      </c>
      <c r="N142" s="254">
        <f t="shared" si="58"/>
        <v>785</v>
      </c>
      <c r="O142" s="254">
        <f t="shared" si="58"/>
        <v>785</v>
      </c>
      <c r="P142" s="253">
        <f t="shared" si="58"/>
        <v>785</v>
      </c>
      <c r="Q142" s="254">
        <f t="shared" si="58"/>
        <v>785</v>
      </c>
      <c r="R142" s="254">
        <f t="shared" si="58"/>
        <v>785</v>
      </c>
      <c r="S142" s="254">
        <f t="shared" si="58"/>
        <v>785</v>
      </c>
      <c r="T142" s="254">
        <f t="shared" si="58"/>
        <v>785</v>
      </c>
      <c r="U142" s="254">
        <f t="shared" si="58"/>
        <v>785</v>
      </c>
      <c r="V142" s="254">
        <f t="shared" si="58"/>
        <v>785</v>
      </c>
      <c r="W142" s="254">
        <f t="shared" si="58"/>
        <v>785</v>
      </c>
      <c r="X142" s="254">
        <f t="shared" si="58"/>
        <v>785</v>
      </c>
      <c r="Y142" s="254">
        <f t="shared" si="58"/>
        <v>785</v>
      </c>
      <c r="Z142" s="254">
        <f t="shared" si="58"/>
        <v>785</v>
      </c>
      <c r="AA142" s="254">
        <f t="shared" si="58"/>
        <v>785</v>
      </c>
      <c r="AB142" s="253">
        <f t="shared" si="58"/>
        <v>785</v>
      </c>
      <c r="AC142" s="254">
        <f t="shared" si="58"/>
        <v>785</v>
      </c>
      <c r="AD142" s="254">
        <f t="shared" si="58"/>
        <v>785</v>
      </c>
      <c r="AE142" s="254">
        <f t="shared" si="58"/>
        <v>785</v>
      </c>
      <c r="AF142" s="254">
        <f t="shared" si="58"/>
        <v>785</v>
      </c>
      <c r="AG142" s="254">
        <f t="shared" si="58"/>
        <v>785</v>
      </c>
      <c r="AH142" s="254">
        <f t="shared" si="58"/>
        <v>785</v>
      </c>
      <c r="AI142" s="254">
        <f t="shared" si="58"/>
        <v>785</v>
      </c>
      <c r="AJ142" s="254">
        <f t="shared" si="58"/>
        <v>785</v>
      </c>
      <c r="AK142" s="254">
        <f t="shared" si="58"/>
        <v>785</v>
      </c>
      <c r="AL142" s="254">
        <f t="shared" si="58"/>
        <v>785</v>
      </c>
      <c r="AM142" s="254">
        <f t="shared" si="58"/>
        <v>785</v>
      </c>
    </row>
    <row r="143" spans="1:39" s="251" customFormat="1" outlineLevel="1" x14ac:dyDescent="0.25">
      <c r="B143" s="251" t="str">
        <f t="shared" si="46"/>
        <v>HandelKontor</v>
      </c>
      <c r="C143" s="252" t="s">
        <v>256</v>
      </c>
      <c r="D143" s="253">
        <f t="shared" ref="D143:AM143" si="59">$Q17</f>
        <v>0</v>
      </c>
      <c r="E143" s="254">
        <f t="shared" si="59"/>
        <v>0</v>
      </c>
      <c r="F143" s="254">
        <f t="shared" si="59"/>
        <v>0</v>
      </c>
      <c r="G143" s="254">
        <f t="shared" si="59"/>
        <v>0</v>
      </c>
      <c r="H143" s="254">
        <f t="shared" si="59"/>
        <v>0</v>
      </c>
      <c r="I143" s="254">
        <f t="shared" si="59"/>
        <v>0</v>
      </c>
      <c r="J143" s="254">
        <f t="shared" si="59"/>
        <v>0</v>
      </c>
      <c r="K143" s="254">
        <f t="shared" si="59"/>
        <v>0</v>
      </c>
      <c r="L143" s="254">
        <f t="shared" si="59"/>
        <v>0</v>
      </c>
      <c r="M143" s="254">
        <f t="shared" si="59"/>
        <v>0</v>
      </c>
      <c r="N143" s="254">
        <f t="shared" si="59"/>
        <v>0</v>
      </c>
      <c r="O143" s="254">
        <f t="shared" si="59"/>
        <v>0</v>
      </c>
      <c r="P143" s="253">
        <f t="shared" si="59"/>
        <v>0</v>
      </c>
      <c r="Q143" s="254">
        <f t="shared" si="59"/>
        <v>0</v>
      </c>
      <c r="R143" s="254">
        <f t="shared" si="59"/>
        <v>0</v>
      </c>
      <c r="S143" s="254">
        <f t="shared" si="59"/>
        <v>0</v>
      </c>
      <c r="T143" s="254">
        <f t="shared" si="59"/>
        <v>0</v>
      </c>
      <c r="U143" s="254">
        <f t="shared" si="59"/>
        <v>0</v>
      </c>
      <c r="V143" s="254">
        <f t="shared" si="59"/>
        <v>0</v>
      </c>
      <c r="W143" s="254">
        <f t="shared" si="59"/>
        <v>0</v>
      </c>
      <c r="X143" s="254">
        <f t="shared" si="59"/>
        <v>0</v>
      </c>
      <c r="Y143" s="254">
        <f t="shared" si="59"/>
        <v>0</v>
      </c>
      <c r="Z143" s="254">
        <f t="shared" si="59"/>
        <v>0</v>
      </c>
      <c r="AA143" s="254">
        <f t="shared" si="59"/>
        <v>0</v>
      </c>
      <c r="AB143" s="253">
        <f t="shared" si="59"/>
        <v>0</v>
      </c>
      <c r="AC143" s="254">
        <f t="shared" si="59"/>
        <v>0</v>
      </c>
      <c r="AD143" s="254">
        <f t="shared" si="59"/>
        <v>0</v>
      </c>
      <c r="AE143" s="254">
        <f t="shared" si="59"/>
        <v>0</v>
      </c>
      <c r="AF143" s="254">
        <f t="shared" si="59"/>
        <v>0</v>
      </c>
      <c r="AG143" s="254">
        <f t="shared" si="59"/>
        <v>0</v>
      </c>
      <c r="AH143" s="254">
        <f t="shared" si="59"/>
        <v>0</v>
      </c>
      <c r="AI143" s="254">
        <f t="shared" si="59"/>
        <v>0</v>
      </c>
      <c r="AJ143" s="254">
        <f t="shared" si="59"/>
        <v>0</v>
      </c>
      <c r="AK143" s="254">
        <f t="shared" si="59"/>
        <v>0</v>
      </c>
      <c r="AL143" s="254">
        <f t="shared" si="59"/>
        <v>0</v>
      </c>
      <c r="AM143" s="254">
        <f t="shared" si="59"/>
        <v>0</v>
      </c>
    </row>
    <row r="144" spans="1:39" s="251" customFormat="1" outlineLevel="1" x14ac:dyDescent="0.25">
      <c r="B144" s="251" t="str">
        <f t="shared" si="46"/>
        <v>Privat</v>
      </c>
      <c r="C144" s="252" t="s">
        <v>256</v>
      </c>
      <c r="D144" s="253">
        <f t="shared" ref="D144:AM144" si="60">$Q18</f>
        <v>525</v>
      </c>
      <c r="E144" s="254">
        <f t="shared" si="60"/>
        <v>525</v>
      </c>
      <c r="F144" s="254">
        <f t="shared" si="60"/>
        <v>525</v>
      </c>
      <c r="G144" s="254">
        <f t="shared" si="60"/>
        <v>525</v>
      </c>
      <c r="H144" s="254">
        <f t="shared" si="60"/>
        <v>525</v>
      </c>
      <c r="I144" s="254">
        <f t="shared" si="60"/>
        <v>525</v>
      </c>
      <c r="J144" s="254">
        <f t="shared" si="60"/>
        <v>525</v>
      </c>
      <c r="K144" s="254">
        <f t="shared" si="60"/>
        <v>525</v>
      </c>
      <c r="L144" s="254">
        <f t="shared" si="60"/>
        <v>525</v>
      </c>
      <c r="M144" s="254">
        <f t="shared" si="60"/>
        <v>525</v>
      </c>
      <c r="N144" s="254">
        <f t="shared" si="60"/>
        <v>525</v>
      </c>
      <c r="O144" s="254">
        <f t="shared" si="60"/>
        <v>525</v>
      </c>
      <c r="P144" s="253">
        <f t="shared" si="60"/>
        <v>525</v>
      </c>
      <c r="Q144" s="254">
        <f t="shared" si="60"/>
        <v>525</v>
      </c>
      <c r="R144" s="254">
        <f t="shared" si="60"/>
        <v>525</v>
      </c>
      <c r="S144" s="254">
        <f t="shared" si="60"/>
        <v>525</v>
      </c>
      <c r="T144" s="254">
        <f t="shared" si="60"/>
        <v>525</v>
      </c>
      <c r="U144" s="254">
        <f t="shared" si="60"/>
        <v>525</v>
      </c>
      <c r="V144" s="254">
        <f t="shared" si="60"/>
        <v>525</v>
      </c>
      <c r="W144" s="254">
        <f t="shared" si="60"/>
        <v>525</v>
      </c>
      <c r="X144" s="254">
        <f t="shared" si="60"/>
        <v>525</v>
      </c>
      <c r="Y144" s="254">
        <f t="shared" si="60"/>
        <v>525</v>
      </c>
      <c r="Z144" s="254">
        <f t="shared" si="60"/>
        <v>525</v>
      </c>
      <c r="AA144" s="254">
        <f t="shared" si="60"/>
        <v>525</v>
      </c>
      <c r="AB144" s="253">
        <f t="shared" si="60"/>
        <v>525</v>
      </c>
      <c r="AC144" s="254">
        <f t="shared" si="60"/>
        <v>525</v>
      </c>
      <c r="AD144" s="254">
        <f t="shared" si="60"/>
        <v>525</v>
      </c>
      <c r="AE144" s="254">
        <f t="shared" si="60"/>
        <v>525</v>
      </c>
      <c r="AF144" s="254">
        <f t="shared" si="60"/>
        <v>525</v>
      </c>
      <c r="AG144" s="254">
        <f t="shared" si="60"/>
        <v>525</v>
      </c>
      <c r="AH144" s="254">
        <f t="shared" si="60"/>
        <v>525</v>
      </c>
      <c r="AI144" s="254">
        <f t="shared" si="60"/>
        <v>525</v>
      </c>
      <c r="AJ144" s="254">
        <f t="shared" si="60"/>
        <v>525</v>
      </c>
      <c r="AK144" s="254">
        <f t="shared" si="60"/>
        <v>525</v>
      </c>
      <c r="AL144" s="254">
        <f t="shared" si="60"/>
        <v>525</v>
      </c>
      <c r="AM144" s="254">
        <f t="shared" si="60"/>
        <v>525</v>
      </c>
    </row>
    <row r="145" spans="1:39" s="251" customFormat="1" outlineLevel="1" x14ac:dyDescent="0.25">
      <c r="B145" s="251" t="str">
        <f t="shared" si="46"/>
        <v>TyskRest</v>
      </c>
      <c r="C145" s="252" t="s">
        <v>256</v>
      </c>
      <c r="D145" s="253">
        <f t="shared" ref="D145:AM145" si="61">$Q19</f>
        <v>400</v>
      </c>
      <c r="E145" s="254">
        <f t="shared" si="61"/>
        <v>400</v>
      </c>
      <c r="F145" s="254">
        <f t="shared" si="61"/>
        <v>400</v>
      </c>
      <c r="G145" s="254">
        <f t="shared" si="61"/>
        <v>400</v>
      </c>
      <c r="H145" s="254">
        <f t="shared" si="61"/>
        <v>400</v>
      </c>
      <c r="I145" s="254">
        <f t="shared" si="61"/>
        <v>400</v>
      </c>
      <c r="J145" s="254">
        <f t="shared" si="61"/>
        <v>400</v>
      </c>
      <c r="K145" s="254">
        <f t="shared" si="61"/>
        <v>400</v>
      </c>
      <c r="L145" s="254">
        <f t="shared" si="61"/>
        <v>400</v>
      </c>
      <c r="M145" s="254">
        <f t="shared" si="61"/>
        <v>400</v>
      </c>
      <c r="N145" s="254">
        <f t="shared" si="61"/>
        <v>400</v>
      </c>
      <c r="O145" s="254">
        <f t="shared" si="61"/>
        <v>400</v>
      </c>
      <c r="P145" s="253">
        <f t="shared" si="61"/>
        <v>400</v>
      </c>
      <c r="Q145" s="254">
        <f t="shared" si="61"/>
        <v>400</v>
      </c>
      <c r="R145" s="254">
        <f t="shared" si="61"/>
        <v>400</v>
      </c>
      <c r="S145" s="254">
        <f t="shared" si="61"/>
        <v>400</v>
      </c>
      <c r="T145" s="254">
        <f t="shared" si="61"/>
        <v>400</v>
      </c>
      <c r="U145" s="254">
        <f t="shared" si="61"/>
        <v>400</v>
      </c>
      <c r="V145" s="254">
        <f t="shared" si="61"/>
        <v>400</v>
      </c>
      <c r="W145" s="254">
        <f t="shared" si="61"/>
        <v>400</v>
      </c>
      <c r="X145" s="254">
        <f t="shared" si="61"/>
        <v>400</v>
      </c>
      <c r="Y145" s="254">
        <f t="shared" si="61"/>
        <v>400</v>
      </c>
      <c r="Z145" s="254">
        <f t="shared" si="61"/>
        <v>400</v>
      </c>
      <c r="AA145" s="254">
        <f t="shared" si="61"/>
        <v>400</v>
      </c>
      <c r="AB145" s="253">
        <f t="shared" si="61"/>
        <v>400</v>
      </c>
      <c r="AC145" s="254">
        <f t="shared" si="61"/>
        <v>400</v>
      </c>
      <c r="AD145" s="254">
        <f t="shared" si="61"/>
        <v>400</v>
      </c>
      <c r="AE145" s="254">
        <f t="shared" si="61"/>
        <v>400</v>
      </c>
      <c r="AF145" s="254">
        <f t="shared" si="61"/>
        <v>400</v>
      </c>
      <c r="AG145" s="254">
        <f t="shared" si="61"/>
        <v>400</v>
      </c>
      <c r="AH145" s="254">
        <f t="shared" si="61"/>
        <v>400</v>
      </c>
      <c r="AI145" s="254">
        <f t="shared" si="61"/>
        <v>400</v>
      </c>
      <c r="AJ145" s="254">
        <f t="shared" si="61"/>
        <v>400</v>
      </c>
      <c r="AK145" s="254">
        <f t="shared" si="61"/>
        <v>400</v>
      </c>
      <c r="AL145" s="254">
        <f t="shared" si="61"/>
        <v>400</v>
      </c>
      <c r="AM145" s="254">
        <f t="shared" si="61"/>
        <v>400</v>
      </c>
    </row>
    <row r="146" spans="1:39" s="251" customFormat="1" outlineLevel="1" x14ac:dyDescent="0.25">
      <c r="B146" s="251" t="str">
        <f t="shared" si="46"/>
        <v>PolskRest</v>
      </c>
      <c r="C146" s="252" t="s">
        <v>256</v>
      </c>
      <c r="D146" s="253">
        <f t="shared" ref="D146:AM146" si="62">$Q20</f>
        <v>515</v>
      </c>
      <c r="E146" s="254">
        <f t="shared" si="62"/>
        <v>515</v>
      </c>
      <c r="F146" s="254">
        <f t="shared" si="62"/>
        <v>515</v>
      </c>
      <c r="G146" s="254">
        <f t="shared" si="62"/>
        <v>515</v>
      </c>
      <c r="H146" s="254">
        <f t="shared" si="62"/>
        <v>515</v>
      </c>
      <c r="I146" s="254">
        <f t="shared" si="62"/>
        <v>515</v>
      </c>
      <c r="J146" s="254">
        <f t="shared" si="62"/>
        <v>515</v>
      </c>
      <c r="K146" s="254">
        <f t="shared" si="62"/>
        <v>515</v>
      </c>
      <c r="L146" s="254">
        <f t="shared" si="62"/>
        <v>515</v>
      </c>
      <c r="M146" s="254">
        <f t="shared" si="62"/>
        <v>515</v>
      </c>
      <c r="N146" s="254">
        <f t="shared" si="62"/>
        <v>515</v>
      </c>
      <c r="O146" s="254">
        <f t="shared" si="62"/>
        <v>515</v>
      </c>
      <c r="P146" s="253">
        <f t="shared" si="62"/>
        <v>515</v>
      </c>
      <c r="Q146" s="254">
        <f t="shared" si="62"/>
        <v>515</v>
      </c>
      <c r="R146" s="254">
        <f t="shared" si="62"/>
        <v>515</v>
      </c>
      <c r="S146" s="254">
        <f t="shared" si="62"/>
        <v>515</v>
      </c>
      <c r="T146" s="254">
        <f t="shared" si="62"/>
        <v>515</v>
      </c>
      <c r="U146" s="254">
        <f t="shared" si="62"/>
        <v>515</v>
      </c>
      <c r="V146" s="254">
        <f t="shared" si="62"/>
        <v>515</v>
      </c>
      <c r="W146" s="254">
        <f t="shared" si="62"/>
        <v>515</v>
      </c>
      <c r="X146" s="254">
        <f t="shared" si="62"/>
        <v>515</v>
      </c>
      <c r="Y146" s="254">
        <f t="shared" si="62"/>
        <v>515</v>
      </c>
      <c r="Z146" s="254">
        <f t="shared" si="62"/>
        <v>515</v>
      </c>
      <c r="AA146" s="254">
        <f t="shared" si="62"/>
        <v>515</v>
      </c>
      <c r="AB146" s="253">
        <f t="shared" si="62"/>
        <v>515</v>
      </c>
      <c r="AC146" s="254">
        <f t="shared" si="62"/>
        <v>515</v>
      </c>
      <c r="AD146" s="254">
        <f t="shared" si="62"/>
        <v>515</v>
      </c>
      <c r="AE146" s="254">
        <f t="shared" si="62"/>
        <v>515</v>
      </c>
      <c r="AF146" s="254">
        <f t="shared" si="62"/>
        <v>515</v>
      </c>
      <c r="AG146" s="254">
        <f t="shared" si="62"/>
        <v>515</v>
      </c>
      <c r="AH146" s="254">
        <f t="shared" si="62"/>
        <v>515</v>
      </c>
      <c r="AI146" s="254">
        <f t="shared" si="62"/>
        <v>515</v>
      </c>
      <c r="AJ146" s="254">
        <f t="shared" si="62"/>
        <v>515</v>
      </c>
      <c r="AK146" s="254">
        <f t="shared" si="62"/>
        <v>515</v>
      </c>
      <c r="AL146" s="254">
        <f t="shared" si="62"/>
        <v>515</v>
      </c>
      <c r="AM146" s="254">
        <f t="shared" si="62"/>
        <v>515</v>
      </c>
    </row>
    <row r="147" spans="1:39" s="251" customFormat="1" outlineLevel="1" x14ac:dyDescent="0.25">
      <c r="B147" s="251" t="str">
        <f t="shared" si="46"/>
        <v>PcbTrae</v>
      </c>
      <c r="C147" s="252" t="s">
        <v>256</v>
      </c>
      <c r="D147" s="253">
        <f t="shared" ref="D147:AM147" si="63">$Q21</f>
        <v>0</v>
      </c>
      <c r="E147" s="254">
        <f t="shared" si="63"/>
        <v>0</v>
      </c>
      <c r="F147" s="254">
        <f t="shared" si="63"/>
        <v>0</v>
      </c>
      <c r="G147" s="254">
        <f t="shared" si="63"/>
        <v>0</v>
      </c>
      <c r="H147" s="254">
        <f t="shared" si="63"/>
        <v>0</v>
      </c>
      <c r="I147" s="254">
        <f t="shared" si="63"/>
        <v>0</v>
      </c>
      <c r="J147" s="254">
        <f t="shared" si="63"/>
        <v>0</v>
      </c>
      <c r="K147" s="254">
        <f t="shared" si="63"/>
        <v>0</v>
      </c>
      <c r="L147" s="254">
        <f t="shared" si="63"/>
        <v>0</v>
      </c>
      <c r="M147" s="254">
        <f t="shared" si="63"/>
        <v>0</v>
      </c>
      <c r="N147" s="254">
        <f t="shared" si="63"/>
        <v>0</v>
      </c>
      <c r="O147" s="254">
        <f t="shared" si="63"/>
        <v>0</v>
      </c>
      <c r="P147" s="253">
        <f t="shared" si="63"/>
        <v>0</v>
      </c>
      <c r="Q147" s="254">
        <f t="shared" si="63"/>
        <v>0</v>
      </c>
      <c r="R147" s="254">
        <f t="shared" si="63"/>
        <v>0</v>
      </c>
      <c r="S147" s="254">
        <f t="shared" si="63"/>
        <v>0</v>
      </c>
      <c r="T147" s="254">
        <f t="shared" si="63"/>
        <v>0</v>
      </c>
      <c r="U147" s="254">
        <f t="shared" si="63"/>
        <v>0</v>
      </c>
      <c r="V147" s="254">
        <f t="shared" si="63"/>
        <v>0</v>
      </c>
      <c r="W147" s="254">
        <f t="shared" si="63"/>
        <v>0</v>
      </c>
      <c r="X147" s="254">
        <f t="shared" si="63"/>
        <v>0</v>
      </c>
      <c r="Y147" s="254">
        <f t="shared" si="63"/>
        <v>0</v>
      </c>
      <c r="Z147" s="254">
        <f t="shared" si="63"/>
        <v>0</v>
      </c>
      <c r="AA147" s="254">
        <f t="shared" si="63"/>
        <v>0</v>
      </c>
      <c r="AB147" s="253">
        <f t="shared" si="63"/>
        <v>0</v>
      </c>
      <c r="AC147" s="254">
        <f t="shared" si="63"/>
        <v>0</v>
      </c>
      <c r="AD147" s="254">
        <f t="shared" si="63"/>
        <v>0</v>
      </c>
      <c r="AE147" s="254">
        <f t="shared" si="63"/>
        <v>0</v>
      </c>
      <c r="AF147" s="254">
        <f t="shared" si="63"/>
        <v>0</v>
      </c>
      <c r="AG147" s="254">
        <f t="shared" si="63"/>
        <v>0</v>
      </c>
      <c r="AH147" s="254">
        <f t="shared" si="63"/>
        <v>0</v>
      </c>
      <c r="AI147" s="254">
        <f t="shared" si="63"/>
        <v>0</v>
      </c>
      <c r="AJ147" s="254">
        <f t="shared" si="63"/>
        <v>0</v>
      </c>
      <c r="AK147" s="254">
        <f t="shared" si="63"/>
        <v>0</v>
      </c>
      <c r="AL147" s="254">
        <f t="shared" si="63"/>
        <v>0</v>
      </c>
      <c r="AM147" s="254">
        <f t="shared" si="63"/>
        <v>0</v>
      </c>
    </row>
    <row r="148" spans="1:39" s="251" customFormat="1" outlineLevel="1" x14ac:dyDescent="0.25">
      <c r="B148" s="251" t="str">
        <f t="shared" si="46"/>
        <v>TraeRekv</v>
      </c>
      <c r="C148" s="252" t="s">
        <v>256</v>
      </c>
      <c r="D148" s="253">
        <f t="shared" ref="D148:AM148" si="64">$Q22</f>
        <v>0</v>
      </c>
      <c r="E148" s="254">
        <f t="shared" si="64"/>
        <v>0</v>
      </c>
      <c r="F148" s="254">
        <f t="shared" si="64"/>
        <v>0</v>
      </c>
      <c r="G148" s="254">
        <f t="shared" si="64"/>
        <v>0</v>
      </c>
      <c r="H148" s="254">
        <f t="shared" si="64"/>
        <v>0</v>
      </c>
      <c r="I148" s="254">
        <f t="shared" si="64"/>
        <v>0</v>
      </c>
      <c r="J148" s="254">
        <f t="shared" si="64"/>
        <v>0</v>
      </c>
      <c r="K148" s="254">
        <f t="shared" si="64"/>
        <v>0</v>
      </c>
      <c r="L148" s="254">
        <f t="shared" si="64"/>
        <v>0</v>
      </c>
      <c r="M148" s="254">
        <f t="shared" si="64"/>
        <v>0</v>
      </c>
      <c r="N148" s="254">
        <f t="shared" si="64"/>
        <v>0</v>
      </c>
      <c r="O148" s="254">
        <f t="shared" si="64"/>
        <v>0</v>
      </c>
      <c r="P148" s="253">
        <f t="shared" si="64"/>
        <v>0</v>
      </c>
      <c r="Q148" s="254">
        <f t="shared" si="64"/>
        <v>0</v>
      </c>
      <c r="R148" s="254">
        <f t="shared" si="64"/>
        <v>0</v>
      </c>
      <c r="S148" s="254">
        <f t="shared" si="64"/>
        <v>0</v>
      </c>
      <c r="T148" s="254">
        <f t="shared" si="64"/>
        <v>0</v>
      </c>
      <c r="U148" s="254">
        <f t="shared" si="64"/>
        <v>0</v>
      </c>
      <c r="V148" s="254">
        <f t="shared" si="64"/>
        <v>0</v>
      </c>
      <c r="W148" s="254">
        <f t="shared" si="64"/>
        <v>0</v>
      </c>
      <c r="X148" s="254">
        <f t="shared" si="64"/>
        <v>0</v>
      </c>
      <c r="Y148" s="254">
        <f t="shared" si="64"/>
        <v>0</v>
      </c>
      <c r="Z148" s="254">
        <f t="shared" si="64"/>
        <v>0</v>
      </c>
      <c r="AA148" s="254">
        <f t="shared" si="64"/>
        <v>0</v>
      </c>
      <c r="AB148" s="253">
        <f t="shared" si="64"/>
        <v>0</v>
      </c>
      <c r="AC148" s="254">
        <f t="shared" si="64"/>
        <v>0</v>
      </c>
      <c r="AD148" s="254">
        <f t="shared" si="64"/>
        <v>0</v>
      </c>
      <c r="AE148" s="254">
        <f t="shared" si="64"/>
        <v>0</v>
      </c>
      <c r="AF148" s="254">
        <f t="shared" si="64"/>
        <v>0</v>
      </c>
      <c r="AG148" s="254">
        <f t="shared" si="64"/>
        <v>0</v>
      </c>
      <c r="AH148" s="254">
        <f t="shared" si="64"/>
        <v>0</v>
      </c>
      <c r="AI148" s="254">
        <f t="shared" si="64"/>
        <v>0</v>
      </c>
      <c r="AJ148" s="254">
        <f t="shared" si="64"/>
        <v>0</v>
      </c>
      <c r="AK148" s="254">
        <f t="shared" si="64"/>
        <v>0</v>
      </c>
      <c r="AL148" s="254">
        <f t="shared" si="64"/>
        <v>0</v>
      </c>
      <c r="AM148" s="254">
        <f t="shared" si="64"/>
        <v>0</v>
      </c>
    </row>
    <row r="149" spans="1:39" s="251" customFormat="1" outlineLevel="1" x14ac:dyDescent="0.25">
      <c r="B149" s="251" t="str">
        <f t="shared" si="46"/>
        <v>Halm</v>
      </c>
      <c r="C149" s="252" t="s">
        <v>256</v>
      </c>
      <c r="D149" s="253">
        <f t="shared" ref="D149:AM149" si="65">$Q23</f>
        <v>0</v>
      </c>
      <c r="E149" s="254">
        <f t="shared" si="65"/>
        <v>0</v>
      </c>
      <c r="F149" s="254">
        <f t="shared" si="65"/>
        <v>0</v>
      </c>
      <c r="G149" s="254">
        <f t="shared" si="65"/>
        <v>0</v>
      </c>
      <c r="H149" s="254">
        <f t="shared" si="65"/>
        <v>0</v>
      </c>
      <c r="I149" s="254">
        <f t="shared" si="65"/>
        <v>0</v>
      </c>
      <c r="J149" s="254">
        <f t="shared" si="65"/>
        <v>0</v>
      </c>
      <c r="K149" s="254">
        <f t="shared" si="65"/>
        <v>0</v>
      </c>
      <c r="L149" s="254">
        <f t="shared" si="65"/>
        <v>0</v>
      </c>
      <c r="M149" s="254">
        <f t="shared" si="65"/>
        <v>0</v>
      </c>
      <c r="N149" s="254">
        <f t="shared" si="65"/>
        <v>0</v>
      </c>
      <c r="O149" s="254">
        <f t="shared" si="65"/>
        <v>0</v>
      </c>
      <c r="P149" s="253">
        <f t="shared" si="65"/>
        <v>0</v>
      </c>
      <c r="Q149" s="254">
        <f t="shared" si="65"/>
        <v>0</v>
      </c>
      <c r="R149" s="254">
        <f t="shared" si="65"/>
        <v>0</v>
      </c>
      <c r="S149" s="254">
        <f t="shared" si="65"/>
        <v>0</v>
      </c>
      <c r="T149" s="254">
        <f t="shared" si="65"/>
        <v>0</v>
      </c>
      <c r="U149" s="254">
        <f t="shared" si="65"/>
        <v>0</v>
      </c>
      <c r="V149" s="254">
        <f t="shared" si="65"/>
        <v>0</v>
      </c>
      <c r="W149" s="254">
        <f t="shared" si="65"/>
        <v>0</v>
      </c>
      <c r="X149" s="254">
        <f t="shared" si="65"/>
        <v>0</v>
      </c>
      <c r="Y149" s="254">
        <f t="shared" si="65"/>
        <v>0</v>
      </c>
      <c r="Z149" s="254">
        <f t="shared" si="65"/>
        <v>0</v>
      </c>
      <c r="AA149" s="254">
        <f t="shared" si="65"/>
        <v>0</v>
      </c>
      <c r="AB149" s="253">
        <f t="shared" si="65"/>
        <v>0</v>
      </c>
      <c r="AC149" s="254">
        <f t="shared" si="65"/>
        <v>0</v>
      </c>
      <c r="AD149" s="254">
        <f t="shared" si="65"/>
        <v>0</v>
      </c>
      <c r="AE149" s="254">
        <f t="shared" si="65"/>
        <v>0</v>
      </c>
      <c r="AF149" s="254">
        <f t="shared" si="65"/>
        <v>0</v>
      </c>
      <c r="AG149" s="254">
        <f t="shared" si="65"/>
        <v>0</v>
      </c>
      <c r="AH149" s="254">
        <f t="shared" si="65"/>
        <v>0</v>
      </c>
      <c r="AI149" s="254">
        <f t="shared" si="65"/>
        <v>0</v>
      </c>
      <c r="AJ149" s="254">
        <f t="shared" si="65"/>
        <v>0</v>
      </c>
      <c r="AK149" s="254">
        <f t="shared" si="65"/>
        <v>0</v>
      </c>
      <c r="AL149" s="254">
        <f t="shared" si="65"/>
        <v>0</v>
      </c>
      <c r="AM149" s="254">
        <f t="shared" si="65"/>
        <v>0</v>
      </c>
    </row>
    <row r="150" spans="1:39" s="251" customFormat="1" outlineLevel="1" x14ac:dyDescent="0.25">
      <c r="A150" s="255"/>
      <c r="B150" s="251" t="str">
        <f t="shared" si="46"/>
        <v>Pulver</v>
      </c>
      <c r="C150" s="252" t="s">
        <v>256</v>
      </c>
      <c r="D150" s="253">
        <f t="shared" ref="D150:AM150" si="66">$Q24</f>
        <v>685</v>
      </c>
      <c r="E150" s="254">
        <f t="shared" si="66"/>
        <v>685</v>
      </c>
      <c r="F150" s="254">
        <f t="shared" si="66"/>
        <v>685</v>
      </c>
      <c r="G150" s="254">
        <f t="shared" si="66"/>
        <v>685</v>
      </c>
      <c r="H150" s="254">
        <f t="shared" si="66"/>
        <v>685</v>
      </c>
      <c r="I150" s="254">
        <f t="shared" si="66"/>
        <v>685</v>
      </c>
      <c r="J150" s="254">
        <f t="shared" si="66"/>
        <v>685</v>
      </c>
      <c r="K150" s="254">
        <f t="shared" si="66"/>
        <v>685</v>
      </c>
      <c r="L150" s="254">
        <f t="shared" si="66"/>
        <v>685</v>
      </c>
      <c r="M150" s="254">
        <f t="shared" si="66"/>
        <v>685</v>
      </c>
      <c r="N150" s="254">
        <f t="shared" si="66"/>
        <v>685</v>
      </c>
      <c r="O150" s="254">
        <f t="shared" si="66"/>
        <v>685</v>
      </c>
      <c r="P150" s="253">
        <f t="shared" si="66"/>
        <v>685</v>
      </c>
      <c r="Q150" s="254">
        <f t="shared" si="66"/>
        <v>685</v>
      </c>
      <c r="R150" s="254">
        <f t="shared" si="66"/>
        <v>685</v>
      </c>
      <c r="S150" s="254">
        <f t="shared" si="66"/>
        <v>685</v>
      </c>
      <c r="T150" s="254">
        <f t="shared" si="66"/>
        <v>685</v>
      </c>
      <c r="U150" s="254">
        <f t="shared" si="66"/>
        <v>685</v>
      </c>
      <c r="V150" s="254">
        <f t="shared" si="66"/>
        <v>685</v>
      </c>
      <c r="W150" s="254">
        <f t="shared" si="66"/>
        <v>685</v>
      </c>
      <c r="X150" s="254">
        <f t="shared" si="66"/>
        <v>685</v>
      </c>
      <c r="Y150" s="254">
        <f t="shared" si="66"/>
        <v>685</v>
      </c>
      <c r="Z150" s="254">
        <f t="shared" si="66"/>
        <v>685</v>
      </c>
      <c r="AA150" s="254">
        <f t="shared" si="66"/>
        <v>685</v>
      </c>
      <c r="AB150" s="253">
        <f t="shared" si="66"/>
        <v>685</v>
      </c>
      <c r="AC150" s="254">
        <f t="shared" si="66"/>
        <v>685</v>
      </c>
      <c r="AD150" s="254">
        <f t="shared" si="66"/>
        <v>685</v>
      </c>
      <c r="AE150" s="254">
        <f t="shared" si="66"/>
        <v>685</v>
      </c>
      <c r="AF150" s="254">
        <f t="shared" si="66"/>
        <v>685</v>
      </c>
      <c r="AG150" s="254">
        <f t="shared" si="66"/>
        <v>685</v>
      </c>
      <c r="AH150" s="254">
        <f t="shared" si="66"/>
        <v>685</v>
      </c>
      <c r="AI150" s="254">
        <f t="shared" si="66"/>
        <v>685</v>
      </c>
      <c r="AJ150" s="254">
        <f t="shared" si="66"/>
        <v>685</v>
      </c>
      <c r="AK150" s="254">
        <f t="shared" si="66"/>
        <v>685</v>
      </c>
      <c r="AL150" s="254">
        <f t="shared" si="66"/>
        <v>685</v>
      </c>
      <c r="AM150" s="254">
        <f t="shared" si="66"/>
        <v>685</v>
      </c>
    </row>
    <row r="151" spans="1:39" s="251" customFormat="1" outlineLevel="1" x14ac:dyDescent="0.25">
      <c r="A151" s="255"/>
      <c r="B151" s="251" t="str">
        <f t="shared" si="46"/>
        <v>FlisAffald</v>
      </c>
      <c r="C151" s="252" t="s">
        <v>256</v>
      </c>
      <c r="D151" s="253">
        <f t="shared" ref="D151:AM151" si="67">$Q25</f>
        <v>155</v>
      </c>
      <c r="E151" s="254">
        <f t="shared" si="67"/>
        <v>155</v>
      </c>
      <c r="F151" s="254">
        <f t="shared" si="67"/>
        <v>155</v>
      </c>
      <c r="G151" s="254">
        <f t="shared" si="67"/>
        <v>155</v>
      </c>
      <c r="H151" s="254">
        <f t="shared" si="67"/>
        <v>155</v>
      </c>
      <c r="I151" s="254">
        <f t="shared" si="67"/>
        <v>155</v>
      </c>
      <c r="J151" s="254">
        <f t="shared" si="67"/>
        <v>155</v>
      </c>
      <c r="K151" s="254">
        <f t="shared" si="67"/>
        <v>155</v>
      </c>
      <c r="L151" s="254">
        <f t="shared" si="67"/>
        <v>155</v>
      </c>
      <c r="M151" s="254">
        <f t="shared" si="67"/>
        <v>155</v>
      </c>
      <c r="N151" s="254">
        <f t="shared" si="67"/>
        <v>155</v>
      </c>
      <c r="O151" s="254">
        <f t="shared" si="67"/>
        <v>155</v>
      </c>
      <c r="P151" s="253">
        <f t="shared" si="67"/>
        <v>155</v>
      </c>
      <c r="Q151" s="254">
        <f t="shared" si="67"/>
        <v>155</v>
      </c>
      <c r="R151" s="254">
        <f t="shared" si="67"/>
        <v>155</v>
      </c>
      <c r="S151" s="254">
        <f t="shared" si="67"/>
        <v>155</v>
      </c>
      <c r="T151" s="254">
        <f t="shared" si="67"/>
        <v>155</v>
      </c>
      <c r="U151" s="254">
        <f t="shared" si="67"/>
        <v>155</v>
      </c>
      <c r="V151" s="254">
        <f t="shared" si="67"/>
        <v>155</v>
      </c>
      <c r="W151" s="254">
        <f t="shared" si="67"/>
        <v>155</v>
      </c>
      <c r="X151" s="254">
        <f t="shared" si="67"/>
        <v>155</v>
      </c>
      <c r="Y151" s="254">
        <f t="shared" si="67"/>
        <v>155</v>
      </c>
      <c r="Z151" s="254">
        <f t="shared" si="67"/>
        <v>155</v>
      </c>
      <c r="AA151" s="254">
        <f t="shared" si="67"/>
        <v>155</v>
      </c>
      <c r="AB151" s="253">
        <f t="shared" si="67"/>
        <v>155</v>
      </c>
      <c r="AC151" s="254">
        <f t="shared" si="67"/>
        <v>155</v>
      </c>
      <c r="AD151" s="254">
        <f t="shared" si="67"/>
        <v>155</v>
      </c>
      <c r="AE151" s="254">
        <f t="shared" si="67"/>
        <v>155</v>
      </c>
      <c r="AF151" s="254">
        <f t="shared" si="67"/>
        <v>155</v>
      </c>
      <c r="AG151" s="254">
        <f t="shared" si="67"/>
        <v>155</v>
      </c>
      <c r="AH151" s="254">
        <f t="shared" si="67"/>
        <v>155</v>
      </c>
      <c r="AI151" s="254">
        <f t="shared" si="67"/>
        <v>155</v>
      </c>
      <c r="AJ151" s="254">
        <f t="shared" si="67"/>
        <v>155</v>
      </c>
      <c r="AK151" s="254">
        <f t="shared" si="67"/>
        <v>155</v>
      </c>
      <c r="AL151" s="254">
        <f t="shared" si="67"/>
        <v>155</v>
      </c>
      <c r="AM151" s="254">
        <f t="shared" si="67"/>
        <v>155</v>
      </c>
    </row>
    <row r="152" spans="1:39" s="251" customFormat="1" outlineLevel="1" x14ac:dyDescent="0.25">
      <c r="A152" s="255"/>
      <c r="B152" s="251" t="str">
        <f t="shared" si="46"/>
        <v>NyAff1</v>
      </c>
      <c r="C152" s="252" t="s">
        <v>256</v>
      </c>
      <c r="D152" s="253">
        <f t="shared" ref="D152:AM152" si="68">$Q26</f>
        <v>-402.5</v>
      </c>
      <c r="E152" s="254">
        <f t="shared" si="68"/>
        <v>-402.5</v>
      </c>
      <c r="F152" s="254">
        <f t="shared" si="68"/>
        <v>-402.5</v>
      </c>
      <c r="G152" s="254">
        <f t="shared" si="68"/>
        <v>-402.5</v>
      </c>
      <c r="H152" s="254">
        <f t="shared" si="68"/>
        <v>-402.5</v>
      </c>
      <c r="I152" s="254">
        <f t="shared" si="68"/>
        <v>-402.5</v>
      </c>
      <c r="J152" s="254">
        <f t="shared" si="68"/>
        <v>-402.5</v>
      </c>
      <c r="K152" s="254">
        <f t="shared" si="68"/>
        <v>-402.5</v>
      </c>
      <c r="L152" s="254">
        <f t="shared" si="68"/>
        <v>-402.5</v>
      </c>
      <c r="M152" s="254">
        <f t="shared" si="68"/>
        <v>-402.5</v>
      </c>
      <c r="N152" s="254">
        <f t="shared" si="68"/>
        <v>-402.5</v>
      </c>
      <c r="O152" s="254">
        <f t="shared" si="68"/>
        <v>-402.5</v>
      </c>
      <c r="P152" s="253">
        <f t="shared" si="68"/>
        <v>-402.5</v>
      </c>
      <c r="Q152" s="254">
        <f t="shared" si="68"/>
        <v>-402.5</v>
      </c>
      <c r="R152" s="254">
        <f t="shared" si="68"/>
        <v>-402.5</v>
      </c>
      <c r="S152" s="254">
        <f t="shared" si="68"/>
        <v>-402.5</v>
      </c>
      <c r="T152" s="254">
        <f t="shared" si="68"/>
        <v>-402.5</v>
      </c>
      <c r="U152" s="254">
        <f t="shared" si="68"/>
        <v>-402.5</v>
      </c>
      <c r="V152" s="254">
        <f t="shared" si="68"/>
        <v>-402.5</v>
      </c>
      <c r="W152" s="254">
        <f t="shared" si="68"/>
        <v>-402.5</v>
      </c>
      <c r="X152" s="254">
        <f t="shared" si="68"/>
        <v>-402.5</v>
      </c>
      <c r="Y152" s="254">
        <f t="shared" si="68"/>
        <v>-402.5</v>
      </c>
      <c r="Z152" s="254">
        <f t="shared" si="68"/>
        <v>-402.5</v>
      </c>
      <c r="AA152" s="254">
        <f t="shared" si="68"/>
        <v>-402.5</v>
      </c>
      <c r="AB152" s="253">
        <f t="shared" si="68"/>
        <v>-402.5</v>
      </c>
      <c r="AC152" s="254">
        <f t="shared" si="68"/>
        <v>-402.5</v>
      </c>
      <c r="AD152" s="254">
        <f t="shared" si="68"/>
        <v>-402.5</v>
      </c>
      <c r="AE152" s="254">
        <f t="shared" si="68"/>
        <v>-402.5</v>
      </c>
      <c r="AF152" s="254">
        <f t="shared" si="68"/>
        <v>-402.5</v>
      </c>
      <c r="AG152" s="254">
        <f t="shared" si="68"/>
        <v>-402.5</v>
      </c>
      <c r="AH152" s="254">
        <f t="shared" si="68"/>
        <v>-402.5</v>
      </c>
      <c r="AI152" s="254">
        <f t="shared" si="68"/>
        <v>-402.5</v>
      </c>
      <c r="AJ152" s="254">
        <f t="shared" si="68"/>
        <v>-402.5</v>
      </c>
      <c r="AK152" s="254">
        <f t="shared" si="68"/>
        <v>-402.5</v>
      </c>
      <c r="AL152" s="254">
        <f t="shared" si="68"/>
        <v>-402.5</v>
      </c>
      <c r="AM152" s="254">
        <f t="shared" si="68"/>
        <v>-402.5</v>
      </c>
    </row>
    <row r="153" spans="1:39" s="251" customFormat="1" outlineLevel="1" x14ac:dyDescent="0.25">
      <c r="B153" s="251" t="str">
        <f t="shared" si="46"/>
        <v>NyAff2</v>
      </c>
      <c r="C153" s="252" t="s">
        <v>256</v>
      </c>
      <c r="D153" s="253">
        <f t="shared" ref="D153:AM153" si="69">$Q27</f>
        <v>450</v>
      </c>
      <c r="E153" s="254">
        <f t="shared" si="69"/>
        <v>450</v>
      </c>
      <c r="F153" s="254">
        <f t="shared" si="69"/>
        <v>450</v>
      </c>
      <c r="G153" s="254">
        <f t="shared" si="69"/>
        <v>450</v>
      </c>
      <c r="H153" s="254">
        <f t="shared" si="69"/>
        <v>450</v>
      </c>
      <c r="I153" s="254">
        <f t="shared" si="69"/>
        <v>450</v>
      </c>
      <c r="J153" s="254">
        <f t="shared" si="69"/>
        <v>450</v>
      </c>
      <c r="K153" s="254">
        <f t="shared" si="69"/>
        <v>450</v>
      </c>
      <c r="L153" s="254">
        <f t="shared" si="69"/>
        <v>450</v>
      </c>
      <c r="M153" s="254">
        <f t="shared" si="69"/>
        <v>450</v>
      </c>
      <c r="N153" s="254">
        <f t="shared" si="69"/>
        <v>450</v>
      </c>
      <c r="O153" s="254">
        <f t="shared" si="69"/>
        <v>450</v>
      </c>
      <c r="P153" s="253">
        <f t="shared" si="69"/>
        <v>450</v>
      </c>
      <c r="Q153" s="254">
        <f t="shared" si="69"/>
        <v>450</v>
      </c>
      <c r="R153" s="254">
        <f t="shared" si="69"/>
        <v>450</v>
      </c>
      <c r="S153" s="254">
        <f t="shared" si="69"/>
        <v>450</v>
      </c>
      <c r="T153" s="254">
        <f t="shared" si="69"/>
        <v>450</v>
      </c>
      <c r="U153" s="254">
        <f t="shared" si="69"/>
        <v>450</v>
      </c>
      <c r="V153" s="254">
        <f t="shared" si="69"/>
        <v>450</v>
      </c>
      <c r="W153" s="254">
        <f t="shared" si="69"/>
        <v>450</v>
      </c>
      <c r="X153" s="254">
        <f t="shared" si="69"/>
        <v>450</v>
      </c>
      <c r="Y153" s="254">
        <f t="shared" si="69"/>
        <v>450</v>
      </c>
      <c r="Z153" s="254">
        <f t="shared" si="69"/>
        <v>450</v>
      </c>
      <c r="AA153" s="254">
        <f t="shared" si="69"/>
        <v>450</v>
      </c>
      <c r="AB153" s="253">
        <f t="shared" si="69"/>
        <v>450</v>
      </c>
      <c r="AC153" s="254">
        <f t="shared" si="69"/>
        <v>450</v>
      </c>
      <c r="AD153" s="254">
        <f t="shared" si="69"/>
        <v>450</v>
      </c>
      <c r="AE153" s="254">
        <f t="shared" si="69"/>
        <v>450</v>
      </c>
      <c r="AF153" s="254">
        <f t="shared" si="69"/>
        <v>450</v>
      </c>
      <c r="AG153" s="254">
        <f t="shared" si="69"/>
        <v>450</v>
      </c>
      <c r="AH153" s="254">
        <f t="shared" si="69"/>
        <v>450</v>
      </c>
      <c r="AI153" s="254">
        <f t="shared" si="69"/>
        <v>450</v>
      </c>
      <c r="AJ153" s="254">
        <f t="shared" si="69"/>
        <v>450</v>
      </c>
      <c r="AK153" s="254">
        <f t="shared" si="69"/>
        <v>450</v>
      </c>
      <c r="AL153" s="254">
        <f t="shared" si="69"/>
        <v>450</v>
      </c>
      <c r="AM153" s="254">
        <f t="shared" si="69"/>
        <v>450</v>
      </c>
    </row>
    <row r="154" spans="1:39" s="251" customFormat="1" outlineLevel="1" x14ac:dyDescent="0.25">
      <c r="B154" s="251" t="str">
        <f t="shared" si="46"/>
        <v>NyAff3</v>
      </c>
      <c r="C154" s="252" t="s">
        <v>256</v>
      </c>
      <c r="D154" s="253">
        <f t="shared" ref="D154:AM154" si="70">$Q28</f>
        <v>500</v>
      </c>
      <c r="E154" s="254">
        <f t="shared" si="70"/>
        <v>500</v>
      </c>
      <c r="F154" s="254">
        <f t="shared" si="70"/>
        <v>500</v>
      </c>
      <c r="G154" s="254">
        <f t="shared" si="70"/>
        <v>500</v>
      </c>
      <c r="H154" s="254">
        <f t="shared" si="70"/>
        <v>500</v>
      </c>
      <c r="I154" s="254">
        <f t="shared" si="70"/>
        <v>500</v>
      </c>
      <c r="J154" s="254">
        <f t="shared" si="70"/>
        <v>500</v>
      </c>
      <c r="K154" s="254">
        <f t="shared" si="70"/>
        <v>500</v>
      </c>
      <c r="L154" s="254">
        <f t="shared" si="70"/>
        <v>500</v>
      </c>
      <c r="M154" s="254">
        <f t="shared" si="70"/>
        <v>500</v>
      </c>
      <c r="N154" s="254">
        <f t="shared" si="70"/>
        <v>500</v>
      </c>
      <c r="O154" s="254">
        <f t="shared" si="70"/>
        <v>500</v>
      </c>
      <c r="P154" s="253">
        <f t="shared" si="70"/>
        <v>500</v>
      </c>
      <c r="Q154" s="254">
        <f t="shared" si="70"/>
        <v>500</v>
      </c>
      <c r="R154" s="254">
        <f t="shared" si="70"/>
        <v>500</v>
      </c>
      <c r="S154" s="254">
        <f t="shared" si="70"/>
        <v>500</v>
      </c>
      <c r="T154" s="254">
        <f t="shared" si="70"/>
        <v>500</v>
      </c>
      <c r="U154" s="254">
        <f t="shared" si="70"/>
        <v>500</v>
      </c>
      <c r="V154" s="254">
        <f t="shared" si="70"/>
        <v>500</v>
      </c>
      <c r="W154" s="254">
        <f t="shared" si="70"/>
        <v>500</v>
      </c>
      <c r="X154" s="254">
        <f t="shared" si="70"/>
        <v>500</v>
      </c>
      <c r="Y154" s="254">
        <f t="shared" si="70"/>
        <v>500</v>
      </c>
      <c r="Z154" s="254">
        <f t="shared" si="70"/>
        <v>500</v>
      </c>
      <c r="AA154" s="254">
        <f t="shared" si="70"/>
        <v>500</v>
      </c>
      <c r="AB154" s="253">
        <f t="shared" si="70"/>
        <v>500</v>
      </c>
      <c r="AC154" s="254">
        <f t="shared" si="70"/>
        <v>500</v>
      </c>
      <c r="AD154" s="254">
        <f t="shared" si="70"/>
        <v>500</v>
      </c>
      <c r="AE154" s="254">
        <f t="shared" si="70"/>
        <v>500</v>
      </c>
      <c r="AF154" s="254">
        <f t="shared" si="70"/>
        <v>500</v>
      </c>
      <c r="AG154" s="254">
        <f t="shared" si="70"/>
        <v>500</v>
      </c>
      <c r="AH154" s="254">
        <f t="shared" si="70"/>
        <v>500</v>
      </c>
      <c r="AI154" s="254">
        <f t="shared" si="70"/>
        <v>500</v>
      </c>
      <c r="AJ154" s="254">
        <f t="shared" si="70"/>
        <v>500</v>
      </c>
      <c r="AK154" s="254">
        <f t="shared" si="70"/>
        <v>500</v>
      </c>
      <c r="AL154" s="254">
        <f t="shared" si="70"/>
        <v>500</v>
      </c>
      <c r="AM154" s="254">
        <f t="shared" si="70"/>
        <v>500</v>
      </c>
    </row>
    <row r="155" spans="1:39" s="251" customFormat="1" outlineLevel="1" x14ac:dyDescent="0.25">
      <c r="B155" s="251" t="str">
        <f t="shared" si="46"/>
        <v>NyAff4</v>
      </c>
      <c r="C155" s="252" t="s">
        <v>256</v>
      </c>
      <c r="D155" s="253">
        <f t="shared" ref="D155:AM155" si="71">$Q29</f>
        <v>550</v>
      </c>
      <c r="E155" s="254">
        <f t="shared" si="71"/>
        <v>550</v>
      </c>
      <c r="F155" s="254">
        <f t="shared" si="71"/>
        <v>550</v>
      </c>
      <c r="G155" s="254">
        <f t="shared" si="71"/>
        <v>550</v>
      </c>
      <c r="H155" s="254">
        <f t="shared" si="71"/>
        <v>550</v>
      </c>
      <c r="I155" s="254">
        <f t="shared" si="71"/>
        <v>550</v>
      </c>
      <c r="J155" s="254">
        <f t="shared" si="71"/>
        <v>550</v>
      </c>
      <c r="K155" s="254">
        <f t="shared" si="71"/>
        <v>550</v>
      </c>
      <c r="L155" s="254">
        <f t="shared" si="71"/>
        <v>550</v>
      </c>
      <c r="M155" s="254">
        <f t="shared" si="71"/>
        <v>550</v>
      </c>
      <c r="N155" s="254">
        <f t="shared" si="71"/>
        <v>550</v>
      </c>
      <c r="O155" s="254">
        <f t="shared" si="71"/>
        <v>550</v>
      </c>
      <c r="P155" s="253">
        <f t="shared" si="71"/>
        <v>550</v>
      </c>
      <c r="Q155" s="254">
        <f t="shared" si="71"/>
        <v>550</v>
      </c>
      <c r="R155" s="254">
        <f t="shared" si="71"/>
        <v>550</v>
      </c>
      <c r="S155" s="254">
        <f t="shared" si="71"/>
        <v>550</v>
      </c>
      <c r="T155" s="254">
        <f t="shared" si="71"/>
        <v>550</v>
      </c>
      <c r="U155" s="254">
        <f t="shared" si="71"/>
        <v>550</v>
      </c>
      <c r="V155" s="254">
        <f t="shared" si="71"/>
        <v>550</v>
      </c>
      <c r="W155" s="254">
        <f t="shared" si="71"/>
        <v>550</v>
      </c>
      <c r="X155" s="254">
        <f t="shared" si="71"/>
        <v>550</v>
      </c>
      <c r="Y155" s="254">
        <f t="shared" si="71"/>
        <v>550</v>
      </c>
      <c r="Z155" s="254">
        <f t="shared" si="71"/>
        <v>550</v>
      </c>
      <c r="AA155" s="254">
        <f t="shared" si="71"/>
        <v>550</v>
      </c>
      <c r="AB155" s="253">
        <f t="shared" si="71"/>
        <v>550</v>
      </c>
      <c r="AC155" s="254">
        <f t="shared" si="71"/>
        <v>550</v>
      </c>
      <c r="AD155" s="254">
        <f t="shared" si="71"/>
        <v>550</v>
      </c>
      <c r="AE155" s="254">
        <f t="shared" si="71"/>
        <v>550</v>
      </c>
      <c r="AF155" s="254">
        <f t="shared" si="71"/>
        <v>550</v>
      </c>
      <c r="AG155" s="254">
        <f t="shared" si="71"/>
        <v>550</v>
      </c>
      <c r="AH155" s="254">
        <f t="shared" si="71"/>
        <v>550</v>
      </c>
      <c r="AI155" s="254">
        <f t="shared" si="71"/>
        <v>550</v>
      </c>
      <c r="AJ155" s="254">
        <f t="shared" si="71"/>
        <v>550</v>
      </c>
      <c r="AK155" s="254">
        <f t="shared" si="71"/>
        <v>550</v>
      </c>
      <c r="AL155" s="254">
        <f t="shared" si="71"/>
        <v>550</v>
      </c>
      <c r="AM155" s="254">
        <f t="shared" si="71"/>
        <v>550</v>
      </c>
    </row>
    <row r="156" spans="1:39" s="251" customFormat="1" outlineLevel="1" x14ac:dyDescent="0.25">
      <c r="B156" s="251" t="str">
        <f t="shared" si="46"/>
        <v>NyAff5</v>
      </c>
      <c r="C156" s="252" t="s">
        <v>256</v>
      </c>
      <c r="D156" s="253">
        <f t="shared" ref="D156:AM156" si="72">$Q30</f>
        <v>600</v>
      </c>
      <c r="E156" s="254">
        <f t="shared" si="72"/>
        <v>600</v>
      </c>
      <c r="F156" s="254">
        <f t="shared" si="72"/>
        <v>600</v>
      </c>
      <c r="G156" s="254">
        <f t="shared" si="72"/>
        <v>600</v>
      </c>
      <c r="H156" s="254">
        <f t="shared" si="72"/>
        <v>600</v>
      </c>
      <c r="I156" s="254">
        <f t="shared" si="72"/>
        <v>600</v>
      </c>
      <c r="J156" s="254">
        <f t="shared" si="72"/>
        <v>600</v>
      </c>
      <c r="K156" s="254">
        <f t="shared" si="72"/>
        <v>600</v>
      </c>
      <c r="L156" s="254">
        <f t="shared" si="72"/>
        <v>600</v>
      </c>
      <c r="M156" s="254">
        <f t="shared" si="72"/>
        <v>600</v>
      </c>
      <c r="N156" s="254">
        <f t="shared" si="72"/>
        <v>600</v>
      </c>
      <c r="O156" s="254">
        <f t="shared" si="72"/>
        <v>600</v>
      </c>
      <c r="P156" s="253">
        <f t="shared" si="72"/>
        <v>600</v>
      </c>
      <c r="Q156" s="254">
        <f t="shared" si="72"/>
        <v>600</v>
      </c>
      <c r="R156" s="254">
        <f t="shared" si="72"/>
        <v>600</v>
      </c>
      <c r="S156" s="254">
        <f t="shared" si="72"/>
        <v>600</v>
      </c>
      <c r="T156" s="254">
        <f t="shared" si="72"/>
        <v>600</v>
      </c>
      <c r="U156" s="254">
        <f t="shared" si="72"/>
        <v>600</v>
      </c>
      <c r="V156" s="254">
        <f t="shared" si="72"/>
        <v>600</v>
      </c>
      <c r="W156" s="254">
        <f t="shared" si="72"/>
        <v>600</v>
      </c>
      <c r="X156" s="254">
        <f t="shared" si="72"/>
        <v>600</v>
      </c>
      <c r="Y156" s="254">
        <f t="shared" si="72"/>
        <v>600</v>
      </c>
      <c r="Z156" s="254">
        <f t="shared" si="72"/>
        <v>600</v>
      </c>
      <c r="AA156" s="254">
        <f t="shared" si="72"/>
        <v>600</v>
      </c>
      <c r="AB156" s="253">
        <f t="shared" si="72"/>
        <v>600</v>
      </c>
      <c r="AC156" s="254">
        <f t="shared" si="72"/>
        <v>600</v>
      </c>
      <c r="AD156" s="254">
        <f t="shared" si="72"/>
        <v>600</v>
      </c>
      <c r="AE156" s="254">
        <f t="shared" si="72"/>
        <v>600</v>
      </c>
      <c r="AF156" s="254">
        <f t="shared" si="72"/>
        <v>600</v>
      </c>
      <c r="AG156" s="254">
        <f t="shared" si="72"/>
        <v>600</v>
      </c>
      <c r="AH156" s="254">
        <f t="shared" si="72"/>
        <v>600</v>
      </c>
      <c r="AI156" s="254">
        <f t="shared" si="72"/>
        <v>600</v>
      </c>
      <c r="AJ156" s="254">
        <f t="shared" si="72"/>
        <v>600</v>
      </c>
      <c r="AK156" s="254">
        <f t="shared" si="72"/>
        <v>600</v>
      </c>
      <c r="AL156" s="254">
        <f t="shared" si="72"/>
        <v>600</v>
      </c>
      <c r="AM156" s="254">
        <f t="shared" si="72"/>
        <v>600</v>
      </c>
    </row>
    <row r="157" spans="1:39" outlineLevel="1" x14ac:dyDescent="0.25">
      <c r="A157" s="294"/>
      <c r="B157" s="251" t="str" cm="1">
        <f t="array" ref="B157:B159">ØvrigeBrændsler</f>
        <v>Flis</v>
      </c>
      <c r="C157" s="252" t="s">
        <v>256</v>
      </c>
      <c r="D157" s="253">
        <f t="shared" ref="D157:AM157" si="73">$Q31</f>
        <v>-470</v>
      </c>
      <c r="E157" s="254">
        <f t="shared" si="73"/>
        <v>-470</v>
      </c>
      <c r="F157" s="254">
        <f t="shared" si="73"/>
        <v>-470</v>
      </c>
      <c r="G157" s="254">
        <f t="shared" si="73"/>
        <v>-470</v>
      </c>
      <c r="H157" s="254">
        <f t="shared" si="73"/>
        <v>-470</v>
      </c>
      <c r="I157" s="254">
        <f t="shared" si="73"/>
        <v>-470</v>
      </c>
      <c r="J157" s="254">
        <f t="shared" si="73"/>
        <v>-470</v>
      </c>
      <c r="K157" s="254">
        <f t="shared" si="73"/>
        <v>-470</v>
      </c>
      <c r="L157" s="254">
        <f t="shared" si="73"/>
        <v>-470</v>
      </c>
      <c r="M157" s="254">
        <f t="shared" si="73"/>
        <v>-470</v>
      </c>
      <c r="N157" s="254">
        <f t="shared" si="73"/>
        <v>-470</v>
      </c>
      <c r="O157" s="254">
        <f t="shared" si="73"/>
        <v>-470</v>
      </c>
      <c r="P157" s="253">
        <f t="shared" si="73"/>
        <v>-470</v>
      </c>
      <c r="Q157" s="254">
        <f t="shared" si="73"/>
        <v>-470</v>
      </c>
      <c r="R157" s="254">
        <f t="shared" si="73"/>
        <v>-470</v>
      </c>
      <c r="S157" s="254">
        <f t="shared" si="73"/>
        <v>-470</v>
      </c>
      <c r="T157" s="254">
        <f t="shared" si="73"/>
        <v>-470</v>
      </c>
      <c r="U157" s="254">
        <f t="shared" si="73"/>
        <v>-470</v>
      </c>
      <c r="V157" s="254">
        <f t="shared" si="73"/>
        <v>-470</v>
      </c>
      <c r="W157" s="254">
        <f t="shared" si="73"/>
        <v>-470</v>
      </c>
      <c r="X157" s="254">
        <f t="shared" si="73"/>
        <v>-470</v>
      </c>
      <c r="Y157" s="254">
        <f t="shared" si="73"/>
        <v>-470</v>
      </c>
      <c r="Z157" s="254">
        <f t="shared" si="73"/>
        <v>-470</v>
      </c>
      <c r="AA157" s="254">
        <f t="shared" si="73"/>
        <v>-470</v>
      </c>
      <c r="AB157" s="253">
        <f t="shared" si="73"/>
        <v>-470</v>
      </c>
      <c r="AC157" s="254">
        <f t="shared" si="73"/>
        <v>-470</v>
      </c>
      <c r="AD157" s="254">
        <f t="shared" si="73"/>
        <v>-470</v>
      </c>
      <c r="AE157" s="254">
        <f t="shared" si="73"/>
        <v>-470</v>
      </c>
      <c r="AF157" s="254">
        <f t="shared" si="73"/>
        <v>-470</v>
      </c>
      <c r="AG157" s="254">
        <f t="shared" si="73"/>
        <v>-470</v>
      </c>
      <c r="AH157" s="254">
        <f t="shared" si="73"/>
        <v>-470</v>
      </c>
      <c r="AI157" s="254">
        <f t="shared" si="73"/>
        <v>-470</v>
      </c>
      <c r="AJ157" s="254">
        <f t="shared" si="73"/>
        <v>-470</v>
      </c>
      <c r="AK157" s="254">
        <f t="shared" si="73"/>
        <v>-470</v>
      </c>
      <c r="AL157" s="254">
        <f t="shared" si="73"/>
        <v>-470</v>
      </c>
      <c r="AM157" s="254">
        <f t="shared" si="73"/>
        <v>-470</v>
      </c>
    </row>
    <row r="158" spans="1:39" outlineLevel="1" x14ac:dyDescent="0.25">
      <c r="A158" s="295"/>
      <c r="B158" s="251" t="str">
        <v>NSvarme</v>
      </c>
      <c r="C158" s="252" t="s">
        <v>256</v>
      </c>
      <c r="D158" s="253">
        <f t="shared" ref="D158:AM158" si="74">$Q32</f>
        <v>-189</v>
      </c>
      <c r="E158" s="254">
        <f t="shared" si="74"/>
        <v>-189</v>
      </c>
      <c r="F158" s="254">
        <f t="shared" si="74"/>
        <v>-189</v>
      </c>
      <c r="G158" s="254">
        <f t="shared" si="74"/>
        <v>-189</v>
      </c>
      <c r="H158" s="254">
        <f t="shared" si="74"/>
        <v>-189</v>
      </c>
      <c r="I158" s="254">
        <f t="shared" si="74"/>
        <v>-189</v>
      </c>
      <c r="J158" s="254">
        <f t="shared" si="74"/>
        <v>-189</v>
      </c>
      <c r="K158" s="254">
        <f t="shared" si="74"/>
        <v>-189</v>
      </c>
      <c r="L158" s="254">
        <f t="shared" si="74"/>
        <v>-189</v>
      </c>
      <c r="M158" s="254">
        <f t="shared" si="74"/>
        <v>-189</v>
      </c>
      <c r="N158" s="254">
        <f t="shared" si="74"/>
        <v>-189</v>
      </c>
      <c r="O158" s="254">
        <f t="shared" si="74"/>
        <v>-189</v>
      </c>
      <c r="P158" s="253">
        <f t="shared" si="74"/>
        <v>-189</v>
      </c>
      <c r="Q158" s="254">
        <f t="shared" si="74"/>
        <v>-189</v>
      </c>
      <c r="R158" s="254">
        <f t="shared" si="74"/>
        <v>-189</v>
      </c>
      <c r="S158" s="254">
        <f t="shared" si="74"/>
        <v>-189</v>
      </c>
      <c r="T158" s="254">
        <f t="shared" si="74"/>
        <v>-189</v>
      </c>
      <c r="U158" s="254">
        <f t="shared" si="74"/>
        <v>-189</v>
      </c>
      <c r="V158" s="254">
        <f t="shared" si="74"/>
        <v>-189</v>
      </c>
      <c r="W158" s="254">
        <f t="shared" si="74"/>
        <v>-189</v>
      </c>
      <c r="X158" s="254">
        <f t="shared" si="74"/>
        <v>-189</v>
      </c>
      <c r="Y158" s="254">
        <f t="shared" si="74"/>
        <v>-189</v>
      </c>
      <c r="Z158" s="254">
        <f t="shared" si="74"/>
        <v>-189</v>
      </c>
      <c r="AA158" s="254">
        <f t="shared" si="74"/>
        <v>-189</v>
      </c>
      <c r="AB158" s="253">
        <f t="shared" si="74"/>
        <v>-189</v>
      </c>
      <c r="AC158" s="254">
        <f t="shared" si="74"/>
        <v>-189</v>
      </c>
      <c r="AD158" s="254">
        <f t="shared" si="74"/>
        <v>-189</v>
      </c>
      <c r="AE158" s="254">
        <f t="shared" si="74"/>
        <v>-189</v>
      </c>
      <c r="AF158" s="254">
        <f t="shared" si="74"/>
        <v>-189</v>
      </c>
      <c r="AG158" s="254">
        <f t="shared" si="74"/>
        <v>-189</v>
      </c>
      <c r="AH158" s="254">
        <f t="shared" si="74"/>
        <v>-189</v>
      </c>
      <c r="AI158" s="254">
        <f t="shared" si="74"/>
        <v>-189</v>
      </c>
      <c r="AJ158" s="254">
        <f t="shared" si="74"/>
        <v>-189</v>
      </c>
      <c r="AK158" s="254">
        <f t="shared" si="74"/>
        <v>-189</v>
      </c>
      <c r="AL158" s="254">
        <f t="shared" si="74"/>
        <v>-189</v>
      </c>
      <c r="AM158" s="254">
        <f t="shared" si="74"/>
        <v>-189</v>
      </c>
    </row>
    <row r="159" spans="1:39" outlineLevel="1" x14ac:dyDescent="0.25">
      <c r="A159" s="295"/>
      <c r="B159" s="251" t="str">
        <v>PeakFuel</v>
      </c>
      <c r="C159" s="252" t="s">
        <v>256</v>
      </c>
      <c r="D159" s="253">
        <f t="shared" ref="D159:AM159" si="75">$Q33</f>
        <v>-5000</v>
      </c>
      <c r="E159" s="254">
        <f t="shared" si="75"/>
        <v>-5000</v>
      </c>
      <c r="F159" s="254">
        <f t="shared" si="75"/>
        <v>-5000</v>
      </c>
      <c r="G159" s="254">
        <f t="shared" si="75"/>
        <v>-5000</v>
      </c>
      <c r="H159" s="254">
        <f t="shared" si="75"/>
        <v>-5000</v>
      </c>
      <c r="I159" s="254">
        <f t="shared" si="75"/>
        <v>-5000</v>
      </c>
      <c r="J159" s="254">
        <f t="shared" si="75"/>
        <v>-5000</v>
      </c>
      <c r="K159" s="254">
        <f t="shared" si="75"/>
        <v>-5000</v>
      </c>
      <c r="L159" s="254">
        <f t="shared" si="75"/>
        <v>-5000</v>
      </c>
      <c r="M159" s="254">
        <f t="shared" si="75"/>
        <v>-5000</v>
      </c>
      <c r="N159" s="254">
        <f t="shared" si="75"/>
        <v>-5000</v>
      </c>
      <c r="O159" s="254">
        <f t="shared" si="75"/>
        <v>-5000</v>
      </c>
      <c r="P159" s="253">
        <f t="shared" si="75"/>
        <v>-5000</v>
      </c>
      <c r="Q159" s="254">
        <f t="shared" si="75"/>
        <v>-5000</v>
      </c>
      <c r="R159" s="254">
        <f t="shared" si="75"/>
        <v>-5000</v>
      </c>
      <c r="S159" s="254">
        <f t="shared" si="75"/>
        <v>-5000</v>
      </c>
      <c r="T159" s="254">
        <f t="shared" si="75"/>
        <v>-5000</v>
      </c>
      <c r="U159" s="254">
        <f t="shared" si="75"/>
        <v>-5000</v>
      </c>
      <c r="V159" s="254">
        <f t="shared" si="75"/>
        <v>-5000</v>
      </c>
      <c r="W159" s="254">
        <f t="shared" si="75"/>
        <v>-5000</v>
      </c>
      <c r="X159" s="254">
        <f t="shared" si="75"/>
        <v>-5000</v>
      </c>
      <c r="Y159" s="254">
        <f t="shared" si="75"/>
        <v>-5000</v>
      </c>
      <c r="Z159" s="254">
        <f t="shared" si="75"/>
        <v>-5000</v>
      </c>
      <c r="AA159" s="254">
        <f t="shared" si="75"/>
        <v>-5000</v>
      </c>
      <c r="AB159" s="253">
        <f t="shared" si="75"/>
        <v>-5000</v>
      </c>
      <c r="AC159" s="254">
        <f t="shared" si="75"/>
        <v>-5000</v>
      </c>
      <c r="AD159" s="254">
        <f t="shared" si="75"/>
        <v>-5000</v>
      </c>
      <c r="AE159" s="254">
        <f t="shared" si="75"/>
        <v>-5000</v>
      </c>
      <c r="AF159" s="254">
        <f t="shared" si="75"/>
        <v>-5000</v>
      </c>
      <c r="AG159" s="254">
        <f t="shared" si="75"/>
        <v>-5000</v>
      </c>
      <c r="AH159" s="254">
        <f t="shared" si="75"/>
        <v>-5000</v>
      </c>
      <c r="AI159" s="254">
        <f t="shared" si="75"/>
        <v>-5000</v>
      </c>
      <c r="AJ159" s="254">
        <f t="shared" si="75"/>
        <v>-5000</v>
      </c>
      <c r="AK159" s="254">
        <f t="shared" si="75"/>
        <v>-5000</v>
      </c>
      <c r="AL159" s="254">
        <f t="shared" si="75"/>
        <v>-5000</v>
      </c>
      <c r="AM159" s="254">
        <f t="shared" si="75"/>
        <v>-5000</v>
      </c>
    </row>
    <row r="160" spans="1:39" s="40" customFormat="1" ht="15.75" x14ac:dyDescent="0.25">
      <c r="A160" s="37" t="s">
        <v>258</v>
      </c>
      <c r="B160" s="36"/>
      <c r="C160" s="36"/>
      <c r="D160" s="38"/>
      <c r="E160" s="39"/>
      <c r="F160" s="39"/>
      <c r="G160" s="39"/>
      <c r="H160" s="39"/>
      <c r="I160" s="39"/>
      <c r="J160" s="39"/>
      <c r="K160" s="39"/>
      <c r="L160" s="39"/>
      <c r="M160" s="39"/>
      <c r="N160" s="39"/>
      <c r="O160" s="39"/>
      <c r="P160" s="38"/>
      <c r="Q160" s="39"/>
      <c r="R160" s="39"/>
      <c r="S160" s="39"/>
      <c r="T160" s="39"/>
      <c r="U160" s="39"/>
      <c r="V160" s="39"/>
      <c r="W160" s="39"/>
      <c r="X160" s="39"/>
      <c r="Y160" s="39"/>
      <c r="Z160" s="39"/>
      <c r="AA160" s="39"/>
      <c r="AB160" s="38"/>
      <c r="AC160" s="39"/>
      <c r="AD160" s="39"/>
      <c r="AE160" s="39"/>
      <c r="AF160" s="39"/>
      <c r="AG160" s="39"/>
      <c r="AH160" s="39"/>
      <c r="AI160" s="39"/>
      <c r="AJ160" s="39"/>
      <c r="AK160" s="39"/>
      <c r="AL160" s="39"/>
      <c r="AM160" s="39"/>
    </row>
    <row r="161" spans="2:39" s="256" customFormat="1" outlineLevel="1" x14ac:dyDescent="0.25">
      <c r="B161" s="256" t="str">
        <f t="shared" ref="B161:B183" si="76">B131</f>
        <v>DepoSort</v>
      </c>
      <c r="C161" s="257" t="s">
        <v>259</v>
      </c>
      <c r="D161" s="258">
        <f t="shared" ref="D161:AM161" si="77">$T5</f>
        <v>37</v>
      </c>
      <c r="E161" s="259">
        <f t="shared" si="77"/>
        <v>37</v>
      </c>
      <c r="F161" s="259">
        <f t="shared" si="77"/>
        <v>37</v>
      </c>
      <c r="G161" s="259">
        <f t="shared" si="77"/>
        <v>37</v>
      </c>
      <c r="H161" s="259">
        <f t="shared" si="77"/>
        <v>37</v>
      </c>
      <c r="I161" s="259">
        <f t="shared" si="77"/>
        <v>37</v>
      </c>
      <c r="J161" s="259">
        <f t="shared" si="77"/>
        <v>37</v>
      </c>
      <c r="K161" s="259">
        <f t="shared" si="77"/>
        <v>37</v>
      </c>
      <c r="L161" s="259">
        <f t="shared" si="77"/>
        <v>37</v>
      </c>
      <c r="M161" s="259">
        <f t="shared" si="77"/>
        <v>37</v>
      </c>
      <c r="N161" s="259">
        <f t="shared" si="77"/>
        <v>37</v>
      </c>
      <c r="O161" s="259">
        <f t="shared" si="77"/>
        <v>37</v>
      </c>
      <c r="P161" s="258">
        <f t="shared" si="77"/>
        <v>37</v>
      </c>
      <c r="Q161" s="259">
        <f t="shared" si="77"/>
        <v>37</v>
      </c>
      <c r="R161" s="259">
        <f t="shared" si="77"/>
        <v>37</v>
      </c>
      <c r="S161" s="259">
        <f t="shared" si="77"/>
        <v>37</v>
      </c>
      <c r="T161" s="259">
        <f t="shared" si="77"/>
        <v>37</v>
      </c>
      <c r="U161" s="259">
        <f t="shared" si="77"/>
        <v>37</v>
      </c>
      <c r="V161" s="259">
        <f t="shared" si="77"/>
        <v>37</v>
      </c>
      <c r="W161" s="259">
        <f t="shared" si="77"/>
        <v>37</v>
      </c>
      <c r="X161" s="259">
        <f t="shared" si="77"/>
        <v>37</v>
      </c>
      <c r="Y161" s="259">
        <f t="shared" si="77"/>
        <v>37</v>
      </c>
      <c r="Z161" s="259">
        <f t="shared" si="77"/>
        <v>37</v>
      </c>
      <c r="AA161" s="259">
        <f t="shared" si="77"/>
        <v>37</v>
      </c>
      <c r="AB161" s="258">
        <f t="shared" si="77"/>
        <v>37</v>
      </c>
      <c r="AC161" s="259">
        <f t="shared" si="77"/>
        <v>37</v>
      </c>
      <c r="AD161" s="259">
        <f t="shared" si="77"/>
        <v>37</v>
      </c>
      <c r="AE161" s="259">
        <f t="shared" si="77"/>
        <v>37</v>
      </c>
      <c r="AF161" s="259">
        <f t="shared" si="77"/>
        <v>37</v>
      </c>
      <c r="AG161" s="259">
        <f t="shared" si="77"/>
        <v>37</v>
      </c>
      <c r="AH161" s="259">
        <f t="shared" si="77"/>
        <v>37</v>
      </c>
      <c r="AI161" s="259">
        <f t="shared" si="77"/>
        <v>37</v>
      </c>
      <c r="AJ161" s="259">
        <f t="shared" si="77"/>
        <v>37</v>
      </c>
      <c r="AK161" s="259">
        <f t="shared" si="77"/>
        <v>37</v>
      </c>
      <c r="AL161" s="259">
        <f t="shared" si="77"/>
        <v>37</v>
      </c>
      <c r="AM161" s="259">
        <f t="shared" si="77"/>
        <v>37</v>
      </c>
    </row>
    <row r="162" spans="2:39" s="256" customFormat="1" outlineLevel="1" x14ac:dyDescent="0.25">
      <c r="B162" s="256" t="str">
        <f t="shared" si="76"/>
        <v>DepoSmaat</v>
      </c>
      <c r="C162" s="257" t="s">
        <v>259</v>
      </c>
      <c r="D162" s="258">
        <f t="shared" ref="D162:AM162" si="78">$T6</f>
        <v>37</v>
      </c>
      <c r="E162" s="259">
        <f t="shared" si="78"/>
        <v>37</v>
      </c>
      <c r="F162" s="259">
        <f t="shared" si="78"/>
        <v>37</v>
      </c>
      <c r="G162" s="259">
        <f t="shared" si="78"/>
        <v>37</v>
      </c>
      <c r="H162" s="259">
        <f t="shared" si="78"/>
        <v>37</v>
      </c>
      <c r="I162" s="259">
        <f t="shared" si="78"/>
        <v>37</v>
      </c>
      <c r="J162" s="259">
        <f t="shared" si="78"/>
        <v>37</v>
      </c>
      <c r="K162" s="259">
        <f t="shared" si="78"/>
        <v>37</v>
      </c>
      <c r="L162" s="259">
        <f t="shared" si="78"/>
        <v>37</v>
      </c>
      <c r="M162" s="259">
        <f t="shared" si="78"/>
        <v>37</v>
      </c>
      <c r="N162" s="259">
        <f t="shared" si="78"/>
        <v>37</v>
      </c>
      <c r="O162" s="259">
        <f t="shared" si="78"/>
        <v>37</v>
      </c>
      <c r="P162" s="258">
        <f t="shared" si="78"/>
        <v>37</v>
      </c>
      <c r="Q162" s="259">
        <f t="shared" si="78"/>
        <v>37</v>
      </c>
      <c r="R162" s="259">
        <f t="shared" si="78"/>
        <v>37</v>
      </c>
      <c r="S162" s="259">
        <f t="shared" si="78"/>
        <v>37</v>
      </c>
      <c r="T162" s="259">
        <f t="shared" si="78"/>
        <v>37</v>
      </c>
      <c r="U162" s="259">
        <f t="shared" si="78"/>
        <v>37</v>
      </c>
      <c r="V162" s="259">
        <f t="shared" si="78"/>
        <v>37</v>
      </c>
      <c r="W162" s="259">
        <f t="shared" si="78"/>
        <v>37</v>
      </c>
      <c r="X162" s="259">
        <f t="shared" si="78"/>
        <v>37</v>
      </c>
      <c r="Y162" s="259">
        <f t="shared" si="78"/>
        <v>37</v>
      </c>
      <c r="Z162" s="259">
        <f t="shared" si="78"/>
        <v>37</v>
      </c>
      <c r="AA162" s="259">
        <f t="shared" si="78"/>
        <v>37</v>
      </c>
      <c r="AB162" s="258">
        <f t="shared" si="78"/>
        <v>37</v>
      </c>
      <c r="AC162" s="259">
        <f t="shared" si="78"/>
        <v>37</v>
      </c>
      <c r="AD162" s="259">
        <f t="shared" si="78"/>
        <v>37</v>
      </c>
      <c r="AE162" s="259">
        <f t="shared" si="78"/>
        <v>37</v>
      </c>
      <c r="AF162" s="259">
        <f t="shared" si="78"/>
        <v>37</v>
      </c>
      <c r="AG162" s="259">
        <f t="shared" si="78"/>
        <v>37</v>
      </c>
      <c r="AH162" s="259">
        <f t="shared" si="78"/>
        <v>37</v>
      </c>
      <c r="AI162" s="259">
        <f t="shared" si="78"/>
        <v>37</v>
      </c>
      <c r="AJ162" s="259">
        <f t="shared" si="78"/>
        <v>37</v>
      </c>
      <c r="AK162" s="259">
        <f t="shared" si="78"/>
        <v>37</v>
      </c>
      <c r="AL162" s="259">
        <f t="shared" si="78"/>
        <v>37</v>
      </c>
      <c r="AM162" s="259">
        <f t="shared" si="78"/>
        <v>37</v>
      </c>
    </row>
    <row r="163" spans="2:39" s="256" customFormat="1" outlineLevel="1" x14ac:dyDescent="0.25">
      <c r="B163" s="256" t="str">
        <f t="shared" si="76"/>
        <v>DepoNedd</v>
      </c>
      <c r="C163" s="257" t="s">
        <v>259</v>
      </c>
      <c r="D163" s="258">
        <f t="shared" ref="D163:AM163" si="79">$T7</f>
        <v>37</v>
      </c>
      <c r="E163" s="259">
        <f t="shared" si="79"/>
        <v>37</v>
      </c>
      <c r="F163" s="259">
        <f t="shared" si="79"/>
        <v>37</v>
      </c>
      <c r="G163" s="259">
        <f t="shared" si="79"/>
        <v>37</v>
      </c>
      <c r="H163" s="259">
        <f t="shared" si="79"/>
        <v>37</v>
      </c>
      <c r="I163" s="259">
        <f t="shared" si="79"/>
        <v>37</v>
      </c>
      <c r="J163" s="259">
        <f t="shared" si="79"/>
        <v>37</v>
      </c>
      <c r="K163" s="259">
        <f t="shared" si="79"/>
        <v>37</v>
      </c>
      <c r="L163" s="259">
        <f t="shared" si="79"/>
        <v>37</v>
      </c>
      <c r="M163" s="259">
        <f t="shared" si="79"/>
        <v>37</v>
      </c>
      <c r="N163" s="259">
        <f t="shared" si="79"/>
        <v>37</v>
      </c>
      <c r="O163" s="259">
        <f t="shared" si="79"/>
        <v>37</v>
      </c>
      <c r="P163" s="258">
        <f t="shared" si="79"/>
        <v>37</v>
      </c>
      <c r="Q163" s="259">
        <f t="shared" si="79"/>
        <v>37</v>
      </c>
      <c r="R163" s="259">
        <f t="shared" si="79"/>
        <v>37</v>
      </c>
      <c r="S163" s="259">
        <f t="shared" si="79"/>
        <v>37</v>
      </c>
      <c r="T163" s="259">
        <f t="shared" si="79"/>
        <v>37</v>
      </c>
      <c r="U163" s="259">
        <f t="shared" si="79"/>
        <v>37</v>
      </c>
      <c r="V163" s="259">
        <f t="shared" si="79"/>
        <v>37</v>
      </c>
      <c r="W163" s="259">
        <f t="shared" si="79"/>
        <v>37</v>
      </c>
      <c r="X163" s="259">
        <f t="shared" si="79"/>
        <v>37</v>
      </c>
      <c r="Y163" s="259">
        <f t="shared" si="79"/>
        <v>37</v>
      </c>
      <c r="Z163" s="259">
        <f t="shared" si="79"/>
        <v>37</v>
      </c>
      <c r="AA163" s="259">
        <f t="shared" si="79"/>
        <v>37</v>
      </c>
      <c r="AB163" s="258">
        <f t="shared" si="79"/>
        <v>37</v>
      </c>
      <c r="AC163" s="259">
        <f t="shared" si="79"/>
        <v>37</v>
      </c>
      <c r="AD163" s="259">
        <f t="shared" si="79"/>
        <v>37</v>
      </c>
      <c r="AE163" s="259">
        <f t="shared" si="79"/>
        <v>37</v>
      </c>
      <c r="AF163" s="259">
        <f t="shared" si="79"/>
        <v>37</v>
      </c>
      <c r="AG163" s="259">
        <f t="shared" si="79"/>
        <v>37</v>
      </c>
      <c r="AH163" s="259">
        <f t="shared" si="79"/>
        <v>37</v>
      </c>
      <c r="AI163" s="259">
        <f t="shared" si="79"/>
        <v>37</v>
      </c>
      <c r="AJ163" s="259">
        <f t="shared" si="79"/>
        <v>37</v>
      </c>
      <c r="AK163" s="259">
        <f t="shared" si="79"/>
        <v>37</v>
      </c>
      <c r="AL163" s="259">
        <f t="shared" si="79"/>
        <v>37</v>
      </c>
      <c r="AM163" s="259">
        <f t="shared" si="79"/>
        <v>37</v>
      </c>
    </row>
    <row r="164" spans="2:39" s="256" customFormat="1" outlineLevel="1" x14ac:dyDescent="0.25">
      <c r="B164" s="256" t="str">
        <f t="shared" si="76"/>
        <v>Dagren</v>
      </c>
      <c r="C164" s="257" t="s">
        <v>259</v>
      </c>
      <c r="D164" s="258">
        <f t="shared" ref="D164:AM164" si="80">$T8</f>
        <v>37</v>
      </c>
      <c r="E164" s="259">
        <f t="shared" si="80"/>
        <v>37</v>
      </c>
      <c r="F164" s="259">
        <f t="shared" si="80"/>
        <v>37</v>
      </c>
      <c r="G164" s="259">
        <f t="shared" si="80"/>
        <v>37</v>
      </c>
      <c r="H164" s="259">
        <f t="shared" si="80"/>
        <v>37</v>
      </c>
      <c r="I164" s="259">
        <f t="shared" si="80"/>
        <v>37</v>
      </c>
      <c r="J164" s="259">
        <f t="shared" si="80"/>
        <v>37</v>
      </c>
      <c r="K164" s="259">
        <f t="shared" si="80"/>
        <v>37</v>
      </c>
      <c r="L164" s="259">
        <f t="shared" si="80"/>
        <v>37</v>
      </c>
      <c r="M164" s="259">
        <f t="shared" si="80"/>
        <v>37</v>
      </c>
      <c r="N164" s="259">
        <f t="shared" si="80"/>
        <v>37</v>
      </c>
      <c r="O164" s="259">
        <f t="shared" si="80"/>
        <v>37</v>
      </c>
      <c r="P164" s="258">
        <f t="shared" si="80"/>
        <v>37</v>
      </c>
      <c r="Q164" s="259">
        <f t="shared" si="80"/>
        <v>37</v>
      </c>
      <c r="R164" s="259">
        <f t="shared" si="80"/>
        <v>37</v>
      </c>
      <c r="S164" s="259">
        <f t="shared" si="80"/>
        <v>37</v>
      </c>
      <c r="T164" s="259">
        <f t="shared" si="80"/>
        <v>37</v>
      </c>
      <c r="U164" s="259">
        <f t="shared" si="80"/>
        <v>37</v>
      </c>
      <c r="V164" s="259">
        <f t="shared" si="80"/>
        <v>37</v>
      </c>
      <c r="W164" s="259">
        <f t="shared" si="80"/>
        <v>37</v>
      </c>
      <c r="X164" s="259">
        <f t="shared" si="80"/>
        <v>37</v>
      </c>
      <c r="Y164" s="259">
        <f t="shared" si="80"/>
        <v>37</v>
      </c>
      <c r="Z164" s="259">
        <f t="shared" si="80"/>
        <v>37</v>
      </c>
      <c r="AA164" s="259">
        <f t="shared" si="80"/>
        <v>37</v>
      </c>
      <c r="AB164" s="258">
        <f t="shared" si="80"/>
        <v>37</v>
      </c>
      <c r="AC164" s="259">
        <f t="shared" si="80"/>
        <v>37</v>
      </c>
      <c r="AD164" s="259">
        <f t="shared" si="80"/>
        <v>37</v>
      </c>
      <c r="AE164" s="259">
        <f t="shared" si="80"/>
        <v>37</v>
      </c>
      <c r="AF164" s="259">
        <f t="shared" si="80"/>
        <v>37</v>
      </c>
      <c r="AG164" s="259">
        <f t="shared" si="80"/>
        <v>37</v>
      </c>
      <c r="AH164" s="259">
        <f t="shared" si="80"/>
        <v>37</v>
      </c>
      <c r="AI164" s="259">
        <f t="shared" si="80"/>
        <v>37</v>
      </c>
      <c r="AJ164" s="259">
        <f t="shared" si="80"/>
        <v>37</v>
      </c>
      <c r="AK164" s="259">
        <f t="shared" si="80"/>
        <v>37</v>
      </c>
      <c r="AL164" s="259">
        <f t="shared" si="80"/>
        <v>37</v>
      </c>
      <c r="AM164" s="259">
        <f t="shared" si="80"/>
        <v>37</v>
      </c>
    </row>
    <row r="165" spans="2:39" s="256" customFormat="1" outlineLevel="1" x14ac:dyDescent="0.25">
      <c r="B165" s="256" t="str">
        <f t="shared" si="76"/>
        <v>AndetBrand</v>
      </c>
      <c r="C165" s="257" t="s">
        <v>259</v>
      </c>
      <c r="D165" s="258">
        <f t="shared" ref="D165:AM165" si="81">$T9</f>
        <v>37</v>
      </c>
      <c r="E165" s="259">
        <f t="shared" si="81"/>
        <v>37</v>
      </c>
      <c r="F165" s="259">
        <f t="shared" si="81"/>
        <v>37</v>
      </c>
      <c r="G165" s="259">
        <f t="shared" si="81"/>
        <v>37</v>
      </c>
      <c r="H165" s="259">
        <f t="shared" si="81"/>
        <v>37</v>
      </c>
      <c r="I165" s="259">
        <f t="shared" si="81"/>
        <v>37</v>
      </c>
      <c r="J165" s="259">
        <f t="shared" si="81"/>
        <v>37</v>
      </c>
      <c r="K165" s="259">
        <f t="shared" si="81"/>
        <v>37</v>
      </c>
      <c r="L165" s="259">
        <f t="shared" si="81"/>
        <v>37</v>
      </c>
      <c r="M165" s="259">
        <f t="shared" si="81"/>
        <v>37</v>
      </c>
      <c r="N165" s="259">
        <f t="shared" si="81"/>
        <v>37</v>
      </c>
      <c r="O165" s="259">
        <f t="shared" si="81"/>
        <v>37</v>
      </c>
      <c r="P165" s="258">
        <f t="shared" si="81"/>
        <v>37</v>
      </c>
      <c r="Q165" s="259">
        <f t="shared" si="81"/>
        <v>37</v>
      </c>
      <c r="R165" s="259">
        <f t="shared" si="81"/>
        <v>37</v>
      </c>
      <c r="S165" s="259">
        <f t="shared" si="81"/>
        <v>37</v>
      </c>
      <c r="T165" s="259">
        <f t="shared" si="81"/>
        <v>37</v>
      </c>
      <c r="U165" s="259">
        <f t="shared" si="81"/>
        <v>37</v>
      </c>
      <c r="V165" s="259">
        <f t="shared" si="81"/>
        <v>37</v>
      </c>
      <c r="W165" s="259">
        <f t="shared" si="81"/>
        <v>37</v>
      </c>
      <c r="X165" s="259">
        <f t="shared" si="81"/>
        <v>37</v>
      </c>
      <c r="Y165" s="259">
        <f t="shared" si="81"/>
        <v>37</v>
      </c>
      <c r="Z165" s="259">
        <f t="shared" si="81"/>
        <v>37</v>
      </c>
      <c r="AA165" s="259">
        <f t="shared" si="81"/>
        <v>37</v>
      </c>
      <c r="AB165" s="258">
        <f t="shared" si="81"/>
        <v>37</v>
      </c>
      <c r="AC165" s="259">
        <f t="shared" si="81"/>
        <v>37</v>
      </c>
      <c r="AD165" s="259">
        <f t="shared" si="81"/>
        <v>37</v>
      </c>
      <c r="AE165" s="259">
        <f t="shared" si="81"/>
        <v>37</v>
      </c>
      <c r="AF165" s="259">
        <f t="shared" si="81"/>
        <v>37</v>
      </c>
      <c r="AG165" s="259">
        <f t="shared" si="81"/>
        <v>37</v>
      </c>
      <c r="AH165" s="259">
        <f t="shared" si="81"/>
        <v>37</v>
      </c>
      <c r="AI165" s="259">
        <f t="shared" si="81"/>
        <v>37</v>
      </c>
      <c r="AJ165" s="259">
        <f t="shared" si="81"/>
        <v>37</v>
      </c>
      <c r="AK165" s="259">
        <f t="shared" si="81"/>
        <v>37</v>
      </c>
      <c r="AL165" s="259">
        <f t="shared" si="81"/>
        <v>37</v>
      </c>
      <c r="AM165" s="259">
        <f t="shared" si="81"/>
        <v>37</v>
      </c>
    </row>
    <row r="166" spans="2:39" s="256" customFormat="1" outlineLevel="1" x14ac:dyDescent="0.25">
      <c r="B166" s="256" t="str">
        <f t="shared" si="76"/>
        <v>Trae</v>
      </c>
      <c r="C166" s="257" t="s">
        <v>259</v>
      </c>
      <c r="D166" s="258">
        <f t="shared" ref="D166:AM166" si="82">$T10</f>
        <v>37</v>
      </c>
      <c r="E166" s="259">
        <f t="shared" si="82"/>
        <v>37</v>
      </c>
      <c r="F166" s="259">
        <f t="shared" si="82"/>
        <v>37</v>
      </c>
      <c r="G166" s="259">
        <f t="shared" si="82"/>
        <v>37</v>
      </c>
      <c r="H166" s="259">
        <f t="shared" si="82"/>
        <v>37</v>
      </c>
      <c r="I166" s="259">
        <f t="shared" si="82"/>
        <v>37</v>
      </c>
      <c r="J166" s="259">
        <f t="shared" si="82"/>
        <v>37</v>
      </c>
      <c r="K166" s="259">
        <f t="shared" si="82"/>
        <v>37</v>
      </c>
      <c r="L166" s="259">
        <f t="shared" si="82"/>
        <v>37</v>
      </c>
      <c r="M166" s="259">
        <f t="shared" si="82"/>
        <v>37</v>
      </c>
      <c r="N166" s="259">
        <f t="shared" si="82"/>
        <v>37</v>
      </c>
      <c r="O166" s="259">
        <f t="shared" si="82"/>
        <v>37</v>
      </c>
      <c r="P166" s="258">
        <f t="shared" si="82"/>
        <v>37</v>
      </c>
      <c r="Q166" s="259">
        <f t="shared" si="82"/>
        <v>37</v>
      </c>
      <c r="R166" s="259">
        <f t="shared" si="82"/>
        <v>37</v>
      </c>
      <c r="S166" s="259">
        <f t="shared" si="82"/>
        <v>37</v>
      </c>
      <c r="T166" s="259">
        <f t="shared" si="82"/>
        <v>37</v>
      </c>
      <c r="U166" s="259">
        <f t="shared" si="82"/>
        <v>37</v>
      </c>
      <c r="V166" s="259">
        <f t="shared" si="82"/>
        <v>37</v>
      </c>
      <c r="W166" s="259">
        <f t="shared" si="82"/>
        <v>37</v>
      </c>
      <c r="X166" s="259">
        <f t="shared" si="82"/>
        <v>37</v>
      </c>
      <c r="Y166" s="259">
        <f t="shared" si="82"/>
        <v>37</v>
      </c>
      <c r="Z166" s="259">
        <f t="shared" si="82"/>
        <v>37</v>
      </c>
      <c r="AA166" s="259">
        <f t="shared" si="82"/>
        <v>37</v>
      </c>
      <c r="AB166" s="258">
        <f t="shared" si="82"/>
        <v>37</v>
      </c>
      <c r="AC166" s="259">
        <f t="shared" si="82"/>
        <v>37</v>
      </c>
      <c r="AD166" s="259">
        <f t="shared" si="82"/>
        <v>37</v>
      </c>
      <c r="AE166" s="259">
        <f t="shared" si="82"/>
        <v>37</v>
      </c>
      <c r="AF166" s="259">
        <f t="shared" si="82"/>
        <v>37</v>
      </c>
      <c r="AG166" s="259">
        <f t="shared" si="82"/>
        <v>37</v>
      </c>
      <c r="AH166" s="259">
        <f t="shared" si="82"/>
        <v>37</v>
      </c>
      <c r="AI166" s="259">
        <f t="shared" si="82"/>
        <v>37</v>
      </c>
      <c r="AJ166" s="259">
        <f t="shared" si="82"/>
        <v>37</v>
      </c>
      <c r="AK166" s="259">
        <f t="shared" si="82"/>
        <v>37</v>
      </c>
      <c r="AL166" s="259">
        <f t="shared" si="82"/>
        <v>37</v>
      </c>
      <c r="AM166" s="259">
        <f t="shared" si="82"/>
        <v>37</v>
      </c>
    </row>
    <row r="167" spans="2:39" s="256" customFormat="1" outlineLevel="1" x14ac:dyDescent="0.25">
      <c r="B167" s="256" t="str">
        <f t="shared" si="76"/>
        <v>DagrenRast</v>
      </c>
      <c r="C167" s="257" t="s">
        <v>259</v>
      </c>
      <c r="D167" s="258">
        <f t="shared" ref="D167:AM167" si="83">$T11</f>
        <v>37</v>
      </c>
      <c r="E167" s="259">
        <f t="shared" si="83"/>
        <v>37</v>
      </c>
      <c r="F167" s="259">
        <f t="shared" si="83"/>
        <v>37</v>
      </c>
      <c r="G167" s="259">
        <f t="shared" si="83"/>
        <v>37</v>
      </c>
      <c r="H167" s="259">
        <f t="shared" si="83"/>
        <v>37</v>
      </c>
      <c r="I167" s="259">
        <f t="shared" si="83"/>
        <v>37</v>
      </c>
      <c r="J167" s="259">
        <f t="shared" si="83"/>
        <v>37</v>
      </c>
      <c r="K167" s="259">
        <f t="shared" si="83"/>
        <v>37</v>
      </c>
      <c r="L167" s="259">
        <f t="shared" si="83"/>
        <v>37</v>
      </c>
      <c r="M167" s="259">
        <f t="shared" si="83"/>
        <v>37</v>
      </c>
      <c r="N167" s="259">
        <f t="shared" si="83"/>
        <v>37</v>
      </c>
      <c r="O167" s="259">
        <f t="shared" si="83"/>
        <v>37</v>
      </c>
      <c r="P167" s="258">
        <f t="shared" si="83"/>
        <v>37</v>
      </c>
      <c r="Q167" s="259">
        <f t="shared" si="83"/>
        <v>37</v>
      </c>
      <c r="R167" s="259">
        <f t="shared" si="83"/>
        <v>37</v>
      </c>
      <c r="S167" s="259">
        <f t="shared" si="83"/>
        <v>37</v>
      </c>
      <c r="T167" s="259">
        <f t="shared" si="83"/>
        <v>37</v>
      </c>
      <c r="U167" s="259">
        <f t="shared" si="83"/>
        <v>37</v>
      </c>
      <c r="V167" s="259">
        <f t="shared" si="83"/>
        <v>37</v>
      </c>
      <c r="W167" s="259">
        <f t="shared" si="83"/>
        <v>37</v>
      </c>
      <c r="X167" s="259">
        <f t="shared" si="83"/>
        <v>37</v>
      </c>
      <c r="Y167" s="259">
        <f t="shared" si="83"/>
        <v>37</v>
      </c>
      <c r="Z167" s="259">
        <f t="shared" si="83"/>
        <v>37</v>
      </c>
      <c r="AA167" s="259">
        <f t="shared" si="83"/>
        <v>37</v>
      </c>
      <c r="AB167" s="258">
        <f t="shared" si="83"/>
        <v>37</v>
      </c>
      <c r="AC167" s="259">
        <f t="shared" si="83"/>
        <v>37</v>
      </c>
      <c r="AD167" s="259">
        <f t="shared" si="83"/>
        <v>37</v>
      </c>
      <c r="AE167" s="259">
        <f t="shared" si="83"/>
        <v>37</v>
      </c>
      <c r="AF167" s="259">
        <f t="shared" si="83"/>
        <v>37</v>
      </c>
      <c r="AG167" s="259">
        <f t="shared" si="83"/>
        <v>37</v>
      </c>
      <c r="AH167" s="259">
        <f t="shared" si="83"/>
        <v>37</v>
      </c>
      <c r="AI167" s="259">
        <f t="shared" si="83"/>
        <v>37</v>
      </c>
      <c r="AJ167" s="259">
        <f t="shared" si="83"/>
        <v>37</v>
      </c>
      <c r="AK167" s="259">
        <f t="shared" si="83"/>
        <v>37</v>
      </c>
      <c r="AL167" s="259">
        <f t="shared" si="83"/>
        <v>37</v>
      </c>
      <c r="AM167" s="259">
        <f t="shared" si="83"/>
        <v>37</v>
      </c>
    </row>
    <row r="168" spans="2:39" s="256" customFormat="1" outlineLevel="1" x14ac:dyDescent="0.25">
      <c r="B168" s="256" t="str">
        <f t="shared" si="76"/>
        <v>DagrenInst</v>
      </c>
      <c r="C168" s="257" t="s">
        <v>259</v>
      </c>
      <c r="D168" s="258">
        <f t="shared" ref="D168:AM168" si="84">$T12</f>
        <v>37</v>
      </c>
      <c r="E168" s="259">
        <f t="shared" si="84"/>
        <v>37</v>
      </c>
      <c r="F168" s="259">
        <f t="shared" si="84"/>
        <v>37</v>
      </c>
      <c r="G168" s="259">
        <f t="shared" si="84"/>
        <v>37</v>
      </c>
      <c r="H168" s="259">
        <f t="shared" si="84"/>
        <v>37</v>
      </c>
      <c r="I168" s="259">
        <f t="shared" si="84"/>
        <v>37</v>
      </c>
      <c r="J168" s="259">
        <f t="shared" si="84"/>
        <v>37</v>
      </c>
      <c r="K168" s="259">
        <f t="shared" si="84"/>
        <v>37</v>
      </c>
      <c r="L168" s="259">
        <f t="shared" si="84"/>
        <v>37</v>
      </c>
      <c r="M168" s="259">
        <f t="shared" si="84"/>
        <v>37</v>
      </c>
      <c r="N168" s="259">
        <f t="shared" si="84"/>
        <v>37</v>
      </c>
      <c r="O168" s="259">
        <f t="shared" si="84"/>
        <v>37</v>
      </c>
      <c r="P168" s="258">
        <f t="shared" si="84"/>
        <v>37</v>
      </c>
      <c r="Q168" s="259">
        <f t="shared" si="84"/>
        <v>37</v>
      </c>
      <c r="R168" s="259">
        <f t="shared" si="84"/>
        <v>37</v>
      </c>
      <c r="S168" s="259">
        <f t="shared" si="84"/>
        <v>37</v>
      </c>
      <c r="T168" s="259">
        <f t="shared" si="84"/>
        <v>37</v>
      </c>
      <c r="U168" s="259">
        <f t="shared" si="84"/>
        <v>37</v>
      </c>
      <c r="V168" s="259">
        <f t="shared" si="84"/>
        <v>37</v>
      </c>
      <c r="W168" s="259">
        <f t="shared" si="84"/>
        <v>37</v>
      </c>
      <c r="X168" s="259">
        <f t="shared" si="84"/>
        <v>37</v>
      </c>
      <c r="Y168" s="259">
        <f t="shared" si="84"/>
        <v>37</v>
      </c>
      <c r="Z168" s="259">
        <f t="shared" si="84"/>
        <v>37</v>
      </c>
      <c r="AA168" s="259">
        <f t="shared" si="84"/>
        <v>37</v>
      </c>
      <c r="AB168" s="258">
        <f t="shared" si="84"/>
        <v>37</v>
      </c>
      <c r="AC168" s="259">
        <f t="shared" si="84"/>
        <v>37</v>
      </c>
      <c r="AD168" s="259">
        <f t="shared" si="84"/>
        <v>37</v>
      </c>
      <c r="AE168" s="259">
        <f t="shared" si="84"/>
        <v>37</v>
      </c>
      <c r="AF168" s="259">
        <f t="shared" si="84"/>
        <v>37</v>
      </c>
      <c r="AG168" s="259">
        <f t="shared" si="84"/>
        <v>37</v>
      </c>
      <c r="AH168" s="259">
        <f t="shared" si="84"/>
        <v>37</v>
      </c>
      <c r="AI168" s="259">
        <f t="shared" si="84"/>
        <v>37</v>
      </c>
      <c r="AJ168" s="259">
        <f t="shared" si="84"/>
        <v>37</v>
      </c>
      <c r="AK168" s="259">
        <f t="shared" si="84"/>
        <v>37</v>
      </c>
      <c r="AL168" s="259">
        <f t="shared" si="84"/>
        <v>37</v>
      </c>
      <c r="AM168" s="259">
        <f t="shared" si="84"/>
        <v>37</v>
      </c>
    </row>
    <row r="169" spans="2:39" s="256" customFormat="1" outlineLevel="1" x14ac:dyDescent="0.25">
      <c r="B169" s="256" t="str">
        <f t="shared" si="76"/>
        <v>DagrenHandel</v>
      </c>
      <c r="C169" s="257" t="s">
        <v>259</v>
      </c>
      <c r="D169" s="258">
        <f t="shared" ref="D169:AM169" si="85">$T13</f>
        <v>37</v>
      </c>
      <c r="E169" s="259">
        <f t="shared" si="85"/>
        <v>37</v>
      </c>
      <c r="F169" s="259">
        <f t="shared" si="85"/>
        <v>37</v>
      </c>
      <c r="G169" s="259">
        <f t="shared" si="85"/>
        <v>37</v>
      </c>
      <c r="H169" s="259">
        <f t="shared" si="85"/>
        <v>37</v>
      </c>
      <c r="I169" s="259">
        <f t="shared" si="85"/>
        <v>37</v>
      </c>
      <c r="J169" s="259">
        <f t="shared" si="85"/>
        <v>37</v>
      </c>
      <c r="K169" s="259">
        <f t="shared" si="85"/>
        <v>37</v>
      </c>
      <c r="L169" s="259">
        <f t="shared" si="85"/>
        <v>37</v>
      </c>
      <c r="M169" s="259">
        <f t="shared" si="85"/>
        <v>37</v>
      </c>
      <c r="N169" s="259">
        <f t="shared" si="85"/>
        <v>37</v>
      </c>
      <c r="O169" s="259">
        <f t="shared" si="85"/>
        <v>37</v>
      </c>
      <c r="P169" s="258">
        <f t="shared" si="85"/>
        <v>37</v>
      </c>
      <c r="Q169" s="259">
        <f t="shared" si="85"/>
        <v>37</v>
      </c>
      <c r="R169" s="259">
        <f t="shared" si="85"/>
        <v>37</v>
      </c>
      <c r="S169" s="259">
        <f t="shared" si="85"/>
        <v>37</v>
      </c>
      <c r="T169" s="259">
        <f t="shared" si="85"/>
        <v>37</v>
      </c>
      <c r="U169" s="259">
        <f t="shared" si="85"/>
        <v>37</v>
      </c>
      <c r="V169" s="259">
        <f t="shared" si="85"/>
        <v>37</v>
      </c>
      <c r="W169" s="259">
        <f t="shared" si="85"/>
        <v>37</v>
      </c>
      <c r="X169" s="259">
        <f t="shared" si="85"/>
        <v>37</v>
      </c>
      <c r="Y169" s="259">
        <f t="shared" si="85"/>
        <v>37</v>
      </c>
      <c r="Z169" s="259">
        <f t="shared" si="85"/>
        <v>37</v>
      </c>
      <c r="AA169" s="259">
        <f t="shared" si="85"/>
        <v>37</v>
      </c>
      <c r="AB169" s="258">
        <f t="shared" si="85"/>
        <v>37</v>
      </c>
      <c r="AC169" s="259">
        <f t="shared" si="85"/>
        <v>37</v>
      </c>
      <c r="AD169" s="259">
        <f t="shared" si="85"/>
        <v>37</v>
      </c>
      <c r="AE169" s="259">
        <f t="shared" si="85"/>
        <v>37</v>
      </c>
      <c r="AF169" s="259">
        <f t="shared" si="85"/>
        <v>37</v>
      </c>
      <c r="AG169" s="259">
        <f t="shared" si="85"/>
        <v>37</v>
      </c>
      <c r="AH169" s="259">
        <f t="shared" si="85"/>
        <v>37</v>
      </c>
      <c r="AI169" s="259">
        <f t="shared" si="85"/>
        <v>37</v>
      </c>
      <c r="AJ169" s="259">
        <f t="shared" si="85"/>
        <v>37</v>
      </c>
      <c r="AK169" s="259">
        <f t="shared" si="85"/>
        <v>37</v>
      </c>
      <c r="AL169" s="259">
        <f t="shared" si="85"/>
        <v>37</v>
      </c>
      <c r="AM169" s="259">
        <f t="shared" si="85"/>
        <v>37</v>
      </c>
    </row>
    <row r="170" spans="2:39" s="256" customFormat="1" outlineLevel="1" x14ac:dyDescent="0.25">
      <c r="B170" s="256" t="str">
        <f t="shared" si="76"/>
        <v>DagrenRestau</v>
      </c>
      <c r="C170" s="257" t="s">
        <v>259</v>
      </c>
      <c r="D170" s="258">
        <f t="shared" ref="D170:AM170" si="86">$T14</f>
        <v>37</v>
      </c>
      <c r="E170" s="259">
        <f t="shared" si="86"/>
        <v>37</v>
      </c>
      <c r="F170" s="259">
        <f t="shared" si="86"/>
        <v>37</v>
      </c>
      <c r="G170" s="259">
        <f t="shared" si="86"/>
        <v>37</v>
      </c>
      <c r="H170" s="259">
        <f t="shared" si="86"/>
        <v>37</v>
      </c>
      <c r="I170" s="259">
        <f t="shared" si="86"/>
        <v>37</v>
      </c>
      <c r="J170" s="259">
        <f t="shared" si="86"/>
        <v>37</v>
      </c>
      <c r="K170" s="259">
        <f t="shared" si="86"/>
        <v>37</v>
      </c>
      <c r="L170" s="259">
        <f t="shared" si="86"/>
        <v>37</v>
      </c>
      <c r="M170" s="259">
        <f t="shared" si="86"/>
        <v>37</v>
      </c>
      <c r="N170" s="259">
        <f t="shared" si="86"/>
        <v>37</v>
      </c>
      <c r="O170" s="259">
        <f t="shared" si="86"/>
        <v>37</v>
      </c>
      <c r="P170" s="258">
        <f t="shared" si="86"/>
        <v>37</v>
      </c>
      <c r="Q170" s="259">
        <f t="shared" si="86"/>
        <v>37</v>
      </c>
      <c r="R170" s="259">
        <f t="shared" si="86"/>
        <v>37</v>
      </c>
      <c r="S170" s="259">
        <f t="shared" si="86"/>
        <v>37</v>
      </c>
      <c r="T170" s="259">
        <f t="shared" si="86"/>
        <v>37</v>
      </c>
      <c r="U170" s="259">
        <f t="shared" si="86"/>
        <v>37</v>
      </c>
      <c r="V170" s="259">
        <f t="shared" si="86"/>
        <v>37</v>
      </c>
      <c r="W170" s="259">
        <f t="shared" si="86"/>
        <v>37</v>
      </c>
      <c r="X170" s="259">
        <f t="shared" si="86"/>
        <v>37</v>
      </c>
      <c r="Y170" s="259">
        <f t="shared" si="86"/>
        <v>37</v>
      </c>
      <c r="Z170" s="259">
        <f t="shared" si="86"/>
        <v>37</v>
      </c>
      <c r="AA170" s="259">
        <f t="shared" si="86"/>
        <v>37</v>
      </c>
      <c r="AB170" s="258">
        <f t="shared" si="86"/>
        <v>37</v>
      </c>
      <c r="AC170" s="259">
        <f t="shared" si="86"/>
        <v>37</v>
      </c>
      <c r="AD170" s="259">
        <f t="shared" si="86"/>
        <v>37</v>
      </c>
      <c r="AE170" s="259">
        <f t="shared" si="86"/>
        <v>37</v>
      </c>
      <c r="AF170" s="259">
        <f t="shared" si="86"/>
        <v>37</v>
      </c>
      <c r="AG170" s="259">
        <f t="shared" si="86"/>
        <v>37</v>
      </c>
      <c r="AH170" s="259">
        <f t="shared" si="86"/>
        <v>37</v>
      </c>
      <c r="AI170" s="259">
        <f t="shared" si="86"/>
        <v>37</v>
      </c>
      <c r="AJ170" s="259">
        <f t="shared" si="86"/>
        <v>37</v>
      </c>
      <c r="AK170" s="259">
        <f t="shared" si="86"/>
        <v>37</v>
      </c>
      <c r="AL170" s="259">
        <f t="shared" si="86"/>
        <v>37</v>
      </c>
      <c r="AM170" s="259">
        <f t="shared" si="86"/>
        <v>37</v>
      </c>
    </row>
    <row r="171" spans="2:39" s="256" customFormat="1" outlineLevel="1" x14ac:dyDescent="0.25">
      <c r="B171" s="256" t="str">
        <f t="shared" si="76"/>
        <v>Erhverv</v>
      </c>
      <c r="C171" s="257" t="s">
        <v>259</v>
      </c>
      <c r="D171" s="258">
        <f t="shared" ref="D171:AM171" si="87">$T15</f>
        <v>37</v>
      </c>
      <c r="E171" s="259">
        <f t="shared" si="87"/>
        <v>37</v>
      </c>
      <c r="F171" s="259">
        <f t="shared" si="87"/>
        <v>37</v>
      </c>
      <c r="G171" s="259">
        <f t="shared" si="87"/>
        <v>37</v>
      </c>
      <c r="H171" s="259">
        <f t="shared" si="87"/>
        <v>37</v>
      </c>
      <c r="I171" s="259">
        <f t="shared" si="87"/>
        <v>37</v>
      </c>
      <c r="J171" s="259">
        <f t="shared" si="87"/>
        <v>37</v>
      </c>
      <c r="K171" s="259">
        <f t="shared" si="87"/>
        <v>37</v>
      </c>
      <c r="L171" s="259">
        <f t="shared" si="87"/>
        <v>37</v>
      </c>
      <c r="M171" s="259">
        <f t="shared" si="87"/>
        <v>37</v>
      </c>
      <c r="N171" s="259">
        <f t="shared" si="87"/>
        <v>37</v>
      </c>
      <c r="O171" s="259">
        <f t="shared" si="87"/>
        <v>37</v>
      </c>
      <c r="P171" s="258">
        <f t="shared" si="87"/>
        <v>37</v>
      </c>
      <c r="Q171" s="259">
        <f t="shared" si="87"/>
        <v>37</v>
      </c>
      <c r="R171" s="259">
        <f t="shared" si="87"/>
        <v>37</v>
      </c>
      <c r="S171" s="259">
        <f t="shared" si="87"/>
        <v>37</v>
      </c>
      <c r="T171" s="259">
        <f t="shared" si="87"/>
        <v>37</v>
      </c>
      <c r="U171" s="259">
        <f t="shared" si="87"/>
        <v>37</v>
      </c>
      <c r="V171" s="259">
        <f t="shared" si="87"/>
        <v>37</v>
      </c>
      <c r="W171" s="259">
        <f t="shared" si="87"/>
        <v>37</v>
      </c>
      <c r="X171" s="259">
        <f t="shared" si="87"/>
        <v>37</v>
      </c>
      <c r="Y171" s="259">
        <f t="shared" si="87"/>
        <v>37</v>
      </c>
      <c r="Z171" s="259">
        <f t="shared" si="87"/>
        <v>37</v>
      </c>
      <c r="AA171" s="259">
        <f t="shared" si="87"/>
        <v>37</v>
      </c>
      <c r="AB171" s="258">
        <f t="shared" si="87"/>
        <v>37</v>
      </c>
      <c r="AC171" s="259">
        <f t="shared" si="87"/>
        <v>37</v>
      </c>
      <c r="AD171" s="259">
        <f t="shared" si="87"/>
        <v>37</v>
      </c>
      <c r="AE171" s="259">
        <f t="shared" si="87"/>
        <v>37</v>
      </c>
      <c r="AF171" s="259">
        <f t="shared" si="87"/>
        <v>37</v>
      </c>
      <c r="AG171" s="259">
        <f t="shared" si="87"/>
        <v>37</v>
      </c>
      <c r="AH171" s="259">
        <f t="shared" si="87"/>
        <v>37</v>
      </c>
      <c r="AI171" s="259">
        <f t="shared" si="87"/>
        <v>37</v>
      </c>
      <c r="AJ171" s="259">
        <f t="shared" si="87"/>
        <v>37</v>
      </c>
      <c r="AK171" s="259">
        <f t="shared" si="87"/>
        <v>37</v>
      </c>
      <c r="AL171" s="259">
        <f t="shared" si="87"/>
        <v>37</v>
      </c>
      <c r="AM171" s="259">
        <f t="shared" si="87"/>
        <v>37</v>
      </c>
    </row>
    <row r="172" spans="2:39" s="256" customFormat="1" outlineLevel="1" x14ac:dyDescent="0.25">
      <c r="B172" s="256" t="str">
        <f t="shared" si="76"/>
        <v>DagrenErhverv</v>
      </c>
      <c r="C172" s="257" t="s">
        <v>259</v>
      </c>
      <c r="D172" s="258">
        <f t="shared" ref="D172:AM172" si="88">$T16</f>
        <v>37</v>
      </c>
      <c r="E172" s="259">
        <f t="shared" si="88"/>
        <v>37</v>
      </c>
      <c r="F172" s="259">
        <f t="shared" si="88"/>
        <v>37</v>
      </c>
      <c r="G172" s="259">
        <f t="shared" si="88"/>
        <v>37</v>
      </c>
      <c r="H172" s="259">
        <f t="shared" si="88"/>
        <v>37</v>
      </c>
      <c r="I172" s="259">
        <f t="shared" si="88"/>
        <v>37</v>
      </c>
      <c r="J172" s="259">
        <f t="shared" si="88"/>
        <v>37</v>
      </c>
      <c r="K172" s="259">
        <f t="shared" si="88"/>
        <v>37</v>
      </c>
      <c r="L172" s="259">
        <f t="shared" si="88"/>
        <v>37</v>
      </c>
      <c r="M172" s="259">
        <f t="shared" si="88"/>
        <v>37</v>
      </c>
      <c r="N172" s="259">
        <f t="shared" si="88"/>
        <v>37</v>
      </c>
      <c r="O172" s="259">
        <f t="shared" si="88"/>
        <v>37</v>
      </c>
      <c r="P172" s="258">
        <f t="shared" si="88"/>
        <v>37</v>
      </c>
      <c r="Q172" s="259">
        <f t="shared" si="88"/>
        <v>37</v>
      </c>
      <c r="R172" s="259">
        <f t="shared" si="88"/>
        <v>37</v>
      </c>
      <c r="S172" s="259">
        <f t="shared" si="88"/>
        <v>37</v>
      </c>
      <c r="T172" s="259">
        <f t="shared" si="88"/>
        <v>37</v>
      </c>
      <c r="U172" s="259">
        <f t="shared" si="88"/>
        <v>37</v>
      </c>
      <c r="V172" s="259">
        <f t="shared" si="88"/>
        <v>37</v>
      </c>
      <c r="W172" s="259">
        <f t="shared" si="88"/>
        <v>37</v>
      </c>
      <c r="X172" s="259">
        <f t="shared" si="88"/>
        <v>37</v>
      </c>
      <c r="Y172" s="259">
        <f t="shared" si="88"/>
        <v>37</v>
      </c>
      <c r="Z172" s="259">
        <f t="shared" si="88"/>
        <v>37</v>
      </c>
      <c r="AA172" s="259">
        <f t="shared" si="88"/>
        <v>37</v>
      </c>
      <c r="AB172" s="258">
        <f t="shared" si="88"/>
        <v>37</v>
      </c>
      <c r="AC172" s="259">
        <f t="shared" si="88"/>
        <v>37</v>
      </c>
      <c r="AD172" s="259">
        <f t="shared" si="88"/>
        <v>37</v>
      </c>
      <c r="AE172" s="259">
        <f t="shared" si="88"/>
        <v>37</v>
      </c>
      <c r="AF172" s="259">
        <f t="shared" si="88"/>
        <v>37</v>
      </c>
      <c r="AG172" s="259">
        <f t="shared" si="88"/>
        <v>37</v>
      </c>
      <c r="AH172" s="259">
        <f t="shared" si="88"/>
        <v>37</v>
      </c>
      <c r="AI172" s="259">
        <f t="shared" si="88"/>
        <v>37</v>
      </c>
      <c r="AJ172" s="259">
        <f t="shared" si="88"/>
        <v>37</v>
      </c>
      <c r="AK172" s="259">
        <f t="shared" si="88"/>
        <v>37</v>
      </c>
      <c r="AL172" s="259">
        <f t="shared" si="88"/>
        <v>37</v>
      </c>
      <c r="AM172" s="259">
        <f t="shared" si="88"/>
        <v>37</v>
      </c>
    </row>
    <row r="173" spans="2:39" s="256" customFormat="1" outlineLevel="1" x14ac:dyDescent="0.25">
      <c r="B173" s="256" t="str">
        <f t="shared" si="76"/>
        <v>HandelKontor</v>
      </c>
      <c r="C173" s="257" t="s">
        <v>259</v>
      </c>
      <c r="D173" s="258">
        <f t="shared" ref="D173:AM173" si="89">$T17</f>
        <v>37</v>
      </c>
      <c r="E173" s="259">
        <f t="shared" si="89"/>
        <v>37</v>
      </c>
      <c r="F173" s="259">
        <f t="shared" si="89"/>
        <v>37</v>
      </c>
      <c r="G173" s="259">
        <f t="shared" si="89"/>
        <v>37</v>
      </c>
      <c r="H173" s="259">
        <f t="shared" si="89"/>
        <v>37</v>
      </c>
      <c r="I173" s="259">
        <f t="shared" si="89"/>
        <v>37</v>
      </c>
      <c r="J173" s="259">
        <f t="shared" si="89"/>
        <v>37</v>
      </c>
      <c r="K173" s="259">
        <f t="shared" si="89"/>
        <v>37</v>
      </c>
      <c r="L173" s="259">
        <f t="shared" si="89"/>
        <v>37</v>
      </c>
      <c r="M173" s="259">
        <f t="shared" si="89"/>
        <v>37</v>
      </c>
      <c r="N173" s="259">
        <f t="shared" si="89"/>
        <v>37</v>
      </c>
      <c r="O173" s="259">
        <f t="shared" si="89"/>
        <v>37</v>
      </c>
      <c r="P173" s="258">
        <f t="shared" si="89"/>
        <v>37</v>
      </c>
      <c r="Q173" s="259">
        <f t="shared" si="89"/>
        <v>37</v>
      </c>
      <c r="R173" s="259">
        <f t="shared" si="89"/>
        <v>37</v>
      </c>
      <c r="S173" s="259">
        <f t="shared" si="89"/>
        <v>37</v>
      </c>
      <c r="T173" s="259">
        <f t="shared" si="89"/>
        <v>37</v>
      </c>
      <c r="U173" s="259">
        <f t="shared" si="89"/>
        <v>37</v>
      </c>
      <c r="V173" s="259">
        <f t="shared" si="89"/>
        <v>37</v>
      </c>
      <c r="W173" s="259">
        <f t="shared" si="89"/>
        <v>37</v>
      </c>
      <c r="X173" s="259">
        <f t="shared" si="89"/>
        <v>37</v>
      </c>
      <c r="Y173" s="259">
        <f t="shared" si="89"/>
        <v>37</v>
      </c>
      <c r="Z173" s="259">
        <f t="shared" si="89"/>
        <v>37</v>
      </c>
      <c r="AA173" s="259">
        <f t="shared" si="89"/>
        <v>37</v>
      </c>
      <c r="AB173" s="258">
        <f t="shared" si="89"/>
        <v>37</v>
      </c>
      <c r="AC173" s="259">
        <f t="shared" si="89"/>
        <v>37</v>
      </c>
      <c r="AD173" s="259">
        <f t="shared" si="89"/>
        <v>37</v>
      </c>
      <c r="AE173" s="259">
        <f t="shared" si="89"/>
        <v>37</v>
      </c>
      <c r="AF173" s="259">
        <f t="shared" si="89"/>
        <v>37</v>
      </c>
      <c r="AG173" s="259">
        <f t="shared" si="89"/>
        <v>37</v>
      </c>
      <c r="AH173" s="259">
        <f t="shared" si="89"/>
        <v>37</v>
      </c>
      <c r="AI173" s="259">
        <f t="shared" si="89"/>
        <v>37</v>
      </c>
      <c r="AJ173" s="259">
        <f t="shared" si="89"/>
        <v>37</v>
      </c>
      <c r="AK173" s="259">
        <f t="shared" si="89"/>
        <v>37</v>
      </c>
      <c r="AL173" s="259">
        <f t="shared" si="89"/>
        <v>37</v>
      </c>
      <c r="AM173" s="259">
        <f t="shared" si="89"/>
        <v>37</v>
      </c>
    </row>
    <row r="174" spans="2:39" s="256" customFormat="1" outlineLevel="1" x14ac:dyDescent="0.25">
      <c r="B174" s="256" t="str">
        <f t="shared" si="76"/>
        <v>Privat</v>
      </c>
      <c r="C174" s="257" t="s">
        <v>259</v>
      </c>
      <c r="D174" s="258">
        <f t="shared" ref="D174:AM174" si="90">$T18</f>
        <v>37</v>
      </c>
      <c r="E174" s="259">
        <f t="shared" si="90"/>
        <v>37</v>
      </c>
      <c r="F174" s="259">
        <f t="shared" si="90"/>
        <v>37</v>
      </c>
      <c r="G174" s="259">
        <f t="shared" si="90"/>
        <v>37</v>
      </c>
      <c r="H174" s="259">
        <f t="shared" si="90"/>
        <v>37</v>
      </c>
      <c r="I174" s="259">
        <f t="shared" si="90"/>
        <v>37</v>
      </c>
      <c r="J174" s="259">
        <f t="shared" si="90"/>
        <v>37</v>
      </c>
      <c r="K174" s="259">
        <f t="shared" si="90"/>
        <v>37</v>
      </c>
      <c r="L174" s="259">
        <f t="shared" si="90"/>
        <v>37</v>
      </c>
      <c r="M174" s="259">
        <f t="shared" si="90"/>
        <v>37</v>
      </c>
      <c r="N174" s="259">
        <f t="shared" si="90"/>
        <v>37</v>
      </c>
      <c r="O174" s="259">
        <f t="shared" si="90"/>
        <v>37</v>
      </c>
      <c r="P174" s="258">
        <f t="shared" si="90"/>
        <v>37</v>
      </c>
      <c r="Q174" s="259">
        <f t="shared" si="90"/>
        <v>37</v>
      </c>
      <c r="R174" s="259">
        <f t="shared" si="90"/>
        <v>37</v>
      </c>
      <c r="S174" s="259">
        <f t="shared" si="90"/>
        <v>37</v>
      </c>
      <c r="T174" s="259">
        <f t="shared" si="90"/>
        <v>37</v>
      </c>
      <c r="U174" s="259">
        <f t="shared" si="90"/>
        <v>37</v>
      </c>
      <c r="V174" s="259">
        <f t="shared" si="90"/>
        <v>37</v>
      </c>
      <c r="W174" s="259">
        <f t="shared" si="90"/>
        <v>37</v>
      </c>
      <c r="X174" s="259">
        <f t="shared" si="90"/>
        <v>37</v>
      </c>
      <c r="Y174" s="259">
        <f t="shared" si="90"/>
        <v>37</v>
      </c>
      <c r="Z174" s="259">
        <f t="shared" si="90"/>
        <v>37</v>
      </c>
      <c r="AA174" s="259">
        <f t="shared" si="90"/>
        <v>37</v>
      </c>
      <c r="AB174" s="258">
        <f t="shared" si="90"/>
        <v>37</v>
      </c>
      <c r="AC174" s="259">
        <f t="shared" si="90"/>
        <v>37</v>
      </c>
      <c r="AD174" s="259">
        <f t="shared" si="90"/>
        <v>37</v>
      </c>
      <c r="AE174" s="259">
        <f t="shared" si="90"/>
        <v>37</v>
      </c>
      <c r="AF174" s="259">
        <f t="shared" si="90"/>
        <v>37</v>
      </c>
      <c r="AG174" s="259">
        <f t="shared" si="90"/>
        <v>37</v>
      </c>
      <c r="AH174" s="259">
        <f t="shared" si="90"/>
        <v>37</v>
      </c>
      <c r="AI174" s="259">
        <f t="shared" si="90"/>
        <v>37</v>
      </c>
      <c r="AJ174" s="259">
        <f t="shared" si="90"/>
        <v>37</v>
      </c>
      <c r="AK174" s="259">
        <f t="shared" si="90"/>
        <v>37</v>
      </c>
      <c r="AL174" s="259">
        <f t="shared" si="90"/>
        <v>37</v>
      </c>
      <c r="AM174" s="259">
        <f t="shared" si="90"/>
        <v>37</v>
      </c>
    </row>
    <row r="175" spans="2:39" s="256" customFormat="1" outlineLevel="1" x14ac:dyDescent="0.25">
      <c r="B175" s="256" t="str">
        <f t="shared" si="76"/>
        <v>TyskRest</v>
      </c>
      <c r="C175" s="257" t="s">
        <v>259</v>
      </c>
      <c r="D175" s="258">
        <f t="shared" ref="D175:AM175" si="91">$T19</f>
        <v>37</v>
      </c>
      <c r="E175" s="259">
        <f t="shared" si="91"/>
        <v>37</v>
      </c>
      <c r="F175" s="259">
        <f t="shared" si="91"/>
        <v>37</v>
      </c>
      <c r="G175" s="259">
        <f t="shared" si="91"/>
        <v>37</v>
      </c>
      <c r="H175" s="259">
        <f t="shared" si="91"/>
        <v>37</v>
      </c>
      <c r="I175" s="259">
        <f t="shared" si="91"/>
        <v>37</v>
      </c>
      <c r="J175" s="259">
        <f t="shared" si="91"/>
        <v>37</v>
      </c>
      <c r="K175" s="259">
        <f t="shared" si="91"/>
        <v>37</v>
      </c>
      <c r="L175" s="259">
        <f t="shared" si="91"/>
        <v>37</v>
      </c>
      <c r="M175" s="259">
        <f t="shared" si="91"/>
        <v>37</v>
      </c>
      <c r="N175" s="259">
        <f t="shared" si="91"/>
        <v>37</v>
      </c>
      <c r="O175" s="259">
        <f t="shared" si="91"/>
        <v>37</v>
      </c>
      <c r="P175" s="258">
        <f t="shared" si="91"/>
        <v>37</v>
      </c>
      <c r="Q175" s="259">
        <f t="shared" si="91"/>
        <v>37</v>
      </c>
      <c r="R175" s="259">
        <f t="shared" si="91"/>
        <v>37</v>
      </c>
      <c r="S175" s="259">
        <f t="shared" si="91"/>
        <v>37</v>
      </c>
      <c r="T175" s="259">
        <f t="shared" si="91"/>
        <v>37</v>
      </c>
      <c r="U175" s="259">
        <f t="shared" si="91"/>
        <v>37</v>
      </c>
      <c r="V175" s="259">
        <f t="shared" si="91"/>
        <v>37</v>
      </c>
      <c r="W175" s="259">
        <f t="shared" si="91"/>
        <v>37</v>
      </c>
      <c r="X175" s="259">
        <f t="shared" si="91"/>
        <v>37</v>
      </c>
      <c r="Y175" s="259">
        <f t="shared" si="91"/>
        <v>37</v>
      </c>
      <c r="Z175" s="259">
        <f t="shared" si="91"/>
        <v>37</v>
      </c>
      <c r="AA175" s="259">
        <f t="shared" si="91"/>
        <v>37</v>
      </c>
      <c r="AB175" s="258">
        <f t="shared" si="91"/>
        <v>37</v>
      </c>
      <c r="AC175" s="259">
        <f t="shared" si="91"/>
        <v>37</v>
      </c>
      <c r="AD175" s="259">
        <f t="shared" si="91"/>
        <v>37</v>
      </c>
      <c r="AE175" s="259">
        <f t="shared" si="91"/>
        <v>37</v>
      </c>
      <c r="AF175" s="259">
        <f t="shared" si="91"/>
        <v>37</v>
      </c>
      <c r="AG175" s="259">
        <f t="shared" si="91"/>
        <v>37</v>
      </c>
      <c r="AH175" s="259">
        <f t="shared" si="91"/>
        <v>37</v>
      </c>
      <c r="AI175" s="259">
        <f t="shared" si="91"/>
        <v>37</v>
      </c>
      <c r="AJ175" s="259">
        <f t="shared" si="91"/>
        <v>37</v>
      </c>
      <c r="AK175" s="259">
        <f t="shared" si="91"/>
        <v>37</v>
      </c>
      <c r="AL175" s="259">
        <f t="shared" si="91"/>
        <v>37</v>
      </c>
      <c r="AM175" s="259">
        <f t="shared" si="91"/>
        <v>37</v>
      </c>
    </row>
    <row r="176" spans="2:39" s="256" customFormat="1" outlineLevel="1" x14ac:dyDescent="0.25">
      <c r="B176" s="256" t="str">
        <f t="shared" si="76"/>
        <v>PolskRest</v>
      </c>
      <c r="C176" s="257" t="s">
        <v>259</v>
      </c>
      <c r="D176" s="258">
        <f t="shared" ref="D176:AM176" si="92">$T20</f>
        <v>37</v>
      </c>
      <c r="E176" s="259">
        <f t="shared" si="92"/>
        <v>37</v>
      </c>
      <c r="F176" s="259">
        <f t="shared" si="92"/>
        <v>37</v>
      </c>
      <c r="G176" s="259">
        <f t="shared" si="92"/>
        <v>37</v>
      </c>
      <c r="H176" s="259">
        <f t="shared" si="92"/>
        <v>37</v>
      </c>
      <c r="I176" s="259">
        <f t="shared" si="92"/>
        <v>37</v>
      </c>
      <c r="J176" s="259">
        <f t="shared" si="92"/>
        <v>37</v>
      </c>
      <c r="K176" s="259">
        <f t="shared" si="92"/>
        <v>37</v>
      </c>
      <c r="L176" s="259">
        <f t="shared" si="92"/>
        <v>37</v>
      </c>
      <c r="M176" s="259">
        <f t="shared" si="92"/>
        <v>37</v>
      </c>
      <c r="N176" s="259">
        <f t="shared" si="92"/>
        <v>37</v>
      </c>
      <c r="O176" s="259">
        <f t="shared" si="92"/>
        <v>37</v>
      </c>
      <c r="P176" s="258">
        <f t="shared" si="92"/>
        <v>37</v>
      </c>
      <c r="Q176" s="259">
        <f t="shared" si="92"/>
        <v>37</v>
      </c>
      <c r="R176" s="259">
        <f t="shared" si="92"/>
        <v>37</v>
      </c>
      <c r="S176" s="259">
        <f t="shared" si="92"/>
        <v>37</v>
      </c>
      <c r="T176" s="259">
        <f t="shared" si="92"/>
        <v>37</v>
      </c>
      <c r="U176" s="259">
        <f t="shared" si="92"/>
        <v>37</v>
      </c>
      <c r="V176" s="259">
        <f t="shared" si="92"/>
        <v>37</v>
      </c>
      <c r="W176" s="259">
        <f t="shared" si="92"/>
        <v>37</v>
      </c>
      <c r="X176" s="259">
        <f t="shared" si="92"/>
        <v>37</v>
      </c>
      <c r="Y176" s="259">
        <f t="shared" si="92"/>
        <v>37</v>
      </c>
      <c r="Z176" s="259">
        <f t="shared" si="92"/>
        <v>37</v>
      </c>
      <c r="AA176" s="259">
        <f t="shared" si="92"/>
        <v>37</v>
      </c>
      <c r="AB176" s="258">
        <f t="shared" si="92"/>
        <v>37</v>
      </c>
      <c r="AC176" s="259">
        <f t="shared" si="92"/>
        <v>37</v>
      </c>
      <c r="AD176" s="259">
        <f t="shared" si="92"/>
        <v>37</v>
      </c>
      <c r="AE176" s="259">
        <f t="shared" si="92"/>
        <v>37</v>
      </c>
      <c r="AF176" s="259">
        <f t="shared" si="92"/>
        <v>37</v>
      </c>
      <c r="AG176" s="259">
        <f t="shared" si="92"/>
        <v>37</v>
      </c>
      <c r="AH176" s="259">
        <f t="shared" si="92"/>
        <v>37</v>
      </c>
      <c r="AI176" s="259">
        <f t="shared" si="92"/>
        <v>37</v>
      </c>
      <c r="AJ176" s="259">
        <f t="shared" si="92"/>
        <v>37</v>
      </c>
      <c r="AK176" s="259">
        <f t="shared" si="92"/>
        <v>37</v>
      </c>
      <c r="AL176" s="259">
        <f t="shared" si="92"/>
        <v>37</v>
      </c>
      <c r="AM176" s="259">
        <f t="shared" si="92"/>
        <v>37</v>
      </c>
    </row>
    <row r="177" spans="1:39" s="256" customFormat="1" outlineLevel="1" x14ac:dyDescent="0.25">
      <c r="B177" s="256" t="str">
        <f t="shared" si="76"/>
        <v>PcbTrae</v>
      </c>
      <c r="C177" s="257" t="s">
        <v>259</v>
      </c>
      <c r="D177" s="258">
        <f t="shared" ref="D177:AM177" si="93">$T21</f>
        <v>37</v>
      </c>
      <c r="E177" s="259">
        <f t="shared" si="93"/>
        <v>37</v>
      </c>
      <c r="F177" s="259">
        <f t="shared" si="93"/>
        <v>37</v>
      </c>
      <c r="G177" s="259">
        <f t="shared" si="93"/>
        <v>37</v>
      </c>
      <c r="H177" s="259">
        <f t="shared" si="93"/>
        <v>37</v>
      </c>
      <c r="I177" s="259">
        <f t="shared" si="93"/>
        <v>37</v>
      </c>
      <c r="J177" s="259">
        <f t="shared" si="93"/>
        <v>37</v>
      </c>
      <c r="K177" s="259">
        <f t="shared" si="93"/>
        <v>37</v>
      </c>
      <c r="L177" s="259">
        <f t="shared" si="93"/>
        <v>37</v>
      </c>
      <c r="M177" s="259">
        <f t="shared" si="93"/>
        <v>37</v>
      </c>
      <c r="N177" s="259">
        <f t="shared" si="93"/>
        <v>37</v>
      </c>
      <c r="O177" s="259">
        <f t="shared" si="93"/>
        <v>37</v>
      </c>
      <c r="P177" s="258">
        <f t="shared" si="93"/>
        <v>37</v>
      </c>
      <c r="Q177" s="259">
        <f t="shared" si="93"/>
        <v>37</v>
      </c>
      <c r="R177" s="259">
        <f t="shared" si="93"/>
        <v>37</v>
      </c>
      <c r="S177" s="259">
        <f t="shared" si="93"/>
        <v>37</v>
      </c>
      <c r="T177" s="259">
        <f t="shared" si="93"/>
        <v>37</v>
      </c>
      <c r="U177" s="259">
        <f t="shared" si="93"/>
        <v>37</v>
      </c>
      <c r="V177" s="259">
        <f t="shared" si="93"/>
        <v>37</v>
      </c>
      <c r="W177" s="259">
        <f t="shared" si="93"/>
        <v>37</v>
      </c>
      <c r="X177" s="259">
        <f t="shared" si="93"/>
        <v>37</v>
      </c>
      <c r="Y177" s="259">
        <f t="shared" si="93"/>
        <v>37</v>
      </c>
      <c r="Z177" s="259">
        <f t="shared" si="93"/>
        <v>37</v>
      </c>
      <c r="AA177" s="259">
        <f t="shared" si="93"/>
        <v>37</v>
      </c>
      <c r="AB177" s="258">
        <f t="shared" si="93"/>
        <v>37</v>
      </c>
      <c r="AC177" s="259">
        <f t="shared" si="93"/>
        <v>37</v>
      </c>
      <c r="AD177" s="259">
        <f t="shared" si="93"/>
        <v>37</v>
      </c>
      <c r="AE177" s="259">
        <f t="shared" si="93"/>
        <v>37</v>
      </c>
      <c r="AF177" s="259">
        <f t="shared" si="93"/>
        <v>37</v>
      </c>
      <c r="AG177" s="259">
        <f t="shared" si="93"/>
        <v>37</v>
      </c>
      <c r="AH177" s="259">
        <f t="shared" si="93"/>
        <v>37</v>
      </c>
      <c r="AI177" s="259">
        <f t="shared" si="93"/>
        <v>37</v>
      </c>
      <c r="AJ177" s="259">
        <f t="shared" si="93"/>
        <v>37</v>
      </c>
      <c r="AK177" s="259">
        <f t="shared" si="93"/>
        <v>37</v>
      </c>
      <c r="AL177" s="259">
        <f t="shared" si="93"/>
        <v>37</v>
      </c>
      <c r="AM177" s="259">
        <f t="shared" si="93"/>
        <v>37</v>
      </c>
    </row>
    <row r="178" spans="1:39" s="256" customFormat="1" outlineLevel="1" x14ac:dyDescent="0.25">
      <c r="B178" s="256" t="str">
        <f t="shared" si="76"/>
        <v>TraeRekv</v>
      </c>
      <c r="C178" s="257" t="s">
        <v>259</v>
      </c>
      <c r="D178" s="258">
        <f t="shared" ref="D178:AM178" si="94">$T22</f>
        <v>37</v>
      </c>
      <c r="E178" s="259">
        <f t="shared" si="94"/>
        <v>37</v>
      </c>
      <c r="F178" s="259">
        <f t="shared" si="94"/>
        <v>37</v>
      </c>
      <c r="G178" s="259">
        <f t="shared" si="94"/>
        <v>37</v>
      </c>
      <c r="H178" s="259">
        <f t="shared" si="94"/>
        <v>37</v>
      </c>
      <c r="I178" s="259">
        <f t="shared" si="94"/>
        <v>37</v>
      </c>
      <c r="J178" s="259">
        <f t="shared" si="94"/>
        <v>37</v>
      </c>
      <c r="K178" s="259">
        <f t="shared" si="94"/>
        <v>37</v>
      </c>
      <c r="L178" s="259">
        <f t="shared" si="94"/>
        <v>37</v>
      </c>
      <c r="M178" s="259">
        <f t="shared" si="94"/>
        <v>37</v>
      </c>
      <c r="N178" s="259">
        <f t="shared" si="94"/>
        <v>37</v>
      </c>
      <c r="O178" s="259">
        <f t="shared" si="94"/>
        <v>37</v>
      </c>
      <c r="P178" s="258">
        <f t="shared" si="94"/>
        <v>37</v>
      </c>
      <c r="Q178" s="259">
        <f t="shared" si="94"/>
        <v>37</v>
      </c>
      <c r="R178" s="259">
        <f t="shared" si="94"/>
        <v>37</v>
      </c>
      <c r="S178" s="259">
        <f t="shared" si="94"/>
        <v>37</v>
      </c>
      <c r="T178" s="259">
        <f t="shared" si="94"/>
        <v>37</v>
      </c>
      <c r="U178" s="259">
        <f t="shared" si="94"/>
        <v>37</v>
      </c>
      <c r="V178" s="259">
        <f t="shared" si="94"/>
        <v>37</v>
      </c>
      <c r="W178" s="259">
        <f t="shared" si="94"/>
        <v>37</v>
      </c>
      <c r="X178" s="259">
        <f t="shared" si="94"/>
        <v>37</v>
      </c>
      <c r="Y178" s="259">
        <f t="shared" si="94"/>
        <v>37</v>
      </c>
      <c r="Z178" s="259">
        <f t="shared" si="94"/>
        <v>37</v>
      </c>
      <c r="AA178" s="259">
        <f t="shared" si="94"/>
        <v>37</v>
      </c>
      <c r="AB178" s="258">
        <f t="shared" si="94"/>
        <v>37</v>
      </c>
      <c r="AC178" s="259">
        <f t="shared" si="94"/>
        <v>37</v>
      </c>
      <c r="AD178" s="259">
        <f t="shared" si="94"/>
        <v>37</v>
      </c>
      <c r="AE178" s="259">
        <f t="shared" si="94"/>
        <v>37</v>
      </c>
      <c r="AF178" s="259">
        <f t="shared" si="94"/>
        <v>37</v>
      </c>
      <c r="AG178" s="259">
        <f t="shared" si="94"/>
        <v>37</v>
      </c>
      <c r="AH178" s="259">
        <f t="shared" si="94"/>
        <v>37</v>
      </c>
      <c r="AI178" s="259">
        <f t="shared" si="94"/>
        <v>37</v>
      </c>
      <c r="AJ178" s="259">
        <f t="shared" si="94"/>
        <v>37</v>
      </c>
      <c r="AK178" s="259">
        <f t="shared" si="94"/>
        <v>37</v>
      </c>
      <c r="AL178" s="259">
        <f t="shared" si="94"/>
        <v>37</v>
      </c>
      <c r="AM178" s="259">
        <f t="shared" si="94"/>
        <v>37</v>
      </c>
    </row>
    <row r="179" spans="1:39" s="256" customFormat="1" outlineLevel="1" x14ac:dyDescent="0.25">
      <c r="B179" s="256" t="str">
        <f t="shared" si="76"/>
        <v>Halm</v>
      </c>
      <c r="C179" s="257" t="s">
        <v>259</v>
      </c>
      <c r="D179" s="258">
        <f t="shared" ref="D179:AM179" si="95">$T23</f>
        <v>37</v>
      </c>
      <c r="E179" s="259">
        <f t="shared" si="95"/>
        <v>37</v>
      </c>
      <c r="F179" s="259">
        <f t="shared" si="95"/>
        <v>37</v>
      </c>
      <c r="G179" s="259">
        <f t="shared" si="95"/>
        <v>37</v>
      </c>
      <c r="H179" s="259">
        <f t="shared" si="95"/>
        <v>37</v>
      </c>
      <c r="I179" s="259">
        <f t="shared" si="95"/>
        <v>37</v>
      </c>
      <c r="J179" s="259">
        <f t="shared" si="95"/>
        <v>37</v>
      </c>
      <c r="K179" s="259">
        <f t="shared" si="95"/>
        <v>37</v>
      </c>
      <c r="L179" s="259">
        <f t="shared" si="95"/>
        <v>37</v>
      </c>
      <c r="M179" s="259">
        <f t="shared" si="95"/>
        <v>37</v>
      </c>
      <c r="N179" s="259">
        <f t="shared" si="95"/>
        <v>37</v>
      </c>
      <c r="O179" s="259">
        <f t="shared" si="95"/>
        <v>37</v>
      </c>
      <c r="P179" s="258">
        <f t="shared" si="95"/>
        <v>37</v>
      </c>
      <c r="Q179" s="259">
        <f t="shared" si="95"/>
        <v>37</v>
      </c>
      <c r="R179" s="259">
        <f t="shared" si="95"/>
        <v>37</v>
      </c>
      <c r="S179" s="259">
        <f t="shared" si="95"/>
        <v>37</v>
      </c>
      <c r="T179" s="259">
        <f t="shared" si="95"/>
        <v>37</v>
      </c>
      <c r="U179" s="259">
        <f t="shared" si="95"/>
        <v>37</v>
      </c>
      <c r="V179" s="259">
        <f t="shared" si="95"/>
        <v>37</v>
      </c>
      <c r="W179" s="259">
        <f t="shared" si="95"/>
        <v>37</v>
      </c>
      <c r="X179" s="259">
        <f t="shared" si="95"/>
        <v>37</v>
      </c>
      <c r="Y179" s="259">
        <f t="shared" si="95"/>
        <v>37</v>
      </c>
      <c r="Z179" s="259">
        <f t="shared" si="95"/>
        <v>37</v>
      </c>
      <c r="AA179" s="259">
        <f t="shared" si="95"/>
        <v>37</v>
      </c>
      <c r="AB179" s="258">
        <f t="shared" si="95"/>
        <v>37</v>
      </c>
      <c r="AC179" s="259">
        <f t="shared" si="95"/>
        <v>37</v>
      </c>
      <c r="AD179" s="259">
        <f t="shared" si="95"/>
        <v>37</v>
      </c>
      <c r="AE179" s="259">
        <f t="shared" si="95"/>
        <v>37</v>
      </c>
      <c r="AF179" s="259">
        <f t="shared" si="95"/>
        <v>37</v>
      </c>
      <c r="AG179" s="259">
        <f t="shared" si="95"/>
        <v>37</v>
      </c>
      <c r="AH179" s="259">
        <f t="shared" si="95"/>
        <v>37</v>
      </c>
      <c r="AI179" s="259">
        <f t="shared" si="95"/>
        <v>37</v>
      </c>
      <c r="AJ179" s="259">
        <f t="shared" si="95"/>
        <v>37</v>
      </c>
      <c r="AK179" s="259">
        <f t="shared" si="95"/>
        <v>37</v>
      </c>
      <c r="AL179" s="259">
        <f t="shared" si="95"/>
        <v>37</v>
      </c>
      <c r="AM179" s="259">
        <f t="shared" si="95"/>
        <v>37</v>
      </c>
    </row>
    <row r="180" spans="1:39" s="256" customFormat="1" outlineLevel="1" x14ac:dyDescent="0.25">
      <c r="A180" s="260"/>
      <c r="B180" s="256" t="str">
        <f t="shared" si="76"/>
        <v>Pulver</v>
      </c>
      <c r="C180" s="257" t="s">
        <v>259</v>
      </c>
      <c r="D180" s="258">
        <f t="shared" ref="D180:AM180" si="96">$T24</f>
        <v>37</v>
      </c>
      <c r="E180" s="259">
        <f t="shared" si="96"/>
        <v>37</v>
      </c>
      <c r="F180" s="259">
        <f t="shared" si="96"/>
        <v>37</v>
      </c>
      <c r="G180" s="259">
        <f t="shared" si="96"/>
        <v>37</v>
      </c>
      <c r="H180" s="259">
        <f t="shared" si="96"/>
        <v>37</v>
      </c>
      <c r="I180" s="259">
        <f t="shared" si="96"/>
        <v>37</v>
      </c>
      <c r="J180" s="259">
        <f t="shared" si="96"/>
        <v>37</v>
      </c>
      <c r="K180" s="259">
        <f t="shared" si="96"/>
        <v>37</v>
      </c>
      <c r="L180" s="259">
        <f t="shared" si="96"/>
        <v>37</v>
      </c>
      <c r="M180" s="259">
        <f t="shared" si="96"/>
        <v>37</v>
      </c>
      <c r="N180" s="259">
        <f t="shared" si="96"/>
        <v>37</v>
      </c>
      <c r="O180" s="259">
        <f t="shared" si="96"/>
        <v>37</v>
      </c>
      <c r="P180" s="258">
        <f t="shared" si="96"/>
        <v>37</v>
      </c>
      <c r="Q180" s="259">
        <f t="shared" si="96"/>
        <v>37</v>
      </c>
      <c r="R180" s="259">
        <f t="shared" si="96"/>
        <v>37</v>
      </c>
      <c r="S180" s="259">
        <f t="shared" si="96"/>
        <v>37</v>
      </c>
      <c r="T180" s="259">
        <f t="shared" si="96"/>
        <v>37</v>
      </c>
      <c r="U180" s="259">
        <f t="shared" si="96"/>
        <v>37</v>
      </c>
      <c r="V180" s="259">
        <f t="shared" si="96"/>
        <v>37</v>
      </c>
      <c r="W180" s="259">
        <f t="shared" si="96"/>
        <v>37</v>
      </c>
      <c r="X180" s="259">
        <f t="shared" si="96"/>
        <v>37</v>
      </c>
      <c r="Y180" s="259">
        <f t="shared" si="96"/>
        <v>37</v>
      </c>
      <c r="Z180" s="259">
        <f t="shared" si="96"/>
        <v>37</v>
      </c>
      <c r="AA180" s="259">
        <f t="shared" si="96"/>
        <v>37</v>
      </c>
      <c r="AB180" s="258">
        <f t="shared" si="96"/>
        <v>37</v>
      </c>
      <c r="AC180" s="259">
        <f t="shared" si="96"/>
        <v>37</v>
      </c>
      <c r="AD180" s="259">
        <f t="shared" si="96"/>
        <v>37</v>
      </c>
      <c r="AE180" s="259">
        <f t="shared" si="96"/>
        <v>37</v>
      </c>
      <c r="AF180" s="259">
        <f t="shared" si="96"/>
        <v>37</v>
      </c>
      <c r="AG180" s="259">
        <f t="shared" si="96"/>
        <v>37</v>
      </c>
      <c r="AH180" s="259">
        <f t="shared" si="96"/>
        <v>37</v>
      </c>
      <c r="AI180" s="259">
        <f t="shared" si="96"/>
        <v>37</v>
      </c>
      <c r="AJ180" s="259">
        <f t="shared" si="96"/>
        <v>37</v>
      </c>
      <c r="AK180" s="259">
        <f t="shared" si="96"/>
        <v>37</v>
      </c>
      <c r="AL180" s="259">
        <f t="shared" si="96"/>
        <v>37</v>
      </c>
      <c r="AM180" s="259">
        <f t="shared" si="96"/>
        <v>37</v>
      </c>
    </row>
    <row r="181" spans="1:39" s="256" customFormat="1" outlineLevel="1" x14ac:dyDescent="0.25">
      <c r="A181" s="260"/>
      <c r="B181" s="256" t="str">
        <f t="shared" si="76"/>
        <v>FlisAffald</v>
      </c>
      <c r="C181" s="257" t="s">
        <v>259</v>
      </c>
      <c r="D181" s="258">
        <f t="shared" ref="D181:AM181" si="97">$T25</f>
        <v>0</v>
      </c>
      <c r="E181" s="259">
        <f t="shared" si="97"/>
        <v>0</v>
      </c>
      <c r="F181" s="259">
        <f t="shared" si="97"/>
        <v>0</v>
      </c>
      <c r="G181" s="259">
        <f t="shared" si="97"/>
        <v>0</v>
      </c>
      <c r="H181" s="259">
        <f t="shared" si="97"/>
        <v>0</v>
      </c>
      <c r="I181" s="259">
        <f t="shared" si="97"/>
        <v>0</v>
      </c>
      <c r="J181" s="259">
        <f t="shared" si="97"/>
        <v>0</v>
      </c>
      <c r="K181" s="259">
        <f t="shared" si="97"/>
        <v>0</v>
      </c>
      <c r="L181" s="259">
        <f t="shared" si="97"/>
        <v>0</v>
      </c>
      <c r="M181" s="259">
        <f t="shared" si="97"/>
        <v>0</v>
      </c>
      <c r="N181" s="259">
        <f t="shared" si="97"/>
        <v>0</v>
      </c>
      <c r="O181" s="259">
        <f t="shared" si="97"/>
        <v>0</v>
      </c>
      <c r="P181" s="258">
        <f t="shared" si="97"/>
        <v>0</v>
      </c>
      <c r="Q181" s="259">
        <f t="shared" si="97"/>
        <v>0</v>
      </c>
      <c r="R181" s="259">
        <f t="shared" si="97"/>
        <v>0</v>
      </c>
      <c r="S181" s="259">
        <f t="shared" si="97"/>
        <v>0</v>
      </c>
      <c r="T181" s="259">
        <f t="shared" si="97"/>
        <v>0</v>
      </c>
      <c r="U181" s="259">
        <f t="shared" si="97"/>
        <v>0</v>
      </c>
      <c r="V181" s="259">
        <f t="shared" si="97"/>
        <v>0</v>
      </c>
      <c r="W181" s="259">
        <f t="shared" si="97"/>
        <v>0</v>
      </c>
      <c r="X181" s="259">
        <f t="shared" si="97"/>
        <v>0</v>
      </c>
      <c r="Y181" s="259">
        <f t="shared" si="97"/>
        <v>0</v>
      </c>
      <c r="Z181" s="259">
        <f t="shared" si="97"/>
        <v>0</v>
      </c>
      <c r="AA181" s="259">
        <f t="shared" si="97"/>
        <v>0</v>
      </c>
      <c r="AB181" s="258">
        <f t="shared" si="97"/>
        <v>0</v>
      </c>
      <c r="AC181" s="259">
        <f t="shared" si="97"/>
        <v>0</v>
      </c>
      <c r="AD181" s="259">
        <f t="shared" si="97"/>
        <v>0</v>
      </c>
      <c r="AE181" s="259">
        <f t="shared" si="97"/>
        <v>0</v>
      </c>
      <c r="AF181" s="259">
        <f t="shared" si="97"/>
        <v>0</v>
      </c>
      <c r="AG181" s="259">
        <f t="shared" si="97"/>
        <v>0</v>
      </c>
      <c r="AH181" s="259">
        <f t="shared" si="97"/>
        <v>0</v>
      </c>
      <c r="AI181" s="259">
        <f t="shared" si="97"/>
        <v>0</v>
      </c>
      <c r="AJ181" s="259">
        <f t="shared" si="97"/>
        <v>0</v>
      </c>
      <c r="AK181" s="259">
        <f t="shared" si="97"/>
        <v>0</v>
      </c>
      <c r="AL181" s="259">
        <f t="shared" si="97"/>
        <v>0</v>
      </c>
      <c r="AM181" s="259">
        <f t="shared" si="97"/>
        <v>0</v>
      </c>
    </row>
    <row r="182" spans="1:39" s="256" customFormat="1" outlineLevel="1" x14ac:dyDescent="0.25">
      <c r="A182" s="260"/>
      <c r="B182" s="256" t="str">
        <f t="shared" si="76"/>
        <v>NyAff1</v>
      </c>
      <c r="C182" s="257" t="s">
        <v>259</v>
      </c>
      <c r="D182" s="258">
        <f t="shared" ref="D182:AM182" si="98">$T26</f>
        <v>0</v>
      </c>
      <c r="E182" s="259">
        <f t="shared" si="98"/>
        <v>0</v>
      </c>
      <c r="F182" s="259">
        <f t="shared" si="98"/>
        <v>0</v>
      </c>
      <c r="G182" s="259">
        <f t="shared" si="98"/>
        <v>0</v>
      </c>
      <c r="H182" s="259">
        <f t="shared" si="98"/>
        <v>0</v>
      </c>
      <c r="I182" s="259">
        <f t="shared" si="98"/>
        <v>0</v>
      </c>
      <c r="J182" s="259">
        <f t="shared" si="98"/>
        <v>0</v>
      </c>
      <c r="K182" s="259">
        <f t="shared" si="98"/>
        <v>0</v>
      </c>
      <c r="L182" s="259">
        <f t="shared" si="98"/>
        <v>0</v>
      </c>
      <c r="M182" s="259">
        <f t="shared" si="98"/>
        <v>0</v>
      </c>
      <c r="N182" s="259">
        <f t="shared" si="98"/>
        <v>0</v>
      </c>
      <c r="O182" s="259">
        <f t="shared" si="98"/>
        <v>0</v>
      </c>
      <c r="P182" s="258">
        <f t="shared" si="98"/>
        <v>0</v>
      </c>
      <c r="Q182" s="259">
        <f t="shared" si="98"/>
        <v>0</v>
      </c>
      <c r="R182" s="259">
        <f t="shared" si="98"/>
        <v>0</v>
      </c>
      <c r="S182" s="259">
        <f t="shared" si="98"/>
        <v>0</v>
      </c>
      <c r="T182" s="259">
        <f t="shared" si="98"/>
        <v>0</v>
      </c>
      <c r="U182" s="259">
        <f t="shared" si="98"/>
        <v>0</v>
      </c>
      <c r="V182" s="259">
        <f t="shared" si="98"/>
        <v>0</v>
      </c>
      <c r="W182" s="259">
        <f t="shared" si="98"/>
        <v>0</v>
      </c>
      <c r="X182" s="259">
        <f t="shared" si="98"/>
        <v>0</v>
      </c>
      <c r="Y182" s="259">
        <f t="shared" si="98"/>
        <v>0</v>
      </c>
      <c r="Z182" s="259">
        <f t="shared" si="98"/>
        <v>0</v>
      </c>
      <c r="AA182" s="259">
        <f t="shared" si="98"/>
        <v>0</v>
      </c>
      <c r="AB182" s="258">
        <f t="shared" si="98"/>
        <v>0</v>
      </c>
      <c r="AC182" s="259">
        <f t="shared" si="98"/>
        <v>0</v>
      </c>
      <c r="AD182" s="259">
        <f t="shared" si="98"/>
        <v>0</v>
      </c>
      <c r="AE182" s="259">
        <f t="shared" si="98"/>
        <v>0</v>
      </c>
      <c r="AF182" s="259">
        <f t="shared" si="98"/>
        <v>0</v>
      </c>
      <c r="AG182" s="259">
        <f t="shared" si="98"/>
        <v>0</v>
      </c>
      <c r="AH182" s="259">
        <f t="shared" si="98"/>
        <v>0</v>
      </c>
      <c r="AI182" s="259">
        <f t="shared" si="98"/>
        <v>0</v>
      </c>
      <c r="AJ182" s="259">
        <f t="shared" si="98"/>
        <v>0</v>
      </c>
      <c r="AK182" s="259">
        <f t="shared" si="98"/>
        <v>0</v>
      </c>
      <c r="AL182" s="259">
        <f t="shared" si="98"/>
        <v>0</v>
      </c>
      <c r="AM182" s="259">
        <f t="shared" si="98"/>
        <v>0</v>
      </c>
    </row>
    <row r="183" spans="1:39" s="256" customFormat="1" outlineLevel="1" x14ac:dyDescent="0.25">
      <c r="B183" s="256" t="str">
        <f t="shared" si="76"/>
        <v>NyAff2</v>
      </c>
      <c r="C183" s="257" t="s">
        <v>259</v>
      </c>
      <c r="D183" s="258">
        <f t="shared" ref="D183:AM183" si="99">$T27</f>
        <v>37</v>
      </c>
      <c r="E183" s="259">
        <f t="shared" si="99"/>
        <v>37</v>
      </c>
      <c r="F183" s="259">
        <f t="shared" si="99"/>
        <v>37</v>
      </c>
      <c r="G183" s="259">
        <f t="shared" si="99"/>
        <v>37</v>
      </c>
      <c r="H183" s="259">
        <f t="shared" si="99"/>
        <v>37</v>
      </c>
      <c r="I183" s="259">
        <f t="shared" si="99"/>
        <v>37</v>
      </c>
      <c r="J183" s="259">
        <f t="shared" si="99"/>
        <v>37</v>
      </c>
      <c r="K183" s="259">
        <f t="shared" si="99"/>
        <v>37</v>
      </c>
      <c r="L183" s="259">
        <f t="shared" si="99"/>
        <v>37</v>
      </c>
      <c r="M183" s="259">
        <f t="shared" si="99"/>
        <v>37</v>
      </c>
      <c r="N183" s="259">
        <f t="shared" si="99"/>
        <v>37</v>
      </c>
      <c r="O183" s="259">
        <f t="shared" si="99"/>
        <v>37</v>
      </c>
      <c r="P183" s="258">
        <f t="shared" si="99"/>
        <v>37</v>
      </c>
      <c r="Q183" s="259">
        <f t="shared" si="99"/>
        <v>37</v>
      </c>
      <c r="R183" s="259">
        <f t="shared" si="99"/>
        <v>37</v>
      </c>
      <c r="S183" s="259">
        <f t="shared" si="99"/>
        <v>37</v>
      </c>
      <c r="T183" s="259">
        <f t="shared" si="99"/>
        <v>37</v>
      </c>
      <c r="U183" s="259">
        <f t="shared" si="99"/>
        <v>37</v>
      </c>
      <c r="V183" s="259">
        <f t="shared" si="99"/>
        <v>37</v>
      </c>
      <c r="W183" s="259">
        <f t="shared" si="99"/>
        <v>37</v>
      </c>
      <c r="X183" s="259">
        <f t="shared" si="99"/>
        <v>37</v>
      </c>
      <c r="Y183" s="259">
        <f t="shared" si="99"/>
        <v>37</v>
      </c>
      <c r="Z183" s="259">
        <f t="shared" si="99"/>
        <v>37</v>
      </c>
      <c r="AA183" s="259">
        <f t="shared" si="99"/>
        <v>37</v>
      </c>
      <c r="AB183" s="258">
        <f t="shared" si="99"/>
        <v>37</v>
      </c>
      <c r="AC183" s="259">
        <f t="shared" si="99"/>
        <v>37</v>
      </c>
      <c r="AD183" s="259">
        <f t="shared" si="99"/>
        <v>37</v>
      </c>
      <c r="AE183" s="259">
        <f t="shared" si="99"/>
        <v>37</v>
      </c>
      <c r="AF183" s="259">
        <f t="shared" si="99"/>
        <v>37</v>
      </c>
      <c r="AG183" s="259">
        <f t="shared" si="99"/>
        <v>37</v>
      </c>
      <c r="AH183" s="259">
        <f t="shared" si="99"/>
        <v>37</v>
      </c>
      <c r="AI183" s="259">
        <f t="shared" si="99"/>
        <v>37</v>
      </c>
      <c r="AJ183" s="259">
        <f t="shared" si="99"/>
        <v>37</v>
      </c>
      <c r="AK183" s="259">
        <f t="shared" si="99"/>
        <v>37</v>
      </c>
      <c r="AL183" s="259">
        <f t="shared" si="99"/>
        <v>37</v>
      </c>
      <c r="AM183" s="259">
        <f t="shared" si="99"/>
        <v>37</v>
      </c>
    </row>
    <row r="184" spans="1:39" s="256" customFormat="1" outlineLevel="1" x14ac:dyDescent="0.25">
      <c r="B184" s="256" t="str">
        <f>B154</f>
        <v>NyAff3</v>
      </c>
      <c r="C184" s="257" t="s">
        <v>259</v>
      </c>
      <c r="D184" s="258">
        <f t="shared" ref="D184:AM184" si="100">$T28</f>
        <v>37</v>
      </c>
      <c r="E184" s="259">
        <f t="shared" si="100"/>
        <v>37</v>
      </c>
      <c r="F184" s="259">
        <f t="shared" si="100"/>
        <v>37</v>
      </c>
      <c r="G184" s="259">
        <f t="shared" si="100"/>
        <v>37</v>
      </c>
      <c r="H184" s="259">
        <f t="shared" si="100"/>
        <v>37</v>
      </c>
      <c r="I184" s="259">
        <f t="shared" si="100"/>
        <v>37</v>
      </c>
      <c r="J184" s="259">
        <f t="shared" si="100"/>
        <v>37</v>
      </c>
      <c r="K184" s="259">
        <f t="shared" si="100"/>
        <v>37</v>
      </c>
      <c r="L184" s="259">
        <f t="shared" si="100"/>
        <v>37</v>
      </c>
      <c r="M184" s="259">
        <f t="shared" si="100"/>
        <v>37</v>
      </c>
      <c r="N184" s="259">
        <f t="shared" si="100"/>
        <v>37</v>
      </c>
      <c r="O184" s="259">
        <f t="shared" si="100"/>
        <v>37</v>
      </c>
      <c r="P184" s="258">
        <f t="shared" si="100"/>
        <v>37</v>
      </c>
      <c r="Q184" s="259">
        <f t="shared" si="100"/>
        <v>37</v>
      </c>
      <c r="R184" s="259">
        <f t="shared" si="100"/>
        <v>37</v>
      </c>
      <c r="S184" s="259">
        <f t="shared" si="100"/>
        <v>37</v>
      </c>
      <c r="T184" s="259">
        <f t="shared" si="100"/>
        <v>37</v>
      </c>
      <c r="U184" s="259">
        <f t="shared" si="100"/>
        <v>37</v>
      </c>
      <c r="V184" s="259">
        <f t="shared" si="100"/>
        <v>37</v>
      </c>
      <c r="W184" s="259">
        <f t="shared" si="100"/>
        <v>37</v>
      </c>
      <c r="X184" s="259">
        <f t="shared" si="100"/>
        <v>37</v>
      </c>
      <c r="Y184" s="259">
        <f t="shared" si="100"/>
        <v>37</v>
      </c>
      <c r="Z184" s="259">
        <f t="shared" si="100"/>
        <v>37</v>
      </c>
      <c r="AA184" s="259">
        <f t="shared" si="100"/>
        <v>37</v>
      </c>
      <c r="AB184" s="258">
        <f t="shared" si="100"/>
        <v>37</v>
      </c>
      <c r="AC184" s="259">
        <f t="shared" si="100"/>
        <v>37</v>
      </c>
      <c r="AD184" s="259">
        <f t="shared" si="100"/>
        <v>37</v>
      </c>
      <c r="AE184" s="259">
        <f t="shared" si="100"/>
        <v>37</v>
      </c>
      <c r="AF184" s="259">
        <f t="shared" si="100"/>
        <v>37</v>
      </c>
      <c r="AG184" s="259">
        <f t="shared" si="100"/>
        <v>37</v>
      </c>
      <c r="AH184" s="259">
        <f t="shared" si="100"/>
        <v>37</v>
      </c>
      <c r="AI184" s="259">
        <f t="shared" si="100"/>
        <v>37</v>
      </c>
      <c r="AJ184" s="259">
        <f t="shared" si="100"/>
        <v>37</v>
      </c>
      <c r="AK184" s="259">
        <f t="shared" si="100"/>
        <v>37</v>
      </c>
      <c r="AL184" s="259">
        <f t="shared" si="100"/>
        <v>37</v>
      </c>
      <c r="AM184" s="259">
        <f t="shared" si="100"/>
        <v>37</v>
      </c>
    </row>
    <row r="185" spans="1:39" s="256" customFormat="1" outlineLevel="1" x14ac:dyDescent="0.25">
      <c r="B185" s="256" t="str">
        <f>B155</f>
        <v>NyAff4</v>
      </c>
      <c r="C185" s="257" t="s">
        <v>259</v>
      </c>
      <c r="D185" s="258">
        <f t="shared" ref="D185:AM185" si="101">$T29</f>
        <v>37</v>
      </c>
      <c r="E185" s="259">
        <f t="shared" si="101"/>
        <v>37</v>
      </c>
      <c r="F185" s="259">
        <f t="shared" si="101"/>
        <v>37</v>
      </c>
      <c r="G185" s="259">
        <f t="shared" si="101"/>
        <v>37</v>
      </c>
      <c r="H185" s="259">
        <f t="shared" si="101"/>
        <v>37</v>
      </c>
      <c r="I185" s="259">
        <f t="shared" si="101"/>
        <v>37</v>
      </c>
      <c r="J185" s="259">
        <f t="shared" si="101"/>
        <v>37</v>
      </c>
      <c r="K185" s="259">
        <f t="shared" si="101"/>
        <v>37</v>
      </c>
      <c r="L185" s="259">
        <f t="shared" si="101"/>
        <v>37</v>
      </c>
      <c r="M185" s="259">
        <f t="shared" si="101"/>
        <v>37</v>
      </c>
      <c r="N185" s="259">
        <f t="shared" si="101"/>
        <v>37</v>
      </c>
      <c r="O185" s="259">
        <f t="shared" si="101"/>
        <v>37</v>
      </c>
      <c r="P185" s="258">
        <f t="shared" si="101"/>
        <v>37</v>
      </c>
      <c r="Q185" s="259">
        <f t="shared" si="101"/>
        <v>37</v>
      </c>
      <c r="R185" s="259">
        <f t="shared" si="101"/>
        <v>37</v>
      </c>
      <c r="S185" s="259">
        <f t="shared" si="101"/>
        <v>37</v>
      </c>
      <c r="T185" s="259">
        <f t="shared" si="101"/>
        <v>37</v>
      </c>
      <c r="U185" s="259">
        <f t="shared" si="101"/>
        <v>37</v>
      </c>
      <c r="V185" s="259">
        <f t="shared" si="101"/>
        <v>37</v>
      </c>
      <c r="W185" s="259">
        <f t="shared" si="101"/>
        <v>37</v>
      </c>
      <c r="X185" s="259">
        <f t="shared" si="101"/>
        <v>37</v>
      </c>
      <c r="Y185" s="259">
        <f t="shared" si="101"/>
        <v>37</v>
      </c>
      <c r="Z185" s="259">
        <f t="shared" si="101"/>
        <v>37</v>
      </c>
      <c r="AA185" s="259">
        <f t="shared" si="101"/>
        <v>37</v>
      </c>
      <c r="AB185" s="258">
        <f t="shared" si="101"/>
        <v>37</v>
      </c>
      <c r="AC185" s="259">
        <f t="shared" si="101"/>
        <v>37</v>
      </c>
      <c r="AD185" s="259">
        <f t="shared" si="101"/>
        <v>37</v>
      </c>
      <c r="AE185" s="259">
        <f t="shared" si="101"/>
        <v>37</v>
      </c>
      <c r="AF185" s="259">
        <f t="shared" si="101"/>
        <v>37</v>
      </c>
      <c r="AG185" s="259">
        <f t="shared" si="101"/>
        <v>37</v>
      </c>
      <c r="AH185" s="259">
        <f t="shared" si="101"/>
        <v>37</v>
      </c>
      <c r="AI185" s="259">
        <f t="shared" si="101"/>
        <v>37</v>
      </c>
      <c r="AJ185" s="259">
        <f t="shared" si="101"/>
        <v>37</v>
      </c>
      <c r="AK185" s="259">
        <f t="shared" si="101"/>
        <v>37</v>
      </c>
      <c r="AL185" s="259">
        <f t="shared" si="101"/>
        <v>37</v>
      </c>
      <c r="AM185" s="259">
        <f t="shared" si="101"/>
        <v>37</v>
      </c>
    </row>
    <row r="186" spans="1:39" s="256" customFormat="1" outlineLevel="1" x14ac:dyDescent="0.25">
      <c r="B186" s="256" t="str">
        <f>B156</f>
        <v>NyAff5</v>
      </c>
      <c r="C186" s="257" t="s">
        <v>259</v>
      </c>
      <c r="D186" s="258">
        <f t="shared" ref="D186:AM186" si="102">$T30</f>
        <v>37</v>
      </c>
      <c r="E186" s="259">
        <f t="shared" si="102"/>
        <v>37</v>
      </c>
      <c r="F186" s="259">
        <f t="shared" si="102"/>
        <v>37</v>
      </c>
      <c r="G186" s="259">
        <f t="shared" si="102"/>
        <v>37</v>
      </c>
      <c r="H186" s="259">
        <f t="shared" si="102"/>
        <v>37</v>
      </c>
      <c r="I186" s="259">
        <f t="shared" si="102"/>
        <v>37</v>
      </c>
      <c r="J186" s="259">
        <f t="shared" si="102"/>
        <v>37</v>
      </c>
      <c r="K186" s="259">
        <f t="shared" si="102"/>
        <v>37</v>
      </c>
      <c r="L186" s="259">
        <f t="shared" si="102"/>
        <v>37</v>
      </c>
      <c r="M186" s="259">
        <f t="shared" si="102"/>
        <v>37</v>
      </c>
      <c r="N186" s="259">
        <f t="shared" si="102"/>
        <v>37</v>
      </c>
      <c r="O186" s="259">
        <f t="shared" si="102"/>
        <v>37</v>
      </c>
      <c r="P186" s="258">
        <f t="shared" si="102"/>
        <v>37</v>
      </c>
      <c r="Q186" s="259">
        <f t="shared" si="102"/>
        <v>37</v>
      </c>
      <c r="R186" s="259">
        <f t="shared" si="102"/>
        <v>37</v>
      </c>
      <c r="S186" s="259">
        <f t="shared" si="102"/>
        <v>37</v>
      </c>
      <c r="T186" s="259">
        <f t="shared" si="102"/>
        <v>37</v>
      </c>
      <c r="U186" s="259">
        <f t="shared" si="102"/>
        <v>37</v>
      </c>
      <c r="V186" s="259">
        <f t="shared" si="102"/>
        <v>37</v>
      </c>
      <c r="W186" s="259">
        <f t="shared" si="102"/>
        <v>37</v>
      </c>
      <c r="X186" s="259">
        <f t="shared" si="102"/>
        <v>37</v>
      </c>
      <c r="Y186" s="259">
        <f t="shared" si="102"/>
        <v>37</v>
      </c>
      <c r="Z186" s="259">
        <f t="shared" si="102"/>
        <v>37</v>
      </c>
      <c r="AA186" s="259">
        <f t="shared" si="102"/>
        <v>37</v>
      </c>
      <c r="AB186" s="258">
        <f t="shared" si="102"/>
        <v>37</v>
      </c>
      <c r="AC186" s="259">
        <f t="shared" si="102"/>
        <v>37</v>
      </c>
      <c r="AD186" s="259">
        <f t="shared" si="102"/>
        <v>37</v>
      </c>
      <c r="AE186" s="259">
        <f t="shared" si="102"/>
        <v>37</v>
      </c>
      <c r="AF186" s="259">
        <f t="shared" si="102"/>
        <v>37</v>
      </c>
      <c r="AG186" s="259">
        <f t="shared" si="102"/>
        <v>37</v>
      </c>
      <c r="AH186" s="259">
        <f t="shared" si="102"/>
        <v>37</v>
      </c>
      <c r="AI186" s="259">
        <f t="shared" si="102"/>
        <v>37</v>
      </c>
      <c r="AJ186" s="259">
        <f t="shared" si="102"/>
        <v>37</v>
      </c>
      <c r="AK186" s="259">
        <f t="shared" si="102"/>
        <v>37</v>
      </c>
      <c r="AL186" s="259">
        <f t="shared" si="102"/>
        <v>37</v>
      </c>
      <c r="AM186" s="259">
        <f t="shared" si="102"/>
        <v>37</v>
      </c>
    </row>
    <row r="187" spans="1:39" outlineLevel="1" x14ac:dyDescent="0.25">
      <c r="A187" s="294"/>
      <c r="B187" t="str" cm="1">
        <f t="array" ref="B187:B189">ØvrigeBrændsler</f>
        <v>Flis</v>
      </c>
      <c r="C187" s="257" t="s">
        <v>259</v>
      </c>
      <c r="D187" s="258">
        <f t="shared" ref="D187:AM187" si="103">$T31</f>
        <v>0</v>
      </c>
      <c r="E187" s="259">
        <f t="shared" si="103"/>
        <v>0</v>
      </c>
      <c r="F187" s="259">
        <f t="shared" si="103"/>
        <v>0</v>
      </c>
      <c r="G187" s="259">
        <f t="shared" si="103"/>
        <v>0</v>
      </c>
      <c r="H187" s="259">
        <f t="shared" si="103"/>
        <v>0</v>
      </c>
      <c r="I187" s="259">
        <f t="shared" si="103"/>
        <v>0</v>
      </c>
      <c r="J187" s="259">
        <f t="shared" si="103"/>
        <v>0</v>
      </c>
      <c r="K187" s="259">
        <f t="shared" si="103"/>
        <v>0</v>
      </c>
      <c r="L187" s="259">
        <f t="shared" si="103"/>
        <v>0</v>
      </c>
      <c r="M187" s="259">
        <f t="shared" si="103"/>
        <v>0</v>
      </c>
      <c r="N187" s="259">
        <f t="shared" si="103"/>
        <v>0</v>
      </c>
      <c r="O187" s="259">
        <f t="shared" si="103"/>
        <v>0</v>
      </c>
      <c r="P187" s="258">
        <f t="shared" si="103"/>
        <v>0</v>
      </c>
      <c r="Q187" s="259">
        <f t="shared" si="103"/>
        <v>0</v>
      </c>
      <c r="R187" s="259">
        <f t="shared" si="103"/>
        <v>0</v>
      </c>
      <c r="S187" s="259">
        <f t="shared" si="103"/>
        <v>0</v>
      </c>
      <c r="T187" s="259">
        <f t="shared" si="103"/>
        <v>0</v>
      </c>
      <c r="U187" s="259">
        <f t="shared" si="103"/>
        <v>0</v>
      </c>
      <c r="V187" s="259">
        <f t="shared" si="103"/>
        <v>0</v>
      </c>
      <c r="W187" s="259">
        <f t="shared" si="103"/>
        <v>0</v>
      </c>
      <c r="X187" s="259">
        <f t="shared" si="103"/>
        <v>0</v>
      </c>
      <c r="Y187" s="259">
        <f t="shared" si="103"/>
        <v>0</v>
      </c>
      <c r="Z187" s="259">
        <f t="shared" si="103"/>
        <v>0</v>
      </c>
      <c r="AA187" s="259">
        <f t="shared" si="103"/>
        <v>0</v>
      </c>
      <c r="AB187" s="258">
        <f t="shared" si="103"/>
        <v>0</v>
      </c>
      <c r="AC187" s="259">
        <f t="shared" si="103"/>
        <v>0</v>
      </c>
      <c r="AD187" s="259">
        <f t="shared" si="103"/>
        <v>0</v>
      </c>
      <c r="AE187" s="259">
        <f t="shared" si="103"/>
        <v>0</v>
      </c>
      <c r="AF187" s="259">
        <f t="shared" si="103"/>
        <v>0</v>
      </c>
      <c r="AG187" s="259">
        <f t="shared" si="103"/>
        <v>0</v>
      </c>
      <c r="AH187" s="259">
        <f t="shared" si="103"/>
        <v>0</v>
      </c>
      <c r="AI187" s="259">
        <f t="shared" si="103"/>
        <v>0</v>
      </c>
      <c r="AJ187" s="259">
        <f t="shared" si="103"/>
        <v>0</v>
      </c>
      <c r="AK187" s="259">
        <f t="shared" si="103"/>
        <v>0</v>
      </c>
      <c r="AL187" s="259">
        <f t="shared" si="103"/>
        <v>0</v>
      </c>
      <c r="AM187" s="259">
        <f t="shared" si="103"/>
        <v>0</v>
      </c>
    </row>
    <row r="188" spans="1:39" outlineLevel="1" x14ac:dyDescent="0.25">
      <c r="A188" s="295"/>
      <c r="B188" t="str">
        <v>NSvarme</v>
      </c>
      <c r="C188" s="257" t="s">
        <v>259</v>
      </c>
      <c r="D188" s="258">
        <f t="shared" ref="D188:AM188" si="104">$T32</f>
        <v>0</v>
      </c>
      <c r="E188" s="259">
        <f t="shared" si="104"/>
        <v>0</v>
      </c>
      <c r="F188" s="259">
        <f t="shared" si="104"/>
        <v>0</v>
      </c>
      <c r="G188" s="259">
        <f t="shared" si="104"/>
        <v>0</v>
      </c>
      <c r="H188" s="259">
        <f t="shared" si="104"/>
        <v>0</v>
      </c>
      <c r="I188" s="259">
        <f t="shared" si="104"/>
        <v>0</v>
      </c>
      <c r="J188" s="259">
        <f t="shared" si="104"/>
        <v>0</v>
      </c>
      <c r="K188" s="259">
        <f t="shared" si="104"/>
        <v>0</v>
      </c>
      <c r="L188" s="259">
        <f t="shared" si="104"/>
        <v>0</v>
      </c>
      <c r="M188" s="259">
        <f t="shared" si="104"/>
        <v>0</v>
      </c>
      <c r="N188" s="259">
        <f t="shared" si="104"/>
        <v>0</v>
      </c>
      <c r="O188" s="259">
        <f t="shared" si="104"/>
        <v>0</v>
      </c>
      <c r="P188" s="258">
        <f t="shared" si="104"/>
        <v>0</v>
      </c>
      <c r="Q188" s="259">
        <f t="shared" si="104"/>
        <v>0</v>
      </c>
      <c r="R188" s="259">
        <f t="shared" si="104"/>
        <v>0</v>
      </c>
      <c r="S188" s="259">
        <f t="shared" si="104"/>
        <v>0</v>
      </c>
      <c r="T188" s="259">
        <f t="shared" si="104"/>
        <v>0</v>
      </c>
      <c r="U188" s="259">
        <f t="shared" si="104"/>
        <v>0</v>
      </c>
      <c r="V188" s="259">
        <f t="shared" si="104"/>
        <v>0</v>
      </c>
      <c r="W188" s="259">
        <f t="shared" si="104"/>
        <v>0</v>
      </c>
      <c r="X188" s="259">
        <f t="shared" si="104"/>
        <v>0</v>
      </c>
      <c r="Y188" s="259">
        <f t="shared" si="104"/>
        <v>0</v>
      </c>
      <c r="Z188" s="259">
        <f t="shared" si="104"/>
        <v>0</v>
      </c>
      <c r="AA188" s="259">
        <f t="shared" si="104"/>
        <v>0</v>
      </c>
      <c r="AB188" s="258">
        <f t="shared" si="104"/>
        <v>0</v>
      </c>
      <c r="AC188" s="259">
        <f t="shared" si="104"/>
        <v>0</v>
      </c>
      <c r="AD188" s="259">
        <f t="shared" si="104"/>
        <v>0</v>
      </c>
      <c r="AE188" s="259">
        <f t="shared" si="104"/>
        <v>0</v>
      </c>
      <c r="AF188" s="259">
        <f t="shared" si="104"/>
        <v>0</v>
      </c>
      <c r="AG188" s="259">
        <f t="shared" si="104"/>
        <v>0</v>
      </c>
      <c r="AH188" s="259">
        <f t="shared" si="104"/>
        <v>0</v>
      </c>
      <c r="AI188" s="259">
        <f t="shared" si="104"/>
        <v>0</v>
      </c>
      <c r="AJ188" s="259">
        <f t="shared" si="104"/>
        <v>0</v>
      </c>
      <c r="AK188" s="259">
        <f t="shared" si="104"/>
        <v>0</v>
      </c>
      <c r="AL188" s="259">
        <f t="shared" si="104"/>
        <v>0</v>
      </c>
      <c r="AM188" s="259">
        <f t="shared" si="104"/>
        <v>0</v>
      </c>
    </row>
    <row r="189" spans="1:39" outlineLevel="1" x14ac:dyDescent="0.25">
      <c r="A189" s="295"/>
      <c r="B189" t="str">
        <v>PeakFuel</v>
      </c>
      <c r="C189" s="257" t="s">
        <v>259</v>
      </c>
      <c r="D189" s="258">
        <f t="shared" ref="D189:AM189" si="105">$T33</f>
        <v>72.727272727272734</v>
      </c>
      <c r="E189" s="259">
        <f t="shared" si="105"/>
        <v>72.727272727272734</v>
      </c>
      <c r="F189" s="259">
        <f t="shared" si="105"/>
        <v>72.727272727272734</v>
      </c>
      <c r="G189" s="259">
        <f t="shared" si="105"/>
        <v>72.727272727272734</v>
      </c>
      <c r="H189" s="259">
        <f t="shared" si="105"/>
        <v>72.727272727272734</v>
      </c>
      <c r="I189" s="259">
        <f t="shared" si="105"/>
        <v>72.727272727272734</v>
      </c>
      <c r="J189" s="259">
        <f t="shared" si="105"/>
        <v>72.727272727272734</v>
      </c>
      <c r="K189" s="259">
        <f t="shared" si="105"/>
        <v>72.727272727272734</v>
      </c>
      <c r="L189" s="259">
        <f t="shared" si="105"/>
        <v>72.727272727272734</v>
      </c>
      <c r="M189" s="259">
        <f t="shared" si="105"/>
        <v>72.727272727272734</v>
      </c>
      <c r="N189" s="259">
        <f t="shared" si="105"/>
        <v>72.727272727272734</v>
      </c>
      <c r="O189" s="259">
        <f t="shared" si="105"/>
        <v>72.727272727272734</v>
      </c>
      <c r="P189" s="258">
        <f t="shared" si="105"/>
        <v>72.727272727272734</v>
      </c>
      <c r="Q189" s="259">
        <f t="shared" si="105"/>
        <v>72.727272727272734</v>
      </c>
      <c r="R189" s="259">
        <f t="shared" si="105"/>
        <v>72.727272727272734</v>
      </c>
      <c r="S189" s="259">
        <f t="shared" si="105"/>
        <v>72.727272727272734</v>
      </c>
      <c r="T189" s="259">
        <f t="shared" si="105"/>
        <v>72.727272727272734</v>
      </c>
      <c r="U189" s="259">
        <f t="shared" si="105"/>
        <v>72.727272727272734</v>
      </c>
      <c r="V189" s="259">
        <f t="shared" si="105"/>
        <v>72.727272727272734</v>
      </c>
      <c r="W189" s="259">
        <f t="shared" si="105"/>
        <v>72.727272727272734</v>
      </c>
      <c r="X189" s="259">
        <f t="shared" si="105"/>
        <v>72.727272727272734</v>
      </c>
      <c r="Y189" s="259">
        <f t="shared" si="105"/>
        <v>72.727272727272734</v>
      </c>
      <c r="Z189" s="259">
        <f t="shared" si="105"/>
        <v>72.727272727272734</v>
      </c>
      <c r="AA189" s="259">
        <f t="shared" si="105"/>
        <v>72.727272727272734</v>
      </c>
      <c r="AB189" s="258">
        <f t="shared" si="105"/>
        <v>72.727272727272734</v>
      </c>
      <c r="AC189" s="259">
        <f t="shared" si="105"/>
        <v>72.727272727272734</v>
      </c>
      <c r="AD189" s="259">
        <f t="shared" si="105"/>
        <v>72.727272727272734</v>
      </c>
      <c r="AE189" s="259">
        <f t="shared" si="105"/>
        <v>72.727272727272734</v>
      </c>
      <c r="AF189" s="259">
        <f t="shared" si="105"/>
        <v>72.727272727272734</v>
      </c>
      <c r="AG189" s="259">
        <f t="shared" si="105"/>
        <v>72.727272727272734</v>
      </c>
      <c r="AH189" s="259">
        <f t="shared" si="105"/>
        <v>72.727272727272734</v>
      </c>
      <c r="AI189" s="259">
        <f t="shared" si="105"/>
        <v>72.727272727272734</v>
      </c>
      <c r="AJ189" s="259">
        <f t="shared" si="105"/>
        <v>72.727272727272734</v>
      </c>
      <c r="AK189" s="259">
        <f t="shared" si="105"/>
        <v>72.727272727272734</v>
      </c>
      <c r="AL189" s="259">
        <f t="shared" si="105"/>
        <v>72.727272727272734</v>
      </c>
      <c r="AM189" s="259">
        <f t="shared" si="105"/>
        <v>72.727272727272734</v>
      </c>
    </row>
    <row r="190" spans="1:39" s="40" customFormat="1" ht="15.75" x14ac:dyDescent="0.25">
      <c r="A190" s="37" t="s">
        <v>398</v>
      </c>
      <c r="B190" s="36"/>
      <c r="C190" s="36"/>
      <c r="D190" s="38"/>
      <c r="E190" s="39"/>
      <c r="F190" s="39"/>
      <c r="G190" s="39"/>
      <c r="H190" s="39"/>
      <c r="I190" s="39"/>
      <c r="J190" s="39"/>
      <c r="K190" s="39"/>
      <c r="L190" s="39"/>
      <c r="M190" s="39"/>
      <c r="N190" s="39"/>
      <c r="O190" s="39"/>
      <c r="P190" s="38"/>
      <c r="Q190" s="39"/>
      <c r="R190" s="39"/>
      <c r="S190" s="39"/>
      <c r="T190" s="39"/>
      <c r="U190" s="39"/>
      <c r="V190" s="39"/>
      <c r="W190" s="39"/>
      <c r="X190" s="39"/>
      <c r="Y190" s="39"/>
      <c r="Z190" s="39"/>
      <c r="AA190" s="39"/>
      <c r="AB190" s="38"/>
      <c r="AC190" s="39"/>
      <c r="AD190" s="39"/>
      <c r="AE190" s="39"/>
      <c r="AF190" s="39"/>
      <c r="AG190" s="39"/>
      <c r="AH190" s="39"/>
      <c r="AI190" s="39"/>
      <c r="AJ190" s="39"/>
      <c r="AK190" s="39"/>
      <c r="AL190" s="39"/>
      <c r="AM190" s="39"/>
    </row>
    <row r="191" spans="1:39" s="256" customFormat="1" outlineLevel="1" x14ac:dyDescent="0.25">
      <c r="B191" s="256" t="str">
        <f t="shared" ref="B191:B216" si="106">B161</f>
        <v>DepoSort</v>
      </c>
      <c r="C191" s="257" t="s">
        <v>242</v>
      </c>
      <c r="D191" s="342">
        <f t="shared" ref="D191:D219" si="107">$J5</f>
        <v>1</v>
      </c>
      <c r="E191" s="342">
        <f t="shared" ref="E191:AM198" si="108">$J5</f>
        <v>1</v>
      </c>
      <c r="F191" s="342">
        <f t="shared" si="108"/>
        <v>1</v>
      </c>
      <c r="G191" s="342">
        <f t="shared" si="108"/>
        <v>1</v>
      </c>
      <c r="H191" s="342">
        <f t="shared" si="108"/>
        <v>1</v>
      </c>
      <c r="I191" s="342">
        <f t="shared" si="108"/>
        <v>1</v>
      </c>
      <c r="J191" s="342">
        <f t="shared" si="108"/>
        <v>1</v>
      </c>
      <c r="K191" s="342">
        <f t="shared" si="108"/>
        <v>1</v>
      </c>
      <c r="L191" s="342">
        <f t="shared" si="108"/>
        <v>1</v>
      </c>
      <c r="M191" s="342">
        <f t="shared" si="108"/>
        <v>1</v>
      </c>
      <c r="N191" s="342">
        <f t="shared" si="108"/>
        <v>1</v>
      </c>
      <c r="O191" s="342">
        <f t="shared" si="108"/>
        <v>1</v>
      </c>
      <c r="P191" s="342">
        <f t="shared" si="108"/>
        <v>1</v>
      </c>
      <c r="Q191" s="342">
        <f t="shared" si="108"/>
        <v>1</v>
      </c>
      <c r="R191" s="342">
        <f t="shared" si="108"/>
        <v>1</v>
      </c>
      <c r="S191" s="342">
        <f t="shared" si="108"/>
        <v>1</v>
      </c>
      <c r="T191" s="342">
        <f t="shared" si="108"/>
        <v>1</v>
      </c>
      <c r="U191" s="342">
        <f t="shared" si="108"/>
        <v>1</v>
      </c>
      <c r="V191" s="342">
        <f t="shared" si="108"/>
        <v>1</v>
      </c>
      <c r="W191" s="342">
        <f t="shared" si="108"/>
        <v>1</v>
      </c>
      <c r="X191" s="342">
        <f t="shared" si="108"/>
        <v>1</v>
      </c>
      <c r="Y191" s="342">
        <f t="shared" si="108"/>
        <v>1</v>
      </c>
      <c r="Z191" s="342">
        <f t="shared" si="108"/>
        <v>1</v>
      </c>
      <c r="AA191" s="342">
        <f t="shared" si="108"/>
        <v>1</v>
      </c>
      <c r="AB191" s="342">
        <f t="shared" si="108"/>
        <v>1</v>
      </c>
      <c r="AC191" s="342">
        <f t="shared" si="108"/>
        <v>1</v>
      </c>
      <c r="AD191" s="342">
        <f t="shared" si="108"/>
        <v>1</v>
      </c>
      <c r="AE191" s="342">
        <f t="shared" si="108"/>
        <v>1</v>
      </c>
      <c r="AF191" s="342">
        <f t="shared" si="108"/>
        <v>1</v>
      </c>
      <c r="AG191" s="342">
        <f t="shared" si="108"/>
        <v>1</v>
      </c>
      <c r="AH191" s="342">
        <f t="shared" si="108"/>
        <v>1</v>
      </c>
      <c r="AI191" s="342">
        <f t="shared" si="108"/>
        <v>1</v>
      </c>
      <c r="AJ191" s="342">
        <f t="shared" si="108"/>
        <v>1</v>
      </c>
      <c r="AK191" s="342">
        <f t="shared" si="108"/>
        <v>1</v>
      </c>
      <c r="AL191" s="342">
        <f t="shared" si="108"/>
        <v>1</v>
      </c>
      <c r="AM191" s="342">
        <f t="shared" si="108"/>
        <v>1</v>
      </c>
    </row>
    <row r="192" spans="1:39" s="256" customFormat="1" outlineLevel="1" x14ac:dyDescent="0.25">
      <c r="B192" s="256" t="str">
        <f t="shared" si="106"/>
        <v>DepoSmaat</v>
      </c>
      <c r="C192" s="257" t="s">
        <v>242</v>
      </c>
      <c r="D192" s="342">
        <f t="shared" si="107"/>
        <v>1</v>
      </c>
      <c r="E192" s="342">
        <f t="shared" ref="E192:S192" si="109">$J6</f>
        <v>1</v>
      </c>
      <c r="F192" s="342">
        <f t="shared" si="109"/>
        <v>1</v>
      </c>
      <c r="G192" s="342">
        <f t="shared" si="109"/>
        <v>1</v>
      </c>
      <c r="H192" s="342">
        <f t="shared" si="109"/>
        <v>1</v>
      </c>
      <c r="I192" s="342">
        <f t="shared" si="109"/>
        <v>1</v>
      </c>
      <c r="J192" s="342">
        <f t="shared" si="109"/>
        <v>1</v>
      </c>
      <c r="K192" s="342">
        <f t="shared" si="109"/>
        <v>1</v>
      </c>
      <c r="L192" s="342">
        <f t="shared" si="109"/>
        <v>1</v>
      </c>
      <c r="M192" s="342">
        <f t="shared" si="109"/>
        <v>1</v>
      </c>
      <c r="N192" s="342">
        <f t="shared" si="109"/>
        <v>1</v>
      </c>
      <c r="O192" s="342">
        <f t="shared" si="109"/>
        <v>1</v>
      </c>
      <c r="P192" s="342">
        <f t="shared" si="109"/>
        <v>1</v>
      </c>
      <c r="Q192" s="342">
        <f t="shared" si="109"/>
        <v>1</v>
      </c>
      <c r="R192" s="342">
        <f t="shared" si="109"/>
        <v>1</v>
      </c>
      <c r="S192" s="342">
        <f t="shared" si="109"/>
        <v>1</v>
      </c>
      <c r="T192" s="342">
        <f t="shared" si="108"/>
        <v>1</v>
      </c>
      <c r="U192" s="342">
        <f t="shared" si="108"/>
        <v>1</v>
      </c>
      <c r="V192" s="342">
        <f t="shared" si="108"/>
        <v>1</v>
      </c>
      <c r="W192" s="342">
        <f t="shared" si="108"/>
        <v>1</v>
      </c>
      <c r="X192" s="342">
        <f t="shared" si="108"/>
        <v>1</v>
      </c>
      <c r="Y192" s="342">
        <f t="shared" si="108"/>
        <v>1</v>
      </c>
      <c r="Z192" s="342">
        <f t="shared" si="108"/>
        <v>1</v>
      </c>
      <c r="AA192" s="342">
        <f t="shared" si="108"/>
        <v>1</v>
      </c>
      <c r="AB192" s="342">
        <f t="shared" si="108"/>
        <v>1</v>
      </c>
      <c r="AC192" s="342">
        <f t="shared" si="108"/>
        <v>1</v>
      </c>
      <c r="AD192" s="342">
        <f t="shared" si="108"/>
        <v>1</v>
      </c>
      <c r="AE192" s="342">
        <f t="shared" si="108"/>
        <v>1</v>
      </c>
      <c r="AF192" s="342">
        <f t="shared" si="108"/>
        <v>1</v>
      </c>
      <c r="AG192" s="342">
        <f t="shared" si="108"/>
        <v>1</v>
      </c>
      <c r="AH192" s="342">
        <f t="shared" si="108"/>
        <v>1</v>
      </c>
      <c r="AI192" s="342">
        <f t="shared" si="108"/>
        <v>1</v>
      </c>
      <c r="AJ192" s="342">
        <f t="shared" si="108"/>
        <v>1</v>
      </c>
      <c r="AK192" s="342">
        <f t="shared" si="108"/>
        <v>1</v>
      </c>
      <c r="AL192" s="342">
        <f t="shared" si="108"/>
        <v>1</v>
      </c>
      <c r="AM192" s="342">
        <f t="shared" si="108"/>
        <v>1</v>
      </c>
    </row>
    <row r="193" spans="2:39" s="256" customFormat="1" outlineLevel="1" x14ac:dyDescent="0.25">
      <c r="B193" s="256" t="str">
        <f t="shared" si="106"/>
        <v>DepoNedd</v>
      </c>
      <c r="C193" s="257" t="s">
        <v>242</v>
      </c>
      <c r="D193" s="342">
        <f t="shared" si="107"/>
        <v>1</v>
      </c>
      <c r="E193" s="342">
        <f t="shared" si="108"/>
        <v>1</v>
      </c>
      <c r="F193" s="342">
        <f t="shared" si="108"/>
        <v>1</v>
      </c>
      <c r="G193" s="342">
        <f t="shared" si="108"/>
        <v>1</v>
      </c>
      <c r="H193" s="342">
        <f t="shared" si="108"/>
        <v>1</v>
      </c>
      <c r="I193" s="342">
        <f t="shared" si="108"/>
        <v>1</v>
      </c>
      <c r="J193" s="342">
        <f t="shared" si="108"/>
        <v>1</v>
      </c>
      <c r="K193" s="342">
        <f t="shared" si="108"/>
        <v>1</v>
      </c>
      <c r="L193" s="342">
        <f t="shared" si="108"/>
        <v>1</v>
      </c>
      <c r="M193" s="342">
        <f t="shared" si="108"/>
        <v>1</v>
      </c>
      <c r="N193" s="342">
        <f t="shared" si="108"/>
        <v>1</v>
      </c>
      <c r="O193" s="342">
        <f t="shared" si="108"/>
        <v>1</v>
      </c>
      <c r="P193" s="342">
        <f t="shared" si="108"/>
        <v>1</v>
      </c>
      <c r="Q193" s="342">
        <f t="shared" si="108"/>
        <v>1</v>
      </c>
      <c r="R193" s="342">
        <f t="shared" si="108"/>
        <v>1</v>
      </c>
      <c r="S193" s="342">
        <f t="shared" si="108"/>
        <v>1</v>
      </c>
      <c r="T193" s="342">
        <f t="shared" si="108"/>
        <v>1</v>
      </c>
      <c r="U193" s="342">
        <f t="shared" si="108"/>
        <v>1</v>
      </c>
      <c r="V193" s="342">
        <f t="shared" si="108"/>
        <v>1</v>
      </c>
      <c r="W193" s="342">
        <f t="shared" si="108"/>
        <v>1</v>
      </c>
      <c r="X193" s="342">
        <f t="shared" si="108"/>
        <v>1</v>
      </c>
      <c r="Y193" s="342">
        <f t="shared" si="108"/>
        <v>1</v>
      </c>
      <c r="Z193" s="342">
        <f t="shared" si="108"/>
        <v>1</v>
      </c>
      <c r="AA193" s="342">
        <f t="shared" si="108"/>
        <v>1</v>
      </c>
      <c r="AB193" s="342">
        <f t="shared" si="108"/>
        <v>1</v>
      </c>
      <c r="AC193" s="342">
        <f t="shared" si="108"/>
        <v>1</v>
      </c>
      <c r="AD193" s="342">
        <f t="shared" si="108"/>
        <v>1</v>
      </c>
      <c r="AE193" s="342">
        <f t="shared" si="108"/>
        <v>1</v>
      </c>
      <c r="AF193" s="342">
        <f t="shared" si="108"/>
        <v>1</v>
      </c>
      <c r="AG193" s="342">
        <f t="shared" si="108"/>
        <v>1</v>
      </c>
      <c r="AH193" s="342">
        <f t="shared" si="108"/>
        <v>1</v>
      </c>
      <c r="AI193" s="342">
        <f t="shared" si="108"/>
        <v>1</v>
      </c>
      <c r="AJ193" s="342">
        <f t="shared" si="108"/>
        <v>1</v>
      </c>
      <c r="AK193" s="342">
        <f t="shared" si="108"/>
        <v>1</v>
      </c>
      <c r="AL193" s="342">
        <f t="shared" si="108"/>
        <v>1</v>
      </c>
      <c r="AM193" s="342">
        <f t="shared" si="108"/>
        <v>1</v>
      </c>
    </row>
    <row r="194" spans="2:39" s="256" customFormat="1" outlineLevel="1" x14ac:dyDescent="0.25">
      <c r="B194" s="256" t="str">
        <f t="shared" si="106"/>
        <v>Dagren</v>
      </c>
      <c r="C194" s="257" t="s">
        <v>242</v>
      </c>
      <c r="D194" s="342">
        <f t="shared" si="107"/>
        <v>1</v>
      </c>
      <c r="E194" s="342">
        <f t="shared" si="108"/>
        <v>1</v>
      </c>
      <c r="F194" s="342">
        <f t="shared" si="108"/>
        <v>1</v>
      </c>
      <c r="G194" s="342">
        <f t="shared" si="108"/>
        <v>1</v>
      </c>
      <c r="H194" s="342">
        <f t="shared" si="108"/>
        <v>1</v>
      </c>
      <c r="I194" s="342">
        <f t="shared" si="108"/>
        <v>1</v>
      </c>
      <c r="J194" s="342">
        <f t="shared" si="108"/>
        <v>1</v>
      </c>
      <c r="K194" s="342">
        <f t="shared" si="108"/>
        <v>1</v>
      </c>
      <c r="L194" s="342">
        <f t="shared" si="108"/>
        <v>1</v>
      </c>
      <c r="M194" s="342">
        <f t="shared" si="108"/>
        <v>1</v>
      </c>
      <c r="N194" s="342">
        <f t="shared" si="108"/>
        <v>1</v>
      </c>
      <c r="O194" s="342">
        <f t="shared" si="108"/>
        <v>1</v>
      </c>
      <c r="P194" s="342">
        <f t="shared" si="108"/>
        <v>1</v>
      </c>
      <c r="Q194" s="342">
        <f t="shared" si="108"/>
        <v>1</v>
      </c>
      <c r="R194" s="342">
        <f t="shared" si="108"/>
        <v>1</v>
      </c>
      <c r="S194" s="342">
        <f t="shared" si="108"/>
        <v>1</v>
      </c>
      <c r="T194" s="342">
        <f t="shared" si="108"/>
        <v>1</v>
      </c>
      <c r="U194" s="342">
        <f t="shared" si="108"/>
        <v>1</v>
      </c>
      <c r="V194" s="342">
        <f t="shared" si="108"/>
        <v>1</v>
      </c>
      <c r="W194" s="342">
        <f t="shared" si="108"/>
        <v>1</v>
      </c>
      <c r="X194" s="342">
        <f t="shared" si="108"/>
        <v>1</v>
      </c>
      <c r="Y194" s="342">
        <f t="shared" si="108"/>
        <v>1</v>
      </c>
      <c r="Z194" s="342">
        <f t="shared" si="108"/>
        <v>1</v>
      </c>
      <c r="AA194" s="342">
        <f t="shared" si="108"/>
        <v>1</v>
      </c>
      <c r="AB194" s="342">
        <f t="shared" si="108"/>
        <v>1</v>
      </c>
      <c r="AC194" s="342">
        <f t="shared" si="108"/>
        <v>1</v>
      </c>
      <c r="AD194" s="342">
        <f t="shared" si="108"/>
        <v>1</v>
      </c>
      <c r="AE194" s="342">
        <f t="shared" si="108"/>
        <v>1</v>
      </c>
      <c r="AF194" s="342">
        <f t="shared" si="108"/>
        <v>1</v>
      </c>
      <c r="AG194" s="342">
        <f t="shared" si="108"/>
        <v>1</v>
      </c>
      <c r="AH194" s="342">
        <f t="shared" si="108"/>
        <v>1</v>
      </c>
      <c r="AI194" s="342">
        <f t="shared" si="108"/>
        <v>1</v>
      </c>
      <c r="AJ194" s="342">
        <f t="shared" si="108"/>
        <v>1</v>
      </c>
      <c r="AK194" s="342">
        <f t="shared" si="108"/>
        <v>1</v>
      </c>
      <c r="AL194" s="342">
        <f t="shared" si="108"/>
        <v>1</v>
      </c>
      <c r="AM194" s="342">
        <f t="shared" si="108"/>
        <v>1</v>
      </c>
    </row>
    <row r="195" spans="2:39" s="256" customFormat="1" outlineLevel="1" x14ac:dyDescent="0.25">
      <c r="B195" s="256" t="str">
        <f t="shared" si="106"/>
        <v>AndetBrand</v>
      </c>
      <c r="C195" s="257" t="s">
        <v>242</v>
      </c>
      <c r="D195" s="342">
        <f t="shared" si="107"/>
        <v>1</v>
      </c>
      <c r="E195" s="342">
        <f t="shared" si="108"/>
        <v>1</v>
      </c>
      <c r="F195" s="342">
        <f t="shared" si="108"/>
        <v>1</v>
      </c>
      <c r="G195" s="342">
        <f t="shared" si="108"/>
        <v>1</v>
      </c>
      <c r="H195" s="342">
        <f t="shared" si="108"/>
        <v>1</v>
      </c>
      <c r="I195" s="342">
        <f t="shared" si="108"/>
        <v>1</v>
      </c>
      <c r="J195" s="342">
        <f t="shared" si="108"/>
        <v>1</v>
      </c>
      <c r="K195" s="342">
        <f t="shared" si="108"/>
        <v>1</v>
      </c>
      <c r="L195" s="342">
        <f t="shared" si="108"/>
        <v>1</v>
      </c>
      <c r="M195" s="342">
        <f t="shared" si="108"/>
        <v>1</v>
      </c>
      <c r="N195" s="342">
        <f t="shared" si="108"/>
        <v>1</v>
      </c>
      <c r="O195" s="342">
        <f t="shared" si="108"/>
        <v>1</v>
      </c>
      <c r="P195" s="342">
        <f t="shared" si="108"/>
        <v>1</v>
      </c>
      <c r="Q195" s="342">
        <f t="shared" si="108"/>
        <v>1</v>
      </c>
      <c r="R195" s="342">
        <f t="shared" si="108"/>
        <v>1</v>
      </c>
      <c r="S195" s="342">
        <f t="shared" si="108"/>
        <v>1</v>
      </c>
      <c r="T195" s="342">
        <f t="shared" si="108"/>
        <v>1</v>
      </c>
      <c r="U195" s="342">
        <f t="shared" si="108"/>
        <v>1</v>
      </c>
      <c r="V195" s="342">
        <f t="shared" si="108"/>
        <v>1</v>
      </c>
      <c r="W195" s="342">
        <f t="shared" si="108"/>
        <v>1</v>
      </c>
      <c r="X195" s="342">
        <f t="shared" si="108"/>
        <v>1</v>
      </c>
      <c r="Y195" s="342">
        <f t="shared" si="108"/>
        <v>1</v>
      </c>
      <c r="Z195" s="342">
        <f t="shared" si="108"/>
        <v>1</v>
      </c>
      <c r="AA195" s="342">
        <f t="shared" si="108"/>
        <v>1</v>
      </c>
      <c r="AB195" s="342">
        <f t="shared" si="108"/>
        <v>1</v>
      </c>
      <c r="AC195" s="342">
        <f t="shared" si="108"/>
        <v>1</v>
      </c>
      <c r="AD195" s="342">
        <f t="shared" si="108"/>
        <v>1</v>
      </c>
      <c r="AE195" s="342">
        <f t="shared" si="108"/>
        <v>1</v>
      </c>
      <c r="AF195" s="342">
        <f t="shared" si="108"/>
        <v>1</v>
      </c>
      <c r="AG195" s="342">
        <f t="shared" si="108"/>
        <v>1</v>
      </c>
      <c r="AH195" s="342">
        <f t="shared" si="108"/>
        <v>1</v>
      </c>
      <c r="AI195" s="342">
        <f t="shared" si="108"/>
        <v>1</v>
      </c>
      <c r="AJ195" s="342">
        <f t="shared" si="108"/>
        <v>1</v>
      </c>
      <c r="AK195" s="342">
        <f t="shared" si="108"/>
        <v>1</v>
      </c>
      <c r="AL195" s="342">
        <f t="shared" si="108"/>
        <v>1</v>
      </c>
      <c r="AM195" s="342">
        <f t="shared" si="108"/>
        <v>1</v>
      </c>
    </row>
    <row r="196" spans="2:39" s="256" customFormat="1" outlineLevel="1" x14ac:dyDescent="0.25">
      <c r="B196" s="256" t="str">
        <f t="shared" si="106"/>
        <v>Trae</v>
      </c>
      <c r="C196" s="257" t="s">
        <v>242</v>
      </c>
      <c r="D196" s="342">
        <f t="shared" si="107"/>
        <v>1</v>
      </c>
      <c r="E196" s="342">
        <f t="shared" si="108"/>
        <v>1</v>
      </c>
      <c r="F196" s="342">
        <f t="shared" si="108"/>
        <v>1</v>
      </c>
      <c r="G196" s="342">
        <f t="shared" si="108"/>
        <v>1</v>
      </c>
      <c r="H196" s="342">
        <f t="shared" si="108"/>
        <v>1</v>
      </c>
      <c r="I196" s="342">
        <f t="shared" si="108"/>
        <v>1</v>
      </c>
      <c r="J196" s="342">
        <f t="shared" si="108"/>
        <v>1</v>
      </c>
      <c r="K196" s="342">
        <f t="shared" si="108"/>
        <v>1</v>
      </c>
      <c r="L196" s="342">
        <f t="shared" si="108"/>
        <v>1</v>
      </c>
      <c r="M196" s="342">
        <f t="shared" si="108"/>
        <v>1</v>
      </c>
      <c r="N196" s="342">
        <f t="shared" si="108"/>
        <v>1</v>
      </c>
      <c r="O196" s="342">
        <f t="shared" si="108"/>
        <v>1</v>
      </c>
      <c r="P196" s="342">
        <f t="shared" si="108"/>
        <v>1</v>
      </c>
      <c r="Q196" s="342">
        <f t="shared" si="108"/>
        <v>1</v>
      </c>
      <c r="R196" s="342">
        <f t="shared" si="108"/>
        <v>1</v>
      </c>
      <c r="S196" s="342">
        <f t="shared" si="108"/>
        <v>1</v>
      </c>
      <c r="T196" s="342">
        <f t="shared" si="108"/>
        <v>1</v>
      </c>
      <c r="U196" s="342">
        <f t="shared" si="108"/>
        <v>1</v>
      </c>
      <c r="V196" s="342">
        <f t="shared" si="108"/>
        <v>1</v>
      </c>
      <c r="W196" s="342">
        <f t="shared" si="108"/>
        <v>1</v>
      </c>
      <c r="X196" s="342">
        <f t="shared" si="108"/>
        <v>1</v>
      </c>
      <c r="Y196" s="342">
        <f t="shared" si="108"/>
        <v>1</v>
      </c>
      <c r="Z196" s="342">
        <f t="shared" si="108"/>
        <v>1</v>
      </c>
      <c r="AA196" s="342">
        <f t="shared" si="108"/>
        <v>1</v>
      </c>
      <c r="AB196" s="342">
        <f t="shared" si="108"/>
        <v>1</v>
      </c>
      <c r="AC196" s="342">
        <f t="shared" si="108"/>
        <v>1</v>
      </c>
      <c r="AD196" s="342">
        <f t="shared" si="108"/>
        <v>1</v>
      </c>
      <c r="AE196" s="342">
        <f t="shared" si="108"/>
        <v>1</v>
      </c>
      <c r="AF196" s="342">
        <f t="shared" si="108"/>
        <v>1</v>
      </c>
      <c r="AG196" s="342">
        <f t="shared" si="108"/>
        <v>1</v>
      </c>
      <c r="AH196" s="342">
        <f t="shared" si="108"/>
        <v>1</v>
      </c>
      <c r="AI196" s="342">
        <f t="shared" si="108"/>
        <v>1</v>
      </c>
      <c r="AJ196" s="342">
        <f t="shared" si="108"/>
        <v>1</v>
      </c>
      <c r="AK196" s="342">
        <f t="shared" si="108"/>
        <v>1</v>
      </c>
      <c r="AL196" s="342">
        <f t="shared" si="108"/>
        <v>1</v>
      </c>
      <c r="AM196" s="342">
        <f t="shared" si="108"/>
        <v>1</v>
      </c>
    </row>
    <row r="197" spans="2:39" s="256" customFormat="1" outlineLevel="1" x14ac:dyDescent="0.25">
      <c r="B197" s="256" t="str">
        <f t="shared" si="106"/>
        <v>DagrenRast</v>
      </c>
      <c r="C197" s="257" t="s">
        <v>242</v>
      </c>
      <c r="D197" s="342">
        <f t="shared" si="107"/>
        <v>1</v>
      </c>
      <c r="E197" s="342">
        <f t="shared" si="108"/>
        <v>1</v>
      </c>
      <c r="F197" s="342">
        <f t="shared" si="108"/>
        <v>1</v>
      </c>
      <c r="G197" s="342">
        <f t="shared" si="108"/>
        <v>1</v>
      </c>
      <c r="H197" s="342">
        <f t="shared" si="108"/>
        <v>1</v>
      </c>
      <c r="I197" s="342">
        <f t="shared" si="108"/>
        <v>1</v>
      </c>
      <c r="J197" s="342">
        <f t="shared" si="108"/>
        <v>1</v>
      </c>
      <c r="K197" s="342">
        <f t="shared" si="108"/>
        <v>1</v>
      </c>
      <c r="L197" s="342">
        <f t="shared" si="108"/>
        <v>1</v>
      </c>
      <c r="M197" s="342">
        <f t="shared" si="108"/>
        <v>1</v>
      </c>
      <c r="N197" s="342">
        <f t="shared" si="108"/>
        <v>1</v>
      </c>
      <c r="O197" s="342">
        <f t="shared" si="108"/>
        <v>1</v>
      </c>
      <c r="P197" s="342">
        <f t="shared" si="108"/>
        <v>1</v>
      </c>
      <c r="Q197" s="342">
        <f t="shared" si="108"/>
        <v>1</v>
      </c>
      <c r="R197" s="342">
        <f t="shared" si="108"/>
        <v>1</v>
      </c>
      <c r="S197" s="342">
        <f t="shared" si="108"/>
        <v>1</v>
      </c>
      <c r="T197" s="342">
        <f t="shared" si="108"/>
        <v>1</v>
      </c>
      <c r="U197" s="342">
        <f t="shared" si="108"/>
        <v>1</v>
      </c>
      <c r="V197" s="342">
        <f t="shared" si="108"/>
        <v>1</v>
      </c>
      <c r="W197" s="342">
        <f t="shared" si="108"/>
        <v>1</v>
      </c>
      <c r="X197" s="342">
        <f t="shared" si="108"/>
        <v>1</v>
      </c>
      <c r="Y197" s="342">
        <f t="shared" si="108"/>
        <v>1</v>
      </c>
      <c r="Z197" s="342">
        <f t="shared" si="108"/>
        <v>1</v>
      </c>
      <c r="AA197" s="342">
        <f t="shared" si="108"/>
        <v>1</v>
      </c>
      <c r="AB197" s="342">
        <f t="shared" si="108"/>
        <v>1</v>
      </c>
      <c r="AC197" s="342">
        <f t="shared" si="108"/>
        <v>1</v>
      </c>
      <c r="AD197" s="342">
        <f t="shared" si="108"/>
        <v>1</v>
      </c>
      <c r="AE197" s="342">
        <f t="shared" si="108"/>
        <v>1</v>
      </c>
      <c r="AF197" s="342">
        <f t="shared" si="108"/>
        <v>1</v>
      </c>
      <c r="AG197" s="342">
        <f t="shared" si="108"/>
        <v>1</v>
      </c>
      <c r="AH197" s="342">
        <f t="shared" si="108"/>
        <v>1</v>
      </c>
      <c r="AI197" s="342">
        <f t="shared" si="108"/>
        <v>1</v>
      </c>
      <c r="AJ197" s="342">
        <f t="shared" si="108"/>
        <v>1</v>
      </c>
      <c r="AK197" s="342">
        <f t="shared" si="108"/>
        <v>1</v>
      </c>
      <c r="AL197" s="342">
        <f t="shared" si="108"/>
        <v>1</v>
      </c>
      <c r="AM197" s="342">
        <f t="shared" si="108"/>
        <v>1</v>
      </c>
    </row>
    <row r="198" spans="2:39" s="256" customFormat="1" outlineLevel="1" x14ac:dyDescent="0.25">
      <c r="B198" s="256" t="str">
        <f t="shared" si="106"/>
        <v>DagrenInst</v>
      </c>
      <c r="C198" s="257" t="s">
        <v>242</v>
      </c>
      <c r="D198" s="342">
        <f t="shared" si="107"/>
        <v>1</v>
      </c>
      <c r="E198" s="342">
        <f t="shared" si="108"/>
        <v>1</v>
      </c>
      <c r="F198" s="342">
        <f t="shared" si="108"/>
        <v>1</v>
      </c>
      <c r="G198" s="342">
        <f t="shared" si="108"/>
        <v>1</v>
      </c>
      <c r="H198" s="342">
        <f t="shared" si="108"/>
        <v>1</v>
      </c>
      <c r="I198" s="342">
        <f t="shared" si="108"/>
        <v>1</v>
      </c>
      <c r="J198" s="342">
        <f t="shared" si="108"/>
        <v>1</v>
      </c>
      <c r="K198" s="342">
        <f t="shared" si="108"/>
        <v>1</v>
      </c>
      <c r="L198" s="342">
        <f t="shared" si="108"/>
        <v>1</v>
      </c>
      <c r="M198" s="342">
        <f t="shared" si="108"/>
        <v>1</v>
      </c>
      <c r="N198" s="342">
        <f t="shared" si="108"/>
        <v>1</v>
      </c>
      <c r="O198" s="342">
        <f t="shared" si="108"/>
        <v>1</v>
      </c>
      <c r="P198" s="342">
        <f t="shared" si="108"/>
        <v>1</v>
      </c>
      <c r="Q198" s="342">
        <f t="shared" si="108"/>
        <v>1</v>
      </c>
      <c r="R198" s="342">
        <f t="shared" si="108"/>
        <v>1</v>
      </c>
      <c r="S198" s="342">
        <f t="shared" si="108"/>
        <v>1</v>
      </c>
      <c r="T198" s="342">
        <f t="shared" si="108"/>
        <v>1</v>
      </c>
      <c r="U198" s="342">
        <f t="shared" si="108"/>
        <v>1</v>
      </c>
      <c r="V198" s="342">
        <f t="shared" si="108"/>
        <v>1</v>
      </c>
      <c r="W198" s="342">
        <f t="shared" si="108"/>
        <v>1</v>
      </c>
      <c r="X198" s="342">
        <f t="shared" si="108"/>
        <v>1</v>
      </c>
      <c r="Y198" s="342">
        <f t="shared" si="108"/>
        <v>1</v>
      </c>
      <c r="Z198" s="342">
        <f t="shared" si="108"/>
        <v>1</v>
      </c>
      <c r="AA198" s="342">
        <f t="shared" si="108"/>
        <v>1</v>
      </c>
      <c r="AB198" s="342">
        <f t="shared" si="108"/>
        <v>1</v>
      </c>
      <c r="AC198" s="342">
        <f t="shared" si="108"/>
        <v>1</v>
      </c>
      <c r="AD198" s="342">
        <f t="shared" ref="E198:AM205" si="110">$J12</f>
        <v>1</v>
      </c>
      <c r="AE198" s="342">
        <f t="shared" si="110"/>
        <v>1</v>
      </c>
      <c r="AF198" s="342">
        <f t="shared" si="110"/>
        <v>1</v>
      </c>
      <c r="AG198" s="342">
        <f t="shared" si="110"/>
        <v>1</v>
      </c>
      <c r="AH198" s="342">
        <f t="shared" si="110"/>
        <v>1</v>
      </c>
      <c r="AI198" s="342">
        <f t="shared" si="110"/>
        <v>1</v>
      </c>
      <c r="AJ198" s="342">
        <f t="shared" si="110"/>
        <v>1</v>
      </c>
      <c r="AK198" s="342">
        <f t="shared" si="110"/>
        <v>1</v>
      </c>
      <c r="AL198" s="342">
        <f t="shared" si="110"/>
        <v>1</v>
      </c>
      <c r="AM198" s="342">
        <f t="shared" si="110"/>
        <v>1</v>
      </c>
    </row>
    <row r="199" spans="2:39" s="256" customFormat="1" outlineLevel="1" x14ac:dyDescent="0.25">
      <c r="B199" s="256" t="str">
        <f t="shared" si="106"/>
        <v>DagrenHandel</v>
      </c>
      <c r="C199" s="257" t="s">
        <v>242</v>
      </c>
      <c r="D199" s="342">
        <f t="shared" si="107"/>
        <v>1</v>
      </c>
      <c r="E199" s="342">
        <f t="shared" si="110"/>
        <v>1</v>
      </c>
      <c r="F199" s="342">
        <f t="shared" si="110"/>
        <v>1</v>
      </c>
      <c r="G199" s="342">
        <f t="shared" si="110"/>
        <v>1</v>
      </c>
      <c r="H199" s="342">
        <f t="shared" si="110"/>
        <v>1</v>
      </c>
      <c r="I199" s="342">
        <f t="shared" si="110"/>
        <v>1</v>
      </c>
      <c r="J199" s="342">
        <f t="shared" si="110"/>
        <v>1</v>
      </c>
      <c r="K199" s="342">
        <f t="shared" si="110"/>
        <v>1</v>
      </c>
      <c r="L199" s="342">
        <f t="shared" si="110"/>
        <v>1</v>
      </c>
      <c r="M199" s="342">
        <f t="shared" si="110"/>
        <v>1</v>
      </c>
      <c r="N199" s="342">
        <f t="shared" si="110"/>
        <v>1</v>
      </c>
      <c r="O199" s="342">
        <f t="shared" si="110"/>
        <v>1</v>
      </c>
      <c r="P199" s="342">
        <f t="shared" si="110"/>
        <v>1</v>
      </c>
      <c r="Q199" s="342">
        <f t="shared" si="110"/>
        <v>1</v>
      </c>
      <c r="R199" s="342">
        <f t="shared" si="110"/>
        <v>1</v>
      </c>
      <c r="S199" s="342">
        <f t="shared" si="110"/>
        <v>1</v>
      </c>
      <c r="T199" s="342">
        <f t="shared" si="110"/>
        <v>1</v>
      </c>
      <c r="U199" s="342">
        <f t="shared" si="110"/>
        <v>1</v>
      </c>
      <c r="V199" s="342">
        <f t="shared" si="110"/>
        <v>1</v>
      </c>
      <c r="W199" s="342">
        <f t="shared" si="110"/>
        <v>1</v>
      </c>
      <c r="X199" s="342">
        <f t="shared" si="110"/>
        <v>1</v>
      </c>
      <c r="Y199" s="342">
        <f t="shared" si="110"/>
        <v>1</v>
      </c>
      <c r="Z199" s="342">
        <f t="shared" si="110"/>
        <v>1</v>
      </c>
      <c r="AA199" s="342">
        <f t="shared" si="110"/>
        <v>1</v>
      </c>
      <c r="AB199" s="342">
        <f t="shared" si="110"/>
        <v>1</v>
      </c>
      <c r="AC199" s="342">
        <f t="shared" si="110"/>
        <v>1</v>
      </c>
      <c r="AD199" s="342">
        <f t="shared" si="110"/>
        <v>1</v>
      </c>
      <c r="AE199" s="342">
        <f t="shared" si="110"/>
        <v>1</v>
      </c>
      <c r="AF199" s="342">
        <f t="shared" si="110"/>
        <v>1</v>
      </c>
      <c r="AG199" s="342">
        <f t="shared" si="110"/>
        <v>1</v>
      </c>
      <c r="AH199" s="342">
        <f t="shared" si="110"/>
        <v>1</v>
      </c>
      <c r="AI199" s="342">
        <f t="shared" si="110"/>
        <v>1</v>
      </c>
      <c r="AJ199" s="342">
        <f t="shared" si="110"/>
        <v>1</v>
      </c>
      <c r="AK199" s="342">
        <f t="shared" si="110"/>
        <v>1</v>
      </c>
      <c r="AL199" s="342">
        <f t="shared" si="110"/>
        <v>1</v>
      </c>
      <c r="AM199" s="342">
        <f t="shared" si="110"/>
        <v>1</v>
      </c>
    </row>
    <row r="200" spans="2:39" s="256" customFormat="1" outlineLevel="1" x14ac:dyDescent="0.25">
      <c r="B200" s="256" t="str">
        <f t="shared" si="106"/>
        <v>DagrenRestau</v>
      </c>
      <c r="C200" s="257" t="s">
        <v>242</v>
      </c>
      <c r="D200" s="342">
        <f t="shared" si="107"/>
        <v>1</v>
      </c>
      <c r="E200" s="342">
        <f t="shared" si="110"/>
        <v>1</v>
      </c>
      <c r="F200" s="342">
        <f t="shared" si="110"/>
        <v>1</v>
      </c>
      <c r="G200" s="342">
        <f t="shared" si="110"/>
        <v>1</v>
      </c>
      <c r="H200" s="342">
        <f t="shared" si="110"/>
        <v>1</v>
      </c>
      <c r="I200" s="342">
        <f t="shared" si="110"/>
        <v>1</v>
      </c>
      <c r="J200" s="342">
        <f t="shared" si="110"/>
        <v>1</v>
      </c>
      <c r="K200" s="342">
        <f t="shared" si="110"/>
        <v>1</v>
      </c>
      <c r="L200" s="342">
        <f t="shared" si="110"/>
        <v>1</v>
      </c>
      <c r="M200" s="342">
        <f t="shared" si="110"/>
        <v>1</v>
      </c>
      <c r="N200" s="342">
        <f t="shared" si="110"/>
        <v>1</v>
      </c>
      <c r="O200" s="342">
        <f t="shared" si="110"/>
        <v>1</v>
      </c>
      <c r="P200" s="342">
        <f t="shared" si="110"/>
        <v>1</v>
      </c>
      <c r="Q200" s="342">
        <f t="shared" si="110"/>
        <v>1</v>
      </c>
      <c r="R200" s="342">
        <f t="shared" si="110"/>
        <v>1</v>
      </c>
      <c r="S200" s="342">
        <f t="shared" si="110"/>
        <v>1</v>
      </c>
      <c r="T200" s="342">
        <f t="shared" si="110"/>
        <v>1</v>
      </c>
      <c r="U200" s="342">
        <f t="shared" si="110"/>
        <v>1</v>
      </c>
      <c r="V200" s="342">
        <f t="shared" si="110"/>
        <v>1</v>
      </c>
      <c r="W200" s="342">
        <f t="shared" si="110"/>
        <v>1</v>
      </c>
      <c r="X200" s="342">
        <f t="shared" si="110"/>
        <v>1</v>
      </c>
      <c r="Y200" s="342">
        <f t="shared" si="110"/>
        <v>1</v>
      </c>
      <c r="Z200" s="342">
        <f t="shared" si="110"/>
        <v>1</v>
      </c>
      <c r="AA200" s="342">
        <f t="shared" si="110"/>
        <v>1</v>
      </c>
      <c r="AB200" s="342">
        <f t="shared" si="110"/>
        <v>1</v>
      </c>
      <c r="AC200" s="342">
        <f t="shared" si="110"/>
        <v>1</v>
      </c>
      <c r="AD200" s="342">
        <f t="shared" si="110"/>
        <v>1</v>
      </c>
      <c r="AE200" s="342">
        <f t="shared" si="110"/>
        <v>1</v>
      </c>
      <c r="AF200" s="342">
        <f t="shared" si="110"/>
        <v>1</v>
      </c>
      <c r="AG200" s="342">
        <f t="shared" si="110"/>
        <v>1</v>
      </c>
      <c r="AH200" s="342">
        <f t="shared" si="110"/>
        <v>1</v>
      </c>
      <c r="AI200" s="342">
        <f t="shared" si="110"/>
        <v>1</v>
      </c>
      <c r="AJ200" s="342">
        <f t="shared" si="110"/>
        <v>1</v>
      </c>
      <c r="AK200" s="342">
        <f t="shared" si="110"/>
        <v>1</v>
      </c>
      <c r="AL200" s="342">
        <f t="shared" si="110"/>
        <v>1</v>
      </c>
      <c r="AM200" s="342">
        <f t="shared" si="110"/>
        <v>1</v>
      </c>
    </row>
    <row r="201" spans="2:39" s="256" customFormat="1" outlineLevel="1" x14ac:dyDescent="0.25">
      <c r="B201" s="256" t="str">
        <f t="shared" si="106"/>
        <v>Erhverv</v>
      </c>
      <c r="C201" s="257" t="s">
        <v>242</v>
      </c>
      <c r="D201" s="342">
        <f t="shared" si="107"/>
        <v>1</v>
      </c>
      <c r="E201" s="342">
        <f t="shared" si="110"/>
        <v>1</v>
      </c>
      <c r="F201" s="342">
        <f t="shared" si="110"/>
        <v>1</v>
      </c>
      <c r="G201" s="342">
        <f t="shared" si="110"/>
        <v>1</v>
      </c>
      <c r="H201" s="342">
        <f t="shared" si="110"/>
        <v>1</v>
      </c>
      <c r="I201" s="342">
        <f t="shared" si="110"/>
        <v>1</v>
      </c>
      <c r="J201" s="342">
        <f t="shared" si="110"/>
        <v>1</v>
      </c>
      <c r="K201" s="342">
        <f t="shared" si="110"/>
        <v>1</v>
      </c>
      <c r="L201" s="342">
        <f t="shared" si="110"/>
        <v>1</v>
      </c>
      <c r="M201" s="342">
        <f t="shared" si="110"/>
        <v>1</v>
      </c>
      <c r="N201" s="342">
        <f t="shared" si="110"/>
        <v>1</v>
      </c>
      <c r="O201" s="342">
        <f t="shared" si="110"/>
        <v>1</v>
      </c>
      <c r="P201" s="342">
        <f t="shared" si="110"/>
        <v>1</v>
      </c>
      <c r="Q201" s="342">
        <f t="shared" si="110"/>
        <v>1</v>
      </c>
      <c r="R201" s="342">
        <f t="shared" si="110"/>
        <v>1</v>
      </c>
      <c r="S201" s="342">
        <f t="shared" si="110"/>
        <v>1</v>
      </c>
      <c r="T201" s="342">
        <f t="shared" si="110"/>
        <v>1</v>
      </c>
      <c r="U201" s="342">
        <f t="shared" si="110"/>
        <v>1</v>
      </c>
      <c r="V201" s="342">
        <f t="shared" si="110"/>
        <v>1</v>
      </c>
      <c r="W201" s="342">
        <f t="shared" si="110"/>
        <v>1</v>
      </c>
      <c r="X201" s="342">
        <f t="shared" si="110"/>
        <v>1</v>
      </c>
      <c r="Y201" s="342">
        <f t="shared" si="110"/>
        <v>1</v>
      </c>
      <c r="Z201" s="342">
        <f t="shared" si="110"/>
        <v>1</v>
      </c>
      <c r="AA201" s="342">
        <f t="shared" si="110"/>
        <v>1</v>
      </c>
      <c r="AB201" s="342">
        <f t="shared" si="110"/>
        <v>1</v>
      </c>
      <c r="AC201" s="342">
        <f t="shared" si="110"/>
        <v>1</v>
      </c>
      <c r="AD201" s="342">
        <f t="shared" si="110"/>
        <v>1</v>
      </c>
      <c r="AE201" s="342">
        <f t="shared" si="110"/>
        <v>1</v>
      </c>
      <c r="AF201" s="342">
        <f t="shared" si="110"/>
        <v>1</v>
      </c>
      <c r="AG201" s="342">
        <f t="shared" si="110"/>
        <v>1</v>
      </c>
      <c r="AH201" s="342">
        <f t="shared" si="110"/>
        <v>1</v>
      </c>
      <c r="AI201" s="342">
        <f t="shared" si="110"/>
        <v>1</v>
      </c>
      <c r="AJ201" s="342">
        <f t="shared" si="110"/>
        <v>1</v>
      </c>
      <c r="AK201" s="342">
        <f t="shared" si="110"/>
        <v>1</v>
      </c>
      <c r="AL201" s="342">
        <f t="shared" si="110"/>
        <v>1</v>
      </c>
      <c r="AM201" s="342">
        <f t="shared" si="110"/>
        <v>1</v>
      </c>
    </row>
    <row r="202" spans="2:39" s="256" customFormat="1" outlineLevel="1" x14ac:dyDescent="0.25">
      <c r="B202" s="256" t="str">
        <f t="shared" si="106"/>
        <v>DagrenErhverv</v>
      </c>
      <c r="C202" s="257" t="s">
        <v>242</v>
      </c>
      <c r="D202" s="342">
        <f t="shared" si="107"/>
        <v>1</v>
      </c>
      <c r="E202" s="342">
        <f t="shared" si="110"/>
        <v>1</v>
      </c>
      <c r="F202" s="342">
        <f t="shared" si="110"/>
        <v>1</v>
      </c>
      <c r="G202" s="342">
        <f t="shared" si="110"/>
        <v>1</v>
      </c>
      <c r="H202" s="342">
        <f t="shared" si="110"/>
        <v>1</v>
      </c>
      <c r="I202" s="342">
        <f t="shared" si="110"/>
        <v>1</v>
      </c>
      <c r="J202" s="342">
        <f t="shared" si="110"/>
        <v>1</v>
      </c>
      <c r="K202" s="342">
        <f t="shared" si="110"/>
        <v>1</v>
      </c>
      <c r="L202" s="342">
        <f t="shared" si="110"/>
        <v>1</v>
      </c>
      <c r="M202" s="342">
        <f t="shared" si="110"/>
        <v>1</v>
      </c>
      <c r="N202" s="342">
        <f t="shared" si="110"/>
        <v>1</v>
      </c>
      <c r="O202" s="342">
        <f t="shared" si="110"/>
        <v>1</v>
      </c>
      <c r="P202" s="342">
        <f t="shared" si="110"/>
        <v>1</v>
      </c>
      <c r="Q202" s="342">
        <f t="shared" si="110"/>
        <v>1</v>
      </c>
      <c r="R202" s="342">
        <f t="shared" si="110"/>
        <v>1</v>
      </c>
      <c r="S202" s="342">
        <f t="shared" si="110"/>
        <v>1</v>
      </c>
      <c r="T202" s="342">
        <f t="shared" si="110"/>
        <v>1</v>
      </c>
      <c r="U202" s="342">
        <f t="shared" si="110"/>
        <v>1</v>
      </c>
      <c r="V202" s="342">
        <f t="shared" si="110"/>
        <v>1</v>
      </c>
      <c r="W202" s="342">
        <f t="shared" si="110"/>
        <v>1</v>
      </c>
      <c r="X202" s="342">
        <f t="shared" si="110"/>
        <v>1</v>
      </c>
      <c r="Y202" s="342">
        <f t="shared" si="110"/>
        <v>1</v>
      </c>
      <c r="Z202" s="342">
        <f t="shared" si="110"/>
        <v>1</v>
      </c>
      <c r="AA202" s="342">
        <f t="shared" si="110"/>
        <v>1</v>
      </c>
      <c r="AB202" s="342">
        <f t="shared" si="110"/>
        <v>1</v>
      </c>
      <c r="AC202" s="342">
        <f t="shared" si="110"/>
        <v>1</v>
      </c>
      <c r="AD202" s="342">
        <f t="shared" si="110"/>
        <v>1</v>
      </c>
      <c r="AE202" s="342">
        <f t="shared" si="110"/>
        <v>1</v>
      </c>
      <c r="AF202" s="342">
        <f t="shared" si="110"/>
        <v>1</v>
      </c>
      <c r="AG202" s="342">
        <f t="shared" si="110"/>
        <v>1</v>
      </c>
      <c r="AH202" s="342">
        <f t="shared" si="110"/>
        <v>1</v>
      </c>
      <c r="AI202" s="342">
        <f t="shared" si="110"/>
        <v>1</v>
      </c>
      <c r="AJ202" s="342">
        <f t="shared" si="110"/>
        <v>1</v>
      </c>
      <c r="AK202" s="342">
        <f t="shared" si="110"/>
        <v>1</v>
      </c>
      <c r="AL202" s="342">
        <f t="shared" si="110"/>
        <v>1</v>
      </c>
      <c r="AM202" s="342">
        <f t="shared" si="110"/>
        <v>1</v>
      </c>
    </row>
    <row r="203" spans="2:39" s="256" customFormat="1" outlineLevel="1" x14ac:dyDescent="0.25">
      <c r="B203" s="256" t="str">
        <f t="shared" si="106"/>
        <v>HandelKontor</v>
      </c>
      <c r="C203" s="257" t="s">
        <v>242</v>
      </c>
      <c r="D203" s="342">
        <f t="shared" si="107"/>
        <v>1</v>
      </c>
      <c r="E203" s="342">
        <f t="shared" si="110"/>
        <v>1</v>
      </c>
      <c r="F203" s="342">
        <f t="shared" si="110"/>
        <v>1</v>
      </c>
      <c r="G203" s="342">
        <f t="shared" si="110"/>
        <v>1</v>
      </c>
      <c r="H203" s="342">
        <f t="shared" si="110"/>
        <v>1</v>
      </c>
      <c r="I203" s="342">
        <f t="shared" si="110"/>
        <v>1</v>
      </c>
      <c r="J203" s="342">
        <f t="shared" si="110"/>
        <v>1</v>
      </c>
      <c r="K203" s="342">
        <f t="shared" si="110"/>
        <v>1</v>
      </c>
      <c r="L203" s="342">
        <f t="shared" si="110"/>
        <v>1</v>
      </c>
      <c r="M203" s="342">
        <f t="shared" si="110"/>
        <v>1</v>
      </c>
      <c r="N203" s="342">
        <f t="shared" si="110"/>
        <v>1</v>
      </c>
      <c r="O203" s="342">
        <f t="shared" si="110"/>
        <v>1</v>
      </c>
      <c r="P203" s="342">
        <f t="shared" si="110"/>
        <v>1</v>
      </c>
      <c r="Q203" s="342">
        <f t="shared" si="110"/>
        <v>1</v>
      </c>
      <c r="R203" s="342">
        <f t="shared" si="110"/>
        <v>1</v>
      </c>
      <c r="S203" s="342">
        <f t="shared" si="110"/>
        <v>1</v>
      </c>
      <c r="T203" s="342">
        <f t="shared" si="110"/>
        <v>1</v>
      </c>
      <c r="U203" s="342">
        <f t="shared" si="110"/>
        <v>1</v>
      </c>
      <c r="V203" s="342">
        <f t="shared" si="110"/>
        <v>1</v>
      </c>
      <c r="W203" s="342">
        <f t="shared" si="110"/>
        <v>1</v>
      </c>
      <c r="X203" s="342">
        <f t="shared" si="110"/>
        <v>1</v>
      </c>
      <c r="Y203" s="342">
        <f t="shared" si="110"/>
        <v>1</v>
      </c>
      <c r="Z203" s="342">
        <f t="shared" si="110"/>
        <v>1</v>
      </c>
      <c r="AA203" s="342">
        <f t="shared" si="110"/>
        <v>1</v>
      </c>
      <c r="AB203" s="342">
        <f t="shared" si="110"/>
        <v>1</v>
      </c>
      <c r="AC203" s="342">
        <f t="shared" si="110"/>
        <v>1</v>
      </c>
      <c r="AD203" s="342">
        <f t="shared" si="110"/>
        <v>1</v>
      </c>
      <c r="AE203" s="342">
        <f t="shared" si="110"/>
        <v>1</v>
      </c>
      <c r="AF203" s="342">
        <f t="shared" si="110"/>
        <v>1</v>
      </c>
      <c r="AG203" s="342">
        <f t="shared" si="110"/>
        <v>1</v>
      </c>
      <c r="AH203" s="342">
        <f t="shared" si="110"/>
        <v>1</v>
      </c>
      <c r="AI203" s="342">
        <f t="shared" si="110"/>
        <v>1</v>
      </c>
      <c r="AJ203" s="342">
        <f t="shared" si="110"/>
        <v>1</v>
      </c>
      <c r="AK203" s="342">
        <f t="shared" si="110"/>
        <v>1</v>
      </c>
      <c r="AL203" s="342">
        <f t="shared" si="110"/>
        <v>1</v>
      </c>
      <c r="AM203" s="342">
        <f t="shared" si="110"/>
        <v>1</v>
      </c>
    </row>
    <row r="204" spans="2:39" s="256" customFormat="1" outlineLevel="1" x14ac:dyDescent="0.25">
      <c r="B204" s="256" t="str">
        <f t="shared" si="106"/>
        <v>Privat</v>
      </c>
      <c r="C204" s="257" t="s">
        <v>242</v>
      </c>
      <c r="D204" s="342">
        <f t="shared" si="107"/>
        <v>1</v>
      </c>
      <c r="E204" s="342">
        <f t="shared" si="110"/>
        <v>1</v>
      </c>
      <c r="F204" s="342">
        <f t="shared" si="110"/>
        <v>1</v>
      </c>
      <c r="G204" s="342">
        <f t="shared" si="110"/>
        <v>1</v>
      </c>
      <c r="H204" s="342">
        <f t="shared" si="110"/>
        <v>1</v>
      </c>
      <c r="I204" s="342">
        <f t="shared" si="110"/>
        <v>1</v>
      </c>
      <c r="J204" s="342">
        <f t="shared" si="110"/>
        <v>1</v>
      </c>
      <c r="K204" s="342">
        <f t="shared" si="110"/>
        <v>1</v>
      </c>
      <c r="L204" s="342">
        <f t="shared" si="110"/>
        <v>1</v>
      </c>
      <c r="M204" s="342">
        <f t="shared" si="110"/>
        <v>1</v>
      </c>
      <c r="N204" s="342">
        <f t="shared" si="110"/>
        <v>1</v>
      </c>
      <c r="O204" s="342">
        <f t="shared" si="110"/>
        <v>1</v>
      </c>
      <c r="P204" s="342">
        <f t="shared" si="110"/>
        <v>1</v>
      </c>
      <c r="Q204" s="342">
        <f t="shared" si="110"/>
        <v>1</v>
      </c>
      <c r="R204" s="342">
        <f t="shared" si="110"/>
        <v>1</v>
      </c>
      <c r="S204" s="342">
        <f t="shared" si="110"/>
        <v>1</v>
      </c>
      <c r="T204" s="342">
        <f t="shared" si="110"/>
        <v>1</v>
      </c>
      <c r="U204" s="342">
        <f t="shared" si="110"/>
        <v>1</v>
      </c>
      <c r="V204" s="342">
        <f t="shared" si="110"/>
        <v>1</v>
      </c>
      <c r="W204" s="342">
        <f t="shared" si="110"/>
        <v>1</v>
      </c>
      <c r="X204" s="342">
        <f t="shared" si="110"/>
        <v>1</v>
      </c>
      <c r="Y204" s="342">
        <f t="shared" si="110"/>
        <v>1</v>
      </c>
      <c r="Z204" s="342">
        <f t="shared" si="110"/>
        <v>1</v>
      </c>
      <c r="AA204" s="342">
        <f t="shared" si="110"/>
        <v>1</v>
      </c>
      <c r="AB204" s="342">
        <f t="shared" si="110"/>
        <v>1</v>
      </c>
      <c r="AC204" s="342">
        <f t="shared" si="110"/>
        <v>1</v>
      </c>
      <c r="AD204" s="342">
        <f t="shared" si="110"/>
        <v>1</v>
      </c>
      <c r="AE204" s="342">
        <f t="shared" si="110"/>
        <v>1</v>
      </c>
      <c r="AF204" s="342">
        <f t="shared" si="110"/>
        <v>1</v>
      </c>
      <c r="AG204" s="342">
        <f t="shared" si="110"/>
        <v>1</v>
      </c>
      <c r="AH204" s="342">
        <f t="shared" si="110"/>
        <v>1</v>
      </c>
      <c r="AI204" s="342">
        <f t="shared" si="110"/>
        <v>1</v>
      </c>
      <c r="AJ204" s="342">
        <f t="shared" si="110"/>
        <v>1</v>
      </c>
      <c r="AK204" s="342">
        <f t="shared" si="110"/>
        <v>1</v>
      </c>
      <c r="AL204" s="342">
        <f t="shared" si="110"/>
        <v>1</v>
      </c>
      <c r="AM204" s="342">
        <f t="shared" si="110"/>
        <v>1</v>
      </c>
    </row>
    <row r="205" spans="2:39" s="256" customFormat="1" outlineLevel="1" x14ac:dyDescent="0.25">
      <c r="B205" s="256" t="str">
        <f t="shared" si="106"/>
        <v>TyskRest</v>
      </c>
      <c r="C205" s="257" t="s">
        <v>242</v>
      </c>
      <c r="D205" s="342">
        <f t="shared" si="107"/>
        <v>1</v>
      </c>
      <c r="E205" s="342">
        <f t="shared" si="110"/>
        <v>1</v>
      </c>
      <c r="F205" s="342">
        <f t="shared" si="110"/>
        <v>1</v>
      </c>
      <c r="G205" s="342">
        <f t="shared" si="110"/>
        <v>1</v>
      </c>
      <c r="H205" s="342">
        <f t="shared" si="110"/>
        <v>1</v>
      </c>
      <c r="I205" s="342">
        <f t="shared" si="110"/>
        <v>1</v>
      </c>
      <c r="J205" s="342">
        <f t="shared" si="110"/>
        <v>1</v>
      </c>
      <c r="K205" s="342">
        <f t="shared" si="110"/>
        <v>1</v>
      </c>
      <c r="L205" s="342">
        <f t="shared" si="110"/>
        <v>1</v>
      </c>
      <c r="M205" s="342">
        <f t="shared" si="110"/>
        <v>1</v>
      </c>
      <c r="N205" s="342">
        <f t="shared" si="110"/>
        <v>1</v>
      </c>
      <c r="O205" s="342">
        <f t="shared" si="110"/>
        <v>1</v>
      </c>
      <c r="P205" s="342">
        <f t="shared" si="110"/>
        <v>1</v>
      </c>
      <c r="Q205" s="342">
        <f t="shared" si="110"/>
        <v>1</v>
      </c>
      <c r="R205" s="342">
        <f t="shared" si="110"/>
        <v>1</v>
      </c>
      <c r="S205" s="342">
        <f t="shared" si="110"/>
        <v>1</v>
      </c>
      <c r="T205" s="342">
        <f t="shared" si="110"/>
        <v>1</v>
      </c>
      <c r="U205" s="342">
        <f t="shared" si="110"/>
        <v>1</v>
      </c>
      <c r="V205" s="342">
        <f t="shared" si="110"/>
        <v>1</v>
      </c>
      <c r="W205" s="342">
        <f t="shared" si="110"/>
        <v>1</v>
      </c>
      <c r="X205" s="342">
        <f t="shared" si="110"/>
        <v>1</v>
      </c>
      <c r="Y205" s="342">
        <f t="shared" si="110"/>
        <v>1</v>
      </c>
      <c r="Z205" s="342">
        <f t="shared" si="110"/>
        <v>1</v>
      </c>
      <c r="AA205" s="342">
        <f t="shared" si="110"/>
        <v>1</v>
      </c>
      <c r="AB205" s="342">
        <f t="shared" si="110"/>
        <v>1</v>
      </c>
      <c r="AC205" s="342">
        <f t="shared" si="110"/>
        <v>1</v>
      </c>
      <c r="AD205" s="342">
        <f t="shared" si="110"/>
        <v>1</v>
      </c>
      <c r="AE205" s="342">
        <f t="shared" si="110"/>
        <v>1</v>
      </c>
      <c r="AF205" s="342">
        <f t="shared" si="110"/>
        <v>1</v>
      </c>
      <c r="AG205" s="342">
        <f t="shared" si="110"/>
        <v>1</v>
      </c>
      <c r="AH205" s="342">
        <f t="shared" si="110"/>
        <v>1</v>
      </c>
      <c r="AI205" s="342">
        <f t="shared" si="110"/>
        <v>1</v>
      </c>
      <c r="AJ205" s="342">
        <f t="shared" si="110"/>
        <v>1</v>
      </c>
      <c r="AK205" s="342">
        <f t="shared" si="110"/>
        <v>1</v>
      </c>
      <c r="AL205" s="342">
        <f t="shared" si="110"/>
        <v>1</v>
      </c>
      <c r="AM205" s="342">
        <f t="shared" si="110"/>
        <v>1</v>
      </c>
    </row>
    <row r="206" spans="2:39" s="256" customFormat="1" outlineLevel="1" x14ac:dyDescent="0.25">
      <c r="B206" s="256" t="str">
        <f t="shared" si="106"/>
        <v>PolskRest</v>
      </c>
      <c r="C206" s="257" t="s">
        <v>242</v>
      </c>
      <c r="D206" s="342">
        <f t="shared" si="107"/>
        <v>1</v>
      </c>
      <c r="E206" s="342">
        <f t="shared" ref="E206:AM213" si="111">$J20</f>
        <v>1</v>
      </c>
      <c r="F206" s="342">
        <f t="shared" si="111"/>
        <v>1</v>
      </c>
      <c r="G206" s="342">
        <f t="shared" si="111"/>
        <v>1</v>
      </c>
      <c r="H206" s="342">
        <f t="shared" si="111"/>
        <v>1</v>
      </c>
      <c r="I206" s="342">
        <f t="shared" si="111"/>
        <v>1</v>
      </c>
      <c r="J206" s="342">
        <f t="shared" si="111"/>
        <v>1</v>
      </c>
      <c r="K206" s="342">
        <f t="shared" si="111"/>
        <v>1</v>
      </c>
      <c r="L206" s="342">
        <f t="shared" si="111"/>
        <v>1</v>
      </c>
      <c r="M206" s="342">
        <f t="shared" si="111"/>
        <v>1</v>
      </c>
      <c r="N206" s="342">
        <f t="shared" si="111"/>
        <v>1</v>
      </c>
      <c r="O206" s="342">
        <f t="shared" si="111"/>
        <v>1</v>
      </c>
      <c r="P206" s="342">
        <f t="shared" si="111"/>
        <v>1</v>
      </c>
      <c r="Q206" s="342">
        <f t="shared" si="111"/>
        <v>1</v>
      </c>
      <c r="R206" s="342">
        <f t="shared" si="111"/>
        <v>1</v>
      </c>
      <c r="S206" s="342">
        <f t="shared" si="111"/>
        <v>1</v>
      </c>
      <c r="T206" s="342">
        <f t="shared" si="111"/>
        <v>1</v>
      </c>
      <c r="U206" s="342">
        <f t="shared" si="111"/>
        <v>1</v>
      </c>
      <c r="V206" s="342">
        <f t="shared" si="111"/>
        <v>1</v>
      </c>
      <c r="W206" s="342">
        <f t="shared" si="111"/>
        <v>1</v>
      </c>
      <c r="X206" s="342">
        <f t="shared" si="111"/>
        <v>1</v>
      </c>
      <c r="Y206" s="342">
        <f t="shared" si="111"/>
        <v>1</v>
      </c>
      <c r="Z206" s="342">
        <f t="shared" si="111"/>
        <v>1</v>
      </c>
      <c r="AA206" s="342">
        <f t="shared" si="111"/>
        <v>1</v>
      </c>
      <c r="AB206" s="342">
        <f t="shared" si="111"/>
        <v>1</v>
      </c>
      <c r="AC206" s="342">
        <f t="shared" si="111"/>
        <v>1</v>
      </c>
      <c r="AD206" s="342">
        <f t="shared" si="111"/>
        <v>1</v>
      </c>
      <c r="AE206" s="342">
        <f t="shared" si="111"/>
        <v>1</v>
      </c>
      <c r="AF206" s="342">
        <f t="shared" si="111"/>
        <v>1</v>
      </c>
      <c r="AG206" s="342">
        <f t="shared" si="111"/>
        <v>1</v>
      </c>
      <c r="AH206" s="342">
        <f t="shared" si="111"/>
        <v>1</v>
      </c>
      <c r="AI206" s="342">
        <f t="shared" si="111"/>
        <v>1</v>
      </c>
      <c r="AJ206" s="342">
        <f t="shared" si="111"/>
        <v>1</v>
      </c>
      <c r="AK206" s="342">
        <f t="shared" si="111"/>
        <v>1</v>
      </c>
      <c r="AL206" s="342">
        <f t="shared" si="111"/>
        <v>1</v>
      </c>
      <c r="AM206" s="342">
        <f t="shared" si="111"/>
        <v>1</v>
      </c>
    </row>
    <row r="207" spans="2:39" s="256" customFormat="1" outlineLevel="1" x14ac:dyDescent="0.25">
      <c r="B207" s="256" t="str">
        <f t="shared" si="106"/>
        <v>PcbTrae</v>
      </c>
      <c r="C207" s="257" t="s">
        <v>242</v>
      </c>
      <c r="D207" s="342">
        <f t="shared" si="107"/>
        <v>1</v>
      </c>
      <c r="E207" s="342">
        <f t="shared" si="111"/>
        <v>1</v>
      </c>
      <c r="F207" s="342">
        <f t="shared" si="111"/>
        <v>1</v>
      </c>
      <c r="G207" s="342">
        <f t="shared" si="111"/>
        <v>1</v>
      </c>
      <c r="H207" s="342">
        <f t="shared" si="111"/>
        <v>1</v>
      </c>
      <c r="I207" s="342">
        <f t="shared" si="111"/>
        <v>1</v>
      </c>
      <c r="J207" s="342">
        <f t="shared" si="111"/>
        <v>1</v>
      </c>
      <c r="K207" s="342">
        <f t="shared" si="111"/>
        <v>1</v>
      </c>
      <c r="L207" s="342">
        <f t="shared" si="111"/>
        <v>1</v>
      </c>
      <c r="M207" s="342">
        <f t="shared" si="111"/>
        <v>1</v>
      </c>
      <c r="N207" s="342">
        <f t="shared" si="111"/>
        <v>1</v>
      </c>
      <c r="O207" s="342">
        <f t="shared" si="111"/>
        <v>1</v>
      </c>
      <c r="P207" s="342">
        <f t="shared" si="111"/>
        <v>1</v>
      </c>
      <c r="Q207" s="342">
        <f t="shared" si="111"/>
        <v>1</v>
      </c>
      <c r="R207" s="342">
        <f t="shared" si="111"/>
        <v>1</v>
      </c>
      <c r="S207" s="342">
        <f t="shared" si="111"/>
        <v>1</v>
      </c>
      <c r="T207" s="342">
        <f t="shared" si="111"/>
        <v>1</v>
      </c>
      <c r="U207" s="342">
        <f t="shared" si="111"/>
        <v>1</v>
      </c>
      <c r="V207" s="342">
        <f t="shared" si="111"/>
        <v>1</v>
      </c>
      <c r="W207" s="342">
        <f t="shared" si="111"/>
        <v>1</v>
      </c>
      <c r="X207" s="342">
        <f t="shared" si="111"/>
        <v>1</v>
      </c>
      <c r="Y207" s="342">
        <f t="shared" si="111"/>
        <v>1</v>
      </c>
      <c r="Z207" s="342">
        <f t="shared" si="111"/>
        <v>1</v>
      </c>
      <c r="AA207" s="342">
        <f t="shared" si="111"/>
        <v>1</v>
      </c>
      <c r="AB207" s="342">
        <f t="shared" si="111"/>
        <v>1</v>
      </c>
      <c r="AC207" s="342">
        <f t="shared" si="111"/>
        <v>1</v>
      </c>
      <c r="AD207" s="342">
        <f t="shared" si="111"/>
        <v>1</v>
      </c>
      <c r="AE207" s="342">
        <f t="shared" si="111"/>
        <v>1</v>
      </c>
      <c r="AF207" s="342">
        <f t="shared" si="111"/>
        <v>1</v>
      </c>
      <c r="AG207" s="342">
        <f t="shared" si="111"/>
        <v>1</v>
      </c>
      <c r="AH207" s="342">
        <f t="shared" si="111"/>
        <v>1</v>
      </c>
      <c r="AI207" s="342">
        <f t="shared" si="111"/>
        <v>1</v>
      </c>
      <c r="AJ207" s="342">
        <f t="shared" si="111"/>
        <v>1</v>
      </c>
      <c r="AK207" s="342">
        <f t="shared" si="111"/>
        <v>1</v>
      </c>
      <c r="AL207" s="342">
        <f t="shared" si="111"/>
        <v>1</v>
      </c>
      <c r="AM207" s="342">
        <f t="shared" si="111"/>
        <v>1</v>
      </c>
    </row>
    <row r="208" spans="2:39" s="256" customFormat="1" outlineLevel="1" x14ac:dyDescent="0.25">
      <c r="B208" s="256" t="str">
        <f t="shared" si="106"/>
        <v>TraeRekv</v>
      </c>
      <c r="C208" s="257" t="s">
        <v>242</v>
      </c>
      <c r="D208" s="342">
        <f t="shared" si="107"/>
        <v>1</v>
      </c>
      <c r="E208" s="342">
        <f t="shared" si="111"/>
        <v>1</v>
      </c>
      <c r="F208" s="342">
        <f t="shared" si="111"/>
        <v>1</v>
      </c>
      <c r="G208" s="342">
        <f t="shared" si="111"/>
        <v>1</v>
      </c>
      <c r="H208" s="342">
        <f t="shared" si="111"/>
        <v>1</v>
      </c>
      <c r="I208" s="342">
        <f t="shared" si="111"/>
        <v>1</v>
      </c>
      <c r="J208" s="342">
        <f t="shared" si="111"/>
        <v>1</v>
      </c>
      <c r="K208" s="342">
        <f t="shared" si="111"/>
        <v>1</v>
      </c>
      <c r="L208" s="342">
        <f t="shared" si="111"/>
        <v>1</v>
      </c>
      <c r="M208" s="342">
        <f t="shared" si="111"/>
        <v>1</v>
      </c>
      <c r="N208" s="342">
        <f t="shared" si="111"/>
        <v>1</v>
      </c>
      <c r="O208" s="342">
        <f t="shared" si="111"/>
        <v>1</v>
      </c>
      <c r="P208" s="342">
        <f t="shared" si="111"/>
        <v>1</v>
      </c>
      <c r="Q208" s="342">
        <f t="shared" si="111"/>
        <v>1</v>
      </c>
      <c r="R208" s="342">
        <f t="shared" si="111"/>
        <v>1</v>
      </c>
      <c r="S208" s="342">
        <f t="shared" si="111"/>
        <v>1</v>
      </c>
      <c r="T208" s="342">
        <f t="shared" si="111"/>
        <v>1</v>
      </c>
      <c r="U208" s="342">
        <f t="shared" si="111"/>
        <v>1</v>
      </c>
      <c r="V208" s="342">
        <f t="shared" si="111"/>
        <v>1</v>
      </c>
      <c r="W208" s="342">
        <f t="shared" si="111"/>
        <v>1</v>
      </c>
      <c r="X208" s="342">
        <f t="shared" si="111"/>
        <v>1</v>
      </c>
      <c r="Y208" s="342">
        <f t="shared" si="111"/>
        <v>1</v>
      </c>
      <c r="Z208" s="342">
        <f t="shared" si="111"/>
        <v>1</v>
      </c>
      <c r="AA208" s="342">
        <f t="shared" si="111"/>
        <v>1</v>
      </c>
      <c r="AB208" s="342">
        <f t="shared" si="111"/>
        <v>1</v>
      </c>
      <c r="AC208" s="342">
        <f t="shared" si="111"/>
        <v>1</v>
      </c>
      <c r="AD208" s="342">
        <f t="shared" si="111"/>
        <v>1</v>
      </c>
      <c r="AE208" s="342">
        <f t="shared" si="111"/>
        <v>1</v>
      </c>
      <c r="AF208" s="342">
        <f t="shared" si="111"/>
        <v>1</v>
      </c>
      <c r="AG208" s="342">
        <f t="shared" si="111"/>
        <v>1</v>
      </c>
      <c r="AH208" s="342">
        <f t="shared" si="111"/>
        <v>1</v>
      </c>
      <c r="AI208" s="342">
        <f t="shared" si="111"/>
        <v>1</v>
      </c>
      <c r="AJ208" s="342">
        <f t="shared" si="111"/>
        <v>1</v>
      </c>
      <c r="AK208" s="342">
        <f t="shared" si="111"/>
        <v>1</v>
      </c>
      <c r="AL208" s="342">
        <f t="shared" si="111"/>
        <v>1</v>
      </c>
      <c r="AM208" s="342">
        <f t="shared" si="111"/>
        <v>1</v>
      </c>
    </row>
    <row r="209" spans="1:39" s="256" customFormat="1" outlineLevel="1" x14ac:dyDescent="0.25">
      <c r="B209" s="256" t="str">
        <f t="shared" si="106"/>
        <v>Halm</v>
      </c>
      <c r="C209" s="257" t="s">
        <v>242</v>
      </c>
      <c r="D209" s="342">
        <f t="shared" si="107"/>
        <v>1</v>
      </c>
      <c r="E209" s="342">
        <f t="shared" si="111"/>
        <v>1</v>
      </c>
      <c r="F209" s="342">
        <f t="shared" si="111"/>
        <v>1</v>
      </c>
      <c r="G209" s="342">
        <f t="shared" si="111"/>
        <v>1</v>
      </c>
      <c r="H209" s="342">
        <f t="shared" si="111"/>
        <v>1</v>
      </c>
      <c r="I209" s="342">
        <f t="shared" si="111"/>
        <v>1</v>
      </c>
      <c r="J209" s="342">
        <f t="shared" si="111"/>
        <v>1</v>
      </c>
      <c r="K209" s="342">
        <f t="shared" si="111"/>
        <v>1</v>
      </c>
      <c r="L209" s="342">
        <f t="shared" si="111"/>
        <v>1</v>
      </c>
      <c r="M209" s="342">
        <f t="shared" si="111"/>
        <v>1</v>
      </c>
      <c r="N209" s="342">
        <f t="shared" si="111"/>
        <v>1</v>
      </c>
      <c r="O209" s="342">
        <f t="shared" si="111"/>
        <v>1</v>
      </c>
      <c r="P209" s="342">
        <f t="shared" si="111"/>
        <v>1</v>
      </c>
      <c r="Q209" s="342">
        <f t="shared" si="111"/>
        <v>1</v>
      </c>
      <c r="R209" s="342">
        <f t="shared" si="111"/>
        <v>1</v>
      </c>
      <c r="S209" s="342">
        <f t="shared" si="111"/>
        <v>1</v>
      </c>
      <c r="T209" s="342">
        <f t="shared" si="111"/>
        <v>1</v>
      </c>
      <c r="U209" s="342">
        <f t="shared" si="111"/>
        <v>1</v>
      </c>
      <c r="V209" s="342">
        <f t="shared" si="111"/>
        <v>1</v>
      </c>
      <c r="W209" s="342">
        <f t="shared" si="111"/>
        <v>1</v>
      </c>
      <c r="X209" s="342">
        <f t="shared" si="111"/>
        <v>1</v>
      </c>
      <c r="Y209" s="342">
        <f t="shared" si="111"/>
        <v>1</v>
      </c>
      <c r="Z209" s="342">
        <f t="shared" si="111"/>
        <v>1</v>
      </c>
      <c r="AA209" s="342">
        <f t="shared" si="111"/>
        <v>1</v>
      </c>
      <c r="AB209" s="342">
        <f t="shared" si="111"/>
        <v>1</v>
      </c>
      <c r="AC209" s="342">
        <f t="shared" si="111"/>
        <v>1</v>
      </c>
      <c r="AD209" s="342">
        <f t="shared" si="111"/>
        <v>1</v>
      </c>
      <c r="AE209" s="342">
        <f t="shared" si="111"/>
        <v>1</v>
      </c>
      <c r="AF209" s="342">
        <f t="shared" si="111"/>
        <v>1</v>
      </c>
      <c r="AG209" s="342">
        <f t="shared" si="111"/>
        <v>1</v>
      </c>
      <c r="AH209" s="342">
        <f t="shared" si="111"/>
        <v>1</v>
      </c>
      <c r="AI209" s="342">
        <f t="shared" si="111"/>
        <v>1</v>
      </c>
      <c r="AJ209" s="342">
        <f t="shared" si="111"/>
        <v>1</v>
      </c>
      <c r="AK209" s="342">
        <f t="shared" si="111"/>
        <v>1</v>
      </c>
      <c r="AL209" s="342">
        <f t="shared" si="111"/>
        <v>1</v>
      </c>
      <c r="AM209" s="342">
        <f t="shared" si="111"/>
        <v>1</v>
      </c>
    </row>
    <row r="210" spans="1:39" s="256" customFormat="1" outlineLevel="1" x14ac:dyDescent="0.25">
      <c r="A210" s="260"/>
      <c r="B210" s="256" t="str">
        <f t="shared" si="106"/>
        <v>Pulver</v>
      </c>
      <c r="C210" s="257" t="s">
        <v>242</v>
      </c>
      <c r="D210" s="342">
        <f t="shared" si="107"/>
        <v>1</v>
      </c>
      <c r="E210" s="342">
        <f t="shared" si="111"/>
        <v>1</v>
      </c>
      <c r="F210" s="342">
        <f t="shared" si="111"/>
        <v>1</v>
      </c>
      <c r="G210" s="342">
        <f t="shared" si="111"/>
        <v>1</v>
      </c>
      <c r="H210" s="342">
        <f t="shared" si="111"/>
        <v>1</v>
      </c>
      <c r="I210" s="342">
        <f t="shared" si="111"/>
        <v>1</v>
      </c>
      <c r="J210" s="342">
        <f t="shared" si="111"/>
        <v>1</v>
      </c>
      <c r="K210" s="342">
        <f t="shared" si="111"/>
        <v>1</v>
      </c>
      <c r="L210" s="342">
        <f t="shared" si="111"/>
        <v>1</v>
      </c>
      <c r="M210" s="342">
        <f t="shared" si="111"/>
        <v>1</v>
      </c>
      <c r="N210" s="342">
        <f t="shared" si="111"/>
        <v>1</v>
      </c>
      <c r="O210" s="342">
        <f t="shared" si="111"/>
        <v>1</v>
      </c>
      <c r="P210" s="342">
        <f t="shared" si="111"/>
        <v>1</v>
      </c>
      <c r="Q210" s="342">
        <f t="shared" si="111"/>
        <v>1</v>
      </c>
      <c r="R210" s="342">
        <f t="shared" si="111"/>
        <v>1</v>
      </c>
      <c r="S210" s="342">
        <f t="shared" si="111"/>
        <v>1</v>
      </c>
      <c r="T210" s="342">
        <f t="shared" si="111"/>
        <v>1</v>
      </c>
      <c r="U210" s="342">
        <f t="shared" si="111"/>
        <v>1</v>
      </c>
      <c r="V210" s="342">
        <f t="shared" si="111"/>
        <v>1</v>
      </c>
      <c r="W210" s="342">
        <f t="shared" si="111"/>
        <v>1</v>
      </c>
      <c r="X210" s="342">
        <f t="shared" si="111"/>
        <v>1</v>
      </c>
      <c r="Y210" s="342">
        <f t="shared" si="111"/>
        <v>1</v>
      </c>
      <c r="Z210" s="342">
        <f t="shared" si="111"/>
        <v>1</v>
      </c>
      <c r="AA210" s="342">
        <f t="shared" si="111"/>
        <v>1</v>
      </c>
      <c r="AB210" s="342">
        <f t="shared" si="111"/>
        <v>1</v>
      </c>
      <c r="AC210" s="342">
        <f t="shared" si="111"/>
        <v>1</v>
      </c>
      <c r="AD210" s="342">
        <f t="shared" si="111"/>
        <v>1</v>
      </c>
      <c r="AE210" s="342">
        <f t="shared" si="111"/>
        <v>1</v>
      </c>
      <c r="AF210" s="342">
        <f t="shared" si="111"/>
        <v>1</v>
      </c>
      <c r="AG210" s="342">
        <f t="shared" si="111"/>
        <v>1</v>
      </c>
      <c r="AH210" s="342">
        <f t="shared" si="111"/>
        <v>1</v>
      </c>
      <c r="AI210" s="342">
        <f t="shared" si="111"/>
        <v>1</v>
      </c>
      <c r="AJ210" s="342">
        <f t="shared" si="111"/>
        <v>1</v>
      </c>
      <c r="AK210" s="342">
        <f t="shared" si="111"/>
        <v>1</v>
      </c>
      <c r="AL210" s="342">
        <f t="shared" si="111"/>
        <v>1</v>
      </c>
      <c r="AM210" s="342">
        <f t="shared" si="111"/>
        <v>1</v>
      </c>
    </row>
    <row r="211" spans="1:39" s="256" customFormat="1" outlineLevel="1" x14ac:dyDescent="0.25">
      <c r="A211" s="260"/>
      <c r="B211" s="256" t="str">
        <f t="shared" si="106"/>
        <v>FlisAffald</v>
      </c>
      <c r="C211" s="257" t="s">
        <v>242</v>
      </c>
      <c r="D211" s="342">
        <f t="shared" si="107"/>
        <v>1</v>
      </c>
      <c r="E211" s="342">
        <f t="shared" si="111"/>
        <v>1</v>
      </c>
      <c r="F211" s="342">
        <f t="shared" si="111"/>
        <v>1</v>
      </c>
      <c r="G211" s="342">
        <f t="shared" si="111"/>
        <v>1</v>
      </c>
      <c r="H211" s="342">
        <f t="shared" si="111"/>
        <v>1</v>
      </c>
      <c r="I211" s="342">
        <f t="shared" si="111"/>
        <v>1</v>
      </c>
      <c r="J211" s="342">
        <f t="shared" si="111"/>
        <v>1</v>
      </c>
      <c r="K211" s="342">
        <f t="shared" si="111"/>
        <v>1</v>
      </c>
      <c r="L211" s="342">
        <f t="shared" si="111"/>
        <v>1</v>
      </c>
      <c r="M211" s="342">
        <f t="shared" si="111"/>
        <v>1</v>
      </c>
      <c r="N211" s="342">
        <f t="shared" si="111"/>
        <v>1</v>
      </c>
      <c r="O211" s="342">
        <f t="shared" si="111"/>
        <v>1</v>
      </c>
      <c r="P211" s="342">
        <f t="shared" si="111"/>
        <v>1</v>
      </c>
      <c r="Q211" s="342">
        <f t="shared" si="111"/>
        <v>1</v>
      </c>
      <c r="R211" s="342">
        <f t="shared" si="111"/>
        <v>1</v>
      </c>
      <c r="S211" s="342">
        <f t="shared" si="111"/>
        <v>1</v>
      </c>
      <c r="T211" s="342">
        <f t="shared" si="111"/>
        <v>1</v>
      </c>
      <c r="U211" s="342">
        <f t="shared" si="111"/>
        <v>1</v>
      </c>
      <c r="V211" s="342">
        <f t="shared" si="111"/>
        <v>1</v>
      </c>
      <c r="W211" s="342">
        <f t="shared" si="111"/>
        <v>1</v>
      </c>
      <c r="X211" s="342">
        <f t="shared" si="111"/>
        <v>1</v>
      </c>
      <c r="Y211" s="342">
        <f t="shared" si="111"/>
        <v>1</v>
      </c>
      <c r="Z211" s="342">
        <f t="shared" si="111"/>
        <v>1</v>
      </c>
      <c r="AA211" s="342">
        <f t="shared" si="111"/>
        <v>1</v>
      </c>
      <c r="AB211" s="342">
        <f t="shared" si="111"/>
        <v>1</v>
      </c>
      <c r="AC211" s="342">
        <f t="shared" si="111"/>
        <v>1</v>
      </c>
      <c r="AD211" s="342">
        <f t="shared" si="111"/>
        <v>1</v>
      </c>
      <c r="AE211" s="342">
        <f t="shared" si="111"/>
        <v>1</v>
      </c>
      <c r="AF211" s="342">
        <f t="shared" si="111"/>
        <v>1</v>
      </c>
      <c r="AG211" s="342">
        <f t="shared" si="111"/>
        <v>1</v>
      </c>
      <c r="AH211" s="342">
        <f t="shared" si="111"/>
        <v>1</v>
      </c>
      <c r="AI211" s="342">
        <f t="shared" si="111"/>
        <v>1</v>
      </c>
      <c r="AJ211" s="342">
        <f t="shared" si="111"/>
        <v>1</v>
      </c>
      <c r="AK211" s="342">
        <f t="shared" si="111"/>
        <v>1</v>
      </c>
      <c r="AL211" s="342">
        <f t="shared" si="111"/>
        <v>1</v>
      </c>
      <c r="AM211" s="342">
        <f t="shared" si="111"/>
        <v>1</v>
      </c>
    </row>
    <row r="212" spans="1:39" s="256" customFormat="1" outlineLevel="1" x14ac:dyDescent="0.25">
      <c r="A212" s="260"/>
      <c r="B212" s="256" t="str">
        <f t="shared" si="106"/>
        <v>NyAff1</v>
      </c>
      <c r="C212" s="257" t="s">
        <v>242</v>
      </c>
      <c r="D212" s="342">
        <f t="shared" si="107"/>
        <v>1</v>
      </c>
      <c r="E212" s="342">
        <f t="shared" si="111"/>
        <v>1</v>
      </c>
      <c r="F212" s="342">
        <f t="shared" si="111"/>
        <v>1</v>
      </c>
      <c r="G212" s="342">
        <f t="shared" si="111"/>
        <v>1</v>
      </c>
      <c r="H212" s="342">
        <f t="shared" si="111"/>
        <v>1</v>
      </c>
      <c r="I212" s="342">
        <f t="shared" si="111"/>
        <v>1</v>
      </c>
      <c r="J212" s="342">
        <f t="shared" si="111"/>
        <v>1</v>
      </c>
      <c r="K212" s="342">
        <f t="shared" si="111"/>
        <v>1</v>
      </c>
      <c r="L212" s="342">
        <f t="shared" si="111"/>
        <v>1</v>
      </c>
      <c r="M212" s="342">
        <f t="shared" si="111"/>
        <v>1</v>
      </c>
      <c r="N212" s="342">
        <f t="shared" si="111"/>
        <v>1</v>
      </c>
      <c r="O212" s="342">
        <f t="shared" si="111"/>
        <v>1</v>
      </c>
      <c r="P212" s="342">
        <f t="shared" si="111"/>
        <v>1</v>
      </c>
      <c r="Q212" s="342">
        <f t="shared" si="111"/>
        <v>1</v>
      </c>
      <c r="R212" s="342">
        <f t="shared" si="111"/>
        <v>1</v>
      </c>
      <c r="S212" s="342">
        <f t="shared" si="111"/>
        <v>1</v>
      </c>
      <c r="T212" s="342">
        <f t="shared" si="111"/>
        <v>1</v>
      </c>
      <c r="U212" s="342">
        <f t="shared" si="111"/>
        <v>1</v>
      </c>
      <c r="V212" s="342">
        <f t="shared" si="111"/>
        <v>1</v>
      </c>
      <c r="W212" s="342">
        <f t="shared" si="111"/>
        <v>1</v>
      </c>
      <c r="X212" s="342">
        <f t="shared" si="111"/>
        <v>1</v>
      </c>
      <c r="Y212" s="342">
        <f t="shared" si="111"/>
        <v>1</v>
      </c>
      <c r="Z212" s="342">
        <f t="shared" si="111"/>
        <v>1</v>
      </c>
      <c r="AA212" s="342">
        <f t="shared" si="111"/>
        <v>1</v>
      </c>
      <c r="AB212" s="342">
        <f t="shared" si="111"/>
        <v>1</v>
      </c>
      <c r="AC212" s="342">
        <f t="shared" si="111"/>
        <v>1</v>
      </c>
      <c r="AD212" s="342">
        <f t="shared" si="111"/>
        <v>1</v>
      </c>
      <c r="AE212" s="342">
        <f t="shared" si="111"/>
        <v>1</v>
      </c>
      <c r="AF212" s="342">
        <f t="shared" si="111"/>
        <v>1</v>
      </c>
      <c r="AG212" s="342">
        <f t="shared" si="111"/>
        <v>1</v>
      </c>
      <c r="AH212" s="342">
        <f t="shared" si="111"/>
        <v>1</v>
      </c>
      <c r="AI212" s="342">
        <f t="shared" si="111"/>
        <v>1</v>
      </c>
      <c r="AJ212" s="342">
        <f t="shared" si="111"/>
        <v>1</v>
      </c>
      <c r="AK212" s="342">
        <f t="shared" si="111"/>
        <v>1</v>
      </c>
      <c r="AL212" s="342">
        <f t="shared" si="111"/>
        <v>1</v>
      </c>
      <c r="AM212" s="342">
        <f t="shared" si="111"/>
        <v>1</v>
      </c>
    </row>
    <row r="213" spans="1:39" s="256" customFormat="1" outlineLevel="1" x14ac:dyDescent="0.25">
      <c r="B213" s="256" t="str">
        <f t="shared" si="106"/>
        <v>NyAff2</v>
      </c>
      <c r="C213" s="257" t="s">
        <v>242</v>
      </c>
      <c r="D213" s="342">
        <f t="shared" si="107"/>
        <v>1</v>
      </c>
      <c r="E213" s="342">
        <f t="shared" si="111"/>
        <v>1</v>
      </c>
      <c r="F213" s="342">
        <f t="shared" si="111"/>
        <v>1</v>
      </c>
      <c r="G213" s="342">
        <f t="shared" si="111"/>
        <v>1</v>
      </c>
      <c r="H213" s="342">
        <f t="shared" si="111"/>
        <v>1</v>
      </c>
      <c r="I213" s="342">
        <f t="shared" si="111"/>
        <v>1</v>
      </c>
      <c r="J213" s="342">
        <f t="shared" si="111"/>
        <v>1</v>
      </c>
      <c r="K213" s="342">
        <f t="shared" si="111"/>
        <v>1</v>
      </c>
      <c r="L213" s="342">
        <f t="shared" si="111"/>
        <v>1</v>
      </c>
      <c r="M213" s="342">
        <f t="shared" si="111"/>
        <v>1</v>
      </c>
      <c r="N213" s="342">
        <f t="shared" si="111"/>
        <v>1</v>
      </c>
      <c r="O213" s="342">
        <f t="shared" ref="E213:AM219" si="112">$J27</f>
        <v>1</v>
      </c>
      <c r="P213" s="342">
        <f t="shared" si="112"/>
        <v>1</v>
      </c>
      <c r="Q213" s="342">
        <f t="shared" si="112"/>
        <v>1</v>
      </c>
      <c r="R213" s="342">
        <f t="shared" si="112"/>
        <v>1</v>
      </c>
      <c r="S213" s="342">
        <f t="shared" si="112"/>
        <v>1</v>
      </c>
      <c r="T213" s="342">
        <f t="shared" si="112"/>
        <v>1</v>
      </c>
      <c r="U213" s="342">
        <f t="shared" si="112"/>
        <v>1</v>
      </c>
      <c r="V213" s="342">
        <f t="shared" si="112"/>
        <v>1</v>
      </c>
      <c r="W213" s="342">
        <f t="shared" si="112"/>
        <v>1</v>
      </c>
      <c r="X213" s="342">
        <f t="shared" si="112"/>
        <v>1</v>
      </c>
      <c r="Y213" s="342">
        <f t="shared" si="112"/>
        <v>1</v>
      </c>
      <c r="Z213" s="342">
        <f t="shared" si="112"/>
        <v>1</v>
      </c>
      <c r="AA213" s="342">
        <f t="shared" si="112"/>
        <v>1</v>
      </c>
      <c r="AB213" s="342">
        <f t="shared" si="112"/>
        <v>1</v>
      </c>
      <c r="AC213" s="342">
        <f t="shared" si="112"/>
        <v>1</v>
      </c>
      <c r="AD213" s="342">
        <f t="shared" si="112"/>
        <v>1</v>
      </c>
      <c r="AE213" s="342">
        <f t="shared" si="112"/>
        <v>1</v>
      </c>
      <c r="AF213" s="342">
        <f t="shared" si="112"/>
        <v>1</v>
      </c>
      <c r="AG213" s="342">
        <f t="shared" si="112"/>
        <v>1</v>
      </c>
      <c r="AH213" s="342">
        <f t="shared" si="112"/>
        <v>1</v>
      </c>
      <c r="AI213" s="342">
        <f t="shared" si="112"/>
        <v>1</v>
      </c>
      <c r="AJ213" s="342">
        <f t="shared" si="112"/>
        <v>1</v>
      </c>
      <c r="AK213" s="342">
        <f t="shared" si="112"/>
        <v>1</v>
      </c>
      <c r="AL213" s="342">
        <f t="shared" si="112"/>
        <v>1</v>
      </c>
      <c r="AM213" s="342">
        <f t="shared" si="112"/>
        <v>1</v>
      </c>
    </row>
    <row r="214" spans="1:39" s="256" customFormat="1" outlineLevel="1" x14ac:dyDescent="0.25">
      <c r="B214" s="256" t="str">
        <f t="shared" si="106"/>
        <v>NyAff3</v>
      </c>
      <c r="C214" s="257" t="s">
        <v>242</v>
      </c>
      <c r="D214" s="342">
        <f t="shared" si="107"/>
        <v>0</v>
      </c>
      <c r="E214" s="342">
        <f t="shared" si="112"/>
        <v>0</v>
      </c>
      <c r="F214" s="342">
        <f t="shared" si="112"/>
        <v>0</v>
      </c>
      <c r="G214" s="342">
        <f t="shared" si="112"/>
        <v>0</v>
      </c>
      <c r="H214" s="342">
        <f t="shared" si="112"/>
        <v>0</v>
      </c>
      <c r="I214" s="342">
        <f t="shared" si="112"/>
        <v>0</v>
      </c>
      <c r="J214" s="342">
        <f t="shared" si="112"/>
        <v>0</v>
      </c>
      <c r="K214" s="342">
        <f t="shared" si="112"/>
        <v>0</v>
      </c>
      <c r="L214" s="342">
        <f t="shared" si="112"/>
        <v>0</v>
      </c>
      <c r="M214" s="342">
        <f t="shared" si="112"/>
        <v>0</v>
      </c>
      <c r="N214" s="342">
        <f t="shared" si="112"/>
        <v>0</v>
      </c>
      <c r="O214" s="342">
        <f t="shared" si="112"/>
        <v>0</v>
      </c>
      <c r="P214" s="342">
        <f t="shared" si="112"/>
        <v>0</v>
      </c>
      <c r="Q214" s="342">
        <f t="shared" si="112"/>
        <v>0</v>
      </c>
      <c r="R214" s="342">
        <f t="shared" si="112"/>
        <v>0</v>
      </c>
      <c r="S214" s="342">
        <f t="shared" si="112"/>
        <v>0</v>
      </c>
      <c r="T214" s="342">
        <f t="shared" si="112"/>
        <v>0</v>
      </c>
      <c r="U214" s="342">
        <f t="shared" si="112"/>
        <v>0</v>
      </c>
      <c r="V214" s="342">
        <f t="shared" si="112"/>
        <v>0</v>
      </c>
      <c r="W214" s="342">
        <f t="shared" si="112"/>
        <v>0</v>
      </c>
      <c r="X214" s="342">
        <f t="shared" si="112"/>
        <v>0</v>
      </c>
      <c r="Y214" s="342">
        <f t="shared" si="112"/>
        <v>0</v>
      </c>
      <c r="Z214" s="342">
        <f t="shared" si="112"/>
        <v>0</v>
      </c>
      <c r="AA214" s="342">
        <f t="shared" si="112"/>
        <v>0</v>
      </c>
      <c r="AB214" s="342">
        <f t="shared" si="112"/>
        <v>0</v>
      </c>
      <c r="AC214" s="342">
        <f t="shared" si="112"/>
        <v>0</v>
      </c>
      <c r="AD214" s="342">
        <f t="shared" si="112"/>
        <v>0</v>
      </c>
      <c r="AE214" s="342">
        <f t="shared" si="112"/>
        <v>0</v>
      </c>
      <c r="AF214" s="342">
        <f t="shared" si="112"/>
        <v>0</v>
      </c>
      <c r="AG214" s="342">
        <f t="shared" si="112"/>
        <v>0</v>
      </c>
      <c r="AH214" s="342">
        <f t="shared" si="112"/>
        <v>0</v>
      </c>
      <c r="AI214" s="342">
        <f t="shared" si="112"/>
        <v>0</v>
      </c>
      <c r="AJ214" s="342">
        <f t="shared" si="112"/>
        <v>0</v>
      </c>
      <c r="AK214" s="342">
        <f t="shared" si="112"/>
        <v>0</v>
      </c>
      <c r="AL214" s="342">
        <f t="shared" si="112"/>
        <v>0</v>
      </c>
      <c r="AM214" s="342">
        <f t="shared" si="112"/>
        <v>0</v>
      </c>
    </row>
    <row r="215" spans="1:39" s="256" customFormat="1" outlineLevel="1" x14ac:dyDescent="0.25">
      <c r="B215" s="256" t="str">
        <f t="shared" si="106"/>
        <v>NyAff4</v>
      </c>
      <c r="C215" s="257" t="s">
        <v>242</v>
      </c>
      <c r="D215" s="342">
        <f t="shared" si="107"/>
        <v>0</v>
      </c>
      <c r="E215" s="342">
        <f t="shared" si="112"/>
        <v>0</v>
      </c>
      <c r="F215" s="342">
        <f t="shared" si="112"/>
        <v>0</v>
      </c>
      <c r="G215" s="342">
        <f t="shared" si="112"/>
        <v>0</v>
      </c>
      <c r="H215" s="342">
        <f t="shared" si="112"/>
        <v>0</v>
      </c>
      <c r="I215" s="342">
        <f t="shared" si="112"/>
        <v>0</v>
      </c>
      <c r="J215" s="342">
        <f t="shared" si="112"/>
        <v>0</v>
      </c>
      <c r="K215" s="342">
        <f t="shared" si="112"/>
        <v>0</v>
      </c>
      <c r="L215" s="342">
        <f t="shared" si="112"/>
        <v>0</v>
      </c>
      <c r="M215" s="342">
        <f t="shared" si="112"/>
        <v>0</v>
      </c>
      <c r="N215" s="342">
        <f t="shared" si="112"/>
        <v>0</v>
      </c>
      <c r="O215" s="342">
        <f t="shared" si="112"/>
        <v>0</v>
      </c>
      <c r="P215" s="342">
        <f t="shared" si="112"/>
        <v>0</v>
      </c>
      <c r="Q215" s="342">
        <f t="shared" si="112"/>
        <v>0</v>
      </c>
      <c r="R215" s="342">
        <f t="shared" si="112"/>
        <v>0</v>
      </c>
      <c r="S215" s="342">
        <f t="shared" si="112"/>
        <v>0</v>
      </c>
      <c r="T215" s="342">
        <f t="shared" si="112"/>
        <v>0</v>
      </c>
      <c r="U215" s="342">
        <f t="shared" si="112"/>
        <v>0</v>
      </c>
      <c r="V215" s="342">
        <f t="shared" si="112"/>
        <v>0</v>
      </c>
      <c r="W215" s="342">
        <f t="shared" si="112"/>
        <v>0</v>
      </c>
      <c r="X215" s="342">
        <f t="shared" si="112"/>
        <v>0</v>
      </c>
      <c r="Y215" s="342">
        <f t="shared" si="112"/>
        <v>0</v>
      </c>
      <c r="Z215" s="342">
        <f t="shared" si="112"/>
        <v>0</v>
      </c>
      <c r="AA215" s="342">
        <f t="shared" si="112"/>
        <v>0</v>
      </c>
      <c r="AB215" s="342">
        <f t="shared" si="112"/>
        <v>0</v>
      </c>
      <c r="AC215" s="342">
        <f t="shared" si="112"/>
        <v>0</v>
      </c>
      <c r="AD215" s="342">
        <f t="shared" si="112"/>
        <v>0</v>
      </c>
      <c r="AE215" s="342">
        <f t="shared" si="112"/>
        <v>0</v>
      </c>
      <c r="AF215" s="342">
        <f t="shared" si="112"/>
        <v>0</v>
      </c>
      <c r="AG215" s="342">
        <f t="shared" si="112"/>
        <v>0</v>
      </c>
      <c r="AH215" s="342">
        <f t="shared" si="112"/>
        <v>0</v>
      </c>
      <c r="AI215" s="342">
        <f t="shared" si="112"/>
        <v>0</v>
      </c>
      <c r="AJ215" s="342">
        <f t="shared" si="112"/>
        <v>0</v>
      </c>
      <c r="AK215" s="342">
        <f t="shared" si="112"/>
        <v>0</v>
      </c>
      <c r="AL215" s="342">
        <f t="shared" si="112"/>
        <v>0</v>
      </c>
      <c r="AM215" s="342">
        <f t="shared" si="112"/>
        <v>0</v>
      </c>
    </row>
    <row r="216" spans="1:39" s="256" customFormat="1" outlineLevel="1" x14ac:dyDescent="0.25">
      <c r="B216" s="256" t="str">
        <f t="shared" si="106"/>
        <v>NyAff5</v>
      </c>
      <c r="C216" s="257" t="s">
        <v>242</v>
      </c>
      <c r="D216" s="342">
        <f t="shared" si="107"/>
        <v>0</v>
      </c>
      <c r="E216" s="342">
        <f t="shared" si="112"/>
        <v>0</v>
      </c>
      <c r="F216" s="342">
        <f t="shared" si="112"/>
        <v>0</v>
      </c>
      <c r="G216" s="342">
        <f t="shared" si="112"/>
        <v>0</v>
      </c>
      <c r="H216" s="342">
        <f t="shared" si="112"/>
        <v>0</v>
      </c>
      <c r="I216" s="342">
        <f t="shared" si="112"/>
        <v>0</v>
      </c>
      <c r="J216" s="342">
        <f t="shared" si="112"/>
        <v>0</v>
      </c>
      <c r="K216" s="342">
        <f t="shared" si="112"/>
        <v>0</v>
      </c>
      <c r="L216" s="342">
        <f t="shared" si="112"/>
        <v>0</v>
      </c>
      <c r="M216" s="342">
        <f t="shared" si="112"/>
        <v>0</v>
      </c>
      <c r="N216" s="342">
        <f t="shared" si="112"/>
        <v>0</v>
      </c>
      <c r="O216" s="342">
        <f t="shared" si="112"/>
        <v>0</v>
      </c>
      <c r="P216" s="342">
        <f t="shared" si="112"/>
        <v>0</v>
      </c>
      <c r="Q216" s="342">
        <f t="shared" si="112"/>
        <v>0</v>
      </c>
      <c r="R216" s="342">
        <f t="shared" si="112"/>
        <v>0</v>
      </c>
      <c r="S216" s="342">
        <f t="shared" si="112"/>
        <v>0</v>
      </c>
      <c r="T216" s="342">
        <f t="shared" si="112"/>
        <v>0</v>
      </c>
      <c r="U216" s="342">
        <f t="shared" si="112"/>
        <v>0</v>
      </c>
      <c r="V216" s="342">
        <f t="shared" si="112"/>
        <v>0</v>
      </c>
      <c r="W216" s="342">
        <f t="shared" si="112"/>
        <v>0</v>
      </c>
      <c r="X216" s="342">
        <f t="shared" si="112"/>
        <v>0</v>
      </c>
      <c r="Y216" s="342">
        <f t="shared" si="112"/>
        <v>0</v>
      </c>
      <c r="Z216" s="342">
        <f t="shared" si="112"/>
        <v>0</v>
      </c>
      <c r="AA216" s="342">
        <f t="shared" si="112"/>
        <v>0</v>
      </c>
      <c r="AB216" s="342">
        <f t="shared" si="112"/>
        <v>0</v>
      </c>
      <c r="AC216" s="342">
        <f t="shared" si="112"/>
        <v>0</v>
      </c>
      <c r="AD216" s="342">
        <f t="shared" si="112"/>
        <v>0</v>
      </c>
      <c r="AE216" s="342">
        <f t="shared" si="112"/>
        <v>0</v>
      </c>
      <c r="AF216" s="342">
        <f t="shared" si="112"/>
        <v>0</v>
      </c>
      <c r="AG216" s="342">
        <f t="shared" si="112"/>
        <v>0</v>
      </c>
      <c r="AH216" s="342">
        <f t="shared" si="112"/>
        <v>0</v>
      </c>
      <c r="AI216" s="342">
        <f t="shared" si="112"/>
        <v>0</v>
      </c>
      <c r="AJ216" s="342">
        <f t="shared" si="112"/>
        <v>0</v>
      </c>
      <c r="AK216" s="342">
        <f t="shared" si="112"/>
        <v>0</v>
      </c>
      <c r="AL216" s="342">
        <f t="shared" si="112"/>
        <v>0</v>
      </c>
      <c r="AM216" s="342">
        <f t="shared" si="112"/>
        <v>0</v>
      </c>
    </row>
    <row r="217" spans="1:39" outlineLevel="1" x14ac:dyDescent="0.25">
      <c r="A217" s="294"/>
      <c r="B217" t="str" cm="1">
        <f t="array" ref="B217:B219">ØvrigeBrændsler</f>
        <v>Flis</v>
      </c>
      <c r="C217" s="257" t="s">
        <v>242</v>
      </c>
      <c r="D217" s="342">
        <f t="shared" si="107"/>
        <v>0</v>
      </c>
      <c r="E217" s="342">
        <f t="shared" si="112"/>
        <v>0</v>
      </c>
      <c r="F217" s="342">
        <f t="shared" si="112"/>
        <v>0</v>
      </c>
      <c r="G217" s="342">
        <f t="shared" si="112"/>
        <v>0</v>
      </c>
      <c r="H217" s="342">
        <f t="shared" si="112"/>
        <v>0</v>
      </c>
      <c r="I217" s="342">
        <f t="shared" si="112"/>
        <v>0</v>
      </c>
      <c r="J217" s="342">
        <f t="shared" si="112"/>
        <v>0</v>
      </c>
      <c r="K217" s="342">
        <f t="shared" si="112"/>
        <v>0</v>
      </c>
      <c r="L217" s="342">
        <f t="shared" si="112"/>
        <v>0</v>
      </c>
      <c r="M217" s="342">
        <f t="shared" si="112"/>
        <v>0</v>
      </c>
      <c r="N217" s="342">
        <f t="shared" si="112"/>
        <v>0</v>
      </c>
      <c r="O217" s="342">
        <f t="shared" si="112"/>
        <v>0</v>
      </c>
      <c r="P217" s="342">
        <f t="shared" si="112"/>
        <v>0</v>
      </c>
      <c r="Q217" s="342">
        <f t="shared" si="112"/>
        <v>0</v>
      </c>
      <c r="R217" s="342">
        <f t="shared" si="112"/>
        <v>0</v>
      </c>
      <c r="S217" s="342">
        <f t="shared" si="112"/>
        <v>0</v>
      </c>
      <c r="T217" s="342">
        <f t="shared" si="112"/>
        <v>0</v>
      </c>
      <c r="U217" s="342">
        <f t="shared" si="112"/>
        <v>0</v>
      </c>
      <c r="V217" s="342">
        <f t="shared" si="112"/>
        <v>0</v>
      </c>
      <c r="W217" s="342">
        <f t="shared" si="112"/>
        <v>0</v>
      </c>
      <c r="X217" s="342">
        <f t="shared" si="112"/>
        <v>0</v>
      </c>
      <c r="Y217" s="342">
        <f t="shared" si="112"/>
        <v>0</v>
      </c>
      <c r="Z217" s="342">
        <f t="shared" si="112"/>
        <v>0</v>
      </c>
      <c r="AA217" s="342">
        <f t="shared" si="112"/>
        <v>0</v>
      </c>
      <c r="AB217" s="342">
        <f t="shared" si="112"/>
        <v>0</v>
      </c>
      <c r="AC217" s="342">
        <f t="shared" si="112"/>
        <v>0</v>
      </c>
      <c r="AD217" s="342">
        <f t="shared" si="112"/>
        <v>0</v>
      </c>
      <c r="AE217" s="342">
        <f t="shared" si="112"/>
        <v>0</v>
      </c>
      <c r="AF217" s="342">
        <f t="shared" si="112"/>
        <v>0</v>
      </c>
      <c r="AG217" s="342">
        <f t="shared" si="112"/>
        <v>0</v>
      </c>
      <c r="AH217" s="342">
        <f t="shared" si="112"/>
        <v>0</v>
      </c>
      <c r="AI217" s="342">
        <f t="shared" si="112"/>
        <v>0</v>
      </c>
      <c r="AJ217" s="342">
        <f t="shared" si="112"/>
        <v>0</v>
      </c>
      <c r="AK217" s="342">
        <f t="shared" si="112"/>
        <v>0</v>
      </c>
      <c r="AL217" s="342">
        <f t="shared" si="112"/>
        <v>0</v>
      </c>
      <c r="AM217" s="342">
        <f t="shared" si="112"/>
        <v>0</v>
      </c>
    </row>
    <row r="218" spans="1:39" outlineLevel="1" x14ac:dyDescent="0.25">
      <c r="A218" s="295"/>
      <c r="B218" t="str">
        <v>NSvarme</v>
      </c>
      <c r="C218" s="257" t="s">
        <v>242</v>
      </c>
      <c r="D218" s="342">
        <f t="shared" si="107"/>
        <v>0</v>
      </c>
      <c r="E218" s="342">
        <f t="shared" si="112"/>
        <v>0</v>
      </c>
      <c r="F218" s="342">
        <f t="shared" si="112"/>
        <v>0</v>
      </c>
      <c r="G218" s="342">
        <f t="shared" si="112"/>
        <v>0</v>
      </c>
      <c r="H218" s="342">
        <f t="shared" si="112"/>
        <v>0</v>
      </c>
      <c r="I218" s="342">
        <f t="shared" si="112"/>
        <v>0</v>
      </c>
      <c r="J218" s="342">
        <f t="shared" si="112"/>
        <v>0</v>
      </c>
      <c r="K218" s="342">
        <f t="shared" si="112"/>
        <v>0</v>
      </c>
      <c r="L218" s="342">
        <f t="shared" si="112"/>
        <v>0</v>
      </c>
      <c r="M218" s="342">
        <f t="shared" si="112"/>
        <v>0</v>
      </c>
      <c r="N218" s="342">
        <f t="shared" si="112"/>
        <v>0</v>
      </c>
      <c r="O218" s="342">
        <f t="shared" si="112"/>
        <v>0</v>
      </c>
      <c r="P218" s="342">
        <f t="shared" si="112"/>
        <v>0</v>
      </c>
      <c r="Q218" s="342">
        <f t="shared" si="112"/>
        <v>0</v>
      </c>
      <c r="R218" s="342">
        <f t="shared" si="112"/>
        <v>0</v>
      </c>
      <c r="S218" s="342">
        <f t="shared" si="112"/>
        <v>0</v>
      </c>
      <c r="T218" s="342">
        <f t="shared" si="112"/>
        <v>0</v>
      </c>
      <c r="U218" s="342">
        <f t="shared" si="112"/>
        <v>0</v>
      </c>
      <c r="V218" s="342">
        <f t="shared" si="112"/>
        <v>0</v>
      </c>
      <c r="W218" s="342">
        <f t="shared" si="112"/>
        <v>0</v>
      </c>
      <c r="X218" s="342">
        <f t="shared" si="112"/>
        <v>0</v>
      </c>
      <c r="Y218" s="342">
        <f t="shared" si="112"/>
        <v>0</v>
      </c>
      <c r="Z218" s="342">
        <f t="shared" si="112"/>
        <v>0</v>
      </c>
      <c r="AA218" s="342">
        <f t="shared" si="112"/>
        <v>0</v>
      </c>
      <c r="AB218" s="342">
        <f t="shared" si="112"/>
        <v>0</v>
      </c>
      <c r="AC218" s="342">
        <f t="shared" si="112"/>
        <v>0</v>
      </c>
      <c r="AD218" s="342">
        <f t="shared" si="112"/>
        <v>0</v>
      </c>
      <c r="AE218" s="342">
        <f t="shared" si="112"/>
        <v>0</v>
      </c>
      <c r="AF218" s="342">
        <f t="shared" si="112"/>
        <v>0</v>
      </c>
      <c r="AG218" s="342">
        <f t="shared" si="112"/>
        <v>0</v>
      </c>
      <c r="AH218" s="342">
        <f t="shared" si="112"/>
        <v>0</v>
      </c>
      <c r="AI218" s="342">
        <f t="shared" si="112"/>
        <v>0</v>
      </c>
      <c r="AJ218" s="342">
        <f t="shared" si="112"/>
        <v>0</v>
      </c>
      <c r="AK218" s="342">
        <f t="shared" si="112"/>
        <v>0</v>
      </c>
      <c r="AL218" s="342">
        <f t="shared" si="112"/>
        <v>0</v>
      </c>
      <c r="AM218" s="342">
        <f t="shared" si="112"/>
        <v>0</v>
      </c>
    </row>
    <row r="219" spans="1:39" outlineLevel="1" x14ac:dyDescent="0.25">
      <c r="A219" s="295"/>
      <c r="B219" t="str">
        <v>PeakFuel</v>
      </c>
      <c r="C219" s="257" t="s">
        <v>242</v>
      </c>
      <c r="D219" s="342">
        <f t="shared" si="107"/>
        <v>0</v>
      </c>
      <c r="E219" s="342">
        <f t="shared" si="112"/>
        <v>0</v>
      </c>
      <c r="F219" s="342">
        <f t="shared" si="112"/>
        <v>0</v>
      </c>
      <c r="G219" s="342">
        <f t="shared" si="112"/>
        <v>0</v>
      </c>
      <c r="H219" s="342">
        <f t="shared" si="112"/>
        <v>0</v>
      </c>
      <c r="I219" s="342">
        <f t="shared" si="112"/>
        <v>0</v>
      </c>
      <c r="J219" s="342">
        <f t="shared" si="112"/>
        <v>0</v>
      </c>
      <c r="K219" s="342">
        <f t="shared" si="112"/>
        <v>0</v>
      </c>
      <c r="L219" s="342">
        <f t="shared" si="112"/>
        <v>0</v>
      </c>
      <c r="M219" s="342">
        <f t="shared" si="112"/>
        <v>0</v>
      </c>
      <c r="N219" s="342">
        <f t="shared" si="112"/>
        <v>0</v>
      </c>
      <c r="O219" s="342">
        <f t="shared" si="112"/>
        <v>0</v>
      </c>
      <c r="P219" s="342">
        <f t="shared" si="112"/>
        <v>0</v>
      </c>
      <c r="Q219" s="342">
        <f t="shared" si="112"/>
        <v>0</v>
      </c>
      <c r="R219" s="342">
        <f t="shared" si="112"/>
        <v>0</v>
      </c>
      <c r="S219" s="342">
        <f t="shared" si="112"/>
        <v>0</v>
      </c>
      <c r="T219" s="342">
        <f t="shared" si="112"/>
        <v>0</v>
      </c>
      <c r="U219" s="342">
        <f t="shared" si="112"/>
        <v>0</v>
      </c>
      <c r="V219" s="342">
        <f t="shared" si="112"/>
        <v>0</v>
      </c>
      <c r="W219" s="342">
        <f t="shared" si="112"/>
        <v>0</v>
      </c>
      <c r="X219" s="342">
        <f t="shared" si="112"/>
        <v>0</v>
      </c>
      <c r="Y219" s="342">
        <f t="shared" si="112"/>
        <v>0</v>
      </c>
      <c r="Z219" s="342">
        <f t="shared" si="112"/>
        <v>0</v>
      </c>
      <c r="AA219" s="342">
        <f t="shared" si="112"/>
        <v>0</v>
      </c>
      <c r="AB219" s="342">
        <f t="shared" si="112"/>
        <v>0</v>
      </c>
      <c r="AC219" s="342">
        <f t="shared" si="112"/>
        <v>0</v>
      </c>
      <c r="AD219" s="342">
        <f t="shared" si="112"/>
        <v>0</v>
      </c>
      <c r="AE219" s="342">
        <f t="shared" si="112"/>
        <v>0</v>
      </c>
      <c r="AF219" s="342">
        <f t="shared" si="112"/>
        <v>0</v>
      </c>
      <c r="AG219" s="342">
        <f t="shared" si="112"/>
        <v>0</v>
      </c>
      <c r="AH219" s="342">
        <f t="shared" si="112"/>
        <v>0</v>
      </c>
      <c r="AI219" s="342">
        <f t="shared" si="112"/>
        <v>0</v>
      </c>
      <c r="AJ219" s="342">
        <f t="shared" si="112"/>
        <v>0</v>
      </c>
      <c r="AK219" s="342">
        <f t="shared" si="112"/>
        <v>0</v>
      </c>
      <c r="AL219" s="342">
        <f t="shared" si="112"/>
        <v>0</v>
      </c>
      <c r="AM219" s="342">
        <f t="shared" si="112"/>
        <v>0</v>
      </c>
    </row>
    <row r="220" spans="1:39" s="40" customFormat="1" ht="15.75" x14ac:dyDescent="0.25">
      <c r="A220" s="37" t="s">
        <v>399</v>
      </c>
      <c r="B220" s="36"/>
      <c r="C220" s="36"/>
      <c r="D220" s="343"/>
      <c r="E220" s="344"/>
      <c r="F220" s="344"/>
      <c r="G220" s="344"/>
      <c r="H220" s="344"/>
      <c r="I220" s="344"/>
      <c r="J220" s="344"/>
      <c r="K220" s="344"/>
      <c r="L220" s="344"/>
      <c r="M220" s="344"/>
      <c r="N220" s="344"/>
      <c r="O220" s="344"/>
      <c r="P220" s="343"/>
      <c r="Q220" s="344"/>
      <c r="R220" s="344"/>
      <c r="S220" s="344"/>
      <c r="T220" s="344"/>
      <c r="U220" s="344"/>
      <c r="V220" s="344"/>
      <c r="W220" s="344"/>
      <c r="X220" s="344"/>
      <c r="Y220" s="344"/>
      <c r="Z220" s="344"/>
      <c r="AA220" s="344"/>
      <c r="AB220" s="343"/>
      <c r="AC220" s="344"/>
      <c r="AD220" s="344"/>
      <c r="AE220" s="344"/>
      <c r="AF220" s="344"/>
      <c r="AG220" s="344"/>
      <c r="AH220" s="344"/>
      <c r="AI220" s="344"/>
      <c r="AJ220" s="344"/>
      <c r="AK220" s="344"/>
      <c r="AL220" s="344"/>
      <c r="AM220" s="344"/>
    </row>
    <row r="221" spans="1:39" s="256" customFormat="1" outlineLevel="1" x14ac:dyDescent="0.25">
      <c r="B221" s="256" t="str">
        <f t="shared" ref="B221:B246" si="113">B191</f>
        <v>DepoSort</v>
      </c>
      <c r="C221" s="257" t="s">
        <v>243</v>
      </c>
      <c r="D221" s="342">
        <f t="shared" ref="D221:D249" si="114">$K5</f>
        <v>1</v>
      </c>
      <c r="E221" s="342">
        <f t="shared" ref="E221:AM228" si="115">$K5</f>
        <v>1</v>
      </c>
      <c r="F221" s="342">
        <f t="shared" si="115"/>
        <v>1</v>
      </c>
      <c r="G221" s="342">
        <f t="shared" si="115"/>
        <v>1</v>
      </c>
      <c r="H221" s="342">
        <f t="shared" si="115"/>
        <v>1</v>
      </c>
      <c r="I221" s="342">
        <f t="shared" si="115"/>
        <v>1</v>
      </c>
      <c r="J221" s="342">
        <f t="shared" si="115"/>
        <v>1</v>
      </c>
      <c r="K221" s="342">
        <f t="shared" si="115"/>
        <v>1</v>
      </c>
      <c r="L221" s="342">
        <f t="shared" si="115"/>
        <v>1</v>
      </c>
      <c r="M221" s="342">
        <f t="shared" si="115"/>
        <v>1</v>
      </c>
      <c r="N221" s="342">
        <f t="shared" si="115"/>
        <v>1</v>
      </c>
      <c r="O221" s="342">
        <f t="shared" si="115"/>
        <v>1</v>
      </c>
      <c r="P221" s="342">
        <f t="shared" si="115"/>
        <v>1</v>
      </c>
      <c r="Q221" s="342">
        <f t="shared" si="115"/>
        <v>1</v>
      </c>
      <c r="R221" s="342">
        <f t="shared" si="115"/>
        <v>1</v>
      </c>
      <c r="S221" s="342">
        <f t="shared" si="115"/>
        <v>1</v>
      </c>
      <c r="T221" s="342">
        <f t="shared" si="115"/>
        <v>1</v>
      </c>
      <c r="U221" s="342">
        <f t="shared" si="115"/>
        <v>1</v>
      </c>
      <c r="V221" s="342">
        <f t="shared" si="115"/>
        <v>1</v>
      </c>
      <c r="W221" s="342">
        <f t="shared" si="115"/>
        <v>1</v>
      </c>
      <c r="X221" s="342">
        <f t="shared" si="115"/>
        <v>1</v>
      </c>
      <c r="Y221" s="342">
        <f t="shared" si="115"/>
        <v>1</v>
      </c>
      <c r="Z221" s="342">
        <f t="shared" si="115"/>
        <v>1</v>
      </c>
      <c r="AA221" s="342">
        <f t="shared" si="115"/>
        <v>1</v>
      </c>
      <c r="AB221" s="342">
        <f t="shared" si="115"/>
        <v>1</v>
      </c>
      <c r="AC221" s="342">
        <f t="shared" si="115"/>
        <v>1</v>
      </c>
      <c r="AD221" s="342">
        <f t="shared" si="115"/>
        <v>1</v>
      </c>
      <c r="AE221" s="342">
        <f t="shared" si="115"/>
        <v>1</v>
      </c>
      <c r="AF221" s="342">
        <f t="shared" si="115"/>
        <v>1</v>
      </c>
      <c r="AG221" s="342">
        <f t="shared" si="115"/>
        <v>1</v>
      </c>
      <c r="AH221" s="342">
        <f t="shared" si="115"/>
        <v>1</v>
      </c>
      <c r="AI221" s="342">
        <f t="shared" si="115"/>
        <v>1</v>
      </c>
      <c r="AJ221" s="342">
        <f t="shared" si="115"/>
        <v>1</v>
      </c>
      <c r="AK221" s="342">
        <f t="shared" si="115"/>
        <v>1</v>
      </c>
      <c r="AL221" s="342">
        <f t="shared" si="115"/>
        <v>1</v>
      </c>
      <c r="AM221" s="342">
        <f t="shared" si="115"/>
        <v>1</v>
      </c>
    </row>
    <row r="222" spans="1:39" s="256" customFormat="1" outlineLevel="1" x14ac:dyDescent="0.25">
      <c r="B222" s="256" t="str">
        <f t="shared" si="113"/>
        <v>DepoSmaat</v>
      </c>
      <c r="C222" s="257" t="s">
        <v>243</v>
      </c>
      <c r="D222" s="342">
        <f t="shared" si="114"/>
        <v>1</v>
      </c>
      <c r="E222" s="342">
        <f t="shared" ref="E222:S222" si="116">$K6</f>
        <v>1</v>
      </c>
      <c r="F222" s="342">
        <f t="shared" si="116"/>
        <v>1</v>
      </c>
      <c r="G222" s="342">
        <f t="shared" si="116"/>
        <v>1</v>
      </c>
      <c r="H222" s="342">
        <f t="shared" si="116"/>
        <v>1</v>
      </c>
      <c r="I222" s="342">
        <f t="shared" si="116"/>
        <v>1</v>
      </c>
      <c r="J222" s="342">
        <f t="shared" si="116"/>
        <v>1</v>
      </c>
      <c r="K222" s="342">
        <f t="shared" si="116"/>
        <v>1</v>
      </c>
      <c r="L222" s="342">
        <f t="shared" si="116"/>
        <v>1</v>
      </c>
      <c r="M222" s="342">
        <f t="shared" si="116"/>
        <v>1</v>
      </c>
      <c r="N222" s="342">
        <f t="shared" si="116"/>
        <v>1</v>
      </c>
      <c r="O222" s="342">
        <f t="shared" si="116"/>
        <v>1</v>
      </c>
      <c r="P222" s="342">
        <f t="shared" si="116"/>
        <v>1</v>
      </c>
      <c r="Q222" s="342">
        <f t="shared" si="116"/>
        <v>1</v>
      </c>
      <c r="R222" s="342">
        <f t="shared" si="116"/>
        <v>1</v>
      </c>
      <c r="S222" s="342">
        <f t="shared" si="116"/>
        <v>1</v>
      </c>
      <c r="T222" s="342">
        <f t="shared" si="115"/>
        <v>1</v>
      </c>
      <c r="U222" s="342">
        <f t="shared" si="115"/>
        <v>1</v>
      </c>
      <c r="V222" s="342">
        <f t="shared" si="115"/>
        <v>1</v>
      </c>
      <c r="W222" s="342">
        <f t="shared" si="115"/>
        <v>1</v>
      </c>
      <c r="X222" s="342">
        <f t="shared" si="115"/>
        <v>1</v>
      </c>
      <c r="Y222" s="342">
        <f t="shared" si="115"/>
        <v>1</v>
      </c>
      <c r="Z222" s="342">
        <f t="shared" si="115"/>
        <v>1</v>
      </c>
      <c r="AA222" s="342">
        <f t="shared" si="115"/>
        <v>1</v>
      </c>
      <c r="AB222" s="342">
        <f t="shared" si="115"/>
        <v>1</v>
      </c>
      <c r="AC222" s="342">
        <f t="shared" si="115"/>
        <v>1</v>
      </c>
      <c r="AD222" s="342">
        <f t="shared" si="115"/>
        <v>1</v>
      </c>
      <c r="AE222" s="342">
        <f t="shared" si="115"/>
        <v>1</v>
      </c>
      <c r="AF222" s="342">
        <f t="shared" si="115"/>
        <v>1</v>
      </c>
      <c r="AG222" s="342">
        <f t="shared" si="115"/>
        <v>1</v>
      </c>
      <c r="AH222" s="342">
        <f t="shared" si="115"/>
        <v>1</v>
      </c>
      <c r="AI222" s="342">
        <f t="shared" si="115"/>
        <v>1</v>
      </c>
      <c r="AJ222" s="342">
        <f t="shared" si="115"/>
        <v>1</v>
      </c>
      <c r="AK222" s="342">
        <f t="shared" si="115"/>
        <v>1</v>
      </c>
      <c r="AL222" s="342">
        <f t="shared" si="115"/>
        <v>1</v>
      </c>
      <c r="AM222" s="342">
        <f t="shared" si="115"/>
        <v>1</v>
      </c>
    </row>
    <row r="223" spans="1:39" s="256" customFormat="1" outlineLevel="1" x14ac:dyDescent="0.25">
      <c r="B223" s="256" t="str">
        <f t="shared" si="113"/>
        <v>DepoNedd</v>
      </c>
      <c r="C223" s="257" t="s">
        <v>243</v>
      </c>
      <c r="D223" s="342">
        <f t="shared" si="114"/>
        <v>1</v>
      </c>
      <c r="E223" s="342">
        <f t="shared" si="115"/>
        <v>1</v>
      </c>
      <c r="F223" s="342">
        <f t="shared" si="115"/>
        <v>1</v>
      </c>
      <c r="G223" s="342">
        <f t="shared" si="115"/>
        <v>1</v>
      </c>
      <c r="H223" s="342">
        <f t="shared" si="115"/>
        <v>1</v>
      </c>
      <c r="I223" s="342">
        <f t="shared" si="115"/>
        <v>1</v>
      </c>
      <c r="J223" s="342">
        <f t="shared" si="115"/>
        <v>1</v>
      </c>
      <c r="K223" s="342">
        <f t="shared" si="115"/>
        <v>1</v>
      </c>
      <c r="L223" s="342">
        <f t="shared" si="115"/>
        <v>1</v>
      </c>
      <c r="M223" s="342">
        <f t="shared" si="115"/>
        <v>1</v>
      </c>
      <c r="N223" s="342">
        <f t="shared" si="115"/>
        <v>1</v>
      </c>
      <c r="O223" s="342">
        <f t="shared" si="115"/>
        <v>1</v>
      </c>
      <c r="P223" s="342">
        <f t="shared" si="115"/>
        <v>1</v>
      </c>
      <c r="Q223" s="342">
        <f t="shared" si="115"/>
        <v>1</v>
      </c>
      <c r="R223" s="342">
        <f t="shared" si="115"/>
        <v>1</v>
      </c>
      <c r="S223" s="342">
        <f t="shared" si="115"/>
        <v>1</v>
      </c>
      <c r="T223" s="342">
        <f t="shared" si="115"/>
        <v>1</v>
      </c>
      <c r="U223" s="342">
        <f t="shared" si="115"/>
        <v>1</v>
      </c>
      <c r="V223" s="342">
        <f t="shared" si="115"/>
        <v>1</v>
      </c>
      <c r="W223" s="342">
        <f t="shared" si="115"/>
        <v>1</v>
      </c>
      <c r="X223" s="342">
        <f t="shared" si="115"/>
        <v>1</v>
      </c>
      <c r="Y223" s="342">
        <f t="shared" si="115"/>
        <v>1</v>
      </c>
      <c r="Z223" s="342">
        <f t="shared" si="115"/>
        <v>1</v>
      </c>
      <c r="AA223" s="342">
        <f t="shared" si="115"/>
        <v>1</v>
      </c>
      <c r="AB223" s="342">
        <f t="shared" si="115"/>
        <v>1</v>
      </c>
      <c r="AC223" s="342">
        <f t="shared" si="115"/>
        <v>1</v>
      </c>
      <c r="AD223" s="342">
        <f t="shared" si="115"/>
        <v>1</v>
      </c>
      <c r="AE223" s="342">
        <f t="shared" si="115"/>
        <v>1</v>
      </c>
      <c r="AF223" s="342">
        <f t="shared" si="115"/>
        <v>1</v>
      </c>
      <c r="AG223" s="342">
        <f t="shared" si="115"/>
        <v>1</v>
      </c>
      <c r="AH223" s="342">
        <f t="shared" si="115"/>
        <v>1</v>
      </c>
      <c r="AI223" s="342">
        <f t="shared" si="115"/>
        <v>1</v>
      </c>
      <c r="AJ223" s="342">
        <f t="shared" si="115"/>
        <v>1</v>
      </c>
      <c r="AK223" s="342">
        <f t="shared" si="115"/>
        <v>1</v>
      </c>
      <c r="AL223" s="342">
        <f t="shared" si="115"/>
        <v>1</v>
      </c>
      <c r="AM223" s="342">
        <f t="shared" si="115"/>
        <v>1</v>
      </c>
    </row>
    <row r="224" spans="1:39" s="256" customFormat="1" outlineLevel="1" x14ac:dyDescent="0.25">
      <c r="B224" s="256" t="str">
        <f t="shared" si="113"/>
        <v>Dagren</v>
      </c>
      <c r="C224" s="257" t="s">
        <v>243</v>
      </c>
      <c r="D224" s="342">
        <f t="shared" si="114"/>
        <v>1</v>
      </c>
      <c r="E224" s="342">
        <f t="shared" si="115"/>
        <v>1</v>
      </c>
      <c r="F224" s="342">
        <f t="shared" si="115"/>
        <v>1</v>
      </c>
      <c r="G224" s="342">
        <f t="shared" si="115"/>
        <v>1</v>
      </c>
      <c r="H224" s="342">
        <f t="shared" si="115"/>
        <v>1</v>
      </c>
      <c r="I224" s="342">
        <f t="shared" si="115"/>
        <v>1</v>
      </c>
      <c r="J224" s="342">
        <f t="shared" si="115"/>
        <v>1</v>
      </c>
      <c r="K224" s="342">
        <f t="shared" si="115"/>
        <v>1</v>
      </c>
      <c r="L224" s="342">
        <f t="shared" si="115"/>
        <v>1</v>
      </c>
      <c r="M224" s="342">
        <f t="shared" si="115"/>
        <v>1</v>
      </c>
      <c r="N224" s="342">
        <f t="shared" si="115"/>
        <v>1</v>
      </c>
      <c r="O224" s="342">
        <f t="shared" si="115"/>
        <v>1</v>
      </c>
      <c r="P224" s="342">
        <f t="shared" si="115"/>
        <v>1</v>
      </c>
      <c r="Q224" s="342">
        <f t="shared" si="115"/>
        <v>1</v>
      </c>
      <c r="R224" s="342">
        <f t="shared" si="115"/>
        <v>1</v>
      </c>
      <c r="S224" s="342">
        <f t="shared" si="115"/>
        <v>1</v>
      </c>
      <c r="T224" s="342">
        <f t="shared" si="115"/>
        <v>1</v>
      </c>
      <c r="U224" s="342">
        <f t="shared" si="115"/>
        <v>1</v>
      </c>
      <c r="V224" s="342">
        <f t="shared" si="115"/>
        <v>1</v>
      </c>
      <c r="W224" s="342">
        <f t="shared" si="115"/>
        <v>1</v>
      </c>
      <c r="X224" s="342">
        <f t="shared" si="115"/>
        <v>1</v>
      </c>
      <c r="Y224" s="342">
        <f t="shared" si="115"/>
        <v>1</v>
      </c>
      <c r="Z224" s="342">
        <f t="shared" si="115"/>
        <v>1</v>
      </c>
      <c r="AA224" s="342">
        <f t="shared" si="115"/>
        <v>1</v>
      </c>
      <c r="AB224" s="342">
        <f t="shared" si="115"/>
        <v>1</v>
      </c>
      <c r="AC224" s="342">
        <f t="shared" si="115"/>
        <v>1</v>
      </c>
      <c r="AD224" s="342">
        <f t="shared" si="115"/>
        <v>1</v>
      </c>
      <c r="AE224" s="342">
        <f t="shared" si="115"/>
        <v>1</v>
      </c>
      <c r="AF224" s="342">
        <f t="shared" si="115"/>
        <v>1</v>
      </c>
      <c r="AG224" s="342">
        <f t="shared" si="115"/>
        <v>1</v>
      </c>
      <c r="AH224" s="342">
        <f t="shared" si="115"/>
        <v>1</v>
      </c>
      <c r="AI224" s="342">
        <f t="shared" si="115"/>
        <v>1</v>
      </c>
      <c r="AJ224" s="342">
        <f t="shared" si="115"/>
        <v>1</v>
      </c>
      <c r="AK224" s="342">
        <f t="shared" si="115"/>
        <v>1</v>
      </c>
      <c r="AL224" s="342">
        <f t="shared" si="115"/>
        <v>1</v>
      </c>
      <c r="AM224" s="342">
        <f t="shared" si="115"/>
        <v>1</v>
      </c>
    </row>
    <row r="225" spans="1:39" s="256" customFormat="1" outlineLevel="1" x14ac:dyDescent="0.25">
      <c r="B225" s="256" t="str">
        <f t="shared" si="113"/>
        <v>AndetBrand</v>
      </c>
      <c r="C225" s="257" t="s">
        <v>243</v>
      </c>
      <c r="D225" s="342">
        <f t="shared" si="114"/>
        <v>1</v>
      </c>
      <c r="E225" s="342">
        <f t="shared" si="115"/>
        <v>1</v>
      </c>
      <c r="F225" s="342">
        <f t="shared" si="115"/>
        <v>1</v>
      </c>
      <c r="G225" s="342">
        <f t="shared" si="115"/>
        <v>1</v>
      </c>
      <c r="H225" s="342">
        <f t="shared" si="115"/>
        <v>1</v>
      </c>
      <c r="I225" s="342">
        <f t="shared" si="115"/>
        <v>1</v>
      </c>
      <c r="J225" s="342">
        <f t="shared" si="115"/>
        <v>1</v>
      </c>
      <c r="K225" s="342">
        <f t="shared" si="115"/>
        <v>1</v>
      </c>
      <c r="L225" s="342">
        <f t="shared" si="115"/>
        <v>1</v>
      </c>
      <c r="M225" s="342">
        <f t="shared" si="115"/>
        <v>1</v>
      </c>
      <c r="N225" s="342">
        <f t="shared" si="115"/>
        <v>1</v>
      </c>
      <c r="O225" s="342">
        <f t="shared" si="115"/>
        <v>1</v>
      </c>
      <c r="P225" s="342">
        <f t="shared" si="115"/>
        <v>1</v>
      </c>
      <c r="Q225" s="342">
        <f t="shared" si="115"/>
        <v>1</v>
      </c>
      <c r="R225" s="342">
        <f t="shared" si="115"/>
        <v>1</v>
      </c>
      <c r="S225" s="342">
        <f t="shared" si="115"/>
        <v>1</v>
      </c>
      <c r="T225" s="342">
        <f t="shared" si="115"/>
        <v>1</v>
      </c>
      <c r="U225" s="342">
        <f t="shared" si="115"/>
        <v>1</v>
      </c>
      <c r="V225" s="342">
        <f t="shared" si="115"/>
        <v>1</v>
      </c>
      <c r="W225" s="342">
        <f t="shared" si="115"/>
        <v>1</v>
      </c>
      <c r="X225" s="342">
        <f t="shared" si="115"/>
        <v>1</v>
      </c>
      <c r="Y225" s="342">
        <f t="shared" si="115"/>
        <v>1</v>
      </c>
      <c r="Z225" s="342">
        <f t="shared" si="115"/>
        <v>1</v>
      </c>
      <c r="AA225" s="342">
        <f t="shared" si="115"/>
        <v>1</v>
      </c>
      <c r="AB225" s="342">
        <f t="shared" si="115"/>
        <v>1</v>
      </c>
      <c r="AC225" s="342">
        <f t="shared" si="115"/>
        <v>1</v>
      </c>
      <c r="AD225" s="342">
        <f t="shared" si="115"/>
        <v>1</v>
      </c>
      <c r="AE225" s="342">
        <f t="shared" si="115"/>
        <v>1</v>
      </c>
      <c r="AF225" s="342">
        <f t="shared" si="115"/>
        <v>1</v>
      </c>
      <c r="AG225" s="342">
        <f t="shared" si="115"/>
        <v>1</v>
      </c>
      <c r="AH225" s="342">
        <f t="shared" si="115"/>
        <v>1</v>
      </c>
      <c r="AI225" s="342">
        <f t="shared" si="115"/>
        <v>1</v>
      </c>
      <c r="AJ225" s="342">
        <f t="shared" si="115"/>
        <v>1</v>
      </c>
      <c r="AK225" s="342">
        <f t="shared" si="115"/>
        <v>1</v>
      </c>
      <c r="AL225" s="342">
        <f t="shared" si="115"/>
        <v>1</v>
      </c>
      <c r="AM225" s="342">
        <f t="shared" si="115"/>
        <v>1</v>
      </c>
    </row>
    <row r="226" spans="1:39" s="256" customFormat="1" outlineLevel="1" x14ac:dyDescent="0.25">
      <c r="B226" s="256" t="str">
        <f t="shared" si="113"/>
        <v>Trae</v>
      </c>
      <c r="C226" s="257" t="s">
        <v>243</v>
      </c>
      <c r="D226" s="342">
        <f t="shared" si="114"/>
        <v>1</v>
      </c>
      <c r="E226" s="342">
        <f t="shared" si="115"/>
        <v>1</v>
      </c>
      <c r="F226" s="342">
        <f t="shared" si="115"/>
        <v>1</v>
      </c>
      <c r="G226" s="342">
        <f t="shared" si="115"/>
        <v>1</v>
      </c>
      <c r="H226" s="342">
        <f t="shared" si="115"/>
        <v>1</v>
      </c>
      <c r="I226" s="342">
        <f t="shared" si="115"/>
        <v>1</v>
      </c>
      <c r="J226" s="342">
        <f t="shared" si="115"/>
        <v>1</v>
      </c>
      <c r="K226" s="342">
        <f t="shared" si="115"/>
        <v>1</v>
      </c>
      <c r="L226" s="342">
        <f t="shared" si="115"/>
        <v>1</v>
      </c>
      <c r="M226" s="342">
        <f t="shared" si="115"/>
        <v>1</v>
      </c>
      <c r="N226" s="342">
        <f t="shared" si="115"/>
        <v>1</v>
      </c>
      <c r="O226" s="342">
        <f t="shared" si="115"/>
        <v>1</v>
      </c>
      <c r="P226" s="342">
        <f t="shared" si="115"/>
        <v>1</v>
      </c>
      <c r="Q226" s="342">
        <f t="shared" si="115"/>
        <v>1</v>
      </c>
      <c r="R226" s="342">
        <f t="shared" si="115"/>
        <v>1</v>
      </c>
      <c r="S226" s="342">
        <f t="shared" si="115"/>
        <v>1</v>
      </c>
      <c r="T226" s="342">
        <f t="shared" si="115"/>
        <v>1</v>
      </c>
      <c r="U226" s="342">
        <f t="shared" si="115"/>
        <v>1</v>
      </c>
      <c r="V226" s="342">
        <f t="shared" si="115"/>
        <v>1</v>
      </c>
      <c r="W226" s="342">
        <f t="shared" si="115"/>
        <v>1</v>
      </c>
      <c r="X226" s="342">
        <f t="shared" si="115"/>
        <v>1</v>
      </c>
      <c r="Y226" s="342">
        <f t="shared" si="115"/>
        <v>1</v>
      </c>
      <c r="Z226" s="342">
        <f t="shared" si="115"/>
        <v>1</v>
      </c>
      <c r="AA226" s="342">
        <f t="shared" si="115"/>
        <v>1</v>
      </c>
      <c r="AB226" s="342">
        <f t="shared" si="115"/>
        <v>1</v>
      </c>
      <c r="AC226" s="342">
        <f t="shared" si="115"/>
        <v>1</v>
      </c>
      <c r="AD226" s="342">
        <f t="shared" si="115"/>
        <v>1</v>
      </c>
      <c r="AE226" s="342">
        <f t="shared" si="115"/>
        <v>1</v>
      </c>
      <c r="AF226" s="342">
        <f t="shared" si="115"/>
        <v>1</v>
      </c>
      <c r="AG226" s="342">
        <f t="shared" si="115"/>
        <v>1</v>
      </c>
      <c r="AH226" s="342">
        <f t="shared" si="115"/>
        <v>1</v>
      </c>
      <c r="AI226" s="342">
        <f t="shared" si="115"/>
        <v>1</v>
      </c>
      <c r="AJ226" s="342">
        <f t="shared" si="115"/>
        <v>1</v>
      </c>
      <c r="AK226" s="342">
        <f t="shared" si="115"/>
        <v>1</v>
      </c>
      <c r="AL226" s="342">
        <f t="shared" si="115"/>
        <v>1</v>
      </c>
      <c r="AM226" s="342">
        <f t="shared" si="115"/>
        <v>1</v>
      </c>
    </row>
    <row r="227" spans="1:39" s="256" customFormat="1" outlineLevel="1" x14ac:dyDescent="0.25">
      <c r="B227" s="256" t="str">
        <f t="shared" si="113"/>
        <v>DagrenRast</v>
      </c>
      <c r="C227" s="257" t="s">
        <v>243</v>
      </c>
      <c r="D227" s="342">
        <f t="shared" si="114"/>
        <v>1</v>
      </c>
      <c r="E227" s="342">
        <f t="shared" si="115"/>
        <v>1</v>
      </c>
      <c r="F227" s="342">
        <f t="shared" si="115"/>
        <v>1</v>
      </c>
      <c r="G227" s="342">
        <f t="shared" si="115"/>
        <v>1</v>
      </c>
      <c r="H227" s="342">
        <f t="shared" si="115"/>
        <v>1</v>
      </c>
      <c r="I227" s="342">
        <f t="shared" si="115"/>
        <v>1</v>
      </c>
      <c r="J227" s="342">
        <f t="shared" si="115"/>
        <v>1</v>
      </c>
      <c r="K227" s="342">
        <f t="shared" si="115"/>
        <v>1</v>
      </c>
      <c r="L227" s="342">
        <f t="shared" si="115"/>
        <v>1</v>
      </c>
      <c r="M227" s="342">
        <f t="shared" si="115"/>
        <v>1</v>
      </c>
      <c r="N227" s="342">
        <f t="shared" si="115"/>
        <v>1</v>
      </c>
      <c r="O227" s="342">
        <f t="shared" si="115"/>
        <v>1</v>
      </c>
      <c r="P227" s="342">
        <f t="shared" si="115"/>
        <v>1</v>
      </c>
      <c r="Q227" s="342">
        <f t="shared" si="115"/>
        <v>1</v>
      </c>
      <c r="R227" s="342">
        <f t="shared" si="115"/>
        <v>1</v>
      </c>
      <c r="S227" s="342">
        <f t="shared" si="115"/>
        <v>1</v>
      </c>
      <c r="T227" s="342">
        <f t="shared" si="115"/>
        <v>1</v>
      </c>
      <c r="U227" s="342">
        <f t="shared" si="115"/>
        <v>1</v>
      </c>
      <c r="V227" s="342">
        <f t="shared" si="115"/>
        <v>1</v>
      </c>
      <c r="W227" s="342">
        <f t="shared" si="115"/>
        <v>1</v>
      </c>
      <c r="X227" s="342">
        <f t="shared" si="115"/>
        <v>1</v>
      </c>
      <c r="Y227" s="342">
        <f t="shared" si="115"/>
        <v>1</v>
      </c>
      <c r="Z227" s="342">
        <f t="shared" si="115"/>
        <v>1</v>
      </c>
      <c r="AA227" s="342">
        <f t="shared" si="115"/>
        <v>1</v>
      </c>
      <c r="AB227" s="342">
        <f t="shared" si="115"/>
        <v>1</v>
      </c>
      <c r="AC227" s="342">
        <f t="shared" si="115"/>
        <v>1</v>
      </c>
      <c r="AD227" s="342">
        <f t="shared" si="115"/>
        <v>1</v>
      </c>
      <c r="AE227" s="342">
        <f t="shared" si="115"/>
        <v>1</v>
      </c>
      <c r="AF227" s="342">
        <f t="shared" si="115"/>
        <v>1</v>
      </c>
      <c r="AG227" s="342">
        <f t="shared" si="115"/>
        <v>1</v>
      </c>
      <c r="AH227" s="342">
        <f t="shared" si="115"/>
        <v>1</v>
      </c>
      <c r="AI227" s="342">
        <f t="shared" si="115"/>
        <v>1</v>
      </c>
      <c r="AJ227" s="342">
        <f t="shared" si="115"/>
        <v>1</v>
      </c>
      <c r="AK227" s="342">
        <f t="shared" si="115"/>
        <v>1</v>
      </c>
      <c r="AL227" s="342">
        <f t="shared" si="115"/>
        <v>1</v>
      </c>
      <c r="AM227" s="342">
        <f t="shared" si="115"/>
        <v>1</v>
      </c>
    </row>
    <row r="228" spans="1:39" s="256" customFormat="1" outlineLevel="1" x14ac:dyDescent="0.25">
      <c r="B228" s="256" t="str">
        <f t="shared" si="113"/>
        <v>DagrenInst</v>
      </c>
      <c r="C228" s="257" t="s">
        <v>243</v>
      </c>
      <c r="D228" s="342">
        <f t="shared" si="114"/>
        <v>1</v>
      </c>
      <c r="E228" s="342">
        <f t="shared" si="115"/>
        <v>1</v>
      </c>
      <c r="F228" s="342">
        <f t="shared" si="115"/>
        <v>1</v>
      </c>
      <c r="G228" s="342">
        <f t="shared" si="115"/>
        <v>1</v>
      </c>
      <c r="H228" s="342">
        <f t="shared" si="115"/>
        <v>1</v>
      </c>
      <c r="I228" s="342">
        <f t="shared" si="115"/>
        <v>1</v>
      </c>
      <c r="J228" s="342">
        <f t="shared" si="115"/>
        <v>1</v>
      </c>
      <c r="K228" s="342">
        <f t="shared" si="115"/>
        <v>1</v>
      </c>
      <c r="L228" s="342">
        <f t="shared" si="115"/>
        <v>1</v>
      </c>
      <c r="M228" s="342">
        <f t="shared" si="115"/>
        <v>1</v>
      </c>
      <c r="N228" s="342">
        <f t="shared" si="115"/>
        <v>1</v>
      </c>
      <c r="O228" s="342">
        <f t="shared" si="115"/>
        <v>1</v>
      </c>
      <c r="P228" s="342">
        <f t="shared" si="115"/>
        <v>1</v>
      </c>
      <c r="Q228" s="342">
        <f t="shared" si="115"/>
        <v>1</v>
      </c>
      <c r="R228" s="342">
        <f t="shared" si="115"/>
        <v>1</v>
      </c>
      <c r="S228" s="342">
        <f t="shared" si="115"/>
        <v>1</v>
      </c>
      <c r="T228" s="342">
        <f t="shared" si="115"/>
        <v>1</v>
      </c>
      <c r="U228" s="342">
        <f t="shared" si="115"/>
        <v>1</v>
      </c>
      <c r="V228" s="342">
        <f t="shared" si="115"/>
        <v>1</v>
      </c>
      <c r="W228" s="342">
        <f t="shared" si="115"/>
        <v>1</v>
      </c>
      <c r="X228" s="342">
        <f t="shared" si="115"/>
        <v>1</v>
      </c>
      <c r="Y228" s="342">
        <f t="shared" si="115"/>
        <v>1</v>
      </c>
      <c r="Z228" s="342">
        <f t="shared" si="115"/>
        <v>1</v>
      </c>
      <c r="AA228" s="342">
        <f t="shared" si="115"/>
        <v>1</v>
      </c>
      <c r="AB228" s="342">
        <f t="shared" si="115"/>
        <v>1</v>
      </c>
      <c r="AC228" s="342">
        <f t="shared" si="115"/>
        <v>1</v>
      </c>
      <c r="AD228" s="342">
        <f t="shared" ref="E228:AM235" si="117">$K12</f>
        <v>1</v>
      </c>
      <c r="AE228" s="342">
        <f t="shared" si="117"/>
        <v>1</v>
      </c>
      <c r="AF228" s="342">
        <f t="shared" si="117"/>
        <v>1</v>
      </c>
      <c r="AG228" s="342">
        <f t="shared" si="117"/>
        <v>1</v>
      </c>
      <c r="AH228" s="342">
        <f t="shared" si="117"/>
        <v>1</v>
      </c>
      <c r="AI228" s="342">
        <f t="shared" si="117"/>
        <v>1</v>
      </c>
      <c r="AJ228" s="342">
        <f t="shared" si="117"/>
        <v>1</v>
      </c>
      <c r="AK228" s="342">
        <f t="shared" si="117"/>
        <v>1</v>
      </c>
      <c r="AL228" s="342">
        <f t="shared" si="117"/>
        <v>1</v>
      </c>
      <c r="AM228" s="342">
        <f t="shared" si="117"/>
        <v>1</v>
      </c>
    </row>
    <row r="229" spans="1:39" s="256" customFormat="1" outlineLevel="1" x14ac:dyDescent="0.25">
      <c r="B229" s="256" t="str">
        <f t="shared" si="113"/>
        <v>DagrenHandel</v>
      </c>
      <c r="C229" s="257" t="s">
        <v>243</v>
      </c>
      <c r="D229" s="342">
        <f t="shared" si="114"/>
        <v>1</v>
      </c>
      <c r="E229" s="342">
        <f t="shared" si="117"/>
        <v>1</v>
      </c>
      <c r="F229" s="342">
        <f t="shared" si="117"/>
        <v>1</v>
      </c>
      <c r="G229" s="342">
        <f t="shared" si="117"/>
        <v>1</v>
      </c>
      <c r="H229" s="342">
        <f t="shared" si="117"/>
        <v>1</v>
      </c>
      <c r="I229" s="342">
        <f t="shared" si="117"/>
        <v>1</v>
      </c>
      <c r="J229" s="342">
        <f t="shared" si="117"/>
        <v>1</v>
      </c>
      <c r="K229" s="342">
        <f t="shared" si="117"/>
        <v>1</v>
      </c>
      <c r="L229" s="342">
        <f t="shared" si="117"/>
        <v>1</v>
      </c>
      <c r="M229" s="342">
        <f t="shared" si="117"/>
        <v>1</v>
      </c>
      <c r="N229" s="342">
        <f t="shared" si="117"/>
        <v>1</v>
      </c>
      <c r="O229" s="342">
        <f t="shared" si="117"/>
        <v>1</v>
      </c>
      <c r="P229" s="342">
        <f t="shared" si="117"/>
        <v>1</v>
      </c>
      <c r="Q229" s="342">
        <f t="shared" si="117"/>
        <v>1</v>
      </c>
      <c r="R229" s="342">
        <f t="shared" si="117"/>
        <v>1</v>
      </c>
      <c r="S229" s="342">
        <f t="shared" si="117"/>
        <v>1</v>
      </c>
      <c r="T229" s="342">
        <f t="shared" si="117"/>
        <v>1</v>
      </c>
      <c r="U229" s="342">
        <f t="shared" si="117"/>
        <v>1</v>
      </c>
      <c r="V229" s="342">
        <f t="shared" si="117"/>
        <v>1</v>
      </c>
      <c r="W229" s="342">
        <f t="shared" si="117"/>
        <v>1</v>
      </c>
      <c r="X229" s="342">
        <f t="shared" si="117"/>
        <v>1</v>
      </c>
      <c r="Y229" s="342">
        <f t="shared" si="117"/>
        <v>1</v>
      </c>
      <c r="Z229" s="342">
        <f t="shared" si="117"/>
        <v>1</v>
      </c>
      <c r="AA229" s="342">
        <f t="shared" si="117"/>
        <v>1</v>
      </c>
      <c r="AB229" s="342">
        <f t="shared" si="117"/>
        <v>1</v>
      </c>
      <c r="AC229" s="342">
        <f t="shared" si="117"/>
        <v>1</v>
      </c>
      <c r="AD229" s="342">
        <f t="shared" si="117"/>
        <v>1</v>
      </c>
      <c r="AE229" s="342">
        <f t="shared" si="117"/>
        <v>1</v>
      </c>
      <c r="AF229" s="342">
        <f t="shared" si="117"/>
        <v>1</v>
      </c>
      <c r="AG229" s="342">
        <f t="shared" si="117"/>
        <v>1</v>
      </c>
      <c r="AH229" s="342">
        <f t="shared" si="117"/>
        <v>1</v>
      </c>
      <c r="AI229" s="342">
        <f t="shared" si="117"/>
        <v>1</v>
      </c>
      <c r="AJ229" s="342">
        <f t="shared" si="117"/>
        <v>1</v>
      </c>
      <c r="AK229" s="342">
        <f t="shared" si="117"/>
        <v>1</v>
      </c>
      <c r="AL229" s="342">
        <f t="shared" si="117"/>
        <v>1</v>
      </c>
      <c r="AM229" s="342">
        <f t="shared" si="117"/>
        <v>1</v>
      </c>
    </row>
    <row r="230" spans="1:39" s="256" customFormat="1" outlineLevel="1" x14ac:dyDescent="0.25">
      <c r="B230" s="256" t="str">
        <f t="shared" si="113"/>
        <v>DagrenRestau</v>
      </c>
      <c r="C230" s="257" t="s">
        <v>243</v>
      </c>
      <c r="D230" s="342">
        <f t="shared" si="114"/>
        <v>1</v>
      </c>
      <c r="E230" s="342">
        <f t="shared" si="117"/>
        <v>1</v>
      </c>
      <c r="F230" s="342">
        <f t="shared" si="117"/>
        <v>1</v>
      </c>
      <c r="G230" s="342">
        <f t="shared" si="117"/>
        <v>1</v>
      </c>
      <c r="H230" s="342">
        <f t="shared" si="117"/>
        <v>1</v>
      </c>
      <c r="I230" s="342">
        <f t="shared" si="117"/>
        <v>1</v>
      </c>
      <c r="J230" s="342">
        <f t="shared" si="117"/>
        <v>1</v>
      </c>
      <c r="K230" s="342">
        <f t="shared" si="117"/>
        <v>1</v>
      </c>
      <c r="L230" s="342">
        <f t="shared" si="117"/>
        <v>1</v>
      </c>
      <c r="M230" s="342">
        <f t="shared" si="117"/>
        <v>1</v>
      </c>
      <c r="N230" s="342">
        <f t="shared" si="117"/>
        <v>1</v>
      </c>
      <c r="O230" s="342">
        <f t="shared" si="117"/>
        <v>1</v>
      </c>
      <c r="P230" s="342">
        <f t="shared" si="117"/>
        <v>1</v>
      </c>
      <c r="Q230" s="342">
        <f t="shared" si="117"/>
        <v>1</v>
      </c>
      <c r="R230" s="342">
        <f t="shared" si="117"/>
        <v>1</v>
      </c>
      <c r="S230" s="342">
        <f t="shared" si="117"/>
        <v>1</v>
      </c>
      <c r="T230" s="342">
        <f t="shared" si="117"/>
        <v>1</v>
      </c>
      <c r="U230" s="342">
        <f t="shared" si="117"/>
        <v>1</v>
      </c>
      <c r="V230" s="342">
        <f t="shared" si="117"/>
        <v>1</v>
      </c>
      <c r="W230" s="342">
        <f t="shared" si="117"/>
        <v>1</v>
      </c>
      <c r="X230" s="342">
        <f t="shared" si="117"/>
        <v>1</v>
      </c>
      <c r="Y230" s="342">
        <f t="shared" si="117"/>
        <v>1</v>
      </c>
      <c r="Z230" s="342">
        <f t="shared" si="117"/>
        <v>1</v>
      </c>
      <c r="AA230" s="342">
        <f t="shared" si="117"/>
        <v>1</v>
      </c>
      <c r="AB230" s="342">
        <f t="shared" si="117"/>
        <v>1</v>
      </c>
      <c r="AC230" s="342">
        <f t="shared" si="117"/>
        <v>1</v>
      </c>
      <c r="AD230" s="342">
        <f t="shared" si="117"/>
        <v>1</v>
      </c>
      <c r="AE230" s="342">
        <f t="shared" si="117"/>
        <v>1</v>
      </c>
      <c r="AF230" s="342">
        <f t="shared" si="117"/>
        <v>1</v>
      </c>
      <c r="AG230" s="342">
        <f t="shared" si="117"/>
        <v>1</v>
      </c>
      <c r="AH230" s="342">
        <f t="shared" si="117"/>
        <v>1</v>
      </c>
      <c r="AI230" s="342">
        <f t="shared" si="117"/>
        <v>1</v>
      </c>
      <c r="AJ230" s="342">
        <f t="shared" si="117"/>
        <v>1</v>
      </c>
      <c r="AK230" s="342">
        <f t="shared" si="117"/>
        <v>1</v>
      </c>
      <c r="AL230" s="342">
        <f t="shared" si="117"/>
        <v>1</v>
      </c>
      <c r="AM230" s="342">
        <f t="shared" si="117"/>
        <v>1</v>
      </c>
    </row>
    <row r="231" spans="1:39" s="256" customFormat="1" outlineLevel="1" x14ac:dyDescent="0.25">
      <c r="B231" s="256" t="str">
        <f t="shared" si="113"/>
        <v>Erhverv</v>
      </c>
      <c r="C231" s="257" t="s">
        <v>243</v>
      </c>
      <c r="D231" s="342">
        <f t="shared" si="114"/>
        <v>1</v>
      </c>
      <c r="E231" s="342">
        <f t="shared" si="117"/>
        <v>1</v>
      </c>
      <c r="F231" s="342">
        <f t="shared" si="117"/>
        <v>1</v>
      </c>
      <c r="G231" s="342">
        <f t="shared" si="117"/>
        <v>1</v>
      </c>
      <c r="H231" s="342">
        <f t="shared" si="117"/>
        <v>1</v>
      </c>
      <c r="I231" s="342">
        <f t="shared" si="117"/>
        <v>1</v>
      </c>
      <c r="J231" s="342">
        <f t="shared" si="117"/>
        <v>1</v>
      </c>
      <c r="K231" s="342">
        <f t="shared" si="117"/>
        <v>1</v>
      </c>
      <c r="L231" s="342">
        <f t="shared" si="117"/>
        <v>1</v>
      </c>
      <c r="M231" s="342">
        <f t="shared" si="117"/>
        <v>1</v>
      </c>
      <c r="N231" s="342">
        <f t="shared" si="117"/>
        <v>1</v>
      </c>
      <c r="O231" s="342">
        <f t="shared" si="117"/>
        <v>1</v>
      </c>
      <c r="P231" s="342">
        <f t="shared" si="117"/>
        <v>1</v>
      </c>
      <c r="Q231" s="342">
        <f t="shared" si="117"/>
        <v>1</v>
      </c>
      <c r="R231" s="342">
        <f t="shared" si="117"/>
        <v>1</v>
      </c>
      <c r="S231" s="342">
        <f t="shared" si="117"/>
        <v>1</v>
      </c>
      <c r="T231" s="342">
        <f t="shared" si="117"/>
        <v>1</v>
      </c>
      <c r="U231" s="342">
        <f t="shared" si="117"/>
        <v>1</v>
      </c>
      <c r="V231" s="342">
        <f t="shared" si="117"/>
        <v>1</v>
      </c>
      <c r="W231" s="342">
        <f t="shared" si="117"/>
        <v>1</v>
      </c>
      <c r="X231" s="342">
        <f t="shared" si="117"/>
        <v>1</v>
      </c>
      <c r="Y231" s="342">
        <f t="shared" si="117"/>
        <v>1</v>
      </c>
      <c r="Z231" s="342">
        <f t="shared" si="117"/>
        <v>1</v>
      </c>
      <c r="AA231" s="342">
        <f t="shared" si="117"/>
        <v>1</v>
      </c>
      <c r="AB231" s="342">
        <f t="shared" si="117"/>
        <v>1</v>
      </c>
      <c r="AC231" s="342">
        <f t="shared" si="117"/>
        <v>1</v>
      </c>
      <c r="AD231" s="342">
        <f t="shared" si="117"/>
        <v>1</v>
      </c>
      <c r="AE231" s="342">
        <f t="shared" si="117"/>
        <v>1</v>
      </c>
      <c r="AF231" s="342">
        <f t="shared" si="117"/>
        <v>1</v>
      </c>
      <c r="AG231" s="342">
        <f t="shared" si="117"/>
        <v>1</v>
      </c>
      <c r="AH231" s="342">
        <f t="shared" si="117"/>
        <v>1</v>
      </c>
      <c r="AI231" s="342">
        <f t="shared" si="117"/>
        <v>1</v>
      </c>
      <c r="AJ231" s="342">
        <f t="shared" si="117"/>
        <v>1</v>
      </c>
      <c r="AK231" s="342">
        <f t="shared" si="117"/>
        <v>1</v>
      </c>
      <c r="AL231" s="342">
        <f t="shared" si="117"/>
        <v>1</v>
      </c>
      <c r="AM231" s="342">
        <f t="shared" si="117"/>
        <v>1</v>
      </c>
    </row>
    <row r="232" spans="1:39" s="256" customFormat="1" outlineLevel="1" x14ac:dyDescent="0.25">
      <c r="B232" s="256" t="str">
        <f t="shared" si="113"/>
        <v>DagrenErhverv</v>
      </c>
      <c r="C232" s="257" t="s">
        <v>243</v>
      </c>
      <c r="D232" s="342">
        <f t="shared" si="114"/>
        <v>1</v>
      </c>
      <c r="E232" s="342">
        <f t="shared" si="117"/>
        <v>1</v>
      </c>
      <c r="F232" s="342">
        <f t="shared" si="117"/>
        <v>1</v>
      </c>
      <c r="G232" s="342">
        <f t="shared" si="117"/>
        <v>1</v>
      </c>
      <c r="H232" s="342">
        <f t="shared" si="117"/>
        <v>1</v>
      </c>
      <c r="I232" s="342">
        <f t="shared" si="117"/>
        <v>1</v>
      </c>
      <c r="J232" s="342">
        <f t="shared" si="117"/>
        <v>1</v>
      </c>
      <c r="K232" s="342">
        <f t="shared" si="117"/>
        <v>1</v>
      </c>
      <c r="L232" s="342">
        <f t="shared" si="117"/>
        <v>1</v>
      </c>
      <c r="M232" s="342">
        <f t="shared" si="117"/>
        <v>1</v>
      </c>
      <c r="N232" s="342">
        <f t="shared" si="117"/>
        <v>1</v>
      </c>
      <c r="O232" s="342">
        <f t="shared" si="117"/>
        <v>1</v>
      </c>
      <c r="P232" s="342">
        <f t="shared" si="117"/>
        <v>1</v>
      </c>
      <c r="Q232" s="342">
        <f t="shared" si="117"/>
        <v>1</v>
      </c>
      <c r="R232" s="342">
        <f t="shared" si="117"/>
        <v>1</v>
      </c>
      <c r="S232" s="342">
        <f t="shared" si="117"/>
        <v>1</v>
      </c>
      <c r="T232" s="342">
        <f t="shared" si="117"/>
        <v>1</v>
      </c>
      <c r="U232" s="342">
        <f t="shared" si="117"/>
        <v>1</v>
      </c>
      <c r="V232" s="342">
        <f t="shared" si="117"/>
        <v>1</v>
      </c>
      <c r="W232" s="342">
        <f t="shared" si="117"/>
        <v>1</v>
      </c>
      <c r="X232" s="342">
        <f t="shared" si="117"/>
        <v>1</v>
      </c>
      <c r="Y232" s="342">
        <f t="shared" si="117"/>
        <v>1</v>
      </c>
      <c r="Z232" s="342">
        <f t="shared" si="117"/>
        <v>1</v>
      </c>
      <c r="AA232" s="342">
        <f t="shared" si="117"/>
        <v>1</v>
      </c>
      <c r="AB232" s="342">
        <f t="shared" si="117"/>
        <v>1</v>
      </c>
      <c r="AC232" s="342">
        <f t="shared" si="117"/>
        <v>1</v>
      </c>
      <c r="AD232" s="342">
        <f t="shared" si="117"/>
        <v>1</v>
      </c>
      <c r="AE232" s="342">
        <f t="shared" si="117"/>
        <v>1</v>
      </c>
      <c r="AF232" s="342">
        <f t="shared" si="117"/>
        <v>1</v>
      </c>
      <c r="AG232" s="342">
        <f t="shared" si="117"/>
        <v>1</v>
      </c>
      <c r="AH232" s="342">
        <f t="shared" si="117"/>
        <v>1</v>
      </c>
      <c r="AI232" s="342">
        <f t="shared" si="117"/>
        <v>1</v>
      </c>
      <c r="AJ232" s="342">
        <f t="shared" si="117"/>
        <v>1</v>
      </c>
      <c r="AK232" s="342">
        <f t="shared" si="117"/>
        <v>1</v>
      </c>
      <c r="AL232" s="342">
        <f t="shared" si="117"/>
        <v>1</v>
      </c>
      <c r="AM232" s="342">
        <f t="shared" si="117"/>
        <v>1</v>
      </c>
    </row>
    <row r="233" spans="1:39" s="256" customFormat="1" outlineLevel="1" x14ac:dyDescent="0.25">
      <c r="B233" s="256" t="str">
        <f t="shared" si="113"/>
        <v>HandelKontor</v>
      </c>
      <c r="C233" s="257" t="s">
        <v>243</v>
      </c>
      <c r="D233" s="342">
        <f t="shared" si="114"/>
        <v>1</v>
      </c>
      <c r="E233" s="342">
        <f t="shared" si="117"/>
        <v>1</v>
      </c>
      <c r="F233" s="342">
        <f t="shared" si="117"/>
        <v>1</v>
      </c>
      <c r="G233" s="342">
        <f t="shared" si="117"/>
        <v>1</v>
      </c>
      <c r="H233" s="342">
        <f t="shared" si="117"/>
        <v>1</v>
      </c>
      <c r="I233" s="342">
        <f t="shared" si="117"/>
        <v>1</v>
      </c>
      <c r="J233" s="342">
        <f t="shared" si="117"/>
        <v>1</v>
      </c>
      <c r="K233" s="342">
        <f t="shared" si="117"/>
        <v>1</v>
      </c>
      <c r="L233" s="342">
        <f t="shared" si="117"/>
        <v>1</v>
      </c>
      <c r="M233" s="342">
        <f t="shared" si="117"/>
        <v>1</v>
      </c>
      <c r="N233" s="342">
        <f t="shared" si="117"/>
        <v>1</v>
      </c>
      <c r="O233" s="342">
        <f t="shared" si="117"/>
        <v>1</v>
      </c>
      <c r="P233" s="342">
        <f t="shared" si="117"/>
        <v>1</v>
      </c>
      <c r="Q233" s="342">
        <f t="shared" si="117"/>
        <v>1</v>
      </c>
      <c r="R233" s="342">
        <f t="shared" si="117"/>
        <v>1</v>
      </c>
      <c r="S233" s="342">
        <f t="shared" si="117"/>
        <v>1</v>
      </c>
      <c r="T233" s="342">
        <f t="shared" si="117"/>
        <v>1</v>
      </c>
      <c r="U233" s="342">
        <f t="shared" si="117"/>
        <v>1</v>
      </c>
      <c r="V233" s="342">
        <f t="shared" si="117"/>
        <v>1</v>
      </c>
      <c r="W233" s="342">
        <f t="shared" si="117"/>
        <v>1</v>
      </c>
      <c r="X233" s="342">
        <f t="shared" si="117"/>
        <v>1</v>
      </c>
      <c r="Y233" s="342">
        <f t="shared" si="117"/>
        <v>1</v>
      </c>
      <c r="Z233" s="342">
        <f t="shared" si="117"/>
        <v>1</v>
      </c>
      <c r="AA233" s="342">
        <f t="shared" si="117"/>
        <v>1</v>
      </c>
      <c r="AB233" s="342">
        <f t="shared" si="117"/>
        <v>1</v>
      </c>
      <c r="AC233" s="342">
        <f t="shared" si="117"/>
        <v>1</v>
      </c>
      <c r="AD233" s="342">
        <f t="shared" si="117"/>
        <v>1</v>
      </c>
      <c r="AE233" s="342">
        <f t="shared" si="117"/>
        <v>1</v>
      </c>
      <c r="AF233" s="342">
        <f t="shared" si="117"/>
        <v>1</v>
      </c>
      <c r="AG233" s="342">
        <f t="shared" si="117"/>
        <v>1</v>
      </c>
      <c r="AH233" s="342">
        <f t="shared" si="117"/>
        <v>1</v>
      </c>
      <c r="AI233" s="342">
        <f t="shared" si="117"/>
        <v>1</v>
      </c>
      <c r="AJ233" s="342">
        <f t="shared" si="117"/>
        <v>1</v>
      </c>
      <c r="AK233" s="342">
        <f t="shared" si="117"/>
        <v>1</v>
      </c>
      <c r="AL233" s="342">
        <f t="shared" si="117"/>
        <v>1</v>
      </c>
      <c r="AM233" s="342">
        <f t="shared" si="117"/>
        <v>1</v>
      </c>
    </row>
    <row r="234" spans="1:39" s="256" customFormat="1" outlineLevel="1" x14ac:dyDescent="0.25">
      <c r="B234" s="256" t="str">
        <f t="shared" si="113"/>
        <v>Privat</v>
      </c>
      <c r="C234" s="257" t="s">
        <v>243</v>
      </c>
      <c r="D234" s="342">
        <f t="shared" si="114"/>
        <v>1</v>
      </c>
      <c r="E234" s="342">
        <f t="shared" si="117"/>
        <v>1</v>
      </c>
      <c r="F234" s="342">
        <f t="shared" si="117"/>
        <v>1</v>
      </c>
      <c r="G234" s="342">
        <f t="shared" si="117"/>
        <v>1</v>
      </c>
      <c r="H234" s="342">
        <f t="shared" si="117"/>
        <v>1</v>
      </c>
      <c r="I234" s="342">
        <f t="shared" si="117"/>
        <v>1</v>
      </c>
      <c r="J234" s="342">
        <f t="shared" si="117"/>
        <v>1</v>
      </c>
      <c r="K234" s="342">
        <f t="shared" si="117"/>
        <v>1</v>
      </c>
      <c r="L234" s="342">
        <f t="shared" si="117"/>
        <v>1</v>
      </c>
      <c r="M234" s="342">
        <f t="shared" si="117"/>
        <v>1</v>
      </c>
      <c r="N234" s="342">
        <f t="shared" si="117"/>
        <v>1</v>
      </c>
      <c r="O234" s="342">
        <f t="shared" si="117"/>
        <v>1</v>
      </c>
      <c r="P234" s="342">
        <f t="shared" si="117"/>
        <v>1</v>
      </c>
      <c r="Q234" s="342">
        <f t="shared" si="117"/>
        <v>1</v>
      </c>
      <c r="R234" s="342">
        <f t="shared" si="117"/>
        <v>1</v>
      </c>
      <c r="S234" s="342">
        <f t="shared" si="117"/>
        <v>1</v>
      </c>
      <c r="T234" s="342">
        <f t="shared" si="117"/>
        <v>1</v>
      </c>
      <c r="U234" s="342">
        <f t="shared" si="117"/>
        <v>1</v>
      </c>
      <c r="V234" s="342">
        <f t="shared" si="117"/>
        <v>1</v>
      </c>
      <c r="W234" s="342">
        <f t="shared" si="117"/>
        <v>1</v>
      </c>
      <c r="X234" s="342">
        <f t="shared" si="117"/>
        <v>1</v>
      </c>
      <c r="Y234" s="342">
        <f t="shared" si="117"/>
        <v>1</v>
      </c>
      <c r="Z234" s="342">
        <f t="shared" si="117"/>
        <v>1</v>
      </c>
      <c r="AA234" s="342">
        <f t="shared" si="117"/>
        <v>1</v>
      </c>
      <c r="AB234" s="342">
        <f t="shared" si="117"/>
        <v>1</v>
      </c>
      <c r="AC234" s="342">
        <f t="shared" si="117"/>
        <v>1</v>
      </c>
      <c r="AD234" s="342">
        <f t="shared" si="117"/>
        <v>1</v>
      </c>
      <c r="AE234" s="342">
        <f t="shared" si="117"/>
        <v>1</v>
      </c>
      <c r="AF234" s="342">
        <f t="shared" si="117"/>
        <v>1</v>
      </c>
      <c r="AG234" s="342">
        <f t="shared" si="117"/>
        <v>1</v>
      </c>
      <c r="AH234" s="342">
        <f t="shared" si="117"/>
        <v>1</v>
      </c>
      <c r="AI234" s="342">
        <f t="shared" si="117"/>
        <v>1</v>
      </c>
      <c r="AJ234" s="342">
        <f t="shared" si="117"/>
        <v>1</v>
      </c>
      <c r="AK234" s="342">
        <f t="shared" si="117"/>
        <v>1</v>
      </c>
      <c r="AL234" s="342">
        <f t="shared" si="117"/>
        <v>1</v>
      </c>
      <c r="AM234" s="342">
        <f t="shared" si="117"/>
        <v>1</v>
      </c>
    </row>
    <row r="235" spans="1:39" s="256" customFormat="1" outlineLevel="1" x14ac:dyDescent="0.25">
      <c r="B235" s="256" t="str">
        <f t="shared" si="113"/>
        <v>TyskRest</v>
      </c>
      <c r="C235" s="257" t="s">
        <v>243</v>
      </c>
      <c r="D235" s="342">
        <f t="shared" si="114"/>
        <v>1</v>
      </c>
      <c r="E235" s="342">
        <f t="shared" si="117"/>
        <v>1</v>
      </c>
      <c r="F235" s="342">
        <f t="shared" si="117"/>
        <v>1</v>
      </c>
      <c r="G235" s="342">
        <f t="shared" si="117"/>
        <v>1</v>
      </c>
      <c r="H235" s="342">
        <f t="shared" si="117"/>
        <v>1</v>
      </c>
      <c r="I235" s="342">
        <f t="shared" si="117"/>
        <v>1</v>
      </c>
      <c r="J235" s="342">
        <f t="shared" si="117"/>
        <v>1</v>
      </c>
      <c r="K235" s="342">
        <f t="shared" si="117"/>
        <v>1</v>
      </c>
      <c r="L235" s="342">
        <f t="shared" si="117"/>
        <v>1</v>
      </c>
      <c r="M235" s="342">
        <f t="shared" si="117"/>
        <v>1</v>
      </c>
      <c r="N235" s="342">
        <f t="shared" si="117"/>
        <v>1</v>
      </c>
      <c r="O235" s="342">
        <f t="shared" si="117"/>
        <v>1</v>
      </c>
      <c r="P235" s="342">
        <f t="shared" si="117"/>
        <v>1</v>
      </c>
      <c r="Q235" s="342">
        <f t="shared" si="117"/>
        <v>1</v>
      </c>
      <c r="R235" s="342">
        <f t="shared" si="117"/>
        <v>1</v>
      </c>
      <c r="S235" s="342">
        <f t="shared" si="117"/>
        <v>1</v>
      </c>
      <c r="T235" s="342">
        <f t="shared" si="117"/>
        <v>1</v>
      </c>
      <c r="U235" s="342">
        <f t="shared" si="117"/>
        <v>1</v>
      </c>
      <c r="V235" s="342">
        <f t="shared" si="117"/>
        <v>1</v>
      </c>
      <c r="W235" s="342">
        <f t="shared" si="117"/>
        <v>1</v>
      </c>
      <c r="X235" s="342">
        <f t="shared" si="117"/>
        <v>1</v>
      </c>
      <c r="Y235" s="342">
        <f t="shared" si="117"/>
        <v>1</v>
      </c>
      <c r="Z235" s="342">
        <f t="shared" si="117"/>
        <v>1</v>
      </c>
      <c r="AA235" s="342">
        <f t="shared" si="117"/>
        <v>1</v>
      </c>
      <c r="AB235" s="342">
        <f t="shared" si="117"/>
        <v>1</v>
      </c>
      <c r="AC235" s="342">
        <f t="shared" si="117"/>
        <v>1</v>
      </c>
      <c r="AD235" s="342">
        <f t="shared" si="117"/>
        <v>1</v>
      </c>
      <c r="AE235" s="342">
        <f t="shared" si="117"/>
        <v>1</v>
      </c>
      <c r="AF235" s="342">
        <f t="shared" si="117"/>
        <v>1</v>
      </c>
      <c r="AG235" s="342">
        <f t="shared" si="117"/>
        <v>1</v>
      </c>
      <c r="AH235" s="342">
        <f t="shared" si="117"/>
        <v>1</v>
      </c>
      <c r="AI235" s="342">
        <f t="shared" si="117"/>
        <v>1</v>
      </c>
      <c r="AJ235" s="342">
        <f t="shared" si="117"/>
        <v>1</v>
      </c>
      <c r="AK235" s="342">
        <f t="shared" si="117"/>
        <v>1</v>
      </c>
      <c r="AL235" s="342">
        <f t="shared" si="117"/>
        <v>1</v>
      </c>
      <c r="AM235" s="342">
        <f t="shared" si="117"/>
        <v>1</v>
      </c>
    </row>
    <row r="236" spans="1:39" s="256" customFormat="1" outlineLevel="1" x14ac:dyDescent="0.25">
      <c r="B236" s="256" t="str">
        <f t="shared" si="113"/>
        <v>PolskRest</v>
      </c>
      <c r="C236" s="257" t="s">
        <v>243</v>
      </c>
      <c r="D236" s="342">
        <f t="shared" si="114"/>
        <v>1</v>
      </c>
      <c r="E236" s="342">
        <f t="shared" ref="E236:AM243" si="118">$K20</f>
        <v>1</v>
      </c>
      <c r="F236" s="342">
        <f t="shared" si="118"/>
        <v>1</v>
      </c>
      <c r="G236" s="342">
        <f t="shared" si="118"/>
        <v>1</v>
      </c>
      <c r="H236" s="342">
        <f t="shared" si="118"/>
        <v>1</v>
      </c>
      <c r="I236" s="342">
        <f t="shared" si="118"/>
        <v>1</v>
      </c>
      <c r="J236" s="342">
        <f t="shared" si="118"/>
        <v>1</v>
      </c>
      <c r="K236" s="342">
        <f t="shared" si="118"/>
        <v>1</v>
      </c>
      <c r="L236" s="342">
        <f t="shared" si="118"/>
        <v>1</v>
      </c>
      <c r="M236" s="342">
        <f t="shared" si="118"/>
        <v>1</v>
      </c>
      <c r="N236" s="342">
        <f t="shared" si="118"/>
        <v>1</v>
      </c>
      <c r="O236" s="342">
        <f t="shared" si="118"/>
        <v>1</v>
      </c>
      <c r="P236" s="342">
        <f t="shared" si="118"/>
        <v>1</v>
      </c>
      <c r="Q236" s="342">
        <f t="shared" si="118"/>
        <v>1</v>
      </c>
      <c r="R236" s="342">
        <f t="shared" si="118"/>
        <v>1</v>
      </c>
      <c r="S236" s="342">
        <f t="shared" si="118"/>
        <v>1</v>
      </c>
      <c r="T236" s="342">
        <f t="shared" si="118"/>
        <v>1</v>
      </c>
      <c r="U236" s="342">
        <f t="shared" si="118"/>
        <v>1</v>
      </c>
      <c r="V236" s="342">
        <f t="shared" si="118"/>
        <v>1</v>
      </c>
      <c r="W236" s="342">
        <f t="shared" si="118"/>
        <v>1</v>
      </c>
      <c r="X236" s="342">
        <f t="shared" si="118"/>
        <v>1</v>
      </c>
      <c r="Y236" s="342">
        <f t="shared" si="118"/>
        <v>1</v>
      </c>
      <c r="Z236" s="342">
        <f t="shared" si="118"/>
        <v>1</v>
      </c>
      <c r="AA236" s="342">
        <f t="shared" si="118"/>
        <v>1</v>
      </c>
      <c r="AB236" s="342">
        <f t="shared" si="118"/>
        <v>1</v>
      </c>
      <c r="AC236" s="342">
        <f t="shared" si="118"/>
        <v>1</v>
      </c>
      <c r="AD236" s="342">
        <f t="shared" si="118"/>
        <v>1</v>
      </c>
      <c r="AE236" s="342">
        <f t="shared" si="118"/>
        <v>1</v>
      </c>
      <c r="AF236" s="342">
        <f t="shared" si="118"/>
        <v>1</v>
      </c>
      <c r="AG236" s="342">
        <f t="shared" si="118"/>
        <v>1</v>
      </c>
      <c r="AH236" s="342">
        <f t="shared" si="118"/>
        <v>1</v>
      </c>
      <c r="AI236" s="342">
        <f t="shared" si="118"/>
        <v>1</v>
      </c>
      <c r="AJ236" s="342">
        <f t="shared" si="118"/>
        <v>1</v>
      </c>
      <c r="AK236" s="342">
        <f t="shared" si="118"/>
        <v>1</v>
      </c>
      <c r="AL236" s="342">
        <f t="shared" si="118"/>
        <v>1</v>
      </c>
      <c r="AM236" s="342">
        <f t="shared" si="118"/>
        <v>1</v>
      </c>
    </row>
    <row r="237" spans="1:39" s="256" customFormat="1" outlineLevel="1" x14ac:dyDescent="0.25">
      <c r="B237" s="256" t="str">
        <f t="shared" si="113"/>
        <v>PcbTrae</v>
      </c>
      <c r="C237" s="257" t="s">
        <v>243</v>
      </c>
      <c r="D237" s="342">
        <f t="shared" si="114"/>
        <v>1</v>
      </c>
      <c r="E237" s="342">
        <f t="shared" si="118"/>
        <v>1</v>
      </c>
      <c r="F237" s="342">
        <f t="shared" si="118"/>
        <v>1</v>
      </c>
      <c r="G237" s="342">
        <f t="shared" si="118"/>
        <v>1</v>
      </c>
      <c r="H237" s="342">
        <f t="shared" si="118"/>
        <v>1</v>
      </c>
      <c r="I237" s="342">
        <f t="shared" si="118"/>
        <v>1</v>
      </c>
      <c r="J237" s="342">
        <f t="shared" si="118"/>
        <v>1</v>
      </c>
      <c r="K237" s="342">
        <f t="shared" si="118"/>
        <v>1</v>
      </c>
      <c r="L237" s="342">
        <f t="shared" si="118"/>
        <v>1</v>
      </c>
      <c r="M237" s="342">
        <f t="shared" si="118"/>
        <v>1</v>
      </c>
      <c r="N237" s="342">
        <f t="shared" si="118"/>
        <v>1</v>
      </c>
      <c r="O237" s="342">
        <f t="shared" si="118"/>
        <v>1</v>
      </c>
      <c r="P237" s="342">
        <f t="shared" si="118"/>
        <v>1</v>
      </c>
      <c r="Q237" s="342">
        <f t="shared" si="118"/>
        <v>1</v>
      </c>
      <c r="R237" s="342">
        <f t="shared" si="118"/>
        <v>1</v>
      </c>
      <c r="S237" s="342">
        <f t="shared" si="118"/>
        <v>1</v>
      </c>
      <c r="T237" s="342">
        <f t="shared" si="118"/>
        <v>1</v>
      </c>
      <c r="U237" s="342">
        <f t="shared" si="118"/>
        <v>1</v>
      </c>
      <c r="V237" s="342">
        <f t="shared" si="118"/>
        <v>1</v>
      </c>
      <c r="W237" s="342">
        <f t="shared" si="118"/>
        <v>1</v>
      </c>
      <c r="X237" s="342">
        <f t="shared" si="118"/>
        <v>1</v>
      </c>
      <c r="Y237" s="342">
        <f t="shared" si="118"/>
        <v>1</v>
      </c>
      <c r="Z237" s="342">
        <f t="shared" si="118"/>
        <v>1</v>
      </c>
      <c r="AA237" s="342">
        <f t="shared" si="118"/>
        <v>1</v>
      </c>
      <c r="AB237" s="342">
        <f t="shared" si="118"/>
        <v>1</v>
      </c>
      <c r="AC237" s="342">
        <f t="shared" si="118"/>
        <v>1</v>
      </c>
      <c r="AD237" s="342">
        <f t="shared" si="118"/>
        <v>1</v>
      </c>
      <c r="AE237" s="342">
        <f t="shared" si="118"/>
        <v>1</v>
      </c>
      <c r="AF237" s="342">
        <f t="shared" si="118"/>
        <v>1</v>
      </c>
      <c r="AG237" s="342">
        <f t="shared" si="118"/>
        <v>1</v>
      </c>
      <c r="AH237" s="342">
        <f t="shared" si="118"/>
        <v>1</v>
      </c>
      <c r="AI237" s="342">
        <f t="shared" si="118"/>
        <v>1</v>
      </c>
      <c r="AJ237" s="342">
        <f t="shared" si="118"/>
        <v>1</v>
      </c>
      <c r="AK237" s="342">
        <f t="shared" si="118"/>
        <v>1</v>
      </c>
      <c r="AL237" s="342">
        <f t="shared" si="118"/>
        <v>1</v>
      </c>
      <c r="AM237" s="342">
        <f t="shared" si="118"/>
        <v>1</v>
      </c>
    </row>
    <row r="238" spans="1:39" s="256" customFormat="1" outlineLevel="1" x14ac:dyDescent="0.25">
      <c r="B238" s="256" t="str">
        <f t="shared" si="113"/>
        <v>TraeRekv</v>
      </c>
      <c r="C238" s="257" t="s">
        <v>243</v>
      </c>
      <c r="D238" s="342">
        <f t="shared" si="114"/>
        <v>1</v>
      </c>
      <c r="E238" s="342">
        <f t="shared" si="118"/>
        <v>1</v>
      </c>
      <c r="F238" s="342">
        <f t="shared" si="118"/>
        <v>1</v>
      </c>
      <c r="G238" s="342">
        <f t="shared" si="118"/>
        <v>1</v>
      </c>
      <c r="H238" s="342">
        <f t="shared" si="118"/>
        <v>1</v>
      </c>
      <c r="I238" s="342">
        <f t="shared" si="118"/>
        <v>1</v>
      </c>
      <c r="J238" s="342">
        <f t="shared" si="118"/>
        <v>1</v>
      </c>
      <c r="K238" s="342">
        <f t="shared" si="118"/>
        <v>1</v>
      </c>
      <c r="L238" s="342">
        <f t="shared" si="118"/>
        <v>1</v>
      </c>
      <c r="M238" s="342">
        <f t="shared" si="118"/>
        <v>1</v>
      </c>
      <c r="N238" s="342">
        <f t="shared" si="118"/>
        <v>1</v>
      </c>
      <c r="O238" s="342">
        <f t="shared" si="118"/>
        <v>1</v>
      </c>
      <c r="P238" s="342">
        <f t="shared" si="118"/>
        <v>1</v>
      </c>
      <c r="Q238" s="342">
        <f t="shared" si="118"/>
        <v>1</v>
      </c>
      <c r="R238" s="342">
        <f t="shared" si="118"/>
        <v>1</v>
      </c>
      <c r="S238" s="342">
        <f t="shared" si="118"/>
        <v>1</v>
      </c>
      <c r="T238" s="342">
        <f t="shared" si="118"/>
        <v>1</v>
      </c>
      <c r="U238" s="342">
        <f t="shared" si="118"/>
        <v>1</v>
      </c>
      <c r="V238" s="342">
        <f t="shared" si="118"/>
        <v>1</v>
      </c>
      <c r="W238" s="342">
        <f t="shared" si="118"/>
        <v>1</v>
      </c>
      <c r="X238" s="342">
        <f t="shared" si="118"/>
        <v>1</v>
      </c>
      <c r="Y238" s="342">
        <f t="shared" si="118"/>
        <v>1</v>
      </c>
      <c r="Z238" s="342">
        <f t="shared" si="118"/>
        <v>1</v>
      </c>
      <c r="AA238" s="342">
        <f t="shared" si="118"/>
        <v>1</v>
      </c>
      <c r="AB238" s="342">
        <f t="shared" si="118"/>
        <v>1</v>
      </c>
      <c r="AC238" s="342">
        <f t="shared" si="118"/>
        <v>1</v>
      </c>
      <c r="AD238" s="342">
        <f t="shared" si="118"/>
        <v>1</v>
      </c>
      <c r="AE238" s="342">
        <f t="shared" si="118"/>
        <v>1</v>
      </c>
      <c r="AF238" s="342">
        <f t="shared" si="118"/>
        <v>1</v>
      </c>
      <c r="AG238" s="342">
        <f t="shared" si="118"/>
        <v>1</v>
      </c>
      <c r="AH238" s="342">
        <f t="shared" si="118"/>
        <v>1</v>
      </c>
      <c r="AI238" s="342">
        <f t="shared" si="118"/>
        <v>1</v>
      </c>
      <c r="AJ238" s="342">
        <f t="shared" si="118"/>
        <v>1</v>
      </c>
      <c r="AK238" s="342">
        <f t="shared" si="118"/>
        <v>1</v>
      </c>
      <c r="AL238" s="342">
        <f t="shared" si="118"/>
        <v>1</v>
      </c>
      <c r="AM238" s="342">
        <f t="shared" si="118"/>
        <v>1</v>
      </c>
    </row>
    <row r="239" spans="1:39" s="256" customFormat="1" outlineLevel="1" x14ac:dyDescent="0.25">
      <c r="B239" s="256" t="str">
        <f t="shared" si="113"/>
        <v>Halm</v>
      </c>
      <c r="C239" s="257" t="s">
        <v>243</v>
      </c>
      <c r="D239" s="342">
        <f t="shared" si="114"/>
        <v>1</v>
      </c>
      <c r="E239" s="342">
        <f t="shared" si="118"/>
        <v>1</v>
      </c>
      <c r="F239" s="342">
        <f t="shared" si="118"/>
        <v>1</v>
      </c>
      <c r="G239" s="342">
        <f t="shared" si="118"/>
        <v>1</v>
      </c>
      <c r="H239" s="342">
        <f t="shared" si="118"/>
        <v>1</v>
      </c>
      <c r="I239" s="342">
        <f t="shared" si="118"/>
        <v>1</v>
      </c>
      <c r="J239" s="342">
        <f t="shared" si="118"/>
        <v>1</v>
      </c>
      <c r="K239" s="342">
        <f t="shared" si="118"/>
        <v>1</v>
      </c>
      <c r="L239" s="342">
        <f t="shared" si="118"/>
        <v>1</v>
      </c>
      <c r="M239" s="342">
        <f t="shared" si="118"/>
        <v>1</v>
      </c>
      <c r="N239" s="342">
        <f t="shared" si="118"/>
        <v>1</v>
      </c>
      <c r="O239" s="342">
        <f t="shared" si="118"/>
        <v>1</v>
      </c>
      <c r="P239" s="342">
        <f t="shared" si="118"/>
        <v>1</v>
      </c>
      <c r="Q239" s="342">
        <f t="shared" si="118"/>
        <v>1</v>
      </c>
      <c r="R239" s="342">
        <f t="shared" si="118"/>
        <v>1</v>
      </c>
      <c r="S239" s="342">
        <f t="shared" si="118"/>
        <v>1</v>
      </c>
      <c r="T239" s="342">
        <f t="shared" si="118"/>
        <v>1</v>
      </c>
      <c r="U239" s="342">
        <f t="shared" si="118"/>
        <v>1</v>
      </c>
      <c r="V239" s="342">
        <f t="shared" si="118"/>
        <v>1</v>
      </c>
      <c r="W239" s="342">
        <f t="shared" si="118"/>
        <v>1</v>
      </c>
      <c r="X239" s="342">
        <f t="shared" si="118"/>
        <v>1</v>
      </c>
      <c r="Y239" s="342">
        <f t="shared" si="118"/>
        <v>1</v>
      </c>
      <c r="Z239" s="342">
        <f t="shared" si="118"/>
        <v>1</v>
      </c>
      <c r="AA239" s="342">
        <f t="shared" si="118"/>
        <v>1</v>
      </c>
      <c r="AB239" s="342">
        <f t="shared" si="118"/>
        <v>1</v>
      </c>
      <c r="AC239" s="342">
        <f t="shared" si="118"/>
        <v>1</v>
      </c>
      <c r="AD239" s="342">
        <f t="shared" si="118"/>
        <v>1</v>
      </c>
      <c r="AE239" s="342">
        <f t="shared" si="118"/>
        <v>1</v>
      </c>
      <c r="AF239" s="342">
        <f t="shared" si="118"/>
        <v>1</v>
      </c>
      <c r="AG239" s="342">
        <f t="shared" si="118"/>
        <v>1</v>
      </c>
      <c r="AH239" s="342">
        <f t="shared" si="118"/>
        <v>1</v>
      </c>
      <c r="AI239" s="342">
        <f t="shared" si="118"/>
        <v>1</v>
      </c>
      <c r="AJ239" s="342">
        <f t="shared" si="118"/>
        <v>1</v>
      </c>
      <c r="AK239" s="342">
        <f t="shared" si="118"/>
        <v>1</v>
      </c>
      <c r="AL239" s="342">
        <f t="shared" si="118"/>
        <v>1</v>
      </c>
      <c r="AM239" s="342">
        <f t="shared" si="118"/>
        <v>1</v>
      </c>
    </row>
    <row r="240" spans="1:39" s="256" customFormat="1" outlineLevel="1" x14ac:dyDescent="0.25">
      <c r="A240" s="260"/>
      <c r="B240" s="256" t="str">
        <f t="shared" si="113"/>
        <v>Pulver</v>
      </c>
      <c r="C240" s="257" t="s">
        <v>243</v>
      </c>
      <c r="D240" s="342">
        <f t="shared" si="114"/>
        <v>1</v>
      </c>
      <c r="E240" s="342">
        <f t="shared" si="118"/>
        <v>1</v>
      </c>
      <c r="F240" s="342">
        <f t="shared" si="118"/>
        <v>1</v>
      </c>
      <c r="G240" s="342">
        <f t="shared" si="118"/>
        <v>1</v>
      </c>
      <c r="H240" s="342">
        <f t="shared" si="118"/>
        <v>1</v>
      </c>
      <c r="I240" s="342">
        <f t="shared" si="118"/>
        <v>1</v>
      </c>
      <c r="J240" s="342">
        <f t="shared" si="118"/>
        <v>1</v>
      </c>
      <c r="K240" s="342">
        <f t="shared" si="118"/>
        <v>1</v>
      </c>
      <c r="L240" s="342">
        <f t="shared" si="118"/>
        <v>1</v>
      </c>
      <c r="M240" s="342">
        <f t="shared" si="118"/>
        <v>1</v>
      </c>
      <c r="N240" s="342">
        <f t="shared" si="118"/>
        <v>1</v>
      </c>
      <c r="O240" s="342">
        <f t="shared" si="118"/>
        <v>1</v>
      </c>
      <c r="P240" s="342">
        <f t="shared" si="118"/>
        <v>1</v>
      </c>
      <c r="Q240" s="342">
        <f t="shared" si="118"/>
        <v>1</v>
      </c>
      <c r="R240" s="342">
        <f t="shared" si="118"/>
        <v>1</v>
      </c>
      <c r="S240" s="342">
        <f t="shared" si="118"/>
        <v>1</v>
      </c>
      <c r="T240" s="342">
        <f t="shared" si="118"/>
        <v>1</v>
      </c>
      <c r="U240" s="342">
        <f t="shared" si="118"/>
        <v>1</v>
      </c>
      <c r="V240" s="342">
        <f t="shared" si="118"/>
        <v>1</v>
      </c>
      <c r="W240" s="342">
        <f t="shared" si="118"/>
        <v>1</v>
      </c>
      <c r="X240" s="342">
        <f t="shared" si="118"/>
        <v>1</v>
      </c>
      <c r="Y240" s="342">
        <f t="shared" si="118"/>
        <v>1</v>
      </c>
      <c r="Z240" s="342">
        <f t="shared" si="118"/>
        <v>1</v>
      </c>
      <c r="AA240" s="342">
        <f t="shared" si="118"/>
        <v>1</v>
      </c>
      <c r="AB240" s="342">
        <f t="shared" si="118"/>
        <v>1</v>
      </c>
      <c r="AC240" s="342">
        <f t="shared" si="118"/>
        <v>1</v>
      </c>
      <c r="AD240" s="342">
        <f t="shared" si="118"/>
        <v>1</v>
      </c>
      <c r="AE240" s="342">
        <f t="shared" si="118"/>
        <v>1</v>
      </c>
      <c r="AF240" s="342">
        <f t="shared" si="118"/>
        <v>1</v>
      </c>
      <c r="AG240" s="342">
        <f t="shared" si="118"/>
        <v>1</v>
      </c>
      <c r="AH240" s="342">
        <f t="shared" si="118"/>
        <v>1</v>
      </c>
      <c r="AI240" s="342">
        <f t="shared" si="118"/>
        <v>1</v>
      </c>
      <c r="AJ240" s="342">
        <f t="shared" si="118"/>
        <v>1</v>
      </c>
      <c r="AK240" s="342">
        <f t="shared" si="118"/>
        <v>1</v>
      </c>
      <c r="AL240" s="342">
        <f t="shared" si="118"/>
        <v>1</v>
      </c>
      <c r="AM240" s="342">
        <f t="shared" si="118"/>
        <v>1</v>
      </c>
    </row>
    <row r="241" spans="1:40" s="256" customFormat="1" outlineLevel="1" x14ac:dyDescent="0.25">
      <c r="A241" s="260"/>
      <c r="B241" s="256" t="str">
        <f t="shared" si="113"/>
        <v>FlisAffald</v>
      </c>
      <c r="C241" s="257" t="s">
        <v>243</v>
      </c>
      <c r="D241" s="342">
        <f t="shared" si="114"/>
        <v>1</v>
      </c>
      <c r="E241" s="342">
        <f t="shared" si="118"/>
        <v>1</v>
      </c>
      <c r="F241" s="342">
        <f t="shared" si="118"/>
        <v>1</v>
      </c>
      <c r="G241" s="342">
        <f t="shared" si="118"/>
        <v>1</v>
      </c>
      <c r="H241" s="342">
        <f t="shared" si="118"/>
        <v>1</v>
      </c>
      <c r="I241" s="342">
        <f t="shared" si="118"/>
        <v>1</v>
      </c>
      <c r="J241" s="342">
        <f t="shared" si="118"/>
        <v>1</v>
      </c>
      <c r="K241" s="342">
        <f t="shared" si="118"/>
        <v>1</v>
      </c>
      <c r="L241" s="342">
        <f t="shared" si="118"/>
        <v>1</v>
      </c>
      <c r="M241" s="342">
        <f t="shared" si="118"/>
        <v>1</v>
      </c>
      <c r="N241" s="342">
        <f t="shared" si="118"/>
        <v>1</v>
      </c>
      <c r="O241" s="342">
        <f t="shared" si="118"/>
        <v>1</v>
      </c>
      <c r="P241" s="342">
        <f t="shared" si="118"/>
        <v>1</v>
      </c>
      <c r="Q241" s="342">
        <f t="shared" si="118"/>
        <v>1</v>
      </c>
      <c r="R241" s="342">
        <f t="shared" si="118"/>
        <v>1</v>
      </c>
      <c r="S241" s="342">
        <f t="shared" si="118"/>
        <v>1</v>
      </c>
      <c r="T241" s="342">
        <f t="shared" si="118"/>
        <v>1</v>
      </c>
      <c r="U241" s="342">
        <f t="shared" si="118"/>
        <v>1</v>
      </c>
      <c r="V241" s="342">
        <f t="shared" si="118"/>
        <v>1</v>
      </c>
      <c r="W241" s="342">
        <f t="shared" si="118"/>
        <v>1</v>
      </c>
      <c r="X241" s="342">
        <f t="shared" si="118"/>
        <v>1</v>
      </c>
      <c r="Y241" s="342">
        <f t="shared" si="118"/>
        <v>1</v>
      </c>
      <c r="Z241" s="342">
        <f t="shared" si="118"/>
        <v>1</v>
      </c>
      <c r="AA241" s="342">
        <f t="shared" si="118"/>
        <v>1</v>
      </c>
      <c r="AB241" s="342">
        <f t="shared" si="118"/>
        <v>1</v>
      </c>
      <c r="AC241" s="342">
        <f t="shared" si="118"/>
        <v>1</v>
      </c>
      <c r="AD241" s="342">
        <f t="shared" si="118"/>
        <v>1</v>
      </c>
      <c r="AE241" s="342">
        <f t="shared" si="118"/>
        <v>1</v>
      </c>
      <c r="AF241" s="342">
        <f t="shared" si="118"/>
        <v>1</v>
      </c>
      <c r="AG241" s="342">
        <f t="shared" si="118"/>
        <v>1</v>
      </c>
      <c r="AH241" s="342">
        <f t="shared" si="118"/>
        <v>1</v>
      </c>
      <c r="AI241" s="342">
        <f t="shared" si="118"/>
        <v>1</v>
      </c>
      <c r="AJ241" s="342">
        <f t="shared" si="118"/>
        <v>1</v>
      </c>
      <c r="AK241" s="342">
        <f t="shared" si="118"/>
        <v>1</v>
      </c>
      <c r="AL241" s="342">
        <f t="shared" si="118"/>
        <v>1</v>
      </c>
      <c r="AM241" s="342">
        <f t="shared" si="118"/>
        <v>1</v>
      </c>
    </row>
    <row r="242" spans="1:40" s="256" customFormat="1" outlineLevel="1" x14ac:dyDescent="0.25">
      <c r="A242" s="260"/>
      <c r="B242" s="256" t="str">
        <f t="shared" si="113"/>
        <v>NyAff1</v>
      </c>
      <c r="C242" s="257" t="s">
        <v>243</v>
      </c>
      <c r="D242" s="342">
        <f t="shared" si="114"/>
        <v>1</v>
      </c>
      <c r="E242" s="342">
        <f t="shared" si="118"/>
        <v>1</v>
      </c>
      <c r="F242" s="342">
        <f t="shared" si="118"/>
        <v>1</v>
      </c>
      <c r="G242" s="342">
        <f t="shared" si="118"/>
        <v>1</v>
      </c>
      <c r="H242" s="342">
        <f t="shared" si="118"/>
        <v>1</v>
      </c>
      <c r="I242" s="342">
        <f t="shared" si="118"/>
        <v>1</v>
      </c>
      <c r="J242" s="342">
        <f t="shared" si="118"/>
        <v>1</v>
      </c>
      <c r="K242" s="342">
        <f t="shared" si="118"/>
        <v>1</v>
      </c>
      <c r="L242" s="342">
        <f t="shared" si="118"/>
        <v>1</v>
      </c>
      <c r="M242" s="342">
        <f t="shared" si="118"/>
        <v>1</v>
      </c>
      <c r="N242" s="342">
        <f t="shared" si="118"/>
        <v>1</v>
      </c>
      <c r="O242" s="342">
        <f t="shared" si="118"/>
        <v>1</v>
      </c>
      <c r="P242" s="342">
        <f t="shared" si="118"/>
        <v>1</v>
      </c>
      <c r="Q242" s="342">
        <f t="shared" si="118"/>
        <v>1</v>
      </c>
      <c r="R242" s="342">
        <f t="shared" si="118"/>
        <v>1</v>
      </c>
      <c r="S242" s="342">
        <f t="shared" si="118"/>
        <v>1</v>
      </c>
      <c r="T242" s="342">
        <f t="shared" si="118"/>
        <v>1</v>
      </c>
      <c r="U242" s="342">
        <f t="shared" si="118"/>
        <v>1</v>
      </c>
      <c r="V242" s="342">
        <f t="shared" si="118"/>
        <v>1</v>
      </c>
      <c r="W242" s="342">
        <f t="shared" si="118"/>
        <v>1</v>
      </c>
      <c r="X242" s="342">
        <f t="shared" si="118"/>
        <v>1</v>
      </c>
      <c r="Y242" s="342">
        <f t="shared" si="118"/>
        <v>1</v>
      </c>
      <c r="Z242" s="342">
        <f t="shared" si="118"/>
        <v>1</v>
      </c>
      <c r="AA242" s="342">
        <f t="shared" si="118"/>
        <v>1</v>
      </c>
      <c r="AB242" s="342">
        <f t="shared" si="118"/>
        <v>1</v>
      </c>
      <c r="AC242" s="342">
        <f t="shared" si="118"/>
        <v>1</v>
      </c>
      <c r="AD242" s="342">
        <f t="shared" si="118"/>
        <v>1</v>
      </c>
      <c r="AE242" s="342">
        <f t="shared" si="118"/>
        <v>1</v>
      </c>
      <c r="AF242" s="342">
        <f t="shared" si="118"/>
        <v>1</v>
      </c>
      <c r="AG242" s="342">
        <f t="shared" si="118"/>
        <v>1</v>
      </c>
      <c r="AH242" s="342">
        <f t="shared" si="118"/>
        <v>1</v>
      </c>
      <c r="AI242" s="342">
        <f t="shared" si="118"/>
        <v>1</v>
      </c>
      <c r="AJ242" s="342">
        <f t="shared" si="118"/>
        <v>1</v>
      </c>
      <c r="AK242" s="342">
        <f t="shared" si="118"/>
        <v>1</v>
      </c>
      <c r="AL242" s="342">
        <f t="shared" si="118"/>
        <v>1</v>
      </c>
      <c r="AM242" s="342">
        <f t="shared" si="118"/>
        <v>1</v>
      </c>
    </row>
    <row r="243" spans="1:40" s="256" customFormat="1" outlineLevel="1" x14ac:dyDescent="0.25">
      <c r="B243" s="256" t="str">
        <f t="shared" si="113"/>
        <v>NyAff2</v>
      </c>
      <c r="C243" s="257" t="s">
        <v>243</v>
      </c>
      <c r="D243" s="342">
        <f t="shared" si="114"/>
        <v>1</v>
      </c>
      <c r="E243" s="342">
        <f t="shared" si="118"/>
        <v>1</v>
      </c>
      <c r="F243" s="342">
        <f t="shared" si="118"/>
        <v>1</v>
      </c>
      <c r="G243" s="342">
        <f t="shared" si="118"/>
        <v>1</v>
      </c>
      <c r="H243" s="342">
        <f t="shared" si="118"/>
        <v>1</v>
      </c>
      <c r="I243" s="342">
        <f t="shared" si="118"/>
        <v>1</v>
      </c>
      <c r="J243" s="342">
        <f t="shared" si="118"/>
        <v>1</v>
      </c>
      <c r="K243" s="342">
        <f t="shared" si="118"/>
        <v>1</v>
      </c>
      <c r="L243" s="342">
        <f t="shared" si="118"/>
        <v>1</v>
      </c>
      <c r="M243" s="342">
        <f t="shared" si="118"/>
        <v>1</v>
      </c>
      <c r="N243" s="342">
        <f t="shared" si="118"/>
        <v>1</v>
      </c>
      <c r="O243" s="342">
        <f t="shared" ref="E243:AM249" si="119">$K27</f>
        <v>1</v>
      </c>
      <c r="P243" s="342">
        <f t="shared" si="119"/>
        <v>1</v>
      </c>
      <c r="Q243" s="342">
        <f t="shared" si="119"/>
        <v>1</v>
      </c>
      <c r="R243" s="342">
        <f t="shared" si="119"/>
        <v>1</v>
      </c>
      <c r="S243" s="342">
        <f t="shared" si="119"/>
        <v>1</v>
      </c>
      <c r="T243" s="342">
        <f t="shared" si="119"/>
        <v>1</v>
      </c>
      <c r="U243" s="342">
        <f t="shared" si="119"/>
        <v>1</v>
      </c>
      <c r="V243" s="342">
        <f t="shared" si="119"/>
        <v>1</v>
      </c>
      <c r="W243" s="342">
        <f t="shared" si="119"/>
        <v>1</v>
      </c>
      <c r="X243" s="342">
        <f t="shared" si="119"/>
        <v>1</v>
      </c>
      <c r="Y243" s="342">
        <f t="shared" si="119"/>
        <v>1</v>
      </c>
      <c r="Z243" s="342">
        <f t="shared" si="119"/>
        <v>1</v>
      </c>
      <c r="AA243" s="342">
        <f t="shared" si="119"/>
        <v>1</v>
      </c>
      <c r="AB243" s="342">
        <f t="shared" si="119"/>
        <v>1</v>
      </c>
      <c r="AC243" s="342">
        <f t="shared" si="119"/>
        <v>1</v>
      </c>
      <c r="AD243" s="342">
        <f t="shared" si="119"/>
        <v>1</v>
      </c>
      <c r="AE243" s="342">
        <f t="shared" si="119"/>
        <v>1</v>
      </c>
      <c r="AF243" s="342">
        <f t="shared" si="119"/>
        <v>1</v>
      </c>
      <c r="AG243" s="342">
        <f t="shared" si="119"/>
        <v>1</v>
      </c>
      <c r="AH243" s="342">
        <f t="shared" si="119"/>
        <v>1</v>
      </c>
      <c r="AI243" s="342">
        <f t="shared" si="119"/>
        <v>1</v>
      </c>
      <c r="AJ243" s="342">
        <f t="shared" si="119"/>
        <v>1</v>
      </c>
      <c r="AK243" s="342">
        <f t="shared" si="119"/>
        <v>1</v>
      </c>
      <c r="AL243" s="342">
        <f t="shared" si="119"/>
        <v>1</v>
      </c>
      <c r="AM243" s="342">
        <f t="shared" si="119"/>
        <v>1</v>
      </c>
    </row>
    <row r="244" spans="1:40" s="256" customFormat="1" outlineLevel="1" x14ac:dyDescent="0.25">
      <c r="B244" s="256" t="str">
        <f t="shared" si="113"/>
        <v>NyAff3</v>
      </c>
      <c r="C244" s="257" t="s">
        <v>243</v>
      </c>
      <c r="D244" s="342">
        <f t="shared" si="114"/>
        <v>1</v>
      </c>
      <c r="E244" s="342">
        <f t="shared" si="119"/>
        <v>1</v>
      </c>
      <c r="F244" s="342">
        <f t="shared" si="119"/>
        <v>1</v>
      </c>
      <c r="G244" s="342">
        <f t="shared" si="119"/>
        <v>1</v>
      </c>
      <c r="H244" s="342">
        <f t="shared" si="119"/>
        <v>1</v>
      </c>
      <c r="I244" s="342">
        <f t="shared" si="119"/>
        <v>1</v>
      </c>
      <c r="J244" s="342">
        <f t="shared" si="119"/>
        <v>1</v>
      </c>
      <c r="K244" s="342">
        <f t="shared" si="119"/>
        <v>1</v>
      </c>
      <c r="L244" s="342">
        <f t="shared" si="119"/>
        <v>1</v>
      </c>
      <c r="M244" s="342">
        <f t="shared" si="119"/>
        <v>1</v>
      </c>
      <c r="N244" s="342">
        <f t="shared" si="119"/>
        <v>1</v>
      </c>
      <c r="O244" s="342">
        <f t="shared" si="119"/>
        <v>1</v>
      </c>
      <c r="P244" s="342">
        <f t="shared" si="119"/>
        <v>1</v>
      </c>
      <c r="Q244" s="342">
        <f t="shared" si="119"/>
        <v>1</v>
      </c>
      <c r="R244" s="342">
        <f t="shared" si="119"/>
        <v>1</v>
      </c>
      <c r="S244" s="342">
        <f t="shared" si="119"/>
        <v>1</v>
      </c>
      <c r="T244" s="342">
        <f t="shared" si="119"/>
        <v>1</v>
      </c>
      <c r="U244" s="342">
        <f t="shared" si="119"/>
        <v>1</v>
      </c>
      <c r="V244" s="342">
        <f t="shared" si="119"/>
        <v>1</v>
      </c>
      <c r="W244" s="342">
        <f t="shared" si="119"/>
        <v>1</v>
      </c>
      <c r="X244" s="342">
        <f t="shared" si="119"/>
        <v>1</v>
      </c>
      <c r="Y244" s="342">
        <f t="shared" si="119"/>
        <v>1</v>
      </c>
      <c r="Z244" s="342">
        <f t="shared" si="119"/>
        <v>1</v>
      </c>
      <c r="AA244" s="342">
        <f t="shared" si="119"/>
        <v>1</v>
      </c>
      <c r="AB244" s="342">
        <f t="shared" si="119"/>
        <v>1</v>
      </c>
      <c r="AC244" s="342">
        <f t="shared" si="119"/>
        <v>1</v>
      </c>
      <c r="AD244" s="342">
        <f t="shared" si="119"/>
        <v>1</v>
      </c>
      <c r="AE244" s="342">
        <f t="shared" si="119"/>
        <v>1</v>
      </c>
      <c r="AF244" s="342">
        <f t="shared" si="119"/>
        <v>1</v>
      </c>
      <c r="AG244" s="342">
        <f t="shared" si="119"/>
        <v>1</v>
      </c>
      <c r="AH244" s="342">
        <f t="shared" si="119"/>
        <v>1</v>
      </c>
      <c r="AI244" s="342">
        <f t="shared" si="119"/>
        <v>1</v>
      </c>
      <c r="AJ244" s="342">
        <f t="shared" si="119"/>
        <v>1</v>
      </c>
      <c r="AK244" s="342">
        <f t="shared" si="119"/>
        <v>1</v>
      </c>
      <c r="AL244" s="342">
        <f t="shared" si="119"/>
        <v>1</v>
      </c>
      <c r="AM244" s="342">
        <f t="shared" si="119"/>
        <v>1</v>
      </c>
    </row>
    <row r="245" spans="1:40" s="256" customFormat="1" outlineLevel="1" x14ac:dyDescent="0.25">
      <c r="B245" s="256" t="str">
        <f t="shared" si="113"/>
        <v>NyAff4</v>
      </c>
      <c r="C245" s="257" t="s">
        <v>243</v>
      </c>
      <c r="D245" s="342">
        <f t="shared" si="114"/>
        <v>1</v>
      </c>
      <c r="E245" s="342">
        <f t="shared" si="119"/>
        <v>1</v>
      </c>
      <c r="F245" s="342">
        <f t="shared" si="119"/>
        <v>1</v>
      </c>
      <c r="G245" s="342">
        <f t="shared" si="119"/>
        <v>1</v>
      </c>
      <c r="H245" s="342">
        <f t="shared" si="119"/>
        <v>1</v>
      </c>
      <c r="I245" s="342">
        <f t="shared" si="119"/>
        <v>1</v>
      </c>
      <c r="J245" s="342">
        <f t="shared" si="119"/>
        <v>1</v>
      </c>
      <c r="K245" s="342">
        <f t="shared" si="119"/>
        <v>1</v>
      </c>
      <c r="L245" s="342">
        <f t="shared" si="119"/>
        <v>1</v>
      </c>
      <c r="M245" s="342">
        <f t="shared" si="119"/>
        <v>1</v>
      </c>
      <c r="N245" s="342">
        <f t="shared" si="119"/>
        <v>1</v>
      </c>
      <c r="O245" s="342">
        <f t="shared" si="119"/>
        <v>1</v>
      </c>
      <c r="P245" s="342">
        <f t="shared" si="119"/>
        <v>1</v>
      </c>
      <c r="Q245" s="342">
        <f t="shared" si="119"/>
        <v>1</v>
      </c>
      <c r="R245" s="342">
        <f t="shared" si="119"/>
        <v>1</v>
      </c>
      <c r="S245" s="342">
        <f t="shared" si="119"/>
        <v>1</v>
      </c>
      <c r="T245" s="342">
        <f t="shared" si="119"/>
        <v>1</v>
      </c>
      <c r="U245" s="342">
        <f t="shared" si="119"/>
        <v>1</v>
      </c>
      <c r="V245" s="342">
        <f t="shared" si="119"/>
        <v>1</v>
      </c>
      <c r="W245" s="342">
        <f t="shared" si="119"/>
        <v>1</v>
      </c>
      <c r="X245" s="342">
        <f t="shared" si="119"/>
        <v>1</v>
      </c>
      <c r="Y245" s="342">
        <f t="shared" si="119"/>
        <v>1</v>
      </c>
      <c r="Z245" s="342">
        <f t="shared" si="119"/>
        <v>1</v>
      </c>
      <c r="AA245" s="342">
        <f t="shared" si="119"/>
        <v>1</v>
      </c>
      <c r="AB245" s="342">
        <f t="shared" si="119"/>
        <v>1</v>
      </c>
      <c r="AC245" s="342">
        <f t="shared" si="119"/>
        <v>1</v>
      </c>
      <c r="AD245" s="342">
        <f t="shared" si="119"/>
        <v>1</v>
      </c>
      <c r="AE245" s="342">
        <f t="shared" si="119"/>
        <v>1</v>
      </c>
      <c r="AF245" s="342">
        <f t="shared" si="119"/>
        <v>1</v>
      </c>
      <c r="AG245" s="342">
        <f t="shared" si="119"/>
        <v>1</v>
      </c>
      <c r="AH245" s="342">
        <f t="shared" si="119"/>
        <v>1</v>
      </c>
      <c r="AI245" s="342">
        <f t="shared" si="119"/>
        <v>1</v>
      </c>
      <c r="AJ245" s="342">
        <f t="shared" si="119"/>
        <v>1</v>
      </c>
      <c r="AK245" s="342">
        <f t="shared" si="119"/>
        <v>1</v>
      </c>
      <c r="AL245" s="342">
        <f t="shared" si="119"/>
        <v>1</v>
      </c>
      <c r="AM245" s="342">
        <f t="shared" si="119"/>
        <v>1</v>
      </c>
    </row>
    <row r="246" spans="1:40" s="256" customFormat="1" outlineLevel="1" x14ac:dyDescent="0.25">
      <c r="B246" s="256" t="str">
        <f t="shared" si="113"/>
        <v>NyAff5</v>
      </c>
      <c r="C246" s="257" t="s">
        <v>243</v>
      </c>
      <c r="D246" s="342">
        <f t="shared" si="114"/>
        <v>1</v>
      </c>
      <c r="E246" s="342">
        <f t="shared" si="119"/>
        <v>1</v>
      </c>
      <c r="F246" s="342">
        <f t="shared" si="119"/>
        <v>1</v>
      </c>
      <c r="G246" s="342">
        <f t="shared" si="119"/>
        <v>1</v>
      </c>
      <c r="H246" s="342">
        <f t="shared" si="119"/>
        <v>1</v>
      </c>
      <c r="I246" s="342">
        <f t="shared" si="119"/>
        <v>1</v>
      </c>
      <c r="J246" s="342">
        <f t="shared" si="119"/>
        <v>1</v>
      </c>
      <c r="K246" s="342">
        <f t="shared" si="119"/>
        <v>1</v>
      </c>
      <c r="L246" s="342">
        <f t="shared" si="119"/>
        <v>1</v>
      </c>
      <c r="M246" s="342">
        <f t="shared" si="119"/>
        <v>1</v>
      </c>
      <c r="N246" s="342">
        <f t="shared" si="119"/>
        <v>1</v>
      </c>
      <c r="O246" s="342">
        <f t="shared" si="119"/>
        <v>1</v>
      </c>
      <c r="P246" s="342">
        <f t="shared" si="119"/>
        <v>1</v>
      </c>
      <c r="Q246" s="342">
        <f t="shared" si="119"/>
        <v>1</v>
      </c>
      <c r="R246" s="342">
        <f t="shared" si="119"/>
        <v>1</v>
      </c>
      <c r="S246" s="342">
        <f t="shared" si="119"/>
        <v>1</v>
      </c>
      <c r="T246" s="342">
        <f t="shared" si="119"/>
        <v>1</v>
      </c>
      <c r="U246" s="342">
        <f t="shared" si="119"/>
        <v>1</v>
      </c>
      <c r="V246" s="342">
        <f t="shared" si="119"/>
        <v>1</v>
      </c>
      <c r="W246" s="342">
        <f t="shared" si="119"/>
        <v>1</v>
      </c>
      <c r="X246" s="342">
        <f t="shared" si="119"/>
        <v>1</v>
      </c>
      <c r="Y246" s="342">
        <f t="shared" si="119"/>
        <v>1</v>
      </c>
      <c r="Z246" s="342">
        <f t="shared" si="119"/>
        <v>1</v>
      </c>
      <c r="AA246" s="342">
        <f t="shared" si="119"/>
        <v>1</v>
      </c>
      <c r="AB246" s="342">
        <f t="shared" si="119"/>
        <v>1</v>
      </c>
      <c r="AC246" s="342">
        <f t="shared" si="119"/>
        <v>1</v>
      </c>
      <c r="AD246" s="342">
        <f t="shared" si="119"/>
        <v>1</v>
      </c>
      <c r="AE246" s="342">
        <f t="shared" si="119"/>
        <v>1</v>
      </c>
      <c r="AF246" s="342">
        <f t="shared" si="119"/>
        <v>1</v>
      </c>
      <c r="AG246" s="342">
        <f t="shared" si="119"/>
        <v>1</v>
      </c>
      <c r="AH246" s="342">
        <f t="shared" si="119"/>
        <v>1</v>
      </c>
      <c r="AI246" s="342">
        <f t="shared" si="119"/>
        <v>1</v>
      </c>
      <c r="AJ246" s="342">
        <f t="shared" si="119"/>
        <v>1</v>
      </c>
      <c r="AK246" s="342">
        <f t="shared" si="119"/>
        <v>1</v>
      </c>
      <c r="AL246" s="342">
        <f t="shared" si="119"/>
        <v>1</v>
      </c>
      <c r="AM246" s="342">
        <f t="shared" si="119"/>
        <v>1</v>
      </c>
    </row>
    <row r="247" spans="1:40" outlineLevel="1" x14ac:dyDescent="0.25">
      <c r="A247" s="294"/>
      <c r="B247" t="str" cm="1">
        <f t="array" ref="B247:B249">ØvrigeBrændsler</f>
        <v>Flis</v>
      </c>
      <c r="C247" s="257" t="s">
        <v>243</v>
      </c>
      <c r="D247" s="342">
        <f t="shared" si="114"/>
        <v>0</v>
      </c>
      <c r="E247" s="342">
        <f t="shared" si="119"/>
        <v>0</v>
      </c>
      <c r="F247" s="342">
        <f t="shared" si="119"/>
        <v>0</v>
      </c>
      <c r="G247" s="342">
        <f t="shared" si="119"/>
        <v>0</v>
      </c>
      <c r="H247" s="342">
        <f t="shared" si="119"/>
        <v>0</v>
      </c>
      <c r="I247" s="342">
        <f t="shared" si="119"/>
        <v>0</v>
      </c>
      <c r="J247" s="342">
        <f t="shared" si="119"/>
        <v>0</v>
      </c>
      <c r="K247" s="342">
        <f t="shared" si="119"/>
        <v>0</v>
      </c>
      <c r="L247" s="342">
        <f t="shared" si="119"/>
        <v>0</v>
      </c>
      <c r="M247" s="342">
        <f t="shared" si="119"/>
        <v>0</v>
      </c>
      <c r="N247" s="342">
        <f t="shared" si="119"/>
        <v>0</v>
      </c>
      <c r="O247" s="342">
        <f t="shared" si="119"/>
        <v>0</v>
      </c>
      <c r="P247" s="342">
        <f t="shared" si="119"/>
        <v>0</v>
      </c>
      <c r="Q247" s="342">
        <f t="shared" si="119"/>
        <v>0</v>
      </c>
      <c r="R247" s="342">
        <f t="shared" si="119"/>
        <v>0</v>
      </c>
      <c r="S247" s="342">
        <f t="shared" si="119"/>
        <v>0</v>
      </c>
      <c r="T247" s="342">
        <f t="shared" si="119"/>
        <v>0</v>
      </c>
      <c r="U247" s="342">
        <f t="shared" si="119"/>
        <v>0</v>
      </c>
      <c r="V247" s="342">
        <f t="shared" si="119"/>
        <v>0</v>
      </c>
      <c r="W247" s="342">
        <f t="shared" si="119"/>
        <v>0</v>
      </c>
      <c r="X247" s="342">
        <f t="shared" si="119"/>
        <v>0</v>
      </c>
      <c r="Y247" s="342">
        <f t="shared" si="119"/>
        <v>0</v>
      </c>
      <c r="Z247" s="342">
        <f t="shared" si="119"/>
        <v>0</v>
      </c>
      <c r="AA247" s="342">
        <f t="shared" si="119"/>
        <v>0</v>
      </c>
      <c r="AB247" s="342">
        <f t="shared" si="119"/>
        <v>0</v>
      </c>
      <c r="AC247" s="342">
        <f t="shared" si="119"/>
        <v>0</v>
      </c>
      <c r="AD247" s="342">
        <f t="shared" si="119"/>
        <v>0</v>
      </c>
      <c r="AE247" s="342">
        <f t="shared" si="119"/>
        <v>0</v>
      </c>
      <c r="AF247" s="342">
        <f t="shared" si="119"/>
        <v>0</v>
      </c>
      <c r="AG247" s="342">
        <f t="shared" si="119"/>
        <v>0</v>
      </c>
      <c r="AH247" s="342">
        <f t="shared" si="119"/>
        <v>0</v>
      </c>
      <c r="AI247" s="342">
        <f t="shared" si="119"/>
        <v>0</v>
      </c>
      <c r="AJ247" s="342">
        <f t="shared" si="119"/>
        <v>0</v>
      </c>
      <c r="AK247" s="342">
        <f t="shared" si="119"/>
        <v>0</v>
      </c>
      <c r="AL247" s="342">
        <f t="shared" si="119"/>
        <v>0</v>
      </c>
      <c r="AM247" s="342">
        <f t="shared" si="119"/>
        <v>0</v>
      </c>
    </row>
    <row r="248" spans="1:40" outlineLevel="1" x14ac:dyDescent="0.25">
      <c r="A248" s="295"/>
      <c r="B248" t="str">
        <v>NSvarme</v>
      </c>
      <c r="C248" s="257" t="s">
        <v>243</v>
      </c>
      <c r="D248" s="342">
        <f t="shared" si="114"/>
        <v>0</v>
      </c>
      <c r="E248" s="342">
        <f t="shared" si="119"/>
        <v>0</v>
      </c>
      <c r="F248" s="342">
        <f t="shared" si="119"/>
        <v>0</v>
      </c>
      <c r="G248" s="342">
        <f t="shared" si="119"/>
        <v>0</v>
      </c>
      <c r="H248" s="342">
        <f t="shared" si="119"/>
        <v>0</v>
      </c>
      <c r="I248" s="342">
        <f t="shared" si="119"/>
        <v>0</v>
      </c>
      <c r="J248" s="342">
        <f t="shared" si="119"/>
        <v>0</v>
      </c>
      <c r="K248" s="342">
        <f t="shared" si="119"/>
        <v>0</v>
      </c>
      <c r="L248" s="342">
        <f t="shared" si="119"/>
        <v>0</v>
      </c>
      <c r="M248" s="342">
        <f t="shared" si="119"/>
        <v>0</v>
      </c>
      <c r="N248" s="342">
        <f t="shared" si="119"/>
        <v>0</v>
      </c>
      <c r="O248" s="342">
        <f t="shared" si="119"/>
        <v>0</v>
      </c>
      <c r="P248" s="342">
        <f t="shared" si="119"/>
        <v>0</v>
      </c>
      <c r="Q248" s="342">
        <f t="shared" si="119"/>
        <v>0</v>
      </c>
      <c r="R248" s="342">
        <f t="shared" si="119"/>
        <v>0</v>
      </c>
      <c r="S248" s="342">
        <f t="shared" si="119"/>
        <v>0</v>
      </c>
      <c r="T248" s="342">
        <f t="shared" si="119"/>
        <v>0</v>
      </c>
      <c r="U248" s="342">
        <f t="shared" si="119"/>
        <v>0</v>
      </c>
      <c r="V248" s="342">
        <f t="shared" si="119"/>
        <v>0</v>
      </c>
      <c r="W248" s="342">
        <f t="shared" si="119"/>
        <v>0</v>
      </c>
      <c r="X248" s="342">
        <f t="shared" si="119"/>
        <v>0</v>
      </c>
      <c r="Y248" s="342">
        <f t="shared" si="119"/>
        <v>0</v>
      </c>
      <c r="Z248" s="342">
        <f t="shared" si="119"/>
        <v>0</v>
      </c>
      <c r="AA248" s="342">
        <f t="shared" si="119"/>
        <v>0</v>
      </c>
      <c r="AB248" s="342">
        <f t="shared" si="119"/>
        <v>0</v>
      </c>
      <c r="AC248" s="342">
        <f t="shared" si="119"/>
        <v>0</v>
      </c>
      <c r="AD248" s="342">
        <f t="shared" si="119"/>
        <v>0</v>
      </c>
      <c r="AE248" s="342">
        <f t="shared" si="119"/>
        <v>0</v>
      </c>
      <c r="AF248" s="342">
        <f t="shared" si="119"/>
        <v>0</v>
      </c>
      <c r="AG248" s="342">
        <f t="shared" si="119"/>
        <v>0</v>
      </c>
      <c r="AH248" s="342">
        <f t="shared" si="119"/>
        <v>0</v>
      </c>
      <c r="AI248" s="342">
        <f t="shared" si="119"/>
        <v>0</v>
      </c>
      <c r="AJ248" s="342">
        <f t="shared" si="119"/>
        <v>0</v>
      </c>
      <c r="AK248" s="342">
        <f t="shared" si="119"/>
        <v>0</v>
      </c>
      <c r="AL248" s="342">
        <f t="shared" si="119"/>
        <v>0</v>
      </c>
      <c r="AM248" s="342">
        <f t="shared" si="119"/>
        <v>0</v>
      </c>
    </row>
    <row r="249" spans="1:40" outlineLevel="1" x14ac:dyDescent="0.25">
      <c r="A249" s="295"/>
      <c r="B249" t="str">
        <v>PeakFuel</v>
      </c>
      <c r="C249" s="257" t="s">
        <v>243</v>
      </c>
      <c r="D249" s="342">
        <f t="shared" si="114"/>
        <v>0</v>
      </c>
      <c r="E249" s="342">
        <f t="shared" si="119"/>
        <v>0</v>
      </c>
      <c r="F249" s="342">
        <f t="shared" si="119"/>
        <v>0</v>
      </c>
      <c r="G249" s="342">
        <f t="shared" si="119"/>
        <v>0</v>
      </c>
      <c r="H249" s="342">
        <f t="shared" si="119"/>
        <v>0</v>
      </c>
      <c r="I249" s="342">
        <f t="shared" si="119"/>
        <v>0</v>
      </c>
      <c r="J249" s="342">
        <f t="shared" si="119"/>
        <v>0</v>
      </c>
      <c r="K249" s="342">
        <f t="shared" si="119"/>
        <v>0</v>
      </c>
      <c r="L249" s="342">
        <f t="shared" si="119"/>
        <v>0</v>
      </c>
      <c r="M249" s="342">
        <f t="shared" si="119"/>
        <v>0</v>
      </c>
      <c r="N249" s="342">
        <f t="shared" si="119"/>
        <v>0</v>
      </c>
      <c r="O249" s="342">
        <f t="shared" si="119"/>
        <v>0</v>
      </c>
      <c r="P249" s="342">
        <f t="shared" si="119"/>
        <v>0</v>
      </c>
      <c r="Q249" s="342">
        <f t="shared" si="119"/>
        <v>0</v>
      </c>
      <c r="R249" s="342">
        <f t="shared" si="119"/>
        <v>0</v>
      </c>
      <c r="S249" s="342">
        <f t="shared" si="119"/>
        <v>0</v>
      </c>
      <c r="T249" s="342">
        <f t="shared" si="119"/>
        <v>0</v>
      </c>
      <c r="U249" s="342">
        <f t="shared" si="119"/>
        <v>0</v>
      </c>
      <c r="V249" s="342">
        <f t="shared" si="119"/>
        <v>0</v>
      </c>
      <c r="W249" s="342">
        <f t="shared" si="119"/>
        <v>0</v>
      </c>
      <c r="X249" s="342">
        <f t="shared" si="119"/>
        <v>0</v>
      </c>
      <c r="Y249" s="342">
        <f t="shared" si="119"/>
        <v>0</v>
      </c>
      <c r="Z249" s="342">
        <f t="shared" si="119"/>
        <v>0</v>
      </c>
      <c r="AA249" s="342">
        <f t="shared" si="119"/>
        <v>0</v>
      </c>
      <c r="AB249" s="342">
        <f t="shared" si="119"/>
        <v>0</v>
      </c>
      <c r="AC249" s="342">
        <f t="shared" si="119"/>
        <v>0</v>
      </c>
      <c r="AD249" s="342">
        <f t="shared" si="119"/>
        <v>0</v>
      </c>
      <c r="AE249" s="342">
        <f t="shared" si="119"/>
        <v>0</v>
      </c>
      <c r="AF249" s="342">
        <f t="shared" si="119"/>
        <v>0</v>
      </c>
      <c r="AG249" s="342">
        <f t="shared" si="119"/>
        <v>0</v>
      </c>
      <c r="AH249" s="342">
        <f t="shared" si="119"/>
        <v>0</v>
      </c>
      <c r="AI249" s="342">
        <f t="shared" si="119"/>
        <v>0</v>
      </c>
      <c r="AJ249" s="342">
        <f t="shared" si="119"/>
        <v>0</v>
      </c>
      <c r="AK249" s="342">
        <f t="shared" si="119"/>
        <v>0</v>
      </c>
      <c r="AL249" s="342">
        <f t="shared" si="119"/>
        <v>0</v>
      </c>
      <c r="AM249" s="342">
        <f t="shared" si="119"/>
        <v>0</v>
      </c>
    </row>
    <row r="250" spans="1:40" s="40" customFormat="1" ht="15.75" x14ac:dyDescent="0.25">
      <c r="A250" s="37"/>
      <c r="B250" s="36"/>
      <c r="C250" s="36"/>
      <c r="D250" s="38"/>
      <c r="E250" s="39"/>
      <c r="F250" s="39"/>
      <c r="G250" s="39"/>
      <c r="H250" s="39"/>
      <c r="I250" s="39"/>
      <c r="J250" s="39"/>
      <c r="K250" s="39"/>
      <c r="L250" s="39"/>
      <c r="M250" s="39"/>
      <c r="N250" s="39"/>
      <c r="O250" s="39"/>
      <c r="P250" s="38"/>
      <c r="Q250" s="39"/>
      <c r="R250" s="39"/>
      <c r="S250" s="39"/>
      <c r="T250" s="39"/>
      <c r="U250" s="39"/>
      <c r="V250" s="39"/>
      <c r="W250" s="39"/>
      <c r="X250" s="39"/>
      <c r="Y250" s="39"/>
      <c r="Z250" s="39"/>
      <c r="AA250" s="39"/>
      <c r="AB250" s="38"/>
      <c r="AC250" s="39"/>
      <c r="AD250" s="39"/>
      <c r="AE250" s="39"/>
      <c r="AF250" s="39"/>
      <c r="AG250" s="39"/>
      <c r="AH250" s="39"/>
      <c r="AI250" s="39"/>
      <c r="AJ250" s="39"/>
      <c r="AK250" s="39"/>
      <c r="AL250" s="39"/>
      <c r="AM250" s="39"/>
    </row>
    <row r="251" spans="1:40" s="40" customFormat="1" ht="15.75" x14ac:dyDescent="0.25">
      <c r="A251" s="37"/>
      <c r="B251" s="36"/>
      <c r="C251" s="36"/>
      <c r="D251" s="39"/>
      <c r="E251" s="39"/>
      <c r="F251" s="39"/>
      <c r="G251" s="39"/>
      <c r="H251" s="39"/>
      <c r="I251" s="39"/>
      <c r="J251" s="39"/>
      <c r="K251" s="39"/>
      <c r="L251" s="39"/>
      <c r="M251" s="39"/>
      <c r="N251" s="39"/>
      <c r="O251" s="39"/>
      <c r="P251" s="39"/>
      <c r="Q251" s="39"/>
      <c r="R251" s="39"/>
      <c r="S251" s="39"/>
      <c r="T251" s="39"/>
      <c r="U251" s="39"/>
      <c r="V251" s="39"/>
      <c r="W251" s="39"/>
      <c r="X251" s="39"/>
      <c r="Y251" s="39"/>
      <c r="Z251" s="39"/>
      <c r="AA251" s="39"/>
      <c r="AB251" s="39"/>
      <c r="AC251" s="39"/>
      <c r="AD251" s="39"/>
      <c r="AE251" s="39"/>
      <c r="AF251" s="39"/>
      <c r="AG251" s="39"/>
      <c r="AH251" s="39"/>
      <c r="AI251" s="39"/>
      <c r="AJ251" s="39"/>
      <c r="AK251" s="39"/>
      <c r="AL251" s="39"/>
      <c r="AM251" s="39"/>
    </row>
    <row r="252" spans="1:40" x14ac:dyDescent="0.25">
      <c r="C252" s="21"/>
    </row>
    <row r="253" spans="1:40" x14ac:dyDescent="0.25">
      <c r="B253" s="27"/>
      <c r="C253" s="21"/>
      <c r="D253" s="35" cm="1">
        <f t="array" ref="D253:AM253">TRANSPOSE(PeriodRange)</f>
        <v>44197</v>
      </c>
      <c r="E253" s="31">
        <v>44228</v>
      </c>
      <c r="F253" s="31">
        <v>44256</v>
      </c>
      <c r="G253" s="31">
        <v>44287</v>
      </c>
      <c r="H253" s="31">
        <v>44317</v>
      </c>
      <c r="I253" s="31">
        <v>44348</v>
      </c>
      <c r="J253" s="31">
        <v>44378</v>
      </c>
      <c r="K253" s="31">
        <v>44409</v>
      </c>
      <c r="L253" s="31">
        <v>44440</v>
      </c>
      <c r="M253" s="31">
        <v>44470</v>
      </c>
      <c r="N253" s="31">
        <v>44501</v>
      </c>
      <c r="O253" s="31">
        <v>44531</v>
      </c>
      <c r="P253" s="33">
        <v>44562</v>
      </c>
      <c r="Q253" s="31">
        <v>44593</v>
      </c>
      <c r="R253" s="31">
        <v>44621</v>
      </c>
      <c r="S253" s="31">
        <v>44652</v>
      </c>
      <c r="T253" s="31">
        <v>44682</v>
      </c>
      <c r="U253" s="31">
        <v>44713</v>
      </c>
      <c r="V253" s="31">
        <v>44743</v>
      </c>
      <c r="W253" s="31">
        <v>44774</v>
      </c>
      <c r="X253" s="31">
        <v>44805</v>
      </c>
      <c r="Y253" s="31">
        <v>44835</v>
      </c>
      <c r="Z253" s="31">
        <v>44866</v>
      </c>
      <c r="AA253" s="31">
        <v>44896</v>
      </c>
      <c r="AB253" s="35">
        <v>44927</v>
      </c>
      <c r="AC253" s="31">
        <v>44958</v>
      </c>
      <c r="AD253" s="31">
        <v>44986</v>
      </c>
      <c r="AE253" s="31">
        <v>45017</v>
      </c>
      <c r="AF253" s="31">
        <v>45047</v>
      </c>
      <c r="AG253" s="31">
        <v>45078</v>
      </c>
      <c r="AH253" s="31">
        <v>45108</v>
      </c>
      <c r="AI253" s="31">
        <v>45139</v>
      </c>
      <c r="AJ253" s="31">
        <v>45170</v>
      </c>
      <c r="AK253" s="31">
        <v>45200</v>
      </c>
      <c r="AL253" s="31">
        <v>45231</v>
      </c>
      <c r="AM253" s="31">
        <v>45261</v>
      </c>
    </row>
    <row r="254" spans="1:40" ht="15.75" x14ac:dyDescent="0.25">
      <c r="A254" s="37" t="s">
        <v>319</v>
      </c>
      <c r="B254" s="41"/>
      <c r="C254" s="29"/>
      <c r="D254" s="314" t="s">
        <v>141</v>
      </c>
      <c r="E254" s="315" t="s">
        <v>142</v>
      </c>
      <c r="F254" s="315" t="s">
        <v>143</v>
      </c>
      <c r="G254" s="315" t="s">
        <v>144</v>
      </c>
      <c r="H254" s="315" t="s">
        <v>145</v>
      </c>
      <c r="I254" s="315" t="s">
        <v>146</v>
      </c>
      <c r="J254" s="315" t="s">
        <v>147</v>
      </c>
      <c r="K254" s="315" t="s">
        <v>148</v>
      </c>
      <c r="L254" s="315" t="s">
        <v>149</v>
      </c>
      <c r="M254" s="315" t="s">
        <v>150</v>
      </c>
      <c r="N254" s="315" t="s">
        <v>151</v>
      </c>
      <c r="O254" s="315" t="s">
        <v>152</v>
      </c>
      <c r="P254" s="314" t="s">
        <v>153</v>
      </c>
      <c r="Q254" s="315" t="s">
        <v>154</v>
      </c>
      <c r="R254" s="315" t="s">
        <v>155</v>
      </c>
      <c r="S254" s="315" t="s">
        <v>156</v>
      </c>
      <c r="T254" s="315" t="s">
        <v>157</v>
      </c>
      <c r="U254" s="315" t="s">
        <v>158</v>
      </c>
      <c r="V254" s="315" t="s">
        <v>159</v>
      </c>
      <c r="W254" s="315" t="s">
        <v>160</v>
      </c>
      <c r="X254" s="315" t="s">
        <v>161</v>
      </c>
      <c r="Y254" s="315" t="s">
        <v>162</v>
      </c>
      <c r="Z254" s="315" t="s">
        <v>163</v>
      </c>
      <c r="AA254" s="315" t="s">
        <v>164</v>
      </c>
      <c r="AB254" s="314" t="s">
        <v>165</v>
      </c>
      <c r="AC254" s="315" t="s">
        <v>166</v>
      </c>
      <c r="AD254" s="315" t="s">
        <v>167</v>
      </c>
      <c r="AE254" s="315" t="s">
        <v>168</v>
      </c>
      <c r="AF254" s="315" t="s">
        <v>169</v>
      </c>
      <c r="AG254" s="315" t="s">
        <v>170</v>
      </c>
      <c r="AH254" s="315" t="s">
        <v>171</v>
      </c>
      <c r="AI254" s="315" t="s">
        <v>172</v>
      </c>
      <c r="AJ254" s="315" t="s">
        <v>173</v>
      </c>
      <c r="AK254" s="315" t="s">
        <v>174</v>
      </c>
      <c r="AL254" s="315" t="s">
        <v>175</v>
      </c>
      <c r="AM254" s="315" t="s">
        <v>176</v>
      </c>
    </row>
    <row r="255" spans="1:40" x14ac:dyDescent="0.25">
      <c r="A255" s="248"/>
      <c r="B255" s="248"/>
      <c r="C255" s="22" t="s">
        <v>66</v>
      </c>
      <c r="D255" s="5">
        <f>Affald2021!C40</f>
        <v>11626.800000000003</v>
      </c>
      <c r="E255" s="5">
        <f>Affald2021!D40</f>
        <v>9473.9599999999991</v>
      </c>
      <c r="F255" s="5">
        <f>Affald2021!E40</f>
        <v>10226.530000000002</v>
      </c>
      <c r="G255" s="5">
        <f>Affald2021!F40</f>
        <v>8992.5099999999984</v>
      </c>
      <c r="H255" s="5">
        <f>Affald2021!G40</f>
        <v>5702.4399999999987</v>
      </c>
      <c r="I255" s="5">
        <f>Affald2021!H40</f>
        <v>4842.76</v>
      </c>
      <c r="J255" s="5">
        <f>Affald2021!I40</f>
        <v>6278.3300000000008</v>
      </c>
      <c r="K255" s="5">
        <f>Affald2021!J40</f>
        <v>6279.509</v>
      </c>
      <c r="L255" s="5">
        <f>Affald2021!K40</f>
        <v>7301.25</v>
      </c>
      <c r="M255" s="5">
        <f>Affald2021!L40</f>
        <v>8522.0199999999986</v>
      </c>
      <c r="N255" s="5">
        <f>Affald2021!M40</f>
        <v>8491.1899999999987</v>
      </c>
      <c r="O255" s="5">
        <f>Affald2021!N40</f>
        <v>9375.9399999999987</v>
      </c>
      <c r="P255" s="316">
        <f t="shared" ref="P255:AM255" si="120">NaN</f>
        <v>-9.99</v>
      </c>
      <c r="Q255" s="316">
        <f t="shared" si="120"/>
        <v>-9.99</v>
      </c>
      <c r="R255" s="316">
        <f t="shared" si="120"/>
        <v>-9.99</v>
      </c>
      <c r="S255" s="316">
        <f t="shared" si="120"/>
        <v>-9.99</v>
      </c>
      <c r="T255" s="316">
        <f t="shared" si="120"/>
        <v>-9.99</v>
      </c>
      <c r="U255" s="316">
        <f t="shared" si="120"/>
        <v>-9.99</v>
      </c>
      <c r="V255" s="316">
        <f t="shared" si="120"/>
        <v>-9.99</v>
      </c>
      <c r="W255" s="316">
        <f t="shared" si="120"/>
        <v>-9.99</v>
      </c>
      <c r="X255" s="316">
        <f t="shared" si="120"/>
        <v>-9.99</v>
      </c>
      <c r="Y255" s="316">
        <f t="shared" si="120"/>
        <v>-9.99</v>
      </c>
      <c r="Z255" s="316">
        <f t="shared" si="120"/>
        <v>-9.99</v>
      </c>
      <c r="AA255" s="316">
        <f t="shared" si="120"/>
        <v>-9.99</v>
      </c>
      <c r="AB255" s="316">
        <f t="shared" si="120"/>
        <v>-9.99</v>
      </c>
      <c r="AC255" s="316">
        <f t="shared" si="120"/>
        <v>-9.99</v>
      </c>
      <c r="AD255" s="316">
        <f t="shared" si="120"/>
        <v>-9.99</v>
      </c>
      <c r="AE255" s="316">
        <f t="shared" si="120"/>
        <v>-9.99</v>
      </c>
      <c r="AF255" s="316">
        <f t="shared" si="120"/>
        <v>-9.99</v>
      </c>
      <c r="AG255" s="316">
        <f t="shared" si="120"/>
        <v>-9.99</v>
      </c>
      <c r="AH255" s="316">
        <f t="shared" si="120"/>
        <v>-9.99</v>
      </c>
      <c r="AI255" s="316">
        <f t="shared" si="120"/>
        <v>-9.99</v>
      </c>
      <c r="AJ255" s="316">
        <f t="shared" si="120"/>
        <v>-9.99</v>
      </c>
      <c r="AK255" s="316">
        <f t="shared" si="120"/>
        <v>-9.99</v>
      </c>
      <c r="AL255" s="316">
        <f t="shared" si="120"/>
        <v>-9.99</v>
      </c>
      <c r="AM255" s="316">
        <f t="shared" si="120"/>
        <v>-9.99</v>
      </c>
      <c r="AN255" s="5"/>
    </row>
  </sheetData>
  <mergeCells count="2">
    <mergeCell ref="U2:W2"/>
    <mergeCell ref="O2:P2"/>
  </mergeCells>
  <phoneticPr fontId="16" type="noConversion"/>
  <conditionalFormatting sqref="T5:T30 T32:T33 U5:U33 O5:P31 D5:F33 H5:H33 M5:N30 L5:L31">
    <cfRule type="cellIs" dxfId="22" priority="29" operator="equal">
      <formula>0</formula>
    </cfRule>
  </conditionalFormatting>
  <conditionalFormatting sqref="D37:AM37">
    <cfRule type="cellIs" dxfId="21" priority="20" operator="greaterThan">
      <formula>0</formula>
    </cfRule>
  </conditionalFormatting>
  <conditionalFormatting sqref="H31">
    <cfRule type="expression" dxfId="20" priority="14">
      <formula>$H31&lt;&gt;0</formula>
    </cfRule>
  </conditionalFormatting>
  <conditionalFormatting sqref="Q5:Q33">
    <cfRule type="cellIs" dxfId="19" priority="8" operator="lessThan">
      <formula>0</formula>
    </cfRule>
  </conditionalFormatting>
  <conditionalFormatting sqref="I31">
    <cfRule type="cellIs" dxfId="18" priority="18" operator="notEqual">
      <formula>0</formula>
    </cfRule>
  </conditionalFormatting>
  <conditionalFormatting sqref="T31 M31:N31">
    <cfRule type="cellIs" dxfId="17" priority="17" operator="equal">
      <formula>0</formula>
    </cfRule>
  </conditionalFormatting>
  <conditionalFormatting sqref="K5:K30">
    <cfRule type="cellIs" dxfId="16" priority="13" operator="equal">
      <formula>0</formula>
    </cfRule>
  </conditionalFormatting>
  <conditionalFormatting sqref="K31">
    <cfRule type="cellIs" dxfId="15" priority="12" operator="equal">
      <formula>0</formula>
    </cfRule>
  </conditionalFormatting>
  <conditionalFormatting sqref="J5:J30">
    <cfRule type="cellIs" dxfId="14" priority="11" operator="equal">
      <formula>0</formula>
    </cfRule>
  </conditionalFormatting>
  <conditionalFormatting sqref="J31">
    <cfRule type="cellIs" dxfId="13" priority="10" operator="equal">
      <formula>0</formula>
    </cfRule>
  </conditionalFormatting>
  <conditionalFormatting sqref="J5:K30">
    <cfRule type="cellIs" dxfId="12" priority="9" operator="equal">
      <formula>0</formula>
    </cfRule>
  </conditionalFormatting>
  <conditionalFormatting sqref="B5:F33 T5:W33 H5:R33">
    <cfRule type="expression" dxfId="11" priority="30">
      <formula>$D5&lt;&gt;0</formula>
    </cfRule>
  </conditionalFormatting>
  <conditionalFormatting sqref="O5:P30">
    <cfRule type="cellIs" dxfId="10" priority="6" operator="lessThan">
      <formula>0</formula>
    </cfRule>
  </conditionalFormatting>
  <conditionalFormatting sqref="S5:S33">
    <cfRule type="expression" dxfId="9" priority="5">
      <formula>$D5&lt;&gt;0</formula>
    </cfRule>
  </conditionalFormatting>
  <conditionalFormatting sqref="G5:G33">
    <cfRule type="cellIs" dxfId="8" priority="3" operator="equal">
      <formula>0</formula>
    </cfRule>
  </conditionalFormatting>
  <conditionalFormatting sqref="G31">
    <cfRule type="expression" dxfId="7" priority="2">
      <formula>$H31&lt;&gt;0</formula>
    </cfRule>
  </conditionalFormatting>
  <conditionalFormatting sqref="G5:G33">
    <cfRule type="expression" dxfId="6" priority="4">
      <formula>$D5&lt;&gt;0</formula>
    </cfRule>
  </conditionalFormatting>
  <conditionalFormatting sqref="D41:O69 D71:O99">
    <cfRule type="expression" dxfId="5" priority="1">
      <formula>FixAffald2021</formula>
    </cfRule>
  </conditionalFormatting>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F650E-64D8-4249-AEF1-885527951C80}">
  <sheetPr codeName="Sheet7"/>
  <dimension ref="A2:Z44"/>
  <sheetViews>
    <sheetView zoomScale="85" zoomScaleNormal="85" workbookViewId="0">
      <selection activeCell="H23" sqref="H23"/>
    </sheetView>
  </sheetViews>
  <sheetFormatPr defaultRowHeight="15" x14ac:dyDescent="0.25"/>
  <cols>
    <col min="1" max="1" width="18" customWidth="1"/>
    <col min="2" max="2" width="16" bestFit="1" customWidth="1"/>
  </cols>
  <sheetData>
    <row r="2" spans="1:26" ht="15.75" x14ac:dyDescent="0.25">
      <c r="A2" s="5"/>
      <c r="B2" s="378">
        <v>2021</v>
      </c>
      <c r="C2" s="376" t="s">
        <v>450</v>
      </c>
      <c r="D2" s="377"/>
      <c r="E2" s="377"/>
      <c r="F2" s="377"/>
      <c r="G2" s="377"/>
      <c r="H2" s="377"/>
      <c r="I2" s="377"/>
      <c r="J2" s="377"/>
      <c r="K2" s="377"/>
      <c r="L2" s="377"/>
      <c r="M2" s="377"/>
      <c r="N2" s="377"/>
      <c r="O2" s="377"/>
      <c r="P2" s="377"/>
    </row>
    <row r="3" spans="1:26" x14ac:dyDescent="0.25">
      <c r="A3" s="5"/>
      <c r="B3" s="370"/>
      <c r="C3" s="5"/>
      <c r="D3" s="5"/>
      <c r="E3" s="5"/>
      <c r="F3" s="5"/>
      <c r="G3" s="5"/>
      <c r="H3" s="5"/>
      <c r="I3" s="5"/>
      <c r="J3" s="5"/>
      <c r="K3" s="5"/>
      <c r="L3" s="5"/>
      <c r="M3" s="5"/>
      <c r="N3" s="5"/>
      <c r="O3" s="5"/>
      <c r="P3" s="5"/>
    </row>
    <row r="4" spans="1:26" x14ac:dyDescent="0.25">
      <c r="A4" s="5"/>
      <c r="B4" s="370"/>
      <c r="C4" t="s">
        <v>466</v>
      </c>
      <c r="O4" s="5"/>
      <c r="P4" s="5"/>
    </row>
    <row r="5" spans="1:26" x14ac:dyDescent="0.25">
      <c r="A5" s="5"/>
      <c r="B5" s="370"/>
      <c r="C5" s="5" t="s">
        <v>467</v>
      </c>
      <c r="D5" s="5"/>
      <c r="E5" s="5"/>
      <c r="F5" s="5"/>
      <c r="G5" s="5"/>
      <c r="H5" s="5"/>
      <c r="I5" s="5"/>
      <c r="J5" s="5"/>
      <c r="K5" s="5"/>
      <c r="L5" s="5"/>
      <c r="M5" s="5"/>
      <c r="N5" s="5"/>
      <c r="O5" s="5"/>
      <c r="P5" s="5"/>
    </row>
    <row r="6" spans="1:26" x14ac:dyDescent="0.25">
      <c r="A6" s="5"/>
      <c r="B6" s="370"/>
      <c r="C6" s="5" t="s">
        <v>468</v>
      </c>
      <c r="D6" s="5"/>
      <c r="E6" s="5"/>
      <c r="F6" s="5"/>
      <c r="G6" s="5"/>
      <c r="H6" s="5"/>
      <c r="I6" s="5"/>
      <c r="J6" s="5"/>
      <c r="K6" s="5"/>
      <c r="L6" s="5"/>
      <c r="M6" s="5"/>
      <c r="N6" s="5"/>
      <c r="O6" s="5"/>
      <c r="P6" s="5"/>
    </row>
    <row r="7" spans="1:26" x14ac:dyDescent="0.25">
      <c r="A7" s="5"/>
      <c r="B7" s="370"/>
      <c r="C7" s="5"/>
      <c r="D7" s="5"/>
      <c r="E7" s="5"/>
      <c r="F7" s="5"/>
      <c r="G7" s="5"/>
      <c r="H7" s="5"/>
      <c r="I7" s="5"/>
      <c r="J7" s="5"/>
      <c r="K7" s="5"/>
      <c r="L7" s="5"/>
      <c r="M7" s="5"/>
      <c r="N7" s="5"/>
      <c r="O7" s="5"/>
      <c r="P7" s="5"/>
    </row>
    <row r="8" spans="1:26" x14ac:dyDescent="0.25">
      <c r="A8" s="5"/>
      <c r="B8" s="370"/>
      <c r="C8" s="371" t="s">
        <v>451</v>
      </c>
      <c r="D8" s="371" t="s">
        <v>452</v>
      </c>
      <c r="E8" s="371" t="s">
        <v>453</v>
      </c>
      <c r="F8" s="371" t="s">
        <v>454</v>
      </c>
      <c r="G8" s="371" t="s">
        <v>455</v>
      </c>
      <c r="H8" s="371" t="s">
        <v>456</v>
      </c>
      <c r="I8" s="371" t="s">
        <v>457</v>
      </c>
      <c r="J8" s="371" t="s">
        <v>458</v>
      </c>
      <c r="K8" s="371" t="s">
        <v>459</v>
      </c>
      <c r="L8" s="371" t="s">
        <v>460</v>
      </c>
      <c r="M8" s="371" t="s">
        <v>461</v>
      </c>
      <c r="N8" s="371" t="s">
        <v>462</v>
      </c>
      <c r="O8" s="5"/>
      <c r="P8" s="5" t="s">
        <v>135</v>
      </c>
      <c r="Q8" s="371" t="s">
        <v>473</v>
      </c>
      <c r="R8" s="371" t="s">
        <v>474</v>
      </c>
      <c r="S8" s="371" t="s">
        <v>475</v>
      </c>
      <c r="T8" s="371" t="s">
        <v>476</v>
      </c>
      <c r="W8" s="407" t="s">
        <v>472</v>
      </c>
      <c r="X8" s="407"/>
    </row>
    <row r="9" spans="1:26" x14ac:dyDescent="0.25">
      <c r="A9" s="5"/>
      <c r="B9" s="372" t="s">
        <v>14</v>
      </c>
      <c r="C9" s="373">
        <v>3908.64</v>
      </c>
      <c r="D9" s="373">
        <v>973</v>
      </c>
      <c r="E9" s="373">
        <v>1702.59</v>
      </c>
      <c r="F9" s="373">
        <v>1267.99</v>
      </c>
      <c r="G9" s="373">
        <v>105.72</v>
      </c>
      <c r="H9" s="373">
        <v>0</v>
      </c>
      <c r="I9" s="373">
        <v>182.36</v>
      </c>
      <c r="J9" s="373">
        <v>161.74</v>
      </c>
      <c r="K9" s="373">
        <v>1474.88</v>
      </c>
      <c r="L9" s="373">
        <v>1389.91</v>
      </c>
      <c r="M9" s="373">
        <v>187.49</v>
      </c>
      <c r="N9" s="373">
        <v>1560.98</v>
      </c>
      <c r="O9" s="5"/>
      <c r="P9" s="5">
        <f>SUM(C9:N9)</f>
        <v>12915.299999999997</v>
      </c>
      <c r="Q9" s="5">
        <f>IFERROR(_xlfn.STDEV.S(C9:N9),0)</f>
        <v>1106.9990592465415</v>
      </c>
      <c r="R9" s="385">
        <f>IF(P9&gt;0,Q9/P9,"")</f>
        <v>8.5712221879982786E-2</v>
      </c>
      <c r="S9" s="5" cm="1">
        <f t="array" ref="S9">IF(P9&gt;0,MAX(-MIN(C9:N9-P9/12),MAX(C9:N9-P9/12)),"")</f>
        <v>2832.3649999999998</v>
      </c>
      <c r="T9" s="384">
        <f>IF(P9&gt;0,S9/(P9/12),"")</f>
        <v>2.6316368957747787</v>
      </c>
      <c r="U9" s="5">
        <v>12915.3125712</v>
      </c>
      <c r="W9" s="5">
        <f>U9-P9</f>
        <v>1.2571200002639671E-2</v>
      </c>
      <c r="X9" s="6"/>
      <c r="Z9" s="5"/>
    </row>
    <row r="10" spans="1:26" x14ac:dyDescent="0.25">
      <c r="A10" s="5"/>
      <c r="B10" s="372" t="s">
        <v>16</v>
      </c>
      <c r="C10" s="373"/>
      <c r="D10" s="373"/>
      <c r="E10" s="373"/>
      <c r="F10" s="373"/>
      <c r="G10" s="373"/>
      <c r="H10" s="373"/>
      <c r="I10" s="373"/>
      <c r="J10" s="373"/>
      <c r="K10" s="373"/>
      <c r="L10" s="373"/>
      <c r="M10" s="373"/>
      <c r="N10" s="373"/>
      <c r="O10" s="5"/>
      <c r="P10" s="5">
        <f t="shared" ref="P10:P39" si="0">SUM(C10:N10)</f>
        <v>0</v>
      </c>
      <c r="Q10" s="5">
        <f t="shared" ref="Q10:Q29" si="1">IFERROR(_xlfn.STDEV.S(C10:N10),0)</f>
        <v>0</v>
      </c>
      <c r="R10" s="385" t="str">
        <f t="shared" ref="R10:R29" si="2">IF(P10&gt;0,Q10/P10,"")</f>
        <v/>
      </c>
      <c r="S10" s="5" t="str" cm="1">
        <f t="array" ref="S10">IF(P10&gt;0,MAX(-MIN(C10:N10-P10/12),MAX(C10:N10-P10/12)),"")</f>
        <v/>
      </c>
      <c r="T10" s="384" t="str">
        <f t="shared" ref="T10:T29" si="3">IF(P10&gt;0,S10/(P10/12),"")</f>
        <v/>
      </c>
      <c r="U10" s="5">
        <v>-1.1999999999999997E-13</v>
      </c>
      <c r="W10" s="5">
        <f t="shared" ref="W10:W29" si="4">U10-P10</f>
        <v>-1.1999999999999997E-13</v>
      </c>
      <c r="X10" s="6"/>
    </row>
    <row r="11" spans="1:26" x14ac:dyDescent="0.25">
      <c r="A11" s="5"/>
      <c r="B11" s="372" t="s">
        <v>18</v>
      </c>
      <c r="C11" s="373"/>
      <c r="D11" s="373"/>
      <c r="E11" s="373"/>
      <c r="F11" s="373"/>
      <c r="G11" s="373"/>
      <c r="H11" s="373"/>
      <c r="I11" s="373"/>
      <c r="J11" s="373"/>
      <c r="K11" s="373"/>
      <c r="L11" s="373"/>
      <c r="M11" s="373"/>
      <c r="N11" s="373"/>
      <c r="O11" s="5"/>
      <c r="P11" s="5">
        <f t="shared" si="0"/>
        <v>0</v>
      </c>
      <c r="Q11" s="5">
        <f t="shared" si="1"/>
        <v>0</v>
      </c>
      <c r="R11" s="385" t="str">
        <f t="shared" si="2"/>
        <v/>
      </c>
      <c r="S11" s="5" t="str" cm="1">
        <f t="array" ref="S11">IF(P11&gt;0,MAX(-MIN(C11:N11-P11/12),MAX(C11:N11-P11/12)),"")</f>
        <v/>
      </c>
      <c r="T11" s="384" t="str">
        <f t="shared" si="3"/>
        <v/>
      </c>
      <c r="U11" s="5">
        <v>-1.1999999999999997E-13</v>
      </c>
      <c r="W11" s="5">
        <f t="shared" si="4"/>
        <v>-1.1999999999999997E-13</v>
      </c>
      <c r="X11" s="6"/>
    </row>
    <row r="12" spans="1:26" x14ac:dyDescent="0.25">
      <c r="A12" s="5"/>
      <c r="B12" s="372" t="s">
        <v>20</v>
      </c>
      <c r="C12" s="373">
        <v>2356.98</v>
      </c>
      <c r="D12" s="373">
        <v>2129.9</v>
      </c>
      <c r="E12" s="373">
        <v>2515.21</v>
      </c>
      <c r="F12" s="373">
        <v>2421.34</v>
      </c>
      <c r="G12" s="373">
        <v>2323.06</v>
      </c>
      <c r="H12" s="373">
        <v>2443.7399999999998</v>
      </c>
      <c r="I12" s="373">
        <v>2591.08</v>
      </c>
      <c r="J12" s="373">
        <v>2530.84</v>
      </c>
      <c r="K12" s="373">
        <v>2388.4499999999998</v>
      </c>
      <c r="L12" s="373">
        <v>2269.38</v>
      </c>
      <c r="M12" s="373">
        <v>2350.34</v>
      </c>
      <c r="N12" s="373">
        <v>2446.46</v>
      </c>
      <c r="O12" s="5"/>
      <c r="P12" s="5">
        <f t="shared" si="0"/>
        <v>28766.78</v>
      </c>
      <c r="Q12" s="5">
        <f t="shared" si="1"/>
        <v>124.94535655334462</v>
      </c>
      <c r="R12" s="385">
        <f t="shared" si="2"/>
        <v>4.3433904160752306E-3</v>
      </c>
      <c r="S12" s="5" cm="1">
        <f t="array" ref="S12">IF(P12&gt;0,MAX(-MIN(C12:N12-P12/12),MAX(C12:N12-P12/12)),"")</f>
        <v>267.33166666666648</v>
      </c>
      <c r="T12" s="384">
        <f t="shared" si="3"/>
        <v>0.11151682600555217</v>
      </c>
      <c r="U12" s="5">
        <v>28766.80632304</v>
      </c>
      <c r="W12" s="5">
        <f t="shared" si="4"/>
        <v>2.6323040001443587E-2</v>
      </c>
      <c r="X12" s="6"/>
    </row>
    <row r="13" spans="1:26" x14ac:dyDescent="0.25">
      <c r="A13" s="5"/>
      <c r="B13" s="372" t="s">
        <v>22</v>
      </c>
      <c r="C13" s="373">
        <v>437.56</v>
      </c>
      <c r="D13" s="373">
        <v>345</v>
      </c>
      <c r="E13" s="373">
        <v>540.71</v>
      </c>
      <c r="F13" s="373">
        <v>440.19</v>
      </c>
      <c r="G13" s="373">
        <v>404.17</v>
      </c>
      <c r="H13" s="373">
        <v>104.08</v>
      </c>
      <c r="I13" s="373">
        <v>311.55</v>
      </c>
      <c r="J13" s="373">
        <v>308.589</v>
      </c>
      <c r="K13" s="373">
        <v>384.76</v>
      </c>
      <c r="L13" s="373">
        <v>338.54</v>
      </c>
      <c r="M13" s="373">
        <v>295.89</v>
      </c>
      <c r="N13" s="373">
        <v>321.37</v>
      </c>
      <c r="O13" s="5"/>
      <c r="P13" s="5">
        <f t="shared" si="0"/>
        <v>4232.4090000000006</v>
      </c>
      <c r="Q13" s="5">
        <f t="shared" si="1"/>
        <v>106.08754194456978</v>
      </c>
      <c r="R13" s="385">
        <f t="shared" si="2"/>
        <v>2.5065522246212443E-2</v>
      </c>
      <c r="S13" s="5" cm="1">
        <f t="array" ref="S13">IF(P13&gt;0,MAX(-MIN(C13:N13-P13/12),MAX(C13:N13-P13/12)),"")</f>
        <v>248.62075000000004</v>
      </c>
      <c r="T13" s="384">
        <f t="shared" si="3"/>
        <v>0.70490564593355709</v>
      </c>
      <c r="U13" s="5">
        <v>4232.4125081879683</v>
      </c>
      <c r="W13" s="5">
        <f t="shared" si="4"/>
        <v>3.5081879677818506E-3</v>
      </c>
      <c r="X13" s="6"/>
    </row>
    <row r="14" spans="1:26" x14ac:dyDescent="0.25">
      <c r="A14" s="5"/>
      <c r="B14" s="372" t="s">
        <v>24</v>
      </c>
      <c r="C14" s="373"/>
      <c r="D14" s="373"/>
      <c r="E14" s="373"/>
      <c r="F14" s="373">
        <v>33.35</v>
      </c>
      <c r="G14" s="373"/>
      <c r="H14" s="373"/>
      <c r="I14" s="373"/>
      <c r="J14" s="373"/>
      <c r="K14" s="373"/>
      <c r="L14" s="373"/>
      <c r="M14" s="373"/>
      <c r="N14" s="373"/>
      <c r="O14" s="5"/>
      <c r="P14" s="5">
        <f t="shared" si="0"/>
        <v>33.35</v>
      </c>
      <c r="Q14" s="5">
        <f t="shared" si="1"/>
        <v>0</v>
      </c>
      <c r="R14" s="385">
        <f t="shared" si="2"/>
        <v>0</v>
      </c>
      <c r="S14" s="5" cm="1">
        <f t="array" ref="S14">IF(P14&gt;0,MAX(-MIN(C14:N14-P14/12),MAX(C14:N14-P14/12)),"")</f>
        <v>30.570833333333333</v>
      </c>
      <c r="T14" s="384">
        <f t="shared" si="3"/>
        <v>11</v>
      </c>
      <c r="U14" s="5">
        <v>33.350033350000082</v>
      </c>
      <c r="W14" s="5">
        <f t="shared" si="4"/>
        <v>3.3350000080645259E-5</v>
      </c>
      <c r="X14" s="6"/>
    </row>
    <row r="15" spans="1:26" x14ac:dyDescent="0.25">
      <c r="A15" s="5"/>
      <c r="B15" s="372" t="s">
        <v>26</v>
      </c>
      <c r="C15" s="373">
        <v>291.66000000000003</v>
      </c>
      <c r="D15" s="373">
        <v>260.87</v>
      </c>
      <c r="E15" s="373">
        <v>347.07</v>
      </c>
      <c r="F15" s="373">
        <v>332.39</v>
      </c>
      <c r="G15" s="373">
        <v>330.62</v>
      </c>
      <c r="H15" s="373">
        <v>417.61</v>
      </c>
      <c r="I15" s="373">
        <v>481.77</v>
      </c>
      <c r="J15" s="373">
        <v>404.79</v>
      </c>
      <c r="K15" s="373">
        <v>419.89</v>
      </c>
      <c r="L15" s="373">
        <v>377.54</v>
      </c>
      <c r="M15" s="373">
        <v>311.19</v>
      </c>
      <c r="N15" s="373">
        <v>314.38</v>
      </c>
      <c r="O15" s="5"/>
      <c r="P15" s="5">
        <f t="shared" si="0"/>
        <v>4289.78</v>
      </c>
      <c r="Q15" s="5">
        <f t="shared" si="1"/>
        <v>63.764298337112336</v>
      </c>
      <c r="R15" s="385">
        <f t="shared" si="2"/>
        <v>1.4864235074319042E-2</v>
      </c>
      <c r="S15" s="5" cm="1">
        <f t="array" ref="S15">IF(P15&gt;0,MAX(-MIN(C15:N15-P15/12),MAX(C15:N15-P15/12)),"")</f>
        <v>124.28833333333336</v>
      </c>
      <c r="T15" s="384">
        <f t="shared" si="3"/>
        <v>0.34767750327522634</v>
      </c>
      <c r="U15" s="5">
        <v>4041.3723674673893</v>
      </c>
      <c r="W15" s="5">
        <f t="shared" si="4"/>
        <v>-248.40763253261048</v>
      </c>
      <c r="X15" s="6" t="s">
        <v>471</v>
      </c>
    </row>
    <row r="16" spans="1:26" x14ac:dyDescent="0.25">
      <c r="A16" s="5"/>
      <c r="B16" s="372" t="s">
        <v>28</v>
      </c>
      <c r="C16" s="373">
        <v>6.15</v>
      </c>
      <c r="D16" s="373">
        <v>4.05</v>
      </c>
      <c r="E16" s="373">
        <v>6.72</v>
      </c>
      <c r="F16" s="373">
        <v>18.61</v>
      </c>
      <c r="G16" s="373">
        <v>9.65</v>
      </c>
      <c r="H16" s="373">
        <v>6.24</v>
      </c>
      <c r="I16" s="373">
        <v>13.02</v>
      </c>
      <c r="J16" s="373">
        <v>3.41</v>
      </c>
      <c r="K16" s="373">
        <v>14.3</v>
      </c>
      <c r="L16" s="373">
        <v>12.24</v>
      </c>
      <c r="M16" s="373">
        <v>4.9400000000000004</v>
      </c>
      <c r="N16" s="373">
        <v>7.57</v>
      </c>
      <c r="O16" s="5"/>
      <c r="P16" s="5">
        <f t="shared" si="0"/>
        <v>106.89999999999998</v>
      </c>
      <c r="Q16" s="5">
        <f t="shared" si="1"/>
        <v>4.6966077377639603</v>
      </c>
      <c r="R16" s="385">
        <f t="shared" si="2"/>
        <v>4.3934590624545945E-2</v>
      </c>
      <c r="S16" s="5" cm="1">
        <f t="array" ref="S16">IF(P16&gt;0,MAX(-MIN(C16:N16-P16/12),MAX(C16:N16-P16/12)),"")</f>
        <v>9.701666666666668</v>
      </c>
      <c r="T16" s="384">
        <f t="shared" si="3"/>
        <v>1.0890551917680078</v>
      </c>
      <c r="U16" s="5">
        <v>106.90010065999999</v>
      </c>
      <c r="W16" s="5">
        <f t="shared" si="4"/>
        <v>1.0066000001529574E-4</v>
      </c>
      <c r="X16" s="6"/>
    </row>
    <row r="17" spans="1:24" x14ac:dyDescent="0.25">
      <c r="A17" s="5"/>
      <c r="B17" s="372" t="s">
        <v>30</v>
      </c>
      <c r="C17" s="373">
        <v>257</v>
      </c>
      <c r="D17" s="373">
        <v>257.76</v>
      </c>
      <c r="E17" s="373">
        <v>307.94</v>
      </c>
      <c r="F17" s="373">
        <v>309.31</v>
      </c>
      <c r="G17" s="373">
        <v>337.34</v>
      </c>
      <c r="H17" s="373">
        <v>441.4</v>
      </c>
      <c r="I17" s="373">
        <v>494.33</v>
      </c>
      <c r="J17" s="373">
        <v>298.83999999999997</v>
      </c>
      <c r="K17" s="373">
        <v>458.61</v>
      </c>
      <c r="L17" s="373">
        <v>310.66000000000003</v>
      </c>
      <c r="M17" s="373">
        <v>449.82</v>
      </c>
      <c r="N17" s="373">
        <v>343.27</v>
      </c>
      <c r="O17" s="5"/>
      <c r="P17" s="5">
        <f t="shared" si="0"/>
        <v>4266.2800000000007</v>
      </c>
      <c r="Q17" s="5">
        <f t="shared" si="1"/>
        <v>82.864442350507247</v>
      </c>
      <c r="R17" s="385">
        <f t="shared" si="2"/>
        <v>1.9423113895596922E-2</v>
      </c>
      <c r="S17" s="5" cm="1">
        <f t="array" ref="S17">IF(P17&gt;0,MAX(-MIN(C17:N17-P17/12),MAX(C17:N17-P17/12)),"")</f>
        <v>138.80666666666662</v>
      </c>
      <c r="T17" s="384">
        <f t="shared" si="3"/>
        <v>0.39042913264014534</v>
      </c>
      <c r="U17" s="5">
        <v>4266.2825730999994</v>
      </c>
      <c r="W17" s="5">
        <f t="shared" si="4"/>
        <v>2.5730999986990355E-3</v>
      </c>
      <c r="X17" s="6"/>
    </row>
    <row r="18" spans="1:24" x14ac:dyDescent="0.25">
      <c r="A18" s="5"/>
      <c r="B18" s="372" t="s">
        <v>32</v>
      </c>
      <c r="C18" s="373">
        <v>22.8</v>
      </c>
      <c r="D18" s="373">
        <v>23.96</v>
      </c>
      <c r="E18" s="373">
        <v>21.49</v>
      </c>
      <c r="F18" s="373">
        <v>22.12</v>
      </c>
      <c r="G18" s="373">
        <v>24.73</v>
      </c>
      <c r="H18" s="373">
        <v>27.84</v>
      </c>
      <c r="I18" s="373">
        <v>57.59</v>
      </c>
      <c r="J18" s="373">
        <v>49.56</v>
      </c>
      <c r="K18" s="373">
        <v>33.479999999999997</v>
      </c>
      <c r="L18" s="373">
        <v>43.96</v>
      </c>
      <c r="M18" s="373">
        <v>39.01</v>
      </c>
      <c r="N18" s="373">
        <v>31.92</v>
      </c>
      <c r="O18" s="5"/>
      <c r="P18" s="5">
        <f t="shared" si="0"/>
        <v>398.46</v>
      </c>
      <c r="Q18" s="5">
        <f t="shared" si="1"/>
        <v>11.937985592217803</v>
      </c>
      <c r="R18" s="385">
        <f t="shared" si="2"/>
        <v>2.9960311178582052E-2</v>
      </c>
      <c r="S18" s="5" cm="1">
        <f t="array" ref="S18">IF(P18&gt;0,MAX(-MIN(C18:N18-P18/12),MAX(C18:N18-P18/12)),"")</f>
        <v>24.385000000000005</v>
      </c>
      <c r="T18" s="384">
        <f t="shared" si="3"/>
        <v>0.73437735280831218</v>
      </c>
      <c r="U18" s="5">
        <v>398.46037061999994</v>
      </c>
      <c r="W18" s="5">
        <f t="shared" si="4"/>
        <v>3.7061999995557926E-4</v>
      </c>
      <c r="X18" s="6"/>
    </row>
    <row r="19" spans="1:24" x14ac:dyDescent="0.25">
      <c r="A19" s="5"/>
      <c r="B19" s="372" t="s">
        <v>463</v>
      </c>
      <c r="C19" s="373">
        <v>1016</v>
      </c>
      <c r="D19" s="373">
        <v>1240.74</v>
      </c>
      <c r="E19" s="373">
        <v>783.2</v>
      </c>
      <c r="F19" s="373">
        <v>577.03</v>
      </c>
      <c r="G19" s="373">
        <v>314.81</v>
      </c>
      <c r="H19" s="373">
        <v>84.14</v>
      </c>
      <c r="I19" s="373">
        <v>329.48</v>
      </c>
      <c r="J19" s="373">
        <v>582.48</v>
      </c>
      <c r="K19" s="373">
        <v>237.45</v>
      </c>
      <c r="L19" s="373">
        <v>406.18</v>
      </c>
      <c r="M19" s="373">
        <v>337.86</v>
      </c>
      <c r="N19" s="373">
        <v>232.3</v>
      </c>
      <c r="O19" s="5"/>
      <c r="P19" s="5">
        <f t="shared" si="0"/>
        <v>6141.6699999999992</v>
      </c>
      <c r="Q19" s="5">
        <f t="shared" si="1"/>
        <v>346.17616864193025</v>
      </c>
      <c r="R19" s="385">
        <f t="shared" si="2"/>
        <v>5.6365152904980287E-2</v>
      </c>
      <c r="S19" s="5" cm="1">
        <f t="array" ref="S19">IF(P19&gt;0,MAX(-MIN(C19:N19-P19/12),MAX(C19:N19-P19/12)),"")</f>
        <v>728.93416666666667</v>
      </c>
      <c r="T19" s="384">
        <f t="shared" si="3"/>
        <v>1.4242396611996413</v>
      </c>
      <c r="U19" s="5">
        <v>6141.6760575299995</v>
      </c>
      <c r="W19" s="5">
        <f t="shared" si="4"/>
        <v>6.0575300003620214E-3</v>
      </c>
      <c r="X19" s="6"/>
    </row>
    <row r="20" spans="1:24" x14ac:dyDescent="0.25">
      <c r="A20" s="5"/>
      <c r="B20" s="372" t="s">
        <v>36</v>
      </c>
      <c r="C20" s="373">
        <v>13.53</v>
      </c>
      <c r="D20" s="373">
        <v>1.68</v>
      </c>
      <c r="E20" s="373">
        <v>11.22</v>
      </c>
      <c r="F20" s="373">
        <v>9.2799999999999994</v>
      </c>
      <c r="G20" s="373">
        <v>11.42</v>
      </c>
      <c r="H20" s="373">
        <v>5.75</v>
      </c>
      <c r="I20" s="373">
        <v>3.48</v>
      </c>
      <c r="J20" s="373">
        <v>14.44</v>
      </c>
      <c r="K20" s="373">
        <v>5.71</v>
      </c>
      <c r="L20" s="373">
        <v>44.54</v>
      </c>
      <c r="M20" s="373">
        <v>11.77</v>
      </c>
      <c r="N20" s="373">
        <v>1.37</v>
      </c>
      <c r="O20" s="5"/>
      <c r="P20" s="5">
        <f t="shared" si="0"/>
        <v>134.19</v>
      </c>
      <c r="Q20" s="5">
        <f t="shared" si="1"/>
        <v>11.434552203340065</v>
      </c>
      <c r="R20" s="385">
        <f t="shared" si="2"/>
        <v>8.5211656631195065E-2</v>
      </c>
      <c r="S20" s="5" cm="1">
        <f t="array" ref="S20">IF(P20&gt;0,MAX(-MIN(C20:N20-P20/12),MAX(C20:N20-P20/12)),"")</f>
        <v>33.357500000000002</v>
      </c>
      <c r="T20" s="384">
        <f t="shared" si="3"/>
        <v>2.9830091661077582</v>
      </c>
      <c r="U20" s="5">
        <v>134.19012844000002</v>
      </c>
      <c r="W20" s="5">
        <f t="shared" si="4"/>
        <v>1.2844000002587563E-4</v>
      </c>
      <c r="X20" s="6"/>
    </row>
    <row r="21" spans="1:24" x14ac:dyDescent="0.25">
      <c r="A21" s="5"/>
      <c r="B21" s="372" t="s">
        <v>38</v>
      </c>
      <c r="C21" s="373">
        <v>6.79</v>
      </c>
      <c r="D21" s="373">
        <v>2.12</v>
      </c>
      <c r="E21" s="373">
        <v>4.6399999999999997</v>
      </c>
      <c r="F21" s="373">
        <v>3.35</v>
      </c>
      <c r="G21" s="373">
        <v>8.83</v>
      </c>
      <c r="H21" s="373">
        <v>8.82</v>
      </c>
      <c r="I21" s="373">
        <v>3.03</v>
      </c>
      <c r="J21" s="373">
        <v>1.72</v>
      </c>
      <c r="K21" s="373">
        <v>4.71</v>
      </c>
      <c r="L21" s="373">
        <v>2.21</v>
      </c>
      <c r="M21" s="373">
        <v>4.29</v>
      </c>
      <c r="N21" s="373">
        <v>7.27</v>
      </c>
      <c r="O21" s="5"/>
      <c r="P21" s="5">
        <f t="shared" si="0"/>
        <v>57.78</v>
      </c>
      <c r="Q21" s="5">
        <f t="shared" si="1"/>
        <v>2.5471142316533233</v>
      </c>
      <c r="R21" s="385">
        <f t="shared" si="2"/>
        <v>4.408297389500386E-2</v>
      </c>
      <c r="S21" s="5" cm="1">
        <f t="array" ref="S21">IF(P21&gt;0,MAX(-MIN(C21:N21-P21/12),MAX(C21:N21-P21/12)),"")</f>
        <v>4.0149999999999997</v>
      </c>
      <c r="T21" s="384">
        <f t="shared" si="3"/>
        <v>0.83385254413291787</v>
      </c>
      <c r="U21" s="5">
        <v>48.960039500000001</v>
      </c>
      <c r="W21" s="5">
        <f t="shared" si="4"/>
        <v>-8.8199605000000005</v>
      </c>
      <c r="X21" s="6"/>
    </row>
    <row r="22" spans="1:24" x14ac:dyDescent="0.25">
      <c r="A22" s="5"/>
      <c r="B22" s="372" t="s">
        <v>40</v>
      </c>
      <c r="C22" s="373"/>
      <c r="D22" s="373">
        <v>4.32</v>
      </c>
      <c r="E22" s="373"/>
      <c r="F22" s="373"/>
      <c r="G22" s="373">
        <v>0.45</v>
      </c>
      <c r="H22" s="373"/>
      <c r="I22" s="373">
        <v>2.4700000000000002</v>
      </c>
      <c r="J22" s="373"/>
      <c r="K22" s="373"/>
      <c r="L22" s="373"/>
      <c r="M22" s="373">
        <v>2.5</v>
      </c>
      <c r="N22" s="373">
        <v>3.15</v>
      </c>
      <c r="O22" s="5"/>
      <c r="P22" s="5">
        <f t="shared" si="0"/>
        <v>12.89</v>
      </c>
      <c r="Q22" s="5">
        <f t="shared" si="1"/>
        <v>1.4060476521085619</v>
      </c>
      <c r="R22" s="385">
        <f t="shared" si="2"/>
        <v>0.1090805005514788</v>
      </c>
      <c r="S22" s="5" cm="1">
        <f t="array" ref="S22">IF(P22&gt;0,MAX(-MIN(C22:N22-P22/12),MAX(C22:N22-P22/12)),"")</f>
        <v>3.2458333333333336</v>
      </c>
      <c r="T22" s="384">
        <f t="shared" si="3"/>
        <v>3.0217222653219551</v>
      </c>
      <c r="U22" s="5">
        <v>12.890010420000069</v>
      </c>
      <c r="W22" s="5">
        <f t="shared" si="4"/>
        <v>1.0420000068123159E-5</v>
      </c>
      <c r="X22" s="6"/>
    </row>
    <row r="23" spans="1:24" x14ac:dyDescent="0.25">
      <c r="A23" s="5"/>
      <c r="B23" s="372" t="s">
        <v>42</v>
      </c>
      <c r="C23" s="373">
        <v>3226.38</v>
      </c>
      <c r="D23" s="373">
        <v>4072.27</v>
      </c>
      <c r="E23" s="373">
        <v>3888.09</v>
      </c>
      <c r="F23" s="373">
        <v>3229.34</v>
      </c>
      <c r="G23" s="373">
        <v>1665.58</v>
      </c>
      <c r="H23" s="373">
        <v>1131.17</v>
      </c>
      <c r="I23" s="373">
        <v>1712.01</v>
      </c>
      <c r="J23" s="373">
        <v>1884.5</v>
      </c>
      <c r="K23" s="373">
        <v>1798.93</v>
      </c>
      <c r="L23" s="373">
        <v>3232.96</v>
      </c>
      <c r="M23" s="373">
        <v>4388.75</v>
      </c>
      <c r="N23" s="373">
        <v>4002.71</v>
      </c>
      <c r="O23" s="5"/>
      <c r="P23" s="5">
        <f t="shared" si="0"/>
        <v>34232.69</v>
      </c>
      <c r="Q23" s="5">
        <f t="shared" si="1"/>
        <v>1143.7332689880766</v>
      </c>
      <c r="R23" s="385">
        <f t="shared" si="2"/>
        <v>3.3410557831945915E-2</v>
      </c>
      <c r="S23" s="5" cm="1">
        <f t="array" ref="S23">IF(P23&gt;0,MAX(-MIN(C23:N23-P23/12),MAX(C23:N23-P23/12)),"")</f>
        <v>1721.5541666666668</v>
      </c>
      <c r="T23" s="384">
        <f t="shared" si="3"/>
        <v>0.60347726106245225</v>
      </c>
      <c r="U23" s="5">
        <v>34232.717706079995</v>
      </c>
      <c r="W23" s="5">
        <f t="shared" si="4"/>
        <v>2.7706079992640298E-2</v>
      </c>
      <c r="X23" s="6"/>
    </row>
    <row r="24" spans="1:24" x14ac:dyDescent="0.25">
      <c r="A24" s="5"/>
      <c r="B24" s="372" t="s">
        <v>44</v>
      </c>
      <c r="C24" s="373"/>
      <c r="D24" s="373"/>
      <c r="E24" s="373"/>
      <c r="F24" s="373">
        <v>154.09</v>
      </c>
      <c r="G24" s="373"/>
      <c r="H24" s="373"/>
      <c r="I24" s="373"/>
      <c r="J24" s="373"/>
      <c r="K24" s="373"/>
      <c r="L24" s="373"/>
      <c r="M24" s="373"/>
      <c r="N24" s="373"/>
      <c r="O24" s="5"/>
      <c r="P24" s="5">
        <f t="shared" si="0"/>
        <v>154.09</v>
      </c>
      <c r="Q24" s="5">
        <f t="shared" si="1"/>
        <v>0</v>
      </c>
      <c r="R24" s="385">
        <f t="shared" si="2"/>
        <v>0</v>
      </c>
      <c r="S24" s="5" cm="1">
        <f t="array" ref="S24">IF(P24&gt;0,MAX(-MIN(C24:N24-P24/12),MAX(C24:N24-P24/12)),"")</f>
        <v>141.24916666666667</v>
      </c>
      <c r="T24" s="384">
        <f t="shared" si="3"/>
        <v>11</v>
      </c>
      <c r="U24" s="5">
        <v>154.09015409000003</v>
      </c>
      <c r="W24" s="5">
        <f t="shared" si="4"/>
        <v>1.5409000002364337E-4</v>
      </c>
      <c r="X24" s="6"/>
    </row>
    <row r="25" spans="1:24" x14ac:dyDescent="0.25">
      <c r="A25" s="5"/>
      <c r="B25" s="372" t="s">
        <v>46</v>
      </c>
      <c r="C25" s="373"/>
      <c r="D25" s="373"/>
      <c r="E25" s="373"/>
      <c r="F25" s="373"/>
      <c r="G25" s="373"/>
      <c r="H25" s="373"/>
      <c r="I25" s="373"/>
      <c r="J25" s="373"/>
      <c r="K25" s="373"/>
      <c r="L25" s="373"/>
      <c r="M25" s="373"/>
      <c r="N25" s="373"/>
      <c r="O25" s="5"/>
      <c r="P25" s="5">
        <f t="shared" si="0"/>
        <v>0</v>
      </c>
      <c r="Q25" s="5">
        <f t="shared" si="1"/>
        <v>0</v>
      </c>
      <c r="R25" s="385" t="str">
        <f t="shared" si="2"/>
        <v/>
      </c>
      <c r="S25" s="5" t="str" cm="1">
        <f t="array" ref="S25">IF(P25&gt;0,MAX(-MIN(C25:N25-P25/12),MAX(C25:N25-P25/12)),"")</f>
        <v/>
      </c>
      <c r="T25" s="384" t="str">
        <f t="shared" si="3"/>
        <v/>
      </c>
      <c r="U25" s="5">
        <v>-1.1999999999999997E-13</v>
      </c>
      <c r="W25" s="5">
        <f t="shared" si="4"/>
        <v>-1.1999999999999997E-13</v>
      </c>
      <c r="X25" s="6"/>
    </row>
    <row r="26" spans="1:24" x14ac:dyDescent="0.25">
      <c r="A26" s="5"/>
      <c r="B26" s="372" t="s">
        <v>50</v>
      </c>
      <c r="C26" s="373">
        <v>57.5</v>
      </c>
      <c r="D26" s="373">
        <v>143.63</v>
      </c>
      <c r="E26" s="373">
        <v>49.69</v>
      </c>
      <c r="F26" s="373">
        <v>116.49</v>
      </c>
      <c r="G26" s="373">
        <v>144.72</v>
      </c>
      <c r="H26" s="373">
        <v>157.86000000000001</v>
      </c>
      <c r="I26" s="373">
        <v>62.1</v>
      </c>
      <c r="J26" s="373">
        <v>2.92</v>
      </c>
      <c r="K26" s="373">
        <v>54.7</v>
      </c>
      <c r="L26" s="373">
        <v>78.22</v>
      </c>
      <c r="M26" s="373">
        <v>92.89</v>
      </c>
      <c r="N26" s="373">
        <v>83.81</v>
      </c>
      <c r="O26" s="5"/>
      <c r="P26" s="5">
        <f t="shared" si="0"/>
        <v>1044.53</v>
      </c>
      <c r="Q26" s="5">
        <f t="shared" si="1"/>
        <v>46.266344229183844</v>
      </c>
      <c r="R26" s="385">
        <f t="shared" si="2"/>
        <v>4.4293935290689444E-2</v>
      </c>
      <c r="S26" s="5" cm="1">
        <f t="array" ref="S26">IF(P26&gt;0,MAX(-MIN(C26:N26-P26/12),MAX(C26:N26-P26/12)),"")</f>
        <v>84.124166666666667</v>
      </c>
      <c r="T26" s="384">
        <f t="shared" si="3"/>
        <v>0.966453811762228</v>
      </c>
      <c r="U26" s="5">
        <v>886.67076695000003</v>
      </c>
      <c r="W26" s="5">
        <f t="shared" si="4"/>
        <v>-157.85923304999994</v>
      </c>
      <c r="X26" s="6" t="s">
        <v>471</v>
      </c>
    </row>
    <row r="27" spans="1:24" x14ac:dyDescent="0.25">
      <c r="A27" s="5"/>
      <c r="B27" s="372" t="s">
        <v>52</v>
      </c>
      <c r="C27" s="373"/>
      <c r="D27" s="373"/>
      <c r="E27" s="373"/>
      <c r="F27" s="373"/>
      <c r="G27" s="373"/>
      <c r="H27" s="373"/>
      <c r="I27" s="373"/>
      <c r="J27" s="373"/>
      <c r="K27" s="373"/>
      <c r="L27" s="373"/>
      <c r="M27" s="373"/>
      <c r="N27" s="373"/>
      <c r="O27" s="5"/>
      <c r="P27" s="5">
        <f t="shared" si="0"/>
        <v>0</v>
      </c>
      <c r="Q27" s="5">
        <f t="shared" si="1"/>
        <v>0</v>
      </c>
      <c r="R27" s="385" t="str">
        <f t="shared" si="2"/>
        <v/>
      </c>
      <c r="S27" s="5" t="str" cm="1">
        <f t="array" ref="S27">IF(P27&gt;0,MAX(-MIN(C27:N27-P27/12),MAX(C27:N27-P27/12)),"")</f>
        <v/>
      </c>
      <c r="T27" s="384" t="str">
        <f t="shared" si="3"/>
        <v/>
      </c>
      <c r="U27" s="5">
        <v>-1.1999999999999997E-13</v>
      </c>
      <c r="W27" s="5">
        <f t="shared" si="4"/>
        <v>-1.1999999999999997E-13</v>
      </c>
      <c r="X27" s="6"/>
    </row>
    <row r="28" spans="1:24" x14ac:dyDescent="0.25">
      <c r="A28" s="5"/>
      <c r="B28" s="372" t="s">
        <v>55</v>
      </c>
      <c r="C28" s="373">
        <v>10.62</v>
      </c>
      <c r="D28" s="373">
        <v>9.24</v>
      </c>
      <c r="E28" s="373">
        <v>15.29</v>
      </c>
      <c r="F28" s="373">
        <v>9.17</v>
      </c>
      <c r="G28" s="373">
        <v>12.23</v>
      </c>
      <c r="H28" s="373">
        <v>12.06</v>
      </c>
      <c r="I28" s="373">
        <v>10.96</v>
      </c>
      <c r="J28" s="373">
        <v>10.58</v>
      </c>
      <c r="K28" s="373">
        <v>0.91</v>
      </c>
      <c r="L28" s="373">
        <v>0</v>
      </c>
      <c r="M28" s="373">
        <v>9.4700000000000006</v>
      </c>
      <c r="N28" s="373">
        <v>13.41</v>
      </c>
      <c r="O28" s="5"/>
      <c r="P28" s="5">
        <f t="shared" si="0"/>
        <v>113.93999999999998</v>
      </c>
      <c r="Q28" s="5">
        <f t="shared" si="1"/>
        <v>4.5883875163285888</v>
      </c>
      <c r="R28" s="385">
        <f t="shared" si="2"/>
        <v>4.0270208147521407E-2</v>
      </c>
      <c r="S28" s="5" cm="1">
        <f t="array" ref="S28">IF(P28&gt;0,MAX(-MIN(C28:N28-P28/12),MAX(C28:N28-P28/12)),"")</f>
        <v>9.4949999999999992</v>
      </c>
      <c r="T28" s="384">
        <f t="shared" si="3"/>
        <v>1</v>
      </c>
      <c r="U28" s="5">
        <v>101.88007943000001</v>
      </c>
      <c r="W28" s="5">
        <f t="shared" si="4"/>
        <v>-12.059920569999974</v>
      </c>
      <c r="X28" s="6" t="s">
        <v>471</v>
      </c>
    </row>
    <row r="29" spans="1:24" x14ac:dyDescent="0.25">
      <c r="A29" s="5"/>
      <c r="B29" s="372" t="s">
        <v>69</v>
      </c>
      <c r="C29" s="373">
        <v>15.19</v>
      </c>
      <c r="D29" s="373">
        <v>5.42</v>
      </c>
      <c r="E29" s="373">
        <v>32.67</v>
      </c>
      <c r="F29" s="373">
        <v>48.46</v>
      </c>
      <c r="G29" s="373">
        <v>9.11</v>
      </c>
      <c r="H29" s="373">
        <v>2.0499999999999998</v>
      </c>
      <c r="I29" s="373">
        <v>23.1</v>
      </c>
      <c r="J29" s="373">
        <v>25.1</v>
      </c>
      <c r="K29" s="373">
        <v>24.47</v>
      </c>
      <c r="L29" s="373">
        <v>15.68</v>
      </c>
      <c r="M29" s="373">
        <v>4.9800000000000004</v>
      </c>
      <c r="N29" s="373">
        <v>5.97</v>
      </c>
      <c r="O29" s="5"/>
      <c r="P29" s="5">
        <f t="shared" si="0"/>
        <v>212.2</v>
      </c>
      <c r="Q29" s="5">
        <f t="shared" si="1"/>
        <v>13.748748262582991</v>
      </c>
      <c r="R29" s="385">
        <f t="shared" si="2"/>
        <v>6.479146212338828E-2</v>
      </c>
      <c r="S29" s="5" cm="1">
        <f t="array" ref="S29">IF(P29&gt;0,MAX(-MIN(C29:N29-P29/12),MAX(C29:N29-P29/12)),"")</f>
        <v>30.776666666666667</v>
      </c>
      <c r="T29" s="384">
        <f t="shared" si="3"/>
        <v>1.7404335532516495</v>
      </c>
      <c r="U29" s="5">
        <v>212.20021014999998</v>
      </c>
      <c r="W29" s="5">
        <f t="shared" si="4"/>
        <v>2.1014999998669737E-4</v>
      </c>
      <c r="X29" s="6"/>
    </row>
    <row r="30" spans="1:24" x14ac:dyDescent="0.25">
      <c r="A30" s="5"/>
      <c r="B30" s="372" t="s">
        <v>85</v>
      </c>
      <c r="C30" s="373"/>
      <c r="D30" s="373"/>
      <c r="E30" s="373"/>
      <c r="F30" s="373"/>
      <c r="G30" s="373"/>
      <c r="H30" s="373"/>
      <c r="I30" s="373"/>
      <c r="J30" s="373"/>
      <c r="K30" s="373"/>
      <c r="L30" s="373"/>
      <c r="M30" s="373"/>
      <c r="N30" s="373"/>
      <c r="O30" s="5"/>
      <c r="P30" s="5">
        <f t="shared" si="0"/>
        <v>0</v>
      </c>
      <c r="U30" s="5"/>
    </row>
    <row r="31" spans="1:24" x14ac:dyDescent="0.25">
      <c r="A31" s="5"/>
      <c r="B31" s="372" t="s">
        <v>87</v>
      </c>
      <c r="C31" s="373"/>
      <c r="D31" s="373"/>
      <c r="E31" s="373"/>
      <c r="F31" s="373"/>
      <c r="G31" s="373"/>
      <c r="H31" s="373"/>
      <c r="I31" s="373"/>
      <c r="J31" s="373"/>
      <c r="K31" s="373"/>
      <c r="L31" s="373"/>
      <c r="M31" s="373"/>
      <c r="N31" s="373"/>
      <c r="O31" s="5"/>
      <c r="P31" s="5">
        <f t="shared" si="0"/>
        <v>0</v>
      </c>
      <c r="U31" s="5"/>
    </row>
    <row r="32" spans="1:24" x14ac:dyDescent="0.25">
      <c r="A32" s="5"/>
      <c r="B32" s="372" t="s">
        <v>102</v>
      </c>
      <c r="C32" s="373"/>
      <c r="D32" s="373"/>
      <c r="E32" s="373"/>
      <c r="F32" s="373"/>
      <c r="G32" s="373"/>
      <c r="H32" s="373"/>
      <c r="I32" s="373"/>
      <c r="J32" s="373"/>
      <c r="K32" s="373"/>
      <c r="L32" s="373"/>
      <c r="M32" s="373"/>
      <c r="N32" s="373"/>
      <c r="O32" s="5"/>
      <c r="P32" s="5">
        <f t="shared" si="0"/>
        <v>0</v>
      </c>
      <c r="U32" s="5"/>
    </row>
    <row r="33" spans="1:21" x14ac:dyDescent="0.25">
      <c r="A33" s="5"/>
      <c r="B33" s="372" t="s">
        <v>104</v>
      </c>
      <c r="C33" s="373"/>
      <c r="D33" s="373"/>
      <c r="E33" s="373"/>
      <c r="F33" s="373"/>
      <c r="G33" s="373"/>
      <c r="H33" s="373"/>
      <c r="I33" s="373"/>
      <c r="J33" s="373"/>
      <c r="K33" s="373"/>
      <c r="L33" s="373"/>
      <c r="M33" s="373"/>
      <c r="N33" s="373"/>
      <c r="O33" s="5"/>
      <c r="P33" s="5">
        <f t="shared" si="0"/>
        <v>0</v>
      </c>
      <c r="U33" s="5"/>
    </row>
    <row r="34" spans="1:21" x14ac:dyDescent="0.25">
      <c r="A34" s="5"/>
      <c r="B34" s="372" t="s">
        <v>106</v>
      </c>
      <c r="C34" s="373"/>
      <c r="D34" s="373"/>
      <c r="E34" s="373"/>
      <c r="F34" s="373"/>
      <c r="G34" s="373"/>
      <c r="H34" s="373"/>
      <c r="I34" s="373"/>
      <c r="J34" s="373"/>
      <c r="K34" s="373"/>
      <c r="L34" s="373"/>
      <c r="M34" s="373"/>
      <c r="N34" s="373"/>
      <c r="O34" s="5"/>
      <c r="P34" s="5">
        <f t="shared" si="0"/>
        <v>0</v>
      </c>
      <c r="U34" s="5"/>
    </row>
    <row r="35" spans="1:21" x14ac:dyDescent="0.25">
      <c r="A35" s="5"/>
      <c r="B35" s="372" t="s">
        <v>48</v>
      </c>
      <c r="C35" s="373"/>
      <c r="D35" s="373"/>
      <c r="E35" s="373"/>
      <c r="F35" s="373"/>
      <c r="G35" s="373"/>
      <c r="H35" s="373"/>
      <c r="I35" s="373"/>
      <c r="J35" s="373"/>
      <c r="K35" s="373"/>
      <c r="L35" s="373"/>
      <c r="M35" s="373"/>
      <c r="N35" s="373"/>
      <c r="O35" s="5"/>
      <c r="P35" s="5">
        <f t="shared" si="0"/>
        <v>0</v>
      </c>
      <c r="U35" s="5"/>
    </row>
    <row r="36" spans="1:21" x14ac:dyDescent="0.25">
      <c r="A36" s="5"/>
      <c r="B36" s="372" t="s">
        <v>65</v>
      </c>
      <c r="C36" s="373"/>
      <c r="D36" s="373"/>
      <c r="E36" s="373"/>
      <c r="F36" s="373"/>
      <c r="G36" s="373"/>
      <c r="H36" s="373"/>
      <c r="I36" s="373"/>
      <c r="J36" s="373"/>
      <c r="K36" s="373"/>
      <c r="L36" s="373"/>
      <c r="M36" s="373"/>
      <c r="N36" s="373"/>
      <c r="O36" s="5"/>
      <c r="P36" s="5">
        <f t="shared" si="0"/>
        <v>0</v>
      </c>
      <c r="U36" s="5"/>
    </row>
    <row r="37" spans="1:21" x14ac:dyDescent="0.25">
      <c r="A37" s="5"/>
      <c r="B37" s="372" t="s">
        <v>76</v>
      </c>
      <c r="C37" s="373"/>
      <c r="D37" s="373"/>
      <c r="E37" s="373"/>
      <c r="F37" s="373"/>
      <c r="G37" s="373"/>
      <c r="H37" s="373"/>
      <c r="I37" s="373"/>
      <c r="J37" s="373"/>
      <c r="K37" s="373"/>
      <c r="L37" s="373"/>
      <c r="M37" s="373"/>
      <c r="N37" s="373"/>
      <c r="O37" s="5"/>
      <c r="P37" s="5">
        <f t="shared" si="0"/>
        <v>0</v>
      </c>
      <c r="U37" s="5"/>
    </row>
    <row r="38" spans="1:21" x14ac:dyDescent="0.25">
      <c r="A38" s="5"/>
      <c r="B38" s="370"/>
      <c r="C38" s="5"/>
      <c r="D38" s="5"/>
      <c r="E38" s="5"/>
      <c r="F38" s="5"/>
      <c r="G38" s="5"/>
      <c r="H38" s="5"/>
      <c r="I38" s="5"/>
      <c r="J38" s="5"/>
      <c r="K38" s="5"/>
      <c r="L38" s="5"/>
      <c r="M38" s="5"/>
      <c r="N38" s="5"/>
      <c r="O38" s="5"/>
      <c r="P38" s="5">
        <f t="shared" si="0"/>
        <v>0</v>
      </c>
      <c r="U38" s="5"/>
    </row>
    <row r="39" spans="1:21" x14ac:dyDescent="0.25">
      <c r="A39" s="5"/>
      <c r="B39" s="370"/>
      <c r="C39" s="5"/>
      <c r="D39" s="5"/>
      <c r="E39" s="5"/>
      <c r="F39" s="5"/>
      <c r="G39" s="5"/>
      <c r="H39" s="5"/>
      <c r="I39" s="5"/>
      <c r="J39" s="5"/>
      <c r="K39" s="5"/>
      <c r="L39" s="5"/>
      <c r="M39" s="5"/>
      <c r="N39" s="5"/>
      <c r="O39" s="5"/>
      <c r="P39" s="5">
        <f t="shared" si="0"/>
        <v>0</v>
      </c>
      <c r="U39" s="5"/>
    </row>
    <row r="40" spans="1:21" ht="15.75" thickBot="1" x14ac:dyDescent="0.3">
      <c r="A40" s="5"/>
      <c r="B40" s="374" t="s">
        <v>464</v>
      </c>
      <c r="C40" s="375">
        <f>SUM(C9:C34)</f>
        <v>11626.800000000003</v>
      </c>
      <c r="D40" s="375">
        <f t="shared" ref="D40:P40" si="5">SUM(D9:D34)</f>
        <v>9473.9599999999991</v>
      </c>
      <c r="E40" s="375">
        <f t="shared" si="5"/>
        <v>10226.530000000002</v>
      </c>
      <c r="F40" s="375">
        <f t="shared" si="5"/>
        <v>8992.5099999999984</v>
      </c>
      <c r="G40" s="375">
        <f t="shared" si="5"/>
        <v>5702.4399999999987</v>
      </c>
      <c r="H40" s="375">
        <f t="shared" si="5"/>
        <v>4842.76</v>
      </c>
      <c r="I40" s="375">
        <f t="shared" si="5"/>
        <v>6278.3300000000008</v>
      </c>
      <c r="J40" s="375">
        <f t="shared" si="5"/>
        <v>6279.509</v>
      </c>
      <c r="K40" s="375">
        <f t="shared" si="5"/>
        <v>7301.25</v>
      </c>
      <c r="L40" s="375">
        <f t="shared" si="5"/>
        <v>8522.0199999999986</v>
      </c>
      <c r="M40" s="375">
        <f t="shared" si="5"/>
        <v>8491.1899999999987</v>
      </c>
      <c r="N40" s="375">
        <f t="shared" si="5"/>
        <v>9375.9399999999987</v>
      </c>
      <c r="O40" s="5"/>
      <c r="P40" s="375">
        <f t="shared" si="5"/>
        <v>97113.238999999987</v>
      </c>
      <c r="U40" s="5"/>
    </row>
    <row r="41" spans="1:21" ht="15.75" thickTop="1" x14ac:dyDescent="0.25">
      <c r="U41" s="5"/>
    </row>
    <row r="42" spans="1:21" x14ac:dyDescent="0.25">
      <c r="U42" s="5"/>
    </row>
    <row r="43" spans="1:21" x14ac:dyDescent="0.25">
      <c r="U43" s="5"/>
    </row>
    <row r="44" spans="1:21" x14ac:dyDescent="0.25">
      <c r="U44" s="5"/>
    </row>
  </sheetData>
  <mergeCells count="1">
    <mergeCell ref="W8:X8"/>
  </mergeCells>
  <conditionalFormatting sqref="C9:N37">
    <cfRule type="colorScale" priority="3">
      <colorScale>
        <cfvo type="min"/>
        <cfvo type="max"/>
        <color rgb="FFFCFCFF"/>
        <color rgb="FF63BE7B"/>
      </colorScale>
    </cfRule>
  </conditionalFormatting>
  <conditionalFormatting sqref="C9:N37">
    <cfRule type="cellIs" dxfId="4" priority="2" operator="between">
      <formula>-0.0000000000001</formula>
      <formula>0.0000000000001</formula>
    </cfRule>
  </conditionalFormatting>
  <conditionalFormatting sqref="T9:T29">
    <cfRule type="colorScale" priority="1">
      <colorScale>
        <cfvo type="min"/>
        <cfvo type="percentile" val="50"/>
        <cfvo type="max"/>
        <color rgb="FF63BE7B"/>
        <color rgb="FFFFEB84"/>
        <color rgb="FFF8696B"/>
      </colorScale>
    </cfRule>
  </conditionalFormatting>
  <pageMargins left="0.7" right="0.7" top="0.75" bottom="0.75" header="0.3" footer="0.3"/>
  <extLst>
    <ext xmlns:x14="http://schemas.microsoft.com/office/spreadsheetml/2009/9/main" uri="{05C60535-1F16-4fd2-B633-F4F36F0B64E0}">
      <x14:sparklineGroups xmlns:xm="http://schemas.microsoft.com/office/excel/2006/main">
        <x14:sparklineGroup type="column" displayEmptyCellsAs="gap" xr2:uid="{B4160479-AF4F-48B5-B1B0-DFC17782030A}">
          <x14:colorSeries rgb="FF376092"/>
          <x14:colorNegative rgb="FFD00000"/>
          <x14:colorAxis rgb="FF000000"/>
          <x14:colorMarkers rgb="FFD00000"/>
          <x14:colorFirst rgb="FFD00000"/>
          <x14:colorLast rgb="FFD00000"/>
          <x14:colorHigh rgb="FFD00000"/>
          <x14:colorLow rgb="FFD00000"/>
          <x14:sparklines>
            <x14:sparkline>
              <xm:f>Affald2021!C9:N9</xm:f>
              <xm:sqref>A9</xm:sqref>
            </x14:sparkline>
            <x14:sparkline>
              <xm:f>Affald2021!C10:N10</xm:f>
              <xm:sqref>A10</xm:sqref>
            </x14:sparkline>
            <x14:sparkline>
              <xm:f>Affald2021!C11:N11</xm:f>
              <xm:sqref>A11</xm:sqref>
            </x14:sparkline>
            <x14:sparkline>
              <xm:f>Affald2021!C12:N12</xm:f>
              <xm:sqref>A12</xm:sqref>
            </x14:sparkline>
            <x14:sparkline>
              <xm:f>Affald2021!C13:N13</xm:f>
              <xm:sqref>A13</xm:sqref>
            </x14:sparkline>
            <x14:sparkline>
              <xm:f>Affald2021!C14:N14</xm:f>
              <xm:sqref>A14</xm:sqref>
            </x14:sparkline>
            <x14:sparkline>
              <xm:f>Affald2021!C15:N15</xm:f>
              <xm:sqref>A15</xm:sqref>
            </x14:sparkline>
            <x14:sparkline>
              <xm:f>Affald2021!C16:N16</xm:f>
              <xm:sqref>A16</xm:sqref>
            </x14:sparkline>
            <x14:sparkline>
              <xm:f>Affald2021!C17:N17</xm:f>
              <xm:sqref>A17</xm:sqref>
            </x14:sparkline>
            <x14:sparkline>
              <xm:f>Affald2021!C18:N18</xm:f>
              <xm:sqref>A18</xm:sqref>
            </x14:sparkline>
            <x14:sparkline>
              <xm:f>Affald2021!C19:N19</xm:f>
              <xm:sqref>A19</xm:sqref>
            </x14:sparkline>
            <x14:sparkline>
              <xm:f>Affald2021!C20:N20</xm:f>
              <xm:sqref>A20</xm:sqref>
            </x14:sparkline>
            <x14:sparkline>
              <xm:f>Affald2021!C21:N21</xm:f>
              <xm:sqref>A21</xm:sqref>
            </x14:sparkline>
            <x14:sparkline>
              <xm:f>Affald2021!C22:N22</xm:f>
              <xm:sqref>A22</xm:sqref>
            </x14:sparkline>
            <x14:sparkline>
              <xm:f>Affald2021!C23:N23</xm:f>
              <xm:sqref>A23</xm:sqref>
            </x14:sparkline>
            <x14:sparkline>
              <xm:f>Affald2021!C24:N24</xm:f>
              <xm:sqref>A24</xm:sqref>
            </x14:sparkline>
            <x14:sparkline>
              <xm:f>Affald2021!C25:N25</xm:f>
              <xm:sqref>A25</xm:sqref>
            </x14:sparkline>
            <x14:sparkline>
              <xm:f>Affald2021!C26:N26</xm:f>
              <xm:sqref>A26</xm:sqref>
            </x14:sparkline>
            <x14:sparkline>
              <xm:f>Affald2021!C27:N27</xm:f>
              <xm:sqref>A27</xm:sqref>
            </x14:sparkline>
            <x14:sparkline>
              <xm:f>Affald2021!C28:N28</xm:f>
              <xm:sqref>A28</xm:sqref>
            </x14:sparkline>
            <x14:sparkline>
              <xm:f>Affald2021!C29:N29</xm:f>
              <xm:sqref>A29</xm:sqref>
            </x14:sparkline>
            <x14:sparkline>
              <xm:f>Affald2021!C30:N30</xm:f>
              <xm:sqref>A30</xm:sqref>
            </x14:sparkline>
            <x14:sparkline>
              <xm:f>Affald2021!C31:N31</xm:f>
              <xm:sqref>A31</xm:sqref>
            </x14:sparkline>
            <x14:sparkline>
              <xm:f>Affald2021!C32:N32</xm:f>
              <xm:sqref>A32</xm:sqref>
            </x14:sparkline>
            <x14:sparkline>
              <xm:f>Affald2021!C33:N33</xm:f>
              <xm:sqref>A33</xm:sqref>
            </x14:sparkline>
            <x14:sparkline>
              <xm:f>Affald2021!C34:N34</xm:f>
              <xm:sqref>A34</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4888BD-DA78-4106-9162-978BD155E77A}">
  <sheetPr codeName="Sheet8"/>
  <dimension ref="A2:M89"/>
  <sheetViews>
    <sheetView zoomScale="85" zoomScaleNormal="85" workbookViewId="0">
      <selection activeCell="K4" sqref="K4"/>
    </sheetView>
  </sheetViews>
  <sheetFormatPr defaultRowHeight="15" x14ac:dyDescent="0.25"/>
  <cols>
    <col min="4" max="4" width="11.7109375" bestFit="1" customWidth="1"/>
    <col min="5" max="5" width="9" bestFit="1" customWidth="1"/>
    <col min="6" max="6" width="11.7109375" bestFit="1" customWidth="1"/>
    <col min="7" max="7" width="9" bestFit="1" customWidth="1"/>
    <col min="11" max="11" width="16.7109375" style="4" customWidth="1"/>
  </cols>
  <sheetData>
    <row r="2" spans="1:13" x14ac:dyDescent="0.25">
      <c r="B2" s="21" t="s">
        <v>285</v>
      </c>
      <c r="C2" s="275">
        <v>0.56999999999999995</v>
      </c>
      <c r="D2" s="276" t="s">
        <v>286</v>
      </c>
    </row>
    <row r="3" spans="1:13" x14ac:dyDescent="0.25">
      <c r="B3" s="21" t="s">
        <v>275</v>
      </c>
      <c r="C3" s="275">
        <v>0.85499999999999998</v>
      </c>
      <c r="D3" s="276" t="s">
        <v>282</v>
      </c>
      <c r="M3" s="1" t="str">
        <f>"Andel varmebrændsel @ etaK="&amp;TEXT(C3,"0,0 %")&amp;" | etaRGK="&amp;TEXT($C$4,"0,0 %")&amp;" | bypass="&amp;TEXT(1-$C$2,"0 %")</f>
        <v>Andel varmebrændsel @ etaK=85,5 % | etaRGK=15,0 % | bypass=43 %</v>
      </c>
    </row>
    <row r="4" spans="1:13" x14ac:dyDescent="0.25">
      <c r="B4" s="21" t="s">
        <v>278</v>
      </c>
      <c r="C4" s="275">
        <v>0.15</v>
      </c>
      <c r="D4" s="276" t="s">
        <v>283</v>
      </c>
    </row>
    <row r="5" spans="1:13" x14ac:dyDescent="0.25">
      <c r="B5" s="21"/>
      <c r="C5" s="21"/>
      <c r="D5" s="276"/>
    </row>
    <row r="6" spans="1:13" x14ac:dyDescent="0.25">
      <c r="D6" t="s">
        <v>276</v>
      </c>
      <c r="F6" t="s">
        <v>277</v>
      </c>
    </row>
    <row r="7" spans="1:13" x14ac:dyDescent="0.25">
      <c r="A7" s="1" t="s">
        <v>284</v>
      </c>
      <c r="B7" s="21" t="s">
        <v>270</v>
      </c>
      <c r="C7" s="21" t="s">
        <v>269</v>
      </c>
      <c r="D7" s="21" t="s">
        <v>279</v>
      </c>
      <c r="E7" s="21" t="s">
        <v>280</v>
      </c>
      <c r="F7" s="21" t="s">
        <v>271</v>
      </c>
      <c r="G7" s="21" t="s">
        <v>272</v>
      </c>
      <c r="H7" s="21" t="s">
        <v>273</v>
      </c>
      <c r="I7" s="21" t="s">
        <v>274</v>
      </c>
      <c r="J7" s="21"/>
      <c r="K7" s="277" t="s">
        <v>281</v>
      </c>
    </row>
    <row r="8" spans="1:13" x14ac:dyDescent="0.25">
      <c r="A8" s="274">
        <v>0</v>
      </c>
      <c r="B8" s="274">
        <f>$C$3-C8+$C$4</f>
        <v>1.0049999999999999</v>
      </c>
      <c r="C8" s="274">
        <f>A8*$C$2</f>
        <v>0</v>
      </c>
      <c r="D8" s="53">
        <f>C8/0.67</f>
        <v>0</v>
      </c>
      <c r="E8" s="53">
        <f>MIN(1-B8/1.2,C8/0.35)</f>
        <v>0</v>
      </c>
      <c r="F8" s="53">
        <f>1-D8</f>
        <v>1</v>
      </c>
      <c r="G8" s="53">
        <f>1-E8</f>
        <v>1</v>
      </c>
      <c r="H8" s="53">
        <f>B8/1.2</f>
        <v>0.83749999999999991</v>
      </c>
      <c r="I8" s="53">
        <f>1-C8/0.35</f>
        <v>1</v>
      </c>
      <c r="J8" s="53"/>
      <c r="K8" s="278" t="str">
        <f>IF(C8&gt;0,(B8+C8)/(1.55*C8),"")</f>
        <v/>
      </c>
    </row>
    <row r="9" spans="1:13" x14ac:dyDescent="0.25">
      <c r="A9" s="274">
        <v>5.0000000000000001E-3</v>
      </c>
      <c r="B9" s="274">
        <f t="shared" ref="B9:B28" si="0">$C$3-C9+$C$4</f>
        <v>1.0021499999999999</v>
      </c>
      <c r="C9" s="274">
        <f t="shared" ref="C9:C72" si="1">A9*$C$2</f>
        <v>2.8499999999999997E-3</v>
      </c>
      <c r="D9" s="53">
        <f t="shared" ref="D9:D28" si="2">C9/0.67</f>
        <v>4.2537313432835814E-3</v>
      </c>
      <c r="E9" s="53">
        <f t="shared" ref="E9:E28" si="3">MIN(1-B9/1.2,C9/0.35)</f>
        <v>8.1428571428571427E-3</v>
      </c>
      <c r="F9" s="53">
        <f t="shared" ref="F9:F28" si="4">1-D9</f>
        <v>0.99574626865671645</v>
      </c>
      <c r="G9" s="53">
        <f t="shared" ref="G9:G28" si="5">1-E9</f>
        <v>0.99185714285714288</v>
      </c>
      <c r="H9" s="53">
        <f t="shared" ref="H9:H28" si="6">B9/1.2</f>
        <v>0.8351249999999999</v>
      </c>
      <c r="I9" s="53">
        <f t="shared" ref="I9:I28" si="7">1-C9/0.35</f>
        <v>0.99185714285714288</v>
      </c>
      <c r="J9" s="53"/>
      <c r="K9" s="278">
        <f t="shared" ref="K9:K72" si="8">IF(C9&gt;0,(B9+C9)/(1.55*C9),"")</f>
        <v>227.50424448217316</v>
      </c>
    </row>
    <row r="10" spans="1:13" x14ac:dyDescent="0.25">
      <c r="A10" s="274">
        <v>0.01</v>
      </c>
      <c r="B10" s="274">
        <f t="shared" si="0"/>
        <v>0.99929999999999997</v>
      </c>
      <c r="C10" s="274">
        <f t="shared" si="1"/>
        <v>5.6999999999999993E-3</v>
      </c>
      <c r="D10" s="53">
        <f t="shared" si="2"/>
        <v>8.5074626865671629E-3</v>
      </c>
      <c r="E10" s="53">
        <f t="shared" si="3"/>
        <v>1.6285714285714285E-2</v>
      </c>
      <c r="F10" s="53">
        <f t="shared" si="4"/>
        <v>0.99149253731343279</v>
      </c>
      <c r="G10" s="53">
        <f t="shared" si="5"/>
        <v>0.98371428571428576</v>
      </c>
      <c r="H10" s="53">
        <f t="shared" si="6"/>
        <v>0.83274999999999999</v>
      </c>
      <c r="I10" s="53">
        <f t="shared" si="7"/>
        <v>0.98371428571428576</v>
      </c>
      <c r="J10" s="53"/>
      <c r="K10" s="278">
        <f t="shared" si="8"/>
        <v>113.75212224108658</v>
      </c>
    </row>
    <row r="11" spans="1:13" x14ac:dyDescent="0.25">
      <c r="A11" s="274">
        <v>1.4999999999999999E-2</v>
      </c>
      <c r="B11" s="274">
        <f t="shared" si="0"/>
        <v>0.99645000000000006</v>
      </c>
      <c r="C11" s="274">
        <f t="shared" si="1"/>
        <v>8.5499999999999986E-3</v>
      </c>
      <c r="D11" s="53">
        <f t="shared" si="2"/>
        <v>1.2761194029850743E-2</v>
      </c>
      <c r="E11" s="53">
        <f t="shared" si="3"/>
        <v>2.4428571428571424E-2</v>
      </c>
      <c r="F11" s="53">
        <f t="shared" si="4"/>
        <v>0.98723880597014924</v>
      </c>
      <c r="G11" s="53">
        <f t="shared" si="5"/>
        <v>0.97557142857142853</v>
      </c>
      <c r="H11" s="53">
        <f t="shared" si="6"/>
        <v>0.83037500000000009</v>
      </c>
      <c r="I11" s="53">
        <f t="shared" si="7"/>
        <v>0.97557142857142853</v>
      </c>
      <c r="J11" s="53"/>
      <c r="K11" s="278">
        <f t="shared" si="8"/>
        <v>75.834748160724402</v>
      </c>
    </row>
    <row r="12" spans="1:13" x14ac:dyDescent="0.25">
      <c r="A12" s="274">
        <v>0.02</v>
      </c>
      <c r="B12" s="274">
        <f t="shared" si="0"/>
        <v>0.99360000000000004</v>
      </c>
      <c r="C12" s="274">
        <f t="shared" si="1"/>
        <v>1.1399999999999999E-2</v>
      </c>
      <c r="D12" s="53">
        <f t="shared" si="2"/>
        <v>1.7014925373134326E-2</v>
      </c>
      <c r="E12" s="53">
        <f t="shared" si="3"/>
        <v>3.2571428571428571E-2</v>
      </c>
      <c r="F12" s="53">
        <f t="shared" si="4"/>
        <v>0.98298507462686568</v>
      </c>
      <c r="G12" s="53">
        <f t="shared" si="5"/>
        <v>0.96742857142857142</v>
      </c>
      <c r="H12" s="53">
        <f t="shared" si="6"/>
        <v>0.82800000000000007</v>
      </c>
      <c r="I12" s="53">
        <f t="shared" si="7"/>
        <v>0.96742857142857142</v>
      </c>
      <c r="J12" s="53"/>
      <c r="K12" s="278">
        <f t="shared" si="8"/>
        <v>56.876061120543305</v>
      </c>
    </row>
    <row r="13" spans="1:13" x14ac:dyDescent="0.25">
      <c r="A13" s="274">
        <v>2.5000000000000001E-2</v>
      </c>
      <c r="B13" s="274">
        <f t="shared" si="0"/>
        <v>0.99075000000000002</v>
      </c>
      <c r="C13" s="274">
        <f t="shared" si="1"/>
        <v>1.4249999999999999E-2</v>
      </c>
      <c r="D13" s="53">
        <f t="shared" si="2"/>
        <v>2.1268656716417908E-2</v>
      </c>
      <c r="E13" s="53">
        <f t="shared" si="3"/>
        <v>4.0714285714285717E-2</v>
      </c>
      <c r="F13" s="53">
        <f t="shared" si="4"/>
        <v>0.97873134328358213</v>
      </c>
      <c r="G13" s="53">
        <f t="shared" si="5"/>
        <v>0.9592857142857143</v>
      </c>
      <c r="H13" s="53">
        <f t="shared" si="6"/>
        <v>0.82562500000000005</v>
      </c>
      <c r="I13" s="53">
        <f t="shared" si="7"/>
        <v>0.9592857142857143</v>
      </c>
      <c r="J13" s="53"/>
      <c r="K13" s="278">
        <f t="shared" si="8"/>
        <v>45.50084889643464</v>
      </c>
    </row>
    <row r="14" spans="1:13" x14ac:dyDescent="0.25">
      <c r="A14" s="274">
        <v>0.03</v>
      </c>
      <c r="B14" s="274">
        <f t="shared" si="0"/>
        <v>0.9879</v>
      </c>
      <c r="C14" s="274">
        <f t="shared" si="1"/>
        <v>1.7099999999999997E-2</v>
      </c>
      <c r="D14" s="53">
        <f t="shared" si="2"/>
        <v>2.5522388059701487E-2</v>
      </c>
      <c r="E14" s="53">
        <f t="shared" si="3"/>
        <v>4.8857142857142849E-2</v>
      </c>
      <c r="F14" s="53">
        <f t="shared" si="4"/>
        <v>0.97447761194029847</v>
      </c>
      <c r="G14" s="53">
        <f t="shared" si="5"/>
        <v>0.95114285714285718</v>
      </c>
      <c r="H14" s="53">
        <f t="shared" si="6"/>
        <v>0.82325000000000004</v>
      </c>
      <c r="I14" s="53">
        <f t="shared" si="7"/>
        <v>0.95114285714285718</v>
      </c>
      <c r="J14" s="53"/>
      <c r="K14" s="278">
        <f t="shared" si="8"/>
        <v>37.917374080362194</v>
      </c>
    </row>
    <row r="15" spans="1:13" x14ac:dyDescent="0.25">
      <c r="A15" s="274">
        <v>3.5000000000000003E-2</v>
      </c>
      <c r="B15" s="274">
        <f t="shared" si="0"/>
        <v>0.98504999999999998</v>
      </c>
      <c r="C15" s="274">
        <f t="shared" si="1"/>
        <v>1.9949999999999999E-2</v>
      </c>
      <c r="D15" s="53">
        <f t="shared" si="2"/>
        <v>2.9776119402985073E-2</v>
      </c>
      <c r="E15" s="53">
        <f t="shared" si="3"/>
        <v>5.7000000000000002E-2</v>
      </c>
      <c r="F15" s="53">
        <f t="shared" si="4"/>
        <v>0.97022388059701492</v>
      </c>
      <c r="G15" s="53">
        <f t="shared" si="5"/>
        <v>0.94299999999999995</v>
      </c>
      <c r="H15" s="53">
        <f t="shared" si="6"/>
        <v>0.82087500000000002</v>
      </c>
      <c r="I15" s="53">
        <f t="shared" si="7"/>
        <v>0.94299999999999995</v>
      </c>
      <c r="J15" s="53"/>
      <c r="K15" s="278">
        <f t="shared" si="8"/>
        <v>32.500606354596165</v>
      </c>
    </row>
    <row r="16" spans="1:13" x14ac:dyDescent="0.25">
      <c r="A16" s="274">
        <v>0.04</v>
      </c>
      <c r="B16" s="274">
        <f t="shared" si="0"/>
        <v>0.98219999999999996</v>
      </c>
      <c r="C16" s="274">
        <f t="shared" si="1"/>
        <v>2.2799999999999997E-2</v>
      </c>
      <c r="D16" s="53">
        <f t="shared" si="2"/>
        <v>3.4029850746268651E-2</v>
      </c>
      <c r="E16" s="53">
        <f t="shared" si="3"/>
        <v>6.5142857142857141E-2</v>
      </c>
      <c r="F16" s="53">
        <f t="shared" si="4"/>
        <v>0.96597014925373137</v>
      </c>
      <c r="G16" s="53">
        <f t="shared" si="5"/>
        <v>0.93485714285714283</v>
      </c>
      <c r="H16" s="53">
        <f t="shared" si="6"/>
        <v>0.81850000000000001</v>
      </c>
      <c r="I16" s="53">
        <f t="shared" si="7"/>
        <v>0.93485714285714283</v>
      </c>
      <c r="J16" s="53"/>
      <c r="K16" s="278">
        <f t="shared" si="8"/>
        <v>28.438030560271645</v>
      </c>
    </row>
    <row r="17" spans="1:11" x14ac:dyDescent="0.25">
      <c r="A17" s="274">
        <v>4.4999999999999998E-2</v>
      </c>
      <c r="B17" s="274">
        <f t="shared" si="0"/>
        <v>0.97935000000000005</v>
      </c>
      <c r="C17" s="274">
        <f t="shared" si="1"/>
        <v>2.5649999999999996E-2</v>
      </c>
      <c r="D17" s="53">
        <f t="shared" si="2"/>
        <v>3.828358208955223E-2</v>
      </c>
      <c r="E17" s="53">
        <f t="shared" si="3"/>
        <v>7.3285714285714273E-2</v>
      </c>
      <c r="F17" s="53">
        <f t="shared" si="4"/>
        <v>0.96171641791044782</v>
      </c>
      <c r="G17" s="53">
        <f t="shared" si="5"/>
        <v>0.92671428571428571</v>
      </c>
      <c r="H17" s="53">
        <f t="shared" si="6"/>
        <v>0.8161250000000001</v>
      </c>
      <c r="I17" s="53">
        <f t="shared" si="7"/>
        <v>0.92671428571428571</v>
      </c>
      <c r="J17" s="53"/>
      <c r="K17" s="278">
        <f t="shared" si="8"/>
        <v>25.278249386908136</v>
      </c>
    </row>
    <row r="18" spans="1:11" x14ac:dyDescent="0.25">
      <c r="A18" s="274">
        <v>0.05</v>
      </c>
      <c r="B18" s="274">
        <f t="shared" si="0"/>
        <v>0.97650000000000003</v>
      </c>
      <c r="C18" s="274">
        <f t="shared" si="1"/>
        <v>2.8499999999999998E-2</v>
      </c>
      <c r="D18" s="53">
        <f t="shared" si="2"/>
        <v>4.2537313432835816E-2</v>
      </c>
      <c r="E18" s="53">
        <f t="shared" si="3"/>
        <v>8.1428571428571433E-2</v>
      </c>
      <c r="F18" s="53">
        <f t="shared" si="4"/>
        <v>0.95746268656716416</v>
      </c>
      <c r="G18" s="53">
        <f t="shared" si="5"/>
        <v>0.91857142857142859</v>
      </c>
      <c r="H18" s="53">
        <f t="shared" si="6"/>
        <v>0.81375000000000008</v>
      </c>
      <c r="I18" s="53">
        <f t="shared" si="7"/>
        <v>0.91857142857142859</v>
      </c>
      <c r="J18" s="53"/>
      <c r="K18" s="278">
        <f t="shared" si="8"/>
        <v>22.75042444821732</v>
      </c>
    </row>
    <row r="19" spans="1:11" x14ac:dyDescent="0.25">
      <c r="A19" s="274">
        <v>5.5E-2</v>
      </c>
      <c r="B19" s="274">
        <f t="shared" si="0"/>
        <v>0.97365000000000002</v>
      </c>
      <c r="C19" s="274">
        <f t="shared" si="1"/>
        <v>3.1349999999999996E-2</v>
      </c>
      <c r="D19" s="53">
        <f t="shared" si="2"/>
        <v>4.6791044776119395E-2</v>
      </c>
      <c r="E19" s="53">
        <f t="shared" si="3"/>
        <v>8.9571428571428566E-2</v>
      </c>
      <c r="F19" s="53">
        <f t="shared" si="4"/>
        <v>0.95320895522388061</v>
      </c>
      <c r="G19" s="53">
        <f t="shared" si="5"/>
        <v>0.91042857142857148</v>
      </c>
      <c r="H19" s="53">
        <f t="shared" si="6"/>
        <v>0.81137500000000007</v>
      </c>
      <c r="I19" s="53">
        <f t="shared" si="7"/>
        <v>0.91042857142857148</v>
      </c>
      <c r="J19" s="53"/>
      <c r="K19" s="278">
        <f t="shared" si="8"/>
        <v>20.682204043833927</v>
      </c>
    </row>
    <row r="20" spans="1:11" x14ac:dyDescent="0.25">
      <c r="A20" s="274">
        <v>0.06</v>
      </c>
      <c r="B20" s="274">
        <f t="shared" si="0"/>
        <v>0.9708</v>
      </c>
      <c r="C20" s="274">
        <f t="shared" si="1"/>
        <v>3.4199999999999994E-2</v>
      </c>
      <c r="D20" s="53">
        <f t="shared" si="2"/>
        <v>5.1044776119402974E-2</v>
      </c>
      <c r="E20" s="53">
        <f t="shared" si="3"/>
        <v>9.7714285714285698E-2</v>
      </c>
      <c r="F20" s="53">
        <f t="shared" si="4"/>
        <v>0.94895522388059705</v>
      </c>
      <c r="G20" s="53">
        <f t="shared" si="5"/>
        <v>0.90228571428571436</v>
      </c>
      <c r="H20" s="53">
        <f t="shared" si="6"/>
        <v>0.80900000000000005</v>
      </c>
      <c r="I20" s="53">
        <f t="shared" si="7"/>
        <v>0.90228571428571436</v>
      </c>
      <c r="J20" s="53"/>
      <c r="K20" s="278">
        <f t="shared" si="8"/>
        <v>18.958687040181097</v>
      </c>
    </row>
    <row r="21" spans="1:11" x14ac:dyDescent="0.25">
      <c r="A21" s="274">
        <v>6.5000000000000002E-2</v>
      </c>
      <c r="B21" s="274">
        <f t="shared" si="0"/>
        <v>0.96794999999999998</v>
      </c>
      <c r="C21" s="274">
        <f t="shared" si="1"/>
        <v>3.705E-2</v>
      </c>
      <c r="D21" s="53">
        <f t="shared" si="2"/>
        <v>5.5298507462686566E-2</v>
      </c>
      <c r="E21" s="53">
        <f t="shared" si="3"/>
        <v>0.10585714285714286</v>
      </c>
      <c r="F21" s="53">
        <f t="shared" si="4"/>
        <v>0.94470149253731339</v>
      </c>
      <c r="G21" s="53">
        <f t="shared" si="5"/>
        <v>0.89414285714285713</v>
      </c>
      <c r="H21" s="53">
        <f t="shared" si="6"/>
        <v>0.80662500000000004</v>
      </c>
      <c r="I21" s="53">
        <f t="shared" si="7"/>
        <v>0.89414285714285713</v>
      </c>
      <c r="J21" s="53"/>
      <c r="K21" s="278">
        <f t="shared" si="8"/>
        <v>17.500326498628706</v>
      </c>
    </row>
    <row r="22" spans="1:11" x14ac:dyDescent="0.25">
      <c r="A22" s="274">
        <v>7.0000000000000007E-2</v>
      </c>
      <c r="B22" s="274">
        <f t="shared" si="0"/>
        <v>0.96509999999999996</v>
      </c>
      <c r="C22" s="274">
        <f t="shared" si="1"/>
        <v>3.9899999999999998E-2</v>
      </c>
      <c r="D22" s="53">
        <f t="shared" si="2"/>
        <v>5.9552238805970145E-2</v>
      </c>
      <c r="E22" s="53">
        <f t="shared" si="3"/>
        <v>0.114</v>
      </c>
      <c r="F22" s="53">
        <f t="shared" si="4"/>
        <v>0.94044776119402984</v>
      </c>
      <c r="G22" s="53">
        <f t="shared" si="5"/>
        <v>0.88600000000000001</v>
      </c>
      <c r="H22" s="53">
        <f t="shared" si="6"/>
        <v>0.80425000000000002</v>
      </c>
      <c r="I22" s="53">
        <f t="shared" si="7"/>
        <v>0.88600000000000001</v>
      </c>
      <c r="J22" s="53"/>
      <c r="K22" s="278">
        <f t="shared" si="8"/>
        <v>16.250303177298083</v>
      </c>
    </row>
    <row r="23" spans="1:11" x14ac:dyDescent="0.25">
      <c r="A23" s="274">
        <v>7.4999999999999997E-2</v>
      </c>
      <c r="B23" s="274">
        <f t="shared" si="0"/>
        <v>0.96225000000000005</v>
      </c>
      <c r="C23" s="274">
        <f t="shared" si="1"/>
        <v>4.2749999999999996E-2</v>
      </c>
      <c r="D23" s="53">
        <f t="shared" si="2"/>
        <v>6.3805970149253724E-2</v>
      </c>
      <c r="E23" s="53">
        <f t="shared" si="3"/>
        <v>0.12214285714285714</v>
      </c>
      <c r="F23" s="53">
        <f t="shared" si="4"/>
        <v>0.93619402985074629</v>
      </c>
      <c r="G23" s="53">
        <f t="shared" si="5"/>
        <v>0.87785714285714289</v>
      </c>
      <c r="H23" s="53">
        <f t="shared" si="6"/>
        <v>0.80187500000000012</v>
      </c>
      <c r="I23" s="53">
        <f t="shared" si="7"/>
        <v>0.87785714285714289</v>
      </c>
      <c r="J23" s="53"/>
      <c r="K23" s="278">
        <f t="shared" si="8"/>
        <v>15.166949632144879</v>
      </c>
    </row>
    <row r="24" spans="1:11" x14ac:dyDescent="0.25">
      <c r="A24" s="274">
        <v>0.08</v>
      </c>
      <c r="B24" s="274">
        <f t="shared" si="0"/>
        <v>0.95940000000000003</v>
      </c>
      <c r="C24" s="274">
        <f t="shared" si="1"/>
        <v>4.5599999999999995E-2</v>
      </c>
      <c r="D24" s="53">
        <f t="shared" si="2"/>
        <v>6.8059701492537303E-2</v>
      </c>
      <c r="E24" s="53">
        <f t="shared" si="3"/>
        <v>0.13028571428571428</v>
      </c>
      <c r="F24" s="53">
        <f t="shared" si="4"/>
        <v>0.93194029850746274</v>
      </c>
      <c r="G24" s="53">
        <f t="shared" si="5"/>
        <v>0.86971428571428566</v>
      </c>
      <c r="H24" s="53">
        <f t="shared" si="6"/>
        <v>0.7995000000000001</v>
      </c>
      <c r="I24" s="53">
        <f t="shared" si="7"/>
        <v>0.86971428571428566</v>
      </c>
      <c r="J24" s="53"/>
      <c r="K24" s="278">
        <f t="shared" si="8"/>
        <v>14.219015280135826</v>
      </c>
    </row>
    <row r="25" spans="1:11" x14ac:dyDescent="0.25">
      <c r="A25" s="274">
        <v>8.5000000000000006E-2</v>
      </c>
      <c r="B25" s="274">
        <f t="shared" si="0"/>
        <v>0.95655000000000001</v>
      </c>
      <c r="C25" s="274">
        <f t="shared" si="1"/>
        <v>4.845E-2</v>
      </c>
      <c r="D25" s="53">
        <f t="shared" si="2"/>
        <v>7.2313432835820896E-2</v>
      </c>
      <c r="E25" s="53">
        <f t="shared" si="3"/>
        <v>0.13842857142857143</v>
      </c>
      <c r="F25" s="53">
        <f t="shared" si="4"/>
        <v>0.92768656716417908</v>
      </c>
      <c r="G25" s="53">
        <f t="shared" si="5"/>
        <v>0.86157142857142854</v>
      </c>
      <c r="H25" s="53">
        <f t="shared" si="6"/>
        <v>0.79712500000000008</v>
      </c>
      <c r="I25" s="53">
        <f t="shared" si="7"/>
        <v>0.86157142857142854</v>
      </c>
      <c r="J25" s="53"/>
      <c r="K25" s="278">
        <f t="shared" si="8"/>
        <v>13.382602616598424</v>
      </c>
    </row>
    <row r="26" spans="1:11" x14ac:dyDescent="0.25">
      <c r="A26" s="274">
        <v>0.09</v>
      </c>
      <c r="B26" s="274">
        <f t="shared" si="0"/>
        <v>0.95369999999999999</v>
      </c>
      <c r="C26" s="274">
        <f t="shared" si="1"/>
        <v>5.1299999999999991E-2</v>
      </c>
      <c r="D26" s="53">
        <f t="shared" si="2"/>
        <v>7.656716417910446E-2</v>
      </c>
      <c r="E26" s="53">
        <f t="shared" si="3"/>
        <v>0.14657142857142855</v>
      </c>
      <c r="F26" s="53">
        <f t="shared" si="4"/>
        <v>0.92343283582089553</v>
      </c>
      <c r="G26" s="53">
        <f t="shared" si="5"/>
        <v>0.85342857142857143</v>
      </c>
      <c r="H26" s="53">
        <f t="shared" si="6"/>
        <v>0.79475000000000007</v>
      </c>
      <c r="I26" s="53">
        <f t="shared" si="7"/>
        <v>0.85342857142857143</v>
      </c>
      <c r="J26" s="53"/>
      <c r="K26" s="278">
        <f t="shared" si="8"/>
        <v>12.639124693454066</v>
      </c>
    </row>
    <row r="27" spans="1:11" x14ac:dyDescent="0.25">
      <c r="A27" s="274">
        <v>9.5000000000000001E-2</v>
      </c>
      <c r="B27" s="274">
        <f t="shared" si="0"/>
        <v>0.95084999999999997</v>
      </c>
      <c r="C27" s="274">
        <f t="shared" si="1"/>
        <v>5.4149999999999997E-2</v>
      </c>
      <c r="D27" s="53">
        <f t="shared" si="2"/>
        <v>8.0820895522388053E-2</v>
      </c>
      <c r="E27" s="53">
        <f t="shared" si="3"/>
        <v>0.15471428571428572</v>
      </c>
      <c r="F27" s="53">
        <f t="shared" si="4"/>
        <v>0.91917910447761197</v>
      </c>
      <c r="G27" s="53">
        <f t="shared" si="5"/>
        <v>0.84528571428571431</v>
      </c>
      <c r="H27" s="53">
        <f t="shared" si="6"/>
        <v>0.79237500000000005</v>
      </c>
      <c r="I27" s="53">
        <f t="shared" si="7"/>
        <v>0.84528571428571431</v>
      </c>
      <c r="J27" s="53"/>
      <c r="K27" s="278">
        <f t="shared" si="8"/>
        <v>11.973907604324904</v>
      </c>
    </row>
    <row r="28" spans="1:11" x14ac:dyDescent="0.25">
      <c r="A28" s="274">
        <v>0.1</v>
      </c>
      <c r="B28" s="274">
        <f t="shared" si="0"/>
        <v>0.94800000000000006</v>
      </c>
      <c r="C28" s="274">
        <f t="shared" si="1"/>
        <v>5.6999999999999995E-2</v>
      </c>
      <c r="D28" s="53">
        <f t="shared" si="2"/>
        <v>8.5074626865671632E-2</v>
      </c>
      <c r="E28" s="53">
        <f t="shared" si="3"/>
        <v>0.16285714285714287</v>
      </c>
      <c r="F28" s="53">
        <f t="shared" si="4"/>
        <v>0.91492537313432831</v>
      </c>
      <c r="G28" s="53">
        <f t="shared" si="5"/>
        <v>0.83714285714285719</v>
      </c>
      <c r="H28" s="53">
        <f t="shared" si="6"/>
        <v>0.79</v>
      </c>
      <c r="I28" s="53">
        <f t="shared" si="7"/>
        <v>0.83714285714285719</v>
      </c>
      <c r="J28" s="53"/>
      <c r="K28" s="278">
        <f t="shared" si="8"/>
        <v>11.37521222410866</v>
      </c>
    </row>
    <row r="29" spans="1:11" x14ac:dyDescent="0.25">
      <c r="A29" s="274">
        <v>0.105</v>
      </c>
      <c r="B29" s="274">
        <f t="shared" ref="B29:B88" si="9">$C$3-C29+$C$4</f>
        <v>0.94515000000000005</v>
      </c>
      <c r="C29" s="274">
        <f t="shared" si="1"/>
        <v>5.9849999999999993E-2</v>
      </c>
      <c r="D29" s="53">
        <f t="shared" ref="D29:D88" si="10">C29/0.67</f>
        <v>8.9328358208955211E-2</v>
      </c>
      <c r="E29" s="53">
        <f t="shared" ref="E29:E88" si="11">MIN(1-B29/1.2,C29/0.35)</f>
        <v>0.17099999999999999</v>
      </c>
      <c r="F29" s="53">
        <f t="shared" ref="F29:F88" si="12">1-D29</f>
        <v>0.91067164179104476</v>
      </c>
      <c r="G29" s="53">
        <f t="shared" ref="G29:G88" si="13">1-E29</f>
        <v>0.82899999999999996</v>
      </c>
      <c r="H29" s="53">
        <f t="shared" ref="H29:H88" si="14">B29/1.2</f>
        <v>0.78762500000000002</v>
      </c>
      <c r="I29" s="53">
        <f t="shared" ref="I29:I88" si="15">1-C29/0.35</f>
        <v>0.82899999999999996</v>
      </c>
      <c r="J29" s="53"/>
      <c r="K29" s="278">
        <f t="shared" si="8"/>
        <v>10.833535451532059</v>
      </c>
    </row>
    <row r="30" spans="1:11" x14ac:dyDescent="0.25">
      <c r="A30" s="274">
        <v>0.11</v>
      </c>
      <c r="B30" s="274">
        <f t="shared" si="9"/>
        <v>0.94230000000000003</v>
      </c>
      <c r="C30" s="274">
        <f t="shared" si="1"/>
        <v>6.2699999999999992E-2</v>
      </c>
      <c r="D30" s="53">
        <f t="shared" si="10"/>
        <v>9.358208955223879E-2</v>
      </c>
      <c r="E30" s="53">
        <f t="shared" si="11"/>
        <v>0.17914285714285713</v>
      </c>
      <c r="F30" s="53">
        <f t="shared" si="12"/>
        <v>0.90641791044776121</v>
      </c>
      <c r="G30" s="53">
        <f t="shared" si="13"/>
        <v>0.82085714285714284</v>
      </c>
      <c r="H30" s="53">
        <f t="shared" si="14"/>
        <v>0.78525</v>
      </c>
      <c r="I30" s="53">
        <f t="shared" si="15"/>
        <v>0.82085714285714284</v>
      </c>
      <c r="J30" s="53"/>
      <c r="K30" s="278">
        <f t="shared" si="8"/>
        <v>10.341102021916964</v>
      </c>
    </row>
    <row r="31" spans="1:11" x14ac:dyDescent="0.25">
      <c r="A31" s="274">
        <v>0.115</v>
      </c>
      <c r="B31" s="274">
        <f t="shared" si="9"/>
        <v>0.93945000000000001</v>
      </c>
      <c r="C31" s="274">
        <f t="shared" si="1"/>
        <v>6.5549999999999997E-2</v>
      </c>
      <c r="D31" s="53">
        <f t="shared" si="10"/>
        <v>9.7835820895522382E-2</v>
      </c>
      <c r="E31" s="53">
        <f t="shared" si="11"/>
        <v>0.18728571428571428</v>
      </c>
      <c r="F31" s="53">
        <f t="shared" si="12"/>
        <v>0.90216417910447766</v>
      </c>
      <c r="G31" s="53">
        <f t="shared" si="13"/>
        <v>0.81271428571428572</v>
      </c>
      <c r="H31" s="53">
        <f t="shared" si="14"/>
        <v>0.78287499999999999</v>
      </c>
      <c r="I31" s="53">
        <f t="shared" si="15"/>
        <v>0.81271428571428572</v>
      </c>
      <c r="J31" s="53"/>
      <c r="K31" s="278">
        <f t="shared" si="8"/>
        <v>9.8914888905292671</v>
      </c>
    </row>
    <row r="32" spans="1:11" x14ac:dyDescent="0.25">
      <c r="A32" s="274">
        <v>0.12</v>
      </c>
      <c r="B32" s="274">
        <f t="shared" si="9"/>
        <v>0.93659999999999999</v>
      </c>
      <c r="C32" s="274">
        <f t="shared" si="1"/>
        <v>6.8399999999999989E-2</v>
      </c>
      <c r="D32" s="53">
        <f t="shared" si="10"/>
        <v>0.10208955223880595</v>
      </c>
      <c r="E32" s="53">
        <f t="shared" si="11"/>
        <v>0.1954285714285714</v>
      </c>
      <c r="F32" s="53">
        <f t="shared" si="12"/>
        <v>0.89791044776119411</v>
      </c>
      <c r="G32" s="53">
        <f t="shared" si="13"/>
        <v>0.8045714285714286</v>
      </c>
      <c r="H32" s="53">
        <f t="shared" si="14"/>
        <v>0.78049999999999997</v>
      </c>
      <c r="I32" s="53">
        <f t="shared" si="15"/>
        <v>0.8045714285714286</v>
      </c>
      <c r="J32" s="53"/>
      <c r="K32" s="278">
        <f t="shared" si="8"/>
        <v>9.4793435200905485</v>
      </c>
    </row>
    <row r="33" spans="1:11" x14ac:dyDescent="0.25">
      <c r="A33" s="274">
        <v>0.125</v>
      </c>
      <c r="B33" s="274">
        <f t="shared" si="9"/>
        <v>0.93374999999999997</v>
      </c>
      <c r="C33" s="274">
        <f t="shared" si="1"/>
        <v>7.1249999999999994E-2</v>
      </c>
      <c r="D33" s="53">
        <f t="shared" si="10"/>
        <v>0.10634328358208954</v>
      </c>
      <c r="E33" s="53">
        <f t="shared" si="11"/>
        <v>0.20357142857142857</v>
      </c>
      <c r="F33" s="53">
        <f t="shared" si="12"/>
        <v>0.89365671641791045</v>
      </c>
      <c r="G33" s="53">
        <f t="shared" si="13"/>
        <v>0.79642857142857149</v>
      </c>
      <c r="H33" s="53">
        <f t="shared" si="14"/>
        <v>0.77812499999999996</v>
      </c>
      <c r="I33" s="53">
        <f t="shared" si="15"/>
        <v>0.79642857142857149</v>
      </c>
      <c r="J33" s="53"/>
      <c r="K33" s="278">
        <f t="shared" si="8"/>
        <v>9.1001697792869258</v>
      </c>
    </row>
    <row r="34" spans="1:11" x14ac:dyDescent="0.25">
      <c r="A34" s="274">
        <v>0.13</v>
      </c>
      <c r="B34" s="274">
        <f t="shared" si="9"/>
        <v>0.93089999999999995</v>
      </c>
      <c r="C34" s="274">
        <f t="shared" si="1"/>
        <v>7.4099999999999999E-2</v>
      </c>
      <c r="D34" s="53">
        <f t="shared" si="10"/>
        <v>0.11059701492537313</v>
      </c>
      <c r="E34" s="53">
        <f t="shared" si="11"/>
        <v>0.21171428571428572</v>
      </c>
      <c r="F34" s="53">
        <f t="shared" si="12"/>
        <v>0.8894029850746269</v>
      </c>
      <c r="G34" s="53">
        <f t="shared" si="13"/>
        <v>0.78828571428571426</v>
      </c>
      <c r="H34" s="53">
        <f t="shared" si="14"/>
        <v>0.77574999999999994</v>
      </c>
      <c r="I34" s="53">
        <f t="shared" si="15"/>
        <v>0.78828571428571426</v>
      </c>
      <c r="J34" s="53"/>
      <c r="K34" s="278">
        <f t="shared" si="8"/>
        <v>8.7501632493143529</v>
      </c>
    </row>
    <row r="35" spans="1:11" x14ac:dyDescent="0.25">
      <c r="A35" s="274">
        <v>0.13500000000000001</v>
      </c>
      <c r="B35" s="274">
        <f t="shared" si="9"/>
        <v>0.92805000000000004</v>
      </c>
      <c r="C35" s="274">
        <f t="shared" si="1"/>
        <v>7.6950000000000005E-2</v>
      </c>
      <c r="D35" s="53">
        <f t="shared" si="10"/>
        <v>0.11485074626865671</v>
      </c>
      <c r="E35" s="53">
        <f t="shared" si="11"/>
        <v>0.21985714285714289</v>
      </c>
      <c r="F35" s="53">
        <f t="shared" si="12"/>
        <v>0.88514925373134323</v>
      </c>
      <c r="G35" s="53">
        <f t="shared" si="13"/>
        <v>0.78014285714285714</v>
      </c>
      <c r="H35" s="53">
        <f t="shared" si="14"/>
        <v>0.77337500000000003</v>
      </c>
      <c r="I35" s="53">
        <f t="shared" si="15"/>
        <v>0.78014285714285714</v>
      </c>
      <c r="J35" s="53"/>
      <c r="K35" s="278">
        <f t="shared" si="8"/>
        <v>8.4260831289693776</v>
      </c>
    </row>
    <row r="36" spans="1:11" x14ac:dyDescent="0.25">
      <c r="A36" s="274">
        <v>0.14000000000000001</v>
      </c>
      <c r="B36" s="274">
        <f t="shared" si="9"/>
        <v>0.92520000000000002</v>
      </c>
      <c r="C36" s="274">
        <f t="shared" si="1"/>
        <v>7.9799999999999996E-2</v>
      </c>
      <c r="D36" s="53">
        <f t="shared" si="10"/>
        <v>0.11910447761194029</v>
      </c>
      <c r="E36" s="53">
        <f t="shared" si="11"/>
        <v>0.22800000000000001</v>
      </c>
      <c r="F36" s="53">
        <f t="shared" si="12"/>
        <v>0.88089552238805968</v>
      </c>
      <c r="G36" s="53">
        <f t="shared" si="13"/>
        <v>0.77200000000000002</v>
      </c>
      <c r="H36" s="53">
        <f t="shared" si="14"/>
        <v>0.77100000000000002</v>
      </c>
      <c r="I36" s="53">
        <f t="shared" si="15"/>
        <v>0.77200000000000002</v>
      </c>
      <c r="J36" s="53"/>
      <c r="K36" s="278">
        <f t="shared" si="8"/>
        <v>8.1251515886490431</v>
      </c>
    </row>
    <row r="37" spans="1:11" x14ac:dyDescent="0.25">
      <c r="A37" s="274">
        <v>0.14499999999999999</v>
      </c>
      <c r="B37" s="274">
        <f t="shared" si="9"/>
        <v>0.92235</v>
      </c>
      <c r="C37" s="274">
        <f t="shared" si="1"/>
        <v>8.2649999999999987E-2</v>
      </c>
      <c r="D37" s="53">
        <f t="shared" si="10"/>
        <v>0.12335820895522386</v>
      </c>
      <c r="E37" s="53">
        <f t="shared" si="11"/>
        <v>0.231375</v>
      </c>
      <c r="F37" s="53">
        <f t="shared" si="12"/>
        <v>0.87664179104477613</v>
      </c>
      <c r="G37" s="53">
        <f t="shared" si="13"/>
        <v>0.768625</v>
      </c>
      <c r="H37" s="53">
        <f t="shared" si="14"/>
        <v>0.768625</v>
      </c>
      <c r="I37" s="53">
        <f t="shared" si="15"/>
        <v>0.7638571428571429</v>
      </c>
      <c r="J37" s="53"/>
      <c r="K37" s="278">
        <f t="shared" si="8"/>
        <v>7.8449739476611438</v>
      </c>
    </row>
    <row r="38" spans="1:11" x14ac:dyDescent="0.25">
      <c r="A38" s="274">
        <v>0.15</v>
      </c>
      <c r="B38" s="274">
        <f t="shared" si="9"/>
        <v>0.91949999999999998</v>
      </c>
      <c r="C38" s="274">
        <f t="shared" si="1"/>
        <v>8.5499999999999993E-2</v>
      </c>
      <c r="D38" s="53">
        <f t="shared" si="10"/>
        <v>0.12761194029850745</v>
      </c>
      <c r="E38" s="53">
        <f t="shared" si="11"/>
        <v>0.23375000000000001</v>
      </c>
      <c r="F38" s="53">
        <f t="shared" si="12"/>
        <v>0.87238805970149258</v>
      </c>
      <c r="G38" s="53">
        <f t="shared" si="13"/>
        <v>0.76624999999999999</v>
      </c>
      <c r="H38" s="53">
        <f t="shared" si="14"/>
        <v>0.76624999999999999</v>
      </c>
      <c r="I38" s="53">
        <f t="shared" si="15"/>
        <v>0.75571428571428578</v>
      </c>
      <c r="J38" s="53"/>
      <c r="K38" s="278">
        <f t="shared" si="8"/>
        <v>7.5834748160724379</v>
      </c>
    </row>
    <row r="39" spans="1:11" x14ac:dyDescent="0.25">
      <c r="A39" s="274">
        <v>0.155</v>
      </c>
      <c r="B39" s="274">
        <f t="shared" si="9"/>
        <v>0.91664999999999996</v>
      </c>
      <c r="C39" s="274">
        <f t="shared" si="1"/>
        <v>8.8349999999999998E-2</v>
      </c>
      <c r="D39" s="53">
        <f t="shared" si="10"/>
        <v>0.13186567164179103</v>
      </c>
      <c r="E39" s="53">
        <f t="shared" si="11"/>
        <v>0.23612500000000003</v>
      </c>
      <c r="F39" s="53">
        <f t="shared" si="12"/>
        <v>0.86813432835820903</v>
      </c>
      <c r="G39" s="53">
        <f t="shared" si="13"/>
        <v>0.76387499999999997</v>
      </c>
      <c r="H39" s="53">
        <f t="shared" si="14"/>
        <v>0.76387499999999997</v>
      </c>
      <c r="I39" s="53">
        <f t="shared" si="15"/>
        <v>0.74757142857142855</v>
      </c>
      <c r="J39" s="53"/>
      <c r="K39" s="278">
        <f t="shared" si="8"/>
        <v>7.3388465961991338</v>
      </c>
    </row>
    <row r="40" spans="1:11" x14ac:dyDescent="0.25">
      <c r="A40" s="274">
        <v>0.16</v>
      </c>
      <c r="B40" s="274">
        <f t="shared" si="9"/>
        <v>0.91380000000000006</v>
      </c>
      <c r="C40" s="274">
        <f t="shared" si="1"/>
        <v>9.1199999999999989E-2</v>
      </c>
      <c r="D40" s="53">
        <f t="shared" si="10"/>
        <v>0.13611940298507461</v>
      </c>
      <c r="E40" s="53">
        <f t="shared" si="11"/>
        <v>0.23849999999999993</v>
      </c>
      <c r="F40" s="53">
        <f t="shared" si="12"/>
        <v>0.86388059701492537</v>
      </c>
      <c r="G40" s="53">
        <f t="shared" si="13"/>
        <v>0.76150000000000007</v>
      </c>
      <c r="H40" s="53">
        <f t="shared" si="14"/>
        <v>0.76150000000000007</v>
      </c>
      <c r="I40" s="53">
        <f t="shared" si="15"/>
        <v>0.73942857142857144</v>
      </c>
      <c r="J40" s="53"/>
      <c r="K40" s="278">
        <f t="shared" si="8"/>
        <v>7.1095076400679131</v>
      </c>
    </row>
    <row r="41" spans="1:11" x14ac:dyDescent="0.25">
      <c r="A41" s="274">
        <v>0.16500000000000001</v>
      </c>
      <c r="B41" s="274">
        <f t="shared" si="9"/>
        <v>0.91095000000000004</v>
      </c>
      <c r="C41" s="274">
        <f t="shared" si="1"/>
        <v>9.4049999999999995E-2</v>
      </c>
      <c r="D41" s="53">
        <f t="shared" si="10"/>
        <v>0.14037313432835818</v>
      </c>
      <c r="E41" s="53">
        <f t="shared" si="11"/>
        <v>0.24087499999999995</v>
      </c>
      <c r="F41" s="53">
        <f t="shared" si="12"/>
        <v>0.85962686567164182</v>
      </c>
      <c r="G41" s="53">
        <f t="shared" si="13"/>
        <v>0.75912500000000005</v>
      </c>
      <c r="H41" s="53">
        <f t="shared" si="14"/>
        <v>0.75912500000000005</v>
      </c>
      <c r="I41" s="53">
        <f t="shared" si="15"/>
        <v>0.73128571428571432</v>
      </c>
      <c r="J41" s="53"/>
      <c r="K41" s="278">
        <f t="shared" si="8"/>
        <v>6.8940680146113094</v>
      </c>
    </row>
    <row r="42" spans="1:11" x14ac:dyDescent="0.25">
      <c r="A42" s="274">
        <v>0.17</v>
      </c>
      <c r="B42" s="274">
        <f t="shared" si="9"/>
        <v>0.90810000000000002</v>
      </c>
      <c r="C42" s="274">
        <f t="shared" si="1"/>
        <v>9.69E-2</v>
      </c>
      <c r="D42" s="53">
        <f t="shared" si="10"/>
        <v>0.14462686567164179</v>
      </c>
      <c r="E42" s="53">
        <f t="shared" si="11"/>
        <v>0.24324999999999997</v>
      </c>
      <c r="F42" s="53">
        <f t="shared" si="12"/>
        <v>0.85537313432835815</v>
      </c>
      <c r="G42" s="53">
        <f t="shared" si="13"/>
        <v>0.75675000000000003</v>
      </c>
      <c r="H42" s="53">
        <f t="shared" si="14"/>
        <v>0.75675000000000003</v>
      </c>
      <c r="I42" s="53">
        <f t="shared" si="15"/>
        <v>0.72314285714285709</v>
      </c>
      <c r="J42" s="53"/>
      <c r="K42" s="278">
        <f t="shared" si="8"/>
        <v>6.6913013082992121</v>
      </c>
    </row>
    <row r="43" spans="1:11" x14ac:dyDescent="0.25">
      <c r="A43" s="274">
        <v>0.17499999999999999</v>
      </c>
      <c r="B43" s="274">
        <f t="shared" si="9"/>
        <v>0.90525</v>
      </c>
      <c r="C43" s="274">
        <f t="shared" si="1"/>
        <v>9.9749999999999991E-2</v>
      </c>
      <c r="D43" s="53">
        <f t="shared" si="10"/>
        <v>0.14888059701492534</v>
      </c>
      <c r="E43" s="53">
        <f t="shared" si="11"/>
        <v>0.24562499999999998</v>
      </c>
      <c r="F43" s="53">
        <f t="shared" si="12"/>
        <v>0.8511194029850746</v>
      </c>
      <c r="G43" s="53">
        <f t="shared" si="13"/>
        <v>0.75437500000000002</v>
      </c>
      <c r="H43" s="53">
        <f t="shared" si="14"/>
        <v>0.75437500000000002</v>
      </c>
      <c r="I43" s="53">
        <f t="shared" si="15"/>
        <v>0.71500000000000008</v>
      </c>
      <c r="J43" s="53"/>
      <c r="K43" s="278">
        <f t="shared" si="8"/>
        <v>6.5001212709192338</v>
      </c>
    </row>
    <row r="44" spans="1:11" x14ac:dyDescent="0.25">
      <c r="A44" s="274">
        <v>0.18</v>
      </c>
      <c r="B44" s="274">
        <f t="shared" si="9"/>
        <v>0.90239999999999998</v>
      </c>
      <c r="C44" s="274">
        <f t="shared" si="1"/>
        <v>0.10259999999999998</v>
      </c>
      <c r="D44" s="53">
        <f t="shared" si="10"/>
        <v>0.15313432835820892</v>
      </c>
      <c r="E44" s="53">
        <f t="shared" si="11"/>
        <v>0.248</v>
      </c>
      <c r="F44" s="53">
        <f t="shared" si="12"/>
        <v>0.84686567164179105</v>
      </c>
      <c r="G44" s="53">
        <f t="shared" si="13"/>
        <v>0.752</v>
      </c>
      <c r="H44" s="53">
        <f t="shared" si="14"/>
        <v>0.752</v>
      </c>
      <c r="I44" s="53">
        <f t="shared" si="15"/>
        <v>0.70685714285714285</v>
      </c>
      <c r="J44" s="53"/>
      <c r="K44" s="278">
        <f t="shared" si="8"/>
        <v>6.3195623467270332</v>
      </c>
    </row>
    <row r="45" spans="1:11" x14ac:dyDescent="0.25">
      <c r="A45" s="274">
        <v>0.185</v>
      </c>
      <c r="B45" s="274">
        <f t="shared" si="9"/>
        <v>0.89954999999999996</v>
      </c>
      <c r="C45" s="274">
        <f t="shared" si="1"/>
        <v>0.10544999999999999</v>
      </c>
      <c r="D45" s="53">
        <f t="shared" si="10"/>
        <v>0.1573880597014925</v>
      </c>
      <c r="E45" s="53">
        <f t="shared" si="11"/>
        <v>0.25037500000000001</v>
      </c>
      <c r="F45" s="53">
        <f t="shared" si="12"/>
        <v>0.8426119402985075</v>
      </c>
      <c r="G45" s="53">
        <f t="shared" si="13"/>
        <v>0.74962499999999999</v>
      </c>
      <c r="H45" s="53">
        <f t="shared" si="14"/>
        <v>0.74962499999999999</v>
      </c>
      <c r="I45" s="53">
        <f t="shared" si="15"/>
        <v>0.69871428571428573</v>
      </c>
      <c r="J45" s="53"/>
      <c r="K45" s="278">
        <f t="shared" si="8"/>
        <v>6.1487633643830586</v>
      </c>
    </row>
    <row r="46" spans="1:11" x14ac:dyDescent="0.25">
      <c r="A46" s="274">
        <v>0.19</v>
      </c>
      <c r="B46" s="274">
        <f t="shared" si="9"/>
        <v>0.89670000000000005</v>
      </c>
      <c r="C46" s="274">
        <f t="shared" si="1"/>
        <v>0.10829999999999999</v>
      </c>
      <c r="D46" s="53">
        <f t="shared" si="10"/>
        <v>0.16164179104477611</v>
      </c>
      <c r="E46" s="53">
        <f t="shared" si="11"/>
        <v>0.25274999999999992</v>
      </c>
      <c r="F46" s="53">
        <f t="shared" si="12"/>
        <v>0.83835820895522395</v>
      </c>
      <c r="G46" s="53">
        <f t="shared" si="13"/>
        <v>0.74725000000000008</v>
      </c>
      <c r="H46" s="53">
        <f t="shared" si="14"/>
        <v>0.74725000000000008</v>
      </c>
      <c r="I46" s="53">
        <f t="shared" si="15"/>
        <v>0.69057142857142861</v>
      </c>
      <c r="J46" s="53"/>
      <c r="K46" s="278">
        <f t="shared" si="8"/>
        <v>5.9869538021624535</v>
      </c>
    </row>
    <row r="47" spans="1:11" x14ac:dyDescent="0.25">
      <c r="A47" s="274">
        <v>0.19500000000000001</v>
      </c>
      <c r="B47" s="274">
        <f t="shared" si="9"/>
        <v>0.89385000000000003</v>
      </c>
      <c r="C47" s="274">
        <f t="shared" si="1"/>
        <v>0.11115</v>
      </c>
      <c r="D47" s="53">
        <f t="shared" si="10"/>
        <v>0.16589552238805969</v>
      </c>
      <c r="E47" s="53">
        <f t="shared" si="11"/>
        <v>0.25512499999999994</v>
      </c>
      <c r="F47" s="53">
        <f t="shared" si="12"/>
        <v>0.83410447761194029</v>
      </c>
      <c r="G47" s="53">
        <f t="shared" si="13"/>
        <v>0.74487500000000006</v>
      </c>
      <c r="H47" s="53">
        <f t="shared" si="14"/>
        <v>0.74487500000000006</v>
      </c>
      <c r="I47" s="53">
        <f t="shared" si="15"/>
        <v>0.68242857142857138</v>
      </c>
      <c r="J47" s="53"/>
      <c r="K47" s="278">
        <f t="shared" si="8"/>
        <v>5.8334421662095695</v>
      </c>
    </row>
    <row r="48" spans="1:11" x14ac:dyDescent="0.25">
      <c r="A48" s="274">
        <v>0.2</v>
      </c>
      <c r="B48" s="274">
        <f t="shared" si="9"/>
        <v>0.89100000000000001</v>
      </c>
      <c r="C48" s="274">
        <f t="shared" si="1"/>
        <v>0.11399999999999999</v>
      </c>
      <c r="D48" s="53">
        <f t="shared" si="10"/>
        <v>0.17014925373134326</v>
      </c>
      <c r="E48" s="53">
        <f t="shared" si="11"/>
        <v>0.25749999999999995</v>
      </c>
      <c r="F48" s="53">
        <f t="shared" si="12"/>
        <v>0.82985074626865674</v>
      </c>
      <c r="G48" s="53">
        <f t="shared" si="13"/>
        <v>0.74250000000000005</v>
      </c>
      <c r="H48" s="53">
        <f t="shared" si="14"/>
        <v>0.74250000000000005</v>
      </c>
      <c r="I48" s="53">
        <f t="shared" si="15"/>
        <v>0.67428571428571427</v>
      </c>
      <c r="J48" s="53"/>
      <c r="K48" s="278">
        <f t="shared" si="8"/>
        <v>5.6876061120543291</v>
      </c>
    </row>
    <row r="49" spans="1:11" x14ac:dyDescent="0.25">
      <c r="A49" s="274">
        <v>0.20499999999999999</v>
      </c>
      <c r="B49" s="274">
        <f t="shared" si="9"/>
        <v>0.88815</v>
      </c>
      <c r="C49" s="274">
        <f t="shared" si="1"/>
        <v>0.11684999999999998</v>
      </c>
      <c r="D49" s="53">
        <f t="shared" si="10"/>
        <v>0.17440298507462682</v>
      </c>
      <c r="E49" s="53">
        <f t="shared" si="11"/>
        <v>0.25987499999999997</v>
      </c>
      <c r="F49" s="53">
        <f t="shared" si="12"/>
        <v>0.82559701492537318</v>
      </c>
      <c r="G49" s="53">
        <f t="shared" si="13"/>
        <v>0.74012500000000003</v>
      </c>
      <c r="H49" s="53">
        <f t="shared" si="14"/>
        <v>0.74012500000000003</v>
      </c>
      <c r="I49" s="53">
        <f t="shared" si="15"/>
        <v>0.66614285714285715</v>
      </c>
      <c r="J49" s="53"/>
      <c r="K49" s="278">
        <f t="shared" si="8"/>
        <v>5.5488840117603209</v>
      </c>
    </row>
    <row r="50" spans="1:11" x14ac:dyDescent="0.25">
      <c r="A50" s="274">
        <v>0.21</v>
      </c>
      <c r="B50" s="274">
        <f t="shared" si="9"/>
        <v>0.88529999999999998</v>
      </c>
      <c r="C50" s="274">
        <f t="shared" si="1"/>
        <v>0.11969999999999999</v>
      </c>
      <c r="D50" s="53">
        <f t="shared" si="10"/>
        <v>0.17865671641791042</v>
      </c>
      <c r="E50" s="53">
        <f t="shared" si="11"/>
        <v>0.26224999999999998</v>
      </c>
      <c r="F50" s="53">
        <f t="shared" si="12"/>
        <v>0.82134328358208952</v>
      </c>
      <c r="G50" s="53">
        <f t="shared" si="13"/>
        <v>0.73775000000000002</v>
      </c>
      <c r="H50" s="53">
        <f t="shared" si="14"/>
        <v>0.73775000000000002</v>
      </c>
      <c r="I50" s="53">
        <f t="shared" si="15"/>
        <v>0.65800000000000003</v>
      </c>
      <c r="J50" s="53"/>
      <c r="K50" s="278">
        <f t="shared" si="8"/>
        <v>5.4167677257660278</v>
      </c>
    </row>
    <row r="51" spans="1:11" x14ac:dyDescent="0.25">
      <c r="A51" s="274">
        <v>0.215</v>
      </c>
      <c r="B51" s="274">
        <f t="shared" si="9"/>
        <v>0.88245000000000007</v>
      </c>
      <c r="C51" s="274">
        <f t="shared" si="1"/>
        <v>0.12254999999999999</v>
      </c>
      <c r="D51" s="53">
        <f t="shared" si="10"/>
        <v>0.182910447761194</v>
      </c>
      <c r="E51" s="53">
        <f t="shared" si="11"/>
        <v>0.26462499999999989</v>
      </c>
      <c r="F51" s="53">
        <f t="shared" si="12"/>
        <v>0.81708955223880597</v>
      </c>
      <c r="G51" s="53">
        <f t="shared" si="13"/>
        <v>0.73537500000000011</v>
      </c>
      <c r="H51" s="53">
        <f t="shared" si="14"/>
        <v>0.73537500000000011</v>
      </c>
      <c r="I51" s="53">
        <f t="shared" si="15"/>
        <v>0.64985714285714291</v>
      </c>
      <c r="J51" s="53"/>
      <c r="K51" s="278">
        <f t="shared" si="8"/>
        <v>5.290796383306354</v>
      </c>
    </row>
    <row r="52" spans="1:11" x14ac:dyDescent="0.25">
      <c r="A52" s="274">
        <v>0.22</v>
      </c>
      <c r="B52" s="274">
        <f t="shared" si="9"/>
        <v>0.87960000000000005</v>
      </c>
      <c r="C52" s="274">
        <f t="shared" si="1"/>
        <v>0.12539999999999998</v>
      </c>
      <c r="D52" s="53">
        <f t="shared" si="10"/>
        <v>0.18716417910447758</v>
      </c>
      <c r="E52" s="53">
        <f t="shared" si="11"/>
        <v>0.2669999999999999</v>
      </c>
      <c r="F52" s="53">
        <f t="shared" si="12"/>
        <v>0.81283582089552242</v>
      </c>
      <c r="G52" s="53">
        <f t="shared" si="13"/>
        <v>0.7330000000000001</v>
      </c>
      <c r="H52" s="53">
        <f t="shared" si="14"/>
        <v>0.7330000000000001</v>
      </c>
      <c r="I52" s="53">
        <f t="shared" si="15"/>
        <v>0.64171428571428568</v>
      </c>
      <c r="J52" s="53"/>
      <c r="K52" s="278">
        <f t="shared" si="8"/>
        <v>5.1705510109584818</v>
      </c>
    </row>
    <row r="53" spans="1:11" x14ac:dyDescent="0.25">
      <c r="A53" s="274">
        <v>0.22500000000000001</v>
      </c>
      <c r="B53" s="274">
        <f t="shared" si="9"/>
        <v>0.87675000000000003</v>
      </c>
      <c r="C53" s="274">
        <f t="shared" si="1"/>
        <v>0.12825</v>
      </c>
      <c r="D53" s="53">
        <f t="shared" si="10"/>
        <v>0.19141791044776119</v>
      </c>
      <c r="E53" s="53">
        <f t="shared" si="11"/>
        <v>0.26937499999999992</v>
      </c>
      <c r="F53" s="53">
        <f t="shared" si="12"/>
        <v>0.80858208955223887</v>
      </c>
      <c r="G53" s="53">
        <f t="shared" si="13"/>
        <v>0.73062500000000008</v>
      </c>
      <c r="H53" s="53">
        <f t="shared" si="14"/>
        <v>0.73062500000000008</v>
      </c>
      <c r="I53" s="53">
        <f t="shared" si="15"/>
        <v>0.63357142857142856</v>
      </c>
      <c r="J53" s="53"/>
      <c r="K53" s="278">
        <f t="shared" si="8"/>
        <v>5.0556498773816267</v>
      </c>
    </row>
    <row r="54" spans="1:11" x14ac:dyDescent="0.25">
      <c r="A54" s="274">
        <v>0.23</v>
      </c>
      <c r="B54" s="274">
        <f t="shared" si="9"/>
        <v>0.87390000000000001</v>
      </c>
      <c r="C54" s="274">
        <f t="shared" si="1"/>
        <v>0.13109999999999999</v>
      </c>
      <c r="D54" s="53">
        <f t="shared" si="10"/>
        <v>0.19567164179104476</v>
      </c>
      <c r="E54" s="53">
        <f t="shared" si="11"/>
        <v>0.27174999999999994</v>
      </c>
      <c r="F54" s="53">
        <f t="shared" si="12"/>
        <v>0.80432835820895521</v>
      </c>
      <c r="G54" s="53">
        <f t="shared" si="13"/>
        <v>0.72825000000000006</v>
      </c>
      <c r="H54" s="53">
        <f t="shared" si="14"/>
        <v>0.72825000000000006</v>
      </c>
      <c r="I54" s="53">
        <f t="shared" si="15"/>
        <v>0.62542857142857144</v>
      </c>
      <c r="J54" s="53"/>
      <c r="K54" s="278">
        <f t="shared" si="8"/>
        <v>4.9457444452646335</v>
      </c>
    </row>
    <row r="55" spans="1:11" x14ac:dyDescent="0.25">
      <c r="A55" s="274">
        <v>0.23499999999999999</v>
      </c>
      <c r="B55" s="274">
        <f t="shared" si="9"/>
        <v>0.87104999999999999</v>
      </c>
      <c r="C55" s="274">
        <f t="shared" si="1"/>
        <v>0.13394999999999999</v>
      </c>
      <c r="D55" s="53">
        <f t="shared" si="10"/>
        <v>0.19992537313432832</v>
      </c>
      <c r="E55" s="53">
        <f t="shared" si="11"/>
        <v>0.27412499999999995</v>
      </c>
      <c r="F55" s="53">
        <f t="shared" si="12"/>
        <v>0.80007462686567166</v>
      </c>
      <c r="G55" s="53">
        <f t="shared" si="13"/>
        <v>0.72587500000000005</v>
      </c>
      <c r="H55" s="53">
        <f t="shared" si="14"/>
        <v>0.72587500000000005</v>
      </c>
      <c r="I55" s="53">
        <f t="shared" si="15"/>
        <v>0.61728571428571433</v>
      </c>
      <c r="J55" s="53"/>
      <c r="K55" s="278">
        <f t="shared" si="8"/>
        <v>4.8405158400462378</v>
      </c>
    </row>
    <row r="56" spans="1:11" x14ac:dyDescent="0.25">
      <c r="A56" s="274">
        <v>0.24</v>
      </c>
      <c r="B56" s="274">
        <f t="shared" si="9"/>
        <v>0.86819999999999997</v>
      </c>
      <c r="C56" s="274">
        <f t="shared" si="1"/>
        <v>0.13679999999999998</v>
      </c>
      <c r="D56" s="53">
        <f t="shared" si="10"/>
        <v>0.20417910447761189</v>
      </c>
      <c r="E56" s="53">
        <f t="shared" si="11"/>
        <v>0.27649999999999997</v>
      </c>
      <c r="F56" s="53">
        <f t="shared" si="12"/>
        <v>0.79582089552238811</v>
      </c>
      <c r="G56" s="53">
        <f t="shared" si="13"/>
        <v>0.72350000000000003</v>
      </c>
      <c r="H56" s="53">
        <f t="shared" si="14"/>
        <v>0.72350000000000003</v>
      </c>
      <c r="I56" s="53">
        <f t="shared" si="15"/>
        <v>0.60914285714285721</v>
      </c>
      <c r="J56" s="53"/>
      <c r="K56" s="278">
        <f t="shared" si="8"/>
        <v>4.7396717600452742</v>
      </c>
    </row>
    <row r="57" spans="1:11" x14ac:dyDescent="0.25">
      <c r="A57" s="274">
        <v>0.245</v>
      </c>
      <c r="B57" s="274">
        <f t="shared" si="9"/>
        <v>0.86534999999999995</v>
      </c>
      <c r="C57" s="274">
        <f t="shared" si="1"/>
        <v>0.13965</v>
      </c>
      <c r="D57" s="53">
        <f t="shared" si="10"/>
        <v>0.2084328358208955</v>
      </c>
      <c r="E57" s="53">
        <f t="shared" si="11"/>
        <v>0.27887499999999998</v>
      </c>
      <c r="F57" s="53">
        <f t="shared" si="12"/>
        <v>0.79156716417910444</v>
      </c>
      <c r="G57" s="53">
        <f t="shared" si="13"/>
        <v>0.72112500000000002</v>
      </c>
      <c r="H57" s="53">
        <f t="shared" si="14"/>
        <v>0.72112500000000002</v>
      </c>
      <c r="I57" s="53">
        <f t="shared" si="15"/>
        <v>0.60099999999999998</v>
      </c>
      <c r="J57" s="53"/>
      <c r="K57" s="278">
        <f t="shared" si="8"/>
        <v>4.6429437649423093</v>
      </c>
    </row>
    <row r="58" spans="1:11" x14ac:dyDescent="0.25">
      <c r="A58" s="274">
        <v>0.25</v>
      </c>
      <c r="B58" s="274">
        <f t="shared" si="9"/>
        <v>0.86250000000000004</v>
      </c>
      <c r="C58" s="274">
        <f t="shared" si="1"/>
        <v>0.14249999999999999</v>
      </c>
      <c r="D58" s="53">
        <f t="shared" si="10"/>
        <v>0.21268656716417908</v>
      </c>
      <c r="E58" s="53">
        <f t="shared" si="11"/>
        <v>0.28124999999999989</v>
      </c>
      <c r="F58" s="53">
        <f t="shared" si="12"/>
        <v>0.78731343283582089</v>
      </c>
      <c r="G58" s="53">
        <f t="shared" si="13"/>
        <v>0.71875000000000011</v>
      </c>
      <c r="H58" s="53">
        <f t="shared" si="14"/>
        <v>0.71875000000000011</v>
      </c>
      <c r="I58" s="53">
        <f t="shared" si="15"/>
        <v>0.59285714285714286</v>
      </c>
      <c r="J58" s="53"/>
      <c r="K58" s="278">
        <f t="shared" si="8"/>
        <v>4.5500848896434647</v>
      </c>
    </row>
    <row r="59" spans="1:11" x14ac:dyDescent="0.25">
      <c r="A59" s="274">
        <v>0.255</v>
      </c>
      <c r="B59" s="274">
        <f t="shared" si="9"/>
        <v>0.85965000000000003</v>
      </c>
      <c r="C59" s="274">
        <f t="shared" si="1"/>
        <v>0.14534999999999998</v>
      </c>
      <c r="D59" s="53">
        <f t="shared" si="10"/>
        <v>0.21694029850746263</v>
      </c>
      <c r="E59" s="53">
        <f t="shared" si="11"/>
        <v>0.2836249999999999</v>
      </c>
      <c r="F59" s="53">
        <f t="shared" si="12"/>
        <v>0.78305970149253734</v>
      </c>
      <c r="G59" s="53">
        <f t="shared" si="13"/>
        <v>0.7163750000000001</v>
      </c>
      <c r="H59" s="53">
        <f t="shared" si="14"/>
        <v>0.7163750000000001</v>
      </c>
      <c r="I59" s="53">
        <f t="shared" si="15"/>
        <v>0.58471428571428574</v>
      </c>
      <c r="J59" s="53"/>
      <c r="K59" s="278">
        <f t="shared" si="8"/>
        <v>4.4608675388661405</v>
      </c>
    </row>
    <row r="60" spans="1:11" x14ac:dyDescent="0.25">
      <c r="A60" s="274">
        <v>0.26</v>
      </c>
      <c r="B60" s="274">
        <f t="shared" si="9"/>
        <v>0.85680000000000001</v>
      </c>
      <c r="C60" s="274">
        <f t="shared" si="1"/>
        <v>0.1482</v>
      </c>
      <c r="D60" s="53">
        <f t="shared" si="10"/>
        <v>0.22119402985074627</v>
      </c>
      <c r="E60" s="53">
        <f t="shared" si="11"/>
        <v>0.28599999999999992</v>
      </c>
      <c r="F60" s="53">
        <f t="shared" si="12"/>
        <v>0.77880597014925379</v>
      </c>
      <c r="G60" s="53">
        <f t="shared" si="13"/>
        <v>0.71400000000000008</v>
      </c>
      <c r="H60" s="53">
        <f t="shared" si="14"/>
        <v>0.71400000000000008</v>
      </c>
      <c r="I60" s="53">
        <f t="shared" si="15"/>
        <v>0.57657142857142851</v>
      </c>
      <c r="J60" s="53"/>
      <c r="K60" s="278">
        <f t="shared" si="8"/>
        <v>4.3750816246571764</v>
      </c>
    </row>
    <row r="61" spans="1:11" x14ac:dyDescent="0.25">
      <c r="A61" s="274">
        <v>0.26500000000000001</v>
      </c>
      <c r="B61" s="274">
        <f t="shared" si="9"/>
        <v>0.85394999999999999</v>
      </c>
      <c r="C61" s="274">
        <f t="shared" si="1"/>
        <v>0.15104999999999999</v>
      </c>
      <c r="D61" s="53">
        <f t="shared" si="10"/>
        <v>0.22544776119402982</v>
      </c>
      <c r="E61" s="53">
        <f t="shared" si="11"/>
        <v>0.28837499999999994</v>
      </c>
      <c r="F61" s="53">
        <f t="shared" si="12"/>
        <v>0.77455223880597024</v>
      </c>
      <c r="G61" s="53">
        <f t="shared" si="13"/>
        <v>0.71162500000000006</v>
      </c>
      <c r="H61" s="53">
        <f t="shared" si="14"/>
        <v>0.71162500000000006</v>
      </c>
      <c r="I61" s="53">
        <f t="shared" si="15"/>
        <v>0.56842857142857151</v>
      </c>
      <c r="J61" s="53"/>
      <c r="K61" s="278">
        <f t="shared" si="8"/>
        <v>4.2925329147579845</v>
      </c>
    </row>
    <row r="62" spans="1:11" x14ac:dyDescent="0.25">
      <c r="A62" s="274">
        <v>0.27</v>
      </c>
      <c r="B62" s="274">
        <f t="shared" si="9"/>
        <v>0.85109999999999997</v>
      </c>
      <c r="C62" s="274">
        <f t="shared" si="1"/>
        <v>0.15390000000000001</v>
      </c>
      <c r="D62" s="53">
        <f t="shared" si="10"/>
        <v>0.22970149253731342</v>
      </c>
      <c r="E62" s="53">
        <f t="shared" si="11"/>
        <v>0.29074999999999995</v>
      </c>
      <c r="F62" s="53">
        <f t="shared" si="12"/>
        <v>0.77029850746268658</v>
      </c>
      <c r="G62" s="53">
        <f t="shared" si="13"/>
        <v>0.70925000000000005</v>
      </c>
      <c r="H62" s="53">
        <f t="shared" si="14"/>
        <v>0.70925000000000005</v>
      </c>
      <c r="I62" s="53">
        <f t="shared" si="15"/>
        <v>0.56028571428571428</v>
      </c>
      <c r="J62" s="53"/>
      <c r="K62" s="278">
        <f t="shared" si="8"/>
        <v>4.2130415644846879</v>
      </c>
    </row>
    <row r="63" spans="1:11" x14ac:dyDescent="0.25">
      <c r="A63" s="274">
        <v>0.27500000000000002</v>
      </c>
      <c r="B63" s="274">
        <f t="shared" si="9"/>
        <v>0.84825000000000006</v>
      </c>
      <c r="C63" s="274">
        <f t="shared" si="1"/>
        <v>0.15675</v>
      </c>
      <c r="D63" s="53">
        <f t="shared" si="10"/>
        <v>0.233955223880597</v>
      </c>
      <c r="E63" s="53">
        <f t="shared" si="11"/>
        <v>0.29312499999999997</v>
      </c>
      <c r="F63" s="53">
        <f t="shared" si="12"/>
        <v>0.76604477611940303</v>
      </c>
      <c r="G63" s="53">
        <f t="shared" si="13"/>
        <v>0.70687500000000003</v>
      </c>
      <c r="H63" s="53">
        <f t="shared" si="14"/>
        <v>0.70687500000000003</v>
      </c>
      <c r="I63" s="53">
        <f t="shared" si="15"/>
        <v>0.55214285714285705</v>
      </c>
      <c r="J63" s="53"/>
      <c r="K63" s="278">
        <f t="shared" si="8"/>
        <v>4.1364408087667854</v>
      </c>
    </row>
    <row r="64" spans="1:11" x14ac:dyDescent="0.25">
      <c r="A64" s="274">
        <v>0.28000000000000003</v>
      </c>
      <c r="B64" s="274">
        <f t="shared" si="9"/>
        <v>0.84540000000000004</v>
      </c>
      <c r="C64" s="274">
        <f t="shared" si="1"/>
        <v>0.15959999999999999</v>
      </c>
      <c r="D64" s="53">
        <f t="shared" si="10"/>
        <v>0.23820895522388058</v>
      </c>
      <c r="E64" s="53">
        <f t="shared" si="11"/>
        <v>0.29549999999999998</v>
      </c>
      <c r="F64" s="53">
        <f t="shared" si="12"/>
        <v>0.76179104477611936</v>
      </c>
      <c r="G64" s="53">
        <f t="shared" si="13"/>
        <v>0.70450000000000002</v>
      </c>
      <c r="H64" s="53">
        <f t="shared" si="14"/>
        <v>0.70450000000000002</v>
      </c>
      <c r="I64" s="53">
        <f t="shared" si="15"/>
        <v>0.54400000000000004</v>
      </c>
      <c r="J64" s="53"/>
      <c r="K64" s="278">
        <f t="shared" si="8"/>
        <v>4.0625757943245215</v>
      </c>
    </row>
    <row r="65" spans="1:11" x14ac:dyDescent="0.25">
      <c r="A65" s="274">
        <v>0.28499999999999998</v>
      </c>
      <c r="B65" s="274">
        <f t="shared" si="9"/>
        <v>0.84255000000000002</v>
      </c>
      <c r="C65" s="274">
        <f t="shared" si="1"/>
        <v>0.16244999999999998</v>
      </c>
      <c r="D65" s="53">
        <f t="shared" si="10"/>
        <v>0.24246268656716413</v>
      </c>
      <c r="E65" s="53">
        <f t="shared" si="11"/>
        <v>0.297875</v>
      </c>
      <c r="F65" s="53">
        <f t="shared" si="12"/>
        <v>0.75753731343283581</v>
      </c>
      <c r="G65" s="53">
        <f t="shared" si="13"/>
        <v>0.702125</v>
      </c>
      <c r="H65" s="53">
        <f t="shared" si="14"/>
        <v>0.702125</v>
      </c>
      <c r="I65" s="53">
        <f t="shared" si="15"/>
        <v>0.53585714285714281</v>
      </c>
      <c r="J65" s="53"/>
      <c r="K65" s="278">
        <f t="shared" si="8"/>
        <v>3.9913025347749675</v>
      </c>
    </row>
    <row r="66" spans="1:11" x14ac:dyDescent="0.25">
      <c r="A66" s="274">
        <v>0.28999999999999998</v>
      </c>
      <c r="B66" s="274">
        <f t="shared" si="9"/>
        <v>0.8397</v>
      </c>
      <c r="C66" s="274">
        <f t="shared" si="1"/>
        <v>0.16529999999999997</v>
      </c>
      <c r="D66" s="53">
        <f t="shared" si="10"/>
        <v>0.24671641791044771</v>
      </c>
      <c r="E66" s="53">
        <f t="shared" si="11"/>
        <v>0.30025000000000002</v>
      </c>
      <c r="F66" s="53">
        <f t="shared" si="12"/>
        <v>0.75328358208955226</v>
      </c>
      <c r="G66" s="53">
        <f t="shared" si="13"/>
        <v>0.69974999999999998</v>
      </c>
      <c r="H66" s="53">
        <f t="shared" si="14"/>
        <v>0.69974999999999998</v>
      </c>
      <c r="I66" s="53">
        <f t="shared" si="15"/>
        <v>0.5277142857142858</v>
      </c>
      <c r="J66" s="53"/>
      <c r="K66" s="278">
        <f t="shared" si="8"/>
        <v>3.9224869738305719</v>
      </c>
    </row>
    <row r="67" spans="1:11" x14ac:dyDescent="0.25">
      <c r="A67" s="274">
        <v>0.29499999999999998</v>
      </c>
      <c r="B67" s="274">
        <f t="shared" si="9"/>
        <v>0.83684999999999998</v>
      </c>
      <c r="C67" s="274">
        <f t="shared" si="1"/>
        <v>0.16814999999999997</v>
      </c>
      <c r="D67" s="53">
        <f t="shared" si="10"/>
        <v>0.25097014925373129</v>
      </c>
      <c r="E67" s="53">
        <f t="shared" si="11"/>
        <v>0.30262500000000003</v>
      </c>
      <c r="F67" s="53">
        <f t="shared" si="12"/>
        <v>0.74902985074626871</v>
      </c>
      <c r="G67" s="53">
        <f t="shared" si="13"/>
        <v>0.69737499999999997</v>
      </c>
      <c r="H67" s="53">
        <f t="shared" si="14"/>
        <v>0.69737499999999997</v>
      </c>
      <c r="I67" s="53">
        <f t="shared" si="15"/>
        <v>0.51957142857142857</v>
      </c>
      <c r="J67" s="53"/>
      <c r="K67" s="278">
        <f t="shared" si="8"/>
        <v>3.8560041437656478</v>
      </c>
    </row>
    <row r="68" spans="1:11" x14ac:dyDescent="0.25">
      <c r="A68" s="274">
        <v>0.3</v>
      </c>
      <c r="B68" s="274">
        <f t="shared" si="9"/>
        <v>0.83399999999999996</v>
      </c>
      <c r="C68" s="274">
        <f t="shared" si="1"/>
        <v>0.17099999999999999</v>
      </c>
      <c r="D68" s="53">
        <f t="shared" si="10"/>
        <v>0.2552238805970149</v>
      </c>
      <c r="E68" s="53">
        <f t="shared" si="11"/>
        <v>0.30500000000000005</v>
      </c>
      <c r="F68" s="53">
        <f t="shared" si="12"/>
        <v>0.74477611940298516</v>
      </c>
      <c r="G68" s="53">
        <f t="shared" si="13"/>
        <v>0.69499999999999995</v>
      </c>
      <c r="H68" s="53">
        <f t="shared" si="14"/>
        <v>0.69499999999999995</v>
      </c>
      <c r="I68" s="53">
        <f t="shared" si="15"/>
        <v>0.51142857142857145</v>
      </c>
      <c r="J68" s="53"/>
      <c r="K68" s="278">
        <f t="shared" si="8"/>
        <v>3.7917374080362189</v>
      </c>
    </row>
    <row r="69" spans="1:11" x14ac:dyDescent="0.25">
      <c r="A69" s="274">
        <v>0.30499999999999999</v>
      </c>
      <c r="B69" s="274">
        <f t="shared" si="9"/>
        <v>0.83115000000000006</v>
      </c>
      <c r="C69" s="274">
        <f t="shared" si="1"/>
        <v>0.17384999999999998</v>
      </c>
      <c r="D69" s="53">
        <f t="shared" si="10"/>
        <v>0.25947761194029845</v>
      </c>
      <c r="E69" s="53">
        <f t="shared" si="11"/>
        <v>0.30737499999999995</v>
      </c>
      <c r="F69" s="53">
        <f t="shared" si="12"/>
        <v>0.74052238805970161</v>
      </c>
      <c r="G69" s="53">
        <f t="shared" si="13"/>
        <v>0.69262500000000005</v>
      </c>
      <c r="H69" s="53">
        <f t="shared" si="14"/>
        <v>0.69262500000000005</v>
      </c>
      <c r="I69" s="53">
        <f t="shared" si="15"/>
        <v>0.50328571428571434</v>
      </c>
      <c r="J69" s="53"/>
      <c r="K69" s="278">
        <f t="shared" si="8"/>
        <v>3.7295777783962825</v>
      </c>
    </row>
    <row r="70" spans="1:11" x14ac:dyDescent="0.25">
      <c r="A70" s="274">
        <v>0.31</v>
      </c>
      <c r="B70" s="274">
        <f t="shared" si="9"/>
        <v>0.82830000000000004</v>
      </c>
      <c r="C70" s="274">
        <f t="shared" si="1"/>
        <v>0.1767</v>
      </c>
      <c r="D70" s="53">
        <f t="shared" si="10"/>
        <v>0.26373134328358205</v>
      </c>
      <c r="E70" s="53">
        <f t="shared" si="11"/>
        <v>0.30974999999999997</v>
      </c>
      <c r="F70" s="53">
        <f t="shared" si="12"/>
        <v>0.73626865671641795</v>
      </c>
      <c r="G70" s="53">
        <f t="shared" si="13"/>
        <v>0.69025000000000003</v>
      </c>
      <c r="H70" s="53">
        <f t="shared" si="14"/>
        <v>0.69025000000000003</v>
      </c>
      <c r="I70" s="53">
        <f t="shared" si="15"/>
        <v>0.49514285714285711</v>
      </c>
      <c r="J70" s="53"/>
      <c r="K70" s="278">
        <f t="shared" si="8"/>
        <v>3.6694232980995678</v>
      </c>
    </row>
    <row r="71" spans="1:11" x14ac:dyDescent="0.25">
      <c r="A71" s="274">
        <v>0.315</v>
      </c>
      <c r="B71" s="274">
        <f t="shared" si="9"/>
        <v>0.82545000000000002</v>
      </c>
      <c r="C71" s="274">
        <f t="shared" si="1"/>
        <v>0.17954999999999999</v>
      </c>
      <c r="D71" s="53">
        <f t="shared" si="10"/>
        <v>0.26798507462686566</v>
      </c>
      <c r="E71" s="53">
        <f t="shared" si="11"/>
        <v>0.31212499999999999</v>
      </c>
      <c r="F71" s="53">
        <f t="shared" si="12"/>
        <v>0.73201492537313428</v>
      </c>
      <c r="G71" s="53">
        <f t="shared" si="13"/>
        <v>0.68787500000000001</v>
      </c>
      <c r="H71" s="53">
        <f t="shared" si="14"/>
        <v>0.68787500000000001</v>
      </c>
      <c r="I71" s="53">
        <f t="shared" si="15"/>
        <v>0.48699999999999999</v>
      </c>
      <c r="J71" s="53"/>
      <c r="K71" s="278">
        <f t="shared" si="8"/>
        <v>3.611178483844018</v>
      </c>
    </row>
    <row r="72" spans="1:11" x14ac:dyDescent="0.25">
      <c r="A72" s="274">
        <v>0.32</v>
      </c>
      <c r="B72" s="274">
        <f t="shared" si="9"/>
        <v>0.8226</v>
      </c>
      <c r="C72" s="274">
        <f t="shared" si="1"/>
        <v>0.18239999999999998</v>
      </c>
      <c r="D72" s="53">
        <f t="shared" si="10"/>
        <v>0.27223880597014921</v>
      </c>
      <c r="E72" s="53">
        <f t="shared" si="11"/>
        <v>0.3145</v>
      </c>
      <c r="F72" s="53">
        <f t="shared" si="12"/>
        <v>0.72776119402985073</v>
      </c>
      <c r="G72" s="53">
        <f t="shared" si="13"/>
        <v>0.6855</v>
      </c>
      <c r="H72" s="53">
        <f t="shared" si="14"/>
        <v>0.6855</v>
      </c>
      <c r="I72" s="53">
        <f t="shared" si="15"/>
        <v>0.47885714285714287</v>
      </c>
      <c r="J72" s="53"/>
      <c r="K72" s="278">
        <f t="shared" si="8"/>
        <v>3.5547538200339557</v>
      </c>
    </row>
    <row r="73" spans="1:11" x14ac:dyDescent="0.25">
      <c r="A73" s="274">
        <v>0.32500000000000001</v>
      </c>
      <c r="B73" s="274">
        <f t="shared" si="9"/>
        <v>0.81974999999999998</v>
      </c>
      <c r="C73" s="274">
        <f t="shared" ref="C73:C88" si="16">A73*$C$2</f>
        <v>0.18525</v>
      </c>
      <c r="D73" s="53">
        <f t="shared" si="10"/>
        <v>0.27649253731343282</v>
      </c>
      <c r="E73" s="53">
        <f t="shared" si="11"/>
        <v>0.31687500000000002</v>
      </c>
      <c r="F73" s="53">
        <f t="shared" si="12"/>
        <v>0.72350746268656718</v>
      </c>
      <c r="G73" s="53">
        <f t="shared" si="13"/>
        <v>0.68312499999999998</v>
      </c>
      <c r="H73" s="53">
        <f t="shared" si="14"/>
        <v>0.68312499999999998</v>
      </c>
      <c r="I73" s="53">
        <f t="shared" si="15"/>
        <v>0.47071428571428564</v>
      </c>
      <c r="J73" s="53"/>
      <c r="K73" s="278">
        <f t="shared" ref="K73:K89" si="17">IF(C73&gt;0,(B73+C73)/(1.55*C73),"")</f>
        <v>3.5000652997257409</v>
      </c>
    </row>
    <row r="74" spans="1:11" x14ac:dyDescent="0.25">
      <c r="A74" s="274">
        <v>0.33</v>
      </c>
      <c r="B74" s="274">
        <f t="shared" si="9"/>
        <v>0.81690000000000007</v>
      </c>
      <c r="C74" s="274">
        <f t="shared" si="16"/>
        <v>0.18809999999999999</v>
      </c>
      <c r="D74" s="53">
        <f t="shared" si="10"/>
        <v>0.28074626865671637</v>
      </c>
      <c r="E74" s="53">
        <f t="shared" si="11"/>
        <v>0.31924999999999992</v>
      </c>
      <c r="F74" s="53">
        <f t="shared" si="12"/>
        <v>0.71925373134328363</v>
      </c>
      <c r="G74" s="53">
        <f t="shared" si="13"/>
        <v>0.68075000000000008</v>
      </c>
      <c r="H74" s="53">
        <f t="shared" si="14"/>
        <v>0.68075000000000008</v>
      </c>
      <c r="I74" s="53">
        <f t="shared" si="15"/>
        <v>0.46257142857142852</v>
      </c>
      <c r="J74" s="53"/>
      <c r="K74" s="278">
        <f t="shared" si="17"/>
        <v>3.4470340073056547</v>
      </c>
    </row>
    <row r="75" spans="1:11" x14ac:dyDescent="0.25">
      <c r="A75" s="274">
        <v>0.33500000000000002</v>
      </c>
      <c r="B75" s="274">
        <f t="shared" si="9"/>
        <v>0.81405000000000005</v>
      </c>
      <c r="C75" s="274">
        <f t="shared" si="16"/>
        <v>0.19095000000000001</v>
      </c>
      <c r="D75" s="53">
        <f t="shared" si="10"/>
        <v>0.28499999999999998</v>
      </c>
      <c r="E75" s="53">
        <f t="shared" si="11"/>
        <v>0.32162499999999994</v>
      </c>
      <c r="F75" s="53">
        <f t="shared" si="12"/>
        <v>0.71500000000000008</v>
      </c>
      <c r="G75" s="53">
        <f t="shared" si="13"/>
        <v>0.67837500000000006</v>
      </c>
      <c r="H75" s="53">
        <f t="shared" si="14"/>
        <v>0.67837500000000006</v>
      </c>
      <c r="I75" s="53">
        <f t="shared" si="15"/>
        <v>0.4544285714285714</v>
      </c>
      <c r="J75" s="53"/>
      <c r="K75" s="278">
        <f t="shared" si="17"/>
        <v>3.3955857385398982</v>
      </c>
    </row>
    <row r="76" spans="1:11" x14ac:dyDescent="0.25">
      <c r="A76" s="274">
        <v>0.34</v>
      </c>
      <c r="B76" s="274">
        <f t="shared" si="9"/>
        <v>0.81120000000000003</v>
      </c>
      <c r="C76" s="274">
        <f t="shared" si="16"/>
        <v>0.1938</v>
      </c>
      <c r="D76" s="53">
        <f t="shared" si="10"/>
        <v>0.28925373134328358</v>
      </c>
      <c r="E76" s="53">
        <f t="shared" si="11"/>
        <v>0.32399999999999995</v>
      </c>
      <c r="F76" s="53">
        <f t="shared" si="12"/>
        <v>0.71074626865671642</v>
      </c>
      <c r="G76" s="53">
        <f t="shared" si="13"/>
        <v>0.67600000000000005</v>
      </c>
      <c r="H76" s="53">
        <f t="shared" si="14"/>
        <v>0.67600000000000005</v>
      </c>
      <c r="I76" s="53">
        <f t="shared" si="15"/>
        <v>0.44628571428571429</v>
      </c>
      <c r="J76" s="53"/>
      <c r="K76" s="278">
        <f t="shared" si="17"/>
        <v>3.3456506541496061</v>
      </c>
    </row>
    <row r="77" spans="1:11" x14ac:dyDescent="0.25">
      <c r="A77" s="274">
        <v>0.34499999999999997</v>
      </c>
      <c r="B77" s="274">
        <f t="shared" si="9"/>
        <v>0.80835000000000001</v>
      </c>
      <c r="C77" s="274">
        <f t="shared" si="16"/>
        <v>0.19664999999999996</v>
      </c>
      <c r="D77" s="53">
        <f t="shared" si="10"/>
        <v>0.29350746268656708</v>
      </c>
      <c r="E77" s="53">
        <f t="shared" si="11"/>
        <v>0.32637499999999997</v>
      </c>
      <c r="F77" s="53">
        <f t="shared" si="12"/>
        <v>0.70649253731343298</v>
      </c>
      <c r="G77" s="53">
        <f t="shared" si="13"/>
        <v>0.67362500000000003</v>
      </c>
      <c r="H77" s="53">
        <f t="shared" si="14"/>
        <v>0.67362500000000003</v>
      </c>
      <c r="I77" s="53">
        <f t="shared" si="15"/>
        <v>0.43814285714285717</v>
      </c>
      <c r="J77" s="53"/>
      <c r="K77" s="278">
        <f t="shared" si="17"/>
        <v>3.2971629635097561</v>
      </c>
    </row>
    <row r="78" spans="1:11" x14ac:dyDescent="0.25">
      <c r="A78" s="274">
        <v>0.35</v>
      </c>
      <c r="B78" s="274">
        <f t="shared" si="9"/>
        <v>0.80549999999999999</v>
      </c>
      <c r="C78" s="274">
        <f t="shared" si="16"/>
        <v>0.19949999999999998</v>
      </c>
      <c r="D78" s="53">
        <f t="shared" si="10"/>
        <v>0.29776119402985068</v>
      </c>
      <c r="E78" s="53">
        <f t="shared" si="11"/>
        <v>0.32874999999999999</v>
      </c>
      <c r="F78" s="53">
        <f t="shared" si="12"/>
        <v>0.70223880597014932</v>
      </c>
      <c r="G78" s="53">
        <f t="shared" si="13"/>
        <v>0.67125000000000001</v>
      </c>
      <c r="H78" s="53">
        <f t="shared" si="14"/>
        <v>0.67125000000000001</v>
      </c>
      <c r="I78" s="53">
        <f t="shared" si="15"/>
        <v>0.43000000000000005</v>
      </c>
      <c r="J78" s="53"/>
      <c r="K78" s="278">
        <f t="shared" si="17"/>
        <v>3.2500606354596169</v>
      </c>
    </row>
    <row r="79" spans="1:11" x14ac:dyDescent="0.25">
      <c r="A79" s="274">
        <v>0.35499999999999998</v>
      </c>
      <c r="B79" s="274">
        <f t="shared" si="9"/>
        <v>0.80264999999999997</v>
      </c>
      <c r="C79" s="274">
        <f t="shared" si="16"/>
        <v>0.20234999999999997</v>
      </c>
      <c r="D79" s="53">
        <f t="shared" si="10"/>
        <v>0.30201492537313429</v>
      </c>
      <c r="E79" s="53">
        <f t="shared" si="11"/>
        <v>0.331125</v>
      </c>
      <c r="F79" s="53">
        <f t="shared" si="12"/>
        <v>0.69798507462686565</v>
      </c>
      <c r="G79" s="53">
        <f t="shared" si="13"/>
        <v>0.668875</v>
      </c>
      <c r="H79" s="53">
        <f t="shared" si="14"/>
        <v>0.668875</v>
      </c>
      <c r="I79" s="53">
        <f t="shared" si="15"/>
        <v>0.42185714285714293</v>
      </c>
      <c r="J79" s="53"/>
      <c r="K79" s="278">
        <f t="shared" si="17"/>
        <v>3.2042851335517346</v>
      </c>
    </row>
    <row r="80" spans="1:11" x14ac:dyDescent="0.25">
      <c r="A80" s="274">
        <v>0.36</v>
      </c>
      <c r="B80" s="274">
        <f t="shared" si="9"/>
        <v>0.79980000000000007</v>
      </c>
      <c r="C80" s="274">
        <f t="shared" si="16"/>
        <v>0.20519999999999997</v>
      </c>
      <c r="D80" s="53">
        <f t="shared" si="10"/>
        <v>0.30626865671641784</v>
      </c>
      <c r="E80" s="53">
        <f t="shared" si="11"/>
        <v>0.33349999999999991</v>
      </c>
      <c r="F80" s="53">
        <f t="shared" si="12"/>
        <v>0.6937313432835821</v>
      </c>
      <c r="G80" s="53">
        <f t="shared" si="13"/>
        <v>0.66650000000000009</v>
      </c>
      <c r="H80" s="53">
        <f t="shared" si="14"/>
        <v>0.66650000000000009</v>
      </c>
      <c r="I80" s="53">
        <f t="shared" si="15"/>
        <v>0.41371428571428581</v>
      </c>
      <c r="J80" s="53"/>
      <c r="K80" s="278">
        <f t="shared" si="17"/>
        <v>3.159781173363517</v>
      </c>
    </row>
    <row r="81" spans="1:11" x14ac:dyDescent="0.25">
      <c r="A81" s="274">
        <v>0.36499999999999999</v>
      </c>
      <c r="B81" s="274">
        <f t="shared" si="9"/>
        <v>0.79695000000000005</v>
      </c>
      <c r="C81" s="274">
        <f t="shared" si="16"/>
        <v>0.20804999999999998</v>
      </c>
      <c r="D81" s="53">
        <f t="shared" si="10"/>
        <v>0.31052238805970145</v>
      </c>
      <c r="E81" s="53">
        <f t="shared" si="11"/>
        <v>0.33587499999999992</v>
      </c>
      <c r="F81" s="53">
        <f t="shared" si="12"/>
        <v>0.68947761194029855</v>
      </c>
      <c r="G81" s="53">
        <f t="shared" si="13"/>
        <v>0.66412500000000008</v>
      </c>
      <c r="H81" s="53">
        <f t="shared" si="14"/>
        <v>0.66412500000000008</v>
      </c>
      <c r="I81" s="53">
        <f t="shared" si="15"/>
        <v>0.40557142857142858</v>
      </c>
      <c r="J81" s="53"/>
      <c r="K81" s="278">
        <f t="shared" si="17"/>
        <v>3.1164964997557973</v>
      </c>
    </row>
    <row r="82" spans="1:11" x14ac:dyDescent="0.25">
      <c r="A82" s="274">
        <v>0.37</v>
      </c>
      <c r="B82" s="274">
        <f t="shared" si="9"/>
        <v>0.79410000000000003</v>
      </c>
      <c r="C82" s="274">
        <f t="shared" si="16"/>
        <v>0.21089999999999998</v>
      </c>
      <c r="D82" s="53">
        <f t="shared" si="10"/>
        <v>0.314776119402985</v>
      </c>
      <c r="E82" s="53">
        <f t="shared" si="11"/>
        <v>0.33824999999999994</v>
      </c>
      <c r="F82" s="53">
        <f t="shared" si="12"/>
        <v>0.685223880597015</v>
      </c>
      <c r="G82" s="53">
        <f t="shared" si="13"/>
        <v>0.66175000000000006</v>
      </c>
      <c r="H82" s="53">
        <f t="shared" si="14"/>
        <v>0.66175000000000006</v>
      </c>
      <c r="I82" s="53">
        <f t="shared" si="15"/>
        <v>0.39742857142857146</v>
      </c>
      <c r="J82" s="53"/>
      <c r="K82" s="278">
        <f t="shared" si="17"/>
        <v>3.0743816821915293</v>
      </c>
    </row>
    <row r="83" spans="1:11" x14ac:dyDescent="0.25">
      <c r="A83" s="274">
        <v>0.375</v>
      </c>
      <c r="B83" s="274">
        <f t="shared" si="9"/>
        <v>0.79125000000000001</v>
      </c>
      <c r="C83" s="274">
        <f t="shared" si="16"/>
        <v>0.21375</v>
      </c>
      <c r="D83" s="53">
        <f t="shared" si="10"/>
        <v>0.31902985074626861</v>
      </c>
      <c r="E83" s="53">
        <f t="shared" si="11"/>
        <v>0.34062499999999996</v>
      </c>
      <c r="F83" s="53">
        <f t="shared" si="12"/>
        <v>0.68097014925373145</v>
      </c>
      <c r="G83" s="53">
        <f t="shared" si="13"/>
        <v>0.65937500000000004</v>
      </c>
      <c r="H83" s="53">
        <f t="shared" si="14"/>
        <v>0.65937500000000004</v>
      </c>
      <c r="I83" s="53">
        <f t="shared" si="15"/>
        <v>0.38928571428571423</v>
      </c>
      <c r="J83" s="53"/>
      <c r="K83" s="278">
        <f t="shared" si="17"/>
        <v>3.0333899264289754</v>
      </c>
    </row>
    <row r="84" spans="1:11" x14ac:dyDescent="0.25">
      <c r="A84" s="274">
        <v>0.38</v>
      </c>
      <c r="B84" s="274">
        <f t="shared" si="9"/>
        <v>0.78839999999999999</v>
      </c>
      <c r="C84" s="274">
        <f t="shared" si="16"/>
        <v>0.21659999999999999</v>
      </c>
      <c r="D84" s="53">
        <f t="shared" si="10"/>
        <v>0.32328358208955221</v>
      </c>
      <c r="E84" s="53">
        <f t="shared" si="11"/>
        <v>0.34299999999999997</v>
      </c>
      <c r="F84" s="53">
        <f t="shared" si="12"/>
        <v>0.67671641791044779</v>
      </c>
      <c r="G84" s="53">
        <f t="shared" si="13"/>
        <v>0.65700000000000003</v>
      </c>
      <c r="H84" s="53">
        <f t="shared" si="14"/>
        <v>0.65700000000000003</v>
      </c>
      <c r="I84" s="53">
        <f t="shared" si="15"/>
        <v>0.38114285714285712</v>
      </c>
      <c r="J84" s="53"/>
      <c r="K84" s="278">
        <f t="shared" si="17"/>
        <v>2.9934769010812259</v>
      </c>
    </row>
    <row r="85" spans="1:11" x14ac:dyDescent="0.25">
      <c r="A85" s="274">
        <v>0.38500000000000001</v>
      </c>
      <c r="B85" s="274">
        <f t="shared" si="9"/>
        <v>0.78555000000000008</v>
      </c>
      <c r="C85" s="274">
        <f t="shared" si="16"/>
        <v>0.21944999999999998</v>
      </c>
      <c r="D85" s="53">
        <f t="shared" si="10"/>
        <v>0.32753731343283576</v>
      </c>
      <c r="E85" s="53">
        <f t="shared" si="11"/>
        <v>0.34537499999999988</v>
      </c>
      <c r="F85" s="53">
        <f t="shared" si="12"/>
        <v>0.67246268656716424</v>
      </c>
      <c r="G85" s="53">
        <f t="shared" si="13"/>
        <v>0.65462500000000012</v>
      </c>
      <c r="H85" s="53">
        <f t="shared" si="14"/>
        <v>0.65462500000000012</v>
      </c>
      <c r="I85" s="53">
        <f t="shared" si="15"/>
        <v>0.373</v>
      </c>
      <c r="J85" s="53"/>
      <c r="K85" s="278">
        <f t="shared" si="17"/>
        <v>2.9546005776905613</v>
      </c>
    </row>
    <row r="86" spans="1:11" x14ac:dyDescent="0.25">
      <c r="A86" s="274">
        <v>0.39</v>
      </c>
      <c r="B86" s="274">
        <f t="shared" si="9"/>
        <v>0.78270000000000006</v>
      </c>
      <c r="C86" s="274">
        <f t="shared" si="16"/>
        <v>0.2223</v>
      </c>
      <c r="D86" s="53">
        <f t="shared" si="10"/>
        <v>0.33179104477611937</v>
      </c>
      <c r="E86" s="53">
        <f t="shared" si="11"/>
        <v>0.34774999999999989</v>
      </c>
      <c r="F86" s="53">
        <f t="shared" si="12"/>
        <v>0.66820895522388057</v>
      </c>
      <c r="G86" s="53">
        <f t="shared" si="13"/>
        <v>0.65225000000000011</v>
      </c>
      <c r="H86" s="53">
        <f t="shared" si="14"/>
        <v>0.65225000000000011</v>
      </c>
      <c r="I86" s="53">
        <f t="shared" si="15"/>
        <v>0.36485714285714277</v>
      </c>
      <c r="J86" s="53"/>
      <c r="K86" s="278">
        <f t="shared" si="17"/>
        <v>2.9167210831047847</v>
      </c>
    </row>
    <row r="87" spans="1:11" x14ac:dyDescent="0.25">
      <c r="A87" s="274">
        <v>0.39500000000000002</v>
      </c>
      <c r="B87" s="274">
        <f t="shared" si="9"/>
        <v>0.77985000000000004</v>
      </c>
      <c r="C87" s="274">
        <f t="shared" si="16"/>
        <v>0.22514999999999999</v>
      </c>
      <c r="D87" s="53">
        <f t="shared" si="10"/>
        <v>0.33604477611940292</v>
      </c>
      <c r="E87" s="53">
        <f t="shared" si="11"/>
        <v>0.35012499999999991</v>
      </c>
      <c r="F87" s="53">
        <f t="shared" si="12"/>
        <v>0.66395522388059702</v>
      </c>
      <c r="G87" s="53">
        <f t="shared" si="13"/>
        <v>0.64987500000000009</v>
      </c>
      <c r="H87" s="53">
        <f t="shared" si="14"/>
        <v>0.64987500000000009</v>
      </c>
      <c r="I87" s="53">
        <f t="shared" si="15"/>
        <v>0.35671428571428565</v>
      </c>
      <c r="J87" s="53"/>
      <c r="K87" s="278">
        <f t="shared" si="17"/>
        <v>2.8798005630654839</v>
      </c>
    </row>
    <row r="88" spans="1:11" x14ac:dyDescent="0.25">
      <c r="A88" s="274">
        <v>0.4</v>
      </c>
      <c r="B88" s="274">
        <f t="shared" si="9"/>
        <v>0.77700000000000002</v>
      </c>
      <c r="C88" s="274">
        <f t="shared" si="16"/>
        <v>0.22799999999999998</v>
      </c>
      <c r="D88" s="53">
        <f t="shared" si="10"/>
        <v>0.34029850746268653</v>
      </c>
      <c r="E88" s="53">
        <f t="shared" si="11"/>
        <v>0.35249999999999992</v>
      </c>
      <c r="F88" s="53">
        <f t="shared" si="12"/>
        <v>0.65970149253731347</v>
      </c>
      <c r="G88" s="53">
        <f t="shared" si="13"/>
        <v>0.64750000000000008</v>
      </c>
      <c r="H88" s="53">
        <f t="shared" si="14"/>
        <v>0.64750000000000008</v>
      </c>
      <c r="I88" s="53">
        <f t="shared" si="15"/>
        <v>0.34857142857142853</v>
      </c>
      <c r="J88" s="53"/>
      <c r="K88" s="278">
        <f t="shared" si="17"/>
        <v>2.8438030560271645</v>
      </c>
    </row>
    <row r="89" spans="1:11" x14ac:dyDescent="0.25">
      <c r="K89" s="278" t="str">
        <f t="shared" si="17"/>
        <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CBA60-1906-4E68-B531-63728640FE85}">
  <sheetPr codeName="Sheet9"/>
  <dimension ref="A1:AM59"/>
  <sheetViews>
    <sheetView zoomScale="70" zoomScaleNormal="70" workbookViewId="0">
      <selection activeCell="B3" sqref="B3"/>
    </sheetView>
  </sheetViews>
  <sheetFormatPr defaultRowHeight="15" x14ac:dyDescent="0.25"/>
  <cols>
    <col min="2" max="2" width="12.5703125" style="280" bestFit="1" customWidth="1"/>
    <col min="3" max="3" width="17.28515625" style="280" bestFit="1" customWidth="1"/>
    <col min="4" max="4" width="10.140625" style="280" bestFit="1" customWidth="1"/>
    <col min="5" max="5" width="12" style="280" customWidth="1"/>
    <col min="6" max="6" width="15.85546875" style="280" customWidth="1"/>
    <col min="7" max="7" width="12.5703125" style="280" bestFit="1" customWidth="1"/>
    <col min="8" max="9" width="14.5703125" style="280" bestFit="1" customWidth="1"/>
    <col min="10" max="10" width="8.5703125" style="280" bestFit="1" customWidth="1"/>
    <col min="11" max="11" width="11" style="280" bestFit="1" customWidth="1"/>
    <col min="12" max="12" width="13.28515625" style="280" customWidth="1"/>
    <col min="13" max="13" width="14.5703125" style="280" customWidth="1"/>
    <col min="14" max="14" width="15" style="280" customWidth="1"/>
    <col min="15" max="15" width="17" style="280" customWidth="1"/>
    <col min="16" max="16" width="12.42578125" style="280" bestFit="1" customWidth="1"/>
    <col min="18" max="18" width="11.42578125" bestFit="1" customWidth="1"/>
    <col min="19" max="19" width="16.7109375" bestFit="1" customWidth="1"/>
    <col min="21" max="21" width="10.140625" bestFit="1" customWidth="1"/>
  </cols>
  <sheetData>
    <row r="1" spans="1:26" x14ac:dyDescent="0.25">
      <c r="A1" t="s">
        <v>299</v>
      </c>
      <c r="E1" s="280">
        <f>COUNTA(E4:E30)</f>
        <v>2</v>
      </c>
      <c r="R1" s="279" t="s">
        <v>293</v>
      </c>
      <c r="S1" t="s">
        <v>295</v>
      </c>
      <c r="T1" s="281" t="s">
        <v>294</v>
      </c>
    </row>
    <row r="2" spans="1:26" x14ac:dyDescent="0.25">
      <c r="B2" s="334" t="s">
        <v>287</v>
      </c>
      <c r="C2" s="334" t="s">
        <v>290</v>
      </c>
      <c r="J2" s="334" t="s">
        <v>291</v>
      </c>
      <c r="O2" s="346" t="s">
        <v>402</v>
      </c>
      <c r="S2" t="s">
        <v>296</v>
      </c>
      <c r="T2" s="281" t="s">
        <v>297</v>
      </c>
    </row>
    <row r="3" spans="1:26" x14ac:dyDescent="0.25">
      <c r="B3" s="335" t="s">
        <v>292</v>
      </c>
      <c r="C3" s="336" t="str" cm="1">
        <f t="array" ref="C3:H3">TRANSPOSE(B4:B9)&amp;"2"</f>
        <v>Control2</v>
      </c>
      <c r="D3" s="336" t="str">
        <v>Plant2</v>
      </c>
      <c r="E3" s="336" t="str">
        <v>Storage2</v>
      </c>
      <c r="F3" s="336" t="str">
        <v>Prognoses2</v>
      </c>
      <c r="G3" s="336" t="str">
        <v>Fuel2</v>
      </c>
      <c r="H3" s="336" t="str">
        <v>FuelBounds2</v>
      </c>
      <c r="I3" s="336"/>
      <c r="J3" s="337" t="str" cm="1">
        <f t="array" ref="J3:O3">TRANSPOSE(B4:B9)&amp;"3"</f>
        <v>Control3</v>
      </c>
      <c r="K3" s="337" t="str">
        <v>Plant3</v>
      </c>
      <c r="L3" s="337" t="str">
        <v>Storage3</v>
      </c>
      <c r="M3" s="337" t="str">
        <v>Prognoses3</v>
      </c>
      <c r="N3" s="337" t="str">
        <v>Fuel3</v>
      </c>
      <c r="O3" s="337" t="str">
        <v>FuelBounds3</v>
      </c>
      <c r="P3" s="337"/>
    </row>
    <row r="4" spans="1:26" x14ac:dyDescent="0.25">
      <c r="B4" s="280" t="s">
        <v>366</v>
      </c>
      <c r="C4" s="280" t="str" cm="1">
        <f t="array" ref="C4:C15">_xlfn.LET(_xlpm.ran,listDataCtrl,_xlfn._xlws.FILTER(_xlpm.ran,(LEN(_xlpm.ran)&gt;0)))</f>
        <v>RunScenarios</v>
      </c>
      <c r="D4" s="280" t="str" cm="1">
        <f t="array" ref="D4:D9">listUnitsName</f>
        <v>Ovn2</v>
      </c>
      <c r="E4" s="280" t="str" cm="1">
        <f t="array" ref="E4:E5">_xlfn._xlws.FILTER(listStorageName,LEN(listStorageName)&gt;0)</f>
        <v>sto1</v>
      </c>
      <c r="F4" s="280" t="str" cm="1">
        <f t="array" ref="F4:F28">_xlfn.LET(_xlpm.ran,TRANSPOSE(listPrognosisAttr),_xlpm.ran)</f>
        <v>Aktiv</v>
      </c>
      <c r="G4" s="280" t="str" cm="1">
        <f t="array" ref="G4:G32">listFuelName</f>
        <v>DepoSort</v>
      </c>
      <c r="H4" s="280" t="str" cm="1">
        <f t="array" ref="H4:H32">listFuelName</f>
        <v>DepoSort</v>
      </c>
      <c r="J4" s="280" t="s">
        <v>370</v>
      </c>
      <c r="K4" s="280" t="str" cm="1">
        <f t="array" ref="K4:K17">_xlfn.LET(_xlpm.ran,TRANSPOSE(listUnitAttr),_xlpm.ran)</f>
        <v>Aktiv</v>
      </c>
      <c r="L4" s="280" t="str" cm="1">
        <f t="array" ref="L4:L15">TRANSPOSE(listStorageAttr)</f>
        <v>Aktiv</v>
      </c>
      <c r="M4" s="280" t="s">
        <v>370</v>
      </c>
      <c r="N4" s="280" t="str" cm="1">
        <f t="array" ref="N4:N20">_xlfn.LET(_xlpm.ran,TRANSPOSE(listFuelAttr),_xlpm.ran)</f>
        <v>Aktiv</v>
      </c>
      <c r="O4" s="280" t="s">
        <v>242</v>
      </c>
      <c r="R4" s="1" t="s">
        <v>287</v>
      </c>
      <c r="S4" s="1" t="s">
        <v>290</v>
      </c>
      <c r="T4" s="1" t="s">
        <v>291</v>
      </c>
      <c r="U4" s="1" t="s">
        <v>298</v>
      </c>
      <c r="V4" s="21" t="s">
        <v>300</v>
      </c>
    </row>
    <row r="5" spans="1:26" x14ac:dyDescent="0.25">
      <c r="B5" s="280" t="s">
        <v>368</v>
      </c>
      <c r="C5" s="280" t="str">
        <v>IncludeGSF</v>
      </c>
      <c r="D5" s="280" t="str">
        <v>Ovn3</v>
      </c>
      <c r="E5" s="280" t="str">
        <v>sto2</v>
      </c>
      <c r="F5" s="280" t="str">
        <v>Ndage</v>
      </c>
      <c r="G5" s="280" t="str">
        <v>DepoSmaat</v>
      </c>
      <c r="H5" s="280" t="str">
        <v>DepoSmaat</v>
      </c>
      <c r="K5" s="280" t="str">
        <v>Ukind</v>
      </c>
      <c r="L5" s="280" t="str">
        <v>StoKind</v>
      </c>
      <c r="N5" s="280" t="str">
        <v>Fkind</v>
      </c>
      <c r="O5" s="280" t="s">
        <v>243</v>
      </c>
      <c r="R5" t="s">
        <v>368</v>
      </c>
      <c r="S5" t="s">
        <v>78</v>
      </c>
      <c r="T5" t="s">
        <v>184</v>
      </c>
      <c r="U5" s="282">
        <v>44197</v>
      </c>
      <c r="V5" s="283"/>
      <c r="X5" t="str" cm="1">
        <f t="array" aca="1" ref="X5:X15" ca="1">_xlfn.LET(_xlpm.a,MATCH($R5&amp;"2",listHeaders,0)-1,_xlpm.b,OFFSET($B$3,1,_xlpm.a,40,1),OFFSET($B$3,1,_xlpm.a,COUNTA(_xlpm.b)-COUNTIF(_xlpm.b,"=0"),1))</f>
        <v>Ovn2</v>
      </c>
      <c r="Z5" t="str" cm="1">
        <f t="array" aca="1" ref="Z5:Z24" ca="1">OFFSET($B$3,1,3,20,1)</f>
        <v>sto1</v>
      </c>
    </row>
    <row r="6" spans="1:26" x14ac:dyDescent="0.25">
      <c r="B6" s="280" t="s">
        <v>369</v>
      </c>
      <c r="C6" s="280" t="str">
        <v>VirtuelVarme</v>
      </c>
      <c r="D6" s="280" t="str">
        <v>FlisK</v>
      </c>
      <c r="F6" s="280" t="str">
        <v>Ovn2</v>
      </c>
      <c r="G6" s="280" t="str">
        <v>DepoNedd</v>
      </c>
      <c r="H6" s="280" t="str">
        <v>DepoNedd</v>
      </c>
      <c r="K6" s="280" t="str">
        <v>Prioritet</v>
      </c>
      <c r="L6" s="280" t="str">
        <v>LoadInit</v>
      </c>
      <c r="N6" s="280" t="str">
        <v>Lagerbar</v>
      </c>
      <c r="O6" s="280" t="s">
        <v>254</v>
      </c>
      <c r="R6" t="s">
        <v>368</v>
      </c>
      <c r="S6" t="s">
        <v>78</v>
      </c>
      <c r="T6" t="s">
        <v>184</v>
      </c>
      <c r="U6" s="282">
        <v>44531</v>
      </c>
      <c r="V6" s="283"/>
      <c r="X6" t="str">
        <f ca="1"/>
        <v>Ovn3</v>
      </c>
      <c r="Z6" t="str">
        <f ca="1"/>
        <v>sto2</v>
      </c>
    </row>
    <row r="7" spans="1:26" x14ac:dyDescent="0.25">
      <c r="B7" s="280" t="s">
        <v>328</v>
      </c>
      <c r="C7" s="280" t="str">
        <v>VirtuelAffald</v>
      </c>
      <c r="D7" s="280" t="str">
        <v>NS</v>
      </c>
      <c r="F7" s="280" t="str">
        <v>Ovn3</v>
      </c>
      <c r="G7" s="280" t="str">
        <v>Dagren</v>
      </c>
      <c r="H7" s="280" t="str">
        <v>Dagren</v>
      </c>
      <c r="K7" s="280" t="str">
        <v>MinLhv</v>
      </c>
      <c r="L7" s="280" t="str">
        <v>LoadMin</v>
      </c>
      <c r="N7" s="280" t="str">
        <v>Fri</v>
      </c>
      <c r="O7" s="280" t="s">
        <v>255</v>
      </c>
      <c r="R7" t="s">
        <v>368</v>
      </c>
      <c r="S7" t="s">
        <v>77</v>
      </c>
      <c r="T7" t="s">
        <v>184</v>
      </c>
      <c r="U7" s="282">
        <v>44531</v>
      </c>
      <c r="V7" s="283"/>
      <c r="X7" t="str">
        <f ca="1"/>
        <v>FlisK</v>
      </c>
      <c r="Z7">
        <f ca="1"/>
        <v>0</v>
      </c>
    </row>
    <row r="8" spans="1:26" x14ac:dyDescent="0.25">
      <c r="B8" s="280" t="s">
        <v>367</v>
      </c>
      <c r="C8" s="280" t="str">
        <v>Skorstensmetode</v>
      </c>
      <c r="D8" s="280" t="str">
        <v>Cooler</v>
      </c>
      <c r="F8" s="280" t="str">
        <v>FlisK</v>
      </c>
      <c r="G8" s="280" t="str">
        <v>AndetBrand</v>
      </c>
      <c r="H8" s="280" t="str">
        <v>AndetBrand</v>
      </c>
      <c r="K8" s="280" t="str">
        <v>MaxLhv</v>
      </c>
      <c r="L8" s="280" t="str">
        <v>LoadMax</v>
      </c>
      <c r="N8" s="280" t="str">
        <v>Flex</v>
      </c>
      <c r="O8" s="280" t="s">
        <v>256</v>
      </c>
      <c r="R8" t="s">
        <v>368</v>
      </c>
      <c r="U8" s="282">
        <v>44197</v>
      </c>
      <c r="V8" s="283"/>
      <c r="X8" t="str">
        <f ca="1"/>
        <v>NS</v>
      </c>
      <c r="Z8">
        <f ca="1"/>
        <v>0</v>
      </c>
    </row>
    <row r="9" spans="1:26" x14ac:dyDescent="0.25">
      <c r="B9" s="358" t="s">
        <v>289</v>
      </c>
      <c r="C9" s="280" t="str">
        <v>FixAffald2021</v>
      </c>
      <c r="D9" s="280" t="str">
        <v>PeakK</v>
      </c>
      <c r="F9" s="280" t="str">
        <v>NS</v>
      </c>
      <c r="G9" s="280" t="str">
        <v>Trae</v>
      </c>
      <c r="H9" s="280" t="str">
        <v>Trae</v>
      </c>
      <c r="K9" s="280" t="str">
        <v>MinTon</v>
      </c>
      <c r="L9" s="280" t="str">
        <v>DLoadMax</v>
      </c>
      <c r="N9" s="280" t="str">
        <v>Bortskaf</v>
      </c>
      <c r="O9" s="280" t="s">
        <v>393</v>
      </c>
      <c r="R9" t="s">
        <v>369</v>
      </c>
      <c r="S9" t="s">
        <v>225</v>
      </c>
      <c r="U9" s="282">
        <v>44682</v>
      </c>
      <c r="V9" s="283"/>
      <c r="W9" t="b" cm="1">
        <f t="array" aca="1" ref="W9:W14" ca="1">Lister!$A$5=_xlfn.LET(_xlpm.a,MATCH(Lister!$R9&amp;"2",listHeaders,0)-1,_xlpm.b,OFFSET(Lister!$B$3,1,_xlpm.a,40,1),OFFSET(Lister!$B$3,1,_xlpm.a,COUNTA(_xlpm.b)-COUNTIF(_xlpm.b,"=0"),1))</f>
        <v>0</v>
      </c>
      <c r="X9" t="str">
        <f ca="1"/>
        <v>Cooler</v>
      </c>
      <c r="Z9">
        <f ca="1"/>
        <v>0</v>
      </c>
    </row>
    <row r="10" spans="1:26" x14ac:dyDescent="0.25">
      <c r="C10" s="280" t="str">
        <v>FixAffaldSum</v>
      </c>
      <c r="F10" s="280" t="str">
        <v>Cooler</v>
      </c>
      <c r="G10" s="280" t="str">
        <v>DagrenRast</v>
      </c>
      <c r="H10" s="280" t="str">
        <v>DagrenRast</v>
      </c>
      <c r="K10" s="280" t="str">
        <v>MaxTon</v>
      </c>
      <c r="L10" s="280" t="str">
        <v>LossRate</v>
      </c>
      <c r="N10" s="280" t="str">
        <v>TilOvn2</v>
      </c>
      <c r="O10" s="280" t="s">
        <v>259</v>
      </c>
      <c r="R10" t="s">
        <v>368</v>
      </c>
      <c r="S10" t="s">
        <v>77</v>
      </c>
      <c r="U10" s="282">
        <v>47665</v>
      </c>
      <c r="V10" s="283"/>
      <c r="W10" t="b">
        <f ca="1"/>
        <v>0</v>
      </c>
      <c r="X10" t="str">
        <f ca="1"/>
        <v>PeakK</v>
      </c>
      <c r="Z10">
        <f ca="1"/>
        <v>0</v>
      </c>
    </row>
    <row r="11" spans="1:26" x14ac:dyDescent="0.25">
      <c r="C11" s="280" t="str">
        <v>DeltaTonAktiv</v>
      </c>
      <c r="F11" s="280" t="str">
        <v>PeakK</v>
      </c>
      <c r="G11" s="280" t="str">
        <v>DagrenInst</v>
      </c>
      <c r="H11" s="280" t="str">
        <v>DagrenInst</v>
      </c>
      <c r="K11" s="280" t="str">
        <v>KapQNom</v>
      </c>
      <c r="L11" s="280" t="str">
        <v>LoadCost</v>
      </c>
      <c r="N11" s="280" t="str">
        <v>TilOvn3</v>
      </c>
      <c r="R11" t="s">
        <v>368</v>
      </c>
      <c r="U11" s="282"/>
      <c r="V11" s="283"/>
      <c r="W11" t="b">
        <f ca="1"/>
        <v>1</v>
      </c>
      <c r="X11">
        <f ca="1"/>
        <v>0</v>
      </c>
      <c r="Z11">
        <f ca="1"/>
        <v>0</v>
      </c>
    </row>
    <row r="12" spans="1:26" x14ac:dyDescent="0.25">
      <c r="C12" s="280" t="str">
        <v>RgkRabatSats</v>
      </c>
      <c r="F12" s="280" t="str">
        <v>Turbine</v>
      </c>
      <c r="G12" s="280" t="str">
        <v>DagrenHandel</v>
      </c>
      <c r="H12" s="280" t="str">
        <v>DagrenHandel</v>
      </c>
      <c r="K12" s="280" t="str">
        <v>KapRgk</v>
      </c>
      <c r="L12" s="280" t="str">
        <v>DLoadCost</v>
      </c>
      <c r="N12" s="280" t="str">
        <v>DeltaTon</v>
      </c>
      <c r="R12" t="s">
        <v>368</v>
      </c>
      <c r="S12" t="s">
        <v>246</v>
      </c>
      <c r="U12" s="282"/>
      <c r="V12" s="283"/>
      <c r="W12" t="b">
        <f ca="1"/>
        <v>1</v>
      </c>
      <c r="X12">
        <f ca="1"/>
        <v>0</v>
      </c>
      <c r="Z12">
        <f ca="1"/>
        <v>0</v>
      </c>
    </row>
    <row r="13" spans="1:26" x14ac:dyDescent="0.25">
      <c r="C13" s="280" t="str">
        <v>RgkAndelRabat</v>
      </c>
      <c r="F13" s="280" t="str">
        <v>Varmebehov</v>
      </c>
      <c r="G13" s="280" t="str">
        <v>DagrenRestau</v>
      </c>
      <c r="H13" s="280" t="str">
        <v>DagrenRestau</v>
      </c>
      <c r="K13" s="280" t="str">
        <v>KapE</v>
      </c>
      <c r="L13" s="280" t="str">
        <v>ResetFirst</v>
      </c>
      <c r="N13" s="280" t="str">
        <v>MinTonnage</v>
      </c>
      <c r="R13" t="s">
        <v>368</v>
      </c>
      <c r="S13" t="s">
        <v>246</v>
      </c>
      <c r="U13" s="282"/>
      <c r="V13" s="283"/>
      <c r="W13" t="b">
        <f ca="1"/>
        <v>1</v>
      </c>
      <c r="X13">
        <f ca="1"/>
        <v>0</v>
      </c>
      <c r="Z13">
        <f ca="1"/>
        <v>0</v>
      </c>
    </row>
    <row r="14" spans="1:26" x14ac:dyDescent="0.25">
      <c r="C14" s="280" t="str">
        <v>Varmesalgspris</v>
      </c>
      <c r="F14" s="280" t="str">
        <v>NSprod</v>
      </c>
      <c r="G14" s="280" t="str">
        <v>Erhverv</v>
      </c>
      <c r="H14" s="280" t="str">
        <v>Erhverv</v>
      </c>
      <c r="K14" s="280" t="str">
        <v>EtaE</v>
      </c>
      <c r="L14" s="280" t="str">
        <v>ResetIntv</v>
      </c>
      <c r="N14" s="280" t="str">
        <v>MaxTonnage</v>
      </c>
      <c r="R14" t="s">
        <v>368</v>
      </c>
      <c r="U14" s="282"/>
      <c r="V14" s="283"/>
      <c r="W14" t="b">
        <f ca="1"/>
        <v>1</v>
      </c>
      <c r="X14">
        <f ca="1"/>
        <v>0</v>
      </c>
      <c r="Z14">
        <f ca="1"/>
        <v>0</v>
      </c>
    </row>
    <row r="15" spans="1:26" x14ac:dyDescent="0.25">
      <c r="C15" s="280" t="str">
        <v>EgetforbrugKVV</v>
      </c>
      <c r="F15" s="280" t="str">
        <v>ELprod</v>
      </c>
      <c r="G15" s="280" t="str">
        <v>DagrenErhverv</v>
      </c>
      <c r="H15" s="280" t="str">
        <v>DagrenErhverv</v>
      </c>
      <c r="K15" s="280" t="str">
        <v>EtaQ</v>
      </c>
      <c r="L15" s="280" t="str">
        <v>ResetLast</v>
      </c>
      <c r="N15" s="280" t="str">
        <v>InitSto1</v>
      </c>
      <c r="R15" t="s">
        <v>368</v>
      </c>
      <c r="U15" s="282"/>
      <c r="V15" s="283"/>
      <c r="X15">
        <f ca="1"/>
        <v>0</v>
      </c>
      <c r="Z15">
        <f ca="1"/>
        <v>0</v>
      </c>
    </row>
    <row r="16" spans="1:26" x14ac:dyDescent="0.25">
      <c r="F16" s="280" t="str">
        <v>Bypass</v>
      </c>
      <c r="G16" s="280" t="str">
        <v>HandelKontor</v>
      </c>
      <c r="H16" s="280" t="str">
        <v>HandelKontor</v>
      </c>
      <c r="K16" s="280" t="str">
        <v>DVMWhq</v>
      </c>
      <c r="N16" s="280" t="str">
        <v>InitSto2</v>
      </c>
      <c r="R16" t="s">
        <v>368</v>
      </c>
      <c r="U16" s="282"/>
      <c r="V16" s="283"/>
      <c r="Z16">
        <f ca="1"/>
        <v>0</v>
      </c>
    </row>
    <row r="17" spans="2:26" x14ac:dyDescent="0.25">
      <c r="F17" s="280" t="str">
        <v>Elpris</v>
      </c>
      <c r="G17" s="280" t="str">
        <v>Privat</v>
      </c>
      <c r="H17" s="280" t="str">
        <v>Privat</v>
      </c>
      <c r="K17" s="280" t="str">
        <v>DVtime</v>
      </c>
      <c r="N17" s="280" t="str">
        <v>Pris</v>
      </c>
      <c r="U17" s="282"/>
      <c r="V17" s="283"/>
      <c r="Z17">
        <f ca="1"/>
        <v>0</v>
      </c>
    </row>
    <row r="18" spans="2:26" x14ac:dyDescent="0.25">
      <c r="F18" s="280" t="str">
        <v>ETS</v>
      </c>
      <c r="G18" s="280" t="str">
        <v>TyskRest</v>
      </c>
      <c r="H18" s="280" t="str">
        <v>TyskRest</v>
      </c>
      <c r="N18" s="280" t="str">
        <v>LHV</v>
      </c>
      <c r="U18" s="282"/>
      <c r="V18" s="283"/>
      <c r="Z18">
        <f ca="1"/>
        <v>0</v>
      </c>
    </row>
    <row r="19" spans="2:26" x14ac:dyDescent="0.25">
      <c r="F19" s="280" t="str">
        <v>AFV</v>
      </c>
      <c r="G19" s="280" t="str">
        <v>PolskRest</v>
      </c>
      <c r="H19" s="280" t="str">
        <v>PolskRest</v>
      </c>
      <c r="N19" s="280" t="str">
        <v>NOxKgTon</v>
      </c>
      <c r="U19" s="282"/>
      <c r="V19" s="283"/>
      <c r="Z19">
        <f ca="1"/>
        <v>0</v>
      </c>
    </row>
    <row r="20" spans="2:26" x14ac:dyDescent="0.25">
      <c r="F20" s="280" t="str">
        <v>ATL</v>
      </c>
      <c r="G20" s="280" t="str">
        <v>PcbTrae</v>
      </c>
      <c r="H20" s="280" t="str">
        <v>PcbTrae</v>
      </c>
      <c r="N20" s="280" t="str">
        <v>CO2kgGJ</v>
      </c>
      <c r="U20" s="282"/>
      <c r="V20" s="283"/>
      <c r="Z20">
        <f ca="1"/>
        <v>0</v>
      </c>
    </row>
    <row r="21" spans="2:26" x14ac:dyDescent="0.25">
      <c r="F21" s="280" t="str">
        <v>CO2aff</v>
      </c>
      <c r="G21" s="280" t="str">
        <v>TraeRekv</v>
      </c>
      <c r="H21" s="280" t="str">
        <v>TraeRekv</v>
      </c>
      <c r="U21" s="282"/>
      <c r="V21" s="283"/>
      <c r="Z21">
        <f ca="1"/>
        <v>0</v>
      </c>
    </row>
    <row r="22" spans="2:26" x14ac:dyDescent="0.25">
      <c r="B22" s="280" t="s">
        <v>288</v>
      </c>
      <c r="F22" s="280" t="str">
        <v>ETSaff</v>
      </c>
      <c r="G22" s="280" t="str">
        <v>Halm</v>
      </c>
      <c r="H22" s="280" t="str">
        <v>Halm</v>
      </c>
      <c r="U22" s="282"/>
      <c r="V22" s="283"/>
      <c r="Z22">
        <f ca="1"/>
        <v>0</v>
      </c>
    </row>
    <row r="23" spans="2:26" x14ac:dyDescent="0.25">
      <c r="F23" s="280" t="str">
        <v>CO2afgAff</v>
      </c>
      <c r="G23" s="280" t="str">
        <v>Pulver</v>
      </c>
      <c r="H23" s="280" t="str">
        <v>Pulver</v>
      </c>
      <c r="U23" s="282"/>
      <c r="V23" s="283"/>
      <c r="Z23">
        <f ca="1"/>
        <v>0</v>
      </c>
    </row>
    <row r="24" spans="2:26" x14ac:dyDescent="0.25">
      <c r="F24" s="280" t="str">
        <v>NOxAff</v>
      </c>
      <c r="G24" s="280" t="str">
        <v>FlisAffald</v>
      </c>
      <c r="H24" s="280" t="str">
        <v>FlisAffald</v>
      </c>
      <c r="U24" s="282"/>
      <c r="V24" s="283"/>
      <c r="Z24">
        <f ca="1"/>
        <v>0</v>
      </c>
    </row>
    <row r="25" spans="2:26" x14ac:dyDescent="0.25">
      <c r="F25" s="280" t="str">
        <v>NOxFlis</v>
      </c>
      <c r="G25" s="280" t="str">
        <v>NyAff1</v>
      </c>
      <c r="H25" s="280" t="str">
        <v>NyAff1</v>
      </c>
      <c r="U25" s="282"/>
      <c r="V25" s="283"/>
    </row>
    <row r="26" spans="2:26" x14ac:dyDescent="0.25">
      <c r="F26" s="280" t="str">
        <v>EnrPeak</v>
      </c>
      <c r="G26" s="280" t="str">
        <v>NyAff2</v>
      </c>
      <c r="H26" s="280" t="str">
        <v>NyAff2</v>
      </c>
      <c r="U26" s="282"/>
      <c r="V26" s="283"/>
    </row>
    <row r="27" spans="2:26" x14ac:dyDescent="0.25">
      <c r="F27" s="280" t="str">
        <v>CO2peak</v>
      </c>
      <c r="G27" s="280" t="str">
        <v>NyAff3</v>
      </c>
      <c r="H27" s="280" t="str">
        <v>NyAff3</v>
      </c>
      <c r="U27" s="282"/>
      <c r="V27" s="283"/>
    </row>
    <row r="28" spans="2:26" x14ac:dyDescent="0.25">
      <c r="F28" s="280" t="str">
        <v>NOxPeak</v>
      </c>
      <c r="G28" s="280" t="str">
        <v>NyAff4</v>
      </c>
      <c r="H28" s="280" t="str">
        <v>NyAff4</v>
      </c>
      <c r="U28" s="282"/>
      <c r="V28" s="283"/>
    </row>
    <row r="29" spans="2:26" x14ac:dyDescent="0.25">
      <c r="G29" s="280" t="str">
        <v>NyAff5</v>
      </c>
      <c r="H29" s="280" t="str">
        <v>NyAff5</v>
      </c>
      <c r="U29" s="282"/>
      <c r="V29" s="283"/>
    </row>
    <row r="30" spans="2:26" x14ac:dyDescent="0.25">
      <c r="G30" s="280" t="str">
        <v>Flis</v>
      </c>
      <c r="H30" s="280" t="str">
        <v>Flis</v>
      </c>
      <c r="U30" s="282"/>
      <c r="V30" s="283"/>
    </row>
    <row r="31" spans="2:26" x14ac:dyDescent="0.25">
      <c r="G31" s="280" t="str">
        <v>NSvarme</v>
      </c>
      <c r="H31" s="280" t="str">
        <v>NSvarme</v>
      </c>
      <c r="U31" s="282"/>
      <c r="V31" s="283"/>
    </row>
    <row r="32" spans="2:26" x14ac:dyDescent="0.25">
      <c r="G32" s="280" t="str">
        <v>PeakFuel</v>
      </c>
      <c r="H32" s="280" t="str">
        <v>PeakFuel</v>
      </c>
      <c r="U32" s="282"/>
      <c r="V32" s="283"/>
    </row>
    <row r="33" spans="1:31" x14ac:dyDescent="0.25">
      <c r="U33" s="282"/>
      <c r="V33" s="283"/>
    </row>
    <row r="34" spans="1:31" x14ac:dyDescent="0.25">
      <c r="U34" s="282"/>
      <c r="V34" s="283"/>
    </row>
    <row r="35" spans="1:31" x14ac:dyDescent="0.25">
      <c r="U35" s="282"/>
      <c r="V35" s="283"/>
    </row>
    <row r="36" spans="1:31" x14ac:dyDescent="0.25">
      <c r="U36" s="282"/>
      <c r="V36" s="283"/>
    </row>
    <row r="37" spans="1:31" x14ac:dyDescent="0.25">
      <c r="U37" s="282"/>
      <c r="V37" s="283"/>
    </row>
    <row r="38" spans="1:31" x14ac:dyDescent="0.25">
      <c r="A38" t="s">
        <v>375</v>
      </c>
      <c r="B38" s="334" t="s">
        <v>373</v>
      </c>
      <c r="U38" s="282"/>
      <c r="V38" s="283"/>
    </row>
    <row r="39" spans="1:31" x14ac:dyDescent="0.25">
      <c r="A39" s="6">
        <f>COUNTA(_xlfn.ANCHORARRAY(C39))</f>
        <v>12</v>
      </c>
      <c r="B39" s="280" t="str">
        <f>B4</f>
        <v>Control</v>
      </c>
      <c r="C39" s="280" t="str" cm="1">
        <f t="array" ref="C39:N39">TRANSPOSE(_xlfn.ANCHORARRAY(C4))</f>
        <v>RunScenarios</v>
      </c>
      <c r="D39" s="280" t="str">
        <v>IncludeGSF</v>
      </c>
      <c r="E39" s="280" t="str">
        <v>VirtuelVarme</v>
      </c>
      <c r="F39" s="280" t="str">
        <v>VirtuelAffald</v>
      </c>
      <c r="G39" s="280" t="str">
        <v>Skorstensmetode</v>
      </c>
      <c r="H39" s="280" t="str">
        <v>FixAffald2021</v>
      </c>
      <c r="I39" s="280" t="str">
        <v>FixAffaldSum</v>
      </c>
      <c r="J39" s="280" t="str">
        <v>DeltaTonAktiv</v>
      </c>
      <c r="K39" s="280" t="str">
        <v>RgkRabatSats</v>
      </c>
      <c r="L39" s="280" t="str">
        <v>RgkAndelRabat</v>
      </c>
      <c r="M39" s="280" t="str">
        <v>Varmesalgspris</v>
      </c>
      <c r="N39" s="280" t="str">
        <v>EgetforbrugKVV</v>
      </c>
      <c r="U39" s="282"/>
      <c r="V39" s="283"/>
    </row>
    <row r="40" spans="1:31" x14ac:dyDescent="0.25">
      <c r="A40" s="6">
        <f t="shared" ref="A40:A44" si="0">COUNTA(_xlfn.ANCHORARRAY(C40))</f>
        <v>6</v>
      </c>
      <c r="B40" s="280" t="str">
        <f t="shared" ref="B40:B44" si="1">B5</f>
        <v>Plant</v>
      </c>
      <c r="C40" s="280" t="str" cm="1">
        <f t="array" ref="C40:H40">TRANSPOSE(_xlfn.ANCHORARRAY(D4))</f>
        <v>Ovn2</v>
      </c>
      <c r="D40" s="280" t="str">
        <v>Ovn3</v>
      </c>
      <c r="E40" s="280" t="str">
        <v>FlisK</v>
      </c>
      <c r="F40" s="280" t="str">
        <v>NS</v>
      </c>
      <c r="G40" s="280" t="str">
        <v>Cooler</v>
      </c>
      <c r="H40" s="280" t="str">
        <v>PeakK</v>
      </c>
      <c r="U40" s="282"/>
      <c r="V40" s="283"/>
    </row>
    <row r="41" spans="1:31" x14ac:dyDescent="0.25">
      <c r="A41" s="6">
        <f t="shared" si="0"/>
        <v>2</v>
      </c>
      <c r="B41" s="280" t="str">
        <f t="shared" si="1"/>
        <v>Storage</v>
      </c>
      <c r="C41" s="280" t="str" cm="1">
        <f t="array" ref="C41:D41">TRANSPOSE(_xlfn.ANCHORARRAY(E4))</f>
        <v>sto1</v>
      </c>
      <c r="D41" s="280" t="str">
        <v>sto2</v>
      </c>
      <c r="U41" s="280"/>
    </row>
    <row r="42" spans="1:31" x14ac:dyDescent="0.25">
      <c r="A42" s="6">
        <f t="shared" si="0"/>
        <v>25</v>
      </c>
      <c r="B42" s="280" t="str">
        <f t="shared" si="1"/>
        <v>Prognoses</v>
      </c>
      <c r="C42" s="280" t="str" cm="1">
        <f t="array" ref="C42:AA42">TRANSPOSE(_xlfn.ANCHORARRAY(F4))</f>
        <v>Aktiv</v>
      </c>
      <c r="D42" s="280" t="str">
        <v>Ndage</v>
      </c>
      <c r="E42" s="280" t="str">
        <v>Ovn2</v>
      </c>
      <c r="F42" s="280" t="str">
        <v>Ovn3</v>
      </c>
      <c r="G42" s="280" t="str">
        <v>FlisK</v>
      </c>
      <c r="H42" s="280" t="str">
        <v>NS</v>
      </c>
      <c r="I42" s="280" t="str">
        <v>Cooler</v>
      </c>
      <c r="J42" s="280" t="str">
        <v>PeakK</v>
      </c>
      <c r="K42" s="280" t="str">
        <v>Turbine</v>
      </c>
      <c r="L42" s="280" t="str">
        <v>Varmebehov</v>
      </c>
      <c r="M42" s="280" t="str">
        <v>NSprod</v>
      </c>
      <c r="N42" s="280" t="str">
        <v>ELprod</v>
      </c>
      <c r="O42" s="280" t="str">
        <v>Bypass</v>
      </c>
      <c r="P42" s="280" t="str">
        <v>Elpris</v>
      </c>
      <c r="Q42" t="str">
        <v>ETS</v>
      </c>
      <c r="R42" t="str">
        <v>AFV</v>
      </c>
      <c r="S42" t="str">
        <v>ATL</v>
      </c>
      <c r="T42" t="str">
        <v>CO2aff</v>
      </c>
      <c r="U42" s="280" t="str">
        <v>ETSaff</v>
      </c>
      <c r="V42" t="str">
        <v>CO2afgAff</v>
      </c>
      <c r="W42" t="str">
        <v>NOxAff</v>
      </c>
      <c r="X42" t="str">
        <v>NOxFlis</v>
      </c>
      <c r="Y42" t="str">
        <v>EnrPeak</v>
      </c>
      <c r="Z42" t="str">
        <v>CO2peak</v>
      </c>
      <c r="AA42" t="str">
        <v>NOxPeak</v>
      </c>
    </row>
    <row r="43" spans="1:31" x14ac:dyDescent="0.25">
      <c r="A43" s="6">
        <f t="shared" si="0"/>
        <v>29</v>
      </c>
      <c r="B43" s="280" t="str">
        <f t="shared" si="1"/>
        <v>Fuel</v>
      </c>
      <c r="C43" s="280" t="str" cm="1">
        <f t="array" ref="C43:AE43">TRANSPOSE(_xlfn.ANCHORARRAY(G4))</f>
        <v>DepoSort</v>
      </c>
      <c r="D43" s="280" t="str">
        <v>DepoSmaat</v>
      </c>
      <c r="E43" s="280" t="str">
        <v>DepoNedd</v>
      </c>
      <c r="F43" s="280" t="str">
        <v>Dagren</v>
      </c>
      <c r="G43" s="280" t="str">
        <v>AndetBrand</v>
      </c>
      <c r="H43" s="280" t="str">
        <v>Trae</v>
      </c>
      <c r="I43" s="280" t="str">
        <v>DagrenRast</v>
      </c>
      <c r="J43" s="280" t="str">
        <v>DagrenInst</v>
      </c>
      <c r="K43" s="280" t="str">
        <v>DagrenHandel</v>
      </c>
      <c r="L43" s="280" t="str">
        <v>DagrenRestau</v>
      </c>
      <c r="M43" s="280" t="str">
        <v>Erhverv</v>
      </c>
      <c r="N43" s="280" t="str">
        <v>DagrenErhverv</v>
      </c>
      <c r="O43" s="280" t="str">
        <v>HandelKontor</v>
      </c>
      <c r="P43" s="280" t="str">
        <v>Privat</v>
      </c>
      <c r="Q43" t="str">
        <v>TyskRest</v>
      </c>
      <c r="R43" t="str">
        <v>PolskRest</v>
      </c>
      <c r="S43" t="str">
        <v>PcbTrae</v>
      </c>
      <c r="T43" t="str">
        <v>TraeRekv</v>
      </c>
      <c r="U43" s="280" t="str">
        <v>Halm</v>
      </c>
      <c r="V43" t="str">
        <v>Pulver</v>
      </c>
      <c r="W43" t="str">
        <v>FlisAffald</v>
      </c>
      <c r="X43" t="str">
        <v>NyAff1</v>
      </c>
      <c r="Y43" t="str">
        <v>NyAff2</v>
      </c>
      <c r="Z43" t="str">
        <v>NyAff3</v>
      </c>
      <c r="AA43" t="str">
        <v>NyAff4</v>
      </c>
      <c r="AB43" t="str">
        <v>NyAff5</v>
      </c>
      <c r="AC43" t="str">
        <v>Flis</v>
      </c>
      <c r="AD43" t="str">
        <v>NSvarme</v>
      </c>
      <c r="AE43" t="str">
        <v>PeakFuel</v>
      </c>
    </row>
    <row r="44" spans="1:31" x14ac:dyDescent="0.25">
      <c r="A44" s="6">
        <f t="shared" si="0"/>
        <v>29</v>
      </c>
      <c r="B44" s="280" t="str">
        <f t="shared" si="1"/>
        <v>FuelBounds</v>
      </c>
      <c r="C44" s="280" t="str" cm="1">
        <f t="array" ref="C44:AE44">TRANSPOSE(_xlfn.ANCHORARRAY(H4))</f>
        <v>DepoSort</v>
      </c>
      <c r="D44" s="280" t="str">
        <v>DepoSmaat</v>
      </c>
      <c r="E44" s="280" t="str">
        <v>DepoNedd</v>
      </c>
      <c r="F44" s="280" t="str">
        <v>Dagren</v>
      </c>
      <c r="G44" s="280" t="str">
        <v>AndetBrand</v>
      </c>
      <c r="H44" s="280" t="str">
        <v>Trae</v>
      </c>
      <c r="I44" s="280" t="str">
        <v>DagrenRast</v>
      </c>
      <c r="J44" s="280" t="str">
        <v>DagrenInst</v>
      </c>
      <c r="K44" s="280" t="str">
        <v>DagrenHandel</v>
      </c>
      <c r="L44" s="280" t="str">
        <v>DagrenRestau</v>
      </c>
      <c r="M44" s="280" t="str">
        <v>Erhverv</v>
      </c>
      <c r="N44" s="280" t="str">
        <v>DagrenErhverv</v>
      </c>
      <c r="O44" s="280" t="str">
        <v>HandelKontor</v>
      </c>
      <c r="P44" s="280" t="str">
        <v>Privat</v>
      </c>
      <c r="Q44" t="str">
        <v>TyskRest</v>
      </c>
      <c r="R44" t="str">
        <v>PolskRest</v>
      </c>
      <c r="S44" t="str">
        <v>PcbTrae</v>
      </c>
      <c r="T44" t="str">
        <v>TraeRekv</v>
      </c>
      <c r="U44" s="280" t="str">
        <v>Halm</v>
      </c>
      <c r="V44" t="str">
        <v>Pulver</v>
      </c>
      <c r="W44" t="str">
        <v>FlisAffald</v>
      </c>
      <c r="X44" t="str">
        <v>NyAff1</v>
      </c>
      <c r="Y44" t="str">
        <v>NyAff2</v>
      </c>
      <c r="Z44" t="str">
        <v>NyAff3</v>
      </c>
      <c r="AA44" t="str">
        <v>NyAff4</v>
      </c>
      <c r="AB44" t="str">
        <v>NyAff5</v>
      </c>
      <c r="AC44" t="str">
        <v>Flis</v>
      </c>
      <c r="AD44" t="str">
        <v>NSvarme</v>
      </c>
      <c r="AE44" t="str">
        <v>PeakFuel</v>
      </c>
    </row>
    <row r="45" spans="1:31" x14ac:dyDescent="0.25">
      <c r="A45" s="6"/>
      <c r="U45" s="280"/>
    </row>
    <row r="46" spans="1:31" x14ac:dyDescent="0.25">
      <c r="A46" s="6"/>
      <c r="U46" s="280"/>
    </row>
    <row r="47" spans="1:31" x14ac:dyDescent="0.25">
      <c r="A47" s="6"/>
      <c r="B47" s="334" t="s">
        <v>374</v>
      </c>
    </row>
    <row r="48" spans="1:31" x14ac:dyDescent="0.25">
      <c r="A48" s="6"/>
      <c r="B48" s="280" t="str">
        <f>B4</f>
        <v>Control</v>
      </c>
      <c r="C48" s="280" t="s">
        <v>370</v>
      </c>
    </row>
    <row r="49" spans="1:39" x14ac:dyDescent="0.25">
      <c r="A49" s="6">
        <f>COUNTA(_xlfn.ANCHORARRAY(C49))</f>
        <v>14</v>
      </c>
      <c r="B49" s="280" t="str">
        <f t="shared" ref="B49:B53" si="2">B5</f>
        <v>Plant</v>
      </c>
      <c r="C49" s="280" t="str" cm="1">
        <f t="array" ref="C49:P49">TRANSPOSE(_xlfn.ANCHORARRAY(K4))</f>
        <v>Aktiv</v>
      </c>
      <c r="D49" s="280" t="str">
        <v>Ukind</v>
      </c>
      <c r="E49" s="280" t="str">
        <v>Prioritet</v>
      </c>
      <c r="F49" s="280" t="str">
        <v>MinLhv</v>
      </c>
      <c r="G49" s="280" t="str">
        <v>MaxLhv</v>
      </c>
      <c r="H49" s="280" t="str">
        <v>MinTon</v>
      </c>
      <c r="I49" s="280" t="str">
        <v>MaxTon</v>
      </c>
      <c r="J49" s="280" t="str">
        <v>KapQNom</v>
      </c>
      <c r="K49" s="280" t="str">
        <v>KapRgk</v>
      </c>
      <c r="L49" s="280" t="str">
        <v>KapE</v>
      </c>
      <c r="M49" s="280" t="str">
        <v>EtaE</v>
      </c>
      <c r="N49" s="280" t="str">
        <v>EtaQ</v>
      </c>
      <c r="O49" s="280" t="str">
        <v>DVMWhq</v>
      </c>
      <c r="P49" s="280" t="str">
        <v>DVtime</v>
      </c>
    </row>
    <row r="50" spans="1:39" x14ac:dyDescent="0.25">
      <c r="A50" s="6">
        <f>COUNTA(_xlfn.ANCHORARRAY(C50))</f>
        <v>12</v>
      </c>
      <c r="B50" s="280" t="str">
        <f t="shared" si="2"/>
        <v>Storage</v>
      </c>
      <c r="C50" s="280" t="str" cm="1">
        <f t="array" ref="C50:N50">TRANSPOSE(_xlfn.ANCHORARRAY(L4))</f>
        <v>Aktiv</v>
      </c>
      <c r="D50" s="280" t="str">
        <v>StoKind</v>
      </c>
      <c r="E50" s="280" t="str">
        <v>LoadInit</v>
      </c>
      <c r="F50" s="280" t="str">
        <v>LoadMin</v>
      </c>
      <c r="G50" s="280" t="str">
        <v>LoadMax</v>
      </c>
      <c r="H50" s="280" t="str">
        <v>DLoadMax</v>
      </c>
      <c r="I50" s="280" t="str">
        <v>LossRate</v>
      </c>
      <c r="J50" s="280" t="str">
        <v>LoadCost</v>
      </c>
      <c r="K50" s="280" t="str">
        <v>DLoadCost</v>
      </c>
      <c r="L50" s="280" t="str">
        <v>ResetFirst</v>
      </c>
      <c r="M50" s="280" t="str">
        <v>ResetIntv</v>
      </c>
      <c r="N50" s="280" t="str">
        <v>ResetLast</v>
      </c>
    </row>
    <row r="51" spans="1:39" x14ac:dyDescent="0.25">
      <c r="A51" s="6">
        <f>COUNTA(_xlfn.ANCHORARRAY(C51))</f>
        <v>1</v>
      </c>
      <c r="B51" s="280" t="str">
        <f t="shared" si="2"/>
        <v>Prognoses</v>
      </c>
      <c r="C51" s="280" t="s">
        <v>370</v>
      </c>
    </row>
    <row r="52" spans="1:39" x14ac:dyDescent="0.25">
      <c r="A52" s="6">
        <f>COUNTA(_xlfn.ANCHORARRAY(C52))</f>
        <v>17</v>
      </c>
      <c r="B52" s="280" t="str">
        <f t="shared" si="2"/>
        <v>Fuel</v>
      </c>
      <c r="C52" s="280" t="str" cm="1">
        <f t="array" ref="C52:S52">TRANSPOSE(_xlfn.ANCHORARRAY(N4))</f>
        <v>Aktiv</v>
      </c>
      <c r="D52" s="280" t="str">
        <v>Fkind</v>
      </c>
      <c r="E52" s="280" t="str">
        <v>Lagerbar</v>
      </c>
      <c r="F52" s="280" t="str">
        <v>Fri</v>
      </c>
      <c r="G52" s="280" t="str">
        <v>Flex</v>
      </c>
      <c r="H52" s="280" t="str">
        <v>Bortskaf</v>
      </c>
      <c r="I52" s="280" t="str">
        <v>TilOvn2</v>
      </c>
      <c r="J52" s="280" t="str">
        <v>TilOvn3</v>
      </c>
      <c r="K52" s="280" t="str">
        <v>DeltaTon</v>
      </c>
      <c r="L52" s="280" t="str">
        <v>MinTonnage</v>
      </c>
      <c r="M52" s="280" t="str">
        <v>MaxTonnage</v>
      </c>
      <c r="N52" s="280" t="str">
        <v>InitSto1</v>
      </c>
      <c r="O52" s="280" t="str">
        <v>InitSto2</v>
      </c>
      <c r="P52" s="280" t="str">
        <v>Pris</v>
      </c>
      <c r="Q52" t="str">
        <v>LHV</v>
      </c>
      <c r="R52" t="str">
        <v>NOxKgTon</v>
      </c>
      <c r="S52" t="str">
        <v>CO2kgGJ</v>
      </c>
    </row>
    <row r="53" spans="1:39" x14ac:dyDescent="0.25">
      <c r="A53" s="6">
        <f>COUNTA(_xlfn.ANCHORARRAY(C53))</f>
        <v>7</v>
      </c>
      <c r="B53" s="280" t="str">
        <f t="shared" si="2"/>
        <v>FuelBounds</v>
      </c>
      <c r="C53" s="280" t="str" cm="1">
        <f t="array" ref="C53:I53">TRANSPOSE(O4:O10)</f>
        <v>TilOvn2</v>
      </c>
      <c r="D53" s="280" t="str">
        <v>TilOvn3</v>
      </c>
      <c r="E53" s="280" t="str">
        <v>MinTonnage</v>
      </c>
      <c r="F53" s="280" t="str">
        <v>MaxTonnage</v>
      </c>
      <c r="G53" s="280" t="str">
        <v>Pris</v>
      </c>
      <c r="H53" s="280" t="str">
        <v>LHV</v>
      </c>
      <c r="I53" s="280" t="str">
        <v>CO2kgGJ</v>
      </c>
    </row>
    <row r="54" spans="1:39" x14ac:dyDescent="0.25">
      <c r="A54" s="6"/>
    </row>
    <row r="56" spans="1:39" x14ac:dyDescent="0.25">
      <c r="A56" t="s">
        <v>376</v>
      </c>
      <c r="B56" s="280">
        <v>5</v>
      </c>
    </row>
    <row r="57" spans="1:39" x14ac:dyDescent="0.25">
      <c r="B57" s="280">
        <f ca="1">OFFSET(OfzNiveau2,B56+1,COLUMNS(arrNiv2))</f>
        <v>0</v>
      </c>
    </row>
    <row r="59" spans="1:39" x14ac:dyDescent="0.25">
      <c r="B59" s="280" t="str" cm="1">
        <f t="array" aca="1" ref="B59:AM59" ca="1">OFFSET(OfzNiveau2,B56+1,1,1,COLUMNS(arrNiv2))</f>
        <v>DepoSort</v>
      </c>
      <c r="C59" s="280" t="str">
        <f ca="1"/>
        <v>DepoSmaat</v>
      </c>
      <c r="D59" s="280" t="str">
        <f ca="1"/>
        <v>DepoNedd</v>
      </c>
      <c r="E59" s="280" t="str">
        <f ca="1"/>
        <v>Dagren</v>
      </c>
      <c r="F59" s="280" t="str">
        <f ca="1"/>
        <v>AndetBrand</v>
      </c>
      <c r="G59" s="280" t="str">
        <f ca="1"/>
        <v>Trae</v>
      </c>
      <c r="H59" s="280" t="str">
        <f ca="1"/>
        <v>DagrenRast</v>
      </c>
      <c r="I59" s="280" t="str">
        <f ca="1"/>
        <v>DagrenInst</v>
      </c>
      <c r="J59" s="280" t="str">
        <f ca="1"/>
        <v>DagrenHandel</v>
      </c>
      <c r="K59" s="280" t="str">
        <f ca="1"/>
        <v>DagrenRestau</v>
      </c>
      <c r="L59" s="280" t="str">
        <f ca="1"/>
        <v>Erhverv</v>
      </c>
      <c r="M59" s="280" t="str">
        <f ca="1"/>
        <v>DagrenErhverv</v>
      </c>
      <c r="N59" s="280" t="str">
        <f ca="1"/>
        <v>HandelKontor</v>
      </c>
      <c r="O59" s="280" t="str">
        <f ca="1"/>
        <v>Privat</v>
      </c>
      <c r="P59" s="280" t="str">
        <f ca="1"/>
        <v>TyskRest</v>
      </c>
      <c r="Q59" t="str">
        <f ca="1"/>
        <v>PolskRest</v>
      </c>
      <c r="R59" t="str">
        <f ca="1"/>
        <v>PcbTrae</v>
      </c>
      <c r="S59" t="str">
        <f ca="1"/>
        <v>TraeRekv</v>
      </c>
      <c r="T59" t="str">
        <f ca="1"/>
        <v>Halm</v>
      </c>
      <c r="U59" t="str">
        <f ca="1"/>
        <v>Pulver</v>
      </c>
      <c r="V59" t="str">
        <f ca="1"/>
        <v>FlisAffald</v>
      </c>
      <c r="W59" t="str">
        <f ca="1"/>
        <v>NyAff1</v>
      </c>
      <c r="X59" t="str">
        <f ca="1"/>
        <v>NyAff2</v>
      </c>
      <c r="Y59" t="str">
        <f ca="1"/>
        <v>NyAff3</v>
      </c>
      <c r="Z59" t="str">
        <f ca="1"/>
        <v>NyAff4</v>
      </c>
      <c r="AA59" t="str">
        <f ca="1"/>
        <v>NyAff5</v>
      </c>
      <c r="AB59" t="str">
        <f ca="1"/>
        <v>Flis</v>
      </c>
      <c r="AC59" t="str">
        <f ca="1"/>
        <v>NSvarme</v>
      </c>
      <c r="AD59" t="str">
        <f ca="1"/>
        <v>PeakFuel</v>
      </c>
      <c r="AE59">
        <f ca="1"/>
        <v>0</v>
      </c>
      <c r="AF59">
        <f ca="1"/>
        <v>0</v>
      </c>
      <c r="AG59">
        <f ca="1"/>
        <v>0</v>
      </c>
      <c r="AH59">
        <f ca="1"/>
        <v>0</v>
      </c>
      <c r="AI59">
        <f ca="1"/>
        <v>0</v>
      </c>
      <c r="AJ59">
        <f ca="1"/>
        <v>0</v>
      </c>
      <c r="AK59">
        <f ca="1"/>
        <v>0</v>
      </c>
      <c r="AL59">
        <f ca="1"/>
        <v>0</v>
      </c>
      <c r="AM59">
        <f ca="1"/>
        <v>0</v>
      </c>
    </row>
  </sheetData>
  <phoneticPr fontId="16" type="noConversion"/>
  <dataValidations disablePrompts="1" count="4">
    <dataValidation type="list" allowBlank="1" showInputMessage="1" showErrorMessage="1" sqref="R5:R40" xr:uid="{7820925A-1DF1-49B4-A285-E617FDEB83E2}">
      <formula1>listRoot</formula1>
    </dataValidation>
    <dataValidation type="list" allowBlank="1" showInputMessage="1" showErrorMessage="1" sqref="S5:S40" xr:uid="{60F72499-587D-43DB-A8DF-576E12E4F951}">
      <formula1>DropDown2</formula1>
    </dataValidation>
    <dataValidation type="list" allowBlank="1" showInputMessage="1" showErrorMessage="1" sqref="T5:T40" xr:uid="{45FDBCB3-1EFC-46FB-8A79-0C53C1A8B58C}">
      <formula1>DropDown3</formula1>
    </dataValidation>
    <dataValidation type="date" allowBlank="1" showInputMessage="1" showErrorMessage="1" sqref="U5:U39" xr:uid="{B56CEAA6-3B60-46E9-9E72-EC8D6014F208}">
      <formula1>40179</formula1>
      <formula2>47848</formula2>
    </dataValidation>
  </dataValidations>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C64EC-2F88-41AD-8CEA-1E5DAEF63010}">
  <sheetPr codeName="Sheet10">
    <tabColor theme="4"/>
  </sheetPr>
  <dimension ref="A1:Q93"/>
  <sheetViews>
    <sheetView zoomScale="85" zoomScaleNormal="85" workbookViewId="0"/>
  </sheetViews>
  <sheetFormatPr defaultRowHeight="15" outlineLevelRow="1" x14ac:dyDescent="0.25"/>
  <cols>
    <col min="1" max="1" width="24.140625" customWidth="1"/>
    <col min="2" max="2" width="12.7109375" bestFit="1" customWidth="1"/>
    <col min="3" max="3" width="21.42578125" bestFit="1" customWidth="1"/>
    <col min="4" max="14" width="10.7109375" customWidth="1"/>
    <col min="15" max="15" width="11.28515625" bestFit="1" customWidth="1"/>
    <col min="16" max="16" width="4" customWidth="1"/>
  </cols>
  <sheetData>
    <row r="1" spans="1:17" x14ac:dyDescent="0.25">
      <c r="A1" s="25" t="s">
        <v>138</v>
      </c>
      <c r="C1" s="42">
        <v>44521.465421678244</v>
      </c>
      <c r="D1" s="43"/>
      <c r="E1" s="43"/>
    </row>
    <row r="3" spans="1:17" x14ac:dyDescent="0.25">
      <c r="A3" s="25" t="s">
        <v>139</v>
      </c>
    </row>
    <row r="4" spans="1:17" x14ac:dyDescent="0.25">
      <c r="A4" s="44">
        <v>-57700178.241019867</v>
      </c>
      <c r="B4" t="s">
        <v>117</v>
      </c>
    </row>
    <row r="6" spans="1:17" ht="18.75" x14ac:dyDescent="0.3">
      <c r="A6" s="109" t="s">
        <v>195</v>
      </c>
      <c r="B6" s="110" t="s">
        <v>67</v>
      </c>
      <c r="C6" s="109"/>
      <c r="D6" s="109" t="s">
        <v>1</v>
      </c>
      <c r="E6" s="109" t="s">
        <v>2</v>
      </c>
      <c r="F6" s="110" t="s">
        <v>3</v>
      </c>
      <c r="G6" s="112" t="s">
        <v>4</v>
      </c>
      <c r="H6" s="112" t="s">
        <v>5</v>
      </c>
      <c r="I6" s="112" t="s">
        <v>6</v>
      </c>
      <c r="J6" s="112" t="s">
        <v>7</v>
      </c>
      <c r="K6" s="112" t="s">
        <v>8</v>
      </c>
      <c r="L6" s="112" t="s">
        <v>9</v>
      </c>
      <c r="M6" s="112" t="s">
        <v>10</v>
      </c>
      <c r="N6" s="112" t="s">
        <v>11</v>
      </c>
      <c r="O6" s="112" t="s">
        <v>12</v>
      </c>
      <c r="P6" s="47"/>
    </row>
    <row r="7" spans="1:17" outlineLevel="1" x14ac:dyDescent="0.25">
      <c r="A7" s="48">
        <f>(SUM(A9:A10)-A8)/A12</f>
        <v>240.41740933758268</v>
      </c>
      <c r="B7" s="48" t="s">
        <v>56</v>
      </c>
      <c r="C7" s="49" t="s">
        <v>118</v>
      </c>
      <c r="D7" s="50">
        <v>248.69814944957898</v>
      </c>
      <c r="E7" s="50">
        <v>256.23001215146189</v>
      </c>
      <c r="F7" s="50">
        <v>209.69936718896827</v>
      </c>
      <c r="G7" s="50">
        <v>143.97630596505891</v>
      </c>
      <c r="H7" s="50">
        <v>-1481.314428784332</v>
      </c>
      <c r="I7" s="50">
        <v>-80.563878856965232</v>
      </c>
      <c r="J7" s="50">
        <v>-100.41242987829122</v>
      </c>
      <c r="K7" s="50">
        <v>-93.520487743528903</v>
      </c>
      <c r="L7" s="50">
        <v>-103.26597469171678</v>
      </c>
      <c r="M7" s="50">
        <v>194.46744737997128</v>
      </c>
      <c r="N7" s="50">
        <v>242.67725284515367</v>
      </c>
      <c r="O7" s="50">
        <v>283.78796503322184</v>
      </c>
    </row>
    <row r="8" spans="1:17" outlineLevel="1" x14ac:dyDescent="0.25">
      <c r="A8" s="44">
        <f t="shared" ref="A8:A57" si="0">SUM(D8:O8)</f>
        <v>52891062.777246669</v>
      </c>
      <c r="B8" s="44" t="s">
        <v>117</v>
      </c>
      <c r="C8" s="49" t="s">
        <v>119</v>
      </c>
      <c r="D8" s="44">
        <v>5323841.9465547586</v>
      </c>
      <c r="E8" s="44">
        <v>4757254.2545277048</v>
      </c>
      <c r="F8" s="44">
        <v>5323892.2235661708</v>
      </c>
      <c r="G8" s="44">
        <v>4936272.1632842282</v>
      </c>
      <c r="H8" s="44">
        <v>3902557.8026688457</v>
      </c>
      <c r="I8" s="44">
        <v>3769347.2004480772</v>
      </c>
      <c r="J8" s="44">
        <v>3614540.3333312459</v>
      </c>
      <c r="K8" s="44">
        <v>3614540.3333312464</v>
      </c>
      <c r="L8" s="44">
        <v>3769347.2004480772</v>
      </c>
      <c r="M8" s="44">
        <v>4255623.5108062718</v>
      </c>
      <c r="N8" s="44">
        <v>5132620.1014971845</v>
      </c>
      <c r="O8" s="44">
        <v>4491225.7067828588</v>
      </c>
      <c r="Q8" s="51"/>
    </row>
    <row r="9" spans="1:17" outlineLevel="1" x14ac:dyDescent="0.25">
      <c r="A9" s="44">
        <f t="shared" si="0"/>
        <v>11784734.032626823</v>
      </c>
      <c r="B9" s="44" t="s">
        <v>117</v>
      </c>
      <c r="C9" s="49" t="s">
        <v>120</v>
      </c>
      <c r="D9" s="44">
        <v>1036199.653513659</v>
      </c>
      <c r="E9" s="44">
        <v>1112695.0265424303</v>
      </c>
      <c r="F9" s="44">
        <v>1163618.2238234447</v>
      </c>
      <c r="G9" s="44">
        <v>847880</v>
      </c>
      <c r="H9" s="44">
        <v>826067.99999999977</v>
      </c>
      <c r="I9" s="44">
        <v>959770.79343254189</v>
      </c>
      <c r="J9" s="44">
        <v>839896.34888055758</v>
      </c>
      <c r="K9" s="44">
        <v>854896.34888055758</v>
      </c>
      <c r="L9" s="44">
        <v>944770.79343254189</v>
      </c>
      <c r="M9" s="44">
        <v>837476</v>
      </c>
      <c r="N9" s="44">
        <v>1095311.291627646</v>
      </c>
      <c r="O9" s="44">
        <v>1266151.5524934444</v>
      </c>
    </row>
    <row r="10" spans="1:17" outlineLevel="1" x14ac:dyDescent="0.25">
      <c r="A10" s="44">
        <f t="shared" si="0"/>
        <v>98806506.985639691</v>
      </c>
      <c r="B10" s="44" t="s">
        <v>117</v>
      </c>
      <c r="C10" s="49" t="s">
        <v>121</v>
      </c>
      <c r="D10" s="44">
        <v>13066686.968611237</v>
      </c>
      <c r="E10" s="44">
        <v>11843919.616832055</v>
      </c>
      <c r="F10" s="44">
        <v>10346405.33181729</v>
      </c>
      <c r="G10" s="44">
        <v>6967918.2825854067</v>
      </c>
      <c r="H10" s="44">
        <v>5539026.9090799065</v>
      </c>
      <c r="I10" s="44">
        <v>5017714.6767668258</v>
      </c>
      <c r="J10" s="44">
        <v>5006123.5287068645</v>
      </c>
      <c r="K10" s="44">
        <v>5071764.1491979938</v>
      </c>
      <c r="L10" s="44">
        <v>5396781.0343534015</v>
      </c>
      <c r="M10" s="44">
        <v>7249156.2241917057</v>
      </c>
      <c r="N10" s="44">
        <v>10710933.263111265</v>
      </c>
      <c r="O10" s="44">
        <v>12590077.000385735</v>
      </c>
    </row>
    <row r="11" spans="1:17" outlineLevel="1" x14ac:dyDescent="0.25">
      <c r="A11" s="28">
        <f t="shared" si="0"/>
        <v>44527.120283982847</v>
      </c>
      <c r="B11" s="28" t="s">
        <v>66</v>
      </c>
      <c r="C11" s="49" t="s">
        <v>122</v>
      </c>
      <c r="D11" s="52">
        <v>5923.8334170674761</v>
      </c>
      <c r="E11" s="52">
        <v>4239.6534316444831</v>
      </c>
      <c r="F11" s="52">
        <v>4180.824954264167</v>
      </c>
      <c r="G11" s="52">
        <v>3805.528553846153</v>
      </c>
      <c r="H11" s="52">
        <v>3170.035042461539</v>
      </c>
      <c r="I11" s="52">
        <v>3088.1946502759765</v>
      </c>
      <c r="J11" s="52">
        <v>3088.1946502759752</v>
      </c>
      <c r="K11" s="52">
        <v>3088.1946502759756</v>
      </c>
      <c r="L11" s="52">
        <v>3088.1946502759761</v>
      </c>
      <c r="M11" s="52">
        <v>3375.6181628458489</v>
      </c>
      <c r="N11" s="52">
        <v>4003.5481646284152</v>
      </c>
      <c r="O11" s="52">
        <v>3475.2999561208535</v>
      </c>
    </row>
    <row r="12" spans="1:17" outlineLevel="1" x14ac:dyDescent="0.25">
      <c r="A12" s="28">
        <f t="shared" si="0"/>
        <v>240000</v>
      </c>
      <c r="B12" s="28" t="s">
        <v>60</v>
      </c>
      <c r="C12" s="49" t="s">
        <v>123</v>
      </c>
      <c r="D12" s="52">
        <v>35300</v>
      </c>
      <c r="E12" s="52">
        <v>32000</v>
      </c>
      <c r="F12" s="52">
        <v>29500</v>
      </c>
      <c r="G12" s="52">
        <v>20000</v>
      </c>
      <c r="H12" s="52">
        <v>13000</v>
      </c>
      <c r="I12" s="52">
        <v>7500</v>
      </c>
      <c r="J12" s="52">
        <v>7500</v>
      </c>
      <c r="K12" s="52">
        <v>7000</v>
      </c>
      <c r="L12" s="52">
        <v>8000</v>
      </c>
      <c r="M12" s="52">
        <v>19700</v>
      </c>
      <c r="N12" s="52">
        <v>27500</v>
      </c>
      <c r="O12" s="52">
        <v>33000</v>
      </c>
    </row>
    <row r="13" spans="1:17" outlineLevel="1" x14ac:dyDescent="0.25">
      <c r="A13" s="52">
        <f>AVERAGE(D13:O13)</f>
        <v>22998.453343440819</v>
      </c>
      <c r="B13" s="28" t="s">
        <v>60</v>
      </c>
      <c r="C13" s="49" t="s">
        <v>124</v>
      </c>
      <c r="D13" s="52">
        <v>35300</v>
      </c>
      <c r="E13" s="52">
        <v>32000</v>
      </c>
      <c r="F13" s="52">
        <v>29500</v>
      </c>
      <c r="G13" s="52">
        <v>20000</v>
      </c>
      <c r="H13" s="52">
        <v>16665.599999999999</v>
      </c>
      <c r="I13" s="52">
        <v>16227.134917906773</v>
      </c>
      <c r="J13" s="52">
        <v>14930.785142738123</v>
      </c>
      <c r="K13" s="52">
        <v>14930.785142738123</v>
      </c>
      <c r="L13" s="52">
        <v>16227.134917906773</v>
      </c>
      <c r="M13" s="52">
        <v>19700</v>
      </c>
      <c r="N13" s="52">
        <v>27500</v>
      </c>
      <c r="O13" s="52">
        <v>33000</v>
      </c>
    </row>
    <row r="14" spans="1:17" outlineLevel="1" x14ac:dyDescent="0.25">
      <c r="A14" s="52">
        <f>AVERAGE(D14:O14)</f>
        <v>2628.8211545461631</v>
      </c>
      <c r="B14" s="28" t="s">
        <v>60</v>
      </c>
      <c r="C14" s="49" t="s">
        <v>125</v>
      </c>
      <c r="D14" s="52">
        <v>4389.4583343832583</v>
      </c>
      <c r="E14" s="52">
        <v>3967.9672043794671</v>
      </c>
      <c r="F14" s="52">
        <v>4389.4415059367557</v>
      </c>
      <c r="G14" s="52">
        <v>1803.2000000000003</v>
      </c>
      <c r="H14" s="52">
        <v>1583.232</v>
      </c>
      <c r="I14" s="52">
        <v>1539.0994442534738</v>
      </c>
      <c r="J14" s="52">
        <v>1E-14</v>
      </c>
      <c r="K14" s="52">
        <v>1E-14</v>
      </c>
      <c r="L14" s="52">
        <v>1539.0994442534738</v>
      </c>
      <c r="M14" s="52">
        <v>3542.7067193675903</v>
      </c>
      <c r="N14" s="52">
        <v>4204.3069964652113</v>
      </c>
      <c r="O14" s="52">
        <v>4587.3422055147348</v>
      </c>
    </row>
    <row r="15" spans="1:17" outlineLevel="1" x14ac:dyDescent="0.25">
      <c r="A15" s="28"/>
      <c r="B15" s="28"/>
      <c r="C15" s="49" t="s">
        <v>126</v>
      </c>
      <c r="D15" s="53">
        <v>0.17987223138450009</v>
      </c>
      <c r="E15" s="53">
        <v>0.17988446638748851</v>
      </c>
      <c r="F15" s="53">
        <v>0.17987222400387193</v>
      </c>
      <c r="G15" s="53">
        <v>9.0160000000000018E-2</v>
      </c>
      <c r="H15" s="53">
        <v>9.5000000000000001E-2</v>
      </c>
      <c r="I15" s="53">
        <v>9.4847269837823642E-2</v>
      </c>
      <c r="J15" s="53">
        <v>1E-14</v>
      </c>
      <c r="K15" s="53">
        <v>1E-14</v>
      </c>
      <c r="L15" s="53">
        <v>9.4847269837823642E-2</v>
      </c>
      <c r="M15" s="53">
        <v>0.17983282839429393</v>
      </c>
      <c r="N15" s="53">
        <v>0.17988272947856143</v>
      </c>
      <c r="O15" s="53">
        <v>0.17999259156624522</v>
      </c>
    </row>
    <row r="16" spans="1:17" outlineLevel="1" x14ac:dyDescent="0.25">
      <c r="A16" s="44">
        <f t="shared" si="0"/>
        <v>1989503.7772717127</v>
      </c>
      <c r="B16" s="44" t="s">
        <v>117</v>
      </c>
      <c r="C16" s="49" t="s">
        <v>127</v>
      </c>
      <c r="D16" s="44">
        <v>232806.54377663299</v>
      </c>
      <c r="E16" s="44">
        <v>210437.33174958016</v>
      </c>
      <c r="F16" s="44">
        <v>232805.660788045</v>
      </c>
      <c r="G16" s="44">
        <v>190800</v>
      </c>
      <c r="H16" s="44">
        <v>158989.82400000002</v>
      </c>
      <c r="I16" s="44">
        <v>154806.86711683063</v>
      </c>
      <c r="J16" s="44">
        <v>1E-14</v>
      </c>
      <c r="K16" s="44">
        <v>1E-14</v>
      </c>
      <c r="L16" s="44">
        <v>154806.86711683063</v>
      </c>
      <c r="M16" s="44">
        <v>187938.00000000003</v>
      </c>
      <c r="N16" s="44">
        <v>222973.53871905949</v>
      </c>
      <c r="O16" s="44">
        <v>243139.14400473406</v>
      </c>
    </row>
    <row r="17" spans="1:16" outlineLevel="1" x14ac:dyDescent="0.25">
      <c r="A17" s="28">
        <f t="shared" si="0"/>
        <v>35981.440121289794</v>
      </c>
      <c r="B17" s="28" t="s">
        <v>60</v>
      </c>
      <c r="C17" s="49" t="s">
        <v>128</v>
      </c>
      <c r="D17" s="28">
        <v>1E-14</v>
      </c>
      <c r="E17" s="28">
        <v>1E-14</v>
      </c>
      <c r="F17" s="28">
        <v>1E-14</v>
      </c>
      <c r="G17" s="28">
        <v>1E-14</v>
      </c>
      <c r="H17" s="28">
        <v>3665.5999999999976</v>
      </c>
      <c r="I17" s="28">
        <v>8727.1349179067729</v>
      </c>
      <c r="J17" s="28">
        <v>7430.7851427381229</v>
      </c>
      <c r="K17" s="28">
        <v>7930.7851427381229</v>
      </c>
      <c r="L17" s="28">
        <v>8227.1349179067729</v>
      </c>
      <c r="M17" s="28">
        <v>1E-14</v>
      </c>
      <c r="N17" s="28">
        <v>1E-14</v>
      </c>
      <c r="O17" s="28">
        <v>1E-14</v>
      </c>
    </row>
    <row r="18" spans="1:16" outlineLevel="1" x14ac:dyDescent="0.25"/>
    <row r="19" spans="1:16" x14ac:dyDescent="0.25">
      <c r="A19" s="54" t="s">
        <v>190</v>
      </c>
      <c r="B19" s="45" t="s">
        <v>67</v>
      </c>
      <c r="C19" s="46" t="s">
        <v>196</v>
      </c>
      <c r="D19" s="55" t="s">
        <v>1</v>
      </c>
      <c r="E19" s="55" t="s">
        <v>2</v>
      </c>
      <c r="F19" s="55" t="s">
        <v>3</v>
      </c>
      <c r="G19" s="55" t="s">
        <v>4</v>
      </c>
      <c r="H19" s="55" t="s">
        <v>5</v>
      </c>
      <c r="I19" s="55" t="s">
        <v>6</v>
      </c>
      <c r="J19" s="55" t="s">
        <v>7</v>
      </c>
      <c r="K19" s="55" t="s">
        <v>8</v>
      </c>
      <c r="L19" s="55" t="s">
        <v>9</v>
      </c>
      <c r="M19" s="55" t="s">
        <v>10</v>
      </c>
      <c r="N19" s="55" t="s">
        <v>11</v>
      </c>
      <c r="O19" s="55" t="s">
        <v>12</v>
      </c>
      <c r="P19" s="47"/>
    </row>
    <row r="20" spans="1:16" x14ac:dyDescent="0.25">
      <c r="A20" s="56">
        <f t="shared" si="0"/>
        <v>57424.012416524813</v>
      </c>
      <c r="B20" s="28" t="s">
        <v>60</v>
      </c>
      <c r="C20" s="49" t="s">
        <v>129</v>
      </c>
      <c r="D20" s="56">
        <v>6007.1587364254392</v>
      </c>
      <c r="E20" s="56">
        <v>5395.8205789473677</v>
      </c>
      <c r="F20" s="56">
        <v>6007.1587364254392</v>
      </c>
      <c r="G20" s="56">
        <v>4788</v>
      </c>
      <c r="H20" s="56">
        <v>4947.5999999999995</v>
      </c>
      <c r="I20" s="56">
        <v>4887.1349179067756</v>
      </c>
      <c r="J20" s="56">
        <v>1974.1388888888891</v>
      </c>
      <c r="K20" s="56">
        <v>1974.1388888888891</v>
      </c>
      <c r="L20" s="56">
        <v>4887.1349179067756</v>
      </c>
      <c r="M20" s="56">
        <v>4947.5999999999995</v>
      </c>
      <c r="N20" s="56">
        <v>5722.3966597678354</v>
      </c>
      <c r="O20" s="56">
        <v>5885.7300913673971</v>
      </c>
    </row>
    <row r="21" spans="1:16" x14ac:dyDescent="0.25">
      <c r="A21" s="56">
        <f t="shared" si="0"/>
        <v>180980.9307485859</v>
      </c>
      <c r="B21" s="28" t="s">
        <v>60</v>
      </c>
      <c r="C21" s="49" t="s">
        <v>130</v>
      </c>
      <c r="D21" s="56">
        <v>18396.042917309675</v>
      </c>
      <c r="E21" s="56">
        <v>16662.599939876545</v>
      </c>
      <c r="F21" s="56">
        <v>18395.950360853909</v>
      </c>
      <c r="G21" s="56">
        <v>15212</v>
      </c>
      <c r="H21" s="56">
        <v>11717.999999999998</v>
      </c>
      <c r="I21" s="56">
        <v>11339.999999999998</v>
      </c>
      <c r="J21" s="56">
        <v>12956.646253849234</v>
      </c>
      <c r="K21" s="56">
        <v>12956.646253849234</v>
      </c>
      <c r="L21" s="56">
        <v>11339.999999999998</v>
      </c>
      <c r="M21" s="56">
        <v>14752.400000000001</v>
      </c>
      <c r="N21" s="56">
        <v>17650.091675563344</v>
      </c>
      <c r="O21" s="56">
        <v>19600.553347283967</v>
      </c>
    </row>
    <row r="22" spans="1:16" x14ac:dyDescent="0.25">
      <c r="A22" s="56">
        <f t="shared" si="0"/>
        <v>23794.119128738108</v>
      </c>
      <c r="B22" s="28" t="s">
        <v>60</v>
      </c>
      <c r="C22" s="49" t="s">
        <v>131</v>
      </c>
      <c r="D22" s="56">
        <v>1E-14</v>
      </c>
      <c r="E22" s="56">
        <v>7056</v>
      </c>
      <c r="F22" s="56">
        <v>5096.8909027206537</v>
      </c>
      <c r="G22" s="56">
        <v>1E-14</v>
      </c>
      <c r="H22" s="56">
        <v>1E-14</v>
      </c>
      <c r="I22" s="56">
        <v>1E-14</v>
      </c>
      <c r="J22" s="56">
        <v>1E-14</v>
      </c>
      <c r="K22" s="56">
        <v>1E-14</v>
      </c>
      <c r="L22" s="56">
        <v>1E-14</v>
      </c>
      <c r="M22" s="56">
        <v>1E-14</v>
      </c>
      <c r="N22" s="56">
        <v>4127.5116646688184</v>
      </c>
      <c r="O22" s="56">
        <v>7513.7165613486359</v>
      </c>
    </row>
    <row r="23" spans="1:16" x14ac:dyDescent="0.25">
      <c r="A23" s="56">
        <f t="shared" si="0"/>
        <v>13782.377827440974</v>
      </c>
      <c r="B23" s="28" t="s">
        <v>60</v>
      </c>
      <c r="C23" s="49" t="s">
        <v>132</v>
      </c>
      <c r="D23" s="56">
        <v>10896.798346264888</v>
      </c>
      <c r="E23" s="56">
        <v>2885.5794811760861</v>
      </c>
      <c r="F23" s="56">
        <v>1E-14</v>
      </c>
      <c r="G23" s="56">
        <v>1E-14</v>
      </c>
      <c r="H23" s="56">
        <v>1E-14</v>
      </c>
      <c r="I23" s="56">
        <v>1E-14</v>
      </c>
      <c r="J23" s="56">
        <v>1E-14</v>
      </c>
      <c r="K23" s="56">
        <v>1E-14</v>
      </c>
      <c r="L23" s="56">
        <v>1E-14</v>
      </c>
      <c r="M23" s="56">
        <v>1E-14</v>
      </c>
      <c r="N23" s="56">
        <v>1E-14</v>
      </c>
      <c r="O23" s="56">
        <v>1E-14</v>
      </c>
    </row>
    <row r="24" spans="1:16" x14ac:dyDescent="0.25">
      <c r="A24" s="56">
        <f t="shared" si="0"/>
        <v>1.1999999999999997E-13</v>
      </c>
      <c r="B24" s="28" t="s">
        <v>60</v>
      </c>
      <c r="C24" s="49" t="s">
        <v>133</v>
      </c>
      <c r="D24" s="56">
        <v>1E-14</v>
      </c>
      <c r="E24" s="56">
        <v>1E-14</v>
      </c>
      <c r="F24" s="56">
        <v>1E-14</v>
      </c>
      <c r="G24" s="56">
        <v>1E-14</v>
      </c>
      <c r="H24" s="56">
        <v>1E-14</v>
      </c>
      <c r="I24" s="56">
        <v>1E-14</v>
      </c>
      <c r="J24" s="56">
        <v>1E-14</v>
      </c>
      <c r="K24" s="56">
        <v>1E-14</v>
      </c>
      <c r="L24" s="56">
        <v>1E-14</v>
      </c>
      <c r="M24" s="56">
        <v>1E-14</v>
      </c>
      <c r="N24" s="56">
        <v>1E-14</v>
      </c>
      <c r="O24" s="56">
        <v>1E-14</v>
      </c>
    </row>
    <row r="25" spans="1:16" x14ac:dyDescent="0.25">
      <c r="A25" s="56">
        <f t="shared" si="0"/>
        <v>-35981.440121289794</v>
      </c>
      <c r="B25" s="28" t="s">
        <v>60</v>
      </c>
      <c r="C25" s="49" t="s">
        <v>134</v>
      </c>
      <c r="D25" s="56">
        <v>-1E-14</v>
      </c>
      <c r="E25" s="56">
        <v>-1E-14</v>
      </c>
      <c r="F25" s="56">
        <v>-1E-14</v>
      </c>
      <c r="G25" s="56">
        <v>-1E-14</v>
      </c>
      <c r="H25" s="56">
        <v>-3665.5999999999976</v>
      </c>
      <c r="I25" s="56">
        <v>-8727.1349179067729</v>
      </c>
      <c r="J25" s="56">
        <v>-7430.7851427381229</v>
      </c>
      <c r="K25" s="56">
        <v>-7930.7851427381229</v>
      </c>
      <c r="L25" s="56">
        <v>-8227.1349179067729</v>
      </c>
      <c r="M25" s="56">
        <v>-1E-14</v>
      </c>
      <c r="N25" s="56">
        <v>-1E-14</v>
      </c>
      <c r="O25" s="56">
        <v>-1E-14</v>
      </c>
    </row>
    <row r="26" spans="1:16" x14ac:dyDescent="0.25">
      <c r="A26" s="8"/>
      <c r="B26" s="8"/>
      <c r="D26" s="8"/>
      <c r="E26" s="8"/>
      <c r="F26" s="8"/>
      <c r="G26" s="8"/>
      <c r="H26" s="8"/>
      <c r="I26" s="8"/>
      <c r="J26" s="8"/>
      <c r="K26" s="8"/>
      <c r="L26" s="8"/>
      <c r="M26" s="8"/>
      <c r="N26" s="8"/>
      <c r="O26" s="8"/>
    </row>
    <row r="27" spans="1:16" x14ac:dyDescent="0.25">
      <c r="A27" s="45" t="s">
        <v>197</v>
      </c>
      <c r="B27" s="45" t="s">
        <v>67</v>
      </c>
      <c r="C27" s="46"/>
      <c r="D27" s="55" t="s">
        <v>1</v>
      </c>
      <c r="E27" s="55" t="s">
        <v>2</v>
      </c>
      <c r="F27" s="55" t="s">
        <v>3</v>
      </c>
      <c r="G27" s="55" t="s">
        <v>4</v>
      </c>
      <c r="H27" s="55" t="s">
        <v>5</v>
      </c>
      <c r="I27" s="55" t="s">
        <v>6</v>
      </c>
      <c r="J27" s="55" t="s">
        <v>7</v>
      </c>
      <c r="K27" s="55" t="s">
        <v>8</v>
      </c>
      <c r="L27" s="55" t="s">
        <v>9</v>
      </c>
      <c r="M27" s="55" t="s">
        <v>10</v>
      </c>
      <c r="N27" s="55" t="s">
        <v>11</v>
      </c>
      <c r="O27" s="55" t="s">
        <v>12</v>
      </c>
    </row>
    <row r="28" spans="1:16" x14ac:dyDescent="0.25">
      <c r="A28" s="57">
        <f t="shared" si="0"/>
        <v>9093</v>
      </c>
      <c r="B28" s="58" t="s">
        <v>66</v>
      </c>
      <c r="C28" s="59" t="s">
        <v>14</v>
      </c>
      <c r="D28" s="57">
        <v>2811.7131287083421</v>
      </c>
      <c r="E28" s="57">
        <v>1777.5390037083337</v>
      </c>
      <c r="F28" s="57">
        <v>2812.1621287083417</v>
      </c>
      <c r="G28" s="57">
        <v>1E-14</v>
      </c>
      <c r="H28" s="57">
        <v>1E-14</v>
      </c>
      <c r="I28" s="57">
        <v>1E-14</v>
      </c>
      <c r="J28" s="57">
        <v>1E-14</v>
      </c>
      <c r="K28" s="57">
        <v>1E-14</v>
      </c>
      <c r="L28" s="57">
        <v>1E-14</v>
      </c>
      <c r="M28" s="57">
        <v>1E-14</v>
      </c>
      <c r="N28" s="57">
        <v>1691.5857388749826</v>
      </c>
      <c r="O28" s="57">
        <v>1E-14</v>
      </c>
    </row>
    <row r="29" spans="1:16" x14ac:dyDescent="0.25">
      <c r="A29" s="57">
        <f t="shared" si="0"/>
        <v>1.1999999999999997E-13</v>
      </c>
      <c r="B29" s="58" t="s">
        <v>66</v>
      </c>
      <c r="C29" s="59" t="s">
        <v>16</v>
      </c>
      <c r="D29" s="57">
        <v>1E-14</v>
      </c>
      <c r="E29" s="57">
        <v>1E-14</v>
      </c>
      <c r="F29" s="57">
        <v>1E-14</v>
      </c>
      <c r="G29" s="57">
        <v>1E-14</v>
      </c>
      <c r="H29" s="57">
        <v>1E-14</v>
      </c>
      <c r="I29" s="57">
        <v>1E-14</v>
      </c>
      <c r="J29" s="57">
        <v>1E-14</v>
      </c>
      <c r="K29" s="57">
        <v>1E-14</v>
      </c>
      <c r="L29" s="57">
        <v>1E-14</v>
      </c>
      <c r="M29" s="57">
        <v>1E-14</v>
      </c>
      <c r="N29" s="57">
        <v>1E-14</v>
      </c>
      <c r="O29" s="57">
        <v>1E-14</v>
      </c>
    </row>
    <row r="30" spans="1:16" x14ac:dyDescent="0.25">
      <c r="A30" s="57">
        <f t="shared" si="0"/>
        <v>1.1999999999999997E-13</v>
      </c>
      <c r="B30" s="58" t="s">
        <v>66</v>
      </c>
      <c r="C30" s="59" t="s">
        <v>18</v>
      </c>
      <c r="D30" s="57">
        <v>1E-14</v>
      </c>
      <c r="E30" s="57">
        <v>1E-14</v>
      </c>
      <c r="F30" s="57">
        <v>1E-14</v>
      </c>
      <c r="G30" s="57">
        <v>1E-14</v>
      </c>
      <c r="H30" s="57">
        <v>1E-14</v>
      </c>
      <c r="I30" s="57">
        <v>1E-14</v>
      </c>
      <c r="J30" s="57">
        <v>1E-14</v>
      </c>
      <c r="K30" s="57">
        <v>1E-14</v>
      </c>
      <c r="L30" s="57">
        <v>1E-14</v>
      </c>
      <c r="M30" s="57">
        <v>1E-14</v>
      </c>
      <c r="N30" s="57">
        <v>1E-14</v>
      </c>
      <c r="O30" s="57">
        <v>1E-14</v>
      </c>
    </row>
    <row r="31" spans="1:16" x14ac:dyDescent="0.25">
      <c r="A31" s="57">
        <f t="shared" si="0"/>
        <v>28869</v>
      </c>
      <c r="B31" s="58" t="s">
        <v>66</v>
      </c>
      <c r="C31" s="59" t="s">
        <v>20</v>
      </c>
      <c r="D31" s="57">
        <v>2405.9905749999998</v>
      </c>
      <c r="E31" s="57">
        <v>2404.7877000000008</v>
      </c>
      <c r="F31" s="57">
        <v>2405.9905749999998</v>
      </c>
      <c r="G31" s="57">
        <v>2405.75</v>
      </c>
      <c r="H31" s="57">
        <v>2405.75</v>
      </c>
      <c r="I31" s="57">
        <v>2405.75</v>
      </c>
      <c r="J31" s="57">
        <v>2405.75</v>
      </c>
      <c r="K31" s="57">
        <v>2405.75</v>
      </c>
      <c r="L31" s="57">
        <v>2405.75</v>
      </c>
      <c r="M31" s="57">
        <v>2405.75</v>
      </c>
      <c r="N31" s="57">
        <v>2405.9905749999998</v>
      </c>
      <c r="O31" s="57">
        <v>2405.9905749999998</v>
      </c>
    </row>
    <row r="32" spans="1:16" x14ac:dyDescent="0.25">
      <c r="A32" s="57">
        <f t="shared" si="0"/>
        <v>3500</v>
      </c>
      <c r="B32" s="58" t="s">
        <v>66</v>
      </c>
      <c r="C32" s="59" t="s">
        <v>22</v>
      </c>
      <c r="D32" s="57">
        <v>291.69583333333333</v>
      </c>
      <c r="E32" s="57">
        <v>291.6375000000001</v>
      </c>
      <c r="F32" s="57">
        <v>291.66666666666669</v>
      </c>
      <c r="G32" s="57">
        <v>291.66666666666669</v>
      </c>
      <c r="H32" s="57">
        <v>291.66666666666669</v>
      </c>
      <c r="I32" s="57">
        <v>291.66666666666669</v>
      </c>
      <c r="J32" s="57">
        <v>291.66666666666669</v>
      </c>
      <c r="K32" s="57">
        <v>291.66666666666669</v>
      </c>
      <c r="L32" s="57">
        <v>291.66666666666669</v>
      </c>
      <c r="M32" s="57">
        <v>291.66666666666669</v>
      </c>
      <c r="N32" s="57">
        <v>291.66666666666669</v>
      </c>
      <c r="O32" s="57">
        <v>291.66666666666669</v>
      </c>
    </row>
    <row r="33" spans="1:15" x14ac:dyDescent="0.25">
      <c r="A33" s="57">
        <f t="shared" si="0"/>
        <v>1.1999999999999997E-13</v>
      </c>
      <c r="B33" s="58" t="s">
        <v>66</v>
      </c>
      <c r="C33" s="59" t="s">
        <v>24</v>
      </c>
      <c r="D33" s="57">
        <v>1E-14</v>
      </c>
      <c r="E33" s="57">
        <v>1E-14</v>
      </c>
      <c r="F33" s="57">
        <v>1E-14</v>
      </c>
      <c r="G33" s="57">
        <v>1E-14</v>
      </c>
      <c r="H33" s="57">
        <v>1E-14</v>
      </c>
      <c r="I33" s="57">
        <v>1E-14</v>
      </c>
      <c r="J33" s="57">
        <v>1E-14</v>
      </c>
      <c r="K33" s="57">
        <v>1E-14</v>
      </c>
      <c r="L33" s="57">
        <v>1E-14</v>
      </c>
      <c r="M33" s="57">
        <v>1E-14</v>
      </c>
      <c r="N33" s="57">
        <v>1E-14</v>
      </c>
      <c r="O33" s="57">
        <v>1E-14</v>
      </c>
    </row>
    <row r="34" spans="1:15" x14ac:dyDescent="0.25">
      <c r="A34" s="57">
        <f t="shared" si="0"/>
        <v>1.1999999999999997E-13</v>
      </c>
      <c r="B34" s="58" t="s">
        <v>66</v>
      </c>
      <c r="C34" s="59" t="s">
        <v>26</v>
      </c>
      <c r="D34" s="57">
        <v>1E-14</v>
      </c>
      <c r="E34" s="57">
        <v>1E-14</v>
      </c>
      <c r="F34" s="57">
        <v>1E-14</v>
      </c>
      <c r="G34" s="57">
        <v>1E-14</v>
      </c>
      <c r="H34" s="57">
        <v>1E-14</v>
      </c>
      <c r="I34" s="57">
        <v>1E-14</v>
      </c>
      <c r="J34" s="57">
        <v>1E-14</v>
      </c>
      <c r="K34" s="57">
        <v>1E-14</v>
      </c>
      <c r="L34" s="57">
        <v>1E-14</v>
      </c>
      <c r="M34" s="57">
        <v>1E-14</v>
      </c>
      <c r="N34" s="57">
        <v>1E-14</v>
      </c>
      <c r="O34" s="57">
        <v>1E-14</v>
      </c>
    </row>
    <row r="35" spans="1:15" x14ac:dyDescent="0.25">
      <c r="A35" s="57">
        <f t="shared" si="0"/>
        <v>7800.0000000000009</v>
      </c>
      <c r="B35" s="58" t="s">
        <v>66</v>
      </c>
      <c r="C35" s="59" t="s">
        <v>28</v>
      </c>
      <c r="D35" s="57">
        <v>650.06499999999994</v>
      </c>
      <c r="E35" s="57">
        <v>649.54500000000189</v>
      </c>
      <c r="F35" s="57">
        <v>650.06499999999994</v>
      </c>
      <c r="G35" s="57">
        <v>650.06499999999994</v>
      </c>
      <c r="H35" s="57">
        <v>650.06499999999994</v>
      </c>
      <c r="I35" s="57">
        <v>650</v>
      </c>
      <c r="J35" s="57">
        <v>650</v>
      </c>
      <c r="K35" s="57">
        <v>650</v>
      </c>
      <c r="L35" s="57">
        <v>650</v>
      </c>
      <c r="M35" s="57">
        <v>650.06499999999994</v>
      </c>
      <c r="N35" s="57">
        <v>650.06499999999994</v>
      </c>
      <c r="O35" s="57">
        <v>650.06499999999994</v>
      </c>
    </row>
    <row r="36" spans="1:15" x14ac:dyDescent="0.25">
      <c r="A36" s="57">
        <f t="shared" si="0"/>
        <v>1.1999999999999997E-13</v>
      </c>
      <c r="B36" s="58" t="s">
        <v>66</v>
      </c>
      <c r="C36" s="59" t="s">
        <v>30</v>
      </c>
      <c r="D36" s="57">
        <v>1E-14</v>
      </c>
      <c r="E36" s="57">
        <v>1E-14</v>
      </c>
      <c r="F36" s="57">
        <v>1E-14</v>
      </c>
      <c r="G36" s="57">
        <v>1E-14</v>
      </c>
      <c r="H36" s="57">
        <v>1E-14</v>
      </c>
      <c r="I36" s="57">
        <v>1E-14</v>
      </c>
      <c r="J36" s="57">
        <v>1E-14</v>
      </c>
      <c r="K36" s="57">
        <v>1E-14</v>
      </c>
      <c r="L36" s="57">
        <v>1E-14</v>
      </c>
      <c r="M36" s="57">
        <v>1E-14</v>
      </c>
      <c r="N36" s="57">
        <v>1E-14</v>
      </c>
      <c r="O36" s="57">
        <v>1E-14</v>
      </c>
    </row>
    <row r="37" spans="1:15" x14ac:dyDescent="0.25">
      <c r="A37" s="57">
        <f t="shared" si="0"/>
        <v>1.1999999999999997E-13</v>
      </c>
      <c r="B37" s="58" t="s">
        <v>66</v>
      </c>
      <c r="C37" s="59" t="s">
        <v>32</v>
      </c>
      <c r="D37" s="57">
        <v>1E-14</v>
      </c>
      <c r="E37" s="57">
        <v>1E-14</v>
      </c>
      <c r="F37" s="57">
        <v>1E-14</v>
      </c>
      <c r="G37" s="57">
        <v>1E-14</v>
      </c>
      <c r="H37" s="57">
        <v>1E-14</v>
      </c>
      <c r="I37" s="57">
        <v>1E-14</v>
      </c>
      <c r="J37" s="57">
        <v>1E-14</v>
      </c>
      <c r="K37" s="57">
        <v>1E-14</v>
      </c>
      <c r="L37" s="57">
        <v>1E-14</v>
      </c>
      <c r="M37" s="57">
        <v>1E-14</v>
      </c>
      <c r="N37" s="57">
        <v>1E-14</v>
      </c>
      <c r="O37" s="57">
        <v>1E-14</v>
      </c>
    </row>
    <row r="38" spans="1:15" x14ac:dyDescent="0.25">
      <c r="A38" s="57">
        <f t="shared" si="0"/>
        <v>5200</v>
      </c>
      <c r="B38" s="58" t="s">
        <v>66</v>
      </c>
      <c r="C38" s="59" t="s">
        <v>34</v>
      </c>
      <c r="D38" s="57">
        <v>1E-14</v>
      </c>
      <c r="E38" s="57">
        <v>1E-14</v>
      </c>
      <c r="F38" s="57">
        <v>1E-14</v>
      </c>
      <c r="G38" s="57">
        <v>2154.090866577109</v>
      </c>
      <c r="H38" s="57">
        <v>245.70194350018937</v>
      </c>
      <c r="I38" s="57">
        <v>1E-14</v>
      </c>
      <c r="J38" s="57">
        <v>1E-14</v>
      </c>
      <c r="K38" s="57">
        <v>1E-14</v>
      </c>
      <c r="L38" s="57">
        <v>1E-14</v>
      </c>
      <c r="M38" s="57">
        <v>863.06867138100085</v>
      </c>
      <c r="N38" s="57">
        <v>774.97638983335946</v>
      </c>
      <c r="O38" s="57">
        <v>1162.1621287083412</v>
      </c>
    </row>
    <row r="39" spans="1:15" x14ac:dyDescent="0.25">
      <c r="A39" s="57">
        <f t="shared" si="0"/>
        <v>500</v>
      </c>
      <c r="B39" s="58" t="s">
        <v>66</v>
      </c>
      <c r="C39" s="59" t="s">
        <v>36</v>
      </c>
      <c r="D39" s="57">
        <v>41.670833333333327</v>
      </c>
      <c r="E39" s="57">
        <v>41.662499999999959</v>
      </c>
      <c r="F39" s="57">
        <v>41.666666666666664</v>
      </c>
      <c r="G39" s="57">
        <v>41.666666666666664</v>
      </c>
      <c r="H39" s="57">
        <v>41.666666666666664</v>
      </c>
      <c r="I39" s="57">
        <v>41.666666666666664</v>
      </c>
      <c r="J39" s="57">
        <v>41.666666666666664</v>
      </c>
      <c r="K39" s="57">
        <v>41.666666666666664</v>
      </c>
      <c r="L39" s="57">
        <v>41.666666666666664</v>
      </c>
      <c r="M39" s="57">
        <v>41.666666666666664</v>
      </c>
      <c r="N39" s="57">
        <v>41.666666666666664</v>
      </c>
      <c r="O39" s="57">
        <v>41.666666666666664</v>
      </c>
    </row>
    <row r="40" spans="1:15" x14ac:dyDescent="0.25">
      <c r="A40" s="57">
        <f t="shared" si="0"/>
        <v>1.1999999999999997E-13</v>
      </c>
      <c r="B40" s="58" t="s">
        <v>66</v>
      </c>
      <c r="C40" s="59" t="s">
        <v>38</v>
      </c>
      <c r="D40" s="57">
        <v>1E-14</v>
      </c>
      <c r="E40" s="57">
        <v>1E-14</v>
      </c>
      <c r="F40" s="57">
        <v>1E-14</v>
      </c>
      <c r="G40" s="57">
        <v>1E-14</v>
      </c>
      <c r="H40" s="57">
        <v>1E-14</v>
      </c>
      <c r="I40" s="57">
        <v>1E-14</v>
      </c>
      <c r="J40" s="57">
        <v>1E-14</v>
      </c>
      <c r="K40" s="57">
        <v>1E-14</v>
      </c>
      <c r="L40" s="57">
        <v>1E-14</v>
      </c>
      <c r="M40" s="57">
        <v>1E-14</v>
      </c>
      <c r="N40" s="57">
        <v>1E-14</v>
      </c>
      <c r="O40" s="57">
        <v>1E-14</v>
      </c>
    </row>
    <row r="41" spans="1:15" x14ac:dyDescent="0.25">
      <c r="A41" s="57">
        <f t="shared" si="0"/>
        <v>1.1999999999999997E-13</v>
      </c>
      <c r="B41" s="58" t="s">
        <v>66</v>
      </c>
      <c r="C41" s="59" t="s">
        <v>40</v>
      </c>
      <c r="D41" s="57">
        <v>1E-14</v>
      </c>
      <c r="E41" s="57">
        <v>1E-14</v>
      </c>
      <c r="F41" s="57">
        <v>1E-14</v>
      </c>
      <c r="G41" s="57">
        <v>1E-14</v>
      </c>
      <c r="H41" s="57">
        <v>1E-14</v>
      </c>
      <c r="I41" s="57">
        <v>1E-14</v>
      </c>
      <c r="J41" s="57">
        <v>1E-14</v>
      </c>
      <c r="K41" s="57">
        <v>1E-14</v>
      </c>
      <c r="L41" s="57">
        <v>1E-14</v>
      </c>
      <c r="M41" s="57">
        <v>1E-14</v>
      </c>
      <c r="N41" s="57">
        <v>1E-14</v>
      </c>
      <c r="O41" s="57">
        <v>1E-14</v>
      </c>
    </row>
    <row r="42" spans="1:15" x14ac:dyDescent="0.25">
      <c r="A42" s="57">
        <f t="shared" si="0"/>
        <v>1.1999999999999997E-13</v>
      </c>
      <c r="B42" s="58" t="s">
        <v>66</v>
      </c>
      <c r="C42" s="59" t="s">
        <v>42</v>
      </c>
      <c r="D42" s="57">
        <v>1E-14</v>
      </c>
      <c r="E42" s="57">
        <v>1E-14</v>
      </c>
      <c r="F42" s="57">
        <v>1E-14</v>
      </c>
      <c r="G42" s="57">
        <v>1E-14</v>
      </c>
      <c r="H42" s="57">
        <v>1E-14</v>
      </c>
      <c r="I42" s="57">
        <v>1E-14</v>
      </c>
      <c r="J42" s="57">
        <v>1E-14</v>
      </c>
      <c r="K42" s="57">
        <v>1E-14</v>
      </c>
      <c r="L42" s="57">
        <v>1E-14</v>
      </c>
      <c r="M42" s="57">
        <v>1E-14</v>
      </c>
      <c r="N42" s="57">
        <v>1E-14</v>
      </c>
      <c r="O42" s="57">
        <v>1E-14</v>
      </c>
    </row>
    <row r="43" spans="1:15" x14ac:dyDescent="0.25">
      <c r="A43" s="57">
        <f t="shared" si="0"/>
        <v>1.1999999999999997E-13</v>
      </c>
      <c r="B43" s="58" t="s">
        <v>66</v>
      </c>
      <c r="C43" s="59" t="s">
        <v>44</v>
      </c>
      <c r="D43" s="57">
        <v>1E-14</v>
      </c>
      <c r="E43" s="57">
        <v>1E-14</v>
      </c>
      <c r="F43" s="57">
        <v>1E-14</v>
      </c>
      <c r="G43" s="57">
        <v>1E-14</v>
      </c>
      <c r="H43" s="57">
        <v>1E-14</v>
      </c>
      <c r="I43" s="57">
        <v>1E-14</v>
      </c>
      <c r="J43" s="57">
        <v>1E-14</v>
      </c>
      <c r="K43" s="57">
        <v>1E-14</v>
      </c>
      <c r="L43" s="57">
        <v>1E-14</v>
      </c>
      <c r="M43" s="57">
        <v>1E-14</v>
      </c>
      <c r="N43" s="57">
        <v>1E-14</v>
      </c>
      <c r="O43" s="57">
        <v>1E-14</v>
      </c>
    </row>
    <row r="44" spans="1:15" x14ac:dyDescent="0.25">
      <c r="A44" s="57">
        <f t="shared" si="0"/>
        <v>1.1999999999999997E-13</v>
      </c>
      <c r="B44" s="58" t="s">
        <v>66</v>
      </c>
      <c r="C44" s="59" t="s">
        <v>46</v>
      </c>
      <c r="D44" s="57">
        <v>1E-14</v>
      </c>
      <c r="E44" s="57">
        <v>1E-14</v>
      </c>
      <c r="F44" s="57">
        <v>1E-14</v>
      </c>
      <c r="G44" s="57">
        <v>1E-14</v>
      </c>
      <c r="H44" s="57">
        <v>1E-14</v>
      </c>
      <c r="I44" s="57">
        <v>1E-14</v>
      </c>
      <c r="J44" s="57">
        <v>1E-14</v>
      </c>
      <c r="K44" s="57">
        <v>1E-14</v>
      </c>
      <c r="L44" s="57">
        <v>1E-14</v>
      </c>
      <c r="M44" s="57">
        <v>1E-14</v>
      </c>
      <c r="N44" s="57">
        <v>1E-14</v>
      </c>
      <c r="O44" s="57">
        <v>1E-14</v>
      </c>
    </row>
    <row r="45" spans="1:15" x14ac:dyDescent="0.25">
      <c r="A45" s="57">
        <f t="shared" si="0"/>
        <v>150.00000000000011</v>
      </c>
      <c r="B45" s="58" t="s">
        <v>66</v>
      </c>
      <c r="C45" s="59" t="s">
        <v>69</v>
      </c>
      <c r="D45" s="57">
        <v>1E-14</v>
      </c>
      <c r="E45" s="57">
        <v>1E-14</v>
      </c>
      <c r="F45" s="57">
        <v>1E-14</v>
      </c>
      <c r="G45" s="57">
        <v>1E-14</v>
      </c>
      <c r="H45" s="57">
        <v>1E-14</v>
      </c>
      <c r="I45" s="57">
        <v>1E-14</v>
      </c>
      <c r="J45" s="57">
        <v>1E-14</v>
      </c>
      <c r="K45" s="57">
        <v>1E-14</v>
      </c>
      <c r="L45" s="57">
        <v>1E-14</v>
      </c>
      <c r="M45" s="57">
        <v>1E-14</v>
      </c>
      <c r="N45" s="57">
        <v>1E-14</v>
      </c>
      <c r="O45" s="57">
        <v>150</v>
      </c>
    </row>
    <row r="46" spans="1:15" x14ac:dyDescent="0.25">
      <c r="A46" s="57">
        <f t="shared" si="0"/>
        <v>1500</v>
      </c>
      <c r="B46" s="58" t="s">
        <v>66</v>
      </c>
      <c r="C46" s="59" t="s">
        <v>50</v>
      </c>
      <c r="D46" s="57">
        <v>1E-14</v>
      </c>
      <c r="E46" s="57">
        <v>1E-14</v>
      </c>
      <c r="F46" s="57">
        <v>1E-14</v>
      </c>
      <c r="G46" s="57">
        <v>1E-14</v>
      </c>
      <c r="H46" s="57">
        <v>1E-14</v>
      </c>
      <c r="I46" s="57">
        <v>1E-14</v>
      </c>
      <c r="J46" s="57">
        <v>1E-14</v>
      </c>
      <c r="K46" s="57">
        <v>1E-14</v>
      </c>
      <c r="L46" s="57">
        <v>1E-14</v>
      </c>
      <c r="M46" s="57">
        <v>1E-14</v>
      </c>
      <c r="N46" s="57">
        <v>1E-14</v>
      </c>
      <c r="O46" s="57">
        <v>1500</v>
      </c>
    </row>
    <row r="47" spans="1:15" x14ac:dyDescent="0.25">
      <c r="A47" s="57">
        <f t="shared" si="0"/>
        <v>1.1999999999999997E-13</v>
      </c>
      <c r="B47" s="58" t="s">
        <v>66</v>
      </c>
      <c r="C47" s="59" t="s">
        <v>52</v>
      </c>
      <c r="D47" s="57">
        <v>1E-14</v>
      </c>
      <c r="E47" s="57">
        <v>1E-14</v>
      </c>
      <c r="F47" s="57">
        <v>1E-14</v>
      </c>
      <c r="G47" s="57">
        <v>1E-14</v>
      </c>
      <c r="H47" s="57">
        <v>1E-14</v>
      </c>
      <c r="I47" s="57">
        <v>1E-14</v>
      </c>
      <c r="J47" s="57">
        <v>1E-14</v>
      </c>
      <c r="K47" s="57">
        <v>1E-14</v>
      </c>
      <c r="L47" s="57">
        <v>1E-14</v>
      </c>
      <c r="M47" s="57">
        <v>1E-14</v>
      </c>
      <c r="N47" s="57">
        <v>1E-14</v>
      </c>
      <c r="O47" s="57">
        <v>1E-14</v>
      </c>
    </row>
    <row r="48" spans="1:15" x14ac:dyDescent="0.25">
      <c r="A48" s="57">
        <f t="shared" si="0"/>
        <v>120</v>
      </c>
      <c r="B48" s="58" t="s">
        <v>66</v>
      </c>
      <c r="C48" s="59" t="s">
        <v>55</v>
      </c>
      <c r="D48" s="57">
        <v>10</v>
      </c>
      <c r="E48" s="57">
        <v>9.9969999999999857</v>
      </c>
      <c r="F48" s="57">
        <v>10.000999999999999</v>
      </c>
      <c r="G48" s="57">
        <v>10</v>
      </c>
      <c r="H48" s="57">
        <v>10</v>
      </c>
      <c r="I48" s="57">
        <v>10</v>
      </c>
      <c r="J48" s="57">
        <v>10</v>
      </c>
      <c r="K48" s="57">
        <v>10</v>
      </c>
      <c r="L48" s="57">
        <v>10</v>
      </c>
      <c r="M48" s="57">
        <v>10</v>
      </c>
      <c r="N48" s="57">
        <v>10.000999999999999</v>
      </c>
      <c r="O48" s="57">
        <v>10.000999999999999</v>
      </c>
    </row>
    <row r="49" spans="1:16" x14ac:dyDescent="0.25">
      <c r="A49" s="57">
        <f t="shared" si="0"/>
        <v>50000</v>
      </c>
      <c r="B49" s="58" t="s">
        <v>66</v>
      </c>
      <c r="C49" s="59" t="s">
        <v>85</v>
      </c>
      <c r="D49" s="57">
        <v>4167.0833333333339</v>
      </c>
      <c r="E49" s="57">
        <v>4166.2500000000045</v>
      </c>
      <c r="F49" s="57">
        <v>4166.666666666667</v>
      </c>
      <c r="G49" s="57">
        <v>4166.666666666667</v>
      </c>
      <c r="H49" s="57">
        <v>4166.666666666667</v>
      </c>
      <c r="I49" s="57">
        <v>4166.666666666667</v>
      </c>
      <c r="J49" s="57">
        <v>4166.666666666667</v>
      </c>
      <c r="K49" s="57">
        <v>4166.666666666667</v>
      </c>
      <c r="L49" s="57">
        <v>4166.666666666667</v>
      </c>
      <c r="M49" s="57">
        <v>4166.666666666667</v>
      </c>
      <c r="N49" s="57">
        <v>4166.666666666667</v>
      </c>
      <c r="O49" s="57">
        <v>4166.666666666667</v>
      </c>
    </row>
    <row r="50" spans="1:16" x14ac:dyDescent="0.25">
      <c r="A50" s="57">
        <f t="shared" si="0"/>
        <v>4024.5755554999</v>
      </c>
      <c r="B50" s="58" t="s">
        <v>66</v>
      </c>
      <c r="C50" s="59" t="s">
        <v>87</v>
      </c>
      <c r="D50" s="57">
        <v>335.38129629165815</v>
      </c>
      <c r="E50" s="57">
        <v>335.38129629165883</v>
      </c>
      <c r="F50" s="57">
        <v>335.3812962916586</v>
      </c>
      <c r="G50" s="57">
        <v>335.3812962916586</v>
      </c>
      <c r="H50" s="57">
        <v>335.38129629165837</v>
      </c>
      <c r="I50" s="57">
        <v>335.38129629165837</v>
      </c>
      <c r="J50" s="57">
        <v>335.38129629165746</v>
      </c>
      <c r="K50" s="57">
        <v>335.38129629165837</v>
      </c>
      <c r="L50" s="57">
        <v>335.38129629165837</v>
      </c>
      <c r="M50" s="57">
        <v>335.38129629165837</v>
      </c>
      <c r="N50" s="57">
        <v>335.38129629165837</v>
      </c>
      <c r="O50" s="57">
        <v>335.3812962916586</v>
      </c>
    </row>
    <row r="51" spans="1:16" x14ac:dyDescent="0.25">
      <c r="A51" s="57">
        <f>SUM(D51:O51)</f>
        <v>0</v>
      </c>
      <c r="B51" s="58" t="s">
        <v>66</v>
      </c>
      <c r="C51" s="59" t="s">
        <v>102</v>
      </c>
      <c r="D51" s="57"/>
      <c r="E51" s="57"/>
      <c r="F51" s="57"/>
      <c r="G51" s="57"/>
      <c r="H51" s="57"/>
      <c r="I51" s="57"/>
      <c r="J51" s="57"/>
      <c r="K51" s="57"/>
      <c r="L51" s="57"/>
      <c r="M51" s="57"/>
      <c r="N51" s="57"/>
      <c r="O51" s="57"/>
    </row>
    <row r="52" spans="1:16" x14ac:dyDescent="0.25">
      <c r="A52" s="57">
        <f>SUM(D52:O52)</f>
        <v>0</v>
      </c>
      <c r="B52" s="58" t="s">
        <v>66</v>
      </c>
      <c r="C52" s="59" t="s">
        <v>104</v>
      </c>
      <c r="D52" s="57"/>
      <c r="E52" s="57"/>
      <c r="F52" s="57"/>
      <c r="G52" s="57"/>
      <c r="H52" s="57"/>
      <c r="I52" s="57"/>
      <c r="J52" s="57"/>
      <c r="K52" s="57"/>
      <c r="L52" s="57"/>
      <c r="M52" s="57"/>
      <c r="N52" s="57"/>
      <c r="O52" s="57"/>
    </row>
    <row r="53" spans="1:16" x14ac:dyDescent="0.25">
      <c r="A53" s="57">
        <f>SUM(D53:O53)</f>
        <v>0</v>
      </c>
      <c r="B53" s="58" t="s">
        <v>66</v>
      </c>
      <c r="C53" s="59" t="s">
        <v>106</v>
      </c>
      <c r="D53" s="57"/>
      <c r="E53" s="57"/>
      <c r="F53" s="57"/>
      <c r="G53" s="57"/>
      <c r="H53" s="57"/>
      <c r="I53" s="57"/>
      <c r="J53" s="57"/>
      <c r="K53" s="57"/>
      <c r="L53" s="57"/>
      <c r="M53" s="57"/>
      <c r="N53" s="57"/>
      <c r="O53" s="57"/>
    </row>
    <row r="54" spans="1:16" x14ac:dyDescent="0.25">
      <c r="A54" s="57">
        <f t="shared" si="0"/>
        <v>10720.754551121048</v>
      </c>
      <c r="B54" s="58" t="s">
        <v>66</v>
      </c>
      <c r="C54" s="59" t="s">
        <v>48</v>
      </c>
      <c r="D54" s="57">
        <v>1E-14</v>
      </c>
      <c r="E54" s="57">
        <v>3179.1739674593241</v>
      </c>
      <c r="F54" s="57">
        <v>2296.4714955937861</v>
      </c>
      <c r="G54" s="57">
        <v>1E-14</v>
      </c>
      <c r="H54" s="57">
        <v>1E-14</v>
      </c>
      <c r="I54" s="57">
        <v>1E-14</v>
      </c>
      <c r="J54" s="57">
        <v>1E-14</v>
      </c>
      <c r="K54" s="57">
        <v>1E-14</v>
      </c>
      <c r="L54" s="57">
        <v>1E-14</v>
      </c>
      <c r="M54" s="57">
        <v>1E-14</v>
      </c>
      <c r="N54" s="57">
        <v>1859.7048802012198</v>
      </c>
      <c r="O54" s="57">
        <v>3385.4042078667194</v>
      </c>
    </row>
    <row r="55" spans="1:16" x14ac:dyDescent="0.25">
      <c r="A55" s="57">
        <f t="shared" si="0"/>
        <v>1.1999999999999997E-13</v>
      </c>
      <c r="B55" s="58" t="s">
        <v>66</v>
      </c>
      <c r="C55" s="59" t="s">
        <v>65</v>
      </c>
      <c r="D55" s="57">
        <v>1E-14</v>
      </c>
      <c r="E55" s="57">
        <v>1E-14</v>
      </c>
      <c r="F55" s="57">
        <v>1E-14</v>
      </c>
      <c r="G55" s="57">
        <v>1E-14</v>
      </c>
      <c r="H55" s="57">
        <v>1E-14</v>
      </c>
      <c r="I55" s="57">
        <v>1E-14</v>
      </c>
      <c r="J55" s="57">
        <v>1E-14</v>
      </c>
      <c r="K55" s="57">
        <v>1E-14</v>
      </c>
      <c r="L55" s="57">
        <v>1E-14</v>
      </c>
      <c r="M55" s="57">
        <v>1E-14</v>
      </c>
      <c r="N55" s="57">
        <v>1E-14</v>
      </c>
      <c r="O55" s="57">
        <v>1E-14</v>
      </c>
    </row>
    <row r="56" spans="1:16" x14ac:dyDescent="0.25">
      <c r="A56" s="57">
        <f t="shared" si="0"/>
        <v>1127.6490949724432</v>
      </c>
      <c r="B56" s="58" t="s">
        <v>66</v>
      </c>
      <c r="C56" s="59" t="s">
        <v>76</v>
      </c>
      <c r="D56" s="57">
        <v>891.55622833076347</v>
      </c>
      <c r="E56" s="57">
        <v>236.09286664167976</v>
      </c>
      <c r="F56" s="57">
        <v>1E-14</v>
      </c>
      <c r="G56" s="57">
        <v>1E-14</v>
      </c>
      <c r="H56" s="57">
        <v>1E-14</v>
      </c>
      <c r="I56" s="57">
        <v>1E-14</v>
      </c>
      <c r="J56" s="57">
        <v>1E-14</v>
      </c>
      <c r="K56" s="57">
        <v>1E-14</v>
      </c>
      <c r="L56" s="57">
        <v>1E-14</v>
      </c>
      <c r="M56" s="57">
        <v>1E-14</v>
      </c>
      <c r="N56" s="57">
        <v>1E-14</v>
      </c>
      <c r="O56" s="57">
        <v>1E-14</v>
      </c>
    </row>
    <row r="57" spans="1:16" x14ac:dyDescent="0.25">
      <c r="A57" s="28">
        <f t="shared" si="0"/>
        <v>0</v>
      </c>
      <c r="B57" s="58" t="s">
        <v>66</v>
      </c>
      <c r="C57" s="59"/>
      <c r="D57" s="57"/>
      <c r="E57" s="57"/>
      <c r="F57" s="57"/>
      <c r="G57" s="57"/>
      <c r="H57" s="57"/>
      <c r="I57" s="57"/>
      <c r="J57" s="57"/>
      <c r="K57" s="57"/>
      <c r="L57" s="57"/>
      <c r="M57" s="57"/>
      <c r="N57" s="57"/>
      <c r="O57" s="57"/>
    </row>
    <row r="58" spans="1:16" x14ac:dyDescent="0.25">
      <c r="A58" s="28"/>
      <c r="B58" s="28"/>
      <c r="C58" s="60"/>
      <c r="D58" s="8"/>
      <c r="E58" s="8"/>
      <c r="F58" s="8"/>
      <c r="G58" s="8"/>
      <c r="H58" s="8"/>
      <c r="I58" s="8"/>
      <c r="J58" s="8"/>
      <c r="K58" s="8"/>
      <c r="L58" s="8"/>
      <c r="M58" s="8"/>
      <c r="N58" s="8"/>
      <c r="O58" s="8"/>
    </row>
    <row r="59" spans="1:16" x14ac:dyDescent="0.25">
      <c r="A59" s="45" t="s">
        <v>135</v>
      </c>
      <c r="B59" s="45"/>
      <c r="C59" s="46" t="s">
        <v>136</v>
      </c>
      <c r="D59" s="55" t="s">
        <v>1</v>
      </c>
      <c r="E59" s="55" t="s">
        <v>2</v>
      </c>
      <c r="F59" s="55" t="s">
        <v>3</v>
      </c>
      <c r="G59" s="55" t="s">
        <v>4</v>
      </c>
      <c r="H59" s="55" t="s">
        <v>5</v>
      </c>
      <c r="I59" s="55" t="s">
        <v>6</v>
      </c>
      <c r="J59" s="55" t="s">
        <v>7</v>
      </c>
      <c r="K59" s="55" t="s">
        <v>8</v>
      </c>
      <c r="L59" s="55" t="s">
        <v>9</v>
      </c>
      <c r="M59" s="55" t="s">
        <v>10</v>
      </c>
      <c r="N59" s="55" t="s">
        <v>11</v>
      </c>
      <c r="O59" s="55" t="s">
        <v>12</v>
      </c>
      <c r="P59" s="47"/>
    </row>
    <row r="60" spans="1:16" x14ac:dyDescent="0.25">
      <c r="A60" s="61">
        <f t="shared" ref="A60:A85" si="1">SUM(D60:O60)</f>
        <v>4773825</v>
      </c>
      <c r="B60" s="62" t="s">
        <v>117</v>
      </c>
      <c r="C60" s="59" t="s">
        <v>14</v>
      </c>
      <c r="D60" s="61">
        <v>1476149.3925718796</v>
      </c>
      <c r="E60" s="61">
        <v>933207.97694687522</v>
      </c>
      <c r="F60" s="61">
        <v>1476385.1175718794</v>
      </c>
      <c r="G60" s="61">
        <v>1E-14</v>
      </c>
      <c r="H60" s="61">
        <v>1E-14</v>
      </c>
      <c r="I60" s="61">
        <v>1E-14</v>
      </c>
      <c r="J60" s="61">
        <v>1E-14</v>
      </c>
      <c r="K60" s="61">
        <v>1E-14</v>
      </c>
      <c r="L60" s="61">
        <v>1E-14</v>
      </c>
      <c r="M60" s="61">
        <v>1E-14</v>
      </c>
      <c r="N60" s="61">
        <v>888082.51290936582</v>
      </c>
      <c r="O60" s="61">
        <v>1E-14</v>
      </c>
    </row>
    <row r="61" spans="1:16" x14ac:dyDescent="0.25">
      <c r="A61" s="61">
        <f t="shared" si="1"/>
        <v>1.1999999999999997E-13</v>
      </c>
      <c r="B61" s="62" t="s">
        <v>117</v>
      </c>
      <c r="C61" s="59" t="s">
        <v>16</v>
      </c>
      <c r="D61" s="61">
        <v>1E-14</v>
      </c>
      <c r="E61" s="61">
        <v>1E-14</v>
      </c>
      <c r="F61" s="61">
        <v>1E-14</v>
      </c>
      <c r="G61" s="61">
        <v>1E-14</v>
      </c>
      <c r="H61" s="61">
        <v>1E-14</v>
      </c>
      <c r="I61" s="61">
        <v>1E-14</v>
      </c>
      <c r="J61" s="61">
        <v>1E-14</v>
      </c>
      <c r="K61" s="61">
        <v>1E-14</v>
      </c>
      <c r="L61" s="61">
        <v>1E-14</v>
      </c>
      <c r="M61" s="61">
        <v>1E-14</v>
      </c>
      <c r="N61" s="61">
        <v>1E-14</v>
      </c>
      <c r="O61" s="61">
        <v>1E-14</v>
      </c>
    </row>
    <row r="62" spans="1:16" x14ac:dyDescent="0.25">
      <c r="A62" s="61">
        <f t="shared" si="1"/>
        <v>1.1999999999999997E-13</v>
      </c>
      <c r="B62" s="62" t="s">
        <v>117</v>
      </c>
      <c r="C62" s="59" t="s">
        <v>18</v>
      </c>
      <c r="D62" s="61">
        <v>1E-14</v>
      </c>
      <c r="E62" s="61">
        <v>1E-14</v>
      </c>
      <c r="F62" s="61">
        <v>1E-14</v>
      </c>
      <c r="G62" s="61">
        <v>1E-14</v>
      </c>
      <c r="H62" s="61">
        <v>1E-14</v>
      </c>
      <c r="I62" s="61">
        <v>1E-14</v>
      </c>
      <c r="J62" s="61">
        <v>1E-14</v>
      </c>
      <c r="K62" s="61">
        <v>1E-14</v>
      </c>
      <c r="L62" s="61">
        <v>1E-14</v>
      </c>
      <c r="M62" s="61">
        <v>1E-14</v>
      </c>
      <c r="N62" s="61">
        <v>1E-14</v>
      </c>
      <c r="O62" s="61">
        <v>1E-14</v>
      </c>
    </row>
    <row r="63" spans="1:16" x14ac:dyDescent="0.25">
      <c r="A63" s="61">
        <f t="shared" si="1"/>
        <v>15156225</v>
      </c>
      <c r="B63" s="62" t="s">
        <v>117</v>
      </c>
      <c r="C63" s="59" t="s">
        <v>20</v>
      </c>
      <c r="D63" s="61">
        <v>1263145.0518749999</v>
      </c>
      <c r="E63" s="61">
        <v>1262513.5425000004</v>
      </c>
      <c r="F63" s="61">
        <v>1263145.0518749999</v>
      </c>
      <c r="G63" s="61">
        <v>1263018.75</v>
      </c>
      <c r="H63" s="61">
        <v>1263018.75</v>
      </c>
      <c r="I63" s="61">
        <v>1263018.75</v>
      </c>
      <c r="J63" s="61">
        <v>1263018.75</v>
      </c>
      <c r="K63" s="61">
        <v>1263018.75</v>
      </c>
      <c r="L63" s="61">
        <v>1263018.75</v>
      </c>
      <c r="M63" s="61">
        <v>1263018.75</v>
      </c>
      <c r="N63" s="61">
        <v>1263145.0518749999</v>
      </c>
      <c r="O63" s="61">
        <v>1263145.0518749999</v>
      </c>
    </row>
    <row r="64" spans="1:16" x14ac:dyDescent="0.25">
      <c r="A64" s="61">
        <f t="shared" si="1"/>
        <v>1837500</v>
      </c>
      <c r="B64" s="62" t="s">
        <v>117</v>
      </c>
      <c r="C64" s="59" t="s">
        <v>22</v>
      </c>
      <c r="D64" s="61">
        <v>153140.3125</v>
      </c>
      <c r="E64" s="61">
        <v>153109.68750000006</v>
      </c>
      <c r="F64" s="61">
        <v>153125</v>
      </c>
      <c r="G64" s="61">
        <v>153125</v>
      </c>
      <c r="H64" s="61">
        <v>153125</v>
      </c>
      <c r="I64" s="61">
        <v>153125</v>
      </c>
      <c r="J64" s="61">
        <v>153125</v>
      </c>
      <c r="K64" s="61">
        <v>153125</v>
      </c>
      <c r="L64" s="61">
        <v>153125</v>
      </c>
      <c r="M64" s="61">
        <v>153125</v>
      </c>
      <c r="N64" s="61">
        <v>153125</v>
      </c>
      <c r="O64" s="61">
        <v>153125</v>
      </c>
    </row>
    <row r="65" spans="1:15" x14ac:dyDescent="0.25">
      <c r="A65" s="61">
        <f t="shared" si="1"/>
        <v>1.1999999999999997E-13</v>
      </c>
      <c r="B65" s="62" t="s">
        <v>117</v>
      </c>
      <c r="C65" s="59" t="s">
        <v>24</v>
      </c>
      <c r="D65" s="61">
        <v>1E-14</v>
      </c>
      <c r="E65" s="61">
        <v>1E-14</v>
      </c>
      <c r="F65" s="61">
        <v>1E-14</v>
      </c>
      <c r="G65" s="61">
        <v>1E-14</v>
      </c>
      <c r="H65" s="61">
        <v>1E-14</v>
      </c>
      <c r="I65" s="61">
        <v>1E-14</v>
      </c>
      <c r="J65" s="61">
        <v>1E-14</v>
      </c>
      <c r="K65" s="61">
        <v>1E-14</v>
      </c>
      <c r="L65" s="61">
        <v>1E-14</v>
      </c>
      <c r="M65" s="61">
        <v>1E-14</v>
      </c>
      <c r="N65" s="61">
        <v>1E-14</v>
      </c>
      <c r="O65" s="61">
        <v>1E-14</v>
      </c>
    </row>
    <row r="66" spans="1:15" x14ac:dyDescent="0.25">
      <c r="A66" s="61">
        <f t="shared" si="1"/>
        <v>1.1999999999999997E-13</v>
      </c>
      <c r="B66" s="62" t="s">
        <v>117</v>
      </c>
      <c r="C66" s="59" t="s">
        <v>26</v>
      </c>
      <c r="D66" s="61">
        <v>1E-14</v>
      </c>
      <c r="E66" s="61">
        <v>1E-14</v>
      </c>
      <c r="F66" s="61">
        <v>1E-14</v>
      </c>
      <c r="G66" s="61">
        <v>1E-14</v>
      </c>
      <c r="H66" s="61">
        <v>1E-14</v>
      </c>
      <c r="I66" s="61">
        <v>1E-14</v>
      </c>
      <c r="J66" s="61">
        <v>1E-14</v>
      </c>
      <c r="K66" s="61">
        <v>1E-14</v>
      </c>
      <c r="L66" s="61">
        <v>1E-14</v>
      </c>
      <c r="M66" s="61">
        <v>1E-14</v>
      </c>
      <c r="N66" s="61">
        <v>1E-14</v>
      </c>
      <c r="O66" s="61">
        <v>1E-14</v>
      </c>
    </row>
    <row r="67" spans="1:15" x14ac:dyDescent="0.25">
      <c r="A67" s="61">
        <f t="shared" si="1"/>
        <v>4095000.0000000009</v>
      </c>
      <c r="B67" s="62" t="s">
        <v>117</v>
      </c>
      <c r="C67" s="59" t="s">
        <v>28</v>
      </c>
      <c r="D67" s="61">
        <v>341284.12499999994</v>
      </c>
      <c r="E67" s="61">
        <v>341011.12500000099</v>
      </c>
      <c r="F67" s="61">
        <v>341284.12499999994</v>
      </c>
      <c r="G67" s="61">
        <v>341284.12499999994</v>
      </c>
      <c r="H67" s="61">
        <v>341284.12499999994</v>
      </c>
      <c r="I67" s="61">
        <v>341250</v>
      </c>
      <c r="J67" s="61">
        <v>341250</v>
      </c>
      <c r="K67" s="61">
        <v>341250</v>
      </c>
      <c r="L67" s="61">
        <v>341250</v>
      </c>
      <c r="M67" s="61">
        <v>341284.12499999994</v>
      </c>
      <c r="N67" s="61">
        <v>341284.12499999994</v>
      </c>
      <c r="O67" s="61">
        <v>341284.12499999994</v>
      </c>
    </row>
    <row r="68" spans="1:15" x14ac:dyDescent="0.25">
      <c r="A68" s="61">
        <f t="shared" si="1"/>
        <v>1.1999999999999997E-13</v>
      </c>
      <c r="B68" s="62" t="s">
        <v>117</v>
      </c>
      <c r="C68" s="59" t="s">
        <v>30</v>
      </c>
      <c r="D68" s="61">
        <v>1E-14</v>
      </c>
      <c r="E68" s="61">
        <v>1E-14</v>
      </c>
      <c r="F68" s="61">
        <v>1E-14</v>
      </c>
      <c r="G68" s="61">
        <v>1E-14</v>
      </c>
      <c r="H68" s="61">
        <v>1E-14</v>
      </c>
      <c r="I68" s="61">
        <v>1E-14</v>
      </c>
      <c r="J68" s="61">
        <v>1E-14</v>
      </c>
      <c r="K68" s="61">
        <v>1E-14</v>
      </c>
      <c r="L68" s="61">
        <v>1E-14</v>
      </c>
      <c r="M68" s="61">
        <v>1E-14</v>
      </c>
      <c r="N68" s="61">
        <v>1E-14</v>
      </c>
      <c r="O68" s="61">
        <v>1E-14</v>
      </c>
    </row>
    <row r="69" spans="1:15" x14ac:dyDescent="0.25">
      <c r="A69" s="61">
        <f t="shared" si="1"/>
        <v>1.1999999999999997E-13</v>
      </c>
      <c r="B69" s="62" t="s">
        <v>117</v>
      </c>
      <c r="C69" s="59" t="s">
        <v>32</v>
      </c>
      <c r="D69" s="61">
        <v>1E-14</v>
      </c>
      <c r="E69" s="61">
        <v>1E-14</v>
      </c>
      <c r="F69" s="61">
        <v>1E-14</v>
      </c>
      <c r="G69" s="61">
        <v>1E-14</v>
      </c>
      <c r="H69" s="61">
        <v>1E-14</v>
      </c>
      <c r="I69" s="61">
        <v>1E-14</v>
      </c>
      <c r="J69" s="61">
        <v>1E-14</v>
      </c>
      <c r="K69" s="61">
        <v>1E-14</v>
      </c>
      <c r="L69" s="61">
        <v>1E-14</v>
      </c>
      <c r="M69" s="61">
        <v>1E-14</v>
      </c>
      <c r="N69" s="61">
        <v>1E-14</v>
      </c>
      <c r="O69" s="61">
        <v>1E-14</v>
      </c>
    </row>
    <row r="70" spans="1:15" x14ac:dyDescent="0.25">
      <c r="A70" s="61">
        <f t="shared" si="1"/>
        <v>2730000</v>
      </c>
      <c r="B70" s="62" t="s">
        <v>117</v>
      </c>
      <c r="C70" s="59" t="s">
        <v>34</v>
      </c>
      <c r="D70" s="61">
        <v>1E-14</v>
      </c>
      <c r="E70" s="61">
        <v>1E-14</v>
      </c>
      <c r="F70" s="61">
        <v>1E-14</v>
      </c>
      <c r="G70" s="61">
        <v>1130897.7049529823</v>
      </c>
      <c r="H70" s="61">
        <v>128993.52033759942</v>
      </c>
      <c r="I70" s="61">
        <v>1E-14</v>
      </c>
      <c r="J70" s="61">
        <v>1E-14</v>
      </c>
      <c r="K70" s="61">
        <v>1E-14</v>
      </c>
      <c r="L70" s="61">
        <v>1E-14</v>
      </c>
      <c r="M70" s="61">
        <v>453111.05247502547</v>
      </c>
      <c r="N70" s="61">
        <v>406862.60466251371</v>
      </c>
      <c r="O70" s="61">
        <v>610135.11757187918</v>
      </c>
    </row>
    <row r="71" spans="1:15" x14ac:dyDescent="0.25">
      <c r="A71" s="61">
        <f t="shared" si="1"/>
        <v>392499.99999999994</v>
      </c>
      <c r="B71" s="62" t="s">
        <v>117</v>
      </c>
      <c r="C71" s="59" t="s">
        <v>36</v>
      </c>
      <c r="D71" s="61">
        <v>32711.604166666661</v>
      </c>
      <c r="E71" s="61">
        <v>32705.062499999967</v>
      </c>
      <c r="F71" s="61">
        <v>32708.333333333332</v>
      </c>
      <c r="G71" s="61">
        <v>32708.333333333332</v>
      </c>
      <c r="H71" s="61">
        <v>32708.333333333332</v>
      </c>
      <c r="I71" s="61">
        <v>32708.333333333332</v>
      </c>
      <c r="J71" s="61">
        <v>32708.333333333332</v>
      </c>
      <c r="K71" s="61">
        <v>32708.333333333332</v>
      </c>
      <c r="L71" s="61">
        <v>32708.333333333332</v>
      </c>
      <c r="M71" s="61">
        <v>32708.333333333332</v>
      </c>
      <c r="N71" s="61">
        <v>32708.333333333332</v>
      </c>
      <c r="O71" s="61">
        <v>32708.333333333332</v>
      </c>
    </row>
    <row r="72" spans="1:15" x14ac:dyDescent="0.25">
      <c r="A72" s="61">
        <f t="shared" si="1"/>
        <v>1.1999999999999997E-13</v>
      </c>
      <c r="B72" s="62" t="s">
        <v>117</v>
      </c>
      <c r="C72" s="59" t="s">
        <v>38</v>
      </c>
      <c r="D72" s="61">
        <v>1E-14</v>
      </c>
      <c r="E72" s="61">
        <v>1E-14</v>
      </c>
      <c r="F72" s="61">
        <v>1E-14</v>
      </c>
      <c r="G72" s="61">
        <v>1E-14</v>
      </c>
      <c r="H72" s="61">
        <v>1E-14</v>
      </c>
      <c r="I72" s="61">
        <v>1E-14</v>
      </c>
      <c r="J72" s="61">
        <v>1E-14</v>
      </c>
      <c r="K72" s="61">
        <v>1E-14</v>
      </c>
      <c r="L72" s="61">
        <v>1E-14</v>
      </c>
      <c r="M72" s="61">
        <v>1E-14</v>
      </c>
      <c r="N72" s="61">
        <v>1E-14</v>
      </c>
      <c r="O72" s="61">
        <v>1E-14</v>
      </c>
    </row>
    <row r="73" spans="1:15" x14ac:dyDescent="0.25">
      <c r="A73" s="61">
        <f t="shared" si="1"/>
        <v>1.1999999999999997E-13</v>
      </c>
      <c r="B73" s="62" t="s">
        <v>117</v>
      </c>
      <c r="C73" s="59" t="s">
        <v>40</v>
      </c>
      <c r="D73" s="61">
        <v>1E-14</v>
      </c>
      <c r="E73" s="61">
        <v>1E-14</v>
      </c>
      <c r="F73" s="61">
        <v>1E-14</v>
      </c>
      <c r="G73" s="61">
        <v>1E-14</v>
      </c>
      <c r="H73" s="61">
        <v>1E-14</v>
      </c>
      <c r="I73" s="61">
        <v>1E-14</v>
      </c>
      <c r="J73" s="61">
        <v>1E-14</v>
      </c>
      <c r="K73" s="61">
        <v>1E-14</v>
      </c>
      <c r="L73" s="61">
        <v>1E-14</v>
      </c>
      <c r="M73" s="61">
        <v>1E-14</v>
      </c>
      <c r="N73" s="61">
        <v>1E-14</v>
      </c>
      <c r="O73" s="61">
        <v>1E-14</v>
      </c>
    </row>
    <row r="74" spans="1:15" x14ac:dyDescent="0.25">
      <c r="A74" s="61">
        <f t="shared" si="1"/>
        <v>1.1999999999999997E-13</v>
      </c>
      <c r="B74" s="62" t="s">
        <v>117</v>
      </c>
      <c r="C74" s="59" t="s">
        <v>42</v>
      </c>
      <c r="D74" s="61">
        <v>1E-14</v>
      </c>
      <c r="E74" s="61">
        <v>1E-14</v>
      </c>
      <c r="F74" s="61">
        <v>1E-14</v>
      </c>
      <c r="G74" s="61">
        <v>1E-14</v>
      </c>
      <c r="H74" s="61">
        <v>1E-14</v>
      </c>
      <c r="I74" s="61">
        <v>1E-14</v>
      </c>
      <c r="J74" s="61">
        <v>1E-14</v>
      </c>
      <c r="K74" s="61">
        <v>1E-14</v>
      </c>
      <c r="L74" s="61">
        <v>1E-14</v>
      </c>
      <c r="M74" s="61">
        <v>1E-14</v>
      </c>
      <c r="N74" s="61">
        <v>1E-14</v>
      </c>
      <c r="O74" s="61">
        <v>1E-14</v>
      </c>
    </row>
    <row r="75" spans="1:15" x14ac:dyDescent="0.25">
      <c r="A75" s="61">
        <f t="shared" si="1"/>
        <v>1.1999999999999997E-13</v>
      </c>
      <c r="B75" s="62" t="s">
        <v>117</v>
      </c>
      <c r="C75" s="59" t="s">
        <v>44</v>
      </c>
      <c r="D75" s="61">
        <v>1E-14</v>
      </c>
      <c r="E75" s="61">
        <v>1E-14</v>
      </c>
      <c r="F75" s="61">
        <v>1E-14</v>
      </c>
      <c r="G75" s="61">
        <v>1E-14</v>
      </c>
      <c r="H75" s="61">
        <v>1E-14</v>
      </c>
      <c r="I75" s="61">
        <v>1E-14</v>
      </c>
      <c r="J75" s="61">
        <v>1E-14</v>
      </c>
      <c r="K75" s="61">
        <v>1E-14</v>
      </c>
      <c r="L75" s="61">
        <v>1E-14</v>
      </c>
      <c r="M75" s="61">
        <v>1E-14</v>
      </c>
      <c r="N75" s="61">
        <v>1E-14</v>
      </c>
      <c r="O75" s="61">
        <v>1E-14</v>
      </c>
    </row>
    <row r="76" spans="1:15" x14ac:dyDescent="0.25">
      <c r="A76" s="61">
        <f t="shared" si="1"/>
        <v>1.1999999999999997E-13</v>
      </c>
      <c r="B76" s="62" t="s">
        <v>117</v>
      </c>
      <c r="C76" s="59" t="s">
        <v>46</v>
      </c>
      <c r="D76" s="61">
        <v>1E-14</v>
      </c>
      <c r="E76" s="61">
        <v>1E-14</v>
      </c>
      <c r="F76" s="61">
        <v>1E-14</v>
      </c>
      <c r="G76" s="61">
        <v>1E-14</v>
      </c>
      <c r="H76" s="61">
        <v>1E-14</v>
      </c>
      <c r="I76" s="61">
        <v>1E-14</v>
      </c>
      <c r="J76" s="61">
        <v>1E-14</v>
      </c>
      <c r="K76" s="61">
        <v>1E-14</v>
      </c>
      <c r="L76" s="61">
        <v>1E-14</v>
      </c>
      <c r="M76" s="61">
        <v>1E-14</v>
      </c>
      <c r="N76" s="61">
        <v>1E-14</v>
      </c>
      <c r="O76" s="61">
        <v>1E-14</v>
      </c>
    </row>
    <row r="77" spans="1:15" x14ac:dyDescent="0.25">
      <c r="A77" s="61">
        <f t="shared" si="1"/>
        <v>23250</v>
      </c>
      <c r="B77" s="62" t="s">
        <v>117</v>
      </c>
      <c r="C77" s="59" t="s">
        <v>69</v>
      </c>
      <c r="D77" s="61">
        <v>1E-14</v>
      </c>
      <c r="E77" s="61">
        <v>1E-14</v>
      </c>
      <c r="F77" s="61">
        <v>1E-14</v>
      </c>
      <c r="G77" s="61">
        <v>1E-14</v>
      </c>
      <c r="H77" s="61">
        <v>1E-14</v>
      </c>
      <c r="I77" s="61">
        <v>1E-14</v>
      </c>
      <c r="J77" s="61">
        <v>1E-14</v>
      </c>
      <c r="K77" s="61">
        <v>1E-14</v>
      </c>
      <c r="L77" s="61">
        <v>1E-14</v>
      </c>
      <c r="M77" s="61">
        <v>1E-14</v>
      </c>
      <c r="N77" s="61">
        <v>1E-14</v>
      </c>
      <c r="O77" s="61">
        <v>23250</v>
      </c>
    </row>
    <row r="78" spans="1:15" x14ac:dyDescent="0.25">
      <c r="A78" s="61">
        <f t="shared" si="1"/>
        <v>1.1999999999999997E-13</v>
      </c>
      <c r="B78" s="62" t="s">
        <v>117</v>
      </c>
      <c r="C78" s="59" t="s">
        <v>50</v>
      </c>
      <c r="D78" s="61">
        <v>1E-14</v>
      </c>
      <c r="E78" s="61">
        <v>1E-14</v>
      </c>
      <c r="F78" s="61">
        <v>1E-14</v>
      </c>
      <c r="G78" s="61">
        <v>1E-14</v>
      </c>
      <c r="H78" s="61">
        <v>1E-14</v>
      </c>
      <c r="I78" s="61">
        <v>1E-14</v>
      </c>
      <c r="J78" s="61">
        <v>1E-14</v>
      </c>
      <c r="K78" s="61">
        <v>1E-14</v>
      </c>
      <c r="L78" s="61">
        <v>1E-14</v>
      </c>
      <c r="M78" s="61">
        <v>1E-14</v>
      </c>
      <c r="N78" s="61">
        <v>1E-14</v>
      </c>
      <c r="O78" s="61">
        <v>1E-14</v>
      </c>
    </row>
    <row r="79" spans="1:15" x14ac:dyDescent="0.25">
      <c r="A79" s="61">
        <f t="shared" si="1"/>
        <v>1.1999999999999997E-13</v>
      </c>
      <c r="B79" s="62" t="s">
        <v>117</v>
      </c>
      <c r="C79" s="59" t="s">
        <v>52</v>
      </c>
      <c r="D79" s="61">
        <v>1E-14</v>
      </c>
      <c r="E79" s="61">
        <v>1E-14</v>
      </c>
      <c r="F79" s="61">
        <v>1E-14</v>
      </c>
      <c r="G79" s="61">
        <v>1E-14</v>
      </c>
      <c r="H79" s="61">
        <v>1E-14</v>
      </c>
      <c r="I79" s="61">
        <v>1E-14</v>
      </c>
      <c r="J79" s="61">
        <v>1E-14</v>
      </c>
      <c r="K79" s="61">
        <v>1E-14</v>
      </c>
      <c r="L79" s="61">
        <v>1E-14</v>
      </c>
      <c r="M79" s="61">
        <v>1E-14</v>
      </c>
      <c r="N79" s="61">
        <v>1E-14</v>
      </c>
      <c r="O79" s="61">
        <v>1E-14</v>
      </c>
    </row>
    <row r="80" spans="1:15" x14ac:dyDescent="0.25">
      <c r="A80" s="61">
        <f t="shared" si="1"/>
        <v>82199.999999999985</v>
      </c>
      <c r="B80" s="62" t="s">
        <v>117</v>
      </c>
      <c r="C80" s="59" t="s">
        <v>55</v>
      </c>
      <c r="D80" s="61">
        <v>6850</v>
      </c>
      <c r="E80" s="61">
        <v>6847.9449999999906</v>
      </c>
      <c r="F80" s="61">
        <v>6850.6849999999995</v>
      </c>
      <c r="G80" s="61">
        <v>6850</v>
      </c>
      <c r="H80" s="61">
        <v>6850</v>
      </c>
      <c r="I80" s="61">
        <v>6850</v>
      </c>
      <c r="J80" s="61">
        <v>6850</v>
      </c>
      <c r="K80" s="61">
        <v>6850</v>
      </c>
      <c r="L80" s="61">
        <v>6850</v>
      </c>
      <c r="M80" s="61">
        <v>6850</v>
      </c>
      <c r="N80" s="61">
        <v>6850.6849999999995</v>
      </c>
      <c r="O80" s="61">
        <v>6850.6849999999995</v>
      </c>
    </row>
    <row r="81" spans="1:16" x14ac:dyDescent="0.25">
      <c r="A81" s="61">
        <f t="shared" si="1"/>
        <v>20000000.000000004</v>
      </c>
      <c r="B81" s="62" t="s">
        <v>117</v>
      </c>
      <c r="C81" s="59" t="s">
        <v>85</v>
      </c>
      <c r="D81" s="61">
        <v>1666833.3333333335</v>
      </c>
      <c r="E81" s="61">
        <v>1666500.0000000019</v>
      </c>
      <c r="F81" s="61">
        <v>1666666.6666666667</v>
      </c>
      <c r="G81" s="61">
        <v>1666666.6666666667</v>
      </c>
      <c r="H81" s="61">
        <v>1666666.6666666667</v>
      </c>
      <c r="I81" s="61">
        <v>1666666.6666666667</v>
      </c>
      <c r="J81" s="61">
        <v>1666666.666666667</v>
      </c>
      <c r="K81" s="61">
        <v>1666666.666666667</v>
      </c>
      <c r="L81" s="61">
        <v>1666666.6666666667</v>
      </c>
      <c r="M81" s="61">
        <v>1666666.6666666665</v>
      </c>
      <c r="N81" s="61">
        <v>1666666.6666666667</v>
      </c>
      <c r="O81" s="61">
        <v>1666666.6666666667</v>
      </c>
    </row>
    <row r="82" spans="1:16" x14ac:dyDescent="0.25">
      <c r="A82" s="61">
        <f t="shared" si="1"/>
        <v>1811058.9999749558</v>
      </c>
      <c r="B82" s="62" t="s">
        <v>117</v>
      </c>
      <c r="C82" s="59" t="s">
        <v>87</v>
      </c>
      <c r="D82" s="61">
        <v>150921.58333124616</v>
      </c>
      <c r="E82" s="61">
        <v>150921.58333124648</v>
      </c>
      <c r="F82" s="61">
        <v>150921.58333124637</v>
      </c>
      <c r="G82" s="61">
        <v>150921.58333124637</v>
      </c>
      <c r="H82" s="61">
        <v>150921.58333124628</v>
      </c>
      <c r="I82" s="61">
        <v>150921.58333124628</v>
      </c>
      <c r="J82" s="61">
        <v>150921.58333124587</v>
      </c>
      <c r="K82" s="61">
        <v>150921.58333124628</v>
      </c>
      <c r="L82" s="61">
        <v>150921.58333124628</v>
      </c>
      <c r="M82" s="61">
        <v>150921.58333124628</v>
      </c>
      <c r="N82" s="61">
        <v>150921.58333124628</v>
      </c>
      <c r="O82" s="61">
        <v>150921.58333124637</v>
      </c>
    </row>
    <row r="83" spans="1:16" x14ac:dyDescent="0.25">
      <c r="A83" s="61">
        <f t="shared" si="1"/>
        <v>-5038754.6390268933</v>
      </c>
      <c r="B83" s="62" t="s">
        <v>117</v>
      </c>
      <c r="C83" s="59" t="s">
        <v>48</v>
      </c>
      <c r="D83" s="61">
        <v>1E-14</v>
      </c>
      <c r="E83" s="61">
        <v>-1494211.7647058822</v>
      </c>
      <c r="F83" s="61">
        <v>-1079341.6029290794</v>
      </c>
      <c r="G83" s="61">
        <v>1E-14</v>
      </c>
      <c r="H83" s="61">
        <v>1E-14</v>
      </c>
      <c r="I83" s="61">
        <v>1E-14</v>
      </c>
      <c r="J83" s="61">
        <v>1E-14</v>
      </c>
      <c r="K83" s="61">
        <v>1E-14</v>
      </c>
      <c r="L83" s="61">
        <v>1E-14</v>
      </c>
      <c r="M83" s="61">
        <v>1E-14</v>
      </c>
      <c r="N83" s="61">
        <v>-874061.29369457334</v>
      </c>
      <c r="O83" s="61">
        <v>-1591139.977697358</v>
      </c>
    </row>
    <row r="84" spans="1:16" x14ac:dyDescent="0.25">
      <c r="A84" s="61">
        <f t="shared" si="1"/>
        <v>1.1999999999999997E-13</v>
      </c>
      <c r="B84" s="62" t="s">
        <v>117</v>
      </c>
      <c r="C84" s="59" t="s">
        <v>65</v>
      </c>
      <c r="D84" s="61">
        <v>1E-14</v>
      </c>
      <c r="E84" s="61">
        <v>1E-14</v>
      </c>
      <c r="F84" s="61">
        <v>1E-14</v>
      </c>
      <c r="G84" s="61">
        <v>1E-14</v>
      </c>
      <c r="H84" s="61">
        <v>1E-14</v>
      </c>
      <c r="I84" s="61">
        <v>1E-14</v>
      </c>
      <c r="J84" s="61">
        <v>1E-14</v>
      </c>
      <c r="K84" s="61">
        <v>1E-14</v>
      </c>
      <c r="L84" s="61">
        <v>1E-14</v>
      </c>
      <c r="M84" s="61">
        <v>1E-14</v>
      </c>
      <c r="N84" s="61">
        <v>1E-14</v>
      </c>
      <c r="O84" s="61">
        <v>1E-14</v>
      </c>
    </row>
    <row r="85" spans="1:16" x14ac:dyDescent="0.25">
      <c r="A85" s="61">
        <f t="shared" si="1"/>
        <v>-5638245.474862216</v>
      </c>
      <c r="B85" s="62" t="s">
        <v>117</v>
      </c>
      <c r="C85" s="59" t="s">
        <v>76</v>
      </c>
      <c r="D85" s="61">
        <v>-4457781.1416538171</v>
      </c>
      <c r="E85" s="61">
        <v>-1180464.3332083989</v>
      </c>
      <c r="F85" s="61">
        <v>1E-14</v>
      </c>
      <c r="G85" s="61">
        <v>1E-14</v>
      </c>
      <c r="H85" s="61">
        <v>1E-14</v>
      </c>
      <c r="I85" s="61">
        <v>1E-14</v>
      </c>
      <c r="J85" s="61">
        <v>1E-14</v>
      </c>
      <c r="K85" s="61">
        <v>1E-14</v>
      </c>
      <c r="L85" s="61">
        <v>1E-14</v>
      </c>
      <c r="M85" s="61">
        <v>1E-14</v>
      </c>
      <c r="N85" s="61">
        <v>1E-14</v>
      </c>
      <c r="O85" s="61">
        <v>1E-14</v>
      </c>
    </row>
    <row r="87" spans="1:16" x14ac:dyDescent="0.25">
      <c r="A87" s="54"/>
      <c r="B87" s="54"/>
      <c r="C87" s="46" t="s">
        <v>137</v>
      </c>
      <c r="D87" s="55" t="s">
        <v>1</v>
      </c>
      <c r="E87" s="55" t="s">
        <v>2</v>
      </c>
      <c r="F87" s="55" t="s">
        <v>3</v>
      </c>
      <c r="G87" s="55" t="s">
        <v>4</v>
      </c>
      <c r="H87" s="55" t="s">
        <v>5</v>
      </c>
      <c r="I87" s="55" t="s">
        <v>6</v>
      </c>
      <c r="J87" s="55" t="s">
        <v>7</v>
      </c>
      <c r="K87" s="55" t="s">
        <v>8</v>
      </c>
      <c r="L87" s="55" t="s">
        <v>9</v>
      </c>
      <c r="M87" s="55" t="s">
        <v>10</v>
      </c>
      <c r="N87" s="55" t="s">
        <v>11</v>
      </c>
      <c r="O87" s="55" t="s">
        <v>12</v>
      </c>
      <c r="P87" s="47"/>
    </row>
    <row r="88" spans="1:16" x14ac:dyDescent="0.25">
      <c r="C88" s="49" t="s">
        <v>129</v>
      </c>
      <c r="D88" s="63">
        <v>0.70209896405159411</v>
      </c>
      <c r="E88" s="63">
        <v>0.69821694862155381</v>
      </c>
      <c r="F88" s="63">
        <v>0.70209896405159411</v>
      </c>
      <c r="G88" s="63">
        <v>0.57826086956521738</v>
      </c>
      <c r="H88" s="63">
        <v>0.57826086956521727</v>
      </c>
      <c r="I88" s="63">
        <v>0.59023368573753332</v>
      </c>
      <c r="J88" s="63">
        <v>0.71526771336553951</v>
      </c>
      <c r="K88" s="63">
        <v>0.71526771336553951</v>
      </c>
      <c r="L88" s="63">
        <v>0.59023368573753332</v>
      </c>
      <c r="M88" s="63">
        <v>0.57826086956521727</v>
      </c>
      <c r="N88" s="63">
        <v>0.69111070770142935</v>
      </c>
      <c r="O88" s="63">
        <v>0.6879067427965635</v>
      </c>
    </row>
    <row r="89" spans="1:16" x14ac:dyDescent="0.25">
      <c r="C89" s="49" t="s">
        <v>130</v>
      </c>
      <c r="D89" s="63">
        <v>0.89912233222432425</v>
      </c>
      <c r="E89" s="63">
        <v>0.90165584090241047</v>
      </c>
      <c r="F89" s="63">
        <v>0.89911780844838263</v>
      </c>
      <c r="G89" s="63">
        <v>0.76828282828282823</v>
      </c>
      <c r="H89" s="63">
        <v>0.57272727272727264</v>
      </c>
      <c r="I89" s="63">
        <v>0.57272727272727264</v>
      </c>
      <c r="J89" s="63">
        <v>0.6332671678323184</v>
      </c>
      <c r="K89" s="63">
        <v>0.6332671678323184</v>
      </c>
      <c r="L89" s="63">
        <v>0.57272727272727264</v>
      </c>
      <c r="M89" s="63">
        <v>0.72103616813294236</v>
      </c>
      <c r="N89" s="63">
        <v>0.89141877149309823</v>
      </c>
      <c r="O89" s="63">
        <v>0.95799380974017434</v>
      </c>
    </row>
    <row r="90" spans="1:16" x14ac:dyDescent="0.25">
      <c r="C90" s="49" t="s">
        <v>131</v>
      </c>
      <c r="D90" s="63">
        <v>1E-14</v>
      </c>
      <c r="E90" s="63">
        <v>1</v>
      </c>
      <c r="F90" s="63">
        <v>0.6524437919509285</v>
      </c>
      <c r="G90" s="63">
        <v>1E-14</v>
      </c>
      <c r="H90" s="63">
        <v>1E-14</v>
      </c>
      <c r="I90" s="63">
        <v>1E-14</v>
      </c>
      <c r="J90" s="63">
        <v>1E-14</v>
      </c>
      <c r="K90" s="63">
        <v>1E-14</v>
      </c>
      <c r="L90" s="63">
        <v>1E-14</v>
      </c>
      <c r="M90" s="63">
        <v>1E-14</v>
      </c>
      <c r="N90" s="63">
        <v>0.54596715141121932</v>
      </c>
      <c r="O90" s="63">
        <v>0.96181727615829948</v>
      </c>
    </row>
    <row r="91" spans="1:16" x14ac:dyDescent="0.25">
      <c r="C91" s="49" t="s">
        <v>132</v>
      </c>
      <c r="D91" s="63">
        <v>0.14646234336377537</v>
      </c>
      <c r="E91" s="63">
        <v>4.2940170850834618E-2</v>
      </c>
      <c r="F91" s="63">
        <v>1E-14</v>
      </c>
      <c r="G91" s="63">
        <v>1E-14</v>
      </c>
      <c r="H91" s="63">
        <v>1E-14</v>
      </c>
      <c r="I91" s="63">
        <v>1E-14</v>
      </c>
      <c r="J91" s="63">
        <v>1E-14</v>
      </c>
      <c r="K91" s="63">
        <v>1E-14</v>
      </c>
      <c r="L91" s="63">
        <v>1E-14</v>
      </c>
      <c r="M91" s="63">
        <v>1E-14</v>
      </c>
      <c r="N91" s="63">
        <v>1E-14</v>
      </c>
      <c r="O91" s="63">
        <v>1E-14</v>
      </c>
    </row>
    <row r="92" spans="1:16" x14ac:dyDescent="0.25">
      <c r="C92" s="49" t="s">
        <v>133</v>
      </c>
      <c r="D92" s="63">
        <v>1E-14</v>
      </c>
      <c r="E92" s="63">
        <v>1E-14</v>
      </c>
      <c r="F92" s="63">
        <v>1E-14</v>
      </c>
      <c r="G92" s="63">
        <v>1E-14</v>
      </c>
      <c r="H92" s="63">
        <v>1E-14</v>
      </c>
      <c r="I92" s="63">
        <v>1E-14</v>
      </c>
      <c r="J92" s="63">
        <v>1E-14</v>
      </c>
      <c r="K92" s="63">
        <v>1E-14</v>
      </c>
      <c r="L92" s="63">
        <v>1E-14</v>
      </c>
      <c r="M92" s="63">
        <v>1E-14</v>
      </c>
      <c r="N92" s="63">
        <v>1E-14</v>
      </c>
      <c r="O92" s="63">
        <v>1E-14</v>
      </c>
    </row>
    <row r="93" spans="1:16" x14ac:dyDescent="0.25">
      <c r="C93" s="49" t="s">
        <v>134</v>
      </c>
      <c r="D93" s="63">
        <v>1E-14</v>
      </c>
      <c r="E93" s="63">
        <v>1E-14</v>
      </c>
      <c r="F93" s="63">
        <v>1E-14</v>
      </c>
      <c r="G93" s="63">
        <v>1E-14</v>
      </c>
      <c r="H93" s="63">
        <v>0.32845878136200696</v>
      </c>
      <c r="I93" s="63">
        <v>0.80806804795433085</v>
      </c>
      <c r="J93" s="63">
        <v>0.66584096261094294</v>
      </c>
      <c r="K93" s="63">
        <v>0.71064382999445541</v>
      </c>
      <c r="L93" s="63">
        <v>0.76177175165803457</v>
      </c>
      <c r="M93" s="63">
        <v>1E-14</v>
      </c>
      <c r="N93" s="63">
        <v>1E-14</v>
      </c>
      <c r="O93" s="63">
        <v>1E-14</v>
      </c>
    </row>
  </sheetData>
  <phoneticPr fontId="16" type="noConversion"/>
  <conditionalFormatting sqref="D20:O25">
    <cfRule type="colorScale" priority="7">
      <colorScale>
        <cfvo type="min"/>
        <cfvo type="percentile" val="50"/>
        <cfvo type="max"/>
        <color rgb="FFF8696B"/>
        <color theme="0"/>
        <color rgb="FF63BE7B"/>
      </colorScale>
    </cfRule>
  </conditionalFormatting>
  <conditionalFormatting sqref="A60:A85">
    <cfRule type="cellIs" dxfId="3" priority="10" operator="lessThan">
      <formula>0.0000000000012</formula>
    </cfRule>
  </conditionalFormatting>
  <conditionalFormatting sqref="D88:O93">
    <cfRule type="cellIs" dxfId="2" priority="9" operator="lessThan">
      <formula>0.0000000000001</formula>
    </cfRule>
  </conditionalFormatting>
  <conditionalFormatting sqref="D60:O85">
    <cfRule type="colorScale" priority="6">
      <colorScale>
        <cfvo type="min"/>
        <cfvo type="percentile" val="50"/>
        <cfvo type="max"/>
        <color rgb="FFFEE2E3"/>
        <color rgb="FFFCFCFF"/>
        <color theme="4" tint="0.59999389629810485"/>
      </colorScale>
    </cfRule>
  </conditionalFormatting>
  <conditionalFormatting sqref="D28:O58">
    <cfRule type="colorScale" priority="11">
      <colorScale>
        <cfvo type="min"/>
        <cfvo type="max"/>
        <color rgb="FFFCFCFF"/>
        <color rgb="FF63BE7B"/>
      </colorScale>
    </cfRule>
  </conditionalFormatting>
  <conditionalFormatting sqref="A7:A16 A60:A85 C60:O85 C7:O16 A28:A56 C28:O56">
    <cfRule type="cellIs" dxfId="1" priority="8" operator="between">
      <formula>-0.0000000000001</formula>
      <formula>0.0000000000001</formula>
    </cfRule>
  </conditionalFormatting>
  <conditionalFormatting sqref="A60:A85">
    <cfRule type="colorScale" priority="5">
      <colorScale>
        <cfvo type="min"/>
        <cfvo type="percentile" val="50"/>
        <cfvo type="max"/>
        <color rgb="FFFEE2E3"/>
        <color rgb="FFFCFCFF"/>
        <color theme="4" tint="0.59999389629810485"/>
      </colorScale>
    </cfRule>
  </conditionalFormatting>
  <conditionalFormatting sqref="A28:A56">
    <cfRule type="colorScale" priority="4">
      <colorScale>
        <cfvo type="min"/>
        <cfvo type="max"/>
        <color rgb="FFFCFCFF"/>
        <color rgb="FF63BE7B"/>
      </colorScale>
    </cfRule>
  </conditionalFormatting>
  <conditionalFormatting sqref="A20:A25">
    <cfRule type="colorScale" priority="3">
      <colorScale>
        <cfvo type="min"/>
        <cfvo type="percentile" val="50"/>
        <cfvo type="max"/>
        <color rgb="FFF8696B"/>
        <color theme="0"/>
        <color rgb="FF63BE7B"/>
      </colorScale>
    </cfRule>
  </conditionalFormatting>
  <conditionalFormatting sqref="A4">
    <cfRule type="cellIs" dxfId="0" priority="2" operator="between">
      <formula>-0.0000000000001</formula>
      <formula>0.0000000000001</formula>
    </cfRule>
  </conditionalFormatting>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F779F-BF7F-4E94-B3D5-EFC134B9B1EB}">
  <sheetPr codeName="Sheet11"/>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29</vt:i4>
      </vt:variant>
    </vt:vector>
  </HeadingPairs>
  <TitlesOfParts>
    <vt:vector size="40" baseType="lpstr">
      <vt:lpstr>ModelParms</vt:lpstr>
      <vt:lpstr>INFO</vt:lpstr>
      <vt:lpstr>Scen</vt:lpstr>
      <vt:lpstr>DataCtrl</vt:lpstr>
      <vt:lpstr>DataU</vt:lpstr>
      <vt:lpstr>DataFuel</vt:lpstr>
      <vt:lpstr>Affald2021</vt:lpstr>
      <vt:lpstr>E-V</vt:lpstr>
      <vt:lpstr>Lister</vt:lpstr>
      <vt:lpstr>Resultater</vt:lpstr>
      <vt:lpstr>OptimDump</vt:lpstr>
      <vt:lpstr>Affaldsfraktioner</vt:lpstr>
      <vt:lpstr>arrNiv2</vt:lpstr>
      <vt:lpstr>arrNiv3</vt:lpstr>
      <vt:lpstr>FixAffald2021</vt:lpstr>
      <vt:lpstr>listDataCtrl</vt:lpstr>
      <vt:lpstr>listFuelAttr</vt:lpstr>
      <vt:lpstr>listFuelBounds</vt:lpstr>
      <vt:lpstr>listFuelName</vt:lpstr>
      <vt:lpstr>listHeaders</vt:lpstr>
      <vt:lpstr>listPrognosisAttr</vt:lpstr>
      <vt:lpstr>listRoot</vt:lpstr>
      <vt:lpstr>listScheduleCols</vt:lpstr>
      <vt:lpstr>listScheduleRows</vt:lpstr>
      <vt:lpstr>listStorageAttr</vt:lpstr>
      <vt:lpstr>listStorageName</vt:lpstr>
      <vt:lpstr>listUnitAttr</vt:lpstr>
      <vt:lpstr>listUnitsName</vt:lpstr>
      <vt:lpstr>NaN</vt:lpstr>
      <vt:lpstr>OfzNiveau2</vt:lpstr>
      <vt:lpstr>OfzNiveau3</vt:lpstr>
      <vt:lpstr>Penalty_QRgkMiss</vt:lpstr>
      <vt:lpstr>PerDataFirst</vt:lpstr>
      <vt:lpstr>PerDataLast</vt:lpstr>
      <vt:lpstr>PeriodRange</vt:lpstr>
      <vt:lpstr>PerSlut</vt:lpstr>
      <vt:lpstr>PerStart</vt:lpstr>
      <vt:lpstr>RgkRabatMinShare</vt:lpstr>
      <vt:lpstr>RgkRabatSats</vt:lpstr>
      <vt:lpstr>ØvrigeBrændsler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Mogens Bech Laursen</dc:creator>
  <cp:lastModifiedBy>Mogens Bech Laursen</cp:lastModifiedBy>
  <cp:lastPrinted>2022-03-07T07:08:33Z</cp:lastPrinted>
  <dcterms:created xsi:type="dcterms:W3CDTF">2021-09-15T05:38:31Z</dcterms:created>
  <dcterms:modified xsi:type="dcterms:W3CDTF">2022-03-10T06:51:03Z</dcterms:modified>
</cp:coreProperties>
</file>