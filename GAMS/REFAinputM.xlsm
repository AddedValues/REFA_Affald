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5781AD60-0462-4ED1-B2A9-99D86E1A90B8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Styring" sheetId="10" r:id="rId2"/>
    <sheet name="DataU" sheetId="2" r:id="rId3"/>
    <sheet name="DataFuel" sheetId="1" r:id="rId4"/>
    <sheet name="Resultater" sheetId="8" state="hidden" r:id="rId5"/>
    <sheet name="OptimDump" sheetId="9" state="hidden" r:id="rId6"/>
  </sheets>
  <externalReferences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4" i="2" l="1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AA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T8" i="1" l="1"/>
  <c r="T9" i="1"/>
  <c r="T12" i="1"/>
  <c r="T15" i="1"/>
  <c r="T16" i="1"/>
  <c r="T19" i="1"/>
  <c r="T20" i="1"/>
  <c r="T22" i="1"/>
  <c r="T24" i="1"/>
  <c r="T25" i="1"/>
  <c r="T26" i="1"/>
  <c r="T27" i="1"/>
  <c r="T28" i="1"/>
  <c r="T29" i="1"/>
  <c r="T30" i="1"/>
  <c r="T31" i="1"/>
  <c r="T32" i="1"/>
  <c r="T33" i="1"/>
  <c r="T5" i="1"/>
  <c r="R6" i="1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5" i="1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23" i="2"/>
  <c r="U23" i="2"/>
  <c r="V24" i="2"/>
  <c r="Y24" i="2"/>
  <c r="V25" i="2"/>
  <c r="Y25" i="2"/>
  <c r="V26" i="2"/>
  <c r="Y26" i="2"/>
  <c r="V27" i="2"/>
  <c r="Y27" i="2"/>
  <c r="V28" i="2"/>
  <c r="Y28" i="2"/>
  <c r="V29" i="2"/>
  <c r="Y29" i="2"/>
  <c r="V30" i="2"/>
  <c r="Y30" i="2"/>
  <c r="V31" i="2"/>
  <c r="Y31" i="2"/>
  <c r="V32" i="2"/>
  <c r="Y32" i="2"/>
  <c r="V33" i="2"/>
  <c r="Y33" i="2"/>
  <c r="V34" i="2"/>
  <c r="Y34" i="2"/>
  <c r="V35" i="2"/>
  <c r="Y35" i="2"/>
  <c r="V36" i="2"/>
  <c r="Y36" i="2"/>
  <c r="V37" i="2"/>
  <c r="Y37" i="2"/>
  <c r="V38" i="2"/>
  <c r="Y38" i="2"/>
  <c r="V39" i="2"/>
  <c r="Y39" i="2"/>
  <c r="V40" i="2"/>
  <c r="Y40" i="2"/>
  <c r="V41" i="2"/>
  <c r="Y41" i="2"/>
  <c r="V42" i="2"/>
  <c r="Y42" i="2"/>
  <c r="V43" i="2"/>
  <c r="Y43" i="2"/>
  <c r="V44" i="2"/>
  <c r="Y44" i="2"/>
  <c r="V45" i="2"/>
  <c r="Y45" i="2"/>
  <c r="V46" i="2"/>
  <c r="Y46" i="2"/>
  <c r="V47" i="2"/>
  <c r="Y47" i="2"/>
  <c r="V48" i="2"/>
  <c r="Y48" i="2"/>
  <c r="V49" i="2"/>
  <c r="Y49" i="2"/>
  <c r="V50" i="2"/>
  <c r="Y50" i="2"/>
  <c r="V51" i="2"/>
  <c r="Y51" i="2"/>
  <c r="V52" i="2"/>
  <c r="Y52" i="2"/>
  <c r="V53" i="2"/>
  <c r="Y53" i="2"/>
  <c r="V54" i="2"/>
  <c r="Y54" i="2"/>
  <c r="V55" i="2"/>
  <c r="Y55" i="2"/>
  <c r="V56" i="2"/>
  <c r="Y56" i="2"/>
  <c r="V57" i="2"/>
  <c r="Y57" i="2"/>
  <c r="V58" i="2"/>
  <c r="Y58" i="2"/>
  <c r="V23" i="2"/>
  <c r="Y23" i="2"/>
  <c r="O25" i="1"/>
  <c r="O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W6" i="1"/>
  <c r="X6" i="1"/>
  <c r="W7" i="1"/>
  <c r="X7" i="1"/>
  <c r="W8" i="1"/>
  <c r="X8" i="1"/>
  <c r="W9" i="1"/>
  <c r="X9" i="1"/>
  <c r="W10" i="1"/>
  <c r="X10" i="1"/>
  <c r="W11" i="1"/>
  <c r="X11" i="1"/>
  <c r="W12" i="1"/>
  <c r="X12" i="1"/>
  <c r="W13" i="1"/>
  <c r="X13" i="1"/>
  <c r="W14" i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W21" i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X5" i="1"/>
  <c r="W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S28" i="1"/>
  <c r="K29" i="1"/>
  <c r="S29" i="1"/>
  <c r="K30" i="1"/>
  <c r="S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22" i="2" a="1"/>
  <c r="G22" i="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B95" i="1"/>
  <c r="B122" i="1" s="1"/>
  <c r="B149" i="1" s="1"/>
  <c r="B145" i="1"/>
  <c r="B172" i="1" s="1"/>
  <c r="B146" i="1"/>
  <c r="B173" i="1" s="1"/>
  <c r="B147" i="1"/>
  <c r="B174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S33" i="1"/>
  <c r="S32" i="1"/>
  <c r="S31" i="1"/>
  <c r="S27" i="1"/>
  <c r="K27" i="1"/>
  <c r="AB90" i="1" s="1"/>
  <c r="S26" i="1"/>
  <c r="K26" i="1"/>
  <c r="AK89" i="1" s="1"/>
  <c r="S25" i="1"/>
  <c r="K25" i="1"/>
  <c r="R88" i="1" s="1"/>
  <c r="S24" i="1"/>
  <c r="K24" i="1"/>
  <c r="H87" i="1" s="1"/>
  <c r="S23" i="1"/>
  <c r="K23" i="1"/>
  <c r="AL86" i="1" s="1"/>
  <c r="D23" i="1"/>
  <c r="T23" i="1" s="1"/>
  <c r="S22" i="1"/>
  <c r="K22" i="1"/>
  <c r="AK85" i="1" s="1"/>
  <c r="S21" i="1"/>
  <c r="K21" i="1"/>
  <c r="AD84" i="1" s="1"/>
  <c r="D21" i="1"/>
  <c r="T21" i="1" s="1"/>
  <c r="S20" i="1"/>
  <c r="K20" i="1"/>
  <c r="O83" i="1" s="1"/>
  <c r="S19" i="1"/>
  <c r="N82" i="1"/>
  <c r="S18" i="1"/>
  <c r="K18" i="1"/>
  <c r="AE81" i="1" s="1"/>
  <c r="D18" i="1"/>
  <c r="T18" i="1" s="1"/>
  <c r="S17" i="1"/>
  <c r="K17" i="1"/>
  <c r="AK80" i="1" s="1"/>
  <c r="D17" i="1"/>
  <c r="T17" i="1" s="1"/>
  <c r="S16" i="1"/>
  <c r="K16" i="1"/>
  <c r="W79" i="1" s="1"/>
  <c r="S15" i="1"/>
  <c r="K15" i="1"/>
  <c r="AJ78" i="1" s="1"/>
  <c r="S14" i="1"/>
  <c r="K14" i="1"/>
  <c r="AB77" i="1" s="1"/>
  <c r="D14" i="1"/>
  <c r="T14" i="1" s="1"/>
  <c r="S13" i="1"/>
  <c r="K13" i="1"/>
  <c r="I76" i="1" s="1"/>
  <c r="D13" i="1"/>
  <c r="T13" i="1" s="1"/>
  <c r="S12" i="1"/>
  <c r="K12" i="1"/>
  <c r="P75" i="1" s="1"/>
  <c r="S11" i="1"/>
  <c r="K11" i="1"/>
  <c r="AJ74" i="1" s="1"/>
  <c r="D11" i="1"/>
  <c r="T11" i="1" s="1"/>
  <c r="S10" i="1"/>
  <c r="K10" i="1"/>
  <c r="P73" i="1" s="1"/>
  <c r="D10" i="1"/>
  <c r="T10" i="1" s="1"/>
  <c r="S9" i="1"/>
  <c r="K9" i="1"/>
  <c r="AB72" i="1" s="1"/>
  <c r="S8" i="1"/>
  <c r="K8" i="1"/>
  <c r="AF71" i="1" s="1"/>
  <c r="S7" i="1"/>
  <c r="K7" i="1"/>
  <c r="K70" i="1" s="1"/>
  <c r="D7" i="1"/>
  <c r="T7" i="1" s="1"/>
  <c r="S6" i="1"/>
  <c r="K6" i="1"/>
  <c r="AI69" i="1" s="1"/>
  <c r="D6" i="1"/>
  <c r="T6" i="1" s="1"/>
  <c r="S5" i="1"/>
  <c r="K5" i="1"/>
  <c r="AG68" i="1" s="1"/>
  <c r="F13" i="2"/>
  <c r="F12" i="2"/>
  <c r="I13" i="2"/>
  <c r="I14" i="2"/>
  <c r="I15" i="2"/>
  <c r="I17" i="2"/>
  <c r="I16" i="2"/>
  <c r="I12" i="2"/>
  <c r="J77" i="1" l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T34" i="1"/>
  <c r="H32" i="2" l="1"/>
  <c r="O32" i="2" s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K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L11" authorId="0" shapeId="0" xr:uid="{7427C121-8B9D-4020-9155-E2F8A0D2076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Øvrige variable 
anlægs-omkostninger</t>
        </r>
      </text>
    </comment>
    <comment ref="Q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U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V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W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X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Y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A14" authorId="1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2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3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4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5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U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V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X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Y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Q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R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<sst xmlns="http://schemas.openxmlformats.org/spreadsheetml/2006/main" count="661" uniqueCount="279">
  <si>
    <t>DV</t>
  </si>
  <si>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</si>
  <si>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</si>
  <si>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</si>
  <si>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</si>
  <si>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</si>
  <si>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</si>
  <si>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</si>
  <si>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</si>
  <si>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</si>
  <si>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</si>
  <si>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</si>
  <si>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</si>
  <si>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</si>
  <si>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</si>
  <si>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</si>
  <si>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</si>
  <si>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</si>
  <si>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</si>
  <si>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</si>
  <si>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</si>
  <si>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</si>
  <si>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</si>
  <si>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</si>
  <si>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</si>
  <si>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</si>
  <si>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</si>
  <si>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</si>
  <si>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</si>
  <si>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</si>
  <si>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</si>
  <si>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</si>
  <si>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</si>
  <si>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</si>
  <si>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</si>
  <si>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</si>
  <si>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</si>
  <si>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</si>
  <si>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</si>
  <si>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</si>
  <si>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</si>
  <si>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</si>
  <si>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</si>
  <si>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</si>
  <si>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</si>
  <si>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</si>
  <si>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</si>
  <si>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</si>
  <si>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</si>
  <si>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</si>
  <si>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</si>
  <si>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</si>
  <si>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</si>
  <si>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</si>
  <si>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</si>
  <si>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</si>
  <si>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</si>
  <si>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</si>
  <si>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</si>
  <si>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</si>
  <si>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</si>
  <si>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</si>
  <si>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</si>
  <si>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</si>
  <si>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</si>
  <si>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</si>
  <si>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</si>
  <si>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</si>
  <si>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</si>
  <si>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</si>
  <si>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</si>
  <si>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</si>
  <si>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</si>
  <si>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</si>
  <si>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</si>
  <si>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</si>
  <si>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</si>
  <si>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</si>
  <si>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</si>
  <si>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</si>
  <si>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</si>
  <si>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</si>
  <si>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</si>
  <si>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</si>
  <si>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</si>
  <si>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</si>
  <si>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</si>
  <si>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</si>
  <si>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</si>
  <si>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</si>
  <si>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</si>
  <si>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</si>
  <si>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</si>
  <si>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</si>
  <si>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</si>
  <si>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</si>
  <si>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</si>
  <si>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</si>
  <si>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</si>
  <si>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</si>
  <si>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</si>
  <si>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</si>
  <si>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</si>
  <si>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</si>
  <si>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</si>
  <si>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</si>
  <si>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</si>
  <si>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</si>
  <si>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</si>
  <si>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</si>
  <si>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</si>
  <si>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</si>
  <si>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</si>
  <si>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</si>
  <si>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</si>
  <si>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</si>
  <si>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</si>
  <si>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</si>
  <si>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</si>
  <si>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</si>
  <si>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</si>
  <si>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</si>
  <si>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</si>
  <si>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</si>
  <si>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</si>
  <si>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</si>
  <si>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</si>
  <si>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</si>
  <si>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</si>
  <si>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</si>
  <si>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</si>
  <si>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</si>
  <si>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</si>
  <si>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</si>
  <si>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</si>
  <si>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</si>
  <si>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</si>
  <si>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</si>
  <si>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</si>
  <si>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</si>
  <si>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</si>
  <si>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</si>
  <si>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</si>
  <si>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</si>
  <si>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</si>
  <si>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</si>
  <si>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</si>
  <si>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</si>
  <si>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</si>
  <si>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</si>
  <si>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</si>
  <si>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</si>
  <si>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</si>
  <si>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</si>
  <si>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</si>
  <si>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</si>
  <si>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</si>
  <si>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</si>
  <si>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</si>
  <si>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</si>
  <si>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</si>
  <si>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</si>
  <si>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</si>
  <si>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</si>
  <si>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</si>
  <si>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</si>
  <si>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</si>
  <si>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</si>
  <si>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</si>
  <si>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</si>
  <si>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</si>
  <si>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</si>
  <si>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</si>
  <si>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</si>
  <si>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</si>
  <si>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</si>
  <si>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</si>
  <si>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</si>
  <si>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</si>
  <si>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</si>
  <si>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</si>
  <si>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</si>
  <si>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</si>
  <si>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</si>
  <si>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</si>
  <si>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</si>
  <si>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</si>
  <si>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</si>
  <si>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</si>
  <si>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</si>
  <si>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</si>
  <si>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</si>
  <si>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</si>
  <si>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</si>
  <si>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</si>
  <si>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</si>
  <si>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</si>
  <si>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</si>
  <si>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</si>
  <si>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</si>
  <si>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</si>
  <si>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</si>
  <si>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</si>
  <si>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</si>
  <si>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</si>
  <si>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</si>
  <si>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</si>
  <si>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</si>
  <si>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</si>
  <si>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</si>
  <si>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</si>
  <si>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</si>
  <si>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</si>
  <si>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</si>
  <si>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</si>
  <si>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</si>
  <si>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</si>
  <si>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</si>
  <si>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</si>
  <si>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</si>
  <si>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</si>
  <si>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</si>
  <si>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</si>
  <si>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</si>
  <si>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</si>
  <si>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</si>
  <si>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</si>
  <si>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</si>
  <si>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</si>
  <si>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</si>
  <si>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</si>
  <si>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</si>
  <si>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</si>
  <si>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</si>
  <si>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</si>
  <si>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</si>
  <si>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</si>
  <si>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</si>
  <si>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</si>
  <si>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</si>
  <si>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</si>
  <si>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</si>
  <si>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</si>
  <si>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</si>
  <si>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</si>
  <si>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</si>
  <si>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</si>
  <si>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RådigEnergi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</si>
  <si>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</si>
  <si>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</si>
  <si>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</si>
  <si>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</si>
  <si>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</si>
  <si>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</si>
  <si>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</si>
  <si>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</si>
  <si>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</si>
  <si>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</si>
  <si>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KapTon</t>
  </si>
  <si>
    <t>KapNom</t>
  </si>
  <si>
    <t>KapRgk</t>
  </si>
  <si>
    <t>KapMax</t>
  </si>
  <si>
    <t>EtaQ</t>
  </si>
  <si>
    <t>Aux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</si>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</sst>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</cellStyleXfs>
  <cellXfs count="30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3" fontId="3" fillId="0" borderId="31" xfId="0" applyNumberFormat="1" applyFont="1" applyBorder="1"/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0" fontId="15" fillId="9" borderId="14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184" fontId="15" fillId="9" borderId="2" xfId="6" applyNumberFormat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26">
    <dxf>
      <font>
        <color auto="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93</v>
      </c>
      <c r="C4" s="19" t="s">
        <v>92</v>
      </c>
      <c r="D4" s="19" t="s">
        <v>70</v>
      </c>
    </row>
    <row r="5" spans="2:4" x14ac:dyDescent="0.25">
      <c r="B5" t="s">
        <v>207</v>
      </c>
      <c r="C5" s="5">
        <v>1</v>
      </c>
      <c r="D5" s="81" t="s">
        <v>208</v>
      </c>
    </row>
    <row r="6" spans="2:4" x14ac:dyDescent="0.25">
      <c r="B6" t="s">
        <v>95</v>
      </c>
      <c r="C6" s="5">
        <v>0</v>
      </c>
      <c r="D6" t="s">
        <v>59</v>
      </c>
    </row>
    <row r="7" spans="2:4" x14ac:dyDescent="0.25">
      <c r="B7" t="s">
        <v>82</v>
      </c>
      <c r="C7" s="4">
        <v>50</v>
      </c>
      <c r="D7" t="s">
        <v>59</v>
      </c>
    </row>
    <row r="8" spans="2:4" x14ac:dyDescent="0.25">
      <c r="B8" t="s">
        <v>84</v>
      </c>
      <c r="C8" s="3">
        <v>7.0000000000000007E-2</v>
      </c>
    </row>
    <row r="9" spans="2:4" x14ac:dyDescent="0.25">
      <c r="B9" t="s">
        <v>85</v>
      </c>
      <c r="C9" s="3">
        <v>0.1</v>
      </c>
    </row>
    <row r="10" spans="2:4" x14ac:dyDescent="0.25">
      <c r="B10" t="s">
        <v>94</v>
      </c>
      <c r="C10">
        <v>0</v>
      </c>
      <c r="D10" t="s">
        <v>59</v>
      </c>
    </row>
    <row r="11" spans="2:4" x14ac:dyDescent="0.25">
      <c r="B11" t="s">
        <v>218</v>
      </c>
      <c r="C11" s="3">
        <v>0.45</v>
      </c>
      <c r="D11" t="s">
        <v>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8"/>
  <sheetViews>
    <sheetView workbookViewId="0">
      <selection activeCell="C8" sqref="C8"/>
    </sheetView>
  </sheetViews>
  <sheetFormatPr defaultRowHeight="15" x14ac:dyDescent="0.25"/>
  <cols>
    <col min="2" max="2" width="14.5703125" bestFit="1" customWidth="1"/>
  </cols>
  <sheetData>
    <row r="3" spans="2:16" x14ac:dyDescent="0.25">
      <c r="B3" s="126" t="s">
        <v>230</v>
      </c>
      <c r="C3" s="126"/>
      <c r="D3" s="126" t="s">
        <v>231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</row>
    <row r="4" spans="2:16" x14ac:dyDescent="0.25">
      <c r="B4" t="s">
        <v>224</v>
      </c>
      <c r="C4" s="252">
        <v>0</v>
      </c>
      <c r="D4" t="s">
        <v>225</v>
      </c>
    </row>
    <row r="5" spans="2:16" x14ac:dyDescent="0.25">
      <c r="B5" t="s">
        <v>229</v>
      </c>
      <c r="C5" s="252">
        <v>0</v>
      </c>
      <c r="D5" t="s">
        <v>226</v>
      </c>
    </row>
    <row r="6" spans="2:16" x14ac:dyDescent="0.25">
      <c r="B6" t="s">
        <v>85</v>
      </c>
      <c r="C6" s="253">
        <v>0.1</v>
      </c>
    </row>
    <row r="7" spans="2:16" x14ac:dyDescent="0.25">
      <c r="B7" t="s">
        <v>227</v>
      </c>
      <c r="C7" s="253">
        <v>7.0000000000000007E-2</v>
      </c>
      <c r="D7" t="s">
        <v>228</v>
      </c>
    </row>
    <row r="8" spans="2:16" x14ac:dyDescent="0.25">
      <c r="B8" t="s">
        <v>94</v>
      </c>
      <c r="C8" s="4">
        <v>0</v>
      </c>
      <c r="D8" t="s">
        <v>250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E65"/>
  <sheetViews>
    <sheetView tabSelected="1" zoomScale="85" zoomScaleNormal="85" workbookViewId="0">
      <selection activeCell="O12" sqref="O12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6" s="116" customFormat="1" ht="18.75" x14ac:dyDescent="0.3">
      <c r="A1" s="119" t="s">
        <v>206</v>
      </c>
      <c r="B1" s="114"/>
      <c r="C1" s="114"/>
      <c r="D1" s="114"/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/>
    </row>
    <row r="2" spans="1:26" x14ac:dyDescent="0.25">
      <c r="L2" s="16"/>
      <c r="Q2"/>
    </row>
    <row r="3" spans="1:26" x14ac:dyDescent="0.25">
      <c r="A3" s="73"/>
      <c r="B3" s="74" t="s">
        <v>190</v>
      </c>
      <c r="C3" s="74" t="s">
        <v>191</v>
      </c>
      <c r="D3" s="74" t="s">
        <v>192</v>
      </c>
      <c r="E3" s="75" t="s">
        <v>193</v>
      </c>
      <c r="L3" s="16"/>
      <c r="Q3"/>
    </row>
    <row r="4" spans="1:26" x14ac:dyDescent="0.25">
      <c r="A4" s="77" t="s">
        <v>182</v>
      </c>
      <c r="B4" s="237">
        <v>2022</v>
      </c>
      <c r="C4" s="237">
        <v>2024</v>
      </c>
      <c r="D4" s="238">
        <v>2022</v>
      </c>
      <c r="E4" s="239">
        <v>2022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16"/>
      <c r="Q4"/>
    </row>
    <row r="5" spans="1:26" ht="18" x14ac:dyDescent="0.25">
      <c r="A5" s="77" t="s">
        <v>199</v>
      </c>
      <c r="B5" s="76"/>
      <c r="C5" s="76"/>
      <c r="D5" s="240">
        <v>1</v>
      </c>
      <c r="E5" s="241">
        <v>12</v>
      </c>
      <c r="F5" s="68"/>
      <c r="G5" s="67"/>
      <c r="L5" s="16"/>
      <c r="Q5"/>
    </row>
    <row r="6" spans="1:26" x14ac:dyDescent="0.25">
      <c r="A6" s="78" t="s">
        <v>200</v>
      </c>
      <c r="B6" s="88">
        <f>DATE(B4,1,1)</f>
        <v>44562</v>
      </c>
      <c r="C6" s="88">
        <f>DATE(C4,1,1)</f>
        <v>45292</v>
      </c>
      <c r="D6" s="88">
        <f>DATE(D4,D5,1)</f>
        <v>44562</v>
      </c>
      <c r="E6" s="89">
        <f>DATE(E4,E5,1)</f>
        <v>44896</v>
      </c>
    </row>
    <row r="7" spans="1:26" x14ac:dyDescent="0.25">
      <c r="A7" s="79"/>
      <c r="B7" s="80"/>
      <c r="C7" s="80"/>
      <c r="D7" s="80"/>
      <c r="E7" s="80"/>
    </row>
    <row r="8" spans="1:26" s="116" customFormat="1" ht="18.75" x14ac:dyDescent="0.3">
      <c r="A8" s="119" t="s">
        <v>113</v>
      </c>
      <c r="B8" s="114"/>
      <c r="C8" s="114"/>
      <c r="D8" s="114"/>
      <c r="E8" s="114"/>
      <c r="F8" s="115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/>
    </row>
    <row r="9" spans="1:26" x14ac:dyDescent="0.25">
      <c r="L9" s="16"/>
      <c r="Q9"/>
    </row>
    <row r="10" spans="1:26" x14ac:dyDescent="0.25">
      <c r="B10" s="1"/>
      <c r="C10" s="13" t="s">
        <v>71</v>
      </c>
      <c r="E10" s="14" t="s">
        <v>61</v>
      </c>
      <c r="F10" s="13" t="s">
        <v>76</v>
      </c>
      <c r="G10" s="14" t="s">
        <v>60</v>
      </c>
      <c r="H10" s="14" t="s">
        <v>60</v>
      </c>
      <c r="I10" s="15" t="s">
        <v>60</v>
      </c>
      <c r="J10" s="14"/>
      <c r="K10" s="14" t="s">
        <v>59</v>
      </c>
      <c r="L10" s="14" t="s">
        <v>59</v>
      </c>
      <c r="M10" s="14"/>
      <c r="N10"/>
      <c r="O10"/>
      <c r="P10" s="17" t="s">
        <v>223</v>
      </c>
      <c r="Q10" s="6"/>
      <c r="R10" s="6" t="s">
        <v>69</v>
      </c>
      <c r="S10" s="6" t="s">
        <v>69</v>
      </c>
      <c r="T10" s="6" t="s">
        <v>238</v>
      </c>
      <c r="U10" s="6" t="s">
        <v>239</v>
      </c>
      <c r="V10" s="6" t="s">
        <v>62</v>
      </c>
      <c r="W10" s="6" t="s">
        <v>62</v>
      </c>
      <c r="X10" s="6" t="s">
        <v>240</v>
      </c>
      <c r="Y10" s="6" t="s">
        <v>240</v>
      </c>
    </row>
    <row r="11" spans="1:26" x14ac:dyDescent="0.25">
      <c r="A11" s="121" t="s">
        <v>242</v>
      </c>
      <c r="B11" s="122" t="s">
        <v>189</v>
      </c>
      <c r="C11" s="122" t="s">
        <v>256</v>
      </c>
      <c r="D11" s="122" t="s">
        <v>257</v>
      </c>
      <c r="E11" s="122" t="s">
        <v>86</v>
      </c>
      <c r="F11" s="122" t="s">
        <v>258</v>
      </c>
      <c r="G11" s="122" t="s">
        <v>259</v>
      </c>
      <c r="H11" s="122" t="s">
        <v>260</v>
      </c>
      <c r="I11" s="174" t="s">
        <v>261</v>
      </c>
      <c r="J11" s="122" t="s">
        <v>262</v>
      </c>
      <c r="K11" s="122" t="s">
        <v>0</v>
      </c>
      <c r="L11" s="122" t="s">
        <v>263</v>
      </c>
      <c r="M11" s="14"/>
      <c r="N11" s="297" t="s">
        <v>243</v>
      </c>
      <c r="O11" s="122" t="s">
        <v>189</v>
      </c>
      <c r="P11" s="122" t="s">
        <v>264</v>
      </c>
      <c r="Q11" s="122" t="s">
        <v>234</v>
      </c>
      <c r="R11" s="122" t="s">
        <v>235</v>
      </c>
      <c r="S11" s="122" t="s">
        <v>245</v>
      </c>
      <c r="T11" s="122" t="s">
        <v>236</v>
      </c>
      <c r="U11" s="122" t="s">
        <v>241</v>
      </c>
      <c r="V11" s="174" t="s">
        <v>244</v>
      </c>
      <c r="W11" s="122" t="s">
        <v>277</v>
      </c>
      <c r="X11" s="173" t="s">
        <v>237</v>
      </c>
      <c r="Y11" s="173" t="s">
        <v>278</v>
      </c>
    </row>
    <row r="12" spans="1:26" x14ac:dyDescent="0.25">
      <c r="A12" s="7" t="s">
        <v>80</v>
      </c>
      <c r="B12" s="215">
        <v>1</v>
      </c>
      <c r="C12" s="6">
        <v>1</v>
      </c>
      <c r="D12" s="217">
        <v>0</v>
      </c>
      <c r="E12" s="220">
        <v>7.5</v>
      </c>
      <c r="F12" s="278">
        <f>G12/E12*3.6</f>
        <v>4.5599999999999996</v>
      </c>
      <c r="G12" s="222">
        <v>9.5</v>
      </c>
      <c r="H12" s="222">
        <v>2</v>
      </c>
      <c r="I12" s="120">
        <f>SUM(G12:H12)</f>
        <v>11.5</v>
      </c>
      <c r="J12" s="224">
        <v>0.6</v>
      </c>
      <c r="K12" s="220">
        <v>50</v>
      </c>
      <c r="L12" s="220">
        <v>0</v>
      </c>
      <c r="M12" s="4"/>
      <c r="N12" s="298" t="s">
        <v>232</v>
      </c>
      <c r="O12" s="254">
        <v>1</v>
      </c>
      <c r="P12" s="226">
        <v>1</v>
      </c>
      <c r="Q12" s="226">
        <v>0</v>
      </c>
      <c r="R12" s="227">
        <v>10000</v>
      </c>
      <c r="S12" s="227">
        <v>10000</v>
      </c>
      <c r="T12" s="226">
        <v>0</v>
      </c>
      <c r="U12" s="226">
        <v>10</v>
      </c>
      <c r="V12" s="226">
        <v>30</v>
      </c>
      <c r="W12" s="226">
        <v>0</v>
      </c>
      <c r="X12" s="226">
        <v>12</v>
      </c>
      <c r="Y12" s="228">
        <v>1</v>
      </c>
    </row>
    <row r="13" spans="1:26" x14ac:dyDescent="0.25">
      <c r="A13" s="7" t="s">
        <v>81</v>
      </c>
      <c r="B13" s="216">
        <v>1</v>
      </c>
      <c r="C13" s="6">
        <v>1</v>
      </c>
      <c r="D13" s="218">
        <v>10</v>
      </c>
      <c r="E13" s="221">
        <v>7.5</v>
      </c>
      <c r="F13" s="279">
        <f>G13/E13*3.6</f>
        <v>10.8</v>
      </c>
      <c r="G13" s="223">
        <v>22.5</v>
      </c>
      <c r="H13" s="223">
        <v>5</v>
      </c>
      <c r="I13" s="20">
        <f t="shared" ref="I13:I16" si="0">SUM(G13:H13)</f>
        <v>27.5</v>
      </c>
      <c r="J13" s="225">
        <v>0.65</v>
      </c>
      <c r="K13" s="221">
        <v>40</v>
      </c>
      <c r="L13" s="221">
        <v>0</v>
      </c>
      <c r="M13" s="4"/>
      <c r="N13" s="299" t="s">
        <v>233</v>
      </c>
      <c r="O13" s="255">
        <v>0</v>
      </c>
      <c r="P13" s="230">
        <v>1</v>
      </c>
      <c r="Q13" s="230">
        <v>0</v>
      </c>
      <c r="R13" s="231">
        <v>5000</v>
      </c>
      <c r="S13" s="231">
        <v>5000</v>
      </c>
      <c r="T13" s="230">
        <v>0</v>
      </c>
      <c r="U13" s="230">
        <v>10</v>
      </c>
      <c r="V13" s="230">
        <v>15</v>
      </c>
      <c r="W13" s="230">
        <v>6</v>
      </c>
      <c r="X13" s="230">
        <v>12</v>
      </c>
      <c r="Y13" s="232">
        <v>1</v>
      </c>
    </row>
    <row r="14" spans="1:26" x14ac:dyDescent="0.25">
      <c r="A14" s="7" t="s">
        <v>204</v>
      </c>
      <c r="B14" s="216">
        <v>1</v>
      </c>
      <c r="C14" s="6">
        <v>2</v>
      </c>
      <c r="D14" s="218">
        <v>0</v>
      </c>
      <c r="E14" s="84"/>
      <c r="F14" s="85"/>
      <c r="G14" s="223">
        <v>10.5</v>
      </c>
      <c r="H14" s="223">
        <v>0</v>
      </c>
      <c r="I14" s="20">
        <f t="shared" si="0"/>
        <v>10.5</v>
      </c>
      <c r="J14" s="225">
        <v>0.85</v>
      </c>
      <c r="K14" s="221">
        <v>25</v>
      </c>
      <c r="L14" s="221">
        <v>0</v>
      </c>
      <c r="M14" s="4"/>
      <c r="N14" s="299"/>
      <c r="O14" s="229"/>
      <c r="P14" s="230"/>
      <c r="Q14" s="230"/>
      <c r="R14" s="231"/>
      <c r="S14" s="231"/>
      <c r="T14" s="230"/>
      <c r="U14" s="230"/>
      <c r="V14" s="230"/>
      <c r="W14" s="230"/>
      <c r="X14" s="230"/>
      <c r="Y14" s="232"/>
    </row>
    <row r="15" spans="1:26" x14ac:dyDescent="0.25">
      <c r="A15" s="7" t="s">
        <v>205</v>
      </c>
      <c r="B15" s="216">
        <v>1</v>
      </c>
      <c r="C15" s="6">
        <v>3</v>
      </c>
      <c r="D15" s="218">
        <v>9</v>
      </c>
      <c r="E15" s="86"/>
      <c r="F15" s="87"/>
      <c r="G15" s="223">
        <v>8</v>
      </c>
      <c r="H15" s="223">
        <v>0</v>
      </c>
      <c r="I15" s="20">
        <f t="shared" si="0"/>
        <v>8</v>
      </c>
      <c r="J15" s="225">
        <v>1</v>
      </c>
      <c r="K15" s="221">
        <v>5</v>
      </c>
      <c r="L15" s="221">
        <v>0</v>
      </c>
      <c r="M15" s="4"/>
      <c r="N15" s="299"/>
      <c r="O15" s="229"/>
      <c r="P15" s="230"/>
      <c r="Q15" s="230"/>
      <c r="R15" s="231"/>
      <c r="S15" s="231"/>
      <c r="T15" s="230"/>
      <c r="U15" s="230"/>
      <c r="V15" s="230"/>
      <c r="W15" s="230"/>
      <c r="X15" s="230"/>
      <c r="Y15" s="232"/>
    </row>
    <row r="16" spans="1:26" x14ac:dyDescent="0.25">
      <c r="A16" s="7" t="s">
        <v>83</v>
      </c>
      <c r="B16" s="216">
        <v>1</v>
      </c>
      <c r="C16" s="6">
        <v>4</v>
      </c>
      <c r="D16" s="219"/>
      <c r="E16" s="76"/>
      <c r="F16" s="76"/>
      <c r="G16" s="223">
        <v>15</v>
      </c>
      <c r="H16" s="223">
        <v>0</v>
      </c>
      <c r="I16" s="20">
        <f t="shared" si="0"/>
        <v>15</v>
      </c>
      <c r="J16" s="225">
        <v>1</v>
      </c>
      <c r="K16" s="221">
        <v>10</v>
      </c>
      <c r="L16" s="221">
        <v>20</v>
      </c>
      <c r="M16" s="4"/>
      <c r="N16" s="299"/>
      <c r="O16" s="229"/>
      <c r="P16" s="230"/>
      <c r="Q16" s="230"/>
      <c r="R16" s="231"/>
      <c r="S16" s="231"/>
      <c r="T16" s="230"/>
      <c r="U16" s="230"/>
      <c r="V16" s="230"/>
      <c r="W16" s="230"/>
      <c r="X16" s="230"/>
      <c r="Y16" s="232"/>
    </row>
    <row r="17" spans="1:31" x14ac:dyDescent="0.25">
      <c r="A17" s="7" t="s">
        <v>255</v>
      </c>
      <c r="B17" s="216">
        <v>1</v>
      </c>
      <c r="C17" s="6">
        <v>5</v>
      </c>
      <c r="D17" s="218">
        <v>0</v>
      </c>
      <c r="E17" s="86"/>
      <c r="F17" s="87"/>
      <c r="G17" s="223">
        <v>100</v>
      </c>
      <c r="H17" s="223">
        <v>0</v>
      </c>
      <c r="I17" s="20">
        <f>SUM(G17:H17)</f>
        <v>100</v>
      </c>
      <c r="J17" s="225">
        <v>1</v>
      </c>
      <c r="K17" s="221">
        <v>10</v>
      </c>
      <c r="L17" s="221">
        <v>0</v>
      </c>
      <c r="M17" s="4"/>
      <c r="N17" s="300"/>
      <c r="O17" s="233"/>
      <c r="P17" s="234"/>
      <c r="Q17" s="234"/>
      <c r="R17" s="235"/>
      <c r="S17" s="235"/>
      <c r="T17" s="234"/>
      <c r="U17" s="234"/>
      <c r="V17" s="234"/>
      <c r="W17" s="234"/>
      <c r="X17" s="234"/>
      <c r="Y17" s="236"/>
    </row>
    <row r="18" spans="1:31" x14ac:dyDescent="0.25">
      <c r="B18" s="7"/>
      <c r="C18" s="2"/>
      <c r="D18" s="2"/>
      <c r="E18" s="2"/>
      <c r="H18" s="10"/>
      <c r="I18" s="9"/>
      <c r="J18" s="3"/>
      <c r="K18" s="3"/>
      <c r="Q18"/>
    </row>
    <row r="19" spans="1:31" s="116" customFormat="1" ht="18.75" x14ac:dyDescent="0.3">
      <c r="A19" s="119" t="s">
        <v>221</v>
      </c>
      <c r="B19" s="114"/>
      <c r="C19" s="114"/>
      <c r="D19" s="114"/>
      <c r="E19" s="114"/>
      <c r="F19" s="115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/>
    </row>
    <row r="20" spans="1:31" x14ac:dyDescent="0.25">
      <c r="A20" s="24"/>
      <c r="B20" s="24"/>
      <c r="C20" s="24"/>
      <c r="D20" s="24"/>
      <c r="M20" s="6" t="s">
        <v>63</v>
      </c>
      <c r="N20" s="6" t="s">
        <v>63</v>
      </c>
      <c r="O20" s="6" t="s">
        <v>66</v>
      </c>
      <c r="P20" s="6" t="s">
        <v>100</v>
      </c>
      <c r="Q20" s="6" t="s">
        <v>222</v>
      </c>
      <c r="R20" s="6" t="s">
        <v>55</v>
      </c>
      <c r="S20" s="23" t="s">
        <v>103</v>
      </c>
      <c r="T20" s="23" t="s">
        <v>210</v>
      </c>
      <c r="U20" s="23" t="s">
        <v>210</v>
      </c>
      <c r="V20" s="23" t="s">
        <v>55</v>
      </c>
      <c r="W20" s="23" t="s">
        <v>55</v>
      </c>
      <c r="X20" s="23" t="s">
        <v>211</v>
      </c>
      <c r="Y20" s="23" t="s">
        <v>211</v>
      </c>
    </row>
    <row r="21" spans="1:31" x14ac:dyDescent="0.25">
      <c r="A21" s="289" t="s">
        <v>111</v>
      </c>
      <c r="B21" s="290"/>
      <c r="C21" s="290"/>
      <c r="D21" s="290"/>
      <c r="E21" s="290"/>
      <c r="F21" s="291"/>
      <c r="G21" s="289" t="s">
        <v>102</v>
      </c>
      <c r="H21" s="290"/>
      <c r="I21" s="290"/>
      <c r="J21" s="290"/>
      <c r="K21" s="290"/>
      <c r="L21" s="291"/>
      <c r="M21" s="286" t="s">
        <v>196</v>
      </c>
      <c r="N21" s="288"/>
      <c r="O21" s="286" t="s">
        <v>195</v>
      </c>
      <c r="P21" s="288"/>
      <c r="Q21" s="286" t="s">
        <v>216</v>
      </c>
      <c r="R21" s="287"/>
      <c r="S21" s="287"/>
      <c r="T21" s="287"/>
      <c r="U21" s="287"/>
      <c r="V21" s="288"/>
      <c r="W21" s="286" t="s">
        <v>217</v>
      </c>
      <c r="X21" s="287"/>
      <c r="Y21" s="288"/>
      <c r="Z21" s="17"/>
      <c r="AA21" s="17"/>
      <c r="AB21" s="17"/>
      <c r="AC21" s="17"/>
      <c r="AD21" s="17"/>
    </row>
    <row r="22" spans="1:31" x14ac:dyDescent="0.25">
      <c r="A22" s="90" t="s">
        <v>99</v>
      </c>
      <c r="B22" s="90" t="s">
        <v>98</v>
      </c>
      <c r="C22" s="90" t="s">
        <v>97</v>
      </c>
      <c r="D22" s="91"/>
      <c r="E22" s="91" t="s">
        <v>189</v>
      </c>
      <c r="F22" s="91" t="s">
        <v>145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255</v>
      </c>
      <c r="M22" s="91" t="s">
        <v>186</v>
      </c>
      <c r="N22" s="91" t="s">
        <v>64</v>
      </c>
      <c r="O22" s="91" t="s">
        <v>65</v>
      </c>
      <c r="P22" s="91" t="s">
        <v>101</v>
      </c>
      <c r="Q22" s="91" t="s">
        <v>183</v>
      </c>
      <c r="R22" s="91" t="s">
        <v>184</v>
      </c>
      <c r="S22" s="91" t="s">
        <v>185</v>
      </c>
      <c r="T22" s="91" t="s">
        <v>197</v>
      </c>
      <c r="U22" s="91" t="s">
        <v>214</v>
      </c>
      <c r="V22" s="91" t="s">
        <v>215</v>
      </c>
      <c r="W22" s="91" t="s">
        <v>212</v>
      </c>
      <c r="X22" s="91" t="s">
        <v>198</v>
      </c>
      <c r="Y22" s="91" t="s">
        <v>213</v>
      </c>
      <c r="Z22" s="12"/>
      <c r="AA22" s="18"/>
      <c r="AB22" s="18"/>
      <c r="AC22" s="18"/>
      <c r="AD22" s="18"/>
      <c r="AE22" s="18"/>
    </row>
    <row r="23" spans="1:31" x14ac:dyDescent="0.25">
      <c r="A23" s="92">
        <f t="shared" ref="A23:A58" si="1">$B$4+INT((ROW(A23)-ROW($A$23))/12)</f>
        <v>2022</v>
      </c>
      <c r="B23" s="92">
        <f>MOD(ROW(B23)-ROW(B$23),12)+1</f>
        <v>1</v>
      </c>
      <c r="C23" s="93">
        <f t="shared" ref="C23:C58" si="2">DATE($A23,B23,1)</f>
        <v>44562</v>
      </c>
      <c r="D23" s="94" t="s">
        <v>146</v>
      </c>
      <c r="E23" s="165">
        <f t="shared" ref="E23:E58" si="3">_xlfn.LET(_xlpm.d,DATE(A23,B23,1),IF(AND(_xlpm.d&gt;=PerStart,_xlpm.d&lt;=PerSlut),1,0))</f>
        <v>1</v>
      </c>
      <c r="F23" s="92">
        <f t="shared" ref="F23:F57" si="4">IF(B23=12,31,_xlfn.DAYS(C24,C23))</f>
        <v>31</v>
      </c>
      <c r="G23" s="242">
        <f t="shared" ref="G23:G28" si="5">$F23</f>
        <v>31</v>
      </c>
      <c r="H23" s="242">
        <f t="shared" ref="H23:I38" si="6">$F23</f>
        <v>31</v>
      </c>
      <c r="I23" s="242">
        <f t="shared" si="6"/>
        <v>31</v>
      </c>
      <c r="J23" s="170">
        <f t="shared" ref="J23:J58" si="7">N23/$G$15/24</f>
        <v>20.833333333333332</v>
      </c>
      <c r="K23" s="242">
        <f>$F23</f>
        <v>31</v>
      </c>
      <c r="L23" s="242">
        <f>$F23</f>
        <v>31</v>
      </c>
      <c r="M23" s="244">
        <v>35300</v>
      </c>
      <c r="N23" s="244">
        <v>4000</v>
      </c>
      <c r="O23" s="244">
        <f>8*H23*24</f>
        <v>5952</v>
      </c>
      <c r="P23" s="244">
        <v>400</v>
      </c>
      <c r="Q23" s="244">
        <f>(33+0.1561*F23/2)*7.5</f>
        <v>265.64662500000003</v>
      </c>
      <c r="R23" s="245">
        <v>26</v>
      </c>
      <c r="S23" s="245">
        <v>31.8</v>
      </c>
      <c r="T23" s="246">
        <v>179.2</v>
      </c>
      <c r="U23" s="246">
        <f>5.3*1.1</f>
        <v>5.83</v>
      </c>
      <c r="V23" s="246">
        <f>0.5</f>
        <v>0.5</v>
      </c>
      <c r="W23" s="247">
        <v>62.37</v>
      </c>
      <c r="X23" s="246">
        <f>0.565/0.83*1000</f>
        <v>680.72289156626493</v>
      </c>
      <c r="Y23" s="246">
        <f>0.009/0.83*1000</f>
        <v>10.843373493975903</v>
      </c>
      <c r="Z23" s="9"/>
      <c r="AA23" s="16"/>
      <c r="AB23" s="16"/>
      <c r="AC23" s="16"/>
      <c r="AD23" s="16"/>
      <c r="AE23" s="16"/>
    </row>
    <row r="24" spans="1:31" x14ac:dyDescent="0.25">
      <c r="A24" s="92">
        <f t="shared" si="1"/>
        <v>2022</v>
      </c>
      <c r="B24" s="92">
        <f t="shared" ref="B24:B34" si="8">MOD(ROW(B24)-ROW(B$23),12)+1</f>
        <v>2</v>
      </c>
      <c r="C24" s="93">
        <f t="shared" si="2"/>
        <v>44593</v>
      </c>
      <c r="D24" s="94" t="s">
        <v>147</v>
      </c>
      <c r="E24" s="164">
        <f t="shared" si="3"/>
        <v>1</v>
      </c>
      <c r="F24" s="92">
        <f t="shared" si="4"/>
        <v>28</v>
      </c>
      <c r="G24" s="242">
        <f t="shared" si="5"/>
        <v>28</v>
      </c>
      <c r="H24" s="242">
        <f t="shared" si="6"/>
        <v>28</v>
      </c>
      <c r="I24" s="242">
        <f t="shared" si="6"/>
        <v>28</v>
      </c>
      <c r="J24" s="170">
        <f t="shared" si="7"/>
        <v>0</v>
      </c>
      <c r="K24" s="242">
        <f t="shared" ref="K24:L39" si="9">$F24</f>
        <v>28</v>
      </c>
      <c r="L24" s="242">
        <f t="shared" si="9"/>
        <v>28</v>
      </c>
      <c r="M24" s="244">
        <v>32000</v>
      </c>
      <c r="N24" s="244">
        <v>0</v>
      </c>
      <c r="O24" s="244">
        <f t="shared" ref="O24:O34" si="10">8*H24*24</f>
        <v>5376</v>
      </c>
      <c r="P24" s="244">
        <v>400</v>
      </c>
      <c r="Q24" s="244">
        <f t="shared" ref="Q24:Q34" si="11">Q23+0.1561*7.5*F24</f>
        <v>298.42762500000003</v>
      </c>
      <c r="R24" s="245">
        <v>26</v>
      </c>
      <c r="S24" s="245">
        <v>31.8</v>
      </c>
      <c r="T24" s="246">
        <v>179.2</v>
      </c>
      <c r="U24" s="246">
        <f t="shared" ref="U24:U58" si="12">5.3*1.1</f>
        <v>5.83</v>
      </c>
      <c r="V24" s="246">
        <f t="shared" ref="V24:V58" si="13">0.5</f>
        <v>0.5</v>
      </c>
      <c r="W24" s="247">
        <v>62.37</v>
      </c>
      <c r="X24" s="246">
        <f t="shared" ref="X24:X58" si="14">0.565/0.83*1000</f>
        <v>680.72289156626493</v>
      </c>
      <c r="Y24" s="246">
        <f t="shared" ref="Y24:Y58" si="15">0.009/0.83*1000</f>
        <v>10.843373493975903</v>
      </c>
      <c r="Z24" s="9"/>
      <c r="AA24" s="16"/>
      <c r="AB24" s="16"/>
      <c r="AC24" s="16"/>
      <c r="AD24" s="16"/>
      <c r="AE24" s="16"/>
    </row>
    <row r="25" spans="1:31" x14ac:dyDescent="0.25">
      <c r="A25" s="92">
        <f t="shared" si="1"/>
        <v>2022</v>
      </c>
      <c r="B25" s="92">
        <f t="shared" si="8"/>
        <v>3</v>
      </c>
      <c r="C25" s="93">
        <f t="shared" si="2"/>
        <v>44621</v>
      </c>
      <c r="D25" s="94" t="s">
        <v>148</v>
      </c>
      <c r="E25" s="164">
        <f t="shared" si="3"/>
        <v>1</v>
      </c>
      <c r="F25" s="92">
        <f t="shared" si="4"/>
        <v>31</v>
      </c>
      <c r="G25" s="242">
        <f t="shared" si="5"/>
        <v>31</v>
      </c>
      <c r="H25" s="242">
        <f t="shared" si="6"/>
        <v>31</v>
      </c>
      <c r="I25" s="242">
        <f t="shared" si="6"/>
        <v>31</v>
      </c>
      <c r="J25" s="170">
        <f t="shared" si="7"/>
        <v>0</v>
      </c>
      <c r="K25" s="242">
        <f t="shared" si="9"/>
        <v>31</v>
      </c>
      <c r="L25" s="242">
        <f t="shared" si="9"/>
        <v>31</v>
      </c>
      <c r="M25" s="244">
        <v>29500</v>
      </c>
      <c r="N25" s="244">
        <v>0</v>
      </c>
      <c r="O25" s="244">
        <f t="shared" si="10"/>
        <v>5952</v>
      </c>
      <c r="P25" s="244">
        <v>400</v>
      </c>
      <c r="Q25" s="244">
        <f t="shared" si="11"/>
        <v>334.72087500000004</v>
      </c>
      <c r="R25" s="245">
        <v>26</v>
      </c>
      <c r="S25" s="245">
        <v>31.8</v>
      </c>
      <c r="T25" s="246">
        <v>179.2</v>
      </c>
      <c r="U25" s="246">
        <f t="shared" si="12"/>
        <v>5.83</v>
      </c>
      <c r="V25" s="246">
        <f t="shared" si="13"/>
        <v>0.5</v>
      </c>
      <c r="W25" s="247">
        <v>62.37</v>
      </c>
      <c r="X25" s="246">
        <f t="shared" si="14"/>
        <v>680.72289156626493</v>
      </c>
      <c r="Y25" s="246">
        <f t="shared" si="15"/>
        <v>10.843373493975903</v>
      </c>
      <c r="Z25" s="9"/>
      <c r="AA25" s="16"/>
      <c r="AB25" s="16"/>
      <c r="AC25" s="16"/>
      <c r="AD25" s="16"/>
      <c r="AE25" s="16"/>
    </row>
    <row r="26" spans="1:31" x14ac:dyDescent="0.25">
      <c r="A26" s="92">
        <f t="shared" si="1"/>
        <v>2022</v>
      </c>
      <c r="B26" s="92">
        <f t="shared" si="8"/>
        <v>4</v>
      </c>
      <c r="C26" s="93">
        <f t="shared" si="2"/>
        <v>44652</v>
      </c>
      <c r="D26" s="94" t="s">
        <v>149</v>
      </c>
      <c r="E26" s="164">
        <f t="shared" si="3"/>
        <v>1</v>
      </c>
      <c r="F26" s="92">
        <f t="shared" si="4"/>
        <v>30</v>
      </c>
      <c r="G26" s="242">
        <f t="shared" si="5"/>
        <v>30</v>
      </c>
      <c r="H26" s="242">
        <f t="shared" si="6"/>
        <v>30</v>
      </c>
      <c r="I26" s="242">
        <f t="shared" si="6"/>
        <v>30</v>
      </c>
      <c r="J26" s="170">
        <f t="shared" si="7"/>
        <v>0</v>
      </c>
      <c r="K26" s="242">
        <f t="shared" si="9"/>
        <v>30</v>
      </c>
      <c r="L26" s="242">
        <f t="shared" si="9"/>
        <v>30</v>
      </c>
      <c r="M26" s="244">
        <v>20000</v>
      </c>
      <c r="N26" s="244">
        <v>0</v>
      </c>
      <c r="O26" s="244">
        <f t="shared" si="10"/>
        <v>5760</v>
      </c>
      <c r="P26" s="244">
        <v>400</v>
      </c>
      <c r="Q26" s="244">
        <f t="shared" si="11"/>
        <v>369.84337500000004</v>
      </c>
      <c r="R26" s="245">
        <v>26</v>
      </c>
      <c r="S26" s="245">
        <v>31.8</v>
      </c>
      <c r="T26" s="246">
        <v>179.2</v>
      </c>
      <c r="U26" s="246">
        <f t="shared" si="12"/>
        <v>5.83</v>
      </c>
      <c r="V26" s="246">
        <f t="shared" si="13"/>
        <v>0.5</v>
      </c>
      <c r="W26" s="247">
        <v>62.37</v>
      </c>
      <c r="X26" s="246">
        <f t="shared" si="14"/>
        <v>680.72289156626493</v>
      </c>
      <c r="Y26" s="246">
        <f t="shared" si="15"/>
        <v>10.843373493975903</v>
      </c>
      <c r="Z26" s="9"/>
      <c r="AA26" s="16"/>
      <c r="AB26" s="16"/>
      <c r="AC26" s="16"/>
      <c r="AD26" s="16"/>
      <c r="AE26" s="16"/>
    </row>
    <row r="27" spans="1:31" x14ac:dyDescent="0.25">
      <c r="A27" s="92">
        <f t="shared" si="1"/>
        <v>2022</v>
      </c>
      <c r="B27" s="92">
        <f t="shared" si="8"/>
        <v>5</v>
      </c>
      <c r="C27" s="93">
        <f t="shared" si="2"/>
        <v>44682</v>
      </c>
      <c r="D27" s="94" t="s">
        <v>150</v>
      </c>
      <c r="E27" s="164">
        <f t="shared" si="3"/>
        <v>1</v>
      </c>
      <c r="F27" s="92">
        <f t="shared" si="4"/>
        <v>31</v>
      </c>
      <c r="G27" s="242">
        <f t="shared" si="5"/>
        <v>31</v>
      </c>
      <c r="H27" s="242">
        <f t="shared" si="6"/>
        <v>31</v>
      </c>
      <c r="I27" s="242">
        <f t="shared" si="6"/>
        <v>31</v>
      </c>
      <c r="J27" s="170">
        <f t="shared" si="7"/>
        <v>0</v>
      </c>
      <c r="K27" s="242">
        <f t="shared" si="9"/>
        <v>31</v>
      </c>
      <c r="L27" s="242">
        <f t="shared" si="9"/>
        <v>31</v>
      </c>
      <c r="M27" s="244">
        <v>13000</v>
      </c>
      <c r="N27" s="244">
        <v>0</v>
      </c>
      <c r="O27" s="244">
        <f t="shared" si="10"/>
        <v>5952</v>
      </c>
      <c r="P27" s="244">
        <v>400</v>
      </c>
      <c r="Q27" s="244">
        <f t="shared" si="11"/>
        <v>406.13662500000004</v>
      </c>
      <c r="R27" s="245">
        <v>26</v>
      </c>
      <c r="S27" s="245">
        <v>31.8</v>
      </c>
      <c r="T27" s="246">
        <v>179.2</v>
      </c>
      <c r="U27" s="246">
        <f t="shared" si="12"/>
        <v>5.83</v>
      </c>
      <c r="V27" s="246">
        <f t="shared" si="13"/>
        <v>0.5</v>
      </c>
      <c r="W27" s="247">
        <v>62.37</v>
      </c>
      <c r="X27" s="246">
        <f t="shared" si="14"/>
        <v>680.72289156626493</v>
      </c>
      <c r="Y27" s="246">
        <f t="shared" si="15"/>
        <v>10.843373493975903</v>
      </c>
      <c r="Z27" s="9"/>
      <c r="AA27" s="16"/>
      <c r="AB27" s="16"/>
      <c r="AC27" s="16"/>
      <c r="AD27" s="16"/>
      <c r="AE27" s="16"/>
    </row>
    <row r="28" spans="1:31" x14ac:dyDescent="0.25">
      <c r="A28" s="92">
        <f t="shared" si="1"/>
        <v>2022</v>
      </c>
      <c r="B28" s="92">
        <f t="shared" si="8"/>
        <v>6</v>
      </c>
      <c r="C28" s="93">
        <f t="shared" si="2"/>
        <v>44713</v>
      </c>
      <c r="D28" s="94" t="s">
        <v>151</v>
      </c>
      <c r="E28" s="164">
        <f t="shared" si="3"/>
        <v>1</v>
      </c>
      <c r="F28" s="92">
        <f t="shared" si="4"/>
        <v>30</v>
      </c>
      <c r="G28" s="242">
        <f t="shared" si="5"/>
        <v>30</v>
      </c>
      <c r="H28" s="242">
        <f t="shared" si="6"/>
        <v>30</v>
      </c>
      <c r="I28" s="242">
        <f t="shared" si="6"/>
        <v>30</v>
      </c>
      <c r="J28" s="170">
        <f t="shared" si="7"/>
        <v>0</v>
      </c>
      <c r="K28" s="242">
        <f t="shared" si="9"/>
        <v>30</v>
      </c>
      <c r="L28" s="242">
        <f t="shared" si="9"/>
        <v>30</v>
      </c>
      <c r="M28" s="244">
        <v>7500</v>
      </c>
      <c r="N28" s="244">
        <v>0</v>
      </c>
      <c r="O28" s="244">
        <f t="shared" si="10"/>
        <v>5760</v>
      </c>
      <c r="P28" s="244">
        <v>400</v>
      </c>
      <c r="Q28" s="244">
        <f t="shared" si="11"/>
        <v>441.25912500000004</v>
      </c>
      <c r="R28" s="245">
        <v>26</v>
      </c>
      <c r="S28" s="245">
        <v>31.8</v>
      </c>
      <c r="T28" s="246">
        <v>179.2</v>
      </c>
      <c r="U28" s="246">
        <f t="shared" si="12"/>
        <v>5.83</v>
      </c>
      <c r="V28" s="246">
        <f t="shared" si="13"/>
        <v>0.5</v>
      </c>
      <c r="W28" s="247">
        <v>62.37</v>
      </c>
      <c r="X28" s="246">
        <f t="shared" si="14"/>
        <v>680.72289156626493</v>
      </c>
      <c r="Y28" s="246">
        <f t="shared" si="15"/>
        <v>10.843373493975903</v>
      </c>
      <c r="Z28" s="9"/>
      <c r="AA28" s="16"/>
      <c r="AB28" s="16"/>
      <c r="AC28" s="16"/>
      <c r="AD28" s="16"/>
      <c r="AE28" s="16"/>
    </row>
    <row r="29" spans="1:31" x14ac:dyDescent="0.25">
      <c r="A29" s="92">
        <f t="shared" si="1"/>
        <v>2022</v>
      </c>
      <c r="B29" s="92">
        <f t="shared" si="8"/>
        <v>7</v>
      </c>
      <c r="C29" s="93">
        <f t="shared" si="2"/>
        <v>44743</v>
      </c>
      <c r="D29" s="94" t="s">
        <v>152</v>
      </c>
      <c r="E29" s="164">
        <f t="shared" si="3"/>
        <v>1</v>
      </c>
      <c r="F29" s="92">
        <f t="shared" si="4"/>
        <v>31</v>
      </c>
      <c r="G29" s="242">
        <v>10</v>
      </c>
      <c r="H29" s="242">
        <f t="shared" si="6"/>
        <v>31</v>
      </c>
      <c r="I29" s="242">
        <f t="shared" si="6"/>
        <v>31</v>
      </c>
      <c r="J29" s="170">
        <f t="shared" si="7"/>
        <v>0</v>
      </c>
      <c r="K29" s="242">
        <f t="shared" si="9"/>
        <v>31</v>
      </c>
      <c r="L29" s="242">
        <f t="shared" si="9"/>
        <v>31</v>
      </c>
      <c r="M29" s="244">
        <v>7500</v>
      </c>
      <c r="N29" s="244">
        <v>0</v>
      </c>
      <c r="O29" s="244">
        <f t="shared" si="10"/>
        <v>5952</v>
      </c>
      <c r="P29" s="244">
        <v>400</v>
      </c>
      <c r="Q29" s="244">
        <f t="shared" si="11"/>
        <v>477.55237500000004</v>
      </c>
      <c r="R29" s="245">
        <v>26</v>
      </c>
      <c r="S29" s="245">
        <v>31.8</v>
      </c>
      <c r="T29" s="246">
        <v>179.2</v>
      </c>
      <c r="U29" s="246">
        <f t="shared" si="12"/>
        <v>5.83</v>
      </c>
      <c r="V29" s="246">
        <f t="shared" si="13"/>
        <v>0.5</v>
      </c>
      <c r="W29" s="247">
        <v>62.37</v>
      </c>
      <c r="X29" s="246">
        <f t="shared" si="14"/>
        <v>680.72289156626493</v>
      </c>
      <c r="Y29" s="246">
        <f t="shared" si="15"/>
        <v>10.843373493975903</v>
      </c>
      <c r="Z29" s="9"/>
      <c r="AA29" s="16"/>
      <c r="AB29" s="16"/>
      <c r="AC29" s="16"/>
      <c r="AD29" s="16"/>
      <c r="AE29" s="16"/>
    </row>
    <row r="30" spans="1:31" x14ac:dyDescent="0.25">
      <c r="A30" s="92">
        <f t="shared" si="1"/>
        <v>2022</v>
      </c>
      <c r="B30" s="92">
        <f t="shared" si="8"/>
        <v>8</v>
      </c>
      <c r="C30" s="93">
        <f t="shared" si="2"/>
        <v>44774</v>
      </c>
      <c r="D30" s="94" t="s">
        <v>153</v>
      </c>
      <c r="E30" s="164">
        <f t="shared" si="3"/>
        <v>1</v>
      </c>
      <c r="F30" s="92">
        <f t="shared" si="4"/>
        <v>31</v>
      </c>
      <c r="G30" s="242">
        <v>10</v>
      </c>
      <c r="H30" s="242">
        <f t="shared" si="6"/>
        <v>31</v>
      </c>
      <c r="I30" s="242">
        <f t="shared" si="6"/>
        <v>31</v>
      </c>
      <c r="J30" s="170">
        <f t="shared" si="7"/>
        <v>0</v>
      </c>
      <c r="K30" s="242">
        <f t="shared" si="9"/>
        <v>31</v>
      </c>
      <c r="L30" s="242">
        <f t="shared" si="9"/>
        <v>31</v>
      </c>
      <c r="M30" s="244">
        <v>7000</v>
      </c>
      <c r="N30" s="244">
        <v>0</v>
      </c>
      <c r="O30" s="244">
        <f t="shared" si="10"/>
        <v>5952</v>
      </c>
      <c r="P30" s="244">
        <v>400</v>
      </c>
      <c r="Q30" s="244">
        <f t="shared" si="11"/>
        <v>513.84562500000004</v>
      </c>
      <c r="R30" s="245">
        <v>26</v>
      </c>
      <c r="S30" s="245">
        <v>31.8</v>
      </c>
      <c r="T30" s="246">
        <v>179.2</v>
      </c>
      <c r="U30" s="246">
        <f t="shared" si="12"/>
        <v>5.83</v>
      </c>
      <c r="V30" s="246">
        <f t="shared" si="13"/>
        <v>0.5</v>
      </c>
      <c r="W30" s="247">
        <v>62.37</v>
      </c>
      <c r="X30" s="246">
        <f t="shared" si="14"/>
        <v>680.72289156626493</v>
      </c>
      <c r="Y30" s="246">
        <f t="shared" si="15"/>
        <v>10.843373493975903</v>
      </c>
      <c r="Z30" s="9"/>
      <c r="AA30" s="16"/>
      <c r="AB30" s="16"/>
      <c r="AC30" s="16"/>
      <c r="AD30" s="16"/>
      <c r="AE30" s="16"/>
    </row>
    <row r="31" spans="1:31" x14ac:dyDescent="0.25">
      <c r="A31" s="92">
        <f t="shared" si="1"/>
        <v>2022</v>
      </c>
      <c r="B31" s="92">
        <f t="shared" si="8"/>
        <v>9</v>
      </c>
      <c r="C31" s="93">
        <f t="shared" si="2"/>
        <v>44805</v>
      </c>
      <c r="D31" s="94" t="s">
        <v>154</v>
      </c>
      <c r="E31" s="164">
        <f t="shared" si="3"/>
        <v>1</v>
      </c>
      <c r="F31" s="92">
        <f t="shared" si="4"/>
        <v>30</v>
      </c>
      <c r="G31" s="242">
        <f>$F31</f>
        <v>30</v>
      </c>
      <c r="H31" s="242">
        <f t="shared" si="6"/>
        <v>30</v>
      </c>
      <c r="I31" s="242">
        <f t="shared" si="6"/>
        <v>30</v>
      </c>
      <c r="J31" s="170">
        <f t="shared" si="7"/>
        <v>0</v>
      </c>
      <c r="K31" s="242">
        <f t="shared" si="9"/>
        <v>30</v>
      </c>
      <c r="L31" s="242">
        <f t="shared" si="9"/>
        <v>30</v>
      </c>
      <c r="M31" s="244">
        <v>8000</v>
      </c>
      <c r="N31" s="244">
        <v>0</v>
      </c>
      <c r="O31" s="244">
        <f t="shared" si="10"/>
        <v>5760</v>
      </c>
      <c r="P31" s="244">
        <v>400</v>
      </c>
      <c r="Q31" s="244">
        <f t="shared" si="11"/>
        <v>548.9681250000001</v>
      </c>
      <c r="R31" s="245">
        <v>26</v>
      </c>
      <c r="S31" s="245">
        <v>31.8</v>
      </c>
      <c r="T31" s="246">
        <v>179.2</v>
      </c>
      <c r="U31" s="246">
        <f t="shared" si="12"/>
        <v>5.83</v>
      </c>
      <c r="V31" s="246">
        <f t="shared" si="13"/>
        <v>0.5</v>
      </c>
      <c r="W31" s="247">
        <v>62.37</v>
      </c>
      <c r="X31" s="246">
        <f t="shared" si="14"/>
        <v>680.72289156626493</v>
      </c>
      <c r="Y31" s="246">
        <f t="shared" si="15"/>
        <v>10.843373493975903</v>
      </c>
      <c r="Z31" s="9"/>
      <c r="AA31" s="16"/>
      <c r="AB31" s="16"/>
      <c r="AC31" s="16"/>
      <c r="AD31" s="16"/>
      <c r="AE31" s="16"/>
    </row>
    <row r="32" spans="1:31" x14ac:dyDescent="0.25">
      <c r="A32" s="92">
        <f t="shared" si="1"/>
        <v>2022</v>
      </c>
      <c r="B32" s="92">
        <f t="shared" si="8"/>
        <v>10</v>
      </c>
      <c r="C32" s="93">
        <f t="shared" si="2"/>
        <v>44835</v>
      </c>
      <c r="D32" s="94" t="s">
        <v>155</v>
      </c>
      <c r="E32" s="164">
        <f t="shared" si="3"/>
        <v>1</v>
      </c>
      <c r="F32" s="92">
        <f t="shared" si="4"/>
        <v>31</v>
      </c>
      <c r="G32" s="242">
        <f>$F32</f>
        <v>31</v>
      </c>
      <c r="H32" s="242">
        <f t="shared" si="6"/>
        <v>31</v>
      </c>
      <c r="I32" s="242">
        <f t="shared" si="6"/>
        <v>31</v>
      </c>
      <c r="J32" s="170">
        <f t="shared" si="7"/>
        <v>0</v>
      </c>
      <c r="K32" s="242">
        <f t="shared" si="9"/>
        <v>31</v>
      </c>
      <c r="L32" s="242">
        <f t="shared" si="9"/>
        <v>31</v>
      </c>
      <c r="M32" s="244">
        <v>19700</v>
      </c>
      <c r="N32" s="244">
        <v>0</v>
      </c>
      <c r="O32" s="244">
        <f t="shared" si="10"/>
        <v>5952</v>
      </c>
      <c r="P32" s="244">
        <v>400</v>
      </c>
      <c r="Q32" s="244">
        <f t="shared" si="11"/>
        <v>585.26137500000004</v>
      </c>
      <c r="R32" s="245">
        <v>26</v>
      </c>
      <c r="S32" s="245">
        <v>31.8</v>
      </c>
      <c r="T32" s="246">
        <v>179.2</v>
      </c>
      <c r="U32" s="246">
        <f t="shared" si="12"/>
        <v>5.83</v>
      </c>
      <c r="V32" s="246">
        <f t="shared" si="13"/>
        <v>0.5</v>
      </c>
      <c r="W32" s="247">
        <v>62.37</v>
      </c>
      <c r="X32" s="246">
        <f t="shared" si="14"/>
        <v>680.72289156626493</v>
      </c>
      <c r="Y32" s="246">
        <f t="shared" si="15"/>
        <v>10.843373493975903</v>
      </c>
      <c r="Z32" s="9"/>
      <c r="AA32" s="16"/>
      <c r="AB32" s="16"/>
      <c r="AC32" s="16"/>
      <c r="AD32" s="16"/>
      <c r="AE32" s="16"/>
    </row>
    <row r="33" spans="1:31" x14ac:dyDescent="0.25">
      <c r="A33" s="92">
        <f t="shared" si="1"/>
        <v>2022</v>
      </c>
      <c r="B33" s="92">
        <f t="shared" si="8"/>
        <v>11</v>
      </c>
      <c r="C33" s="93">
        <f t="shared" si="2"/>
        <v>44866</v>
      </c>
      <c r="D33" s="94" t="s">
        <v>156</v>
      </c>
      <c r="E33" s="164">
        <f t="shared" si="3"/>
        <v>1</v>
      </c>
      <c r="F33" s="92">
        <f t="shared" si="4"/>
        <v>30</v>
      </c>
      <c r="G33" s="242">
        <f>$F33</f>
        <v>30</v>
      </c>
      <c r="H33" s="242">
        <f t="shared" si="6"/>
        <v>30</v>
      </c>
      <c r="I33" s="242">
        <f t="shared" si="6"/>
        <v>30</v>
      </c>
      <c r="J33" s="170">
        <f t="shared" si="7"/>
        <v>7.8125</v>
      </c>
      <c r="K33" s="242">
        <f t="shared" si="9"/>
        <v>30</v>
      </c>
      <c r="L33" s="242">
        <f t="shared" si="9"/>
        <v>30</v>
      </c>
      <c r="M33" s="244">
        <v>27500</v>
      </c>
      <c r="N33" s="244">
        <v>1500</v>
      </c>
      <c r="O33" s="244">
        <f t="shared" si="10"/>
        <v>5760</v>
      </c>
      <c r="P33" s="244">
        <v>400</v>
      </c>
      <c r="Q33" s="244">
        <f t="shared" si="11"/>
        <v>620.38387499999999</v>
      </c>
      <c r="R33" s="245">
        <v>26</v>
      </c>
      <c r="S33" s="245">
        <v>31.8</v>
      </c>
      <c r="T33" s="246">
        <v>179.2</v>
      </c>
      <c r="U33" s="246">
        <f t="shared" si="12"/>
        <v>5.83</v>
      </c>
      <c r="V33" s="246">
        <f t="shared" si="13"/>
        <v>0.5</v>
      </c>
      <c r="W33" s="247">
        <v>62.37</v>
      </c>
      <c r="X33" s="246">
        <f t="shared" si="14"/>
        <v>680.72289156626493</v>
      </c>
      <c r="Y33" s="246">
        <f t="shared" si="15"/>
        <v>10.843373493975903</v>
      </c>
      <c r="Z33" s="9"/>
      <c r="AA33" s="16"/>
      <c r="AB33" s="16"/>
      <c r="AC33" s="16"/>
      <c r="AD33" s="16"/>
      <c r="AE33" s="16"/>
    </row>
    <row r="34" spans="1:31" x14ac:dyDescent="0.25">
      <c r="A34" s="95">
        <f t="shared" si="1"/>
        <v>2022</v>
      </c>
      <c r="B34" s="95">
        <f t="shared" si="8"/>
        <v>12</v>
      </c>
      <c r="C34" s="96">
        <f t="shared" si="2"/>
        <v>44896</v>
      </c>
      <c r="D34" s="97" t="s">
        <v>157</v>
      </c>
      <c r="E34" s="166">
        <f t="shared" si="3"/>
        <v>1</v>
      </c>
      <c r="F34" s="95">
        <f t="shared" si="4"/>
        <v>31</v>
      </c>
      <c r="G34" s="243">
        <f>$F34</f>
        <v>31</v>
      </c>
      <c r="H34" s="243">
        <f t="shared" si="6"/>
        <v>31</v>
      </c>
      <c r="I34" s="243">
        <f t="shared" si="6"/>
        <v>31</v>
      </c>
      <c r="J34" s="171">
        <f t="shared" si="7"/>
        <v>29.166666666666668</v>
      </c>
      <c r="K34" s="243">
        <f t="shared" si="9"/>
        <v>31</v>
      </c>
      <c r="L34" s="243">
        <f t="shared" si="9"/>
        <v>31</v>
      </c>
      <c r="M34" s="248">
        <v>33000</v>
      </c>
      <c r="N34" s="248">
        <v>5600</v>
      </c>
      <c r="O34" s="248">
        <f t="shared" si="10"/>
        <v>5952</v>
      </c>
      <c r="P34" s="248">
        <v>400</v>
      </c>
      <c r="Q34" s="248">
        <f t="shared" si="11"/>
        <v>656.67712499999993</v>
      </c>
      <c r="R34" s="249">
        <v>26</v>
      </c>
      <c r="S34" s="249">
        <v>31.8</v>
      </c>
      <c r="T34" s="250">
        <v>179.2</v>
      </c>
      <c r="U34" s="250">
        <f t="shared" si="12"/>
        <v>5.83</v>
      </c>
      <c r="V34" s="250">
        <f t="shared" si="13"/>
        <v>0.5</v>
      </c>
      <c r="W34" s="251">
        <v>62.37</v>
      </c>
      <c r="X34" s="250">
        <f t="shared" si="14"/>
        <v>680.72289156626493</v>
      </c>
      <c r="Y34" s="250">
        <f t="shared" si="15"/>
        <v>10.843373493975903</v>
      </c>
      <c r="Z34" s="9"/>
      <c r="AA34" s="16"/>
      <c r="AB34" s="16"/>
      <c r="AC34" s="16"/>
      <c r="AD34" s="16"/>
      <c r="AE34" s="16"/>
    </row>
    <row r="35" spans="1:31" x14ac:dyDescent="0.25">
      <c r="A35" s="92">
        <f t="shared" si="1"/>
        <v>2023</v>
      </c>
      <c r="B35" s="92">
        <f>MOD(ROW(B35)-ROW(B$23),12)+1</f>
        <v>1</v>
      </c>
      <c r="C35" s="93">
        <f t="shared" si="2"/>
        <v>44927</v>
      </c>
      <c r="D35" s="94" t="s">
        <v>158</v>
      </c>
      <c r="E35" s="167">
        <f t="shared" si="3"/>
        <v>0</v>
      </c>
      <c r="F35" s="92">
        <f t="shared" si="4"/>
        <v>31</v>
      </c>
      <c r="G35" s="242">
        <f t="shared" ref="G35:I58" si="16">$F35</f>
        <v>31</v>
      </c>
      <c r="H35" s="242">
        <f t="shared" si="6"/>
        <v>31</v>
      </c>
      <c r="I35" s="242">
        <f t="shared" si="6"/>
        <v>31</v>
      </c>
      <c r="J35" s="172">
        <f t="shared" si="7"/>
        <v>20.833333333333332</v>
      </c>
      <c r="K35" s="242">
        <f t="shared" si="9"/>
        <v>31</v>
      </c>
      <c r="L35" s="242">
        <f t="shared" si="9"/>
        <v>31</v>
      </c>
      <c r="M35" s="244">
        <v>35300</v>
      </c>
      <c r="N35" s="244">
        <v>4000</v>
      </c>
      <c r="O35" s="244">
        <f>8*H35*24</f>
        <v>5952</v>
      </c>
      <c r="P35" s="244">
        <v>400</v>
      </c>
      <c r="Q35" s="244">
        <f t="shared" ref="Q35:Q58" si="17">Q34+0.1561*7.5*F35</f>
        <v>692.97037499999988</v>
      </c>
      <c r="R35" s="245">
        <v>26</v>
      </c>
      <c r="S35" s="245">
        <v>31.8</v>
      </c>
      <c r="T35" s="246">
        <v>179.2</v>
      </c>
      <c r="U35" s="246">
        <f t="shared" si="12"/>
        <v>5.83</v>
      </c>
      <c r="V35" s="246">
        <f t="shared" si="13"/>
        <v>0.5</v>
      </c>
      <c r="W35" s="247">
        <v>62.37</v>
      </c>
      <c r="X35" s="246">
        <f t="shared" si="14"/>
        <v>680.72289156626493</v>
      </c>
      <c r="Y35" s="246">
        <f t="shared" si="15"/>
        <v>10.843373493975903</v>
      </c>
    </row>
    <row r="36" spans="1:31" x14ac:dyDescent="0.25">
      <c r="A36" s="92">
        <f t="shared" si="1"/>
        <v>2023</v>
      </c>
      <c r="B36" s="92">
        <f t="shared" ref="B36:B58" si="18">MOD(ROW(B36)-ROW(B$23),12)+1</f>
        <v>2</v>
      </c>
      <c r="C36" s="93">
        <f t="shared" si="2"/>
        <v>44958</v>
      </c>
      <c r="D36" s="94" t="s">
        <v>159</v>
      </c>
      <c r="E36" s="168">
        <f t="shared" si="3"/>
        <v>0</v>
      </c>
      <c r="F36" s="92">
        <f t="shared" si="4"/>
        <v>28</v>
      </c>
      <c r="G36" s="242">
        <f t="shared" si="16"/>
        <v>28</v>
      </c>
      <c r="H36" s="242">
        <f t="shared" si="6"/>
        <v>28</v>
      </c>
      <c r="I36" s="242">
        <f t="shared" si="6"/>
        <v>28</v>
      </c>
      <c r="J36" s="170">
        <f t="shared" si="7"/>
        <v>0</v>
      </c>
      <c r="K36" s="242">
        <f t="shared" si="9"/>
        <v>28</v>
      </c>
      <c r="L36" s="242">
        <f t="shared" si="9"/>
        <v>28</v>
      </c>
      <c r="M36" s="244">
        <v>32000</v>
      </c>
      <c r="N36" s="244">
        <v>0</v>
      </c>
      <c r="O36" s="244">
        <f t="shared" ref="O36:O46" si="19">8*H36*24</f>
        <v>5376</v>
      </c>
      <c r="P36" s="244">
        <v>400</v>
      </c>
      <c r="Q36" s="244">
        <f t="shared" si="17"/>
        <v>725.75137499999983</v>
      </c>
      <c r="R36" s="245">
        <v>26</v>
      </c>
      <c r="S36" s="245">
        <v>31.8</v>
      </c>
      <c r="T36" s="246">
        <v>179.2</v>
      </c>
      <c r="U36" s="246">
        <f t="shared" si="12"/>
        <v>5.83</v>
      </c>
      <c r="V36" s="246">
        <f t="shared" si="13"/>
        <v>0.5</v>
      </c>
      <c r="W36" s="247">
        <v>62.37</v>
      </c>
      <c r="X36" s="246">
        <f t="shared" si="14"/>
        <v>680.72289156626493</v>
      </c>
      <c r="Y36" s="246">
        <f t="shared" si="15"/>
        <v>10.843373493975903</v>
      </c>
    </row>
    <row r="37" spans="1:31" x14ac:dyDescent="0.25">
      <c r="A37" s="92">
        <f t="shared" si="1"/>
        <v>2023</v>
      </c>
      <c r="B37" s="92">
        <f t="shared" si="18"/>
        <v>3</v>
      </c>
      <c r="C37" s="93">
        <f t="shared" si="2"/>
        <v>44986</v>
      </c>
      <c r="D37" s="94" t="s">
        <v>160</v>
      </c>
      <c r="E37" s="168">
        <f t="shared" si="3"/>
        <v>0</v>
      </c>
      <c r="F37" s="92">
        <f t="shared" si="4"/>
        <v>31</v>
      </c>
      <c r="G37" s="242">
        <f t="shared" si="16"/>
        <v>31</v>
      </c>
      <c r="H37" s="242">
        <f t="shared" si="6"/>
        <v>31</v>
      </c>
      <c r="I37" s="242">
        <f t="shared" si="6"/>
        <v>31</v>
      </c>
      <c r="J37" s="170">
        <f t="shared" si="7"/>
        <v>0</v>
      </c>
      <c r="K37" s="242">
        <f t="shared" si="9"/>
        <v>31</v>
      </c>
      <c r="L37" s="242">
        <f t="shared" si="9"/>
        <v>31</v>
      </c>
      <c r="M37" s="244">
        <v>29500</v>
      </c>
      <c r="N37" s="244">
        <v>0</v>
      </c>
      <c r="O37" s="244">
        <f t="shared" si="19"/>
        <v>5952</v>
      </c>
      <c r="P37" s="244">
        <v>400</v>
      </c>
      <c r="Q37" s="244">
        <f t="shared" si="17"/>
        <v>762.04462499999977</v>
      </c>
      <c r="R37" s="245">
        <v>26</v>
      </c>
      <c r="S37" s="245">
        <v>31.8</v>
      </c>
      <c r="T37" s="246">
        <v>179.2</v>
      </c>
      <c r="U37" s="246">
        <f t="shared" si="12"/>
        <v>5.83</v>
      </c>
      <c r="V37" s="246">
        <f t="shared" si="13"/>
        <v>0.5</v>
      </c>
      <c r="W37" s="247">
        <v>62.37</v>
      </c>
      <c r="X37" s="246">
        <f t="shared" si="14"/>
        <v>680.72289156626493</v>
      </c>
      <c r="Y37" s="246">
        <f t="shared" si="15"/>
        <v>10.843373493975903</v>
      </c>
    </row>
    <row r="38" spans="1:31" x14ac:dyDescent="0.25">
      <c r="A38" s="92">
        <f t="shared" si="1"/>
        <v>2023</v>
      </c>
      <c r="B38" s="92">
        <f t="shared" si="18"/>
        <v>4</v>
      </c>
      <c r="C38" s="93">
        <f t="shared" si="2"/>
        <v>45017</v>
      </c>
      <c r="D38" s="94" t="s">
        <v>161</v>
      </c>
      <c r="E38" s="168">
        <f t="shared" si="3"/>
        <v>0</v>
      </c>
      <c r="F38" s="92">
        <f t="shared" si="4"/>
        <v>30</v>
      </c>
      <c r="G38" s="242">
        <f t="shared" si="16"/>
        <v>30</v>
      </c>
      <c r="H38" s="242">
        <f t="shared" si="6"/>
        <v>30</v>
      </c>
      <c r="I38" s="242">
        <f t="shared" si="6"/>
        <v>30</v>
      </c>
      <c r="J38" s="170">
        <f t="shared" si="7"/>
        <v>0</v>
      </c>
      <c r="K38" s="242">
        <f t="shared" si="9"/>
        <v>30</v>
      </c>
      <c r="L38" s="242">
        <f t="shared" si="9"/>
        <v>30</v>
      </c>
      <c r="M38" s="244">
        <v>20000</v>
      </c>
      <c r="N38" s="244">
        <v>0</v>
      </c>
      <c r="O38" s="244">
        <f t="shared" si="19"/>
        <v>5760</v>
      </c>
      <c r="P38" s="244">
        <v>400</v>
      </c>
      <c r="Q38" s="244">
        <f t="shared" si="17"/>
        <v>797.16712499999971</v>
      </c>
      <c r="R38" s="245">
        <v>26</v>
      </c>
      <c r="S38" s="245">
        <v>31.8</v>
      </c>
      <c r="T38" s="246">
        <v>179.2</v>
      </c>
      <c r="U38" s="246">
        <f t="shared" si="12"/>
        <v>5.83</v>
      </c>
      <c r="V38" s="246">
        <f t="shared" si="13"/>
        <v>0.5</v>
      </c>
      <c r="W38" s="247">
        <v>62.37</v>
      </c>
      <c r="X38" s="246">
        <f t="shared" si="14"/>
        <v>680.72289156626493</v>
      </c>
      <c r="Y38" s="246">
        <f t="shared" si="15"/>
        <v>10.843373493975903</v>
      </c>
    </row>
    <row r="39" spans="1:31" x14ac:dyDescent="0.25">
      <c r="A39" s="92">
        <f t="shared" si="1"/>
        <v>2023</v>
      </c>
      <c r="B39" s="92">
        <f t="shared" si="18"/>
        <v>5</v>
      </c>
      <c r="C39" s="93">
        <f t="shared" si="2"/>
        <v>45047</v>
      </c>
      <c r="D39" s="94" t="s">
        <v>162</v>
      </c>
      <c r="E39" s="168">
        <f t="shared" si="3"/>
        <v>0</v>
      </c>
      <c r="F39" s="92">
        <f t="shared" si="4"/>
        <v>31</v>
      </c>
      <c r="G39" s="242">
        <f t="shared" si="16"/>
        <v>31</v>
      </c>
      <c r="H39" s="242">
        <f t="shared" si="16"/>
        <v>31</v>
      </c>
      <c r="I39" s="242">
        <f t="shared" si="16"/>
        <v>31</v>
      </c>
      <c r="J39" s="170">
        <f t="shared" si="7"/>
        <v>0</v>
      </c>
      <c r="K39" s="242">
        <f t="shared" si="9"/>
        <v>31</v>
      </c>
      <c r="L39" s="242">
        <f t="shared" si="9"/>
        <v>31</v>
      </c>
      <c r="M39" s="244">
        <v>13000</v>
      </c>
      <c r="N39" s="244">
        <v>0</v>
      </c>
      <c r="O39" s="244">
        <f t="shared" si="19"/>
        <v>5952</v>
      </c>
      <c r="P39" s="244">
        <v>400</v>
      </c>
      <c r="Q39" s="244">
        <f t="shared" si="17"/>
        <v>833.46037499999966</v>
      </c>
      <c r="R39" s="245">
        <v>26</v>
      </c>
      <c r="S39" s="245">
        <v>31.8</v>
      </c>
      <c r="T39" s="246">
        <v>179.2</v>
      </c>
      <c r="U39" s="246">
        <f t="shared" si="12"/>
        <v>5.83</v>
      </c>
      <c r="V39" s="246">
        <f t="shared" si="13"/>
        <v>0.5</v>
      </c>
      <c r="W39" s="247">
        <v>62.37</v>
      </c>
      <c r="X39" s="246">
        <f t="shared" si="14"/>
        <v>680.72289156626493</v>
      </c>
      <c r="Y39" s="246">
        <f t="shared" si="15"/>
        <v>10.843373493975903</v>
      </c>
    </row>
    <row r="40" spans="1:31" x14ac:dyDescent="0.25">
      <c r="A40" s="92">
        <f t="shared" si="1"/>
        <v>2023</v>
      </c>
      <c r="B40" s="92">
        <f t="shared" si="18"/>
        <v>6</v>
      </c>
      <c r="C40" s="93">
        <f t="shared" si="2"/>
        <v>45078</v>
      </c>
      <c r="D40" s="94" t="s">
        <v>163</v>
      </c>
      <c r="E40" s="168">
        <f t="shared" si="3"/>
        <v>0</v>
      </c>
      <c r="F40" s="92">
        <f t="shared" si="4"/>
        <v>30</v>
      </c>
      <c r="G40" s="242">
        <f t="shared" si="16"/>
        <v>30</v>
      </c>
      <c r="H40" s="242">
        <f t="shared" si="16"/>
        <v>30</v>
      </c>
      <c r="I40" s="242">
        <f t="shared" si="16"/>
        <v>30</v>
      </c>
      <c r="J40" s="170">
        <f t="shared" si="7"/>
        <v>0</v>
      </c>
      <c r="K40" s="242">
        <f t="shared" ref="K40:L58" si="20">$F40</f>
        <v>30</v>
      </c>
      <c r="L40" s="242">
        <f t="shared" si="20"/>
        <v>30</v>
      </c>
      <c r="M40" s="244">
        <v>7500</v>
      </c>
      <c r="N40" s="244">
        <v>0</v>
      </c>
      <c r="O40" s="244">
        <f t="shared" si="19"/>
        <v>5760</v>
      </c>
      <c r="P40" s="244">
        <v>400</v>
      </c>
      <c r="Q40" s="244">
        <f t="shared" si="17"/>
        <v>868.5828749999996</v>
      </c>
      <c r="R40" s="245">
        <v>26</v>
      </c>
      <c r="S40" s="245">
        <v>31.8</v>
      </c>
      <c r="T40" s="246">
        <v>179.2</v>
      </c>
      <c r="U40" s="246">
        <f t="shared" si="12"/>
        <v>5.83</v>
      </c>
      <c r="V40" s="246">
        <f t="shared" si="13"/>
        <v>0.5</v>
      </c>
      <c r="W40" s="247">
        <v>62.37</v>
      </c>
      <c r="X40" s="246">
        <f t="shared" si="14"/>
        <v>680.72289156626493</v>
      </c>
      <c r="Y40" s="246">
        <f t="shared" si="15"/>
        <v>10.843373493975903</v>
      </c>
    </row>
    <row r="41" spans="1:31" x14ac:dyDescent="0.25">
      <c r="A41" s="92">
        <f t="shared" si="1"/>
        <v>2023</v>
      </c>
      <c r="B41" s="92">
        <f t="shared" si="18"/>
        <v>7</v>
      </c>
      <c r="C41" s="93">
        <f t="shared" si="2"/>
        <v>45108</v>
      </c>
      <c r="D41" s="94" t="s">
        <v>164</v>
      </c>
      <c r="E41" s="168">
        <f t="shared" si="3"/>
        <v>0</v>
      </c>
      <c r="F41" s="92">
        <f t="shared" si="4"/>
        <v>31</v>
      </c>
      <c r="G41" s="242">
        <v>10</v>
      </c>
      <c r="H41" s="242">
        <f t="shared" si="16"/>
        <v>31</v>
      </c>
      <c r="I41" s="242">
        <f t="shared" si="16"/>
        <v>31</v>
      </c>
      <c r="J41" s="170">
        <f t="shared" si="7"/>
        <v>0</v>
      </c>
      <c r="K41" s="242">
        <f t="shared" si="20"/>
        <v>31</v>
      </c>
      <c r="L41" s="242">
        <f t="shared" si="20"/>
        <v>31</v>
      </c>
      <c r="M41" s="244">
        <v>7500</v>
      </c>
      <c r="N41" s="244">
        <v>0</v>
      </c>
      <c r="O41" s="244">
        <f t="shared" si="19"/>
        <v>5952</v>
      </c>
      <c r="P41" s="244">
        <v>400</v>
      </c>
      <c r="Q41" s="244">
        <f t="shared" si="17"/>
        <v>904.87612499999955</v>
      </c>
      <c r="R41" s="245">
        <v>26</v>
      </c>
      <c r="S41" s="245">
        <v>31.8</v>
      </c>
      <c r="T41" s="246">
        <v>179.2</v>
      </c>
      <c r="U41" s="246">
        <f t="shared" si="12"/>
        <v>5.83</v>
      </c>
      <c r="V41" s="246">
        <f t="shared" si="13"/>
        <v>0.5</v>
      </c>
      <c r="W41" s="247">
        <v>62.37</v>
      </c>
      <c r="X41" s="246">
        <f t="shared" si="14"/>
        <v>680.72289156626493</v>
      </c>
      <c r="Y41" s="246">
        <f t="shared" si="15"/>
        <v>10.843373493975903</v>
      </c>
    </row>
    <row r="42" spans="1:31" x14ac:dyDescent="0.25">
      <c r="A42" s="92">
        <f t="shared" si="1"/>
        <v>2023</v>
      </c>
      <c r="B42" s="92">
        <f t="shared" si="18"/>
        <v>8</v>
      </c>
      <c r="C42" s="93">
        <f t="shared" si="2"/>
        <v>45139</v>
      </c>
      <c r="D42" s="94" t="s">
        <v>165</v>
      </c>
      <c r="E42" s="168">
        <f t="shared" si="3"/>
        <v>0</v>
      </c>
      <c r="F42" s="92">
        <f t="shared" si="4"/>
        <v>31</v>
      </c>
      <c r="G42" s="242">
        <v>10</v>
      </c>
      <c r="H42" s="242">
        <f t="shared" si="16"/>
        <v>31</v>
      </c>
      <c r="I42" s="242">
        <f t="shared" si="16"/>
        <v>31</v>
      </c>
      <c r="J42" s="170">
        <f t="shared" si="7"/>
        <v>0</v>
      </c>
      <c r="K42" s="242">
        <f t="shared" si="20"/>
        <v>31</v>
      </c>
      <c r="L42" s="242">
        <f t="shared" si="20"/>
        <v>31</v>
      </c>
      <c r="M42" s="244">
        <v>7000</v>
      </c>
      <c r="N42" s="244">
        <v>0</v>
      </c>
      <c r="O42" s="244">
        <f t="shared" si="19"/>
        <v>5952</v>
      </c>
      <c r="P42" s="244">
        <v>400</v>
      </c>
      <c r="Q42" s="244">
        <f t="shared" si="17"/>
        <v>941.16937499999949</v>
      </c>
      <c r="R42" s="245">
        <v>26</v>
      </c>
      <c r="S42" s="245">
        <v>31.8</v>
      </c>
      <c r="T42" s="246">
        <v>179.2</v>
      </c>
      <c r="U42" s="246">
        <f t="shared" si="12"/>
        <v>5.83</v>
      </c>
      <c r="V42" s="246">
        <f t="shared" si="13"/>
        <v>0.5</v>
      </c>
      <c r="W42" s="247">
        <v>62.37</v>
      </c>
      <c r="X42" s="246">
        <f t="shared" si="14"/>
        <v>680.72289156626493</v>
      </c>
      <c r="Y42" s="246">
        <f t="shared" si="15"/>
        <v>10.843373493975903</v>
      </c>
    </row>
    <row r="43" spans="1:31" x14ac:dyDescent="0.25">
      <c r="A43" s="92">
        <f t="shared" si="1"/>
        <v>2023</v>
      </c>
      <c r="B43" s="92">
        <f t="shared" si="18"/>
        <v>9</v>
      </c>
      <c r="C43" s="93">
        <f t="shared" si="2"/>
        <v>45170</v>
      </c>
      <c r="D43" s="94" t="s">
        <v>166</v>
      </c>
      <c r="E43" s="168">
        <f t="shared" si="3"/>
        <v>0</v>
      </c>
      <c r="F43" s="92">
        <f t="shared" si="4"/>
        <v>30</v>
      </c>
      <c r="G43" s="242">
        <f t="shared" ref="G43:G52" si="21">$F43</f>
        <v>30</v>
      </c>
      <c r="H43" s="242">
        <f t="shared" si="16"/>
        <v>30</v>
      </c>
      <c r="I43" s="242">
        <f t="shared" si="16"/>
        <v>30</v>
      </c>
      <c r="J43" s="170">
        <f t="shared" si="7"/>
        <v>0</v>
      </c>
      <c r="K43" s="242">
        <f t="shared" si="20"/>
        <v>30</v>
      </c>
      <c r="L43" s="242">
        <f t="shared" si="20"/>
        <v>30</v>
      </c>
      <c r="M43" s="244">
        <v>8000</v>
      </c>
      <c r="N43" s="244">
        <v>0</v>
      </c>
      <c r="O43" s="244">
        <f t="shared" si="19"/>
        <v>5760</v>
      </c>
      <c r="P43" s="244">
        <v>400</v>
      </c>
      <c r="Q43" s="244">
        <f t="shared" si="17"/>
        <v>976.29187499999944</v>
      </c>
      <c r="R43" s="245">
        <v>26</v>
      </c>
      <c r="S43" s="245">
        <v>31.8</v>
      </c>
      <c r="T43" s="246">
        <v>179.2</v>
      </c>
      <c r="U43" s="246">
        <f t="shared" si="12"/>
        <v>5.83</v>
      </c>
      <c r="V43" s="246">
        <f t="shared" si="13"/>
        <v>0.5</v>
      </c>
      <c r="W43" s="247">
        <v>62.37</v>
      </c>
      <c r="X43" s="246">
        <f t="shared" si="14"/>
        <v>680.72289156626493</v>
      </c>
      <c r="Y43" s="246">
        <f t="shared" si="15"/>
        <v>10.843373493975903</v>
      </c>
    </row>
    <row r="44" spans="1:31" x14ac:dyDescent="0.25">
      <c r="A44" s="92">
        <f t="shared" si="1"/>
        <v>2023</v>
      </c>
      <c r="B44" s="92">
        <f t="shared" si="18"/>
        <v>10</v>
      </c>
      <c r="C44" s="93">
        <f t="shared" si="2"/>
        <v>45200</v>
      </c>
      <c r="D44" s="94" t="s">
        <v>167</v>
      </c>
      <c r="E44" s="168">
        <f t="shared" si="3"/>
        <v>0</v>
      </c>
      <c r="F44" s="92">
        <f t="shared" si="4"/>
        <v>31</v>
      </c>
      <c r="G44" s="242">
        <f t="shared" si="21"/>
        <v>31</v>
      </c>
      <c r="H44" s="242">
        <f t="shared" si="16"/>
        <v>31</v>
      </c>
      <c r="I44" s="242">
        <f t="shared" si="16"/>
        <v>31</v>
      </c>
      <c r="J44" s="170">
        <f t="shared" si="7"/>
        <v>0</v>
      </c>
      <c r="K44" s="242">
        <f t="shared" si="20"/>
        <v>31</v>
      </c>
      <c r="L44" s="242">
        <f t="shared" si="20"/>
        <v>31</v>
      </c>
      <c r="M44" s="244">
        <v>19700</v>
      </c>
      <c r="N44" s="244">
        <v>0</v>
      </c>
      <c r="O44" s="244">
        <f t="shared" si="19"/>
        <v>5952</v>
      </c>
      <c r="P44" s="244">
        <v>400</v>
      </c>
      <c r="Q44" s="244">
        <f t="shared" si="17"/>
        <v>1012.5851249999994</v>
      </c>
      <c r="R44" s="245">
        <v>26</v>
      </c>
      <c r="S44" s="245">
        <v>31.8</v>
      </c>
      <c r="T44" s="246">
        <v>179.2</v>
      </c>
      <c r="U44" s="246">
        <f t="shared" si="12"/>
        <v>5.83</v>
      </c>
      <c r="V44" s="246">
        <f t="shared" si="13"/>
        <v>0.5</v>
      </c>
      <c r="W44" s="247">
        <v>62.37</v>
      </c>
      <c r="X44" s="246">
        <f t="shared" si="14"/>
        <v>680.72289156626493</v>
      </c>
      <c r="Y44" s="246">
        <f t="shared" si="15"/>
        <v>10.843373493975903</v>
      </c>
    </row>
    <row r="45" spans="1:31" x14ac:dyDescent="0.25">
      <c r="A45" s="92">
        <f t="shared" si="1"/>
        <v>2023</v>
      </c>
      <c r="B45" s="92">
        <f t="shared" si="18"/>
        <v>11</v>
      </c>
      <c r="C45" s="93">
        <f t="shared" si="2"/>
        <v>45231</v>
      </c>
      <c r="D45" s="94" t="s">
        <v>168</v>
      </c>
      <c r="E45" s="168">
        <f t="shared" si="3"/>
        <v>0</v>
      </c>
      <c r="F45" s="92">
        <f t="shared" si="4"/>
        <v>30</v>
      </c>
      <c r="G45" s="242">
        <f t="shared" si="21"/>
        <v>30</v>
      </c>
      <c r="H45" s="242">
        <f t="shared" si="16"/>
        <v>30</v>
      </c>
      <c r="I45" s="242">
        <f t="shared" si="16"/>
        <v>30</v>
      </c>
      <c r="J45" s="170">
        <f t="shared" si="7"/>
        <v>7.8125</v>
      </c>
      <c r="K45" s="242">
        <f t="shared" si="20"/>
        <v>30</v>
      </c>
      <c r="L45" s="242">
        <f t="shared" si="20"/>
        <v>30</v>
      </c>
      <c r="M45" s="244">
        <v>27500</v>
      </c>
      <c r="N45" s="244">
        <v>1500</v>
      </c>
      <c r="O45" s="244">
        <f t="shared" si="19"/>
        <v>5760</v>
      </c>
      <c r="P45" s="244">
        <v>400</v>
      </c>
      <c r="Q45" s="244">
        <f t="shared" si="17"/>
        <v>1047.7076249999993</v>
      </c>
      <c r="R45" s="245">
        <v>26</v>
      </c>
      <c r="S45" s="245">
        <v>31.8</v>
      </c>
      <c r="T45" s="246">
        <v>179.2</v>
      </c>
      <c r="U45" s="246">
        <f t="shared" si="12"/>
        <v>5.83</v>
      </c>
      <c r="V45" s="246">
        <f t="shared" si="13"/>
        <v>0.5</v>
      </c>
      <c r="W45" s="247">
        <v>62.37</v>
      </c>
      <c r="X45" s="246">
        <f t="shared" si="14"/>
        <v>680.72289156626493</v>
      </c>
      <c r="Y45" s="246">
        <f t="shared" si="15"/>
        <v>10.843373493975903</v>
      </c>
    </row>
    <row r="46" spans="1:31" x14ac:dyDescent="0.25">
      <c r="A46" s="95">
        <f t="shared" si="1"/>
        <v>2023</v>
      </c>
      <c r="B46" s="95">
        <f t="shared" si="18"/>
        <v>12</v>
      </c>
      <c r="C46" s="96">
        <f t="shared" si="2"/>
        <v>45261</v>
      </c>
      <c r="D46" s="97" t="s">
        <v>169</v>
      </c>
      <c r="E46" s="169">
        <f t="shared" si="3"/>
        <v>0</v>
      </c>
      <c r="F46" s="95">
        <f t="shared" si="4"/>
        <v>31</v>
      </c>
      <c r="G46" s="243">
        <f t="shared" si="21"/>
        <v>31</v>
      </c>
      <c r="H46" s="243">
        <f t="shared" si="16"/>
        <v>31</v>
      </c>
      <c r="I46" s="243">
        <f t="shared" si="16"/>
        <v>31</v>
      </c>
      <c r="J46" s="171">
        <f t="shared" si="7"/>
        <v>29.166666666666668</v>
      </c>
      <c r="K46" s="243">
        <f t="shared" si="20"/>
        <v>31</v>
      </c>
      <c r="L46" s="243">
        <f t="shared" si="20"/>
        <v>31</v>
      </c>
      <c r="M46" s="248">
        <v>33000</v>
      </c>
      <c r="N46" s="248">
        <v>5600</v>
      </c>
      <c r="O46" s="248">
        <f t="shared" si="19"/>
        <v>5952</v>
      </c>
      <c r="P46" s="248">
        <v>400</v>
      </c>
      <c r="Q46" s="248">
        <f t="shared" si="17"/>
        <v>1084.0008749999993</v>
      </c>
      <c r="R46" s="249">
        <v>26</v>
      </c>
      <c r="S46" s="249">
        <v>31.8</v>
      </c>
      <c r="T46" s="250">
        <v>179.2</v>
      </c>
      <c r="U46" s="250">
        <f t="shared" si="12"/>
        <v>5.83</v>
      </c>
      <c r="V46" s="250">
        <f t="shared" si="13"/>
        <v>0.5</v>
      </c>
      <c r="W46" s="251">
        <v>62.37</v>
      </c>
      <c r="X46" s="250">
        <f t="shared" si="14"/>
        <v>680.72289156626493</v>
      </c>
      <c r="Y46" s="250">
        <f t="shared" si="15"/>
        <v>10.843373493975903</v>
      </c>
    </row>
    <row r="47" spans="1:31" x14ac:dyDescent="0.25">
      <c r="A47" s="92">
        <f t="shared" si="1"/>
        <v>2024</v>
      </c>
      <c r="B47" s="92">
        <f t="shared" si="18"/>
        <v>1</v>
      </c>
      <c r="C47" s="93">
        <f t="shared" si="2"/>
        <v>45292</v>
      </c>
      <c r="D47" s="94" t="s">
        <v>170</v>
      </c>
      <c r="E47" s="167">
        <f t="shared" si="3"/>
        <v>0</v>
      </c>
      <c r="F47" s="92">
        <f t="shared" si="4"/>
        <v>31</v>
      </c>
      <c r="G47" s="242">
        <f t="shared" si="21"/>
        <v>31</v>
      </c>
      <c r="H47" s="242">
        <f t="shared" si="16"/>
        <v>31</v>
      </c>
      <c r="I47" s="242">
        <f t="shared" si="16"/>
        <v>31</v>
      </c>
      <c r="J47" s="172">
        <f t="shared" si="7"/>
        <v>20.833333333333332</v>
      </c>
      <c r="K47" s="242">
        <f t="shared" si="20"/>
        <v>31</v>
      </c>
      <c r="L47" s="242">
        <f t="shared" si="20"/>
        <v>31</v>
      </c>
      <c r="M47" s="244">
        <v>35300</v>
      </c>
      <c r="N47" s="244">
        <v>4000</v>
      </c>
      <c r="O47" s="244">
        <f>8*H47*24</f>
        <v>5952</v>
      </c>
      <c r="P47" s="244">
        <v>400</v>
      </c>
      <c r="Q47" s="244">
        <f t="shared" si="17"/>
        <v>1120.2941249999992</v>
      </c>
      <c r="R47" s="245">
        <v>26</v>
      </c>
      <c r="S47" s="245">
        <v>31.8</v>
      </c>
      <c r="T47" s="246">
        <v>179.2</v>
      </c>
      <c r="U47" s="246">
        <f t="shared" si="12"/>
        <v>5.83</v>
      </c>
      <c r="V47" s="246">
        <f t="shared" si="13"/>
        <v>0.5</v>
      </c>
      <c r="W47" s="247">
        <v>62.37</v>
      </c>
      <c r="X47" s="246">
        <f t="shared" si="14"/>
        <v>680.72289156626493</v>
      </c>
      <c r="Y47" s="246">
        <f t="shared" si="15"/>
        <v>10.843373493975903</v>
      </c>
    </row>
    <row r="48" spans="1:31" x14ac:dyDescent="0.25">
      <c r="A48" s="92">
        <f t="shared" si="1"/>
        <v>2024</v>
      </c>
      <c r="B48" s="92">
        <f t="shared" si="18"/>
        <v>2</v>
      </c>
      <c r="C48" s="93">
        <f t="shared" si="2"/>
        <v>45323</v>
      </c>
      <c r="D48" s="94" t="s">
        <v>171</v>
      </c>
      <c r="E48" s="168">
        <f t="shared" si="3"/>
        <v>0</v>
      </c>
      <c r="F48" s="92">
        <f t="shared" si="4"/>
        <v>29</v>
      </c>
      <c r="G48" s="242">
        <f t="shared" si="21"/>
        <v>29</v>
      </c>
      <c r="H48" s="242">
        <f t="shared" si="16"/>
        <v>29</v>
      </c>
      <c r="I48" s="242">
        <f t="shared" si="16"/>
        <v>29</v>
      </c>
      <c r="J48" s="170">
        <f t="shared" si="7"/>
        <v>0</v>
      </c>
      <c r="K48" s="242">
        <f t="shared" si="20"/>
        <v>29</v>
      </c>
      <c r="L48" s="242">
        <f t="shared" si="20"/>
        <v>29</v>
      </c>
      <c r="M48" s="244">
        <v>32000</v>
      </c>
      <c r="N48" s="244">
        <v>0</v>
      </c>
      <c r="O48" s="244">
        <f t="shared" ref="O48:O58" si="22">8*H48*24</f>
        <v>5568</v>
      </c>
      <c r="P48" s="244">
        <v>400</v>
      </c>
      <c r="Q48" s="244">
        <f t="shared" si="17"/>
        <v>1154.2458749999992</v>
      </c>
      <c r="R48" s="245">
        <v>26</v>
      </c>
      <c r="S48" s="245">
        <v>31.8</v>
      </c>
      <c r="T48" s="246">
        <v>179.2</v>
      </c>
      <c r="U48" s="246">
        <f t="shared" si="12"/>
        <v>5.83</v>
      </c>
      <c r="V48" s="246">
        <f t="shared" si="13"/>
        <v>0.5</v>
      </c>
      <c r="W48" s="247">
        <v>62.37</v>
      </c>
      <c r="X48" s="246">
        <f t="shared" si="14"/>
        <v>680.72289156626493</v>
      </c>
      <c r="Y48" s="246">
        <f t="shared" si="15"/>
        <v>10.843373493975903</v>
      </c>
    </row>
    <row r="49" spans="1:25" x14ac:dyDescent="0.25">
      <c r="A49" s="92">
        <f t="shared" si="1"/>
        <v>2024</v>
      </c>
      <c r="B49" s="92">
        <f t="shared" si="18"/>
        <v>3</v>
      </c>
      <c r="C49" s="93">
        <f t="shared" si="2"/>
        <v>45352</v>
      </c>
      <c r="D49" s="94" t="s">
        <v>172</v>
      </c>
      <c r="E49" s="168">
        <f t="shared" si="3"/>
        <v>0</v>
      </c>
      <c r="F49" s="92">
        <f t="shared" si="4"/>
        <v>31</v>
      </c>
      <c r="G49" s="242">
        <f t="shared" si="21"/>
        <v>31</v>
      </c>
      <c r="H49" s="242">
        <f t="shared" si="16"/>
        <v>31</v>
      </c>
      <c r="I49" s="242">
        <f t="shared" si="16"/>
        <v>31</v>
      </c>
      <c r="J49" s="170">
        <f t="shared" si="7"/>
        <v>0</v>
      </c>
      <c r="K49" s="242">
        <f t="shared" si="20"/>
        <v>31</v>
      </c>
      <c r="L49" s="242">
        <f t="shared" si="20"/>
        <v>31</v>
      </c>
      <c r="M49" s="244">
        <v>29500</v>
      </c>
      <c r="N49" s="244">
        <v>0</v>
      </c>
      <c r="O49" s="244">
        <f t="shared" si="22"/>
        <v>5952</v>
      </c>
      <c r="P49" s="244">
        <v>400</v>
      </c>
      <c r="Q49" s="244">
        <f t="shared" si="17"/>
        <v>1190.5391249999991</v>
      </c>
      <c r="R49" s="245">
        <v>26</v>
      </c>
      <c r="S49" s="245">
        <v>31.8</v>
      </c>
      <c r="T49" s="246">
        <v>179.2</v>
      </c>
      <c r="U49" s="246">
        <f t="shared" si="12"/>
        <v>5.83</v>
      </c>
      <c r="V49" s="246">
        <f t="shared" si="13"/>
        <v>0.5</v>
      </c>
      <c r="W49" s="247">
        <v>62.37</v>
      </c>
      <c r="X49" s="246">
        <f t="shared" si="14"/>
        <v>680.72289156626493</v>
      </c>
      <c r="Y49" s="246">
        <f t="shared" si="15"/>
        <v>10.843373493975903</v>
      </c>
    </row>
    <row r="50" spans="1:25" x14ac:dyDescent="0.25">
      <c r="A50" s="92">
        <f t="shared" si="1"/>
        <v>2024</v>
      </c>
      <c r="B50" s="92">
        <f t="shared" si="18"/>
        <v>4</v>
      </c>
      <c r="C50" s="93">
        <f t="shared" si="2"/>
        <v>45383</v>
      </c>
      <c r="D50" s="94" t="s">
        <v>173</v>
      </c>
      <c r="E50" s="168">
        <f t="shared" si="3"/>
        <v>0</v>
      </c>
      <c r="F50" s="92">
        <f t="shared" si="4"/>
        <v>30</v>
      </c>
      <c r="G50" s="242">
        <f t="shared" si="21"/>
        <v>30</v>
      </c>
      <c r="H50" s="242">
        <f t="shared" si="16"/>
        <v>30</v>
      </c>
      <c r="I50" s="242">
        <f t="shared" si="16"/>
        <v>30</v>
      </c>
      <c r="J50" s="170">
        <f t="shared" si="7"/>
        <v>0</v>
      </c>
      <c r="K50" s="242">
        <f t="shared" si="20"/>
        <v>30</v>
      </c>
      <c r="L50" s="242">
        <f t="shared" si="20"/>
        <v>30</v>
      </c>
      <c r="M50" s="244">
        <v>20000</v>
      </c>
      <c r="N50" s="244">
        <v>0</v>
      </c>
      <c r="O50" s="244">
        <f t="shared" si="22"/>
        <v>5760</v>
      </c>
      <c r="P50" s="244">
        <v>400</v>
      </c>
      <c r="Q50" s="244">
        <f t="shared" si="17"/>
        <v>1225.661624999999</v>
      </c>
      <c r="R50" s="245">
        <v>26</v>
      </c>
      <c r="S50" s="245">
        <v>31.8</v>
      </c>
      <c r="T50" s="246">
        <v>179.2</v>
      </c>
      <c r="U50" s="246">
        <f t="shared" si="12"/>
        <v>5.83</v>
      </c>
      <c r="V50" s="246">
        <f t="shared" si="13"/>
        <v>0.5</v>
      </c>
      <c r="W50" s="247">
        <v>62.37</v>
      </c>
      <c r="X50" s="246">
        <f t="shared" si="14"/>
        <v>680.72289156626493</v>
      </c>
      <c r="Y50" s="246">
        <f t="shared" si="15"/>
        <v>10.843373493975903</v>
      </c>
    </row>
    <row r="51" spans="1:25" x14ac:dyDescent="0.25">
      <c r="A51" s="92">
        <f t="shared" si="1"/>
        <v>2024</v>
      </c>
      <c r="B51" s="92">
        <f t="shared" si="18"/>
        <v>5</v>
      </c>
      <c r="C51" s="93">
        <f t="shared" si="2"/>
        <v>45413</v>
      </c>
      <c r="D51" s="94" t="s">
        <v>174</v>
      </c>
      <c r="E51" s="168">
        <f t="shared" si="3"/>
        <v>0</v>
      </c>
      <c r="F51" s="92">
        <f t="shared" si="4"/>
        <v>31</v>
      </c>
      <c r="G51" s="242">
        <f t="shared" si="21"/>
        <v>31</v>
      </c>
      <c r="H51" s="242">
        <f t="shared" si="16"/>
        <v>31</v>
      </c>
      <c r="I51" s="242">
        <f t="shared" si="16"/>
        <v>31</v>
      </c>
      <c r="J51" s="170">
        <f t="shared" si="7"/>
        <v>0</v>
      </c>
      <c r="K51" s="242">
        <f t="shared" si="20"/>
        <v>31</v>
      </c>
      <c r="L51" s="242">
        <f t="shared" si="20"/>
        <v>31</v>
      </c>
      <c r="M51" s="244">
        <v>13000</v>
      </c>
      <c r="N51" s="244">
        <v>0</v>
      </c>
      <c r="O51" s="244">
        <f t="shared" si="22"/>
        <v>5952</v>
      </c>
      <c r="P51" s="244">
        <v>400</v>
      </c>
      <c r="Q51" s="244">
        <f t="shared" si="17"/>
        <v>1261.954874999999</v>
      </c>
      <c r="R51" s="245">
        <v>26</v>
      </c>
      <c r="S51" s="245">
        <v>31.8</v>
      </c>
      <c r="T51" s="246">
        <v>179.2</v>
      </c>
      <c r="U51" s="246">
        <f t="shared" si="12"/>
        <v>5.83</v>
      </c>
      <c r="V51" s="246">
        <f t="shared" si="13"/>
        <v>0.5</v>
      </c>
      <c r="W51" s="247">
        <v>62.37</v>
      </c>
      <c r="X51" s="246">
        <f t="shared" si="14"/>
        <v>680.72289156626493</v>
      </c>
      <c r="Y51" s="246">
        <f t="shared" si="15"/>
        <v>10.843373493975903</v>
      </c>
    </row>
    <row r="52" spans="1:25" x14ac:dyDescent="0.25">
      <c r="A52" s="92">
        <f t="shared" si="1"/>
        <v>2024</v>
      </c>
      <c r="B52" s="92">
        <f t="shared" si="18"/>
        <v>6</v>
      </c>
      <c r="C52" s="93">
        <f t="shared" si="2"/>
        <v>45444</v>
      </c>
      <c r="D52" s="94" t="s">
        <v>175</v>
      </c>
      <c r="E52" s="168">
        <f t="shared" si="3"/>
        <v>0</v>
      </c>
      <c r="F52" s="92">
        <f t="shared" si="4"/>
        <v>30</v>
      </c>
      <c r="G52" s="242">
        <f t="shared" si="21"/>
        <v>30</v>
      </c>
      <c r="H52" s="242">
        <f t="shared" si="16"/>
        <v>30</v>
      </c>
      <c r="I52" s="242">
        <f t="shared" si="16"/>
        <v>30</v>
      </c>
      <c r="J52" s="170">
        <f t="shared" si="7"/>
        <v>0</v>
      </c>
      <c r="K52" s="242">
        <f t="shared" si="20"/>
        <v>30</v>
      </c>
      <c r="L52" s="242">
        <f t="shared" si="20"/>
        <v>30</v>
      </c>
      <c r="M52" s="244">
        <v>7500</v>
      </c>
      <c r="N52" s="244">
        <v>0</v>
      </c>
      <c r="O52" s="244">
        <f t="shared" si="22"/>
        <v>5760</v>
      </c>
      <c r="P52" s="244">
        <v>400</v>
      </c>
      <c r="Q52" s="244">
        <f t="shared" si="17"/>
        <v>1297.0773749999989</v>
      </c>
      <c r="R52" s="245">
        <v>26</v>
      </c>
      <c r="S52" s="245">
        <v>31.8</v>
      </c>
      <c r="T52" s="246">
        <v>179.2</v>
      </c>
      <c r="U52" s="246">
        <f t="shared" si="12"/>
        <v>5.83</v>
      </c>
      <c r="V52" s="246">
        <f t="shared" si="13"/>
        <v>0.5</v>
      </c>
      <c r="W52" s="247">
        <v>62.37</v>
      </c>
      <c r="X52" s="246">
        <f t="shared" si="14"/>
        <v>680.72289156626493</v>
      </c>
      <c r="Y52" s="246">
        <f t="shared" si="15"/>
        <v>10.843373493975903</v>
      </c>
    </row>
    <row r="53" spans="1:25" x14ac:dyDescent="0.25">
      <c r="A53" s="92">
        <f t="shared" si="1"/>
        <v>2024</v>
      </c>
      <c r="B53" s="92">
        <f t="shared" si="18"/>
        <v>7</v>
      </c>
      <c r="C53" s="93">
        <f t="shared" si="2"/>
        <v>45474</v>
      </c>
      <c r="D53" s="94" t="s">
        <v>176</v>
      </c>
      <c r="E53" s="168">
        <f t="shared" si="3"/>
        <v>0</v>
      </c>
      <c r="F53" s="92">
        <f t="shared" si="4"/>
        <v>31</v>
      </c>
      <c r="G53" s="242">
        <v>10</v>
      </c>
      <c r="H53" s="242">
        <f t="shared" si="16"/>
        <v>31</v>
      </c>
      <c r="I53" s="242">
        <f t="shared" si="16"/>
        <v>31</v>
      </c>
      <c r="J53" s="170">
        <f t="shared" si="7"/>
        <v>0</v>
      </c>
      <c r="K53" s="242">
        <f t="shared" si="20"/>
        <v>31</v>
      </c>
      <c r="L53" s="242">
        <f t="shared" si="20"/>
        <v>31</v>
      </c>
      <c r="M53" s="244">
        <v>7500</v>
      </c>
      <c r="N53" s="244">
        <v>0</v>
      </c>
      <c r="O53" s="244">
        <f t="shared" si="22"/>
        <v>5952</v>
      </c>
      <c r="P53" s="244">
        <v>400</v>
      </c>
      <c r="Q53" s="244">
        <f t="shared" si="17"/>
        <v>1333.3706249999989</v>
      </c>
      <c r="R53" s="245">
        <v>26</v>
      </c>
      <c r="S53" s="245">
        <v>31.8</v>
      </c>
      <c r="T53" s="246">
        <v>179.2</v>
      </c>
      <c r="U53" s="246">
        <f t="shared" si="12"/>
        <v>5.83</v>
      </c>
      <c r="V53" s="246">
        <f t="shared" si="13"/>
        <v>0.5</v>
      </c>
      <c r="W53" s="247">
        <v>62.37</v>
      </c>
      <c r="X53" s="246">
        <f t="shared" si="14"/>
        <v>680.72289156626493</v>
      </c>
      <c r="Y53" s="246">
        <f t="shared" si="15"/>
        <v>10.843373493975903</v>
      </c>
    </row>
    <row r="54" spans="1:25" x14ac:dyDescent="0.25">
      <c r="A54" s="92">
        <f t="shared" si="1"/>
        <v>2024</v>
      </c>
      <c r="B54" s="92">
        <f t="shared" si="18"/>
        <v>8</v>
      </c>
      <c r="C54" s="93">
        <f t="shared" si="2"/>
        <v>45505</v>
      </c>
      <c r="D54" s="94" t="s">
        <v>177</v>
      </c>
      <c r="E54" s="168">
        <f t="shared" si="3"/>
        <v>0</v>
      </c>
      <c r="F54" s="92">
        <f t="shared" si="4"/>
        <v>31</v>
      </c>
      <c r="G54" s="242">
        <v>10</v>
      </c>
      <c r="H54" s="242">
        <f t="shared" si="16"/>
        <v>31</v>
      </c>
      <c r="I54" s="242">
        <f t="shared" si="16"/>
        <v>31</v>
      </c>
      <c r="J54" s="170">
        <f t="shared" si="7"/>
        <v>0</v>
      </c>
      <c r="K54" s="242">
        <f t="shared" si="20"/>
        <v>31</v>
      </c>
      <c r="L54" s="242">
        <f t="shared" si="20"/>
        <v>31</v>
      </c>
      <c r="M54" s="244">
        <v>7000</v>
      </c>
      <c r="N54" s="244">
        <v>0</v>
      </c>
      <c r="O54" s="244">
        <f t="shared" si="22"/>
        <v>5952</v>
      </c>
      <c r="P54" s="244">
        <v>400</v>
      </c>
      <c r="Q54" s="244">
        <f t="shared" si="17"/>
        <v>1369.6638749999988</v>
      </c>
      <c r="R54" s="245">
        <v>26</v>
      </c>
      <c r="S54" s="245">
        <v>31.8</v>
      </c>
      <c r="T54" s="246">
        <v>179.2</v>
      </c>
      <c r="U54" s="246">
        <f t="shared" si="12"/>
        <v>5.83</v>
      </c>
      <c r="V54" s="246">
        <f t="shared" si="13"/>
        <v>0.5</v>
      </c>
      <c r="W54" s="247">
        <v>62.37</v>
      </c>
      <c r="X54" s="246">
        <f t="shared" si="14"/>
        <v>680.72289156626493</v>
      </c>
      <c r="Y54" s="246">
        <f t="shared" si="15"/>
        <v>10.843373493975903</v>
      </c>
    </row>
    <row r="55" spans="1:25" x14ac:dyDescent="0.25">
      <c r="A55" s="92">
        <f t="shared" si="1"/>
        <v>2024</v>
      </c>
      <c r="B55" s="92">
        <f t="shared" si="18"/>
        <v>9</v>
      </c>
      <c r="C55" s="93">
        <f t="shared" si="2"/>
        <v>45536</v>
      </c>
      <c r="D55" s="94" t="s">
        <v>178</v>
      </c>
      <c r="E55" s="168">
        <f t="shared" si="3"/>
        <v>0</v>
      </c>
      <c r="F55" s="92">
        <f t="shared" si="4"/>
        <v>30</v>
      </c>
      <c r="G55" s="242">
        <f t="shared" ref="G55:G58" si="23">$F55</f>
        <v>30</v>
      </c>
      <c r="H55" s="242">
        <f t="shared" si="16"/>
        <v>30</v>
      </c>
      <c r="I55" s="242">
        <f t="shared" si="16"/>
        <v>30</v>
      </c>
      <c r="J55" s="170">
        <f t="shared" si="7"/>
        <v>0</v>
      </c>
      <c r="K55" s="242">
        <f t="shared" si="20"/>
        <v>30</v>
      </c>
      <c r="L55" s="242">
        <f t="shared" si="20"/>
        <v>30</v>
      </c>
      <c r="M55" s="244">
        <v>8000</v>
      </c>
      <c r="N55" s="244">
        <v>0</v>
      </c>
      <c r="O55" s="244">
        <f t="shared" si="22"/>
        <v>5760</v>
      </c>
      <c r="P55" s="244">
        <v>400</v>
      </c>
      <c r="Q55" s="244">
        <f t="shared" si="17"/>
        <v>1404.7863749999988</v>
      </c>
      <c r="R55" s="245">
        <v>26</v>
      </c>
      <c r="S55" s="245">
        <v>31.8</v>
      </c>
      <c r="T55" s="246">
        <v>179.2</v>
      </c>
      <c r="U55" s="246">
        <f t="shared" si="12"/>
        <v>5.83</v>
      </c>
      <c r="V55" s="246">
        <f t="shared" si="13"/>
        <v>0.5</v>
      </c>
      <c r="W55" s="247">
        <v>62.37</v>
      </c>
      <c r="X55" s="246">
        <f t="shared" si="14"/>
        <v>680.72289156626493</v>
      </c>
      <c r="Y55" s="246">
        <f t="shared" si="15"/>
        <v>10.843373493975903</v>
      </c>
    </row>
    <row r="56" spans="1:25" x14ac:dyDescent="0.25">
      <c r="A56" s="92">
        <f t="shared" si="1"/>
        <v>2024</v>
      </c>
      <c r="B56" s="92">
        <f t="shared" si="18"/>
        <v>10</v>
      </c>
      <c r="C56" s="93">
        <f t="shared" si="2"/>
        <v>45566</v>
      </c>
      <c r="D56" s="94" t="s">
        <v>179</v>
      </c>
      <c r="E56" s="168">
        <f t="shared" si="3"/>
        <v>0</v>
      </c>
      <c r="F56" s="92">
        <f t="shared" si="4"/>
        <v>31</v>
      </c>
      <c r="G56" s="242">
        <f t="shared" si="23"/>
        <v>31</v>
      </c>
      <c r="H56" s="242">
        <f t="shared" si="16"/>
        <v>31</v>
      </c>
      <c r="I56" s="242">
        <f t="shared" si="16"/>
        <v>31</v>
      </c>
      <c r="J56" s="170">
        <f t="shared" si="7"/>
        <v>0</v>
      </c>
      <c r="K56" s="242">
        <f t="shared" si="20"/>
        <v>31</v>
      </c>
      <c r="L56" s="242">
        <f t="shared" si="20"/>
        <v>31</v>
      </c>
      <c r="M56" s="244">
        <v>19700</v>
      </c>
      <c r="N56" s="244">
        <v>0</v>
      </c>
      <c r="O56" s="244">
        <f t="shared" si="22"/>
        <v>5952</v>
      </c>
      <c r="P56" s="244">
        <v>400</v>
      </c>
      <c r="Q56" s="244">
        <f t="shared" si="17"/>
        <v>1441.0796249999987</v>
      </c>
      <c r="R56" s="245">
        <v>26</v>
      </c>
      <c r="S56" s="245">
        <v>31.8</v>
      </c>
      <c r="T56" s="246">
        <v>179.2</v>
      </c>
      <c r="U56" s="246">
        <f t="shared" si="12"/>
        <v>5.83</v>
      </c>
      <c r="V56" s="246">
        <f t="shared" si="13"/>
        <v>0.5</v>
      </c>
      <c r="W56" s="247">
        <v>62.37</v>
      </c>
      <c r="X56" s="246">
        <f t="shared" si="14"/>
        <v>680.72289156626493</v>
      </c>
      <c r="Y56" s="246">
        <f t="shared" si="15"/>
        <v>10.843373493975903</v>
      </c>
    </row>
    <row r="57" spans="1:25" x14ac:dyDescent="0.25">
      <c r="A57" s="92">
        <f t="shared" si="1"/>
        <v>2024</v>
      </c>
      <c r="B57" s="92">
        <f t="shared" si="18"/>
        <v>11</v>
      </c>
      <c r="C57" s="93">
        <f t="shared" si="2"/>
        <v>45597</v>
      </c>
      <c r="D57" s="94" t="s">
        <v>180</v>
      </c>
      <c r="E57" s="168">
        <f t="shared" si="3"/>
        <v>0</v>
      </c>
      <c r="F57" s="92">
        <f t="shared" si="4"/>
        <v>30</v>
      </c>
      <c r="G57" s="242">
        <f t="shared" si="23"/>
        <v>30</v>
      </c>
      <c r="H57" s="242">
        <f t="shared" si="16"/>
        <v>30</v>
      </c>
      <c r="I57" s="242">
        <f t="shared" si="16"/>
        <v>30</v>
      </c>
      <c r="J57" s="170">
        <f t="shared" si="7"/>
        <v>7.8125</v>
      </c>
      <c r="K57" s="242">
        <f t="shared" si="20"/>
        <v>30</v>
      </c>
      <c r="L57" s="242">
        <f t="shared" si="20"/>
        <v>30</v>
      </c>
      <c r="M57" s="244">
        <v>27500</v>
      </c>
      <c r="N57" s="244">
        <v>1500</v>
      </c>
      <c r="O57" s="244">
        <f t="shared" si="22"/>
        <v>5760</v>
      </c>
      <c r="P57" s="244">
        <v>400</v>
      </c>
      <c r="Q57" s="244">
        <f t="shared" si="17"/>
        <v>1476.2021249999987</v>
      </c>
      <c r="R57" s="245">
        <v>26</v>
      </c>
      <c r="S57" s="245">
        <v>31.8</v>
      </c>
      <c r="T57" s="246">
        <v>179.2</v>
      </c>
      <c r="U57" s="246">
        <f t="shared" si="12"/>
        <v>5.83</v>
      </c>
      <c r="V57" s="246">
        <f t="shared" si="13"/>
        <v>0.5</v>
      </c>
      <c r="W57" s="247">
        <v>62.37</v>
      </c>
      <c r="X57" s="246">
        <f t="shared" si="14"/>
        <v>680.72289156626493</v>
      </c>
      <c r="Y57" s="246">
        <f t="shared" si="15"/>
        <v>10.843373493975903</v>
      </c>
    </row>
    <row r="58" spans="1:25" x14ac:dyDescent="0.25">
      <c r="A58" s="95">
        <f t="shared" si="1"/>
        <v>2024</v>
      </c>
      <c r="B58" s="95">
        <f t="shared" si="18"/>
        <v>12</v>
      </c>
      <c r="C58" s="96">
        <f t="shared" si="2"/>
        <v>45627</v>
      </c>
      <c r="D58" s="97" t="s">
        <v>181</v>
      </c>
      <c r="E58" s="169">
        <f t="shared" si="3"/>
        <v>0</v>
      </c>
      <c r="F58" s="95">
        <f>IF(B58=12,31,_xlfn.DAYS(D59,C58))</f>
        <v>31</v>
      </c>
      <c r="G58" s="243">
        <f t="shared" si="23"/>
        <v>31</v>
      </c>
      <c r="H58" s="243">
        <f t="shared" si="16"/>
        <v>31</v>
      </c>
      <c r="I58" s="243">
        <f t="shared" si="16"/>
        <v>31</v>
      </c>
      <c r="J58" s="171">
        <f t="shared" si="7"/>
        <v>29.166666666666668</v>
      </c>
      <c r="K58" s="243">
        <f t="shared" si="20"/>
        <v>31</v>
      </c>
      <c r="L58" s="243">
        <f t="shared" si="20"/>
        <v>31</v>
      </c>
      <c r="M58" s="248">
        <v>33000</v>
      </c>
      <c r="N58" s="248">
        <v>5600</v>
      </c>
      <c r="O58" s="248">
        <f t="shared" si="22"/>
        <v>5952</v>
      </c>
      <c r="P58" s="248">
        <v>400</v>
      </c>
      <c r="Q58" s="248">
        <f t="shared" si="17"/>
        <v>1512.4953749999986</v>
      </c>
      <c r="R58" s="249">
        <v>26</v>
      </c>
      <c r="S58" s="249">
        <v>31.8</v>
      </c>
      <c r="T58" s="250">
        <v>179.2</v>
      </c>
      <c r="U58" s="250">
        <f t="shared" si="12"/>
        <v>5.83</v>
      </c>
      <c r="V58" s="250">
        <f t="shared" si="13"/>
        <v>0.5</v>
      </c>
      <c r="W58" s="251">
        <v>62.37</v>
      </c>
      <c r="X58" s="250">
        <f t="shared" si="14"/>
        <v>680.72289156626493</v>
      </c>
      <c r="Y58" s="250">
        <f t="shared" si="15"/>
        <v>10.843373493975903</v>
      </c>
    </row>
    <row r="59" spans="1:25" x14ac:dyDescent="0.25">
      <c r="D59" s="21"/>
      <c r="E59" s="6"/>
    </row>
    <row r="60" spans="1:25" x14ac:dyDescent="0.25">
      <c r="D60" s="21"/>
      <c r="E60" s="6"/>
    </row>
    <row r="61" spans="1:25" x14ac:dyDescent="0.25">
      <c r="D61" s="21"/>
      <c r="E61" s="6"/>
    </row>
    <row r="62" spans="1:25" x14ac:dyDescent="0.25">
      <c r="D62" s="21"/>
      <c r="E62" s="6"/>
    </row>
    <row r="63" spans="1:25" x14ac:dyDescent="0.25">
      <c r="D63" s="21"/>
      <c r="E63" s="6"/>
    </row>
    <row r="64" spans="1:25" x14ac:dyDescent="0.25">
      <c r="D64" s="21"/>
      <c r="E64" s="6"/>
    </row>
    <row r="65" spans="4:5" x14ac:dyDescent="0.25">
      <c r="D65" s="21"/>
      <c r="E65" s="6"/>
    </row>
  </sheetData>
  <mergeCells count="6">
    <mergeCell ref="W21:Y21"/>
    <mergeCell ref="O21:P21"/>
    <mergeCell ref="M21:N21"/>
    <mergeCell ref="G21:L21"/>
    <mergeCell ref="A21:F21"/>
    <mergeCell ref="Q21:V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5" priority="10" operator="notBetween">
      <formula>1</formula>
      <formula>12</formula>
    </cfRule>
  </conditionalFormatting>
  <conditionalFormatting sqref="E23:E58">
    <cfRule type="cellIs" dxfId="24" priority="9" operator="greaterThan">
      <formula>0</formula>
    </cfRule>
  </conditionalFormatting>
  <conditionalFormatting sqref="G4">
    <cfRule type="containsText" dxfId="23" priority="8" operator="containsText" text="FEJL">
      <formula>NOT(ISERROR(SEARCH("FEJL",G4)))</formula>
    </cfRule>
  </conditionalFormatting>
  <conditionalFormatting sqref="F4">
    <cfRule type="cellIs" dxfId="22" priority="6" operator="greaterThan">
      <formula>0</formula>
    </cfRule>
  </conditionalFormatting>
  <conditionalFormatting sqref="B12:B17">
    <cfRule type="cellIs" dxfId="21" priority="3" operator="greaterThan">
      <formula>0</formula>
    </cfRule>
  </conditionalFormatting>
  <conditionalFormatting sqref="P12:P17">
    <cfRule type="cellIs" dxfId="20" priority="2" operator="greaterThan">
      <formula>0</formula>
    </cfRule>
  </conditionalFormatting>
  <conditionalFormatting sqref="O12:O17">
    <cfRule type="cellIs" dxfId="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>
      <pane xSplit="4" ySplit="39" topLeftCell="E79" activePane="bottomRight" state="frozen"/>
      <selection pane="topRight" activeCell="E1" sqref="E1"/>
      <selection pane="bottomLeft" activeCell="A40" sqref="A40"/>
      <selection pane="bottomRight" activeCell="F22" sqref="F22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9" width="12" bestFit="1" customWidth="1"/>
    <col min="10" max="10" width="12.28515625" bestFit="1" customWidth="1"/>
    <col min="11" max="11" width="11.28515625" bestFit="1" customWidth="1"/>
    <col min="12" max="12" width="12.28515625" bestFit="1" customWidth="1"/>
    <col min="13" max="14" width="9.42578125" bestFit="1" customWidth="1"/>
    <col min="15" max="15" width="10.140625" bestFit="1" customWidth="1"/>
    <col min="16" max="16" width="9.140625" style="16" customWidth="1"/>
    <col min="17" max="17" width="9.140625" customWidth="1"/>
    <col min="18" max="18" width="11.42578125" bestFit="1" customWidth="1"/>
    <col min="19" max="19" width="9.140625" customWidth="1"/>
    <col min="20" max="20" width="11.42578125" bestFit="1" customWidth="1"/>
    <col min="21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9" s="116" customFormat="1" ht="18.75" x14ac:dyDescent="0.3">
      <c r="A1" s="114"/>
      <c r="B1" s="115" t="s">
        <v>112</v>
      </c>
      <c r="C1" s="114"/>
      <c r="D1" s="114"/>
      <c r="E1" s="115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AJ1" s="117"/>
    </row>
    <row r="2" spans="1:39" outlineLevel="1" x14ac:dyDescent="0.25">
      <c r="D2" s="83"/>
      <c r="G2" s="83"/>
      <c r="H2" s="11"/>
      <c r="I2" s="82"/>
      <c r="J2" s="82"/>
      <c r="K2" s="295" t="s">
        <v>249</v>
      </c>
      <c r="L2" s="296"/>
      <c r="M2" s="295" t="s">
        <v>248</v>
      </c>
      <c r="N2" s="296"/>
      <c r="O2" s="123"/>
      <c r="P2" s="123"/>
      <c r="R2" s="292" t="s">
        <v>219</v>
      </c>
      <c r="S2" s="293"/>
      <c r="T2" s="294"/>
      <c r="U2" s="16"/>
      <c r="AA2">
        <f>SUMIF(Z4:Z29,"=1",AA4:AA29)</f>
        <v>186462</v>
      </c>
      <c r="AH2"/>
      <c r="AM2" s="6"/>
    </row>
    <row r="3" spans="1:39" outlineLevel="1" x14ac:dyDescent="0.25">
      <c r="C3" s="1"/>
      <c r="D3" s="6" t="s">
        <v>71</v>
      </c>
      <c r="E3" s="11" t="s">
        <v>246</v>
      </c>
      <c r="F3" s="6" t="s">
        <v>71</v>
      </c>
      <c r="G3" s="6" t="s">
        <v>71</v>
      </c>
      <c r="H3" s="11" t="s">
        <v>71</v>
      </c>
      <c r="I3" s="6" t="s">
        <v>223</v>
      </c>
      <c r="J3" s="6" t="s">
        <v>223</v>
      </c>
      <c r="K3" s="6" t="s">
        <v>67</v>
      </c>
      <c r="L3" s="6" t="s">
        <v>67</v>
      </c>
      <c r="M3" s="6" t="s">
        <v>69</v>
      </c>
      <c r="N3" s="6" t="s">
        <v>69</v>
      </c>
      <c r="O3" s="6" t="s">
        <v>62</v>
      </c>
      <c r="P3" s="6" t="s">
        <v>61</v>
      </c>
      <c r="Q3" s="6" t="s">
        <v>103</v>
      </c>
      <c r="R3" s="108" t="s">
        <v>75</v>
      </c>
      <c r="S3" s="109" t="s">
        <v>74</v>
      </c>
      <c r="T3" s="175" t="s">
        <v>87</v>
      </c>
      <c r="U3" s="16"/>
      <c r="Z3" t="s">
        <v>189</v>
      </c>
      <c r="AA3" t="s">
        <v>276</v>
      </c>
      <c r="AH3"/>
      <c r="AM3" s="6"/>
    </row>
    <row r="4" spans="1:39" outlineLevel="1" x14ac:dyDescent="0.25">
      <c r="A4" s="98"/>
      <c r="B4" s="99" t="s">
        <v>1</v>
      </c>
      <c r="C4" s="100" t="s">
        <v>114</v>
      </c>
      <c r="D4" s="212" t="s">
        <v>189</v>
      </c>
      <c r="E4" s="213" t="s">
        <v>265</v>
      </c>
      <c r="F4" s="212" t="s">
        <v>91</v>
      </c>
      <c r="G4" s="212" t="s">
        <v>115</v>
      </c>
      <c r="H4" s="213" t="s">
        <v>266</v>
      </c>
      <c r="I4" s="212" t="s">
        <v>251</v>
      </c>
      <c r="J4" s="212" t="s">
        <v>252</v>
      </c>
      <c r="K4" s="212" t="s">
        <v>267</v>
      </c>
      <c r="L4" s="212" t="s">
        <v>268</v>
      </c>
      <c r="M4" s="212" t="s">
        <v>253</v>
      </c>
      <c r="N4" s="212" t="s">
        <v>254</v>
      </c>
      <c r="O4" s="212" t="s">
        <v>269</v>
      </c>
      <c r="P4" s="212" t="s">
        <v>270</v>
      </c>
      <c r="Q4" s="214" t="s">
        <v>275</v>
      </c>
      <c r="R4" s="113" t="s">
        <v>220</v>
      </c>
      <c r="S4" s="101" t="s">
        <v>271</v>
      </c>
      <c r="T4" s="111" t="s">
        <v>247</v>
      </c>
      <c r="U4" s="18"/>
      <c r="V4" s="9" t="s">
        <v>91</v>
      </c>
      <c r="W4" s="11" t="s">
        <v>115</v>
      </c>
      <c r="X4" s="9" t="s">
        <v>116</v>
      </c>
      <c r="Z4">
        <v>1</v>
      </c>
      <c r="AA4">
        <v>9093</v>
      </c>
      <c r="AH4"/>
      <c r="AM4" s="6"/>
    </row>
    <row r="5" spans="1:39" outlineLevel="1" x14ac:dyDescent="0.25">
      <c r="A5" s="127"/>
      <c r="B5" s="128" t="s">
        <v>14</v>
      </c>
      <c r="C5" s="128" t="s">
        <v>15</v>
      </c>
      <c r="D5" s="176">
        <v>1</v>
      </c>
      <c r="E5" s="129">
        <v>1</v>
      </c>
      <c r="F5" s="176">
        <v>1</v>
      </c>
      <c r="G5" s="176">
        <v>0</v>
      </c>
      <c r="H5" s="129">
        <v>1</v>
      </c>
      <c r="I5" s="185">
        <v>1</v>
      </c>
      <c r="J5" s="185">
        <v>1</v>
      </c>
      <c r="K5" s="191">
        <f t="shared" ref="K5:K30" si="0">IF(G5=0,L5,0)</f>
        <v>9093</v>
      </c>
      <c r="L5" s="191">
        <v>9093</v>
      </c>
      <c r="M5" s="280">
        <f>IF($F5=0,-1,0)</f>
        <v>0</v>
      </c>
      <c r="N5" s="280">
        <f>IF($F5=0,-1,0)</f>
        <v>0</v>
      </c>
      <c r="O5" s="191">
        <v>525</v>
      </c>
      <c r="P5" s="192">
        <v>10.5</v>
      </c>
      <c r="Q5" s="193">
        <v>37</v>
      </c>
      <c r="R5" s="131">
        <f>Q5*P5/1000</f>
        <v>0.38850000000000001</v>
      </c>
      <c r="S5" s="130">
        <f t="shared" ref="S5:S33" si="1">O5/P5</f>
        <v>50</v>
      </c>
      <c r="T5" s="132">
        <f t="shared" ref="T5:T33" si="2">IF(D5=0,0,L5*P5)/3.6</f>
        <v>26521.25</v>
      </c>
      <c r="U5" s="27"/>
      <c r="V5" s="124" t="b">
        <f t="shared" ref="V5:V30" si="3">(F5&lt;&gt;0)</f>
        <v>1</v>
      </c>
      <c r="W5" s="124" t="b">
        <f t="shared" ref="W5:W30" si="4">(G5&lt;&gt;0)</f>
        <v>0</v>
      </c>
      <c r="X5" s="124" t="b">
        <f t="shared" ref="X5:X30" si="5">(H5&lt;&gt;0)</f>
        <v>1</v>
      </c>
      <c r="Z5">
        <v>0</v>
      </c>
      <c r="AA5">
        <v>0</v>
      </c>
      <c r="AH5"/>
      <c r="AM5" s="6"/>
    </row>
    <row r="6" spans="1:39" outlineLevel="1" x14ac:dyDescent="0.25">
      <c r="A6" s="133"/>
      <c r="B6" s="134" t="s">
        <v>16</v>
      </c>
      <c r="C6" s="134" t="s">
        <v>17</v>
      </c>
      <c r="D6" s="177">
        <f>IF(L6&gt;0,1,0)</f>
        <v>0</v>
      </c>
      <c r="E6" s="135">
        <v>1</v>
      </c>
      <c r="F6" s="177">
        <v>1</v>
      </c>
      <c r="G6" s="177">
        <v>0</v>
      </c>
      <c r="H6" s="135">
        <v>1</v>
      </c>
      <c r="I6" s="186">
        <v>1</v>
      </c>
      <c r="J6" s="186">
        <v>1</v>
      </c>
      <c r="K6" s="194">
        <f t="shared" si="0"/>
        <v>0</v>
      </c>
      <c r="L6" s="194">
        <v>0</v>
      </c>
      <c r="M6" s="281">
        <f t="shared" ref="M6:N30" si="6">IF($F6=0,-1,0)</f>
        <v>0</v>
      </c>
      <c r="N6" s="281">
        <f t="shared" si="6"/>
        <v>0</v>
      </c>
      <c r="O6" s="194">
        <v>0</v>
      </c>
      <c r="P6" s="195">
        <v>10.5</v>
      </c>
      <c r="Q6" s="196">
        <v>37</v>
      </c>
      <c r="R6" s="137">
        <f t="shared" ref="R6:R33" si="7">Q6*P6/1000</f>
        <v>0.38850000000000001</v>
      </c>
      <c r="S6" s="136">
        <f t="shared" si="1"/>
        <v>0</v>
      </c>
      <c r="T6" s="138">
        <f t="shared" si="2"/>
        <v>0</v>
      </c>
      <c r="U6" s="27"/>
      <c r="V6" s="124" t="b">
        <f t="shared" si="3"/>
        <v>1</v>
      </c>
      <c r="W6" s="124" t="b">
        <f t="shared" si="4"/>
        <v>0</v>
      </c>
      <c r="X6" s="124" t="b">
        <f t="shared" si="5"/>
        <v>1</v>
      </c>
      <c r="Z6">
        <v>0</v>
      </c>
      <c r="AA6">
        <v>0</v>
      </c>
      <c r="AH6"/>
      <c r="AM6" s="6"/>
    </row>
    <row r="7" spans="1:39" outlineLevel="1" x14ac:dyDescent="0.25">
      <c r="A7" s="133"/>
      <c r="B7" s="134" t="s">
        <v>18</v>
      </c>
      <c r="C7" s="134" t="s">
        <v>19</v>
      </c>
      <c r="D7" s="177">
        <f>IF(L7&gt;0,1,0)</f>
        <v>0</v>
      </c>
      <c r="E7" s="135">
        <v>1</v>
      </c>
      <c r="F7" s="177">
        <v>1</v>
      </c>
      <c r="G7" s="177">
        <v>0</v>
      </c>
      <c r="H7" s="135">
        <v>1</v>
      </c>
      <c r="I7" s="186">
        <v>1</v>
      </c>
      <c r="J7" s="186">
        <v>1</v>
      </c>
      <c r="K7" s="194">
        <f t="shared" si="0"/>
        <v>0</v>
      </c>
      <c r="L7" s="194">
        <v>0</v>
      </c>
      <c r="M7" s="281">
        <f t="shared" si="6"/>
        <v>0</v>
      </c>
      <c r="N7" s="281">
        <f t="shared" si="6"/>
        <v>0</v>
      </c>
      <c r="O7" s="194">
        <v>0</v>
      </c>
      <c r="P7" s="195">
        <v>10.5</v>
      </c>
      <c r="Q7" s="196">
        <v>37</v>
      </c>
      <c r="R7" s="137">
        <f t="shared" si="7"/>
        <v>0.38850000000000001</v>
      </c>
      <c r="S7" s="136">
        <f t="shared" si="1"/>
        <v>0</v>
      </c>
      <c r="T7" s="138">
        <f t="shared" si="2"/>
        <v>0</v>
      </c>
      <c r="U7" s="27"/>
      <c r="V7" s="124" t="b">
        <f t="shared" si="3"/>
        <v>1</v>
      </c>
      <c r="W7" s="124" t="b">
        <f t="shared" si="4"/>
        <v>0</v>
      </c>
      <c r="X7" s="124" t="b">
        <f t="shared" si="5"/>
        <v>1</v>
      </c>
      <c r="Z7">
        <v>1</v>
      </c>
      <c r="AA7">
        <v>28869</v>
      </c>
      <c r="AH7"/>
      <c r="AM7" s="6"/>
    </row>
    <row r="8" spans="1:39" outlineLevel="1" x14ac:dyDescent="0.25">
      <c r="A8" s="133"/>
      <c r="B8" s="139" t="s">
        <v>20</v>
      </c>
      <c r="C8" s="139" t="s">
        <v>21</v>
      </c>
      <c r="D8" s="177">
        <v>1</v>
      </c>
      <c r="E8" s="135">
        <v>1</v>
      </c>
      <c r="F8" s="177">
        <v>0</v>
      </c>
      <c r="G8" s="177">
        <v>0</v>
      </c>
      <c r="H8" s="135">
        <v>1</v>
      </c>
      <c r="I8" s="186">
        <v>1</v>
      </c>
      <c r="J8" s="186">
        <v>1</v>
      </c>
      <c r="K8" s="194">
        <f t="shared" si="0"/>
        <v>28869</v>
      </c>
      <c r="L8" s="194">
        <v>28869</v>
      </c>
      <c r="M8" s="281">
        <f t="shared" si="6"/>
        <v>-1</v>
      </c>
      <c r="N8" s="281">
        <f t="shared" si="6"/>
        <v>-1</v>
      </c>
      <c r="O8" s="194">
        <v>525</v>
      </c>
      <c r="P8" s="195">
        <v>9.4</v>
      </c>
      <c r="Q8" s="196">
        <v>37</v>
      </c>
      <c r="R8" s="137">
        <f t="shared" si="7"/>
        <v>0.3478</v>
      </c>
      <c r="S8" s="136">
        <f t="shared" si="1"/>
        <v>55.851063829787229</v>
      </c>
      <c r="T8" s="138">
        <f t="shared" si="2"/>
        <v>75380.166666666672</v>
      </c>
      <c r="U8" s="27"/>
      <c r="V8" s="124" t="b">
        <f t="shared" si="3"/>
        <v>0</v>
      </c>
      <c r="W8" s="124" t="b">
        <f t="shared" si="4"/>
        <v>0</v>
      </c>
      <c r="X8" s="124" t="b">
        <f t="shared" si="5"/>
        <v>1</v>
      </c>
      <c r="Z8">
        <v>1</v>
      </c>
      <c r="AA8">
        <v>3500</v>
      </c>
      <c r="AH8"/>
      <c r="AM8" s="6"/>
    </row>
    <row r="9" spans="1:39" outlineLevel="1" x14ac:dyDescent="0.25">
      <c r="A9" s="133"/>
      <c r="B9" s="139" t="s">
        <v>22</v>
      </c>
      <c r="C9" s="139" t="s">
        <v>23</v>
      </c>
      <c r="D9" s="177">
        <v>1</v>
      </c>
      <c r="E9" s="135">
        <v>1</v>
      </c>
      <c r="F9" s="177">
        <v>0</v>
      </c>
      <c r="G9" s="177">
        <v>0</v>
      </c>
      <c r="H9" s="135">
        <v>1</v>
      </c>
      <c r="I9" s="186">
        <v>0</v>
      </c>
      <c r="J9" s="186">
        <v>1</v>
      </c>
      <c r="K9" s="194">
        <f t="shared" si="0"/>
        <v>3500</v>
      </c>
      <c r="L9" s="194">
        <v>3500</v>
      </c>
      <c r="M9" s="281">
        <f t="shared" si="6"/>
        <v>-1</v>
      </c>
      <c r="N9" s="281">
        <f t="shared" si="6"/>
        <v>-1</v>
      </c>
      <c r="O9" s="194">
        <v>525</v>
      </c>
      <c r="P9" s="195">
        <v>10.5</v>
      </c>
      <c r="Q9" s="196">
        <v>37</v>
      </c>
      <c r="R9" s="137">
        <f t="shared" si="7"/>
        <v>0.38850000000000001</v>
      </c>
      <c r="S9" s="136">
        <f t="shared" si="1"/>
        <v>50</v>
      </c>
      <c r="T9" s="138">
        <f t="shared" si="2"/>
        <v>10208.333333333334</v>
      </c>
      <c r="U9" s="27"/>
      <c r="V9" s="124" t="b">
        <f t="shared" si="3"/>
        <v>0</v>
      </c>
      <c r="W9" s="124" t="b">
        <f t="shared" si="4"/>
        <v>0</v>
      </c>
      <c r="X9" s="124" t="b">
        <f t="shared" si="5"/>
        <v>1</v>
      </c>
      <c r="Z9">
        <v>0</v>
      </c>
      <c r="AA9">
        <v>0</v>
      </c>
      <c r="AH9"/>
      <c r="AM9" s="6"/>
    </row>
    <row r="10" spans="1:39" outlineLevel="1" x14ac:dyDescent="0.25">
      <c r="A10" s="133"/>
      <c r="B10" s="139" t="s">
        <v>24</v>
      </c>
      <c r="C10" s="139" t="s">
        <v>25</v>
      </c>
      <c r="D10" s="177">
        <f>IF(L10&gt;0,1,0)</f>
        <v>0</v>
      </c>
      <c r="E10" s="135">
        <v>1</v>
      </c>
      <c r="F10" s="177">
        <v>0</v>
      </c>
      <c r="G10" s="177">
        <v>0</v>
      </c>
      <c r="H10" s="135">
        <v>1</v>
      </c>
      <c r="I10" s="186">
        <v>1</v>
      </c>
      <c r="J10" s="186">
        <v>1</v>
      </c>
      <c r="K10" s="194">
        <f t="shared" si="0"/>
        <v>0</v>
      </c>
      <c r="L10" s="194">
        <v>0</v>
      </c>
      <c r="M10" s="281">
        <f t="shared" si="6"/>
        <v>-1</v>
      </c>
      <c r="N10" s="281">
        <f t="shared" si="6"/>
        <v>-1</v>
      </c>
      <c r="O10" s="194">
        <v>155</v>
      </c>
      <c r="P10" s="195">
        <v>14.5</v>
      </c>
      <c r="Q10" s="196">
        <v>37</v>
      </c>
      <c r="R10" s="137">
        <f t="shared" si="7"/>
        <v>0.53649999999999998</v>
      </c>
      <c r="S10" s="136">
        <f t="shared" si="1"/>
        <v>10.689655172413794</v>
      </c>
      <c r="T10" s="138">
        <f t="shared" si="2"/>
        <v>0</v>
      </c>
      <c r="U10" s="27"/>
      <c r="V10" s="124" t="b">
        <f t="shared" si="3"/>
        <v>0</v>
      </c>
      <c r="W10" s="124" t="b">
        <f t="shared" si="4"/>
        <v>0</v>
      </c>
      <c r="X10" s="124" t="b">
        <f t="shared" si="5"/>
        <v>1</v>
      </c>
      <c r="Z10">
        <v>0</v>
      </c>
      <c r="AA10">
        <v>0</v>
      </c>
      <c r="AH10"/>
      <c r="AM10" s="6"/>
    </row>
    <row r="11" spans="1:39" outlineLevel="1" x14ac:dyDescent="0.25">
      <c r="A11" s="133"/>
      <c r="B11" s="139" t="s">
        <v>26</v>
      </c>
      <c r="C11" s="139" t="s">
        <v>27</v>
      </c>
      <c r="D11" s="177">
        <f>IF(L11&gt;0,1,0)</f>
        <v>0</v>
      </c>
      <c r="E11" s="135">
        <v>1</v>
      </c>
      <c r="F11" s="177">
        <v>0</v>
      </c>
      <c r="G11" s="177">
        <v>0</v>
      </c>
      <c r="H11" s="135">
        <v>1</v>
      </c>
      <c r="I11" s="186">
        <v>1</v>
      </c>
      <c r="J11" s="186">
        <v>1</v>
      </c>
      <c r="K11" s="194">
        <f t="shared" si="0"/>
        <v>0</v>
      </c>
      <c r="L11" s="194">
        <v>0</v>
      </c>
      <c r="M11" s="281">
        <f t="shared" si="6"/>
        <v>-1</v>
      </c>
      <c r="N11" s="281">
        <f t="shared" si="6"/>
        <v>-1</v>
      </c>
      <c r="O11" s="194">
        <v>525</v>
      </c>
      <c r="P11" s="195">
        <v>12</v>
      </c>
      <c r="Q11" s="196">
        <v>37</v>
      </c>
      <c r="R11" s="137">
        <f t="shared" si="7"/>
        <v>0.44400000000000001</v>
      </c>
      <c r="S11" s="136">
        <f t="shared" si="1"/>
        <v>43.75</v>
      </c>
      <c r="T11" s="138">
        <f t="shared" si="2"/>
        <v>0</v>
      </c>
      <c r="U11" s="27"/>
      <c r="V11" s="124" t="b">
        <f t="shared" si="3"/>
        <v>0</v>
      </c>
      <c r="W11" s="124" t="b">
        <f t="shared" si="4"/>
        <v>0</v>
      </c>
      <c r="X11" s="124" t="b">
        <f t="shared" si="5"/>
        <v>1</v>
      </c>
      <c r="Z11">
        <v>1</v>
      </c>
      <c r="AA11">
        <v>7800</v>
      </c>
      <c r="AH11"/>
      <c r="AM11" s="6"/>
    </row>
    <row r="12" spans="1:39" outlineLevel="1" x14ac:dyDescent="0.25">
      <c r="A12" s="133"/>
      <c r="B12" s="139" t="s">
        <v>28</v>
      </c>
      <c r="C12" s="139" t="s">
        <v>29</v>
      </c>
      <c r="D12" s="177">
        <v>1</v>
      </c>
      <c r="E12" s="135">
        <v>1</v>
      </c>
      <c r="F12" s="177">
        <v>0</v>
      </c>
      <c r="G12" s="177">
        <v>0</v>
      </c>
      <c r="H12" s="135">
        <v>1</v>
      </c>
      <c r="I12" s="186">
        <v>1</v>
      </c>
      <c r="J12" s="186">
        <v>1</v>
      </c>
      <c r="K12" s="194">
        <f t="shared" si="0"/>
        <v>7800</v>
      </c>
      <c r="L12" s="194">
        <v>7800</v>
      </c>
      <c r="M12" s="281">
        <f t="shared" si="6"/>
        <v>-1</v>
      </c>
      <c r="N12" s="281">
        <f t="shared" si="6"/>
        <v>-1</v>
      </c>
      <c r="O12" s="194">
        <v>525</v>
      </c>
      <c r="P12" s="195">
        <v>9</v>
      </c>
      <c r="Q12" s="196">
        <v>37</v>
      </c>
      <c r="R12" s="137">
        <f t="shared" si="7"/>
        <v>0.33300000000000002</v>
      </c>
      <c r="S12" s="136">
        <f t="shared" si="1"/>
        <v>58.333333333333336</v>
      </c>
      <c r="T12" s="138">
        <f t="shared" si="2"/>
        <v>19500</v>
      </c>
      <c r="U12" s="27"/>
      <c r="V12" s="124" t="b">
        <f t="shared" si="3"/>
        <v>0</v>
      </c>
      <c r="W12" s="124" t="b">
        <f t="shared" si="4"/>
        <v>0</v>
      </c>
      <c r="X12" s="124" t="b">
        <f t="shared" si="5"/>
        <v>1</v>
      </c>
      <c r="Z12">
        <v>0</v>
      </c>
      <c r="AA12">
        <v>0</v>
      </c>
      <c r="AH12"/>
      <c r="AM12" s="6"/>
    </row>
    <row r="13" spans="1:39" outlineLevel="1" x14ac:dyDescent="0.25">
      <c r="A13" s="133"/>
      <c r="B13" s="139" t="s">
        <v>30</v>
      </c>
      <c r="C13" s="139" t="s">
        <v>31</v>
      </c>
      <c r="D13" s="177">
        <f>IF(L13&gt;0,1,0)</f>
        <v>0</v>
      </c>
      <c r="E13" s="135">
        <v>1</v>
      </c>
      <c r="F13" s="177">
        <v>0</v>
      </c>
      <c r="G13" s="177">
        <v>0</v>
      </c>
      <c r="H13" s="135">
        <v>1</v>
      </c>
      <c r="I13" s="186">
        <v>1</v>
      </c>
      <c r="J13" s="186">
        <v>1</v>
      </c>
      <c r="K13" s="194">
        <f t="shared" si="0"/>
        <v>0</v>
      </c>
      <c r="L13" s="194">
        <v>0</v>
      </c>
      <c r="M13" s="281">
        <f t="shared" si="6"/>
        <v>-1</v>
      </c>
      <c r="N13" s="281">
        <f t="shared" si="6"/>
        <v>-1</v>
      </c>
      <c r="O13" s="194">
        <v>525</v>
      </c>
      <c r="P13" s="195">
        <v>11</v>
      </c>
      <c r="Q13" s="196">
        <v>37</v>
      </c>
      <c r="R13" s="137">
        <f t="shared" si="7"/>
        <v>0.40699999999999997</v>
      </c>
      <c r="S13" s="136">
        <f t="shared" si="1"/>
        <v>47.727272727272727</v>
      </c>
      <c r="T13" s="138">
        <f t="shared" si="2"/>
        <v>0</v>
      </c>
      <c r="U13" s="27"/>
      <c r="V13" s="124" t="b">
        <f t="shared" si="3"/>
        <v>0</v>
      </c>
      <c r="W13" s="124" t="b">
        <f t="shared" si="4"/>
        <v>0</v>
      </c>
      <c r="X13" s="124" t="b">
        <f t="shared" si="5"/>
        <v>1</v>
      </c>
      <c r="Z13">
        <v>0</v>
      </c>
      <c r="AA13">
        <v>0</v>
      </c>
      <c r="AH13"/>
      <c r="AM13" s="6"/>
    </row>
    <row r="14" spans="1:39" outlineLevel="1" x14ac:dyDescent="0.25">
      <c r="A14" s="133"/>
      <c r="B14" s="139" t="s">
        <v>32</v>
      </c>
      <c r="C14" s="139" t="s">
        <v>33</v>
      </c>
      <c r="D14" s="177">
        <f>IF(L14&gt;0,1,0)</f>
        <v>0</v>
      </c>
      <c r="E14" s="135">
        <v>1</v>
      </c>
      <c r="F14" s="177">
        <v>0</v>
      </c>
      <c r="G14" s="177">
        <v>0</v>
      </c>
      <c r="H14" s="135">
        <v>1</v>
      </c>
      <c r="I14" s="186">
        <v>1</v>
      </c>
      <c r="J14" s="186">
        <v>1</v>
      </c>
      <c r="K14" s="194">
        <f t="shared" si="0"/>
        <v>0</v>
      </c>
      <c r="L14" s="194">
        <v>0</v>
      </c>
      <c r="M14" s="281">
        <f t="shared" si="6"/>
        <v>-1</v>
      </c>
      <c r="N14" s="281">
        <f t="shared" si="6"/>
        <v>-1</v>
      </c>
      <c r="O14" s="194">
        <v>525</v>
      </c>
      <c r="P14" s="195">
        <v>9.5</v>
      </c>
      <c r="Q14" s="196">
        <v>37</v>
      </c>
      <c r="R14" s="137">
        <f t="shared" si="7"/>
        <v>0.35149999999999998</v>
      </c>
      <c r="S14" s="136">
        <f t="shared" si="1"/>
        <v>55.263157894736842</v>
      </c>
      <c r="T14" s="138">
        <f t="shared" si="2"/>
        <v>0</v>
      </c>
      <c r="U14" s="27"/>
      <c r="V14" s="124" t="b">
        <f t="shared" si="3"/>
        <v>0</v>
      </c>
      <c r="W14" s="124" t="b">
        <f t="shared" si="4"/>
        <v>0</v>
      </c>
      <c r="X14" s="124" t="b">
        <f t="shared" si="5"/>
        <v>1</v>
      </c>
      <c r="Z14">
        <v>1</v>
      </c>
      <c r="AA14">
        <v>5200</v>
      </c>
      <c r="AH14"/>
      <c r="AM14" s="6"/>
    </row>
    <row r="15" spans="1:39" outlineLevel="1" x14ac:dyDescent="0.25">
      <c r="A15" s="133"/>
      <c r="B15" s="139" t="s">
        <v>34</v>
      </c>
      <c r="C15" s="139" t="s">
        <v>35</v>
      </c>
      <c r="D15" s="177">
        <v>1</v>
      </c>
      <c r="E15" s="135">
        <v>1</v>
      </c>
      <c r="F15" s="177">
        <v>1</v>
      </c>
      <c r="G15" s="177">
        <v>0</v>
      </c>
      <c r="H15" s="135">
        <v>1</v>
      </c>
      <c r="I15" s="186">
        <v>1</v>
      </c>
      <c r="J15" s="186">
        <v>1</v>
      </c>
      <c r="K15" s="194">
        <f t="shared" si="0"/>
        <v>5200</v>
      </c>
      <c r="L15" s="194">
        <v>5200</v>
      </c>
      <c r="M15" s="281">
        <f t="shared" si="6"/>
        <v>0</v>
      </c>
      <c r="N15" s="281">
        <f t="shared" si="6"/>
        <v>0</v>
      </c>
      <c r="O15" s="194">
        <v>525</v>
      </c>
      <c r="P15" s="195">
        <v>9</v>
      </c>
      <c r="Q15" s="196">
        <v>37</v>
      </c>
      <c r="R15" s="137">
        <f t="shared" si="7"/>
        <v>0.33300000000000002</v>
      </c>
      <c r="S15" s="136">
        <f t="shared" si="1"/>
        <v>58.333333333333336</v>
      </c>
      <c r="T15" s="138">
        <f t="shared" si="2"/>
        <v>13000</v>
      </c>
      <c r="U15" s="27"/>
      <c r="V15" s="124" t="b">
        <f t="shared" si="3"/>
        <v>1</v>
      </c>
      <c r="W15" s="124" t="b">
        <f t="shared" si="4"/>
        <v>0</v>
      </c>
      <c r="X15" s="124" t="b">
        <f t="shared" si="5"/>
        <v>1</v>
      </c>
      <c r="Z15">
        <v>0</v>
      </c>
      <c r="AA15">
        <v>500</v>
      </c>
      <c r="AH15"/>
      <c r="AM15" s="6"/>
    </row>
    <row r="16" spans="1:39" outlineLevel="1" x14ac:dyDescent="0.25">
      <c r="A16" s="133"/>
      <c r="B16" s="139" t="s">
        <v>36</v>
      </c>
      <c r="C16" s="139" t="s">
        <v>37</v>
      </c>
      <c r="D16" s="177">
        <v>1</v>
      </c>
      <c r="E16" s="135">
        <v>1</v>
      </c>
      <c r="F16" s="177">
        <v>0</v>
      </c>
      <c r="G16" s="177">
        <v>0</v>
      </c>
      <c r="H16" s="135">
        <v>1</v>
      </c>
      <c r="I16" s="186">
        <v>1</v>
      </c>
      <c r="J16" s="186">
        <v>1</v>
      </c>
      <c r="K16" s="194">
        <f t="shared" si="0"/>
        <v>500</v>
      </c>
      <c r="L16" s="194">
        <v>500</v>
      </c>
      <c r="M16" s="281">
        <f t="shared" si="6"/>
        <v>-1</v>
      </c>
      <c r="N16" s="281">
        <f t="shared" si="6"/>
        <v>-1</v>
      </c>
      <c r="O16" s="194">
        <v>785</v>
      </c>
      <c r="P16" s="195">
        <v>12</v>
      </c>
      <c r="Q16" s="196">
        <v>37</v>
      </c>
      <c r="R16" s="137">
        <f t="shared" si="7"/>
        <v>0.44400000000000001</v>
      </c>
      <c r="S16" s="136">
        <f t="shared" si="1"/>
        <v>65.416666666666671</v>
      </c>
      <c r="T16" s="138">
        <f t="shared" si="2"/>
        <v>1666.6666666666665</v>
      </c>
      <c r="U16" s="27"/>
      <c r="V16" s="124" t="b">
        <f t="shared" si="3"/>
        <v>0</v>
      </c>
      <c r="W16" s="124" t="b">
        <f t="shared" si="4"/>
        <v>0</v>
      </c>
      <c r="X16" s="124" t="b">
        <f t="shared" si="5"/>
        <v>1</v>
      </c>
      <c r="Z16">
        <v>0</v>
      </c>
      <c r="AA16">
        <v>0</v>
      </c>
      <c r="AH16"/>
      <c r="AM16" s="6"/>
    </row>
    <row r="17" spans="1:39" outlineLevel="1" x14ac:dyDescent="0.25">
      <c r="A17" s="133"/>
      <c r="B17" s="134" t="s">
        <v>38</v>
      </c>
      <c r="C17" s="134" t="s">
        <v>39</v>
      </c>
      <c r="D17" s="177">
        <f>IF(L17&gt;0,1,0)</f>
        <v>0</v>
      </c>
      <c r="E17" s="135">
        <v>1</v>
      </c>
      <c r="F17" s="177">
        <v>0</v>
      </c>
      <c r="G17" s="177">
        <v>0</v>
      </c>
      <c r="H17" s="135">
        <v>1</v>
      </c>
      <c r="I17" s="186">
        <v>1</v>
      </c>
      <c r="J17" s="186">
        <v>1</v>
      </c>
      <c r="K17" s="194">
        <f t="shared" si="0"/>
        <v>0</v>
      </c>
      <c r="L17" s="194">
        <v>0</v>
      </c>
      <c r="M17" s="281">
        <f t="shared" si="6"/>
        <v>-1</v>
      </c>
      <c r="N17" s="281">
        <f t="shared" si="6"/>
        <v>-1</v>
      </c>
      <c r="O17" s="194">
        <v>0</v>
      </c>
      <c r="P17" s="195">
        <v>10</v>
      </c>
      <c r="Q17" s="196">
        <v>37</v>
      </c>
      <c r="R17" s="137">
        <f t="shared" si="7"/>
        <v>0.37</v>
      </c>
      <c r="S17" s="136">
        <f t="shared" si="1"/>
        <v>0</v>
      </c>
      <c r="T17" s="138">
        <f t="shared" si="2"/>
        <v>0</v>
      </c>
      <c r="U17" s="27"/>
      <c r="V17" s="124" t="b">
        <f t="shared" si="3"/>
        <v>0</v>
      </c>
      <c r="W17" s="124" t="b">
        <f t="shared" si="4"/>
        <v>0</v>
      </c>
      <c r="X17" s="124" t="b">
        <f t="shared" si="5"/>
        <v>1</v>
      </c>
      <c r="Z17">
        <v>0</v>
      </c>
      <c r="AA17">
        <v>0</v>
      </c>
      <c r="AH17"/>
      <c r="AM17" s="6"/>
    </row>
    <row r="18" spans="1:39" outlineLevel="1" x14ac:dyDescent="0.25">
      <c r="A18" s="133"/>
      <c r="B18" s="139" t="s">
        <v>40</v>
      </c>
      <c r="C18" s="139" t="s">
        <v>41</v>
      </c>
      <c r="D18" s="177">
        <f>IF(L18&gt;0,1,0)</f>
        <v>0</v>
      </c>
      <c r="E18" s="135">
        <v>1</v>
      </c>
      <c r="F18" s="177">
        <v>0</v>
      </c>
      <c r="G18" s="177">
        <v>0</v>
      </c>
      <c r="H18" s="135">
        <v>1</v>
      </c>
      <c r="I18" s="186">
        <v>1</v>
      </c>
      <c r="J18" s="186">
        <v>1</v>
      </c>
      <c r="K18" s="194">
        <f t="shared" si="0"/>
        <v>0</v>
      </c>
      <c r="L18" s="194">
        <v>0</v>
      </c>
      <c r="M18" s="281">
        <f t="shared" si="6"/>
        <v>-1</v>
      </c>
      <c r="N18" s="281">
        <f t="shared" si="6"/>
        <v>-1</v>
      </c>
      <c r="O18" s="194">
        <v>525</v>
      </c>
      <c r="P18" s="195">
        <v>11</v>
      </c>
      <c r="Q18" s="196">
        <v>37</v>
      </c>
      <c r="R18" s="137">
        <f t="shared" si="7"/>
        <v>0.40699999999999997</v>
      </c>
      <c r="S18" s="136">
        <f t="shared" si="1"/>
        <v>47.727272727272727</v>
      </c>
      <c r="T18" s="138">
        <f t="shared" si="2"/>
        <v>0</v>
      </c>
      <c r="U18" s="27"/>
      <c r="V18" s="124" t="b">
        <f t="shared" si="3"/>
        <v>0</v>
      </c>
      <c r="W18" s="124" t="b">
        <f t="shared" si="4"/>
        <v>0</v>
      </c>
      <c r="X18" s="124" t="b">
        <f t="shared" si="5"/>
        <v>1</v>
      </c>
      <c r="Z18">
        <v>1</v>
      </c>
      <c r="AA18">
        <v>40000</v>
      </c>
      <c r="AH18"/>
      <c r="AM18" s="6"/>
    </row>
    <row r="19" spans="1:39" outlineLevel="1" x14ac:dyDescent="0.25">
      <c r="A19" s="133"/>
      <c r="B19" s="139" t="s">
        <v>42</v>
      </c>
      <c r="C19" s="139" t="s">
        <v>43</v>
      </c>
      <c r="D19" s="177">
        <v>1</v>
      </c>
      <c r="E19" s="135">
        <v>1</v>
      </c>
      <c r="F19" s="177">
        <v>0</v>
      </c>
      <c r="G19" s="177">
        <v>0</v>
      </c>
      <c r="H19" s="135">
        <v>1</v>
      </c>
      <c r="I19" s="186">
        <v>1</v>
      </c>
      <c r="J19" s="186">
        <v>1</v>
      </c>
      <c r="K19" s="194">
        <v>40000</v>
      </c>
      <c r="L19" s="194">
        <v>40000</v>
      </c>
      <c r="M19" s="281">
        <f t="shared" si="6"/>
        <v>-1</v>
      </c>
      <c r="N19" s="281">
        <f t="shared" si="6"/>
        <v>-1</v>
      </c>
      <c r="O19" s="194">
        <v>400</v>
      </c>
      <c r="P19" s="195">
        <v>10.5</v>
      </c>
      <c r="Q19" s="196">
        <v>37</v>
      </c>
      <c r="R19" s="137">
        <f t="shared" si="7"/>
        <v>0.38850000000000001</v>
      </c>
      <c r="S19" s="136">
        <f t="shared" si="1"/>
        <v>38.095238095238095</v>
      </c>
      <c r="T19" s="138">
        <f t="shared" si="2"/>
        <v>116666.66666666666</v>
      </c>
      <c r="U19" s="27"/>
      <c r="V19" s="124" t="b">
        <f t="shared" si="3"/>
        <v>0</v>
      </c>
      <c r="W19" s="124" t="b">
        <f t="shared" si="4"/>
        <v>0</v>
      </c>
      <c r="X19" s="124" t="b">
        <f t="shared" si="5"/>
        <v>1</v>
      </c>
      <c r="Z19">
        <v>1</v>
      </c>
      <c r="AA19">
        <v>2000</v>
      </c>
      <c r="AH19"/>
      <c r="AM19" s="6"/>
    </row>
    <row r="20" spans="1:39" outlineLevel="1" x14ac:dyDescent="0.25">
      <c r="A20" s="133"/>
      <c r="B20" s="139" t="s">
        <v>44</v>
      </c>
      <c r="C20" s="139" t="s">
        <v>45</v>
      </c>
      <c r="D20" s="177">
        <v>1</v>
      </c>
      <c r="E20" s="135">
        <v>1</v>
      </c>
      <c r="F20" s="177">
        <v>0</v>
      </c>
      <c r="G20" s="177">
        <v>0</v>
      </c>
      <c r="H20" s="135">
        <v>1</v>
      </c>
      <c r="I20" s="186">
        <v>1</v>
      </c>
      <c r="J20" s="186">
        <v>1</v>
      </c>
      <c r="K20" s="194">
        <f t="shared" si="0"/>
        <v>2000</v>
      </c>
      <c r="L20" s="194">
        <v>2000</v>
      </c>
      <c r="M20" s="281">
        <f t="shared" si="6"/>
        <v>-1</v>
      </c>
      <c r="N20" s="281">
        <f t="shared" si="6"/>
        <v>-1</v>
      </c>
      <c r="O20" s="194">
        <v>515</v>
      </c>
      <c r="P20" s="195">
        <v>10.5</v>
      </c>
      <c r="Q20" s="196">
        <v>37</v>
      </c>
      <c r="R20" s="137">
        <f t="shared" si="7"/>
        <v>0.38850000000000001</v>
      </c>
      <c r="S20" s="136">
        <f t="shared" si="1"/>
        <v>49.047619047619051</v>
      </c>
      <c r="T20" s="138">
        <f t="shared" si="2"/>
        <v>5833.333333333333</v>
      </c>
      <c r="U20" s="27"/>
      <c r="V20" s="124" t="b">
        <f t="shared" si="3"/>
        <v>0</v>
      </c>
      <c r="W20" s="124" t="b">
        <f t="shared" si="4"/>
        <v>0</v>
      </c>
      <c r="X20" s="124" t="b">
        <f t="shared" si="5"/>
        <v>1</v>
      </c>
      <c r="Z20">
        <v>0</v>
      </c>
      <c r="AA20">
        <v>0</v>
      </c>
      <c r="AH20"/>
      <c r="AM20" s="6"/>
    </row>
    <row r="21" spans="1:39" outlineLevel="1" x14ac:dyDescent="0.25">
      <c r="A21" s="133"/>
      <c r="B21" s="134" t="s">
        <v>46</v>
      </c>
      <c r="C21" s="134" t="s">
        <v>47</v>
      </c>
      <c r="D21" s="177">
        <f>IF(L21&gt;0,1,0)</f>
        <v>0</v>
      </c>
      <c r="E21" s="135">
        <v>1</v>
      </c>
      <c r="F21" s="177">
        <v>1</v>
      </c>
      <c r="G21" s="177">
        <v>0</v>
      </c>
      <c r="H21" s="135">
        <v>1</v>
      </c>
      <c r="I21" s="186">
        <v>1</v>
      </c>
      <c r="J21" s="186">
        <v>1</v>
      </c>
      <c r="K21" s="194">
        <f t="shared" si="0"/>
        <v>0</v>
      </c>
      <c r="L21" s="194">
        <v>0</v>
      </c>
      <c r="M21" s="281">
        <f t="shared" si="6"/>
        <v>0</v>
      </c>
      <c r="N21" s="281">
        <f t="shared" si="6"/>
        <v>0</v>
      </c>
      <c r="O21" s="194">
        <v>0</v>
      </c>
      <c r="P21" s="195">
        <v>13</v>
      </c>
      <c r="Q21" s="197">
        <v>37</v>
      </c>
      <c r="R21" s="140">
        <f t="shared" si="7"/>
        <v>0.48099999999999998</v>
      </c>
      <c r="S21" s="136">
        <f t="shared" si="1"/>
        <v>0</v>
      </c>
      <c r="T21" s="138">
        <f t="shared" si="2"/>
        <v>0</v>
      </c>
      <c r="U21" s="27"/>
      <c r="V21" s="124" t="b">
        <f t="shared" si="3"/>
        <v>1</v>
      </c>
      <c r="W21" s="124" t="b">
        <f t="shared" si="4"/>
        <v>0</v>
      </c>
      <c r="X21" s="124" t="b">
        <f t="shared" si="5"/>
        <v>1</v>
      </c>
      <c r="Z21">
        <v>0</v>
      </c>
      <c r="AA21">
        <v>1500</v>
      </c>
      <c r="AH21"/>
      <c r="AM21" s="6"/>
    </row>
    <row r="22" spans="1:39" outlineLevel="1" x14ac:dyDescent="0.25">
      <c r="A22" s="133"/>
      <c r="B22" s="134" t="s">
        <v>50</v>
      </c>
      <c r="C22" s="134" t="s">
        <v>51</v>
      </c>
      <c r="D22" s="177">
        <v>0</v>
      </c>
      <c r="E22" s="135">
        <v>1</v>
      </c>
      <c r="F22" s="177">
        <v>1</v>
      </c>
      <c r="G22" s="177">
        <v>0</v>
      </c>
      <c r="H22" s="135">
        <v>1</v>
      </c>
      <c r="I22" s="186">
        <v>1</v>
      </c>
      <c r="J22" s="186">
        <v>1</v>
      </c>
      <c r="K22" s="194">
        <f t="shared" si="0"/>
        <v>1500</v>
      </c>
      <c r="L22" s="194">
        <v>1500</v>
      </c>
      <c r="M22" s="281">
        <f t="shared" si="6"/>
        <v>0</v>
      </c>
      <c r="N22" s="281">
        <f t="shared" si="6"/>
        <v>0</v>
      </c>
      <c r="O22" s="194">
        <v>0</v>
      </c>
      <c r="P22" s="195">
        <v>14.5</v>
      </c>
      <c r="Q22" s="197">
        <v>37</v>
      </c>
      <c r="R22" s="140">
        <f t="shared" si="7"/>
        <v>0.53649999999999998</v>
      </c>
      <c r="S22" s="136">
        <f t="shared" si="1"/>
        <v>0</v>
      </c>
      <c r="T22" s="138">
        <f t="shared" si="2"/>
        <v>0</v>
      </c>
      <c r="U22" s="27"/>
      <c r="V22" s="124" t="b">
        <f t="shared" si="3"/>
        <v>1</v>
      </c>
      <c r="W22" s="124" t="b">
        <f t="shared" si="4"/>
        <v>0</v>
      </c>
      <c r="X22" s="124" t="b">
        <f t="shared" si="5"/>
        <v>1</v>
      </c>
      <c r="Z22">
        <v>0</v>
      </c>
      <c r="AA22">
        <v>0</v>
      </c>
      <c r="AH22"/>
      <c r="AM22" s="6"/>
    </row>
    <row r="23" spans="1:39" outlineLevel="1" x14ac:dyDescent="0.25">
      <c r="A23" s="133"/>
      <c r="B23" s="139" t="s">
        <v>52</v>
      </c>
      <c r="C23" s="139" t="s">
        <v>53</v>
      </c>
      <c r="D23" s="177">
        <f>IF(L23&gt;0,1,0)</f>
        <v>0</v>
      </c>
      <c r="E23" s="135">
        <v>1</v>
      </c>
      <c r="F23" s="177">
        <v>0</v>
      </c>
      <c r="G23" s="177">
        <v>0</v>
      </c>
      <c r="H23" s="135">
        <v>1</v>
      </c>
      <c r="I23" s="186">
        <v>1</v>
      </c>
      <c r="J23" s="186">
        <v>1</v>
      </c>
      <c r="K23" s="194">
        <f t="shared" si="0"/>
        <v>0</v>
      </c>
      <c r="L23" s="194">
        <v>0</v>
      </c>
      <c r="M23" s="281">
        <f t="shared" si="6"/>
        <v>-1</v>
      </c>
      <c r="N23" s="281">
        <f t="shared" si="6"/>
        <v>-1</v>
      </c>
      <c r="O23" s="194">
        <v>0</v>
      </c>
      <c r="P23" s="195">
        <v>14.7</v>
      </c>
      <c r="Q23" s="197">
        <v>37</v>
      </c>
      <c r="R23" s="140">
        <f t="shared" si="7"/>
        <v>0.54389999999999994</v>
      </c>
      <c r="S23" s="136">
        <f t="shared" si="1"/>
        <v>0</v>
      </c>
      <c r="T23" s="138">
        <f t="shared" si="2"/>
        <v>0</v>
      </c>
      <c r="U23" s="27"/>
      <c r="V23" s="124" t="b">
        <f t="shared" si="3"/>
        <v>0</v>
      </c>
      <c r="W23" s="124" t="b">
        <f t="shared" si="4"/>
        <v>0</v>
      </c>
      <c r="X23" s="124" t="b">
        <f t="shared" si="5"/>
        <v>1</v>
      </c>
      <c r="Z23">
        <v>0</v>
      </c>
      <c r="AA23">
        <v>120</v>
      </c>
      <c r="AH23"/>
      <c r="AM23" s="6"/>
    </row>
    <row r="24" spans="1:39" outlineLevel="1" x14ac:dyDescent="0.25">
      <c r="A24" s="133"/>
      <c r="B24" s="139" t="s">
        <v>54</v>
      </c>
      <c r="C24" s="139" t="s">
        <v>56</v>
      </c>
      <c r="D24" s="177">
        <v>0</v>
      </c>
      <c r="E24" s="135">
        <v>1</v>
      </c>
      <c r="F24" s="177">
        <v>0</v>
      </c>
      <c r="G24" s="177">
        <v>0</v>
      </c>
      <c r="H24" s="135">
        <v>1</v>
      </c>
      <c r="I24" s="186">
        <v>1</v>
      </c>
      <c r="J24" s="186">
        <v>1</v>
      </c>
      <c r="K24" s="194">
        <f t="shared" si="0"/>
        <v>120</v>
      </c>
      <c r="L24" s="194">
        <v>120</v>
      </c>
      <c r="M24" s="281">
        <f t="shared" si="6"/>
        <v>-1</v>
      </c>
      <c r="N24" s="281">
        <f t="shared" si="6"/>
        <v>-1</v>
      </c>
      <c r="O24" s="194">
        <v>685</v>
      </c>
      <c r="P24" s="195">
        <v>14</v>
      </c>
      <c r="Q24" s="197">
        <v>37</v>
      </c>
      <c r="R24" s="140">
        <f t="shared" si="7"/>
        <v>0.51800000000000002</v>
      </c>
      <c r="S24" s="136">
        <f t="shared" si="1"/>
        <v>48.928571428571431</v>
      </c>
      <c r="T24" s="138">
        <f t="shared" si="2"/>
        <v>0</v>
      </c>
      <c r="U24" s="27"/>
      <c r="V24" s="124" t="b">
        <f t="shared" si="3"/>
        <v>0</v>
      </c>
      <c r="W24" s="124" t="b">
        <f t="shared" si="4"/>
        <v>0</v>
      </c>
      <c r="X24" s="124" t="b">
        <f t="shared" si="5"/>
        <v>1</v>
      </c>
      <c r="Z24">
        <v>0</v>
      </c>
      <c r="AA24">
        <v>150</v>
      </c>
      <c r="AH24"/>
      <c r="AM24" s="6"/>
    </row>
    <row r="25" spans="1:39" outlineLevel="1" x14ac:dyDescent="0.25">
      <c r="A25" s="141"/>
      <c r="B25" s="142" t="s">
        <v>48</v>
      </c>
      <c r="C25" s="142" t="s">
        <v>72</v>
      </c>
      <c r="D25" s="178">
        <v>0</v>
      </c>
      <c r="E25" s="143">
        <v>1</v>
      </c>
      <c r="F25" s="178">
        <v>1</v>
      </c>
      <c r="G25" s="178">
        <v>0</v>
      </c>
      <c r="H25" s="143">
        <v>1</v>
      </c>
      <c r="I25" s="187">
        <v>1</v>
      </c>
      <c r="J25" s="187">
        <v>1</v>
      </c>
      <c r="K25" s="198">
        <f t="shared" si="0"/>
        <v>150</v>
      </c>
      <c r="L25" s="198">
        <v>150</v>
      </c>
      <c r="M25" s="282">
        <f t="shared" si="6"/>
        <v>0</v>
      </c>
      <c r="N25" s="282">
        <f t="shared" si="6"/>
        <v>0</v>
      </c>
      <c r="O25" s="198">
        <f>-50*P25</f>
        <v>-450</v>
      </c>
      <c r="P25" s="199">
        <v>9</v>
      </c>
      <c r="Q25" s="200">
        <v>0</v>
      </c>
      <c r="R25" s="145">
        <f t="shared" si="7"/>
        <v>0</v>
      </c>
      <c r="S25" s="144">
        <f t="shared" si="1"/>
        <v>-50</v>
      </c>
      <c r="T25" s="146">
        <f t="shared" si="2"/>
        <v>0</v>
      </c>
      <c r="U25" s="27"/>
      <c r="V25" s="124" t="b">
        <f t="shared" si="3"/>
        <v>1</v>
      </c>
      <c r="W25" s="124" t="b">
        <f t="shared" si="4"/>
        <v>0</v>
      </c>
      <c r="X25" s="124" t="b">
        <f t="shared" si="5"/>
        <v>1</v>
      </c>
      <c r="Z25">
        <v>1</v>
      </c>
      <c r="AA25">
        <v>50000</v>
      </c>
      <c r="AH25"/>
      <c r="AM25" s="6"/>
    </row>
    <row r="26" spans="1:39" outlineLevel="1" x14ac:dyDescent="0.25">
      <c r="A26" s="147"/>
      <c r="B26" s="128" t="s">
        <v>188</v>
      </c>
      <c r="C26" s="128" t="s">
        <v>88</v>
      </c>
      <c r="D26" s="179">
        <v>1</v>
      </c>
      <c r="E26" s="129">
        <v>1</v>
      </c>
      <c r="F26" s="179">
        <v>1</v>
      </c>
      <c r="G26" s="179">
        <v>1</v>
      </c>
      <c r="H26" s="129">
        <v>1</v>
      </c>
      <c r="I26" s="188">
        <v>1</v>
      </c>
      <c r="J26" s="188">
        <v>1</v>
      </c>
      <c r="K26" s="201">
        <f t="shared" si="0"/>
        <v>0</v>
      </c>
      <c r="L26" s="201">
        <v>50000</v>
      </c>
      <c r="M26" s="283">
        <f t="shared" si="6"/>
        <v>0</v>
      </c>
      <c r="N26" s="283">
        <f t="shared" si="6"/>
        <v>0</v>
      </c>
      <c r="O26" s="201">
        <v>-50</v>
      </c>
      <c r="P26" s="202">
        <v>11.5</v>
      </c>
      <c r="Q26" s="193">
        <v>0</v>
      </c>
      <c r="R26" s="131">
        <f t="shared" si="7"/>
        <v>0</v>
      </c>
      <c r="S26" s="148">
        <f t="shared" si="1"/>
        <v>-4.3478260869565215</v>
      </c>
      <c r="T26" s="149">
        <f t="shared" si="2"/>
        <v>159722.22222222222</v>
      </c>
      <c r="U26" s="27"/>
      <c r="V26" s="124" t="b">
        <f t="shared" si="3"/>
        <v>1</v>
      </c>
      <c r="W26" s="124" t="b">
        <f t="shared" si="4"/>
        <v>1</v>
      </c>
      <c r="X26" s="124" t="b">
        <f t="shared" si="5"/>
        <v>1</v>
      </c>
      <c r="Z26">
        <v>1</v>
      </c>
      <c r="AA26">
        <v>40000</v>
      </c>
      <c r="AH26"/>
      <c r="AM26" s="6"/>
    </row>
    <row r="27" spans="1:39" outlineLevel="1" x14ac:dyDescent="0.25">
      <c r="A27" s="150"/>
      <c r="B27" s="139" t="s">
        <v>89</v>
      </c>
      <c r="C27" s="139" t="s">
        <v>90</v>
      </c>
      <c r="D27" s="180">
        <v>1</v>
      </c>
      <c r="E27" s="135">
        <v>1</v>
      </c>
      <c r="F27" s="180">
        <v>0</v>
      </c>
      <c r="G27" s="180">
        <v>1</v>
      </c>
      <c r="H27" s="135">
        <v>1</v>
      </c>
      <c r="I27" s="189">
        <v>1</v>
      </c>
      <c r="J27" s="189">
        <v>1</v>
      </c>
      <c r="K27" s="203">
        <f t="shared" si="0"/>
        <v>0</v>
      </c>
      <c r="L27" s="203">
        <v>40000</v>
      </c>
      <c r="M27" s="284">
        <f t="shared" si="6"/>
        <v>-1</v>
      </c>
      <c r="N27" s="284">
        <f t="shared" si="6"/>
        <v>-1</v>
      </c>
      <c r="O27" s="203">
        <v>450</v>
      </c>
      <c r="P27" s="204">
        <v>10.5</v>
      </c>
      <c r="Q27" s="196">
        <v>37</v>
      </c>
      <c r="R27" s="137">
        <f t="shared" si="7"/>
        <v>0.38850000000000001</v>
      </c>
      <c r="S27" s="151">
        <f t="shared" si="1"/>
        <v>42.857142857142854</v>
      </c>
      <c r="T27" s="152">
        <f t="shared" si="2"/>
        <v>116666.66666666666</v>
      </c>
      <c r="U27" s="27"/>
      <c r="V27" s="124" t="b">
        <f t="shared" si="3"/>
        <v>0</v>
      </c>
      <c r="W27" s="124" t="b">
        <f t="shared" si="4"/>
        <v>1</v>
      </c>
      <c r="X27" s="124" t="b">
        <f t="shared" si="5"/>
        <v>1</v>
      </c>
      <c r="Z27">
        <v>0</v>
      </c>
      <c r="AA27">
        <v>30000</v>
      </c>
      <c r="AH27"/>
      <c r="AM27" s="6"/>
    </row>
    <row r="28" spans="1:39" outlineLevel="1" x14ac:dyDescent="0.25">
      <c r="A28" s="150"/>
      <c r="B28" s="139" t="s">
        <v>104</v>
      </c>
      <c r="C28" s="139" t="s">
        <v>105</v>
      </c>
      <c r="D28" s="180">
        <v>0</v>
      </c>
      <c r="E28" s="135">
        <v>1</v>
      </c>
      <c r="F28" s="180">
        <v>0</v>
      </c>
      <c r="G28" s="180">
        <v>1</v>
      </c>
      <c r="H28" s="135">
        <v>1</v>
      </c>
      <c r="I28" s="189">
        <v>0</v>
      </c>
      <c r="J28" s="189">
        <v>1</v>
      </c>
      <c r="K28" s="203">
        <f t="shared" si="0"/>
        <v>0</v>
      </c>
      <c r="L28" s="203">
        <v>30000</v>
      </c>
      <c r="M28" s="284">
        <f t="shared" si="6"/>
        <v>-1</v>
      </c>
      <c r="N28" s="284">
        <f t="shared" si="6"/>
        <v>-1</v>
      </c>
      <c r="O28" s="203">
        <v>500</v>
      </c>
      <c r="P28" s="204">
        <v>9.5</v>
      </c>
      <c r="Q28" s="196">
        <v>37</v>
      </c>
      <c r="R28" s="137">
        <f t="shared" si="7"/>
        <v>0.35149999999999998</v>
      </c>
      <c r="S28" s="151">
        <f t="shared" si="1"/>
        <v>52.631578947368418</v>
      </c>
      <c r="T28" s="152">
        <f t="shared" si="2"/>
        <v>0</v>
      </c>
      <c r="U28" s="27"/>
      <c r="V28" s="124" t="b">
        <f t="shared" si="3"/>
        <v>0</v>
      </c>
      <c r="W28" s="124" t="b">
        <f t="shared" si="4"/>
        <v>1</v>
      </c>
      <c r="X28" s="124" t="b">
        <f t="shared" si="5"/>
        <v>1</v>
      </c>
      <c r="Z28">
        <v>0</v>
      </c>
      <c r="AA28">
        <v>20000</v>
      </c>
      <c r="AH28"/>
      <c r="AM28" s="6"/>
    </row>
    <row r="29" spans="1:39" outlineLevel="1" x14ac:dyDescent="0.25">
      <c r="A29" s="150"/>
      <c r="B29" s="139" t="s">
        <v>106</v>
      </c>
      <c r="C29" s="139" t="s">
        <v>107</v>
      </c>
      <c r="D29" s="180">
        <v>0</v>
      </c>
      <c r="E29" s="135">
        <v>1</v>
      </c>
      <c r="F29" s="180">
        <v>0</v>
      </c>
      <c r="G29" s="180">
        <v>1</v>
      </c>
      <c r="H29" s="135">
        <v>1</v>
      </c>
      <c r="I29" s="189">
        <v>0</v>
      </c>
      <c r="J29" s="189">
        <v>1</v>
      </c>
      <c r="K29" s="203">
        <f t="shared" si="0"/>
        <v>0</v>
      </c>
      <c r="L29" s="203">
        <v>20000</v>
      </c>
      <c r="M29" s="284">
        <f t="shared" si="6"/>
        <v>-1</v>
      </c>
      <c r="N29" s="284">
        <f t="shared" si="6"/>
        <v>-1</v>
      </c>
      <c r="O29" s="203">
        <v>550</v>
      </c>
      <c r="P29" s="204">
        <v>8.5</v>
      </c>
      <c r="Q29" s="196">
        <v>37</v>
      </c>
      <c r="R29" s="137">
        <f t="shared" si="7"/>
        <v>0.3145</v>
      </c>
      <c r="S29" s="151">
        <f t="shared" si="1"/>
        <v>64.705882352941174</v>
      </c>
      <c r="T29" s="152">
        <f t="shared" si="2"/>
        <v>0</v>
      </c>
      <c r="U29" s="28"/>
      <c r="V29" s="124" t="b">
        <f t="shared" si="3"/>
        <v>0</v>
      </c>
      <c r="W29" s="124" t="b">
        <f t="shared" si="4"/>
        <v>1</v>
      </c>
      <c r="X29" s="124" t="b">
        <f t="shared" si="5"/>
        <v>1</v>
      </c>
      <c r="Z29">
        <v>0</v>
      </c>
      <c r="AA29">
        <v>10000</v>
      </c>
      <c r="AH29"/>
      <c r="AM29" s="6"/>
    </row>
    <row r="30" spans="1:39" outlineLevel="1" x14ac:dyDescent="0.25">
      <c r="A30" s="153"/>
      <c r="B30" s="142" t="s">
        <v>108</v>
      </c>
      <c r="C30" s="142" t="s">
        <v>109</v>
      </c>
      <c r="D30" s="181">
        <v>0</v>
      </c>
      <c r="E30" s="143">
        <v>1</v>
      </c>
      <c r="F30" s="181">
        <v>0</v>
      </c>
      <c r="G30" s="181">
        <v>1</v>
      </c>
      <c r="H30" s="143">
        <v>1</v>
      </c>
      <c r="I30" s="190">
        <v>0</v>
      </c>
      <c r="J30" s="190">
        <v>1</v>
      </c>
      <c r="K30" s="205">
        <f t="shared" si="0"/>
        <v>0</v>
      </c>
      <c r="L30" s="205">
        <v>10000</v>
      </c>
      <c r="M30" s="285">
        <f t="shared" si="6"/>
        <v>-1</v>
      </c>
      <c r="N30" s="285">
        <f t="shared" si="6"/>
        <v>-1</v>
      </c>
      <c r="O30" s="205">
        <v>600</v>
      </c>
      <c r="P30" s="206">
        <v>7.5</v>
      </c>
      <c r="Q30" s="207">
        <v>37</v>
      </c>
      <c r="R30" s="155">
        <f t="shared" si="7"/>
        <v>0.27750000000000002</v>
      </c>
      <c r="S30" s="154">
        <f t="shared" si="1"/>
        <v>80</v>
      </c>
      <c r="T30" s="156">
        <f t="shared" si="2"/>
        <v>0</v>
      </c>
      <c r="U30" s="16"/>
      <c r="V30" s="124" t="b">
        <f t="shared" si="3"/>
        <v>0</v>
      </c>
      <c r="W30" s="124" t="b">
        <f t="shared" si="4"/>
        <v>1</v>
      </c>
      <c r="X30" s="124" t="b">
        <f t="shared" si="5"/>
        <v>1</v>
      </c>
      <c r="Z30">
        <v>1</v>
      </c>
      <c r="AH30"/>
      <c r="AM30" s="6"/>
    </row>
    <row r="31" spans="1:39" outlineLevel="1" x14ac:dyDescent="0.25">
      <c r="A31" s="127"/>
      <c r="B31" s="128" t="s">
        <v>209</v>
      </c>
      <c r="C31" s="128" t="s">
        <v>49</v>
      </c>
      <c r="D31" s="176">
        <v>1</v>
      </c>
      <c r="E31" s="129">
        <v>2</v>
      </c>
      <c r="F31" s="182">
        <v>0</v>
      </c>
      <c r="G31" s="102">
        <v>1</v>
      </c>
      <c r="H31" s="129">
        <v>0</v>
      </c>
      <c r="I31" s="163">
        <v>0</v>
      </c>
      <c r="J31" s="163">
        <v>0</v>
      </c>
      <c r="K31" s="163">
        <v>0</v>
      </c>
      <c r="L31" s="103">
        <v>0</v>
      </c>
      <c r="M31" s="103"/>
      <c r="N31" s="103"/>
      <c r="O31" s="191">
        <f>-50*P31</f>
        <v>-470</v>
      </c>
      <c r="P31" s="192">
        <v>9.4</v>
      </c>
      <c r="Q31" s="208">
        <v>0</v>
      </c>
      <c r="R31" s="157">
        <f t="shared" si="7"/>
        <v>0</v>
      </c>
      <c r="S31" s="130">
        <f t="shared" si="1"/>
        <v>-50</v>
      </c>
      <c r="T31" s="132">
        <f t="shared" si="2"/>
        <v>0</v>
      </c>
      <c r="U31" s="16"/>
      <c r="V31" s="9"/>
      <c r="W31" s="9"/>
      <c r="X31" s="9"/>
      <c r="Z31">
        <v>1</v>
      </c>
      <c r="AH31"/>
      <c r="AM31" s="6"/>
    </row>
    <row r="32" spans="1:39" outlineLevel="1" x14ac:dyDescent="0.25">
      <c r="A32" s="158"/>
      <c r="B32" s="139" t="s">
        <v>73</v>
      </c>
      <c r="C32" s="139" t="s">
        <v>68</v>
      </c>
      <c r="D32" s="177">
        <v>1</v>
      </c>
      <c r="E32" s="135">
        <v>3</v>
      </c>
      <c r="F32" s="183">
        <v>0</v>
      </c>
      <c r="G32" s="104">
        <v>1</v>
      </c>
      <c r="H32" s="135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9">
        <v>-100</v>
      </c>
      <c r="P32" s="195">
        <v>3.6</v>
      </c>
      <c r="Q32" s="197">
        <v>0</v>
      </c>
      <c r="R32" s="140">
        <f t="shared" si="7"/>
        <v>0</v>
      </c>
      <c r="S32" s="136">
        <f t="shared" si="1"/>
        <v>-27.777777777777779</v>
      </c>
      <c r="T32" s="138">
        <f t="shared" si="2"/>
        <v>11000</v>
      </c>
      <c r="U32" s="16"/>
      <c r="V32" s="9"/>
      <c r="W32" s="9"/>
      <c r="X32" s="9"/>
      <c r="Z32">
        <v>1</v>
      </c>
      <c r="AH32"/>
      <c r="AM32" s="6"/>
    </row>
    <row r="33" spans="1:39" outlineLevel="1" x14ac:dyDescent="0.25">
      <c r="A33" s="159"/>
      <c r="B33" s="160" t="s">
        <v>79</v>
      </c>
      <c r="C33" s="160" t="s">
        <v>79</v>
      </c>
      <c r="D33" s="178">
        <v>1</v>
      </c>
      <c r="E33" s="143">
        <v>4</v>
      </c>
      <c r="F33" s="184">
        <v>0</v>
      </c>
      <c r="G33" s="161">
        <v>1</v>
      </c>
      <c r="H33" s="143">
        <v>0</v>
      </c>
      <c r="I33" s="161">
        <v>0</v>
      </c>
      <c r="J33" s="161">
        <v>0</v>
      </c>
      <c r="K33" s="161">
        <v>0</v>
      </c>
      <c r="L33" s="162">
        <v>20000</v>
      </c>
      <c r="M33" s="162"/>
      <c r="N33" s="162"/>
      <c r="O33" s="210">
        <v>-5000</v>
      </c>
      <c r="P33" s="199">
        <v>44</v>
      </c>
      <c r="Q33" s="211">
        <v>74</v>
      </c>
      <c r="R33" s="155">
        <f t="shared" si="7"/>
        <v>3.2559999999999998</v>
      </c>
      <c r="S33" s="144">
        <f t="shared" si="1"/>
        <v>-113.63636363636364</v>
      </c>
      <c r="T33" s="146">
        <f t="shared" si="2"/>
        <v>244444.44444444444</v>
      </c>
      <c r="U33" s="16"/>
      <c r="V33" s="9"/>
      <c r="W33" s="9"/>
      <c r="X33" s="9"/>
      <c r="AH33"/>
      <c r="AM33" s="6"/>
    </row>
    <row r="34" spans="1:39" x14ac:dyDescent="0.25">
      <c r="A34" s="98"/>
      <c r="B34" s="106">
        <f>COUNTA(B5:B33)</f>
        <v>29</v>
      </c>
      <c r="C34" s="98"/>
      <c r="D34" s="106">
        <f>COUNTIF(D5:D33,"&gt;0")</f>
        <v>13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98"/>
      <c r="L34" s="98"/>
      <c r="M34" s="98"/>
      <c r="N34" s="98"/>
      <c r="O34" s="98"/>
      <c r="P34" s="98"/>
      <c r="Q34" s="107"/>
      <c r="R34" s="110"/>
      <c r="S34" s="98"/>
      <c r="T34" s="112">
        <f>SUM(T5:T33)</f>
        <v>800609.75</v>
      </c>
      <c r="U34" s="16"/>
      <c r="V34" s="9"/>
      <c r="W34" s="9"/>
      <c r="X34" s="9"/>
      <c r="AH34"/>
      <c r="AM34" s="6"/>
    </row>
    <row r="35" spans="1:39" x14ac:dyDescent="0.25">
      <c r="O35" s="16"/>
      <c r="P35"/>
      <c r="AG35" s="6"/>
      <c r="AH35"/>
    </row>
    <row r="36" spans="1:39" s="116" customFormat="1" ht="18.75" x14ac:dyDescent="0.3">
      <c r="A36" s="114"/>
      <c r="B36" s="115" t="s">
        <v>187</v>
      </c>
      <c r="C36" s="114"/>
      <c r="D36" s="114"/>
      <c r="E36" s="114"/>
      <c r="F36" s="115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</row>
    <row r="37" spans="1:39" x14ac:dyDescent="0.25">
      <c r="C37" s="1" t="s">
        <v>121</v>
      </c>
      <c r="D37" s="35">
        <f t="shared" ref="D37:AM37" si="9">_xlfn.LET(_xlpm.d,D38,IF(AND(_xlpm.d&gt;=PerStart,_xlpm.d&lt;=PerSlut),1,0))</f>
        <v>1</v>
      </c>
      <c r="E37" s="25">
        <f t="shared" si="9"/>
        <v>1</v>
      </c>
      <c r="F37" s="25">
        <f t="shared" si="9"/>
        <v>1</v>
      </c>
      <c r="G37" s="25">
        <f t="shared" si="9"/>
        <v>1</v>
      </c>
      <c r="H37" s="25">
        <f t="shared" si="9"/>
        <v>1</v>
      </c>
      <c r="I37" s="25">
        <f t="shared" si="9"/>
        <v>1</v>
      </c>
      <c r="J37" s="25">
        <f t="shared" si="9"/>
        <v>1</v>
      </c>
      <c r="K37" s="25">
        <f t="shared" si="9"/>
        <v>1</v>
      </c>
      <c r="L37" s="25">
        <f t="shared" si="9"/>
        <v>1</v>
      </c>
      <c r="M37" s="25">
        <f t="shared" si="9"/>
        <v>1</v>
      </c>
      <c r="N37" s="25">
        <f t="shared" si="9"/>
        <v>1</v>
      </c>
      <c r="O37" s="25">
        <f t="shared" si="9"/>
        <v>1</v>
      </c>
      <c r="P37" s="35">
        <f t="shared" si="9"/>
        <v>0</v>
      </c>
      <c r="Q37" s="25">
        <f t="shared" si="9"/>
        <v>0</v>
      </c>
      <c r="R37" s="25">
        <f t="shared" si="9"/>
        <v>0</v>
      </c>
      <c r="S37" s="25">
        <f t="shared" si="9"/>
        <v>0</v>
      </c>
      <c r="T37" s="25">
        <f t="shared" si="9"/>
        <v>0</v>
      </c>
      <c r="U37" s="25">
        <f t="shared" si="9"/>
        <v>0</v>
      </c>
      <c r="V37" s="25">
        <f t="shared" si="9"/>
        <v>0</v>
      </c>
      <c r="W37" s="25">
        <f t="shared" si="9"/>
        <v>0</v>
      </c>
      <c r="X37" s="25">
        <f t="shared" si="9"/>
        <v>0</v>
      </c>
      <c r="Y37" s="25">
        <f t="shared" si="9"/>
        <v>0</v>
      </c>
      <c r="Z37" s="25">
        <f t="shared" si="9"/>
        <v>0</v>
      </c>
      <c r="AA37" s="25">
        <f t="shared" si="9"/>
        <v>0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39" x14ac:dyDescent="0.25">
      <c r="B38" s="30"/>
      <c r="C38" s="22" t="s">
        <v>110</v>
      </c>
      <c r="D38" s="38" cm="1">
        <f t="array" ref="D38:AM38">TRANSPOSE(PeriodRange)</f>
        <v>44562</v>
      </c>
      <c r="E38" s="34">
        <v>44593</v>
      </c>
      <c r="F38" s="34">
        <v>44621</v>
      </c>
      <c r="G38" s="34">
        <v>44652</v>
      </c>
      <c r="H38" s="34">
        <v>44682</v>
      </c>
      <c r="I38" s="34">
        <v>44713</v>
      </c>
      <c r="J38" s="34">
        <v>44743</v>
      </c>
      <c r="K38" s="34">
        <v>44774</v>
      </c>
      <c r="L38" s="34">
        <v>44805</v>
      </c>
      <c r="M38" s="34">
        <v>44835</v>
      </c>
      <c r="N38" s="34">
        <v>44866</v>
      </c>
      <c r="O38" s="34">
        <v>44896</v>
      </c>
      <c r="P38" s="36">
        <v>44927</v>
      </c>
      <c r="Q38" s="34">
        <v>44958</v>
      </c>
      <c r="R38" s="34">
        <v>44986</v>
      </c>
      <c r="S38" s="34">
        <v>45017</v>
      </c>
      <c r="T38" s="34">
        <v>45047</v>
      </c>
      <c r="U38" s="34">
        <v>45078</v>
      </c>
      <c r="V38" s="34">
        <v>45108</v>
      </c>
      <c r="W38" s="34">
        <v>45139</v>
      </c>
      <c r="X38" s="34">
        <v>45170</v>
      </c>
      <c r="Y38" s="34">
        <v>45200</v>
      </c>
      <c r="Z38" s="34">
        <v>45231</v>
      </c>
      <c r="AA38" s="34">
        <v>45261</v>
      </c>
      <c r="AB38" s="38">
        <v>45292</v>
      </c>
      <c r="AC38" s="34">
        <v>45323</v>
      </c>
      <c r="AD38" s="34">
        <v>45352</v>
      </c>
      <c r="AE38" s="34">
        <v>45383</v>
      </c>
      <c r="AF38" s="34">
        <v>45413</v>
      </c>
      <c r="AG38" s="34">
        <v>45444</v>
      </c>
      <c r="AH38" s="34">
        <v>45474</v>
      </c>
      <c r="AI38" s="34">
        <v>45505</v>
      </c>
      <c r="AJ38" s="34">
        <v>45536</v>
      </c>
      <c r="AK38" s="34">
        <v>45566</v>
      </c>
      <c r="AL38" s="34">
        <v>45597</v>
      </c>
      <c r="AM38" s="34">
        <v>45627</v>
      </c>
    </row>
    <row r="39" spans="1:39" x14ac:dyDescent="0.25">
      <c r="B39" s="30" t="s">
        <v>77</v>
      </c>
      <c r="C39" s="22" t="s">
        <v>78</v>
      </c>
      <c r="D39" s="70" t="s">
        <v>146</v>
      </c>
      <c r="E39" s="71" t="s">
        <v>147</v>
      </c>
      <c r="F39" s="71" t="s">
        <v>148</v>
      </c>
      <c r="G39" s="71" t="s">
        <v>149</v>
      </c>
      <c r="H39" s="71" t="s">
        <v>150</v>
      </c>
      <c r="I39" s="71" t="s">
        <v>151</v>
      </c>
      <c r="J39" s="71" t="s">
        <v>152</v>
      </c>
      <c r="K39" s="71" t="s">
        <v>153</v>
      </c>
      <c r="L39" s="71" t="s">
        <v>154</v>
      </c>
      <c r="M39" s="71" t="s">
        <v>155</v>
      </c>
      <c r="N39" s="71" t="s">
        <v>156</v>
      </c>
      <c r="O39" s="71" t="s">
        <v>157</v>
      </c>
      <c r="P39" s="72" t="s">
        <v>158</v>
      </c>
      <c r="Q39" s="71" t="s">
        <v>159</v>
      </c>
      <c r="R39" s="71" t="s">
        <v>160</v>
      </c>
      <c r="S39" s="71" t="s">
        <v>161</v>
      </c>
      <c r="T39" s="71" t="s">
        <v>162</v>
      </c>
      <c r="U39" s="71" t="s">
        <v>163</v>
      </c>
      <c r="V39" s="71" t="s">
        <v>164</v>
      </c>
      <c r="W39" s="71" t="s">
        <v>165</v>
      </c>
      <c r="X39" s="71" t="s">
        <v>166</v>
      </c>
      <c r="Y39" s="71" t="s">
        <v>167</v>
      </c>
      <c r="Z39" s="71" t="s">
        <v>168</v>
      </c>
      <c r="AA39" s="71" t="s">
        <v>169</v>
      </c>
      <c r="AB39" s="70" t="s">
        <v>170</v>
      </c>
      <c r="AC39" s="71" t="s">
        <v>171</v>
      </c>
      <c r="AD39" s="71" t="s">
        <v>172</v>
      </c>
      <c r="AE39" s="71" t="s">
        <v>173</v>
      </c>
      <c r="AF39" s="71" t="s">
        <v>174</v>
      </c>
      <c r="AG39" s="71" t="s">
        <v>175</v>
      </c>
      <c r="AH39" s="71" t="s">
        <v>176</v>
      </c>
      <c r="AI39" s="71" t="s">
        <v>177</v>
      </c>
      <c r="AJ39" s="71" t="s">
        <v>178</v>
      </c>
      <c r="AK39" s="71" t="s">
        <v>179</v>
      </c>
      <c r="AL39" s="71" t="s">
        <v>180</v>
      </c>
      <c r="AM39" s="71" t="s">
        <v>181</v>
      </c>
    </row>
    <row r="40" spans="1:39" s="29" customFormat="1" ht="15.75" x14ac:dyDescent="0.25">
      <c r="A40" s="40" t="s">
        <v>118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39" s="265" customFormat="1" outlineLevel="1" x14ac:dyDescent="0.25">
      <c r="B41" s="265" t="str" cm="1">
        <f t="array" ref="B41:B66">Affaldsfraktioner</f>
        <v>DepoSort</v>
      </c>
      <c r="C41" s="23" t="s">
        <v>57</v>
      </c>
      <c r="D41" s="266">
        <f>IF(($H5&lt;&gt;0),$L5/12,$L5)</f>
        <v>757.75</v>
      </c>
      <c r="E41" s="267">
        <f t="shared" ref="E41:AM41" si="10">IF(($H5&lt;&gt;0),$L5/12,$L5)</f>
        <v>757.75</v>
      </c>
      <c r="F41" s="267">
        <f t="shared" si="10"/>
        <v>757.75</v>
      </c>
      <c r="G41" s="267">
        <f t="shared" si="10"/>
        <v>757.75</v>
      </c>
      <c r="H41" s="267">
        <f t="shared" si="10"/>
        <v>757.75</v>
      </c>
      <c r="I41" s="267">
        <f t="shared" si="10"/>
        <v>757.75</v>
      </c>
      <c r="J41" s="267">
        <f t="shared" si="10"/>
        <v>757.75</v>
      </c>
      <c r="K41" s="267">
        <f t="shared" si="10"/>
        <v>757.75</v>
      </c>
      <c r="L41" s="267">
        <f t="shared" si="10"/>
        <v>757.75</v>
      </c>
      <c r="M41" s="267">
        <f t="shared" si="10"/>
        <v>757.75</v>
      </c>
      <c r="N41" s="267">
        <f t="shared" si="10"/>
        <v>757.75</v>
      </c>
      <c r="O41" s="267">
        <f t="shared" si="10"/>
        <v>757.75</v>
      </c>
      <c r="P41" s="266">
        <f t="shared" si="10"/>
        <v>757.75</v>
      </c>
      <c r="Q41" s="267">
        <f t="shared" si="10"/>
        <v>757.75</v>
      </c>
      <c r="R41" s="267">
        <f t="shared" si="10"/>
        <v>757.75</v>
      </c>
      <c r="S41" s="267">
        <f t="shared" si="10"/>
        <v>757.75</v>
      </c>
      <c r="T41" s="267">
        <f t="shared" si="10"/>
        <v>757.75</v>
      </c>
      <c r="U41" s="267">
        <f t="shared" si="10"/>
        <v>757.75</v>
      </c>
      <c r="V41" s="267">
        <f t="shared" si="10"/>
        <v>757.75</v>
      </c>
      <c r="W41" s="267">
        <f t="shared" si="10"/>
        <v>757.75</v>
      </c>
      <c r="X41" s="267">
        <f t="shared" si="10"/>
        <v>757.75</v>
      </c>
      <c r="Y41" s="267">
        <f t="shared" si="10"/>
        <v>757.75</v>
      </c>
      <c r="Z41" s="267">
        <f t="shared" si="10"/>
        <v>757.75</v>
      </c>
      <c r="AA41" s="267">
        <f t="shared" si="10"/>
        <v>757.75</v>
      </c>
      <c r="AB41" s="266">
        <f t="shared" si="10"/>
        <v>757.75</v>
      </c>
      <c r="AC41" s="267">
        <f t="shared" si="10"/>
        <v>757.75</v>
      </c>
      <c r="AD41" s="267">
        <f t="shared" si="10"/>
        <v>757.75</v>
      </c>
      <c r="AE41" s="267">
        <f t="shared" si="10"/>
        <v>757.75</v>
      </c>
      <c r="AF41" s="267">
        <f t="shared" si="10"/>
        <v>757.75</v>
      </c>
      <c r="AG41" s="267">
        <f t="shared" si="10"/>
        <v>757.75</v>
      </c>
      <c r="AH41" s="267">
        <f t="shared" si="10"/>
        <v>757.75</v>
      </c>
      <c r="AI41" s="267">
        <f t="shared" si="10"/>
        <v>757.75</v>
      </c>
      <c r="AJ41" s="267">
        <f t="shared" si="10"/>
        <v>757.75</v>
      </c>
      <c r="AK41" s="267">
        <f t="shared" si="10"/>
        <v>757.75</v>
      </c>
      <c r="AL41" s="267">
        <f t="shared" si="10"/>
        <v>757.75</v>
      </c>
      <c r="AM41" s="267">
        <f t="shared" si="10"/>
        <v>757.75</v>
      </c>
    </row>
    <row r="42" spans="1:39" s="265" customFormat="1" outlineLevel="1" x14ac:dyDescent="0.25">
      <c r="B42" s="265" t="str">
        <v>DepoSmaat</v>
      </c>
      <c r="C42" s="23" t="s">
        <v>57</v>
      </c>
      <c r="D42" s="266">
        <f t="shared" ref="D42:AM42" si="11">IF(($H6&lt;&gt;0),$L6/12,$L6)</f>
        <v>0</v>
      </c>
      <c r="E42" s="267">
        <f t="shared" si="11"/>
        <v>0</v>
      </c>
      <c r="F42" s="267">
        <f t="shared" si="11"/>
        <v>0</v>
      </c>
      <c r="G42" s="267">
        <f t="shared" si="11"/>
        <v>0</v>
      </c>
      <c r="H42" s="267">
        <f t="shared" si="11"/>
        <v>0</v>
      </c>
      <c r="I42" s="267">
        <f t="shared" si="11"/>
        <v>0</v>
      </c>
      <c r="J42" s="267">
        <f t="shared" si="11"/>
        <v>0</v>
      </c>
      <c r="K42" s="267">
        <f t="shared" si="11"/>
        <v>0</v>
      </c>
      <c r="L42" s="267">
        <f t="shared" si="11"/>
        <v>0</v>
      </c>
      <c r="M42" s="267">
        <f t="shared" si="11"/>
        <v>0</v>
      </c>
      <c r="N42" s="267">
        <f t="shared" si="11"/>
        <v>0</v>
      </c>
      <c r="O42" s="267">
        <f t="shared" si="11"/>
        <v>0</v>
      </c>
      <c r="P42" s="266">
        <f t="shared" si="11"/>
        <v>0</v>
      </c>
      <c r="Q42" s="267">
        <f t="shared" si="11"/>
        <v>0</v>
      </c>
      <c r="R42" s="267">
        <f t="shared" si="11"/>
        <v>0</v>
      </c>
      <c r="S42" s="267">
        <f t="shared" si="11"/>
        <v>0</v>
      </c>
      <c r="T42" s="267">
        <f t="shared" si="11"/>
        <v>0</v>
      </c>
      <c r="U42" s="267">
        <f t="shared" si="11"/>
        <v>0</v>
      </c>
      <c r="V42" s="267">
        <f t="shared" si="11"/>
        <v>0</v>
      </c>
      <c r="W42" s="267">
        <f t="shared" si="11"/>
        <v>0</v>
      </c>
      <c r="X42" s="267">
        <f t="shared" si="11"/>
        <v>0</v>
      </c>
      <c r="Y42" s="267">
        <f t="shared" si="11"/>
        <v>0</v>
      </c>
      <c r="Z42" s="267">
        <f t="shared" si="11"/>
        <v>0</v>
      </c>
      <c r="AA42" s="267">
        <f t="shared" si="11"/>
        <v>0</v>
      </c>
      <c r="AB42" s="266">
        <f t="shared" si="11"/>
        <v>0</v>
      </c>
      <c r="AC42" s="267">
        <f t="shared" si="11"/>
        <v>0</v>
      </c>
      <c r="AD42" s="267">
        <f t="shared" si="11"/>
        <v>0</v>
      </c>
      <c r="AE42" s="267">
        <f t="shared" si="11"/>
        <v>0</v>
      </c>
      <c r="AF42" s="267">
        <f t="shared" si="11"/>
        <v>0</v>
      </c>
      <c r="AG42" s="267">
        <f t="shared" si="11"/>
        <v>0</v>
      </c>
      <c r="AH42" s="267">
        <f t="shared" si="11"/>
        <v>0</v>
      </c>
      <c r="AI42" s="267">
        <f t="shared" si="11"/>
        <v>0</v>
      </c>
      <c r="AJ42" s="267">
        <f t="shared" si="11"/>
        <v>0</v>
      </c>
      <c r="AK42" s="267">
        <f t="shared" si="11"/>
        <v>0</v>
      </c>
      <c r="AL42" s="267">
        <f t="shared" si="11"/>
        <v>0</v>
      </c>
      <c r="AM42" s="267">
        <f t="shared" si="11"/>
        <v>0</v>
      </c>
    </row>
    <row r="43" spans="1:39" s="265" customFormat="1" outlineLevel="1" x14ac:dyDescent="0.25">
      <c r="B43" s="265" t="str">
        <v>DepoNedd</v>
      </c>
      <c r="C43" s="23" t="s">
        <v>57</v>
      </c>
      <c r="D43" s="266">
        <f t="shared" ref="D43:AM43" si="12">IF(($H7&lt;&gt;0),$L7/12,$L7)</f>
        <v>0</v>
      </c>
      <c r="E43" s="267">
        <f t="shared" si="12"/>
        <v>0</v>
      </c>
      <c r="F43" s="267">
        <f t="shared" si="12"/>
        <v>0</v>
      </c>
      <c r="G43" s="267">
        <f t="shared" si="12"/>
        <v>0</v>
      </c>
      <c r="H43" s="267">
        <f t="shared" si="12"/>
        <v>0</v>
      </c>
      <c r="I43" s="267">
        <f t="shared" si="12"/>
        <v>0</v>
      </c>
      <c r="J43" s="267">
        <f t="shared" si="12"/>
        <v>0</v>
      </c>
      <c r="K43" s="267">
        <f t="shared" si="12"/>
        <v>0</v>
      </c>
      <c r="L43" s="267">
        <f t="shared" si="12"/>
        <v>0</v>
      </c>
      <c r="M43" s="267">
        <f t="shared" si="12"/>
        <v>0</v>
      </c>
      <c r="N43" s="267">
        <f t="shared" si="12"/>
        <v>0</v>
      </c>
      <c r="O43" s="267">
        <f t="shared" si="12"/>
        <v>0</v>
      </c>
      <c r="P43" s="266">
        <f t="shared" si="12"/>
        <v>0</v>
      </c>
      <c r="Q43" s="267">
        <f t="shared" si="12"/>
        <v>0</v>
      </c>
      <c r="R43" s="267">
        <f t="shared" si="12"/>
        <v>0</v>
      </c>
      <c r="S43" s="267">
        <f t="shared" si="12"/>
        <v>0</v>
      </c>
      <c r="T43" s="267">
        <f t="shared" si="12"/>
        <v>0</v>
      </c>
      <c r="U43" s="267">
        <f t="shared" si="12"/>
        <v>0</v>
      </c>
      <c r="V43" s="267">
        <f t="shared" si="12"/>
        <v>0</v>
      </c>
      <c r="W43" s="267">
        <f t="shared" si="12"/>
        <v>0</v>
      </c>
      <c r="X43" s="267">
        <f t="shared" si="12"/>
        <v>0</v>
      </c>
      <c r="Y43" s="267">
        <f t="shared" si="12"/>
        <v>0</v>
      </c>
      <c r="Z43" s="267">
        <f t="shared" si="12"/>
        <v>0</v>
      </c>
      <c r="AA43" s="267">
        <f t="shared" si="12"/>
        <v>0</v>
      </c>
      <c r="AB43" s="266">
        <f t="shared" si="12"/>
        <v>0</v>
      </c>
      <c r="AC43" s="267">
        <f t="shared" si="12"/>
        <v>0</v>
      </c>
      <c r="AD43" s="267">
        <f t="shared" si="12"/>
        <v>0</v>
      </c>
      <c r="AE43" s="267">
        <f t="shared" si="12"/>
        <v>0</v>
      </c>
      <c r="AF43" s="267">
        <f t="shared" si="12"/>
        <v>0</v>
      </c>
      <c r="AG43" s="267">
        <f t="shared" si="12"/>
        <v>0</v>
      </c>
      <c r="AH43" s="267">
        <f t="shared" si="12"/>
        <v>0</v>
      </c>
      <c r="AI43" s="267">
        <f t="shared" si="12"/>
        <v>0</v>
      </c>
      <c r="AJ43" s="267">
        <f t="shared" si="12"/>
        <v>0</v>
      </c>
      <c r="AK43" s="267">
        <f t="shared" si="12"/>
        <v>0</v>
      </c>
      <c r="AL43" s="267">
        <f t="shared" si="12"/>
        <v>0</v>
      </c>
      <c r="AM43" s="267">
        <f t="shared" si="12"/>
        <v>0</v>
      </c>
    </row>
    <row r="44" spans="1:39" s="265" customFormat="1" outlineLevel="1" x14ac:dyDescent="0.25">
      <c r="B44" s="265" t="str">
        <v>Dagren</v>
      </c>
      <c r="C44" s="23" t="s">
        <v>57</v>
      </c>
      <c r="D44" s="266">
        <f t="shared" ref="D44:AM44" si="13">IF(($H8&lt;&gt;0),$L8/12,$L8)</f>
        <v>2405.75</v>
      </c>
      <c r="E44" s="267">
        <f t="shared" si="13"/>
        <v>2405.75</v>
      </c>
      <c r="F44" s="267">
        <f t="shared" si="13"/>
        <v>2405.75</v>
      </c>
      <c r="G44" s="267">
        <f t="shared" si="13"/>
        <v>2405.75</v>
      </c>
      <c r="H44" s="267">
        <f t="shared" si="13"/>
        <v>2405.75</v>
      </c>
      <c r="I44" s="267">
        <f t="shared" si="13"/>
        <v>2405.75</v>
      </c>
      <c r="J44" s="267">
        <f t="shared" si="13"/>
        <v>2405.75</v>
      </c>
      <c r="K44" s="267">
        <f t="shared" si="13"/>
        <v>2405.75</v>
      </c>
      <c r="L44" s="267">
        <f t="shared" si="13"/>
        <v>2405.75</v>
      </c>
      <c r="M44" s="267">
        <f t="shared" si="13"/>
        <v>2405.75</v>
      </c>
      <c r="N44" s="267">
        <f t="shared" si="13"/>
        <v>2405.75</v>
      </c>
      <c r="O44" s="267">
        <f t="shared" si="13"/>
        <v>2405.75</v>
      </c>
      <c r="P44" s="266">
        <f t="shared" si="13"/>
        <v>2405.75</v>
      </c>
      <c r="Q44" s="267">
        <f t="shared" si="13"/>
        <v>2405.75</v>
      </c>
      <c r="R44" s="267">
        <f t="shared" si="13"/>
        <v>2405.75</v>
      </c>
      <c r="S44" s="267">
        <f t="shared" si="13"/>
        <v>2405.75</v>
      </c>
      <c r="T44" s="267">
        <f t="shared" si="13"/>
        <v>2405.75</v>
      </c>
      <c r="U44" s="267">
        <f t="shared" si="13"/>
        <v>2405.75</v>
      </c>
      <c r="V44" s="267">
        <f t="shared" si="13"/>
        <v>2405.75</v>
      </c>
      <c r="W44" s="267">
        <f t="shared" si="13"/>
        <v>2405.75</v>
      </c>
      <c r="X44" s="267">
        <f t="shared" si="13"/>
        <v>2405.75</v>
      </c>
      <c r="Y44" s="267">
        <f t="shared" si="13"/>
        <v>2405.75</v>
      </c>
      <c r="Z44" s="267">
        <f t="shared" si="13"/>
        <v>2405.75</v>
      </c>
      <c r="AA44" s="267">
        <f t="shared" si="13"/>
        <v>2405.75</v>
      </c>
      <c r="AB44" s="266">
        <f t="shared" si="13"/>
        <v>2405.75</v>
      </c>
      <c r="AC44" s="267">
        <f t="shared" si="13"/>
        <v>2405.75</v>
      </c>
      <c r="AD44" s="267">
        <f t="shared" si="13"/>
        <v>2405.75</v>
      </c>
      <c r="AE44" s="267">
        <f t="shared" si="13"/>
        <v>2405.75</v>
      </c>
      <c r="AF44" s="267">
        <f t="shared" si="13"/>
        <v>2405.75</v>
      </c>
      <c r="AG44" s="267">
        <f t="shared" si="13"/>
        <v>2405.75</v>
      </c>
      <c r="AH44" s="267">
        <f t="shared" si="13"/>
        <v>2405.75</v>
      </c>
      <c r="AI44" s="267">
        <f t="shared" si="13"/>
        <v>2405.75</v>
      </c>
      <c r="AJ44" s="267">
        <f t="shared" si="13"/>
        <v>2405.75</v>
      </c>
      <c r="AK44" s="267">
        <f t="shared" si="13"/>
        <v>2405.75</v>
      </c>
      <c r="AL44" s="267">
        <f t="shared" si="13"/>
        <v>2405.75</v>
      </c>
      <c r="AM44" s="267">
        <f t="shared" si="13"/>
        <v>2405.75</v>
      </c>
    </row>
    <row r="45" spans="1:39" s="265" customFormat="1" outlineLevel="1" x14ac:dyDescent="0.25">
      <c r="B45" s="265" t="str">
        <v>AndetBrand</v>
      </c>
      <c r="C45" s="23" t="s">
        <v>57</v>
      </c>
      <c r="D45" s="266">
        <f t="shared" ref="D45:AM45" si="14">IF(($H9&lt;&gt;0),$L9/12,$L9)</f>
        <v>291.66666666666669</v>
      </c>
      <c r="E45" s="267">
        <f t="shared" si="14"/>
        <v>291.66666666666669</v>
      </c>
      <c r="F45" s="267">
        <f t="shared" si="14"/>
        <v>291.66666666666669</v>
      </c>
      <c r="G45" s="267">
        <f t="shared" si="14"/>
        <v>291.66666666666669</v>
      </c>
      <c r="H45" s="267">
        <f t="shared" si="14"/>
        <v>291.66666666666669</v>
      </c>
      <c r="I45" s="267">
        <f t="shared" si="14"/>
        <v>291.66666666666669</v>
      </c>
      <c r="J45" s="267">
        <f t="shared" si="14"/>
        <v>291.66666666666669</v>
      </c>
      <c r="K45" s="267">
        <f t="shared" si="14"/>
        <v>291.66666666666669</v>
      </c>
      <c r="L45" s="267">
        <f t="shared" si="14"/>
        <v>291.66666666666669</v>
      </c>
      <c r="M45" s="267">
        <f t="shared" si="14"/>
        <v>291.66666666666669</v>
      </c>
      <c r="N45" s="267">
        <f t="shared" si="14"/>
        <v>291.66666666666669</v>
      </c>
      <c r="O45" s="267">
        <f t="shared" si="14"/>
        <v>291.66666666666669</v>
      </c>
      <c r="P45" s="266">
        <f t="shared" si="14"/>
        <v>291.66666666666669</v>
      </c>
      <c r="Q45" s="267">
        <f t="shared" si="14"/>
        <v>291.66666666666669</v>
      </c>
      <c r="R45" s="267">
        <f t="shared" si="14"/>
        <v>291.66666666666669</v>
      </c>
      <c r="S45" s="267">
        <f t="shared" si="14"/>
        <v>291.66666666666669</v>
      </c>
      <c r="T45" s="267">
        <f t="shared" si="14"/>
        <v>291.66666666666669</v>
      </c>
      <c r="U45" s="267">
        <f t="shared" si="14"/>
        <v>291.66666666666669</v>
      </c>
      <c r="V45" s="267">
        <f t="shared" si="14"/>
        <v>291.66666666666669</v>
      </c>
      <c r="W45" s="267">
        <f t="shared" si="14"/>
        <v>291.66666666666669</v>
      </c>
      <c r="X45" s="267">
        <f t="shared" si="14"/>
        <v>291.66666666666669</v>
      </c>
      <c r="Y45" s="267">
        <f t="shared" si="14"/>
        <v>291.66666666666669</v>
      </c>
      <c r="Z45" s="267">
        <f t="shared" si="14"/>
        <v>291.66666666666669</v>
      </c>
      <c r="AA45" s="267">
        <f t="shared" si="14"/>
        <v>291.66666666666669</v>
      </c>
      <c r="AB45" s="266">
        <f t="shared" si="14"/>
        <v>291.66666666666669</v>
      </c>
      <c r="AC45" s="267">
        <f t="shared" si="14"/>
        <v>291.66666666666669</v>
      </c>
      <c r="AD45" s="267">
        <f t="shared" si="14"/>
        <v>291.66666666666669</v>
      </c>
      <c r="AE45" s="267">
        <f t="shared" si="14"/>
        <v>291.66666666666669</v>
      </c>
      <c r="AF45" s="267">
        <f t="shared" si="14"/>
        <v>291.66666666666669</v>
      </c>
      <c r="AG45" s="267">
        <f t="shared" si="14"/>
        <v>291.66666666666669</v>
      </c>
      <c r="AH45" s="267">
        <f t="shared" si="14"/>
        <v>291.66666666666669</v>
      </c>
      <c r="AI45" s="267">
        <f t="shared" si="14"/>
        <v>291.66666666666669</v>
      </c>
      <c r="AJ45" s="267">
        <f t="shared" si="14"/>
        <v>291.66666666666669</v>
      </c>
      <c r="AK45" s="267">
        <f t="shared" si="14"/>
        <v>291.66666666666669</v>
      </c>
      <c r="AL45" s="267">
        <f t="shared" si="14"/>
        <v>291.66666666666669</v>
      </c>
      <c r="AM45" s="267">
        <f t="shared" si="14"/>
        <v>291.66666666666669</v>
      </c>
    </row>
    <row r="46" spans="1:39" s="265" customFormat="1" outlineLevel="1" x14ac:dyDescent="0.25">
      <c r="B46" s="265" t="str">
        <v>Trae</v>
      </c>
      <c r="C46" s="23" t="s">
        <v>57</v>
      </c>
      <c r="D46" s="266">
        <f t="shared" ref="D46:AM46" si="15">IF(($H10&lt;&gt;0),$L10/12,$L10)</f>
        <v>0</v>
      </c>
      <c r="E46" s="267">
        <f t="shared" si="15"/>
        <v>0</v>
      </c>
      <c r="F46" s="267">
        <f t="shared" si="15"/>
        <v>0</v>
      </c>
      <c r="G46" s="267">
        <f t="shared" si="15"/>
        <v>0</v>
      </c>
      <c r="H46" s="267">
        <f t="shared" si="15"/>
        <v>0</v>
      </c>
      <c r="I46" s="267">
        <f t="shared" si="15"/>
        <v>0</v>
      </c>
      <c r="J46" s="267">
        <f t="shared" si="15"/>
        <v>0</v>
      </c>
      <c r="K46" s="267">
        <f t="shared" si="15"/>
        <v>0</v>
      </c>
      <c r="L46" s="267">
        <f t="shared" si="15"/>
        <v>0</v>
      </c>
      <c r="M46" s="267">
        <f t="shared" si="15"/>
        <v>0</v>
      </c>
      <c r="N46" s="267">
        <f t="shared" si="15"/>
        <v>0</v>
      </c>
      <c r="O46" s="267">
        <f t="shared" si="15"/>
        <v>0</v>
      </c>
      <c r="P46" s="266">
        <f t="shared" si="15"/>
        <v>0</v>
      </c>
      <c r="Q46" s="267">
        <f t="shared" si="15"/>
        <v>0</v>
      </c>
      <c r="R46" s="267">
        <f t="shared" si="15"/>
        <v>0</v>
      </c>
      <c r="S46" s="267">
        <f t="shared" si="15"/>
        <v>0</v>
      </c>
      <c r="T46" s="267">
        <f t="shared" si="15"/>
        <v>0</v>
      </c>
      <c r="U46" s="267">
        <f t="shared" si="15"/>
        <v>0</v>
      </c>
      <c r="V46" s="267">
        <f t="shared" si="15"/>
        <v>0</v>
      </c>
      <c r="W46" s="267">
        <f t="shared" si="15"/>
        <v>0</v>
      </c>
      <c r="X46" s="267">
        <f t="shared" si="15"/>
        <v>0</v>
      </c>
      <c r="Y46" s="267">
        <f t="shared" si="15"/>
        <v>0</v>
      </c>
      <c r="Z46" s="267">
        <f t="shared" si="15"/>
        <v>0</v>
      </c>
      <c r="AA46" s="267">
        <f t="shared" si="15"/>
        <v>0</v>
      </c>
      <c r="AB46" s="266">
        <f t="shared" si="15"/>
        <v>0</v>
      </c>
      <c r="AC46" s="267">
        <f t="shared" si="15"/>
        <v>0</v>
      </c>
      <c r="AD46" s="267">
        <f t="shared" si="15"/>
        <v>0</v>
      </c>
      <c r="AE46" s="267">
        <f t="shared" si="15"/>
        <v>0</v>
      </c>
      <c r="AF46" s="267">
        <f t="shared" si="15"/>
        <v>0</v>
      </c>
      <c r="AG46" s="267">
        <f t="shared" si="15"/>
        <v>0</v>
      </c>
      <c r="AH46" s="267">
        <f t="shared" si="15"/>
        <v>0</v>
      </c>
      <c r="AI46" s="267">
        <f t="shared" si="15"/>
        <v>0</v>
      </c>
      <c r="AJ46" s="267">
        <f t="shared" si="15"/>
        <v>0</v>
      </c>
      <c r="AK46" s="267">
        <f t="shared" si="15"/>
        <v>0</v>
      </c>
      <c r="AL46" s="267">
        <f t="shared" si="15"/>
        <v>0</v>
      </c>
      <c r="AM46" s="267">
        <f t="shared" si="15"/>
        <v>0</v>
      </c>
    </row>
    <row r="47" spans="1:39" s="265" customFormat="1" outlineLevel="1" x14ac:dyDescent="0.25">
      <c r="B47" s="265" t="str">
        <v>DagrenRast</v>
      </c>
      <c r="C47" s="23" t="s">
        <v>57</v>
      </c>
      <c r="D47" s="266">
        <f t="shared" ref="D47:AM47" si="16">IF(($H11&lt;&gt;0),$L11/12,$L11)</f>
        <v>0</v>
      </c>
      <c r="E47" s="267">
        <f t="shared" si="16"/>
        <v>0</v>
      </c>
      <c r="F47" s="267">
        <f t="shared" si="16"/>
        <v>0</v>
      </c>
      <c r="G47" s="267">
        <f t="shared" si="16"/>
        <v>0</v>
      </c>
      <c r="H47" s="267">
        <f t="shared" si="16"/>
        <v>0</v>
      </c>
      <c r="I47" s="267">
        <f t="shared" si="16"/>
        <v>0</v>
      </c>
      <c r="J47" s="267">
        <f t="shared" si="16"/>
        <v>0</v>
      </c>
      <c r="K47" s="267">
        <f t="shared" si="16"/>
        <v>0</v>
      </c>
      <c r="L47" s="267">
        <f t="shared" si="16"/>
        <v>0</v>
      </c>
      <c r="M47" s="267">
        <f t="shared" si="16"/>
        <v>0</v>
      </c>
      <c r="N47" s="267">
        <f t="shared" si="16"/>
        <v>0</v>
      </c>
      <c r="O47" s="267">
        <f t="shared" si="16"/>
        <v>0</v>
      </c>
      <c r="P47" s="266">
        <f t="shared" si="16"/>
        <v>0</v>
      </c>
      <c r="Q47" s="267">
        <f t="shared" si="16"/>
        <v>0</v>
      </c>
      <c r="R47" s="267">
        <f t="shared" si="16"/>
        <v>0</v>
      </c>
      <c r="S47" s="267">
        <f t="shared" si="16"/>
        <v>0</v>
      </c>
      <c r="T47" s="267">
        <f t="shared" si="16"/>
        <v>0</v>
      </c>
      <c r="U47" s="267">
        <f t="shared" si="16"/>
        <v>0</v>
      </c>
      <c r="V47" s="267">
        <f t="shared" si="16"/>
        <v>0</v>
      </c>
      <c r="W47" s="267">
        <f t="shared" si="16"/>
        <v>0</v>
      </c>
      <c r="X47" s="267">
        <f t="shared" si="16"/>
        <v>0</v>
      </c>
      <c r="Y47" s="267">
        <f t="shared" si="16"/>
        <v>0</v>
      </c>
      <c r="Z47" s="267">
        <f t="shared" si="16"/>
        <v>0</v>
      </c>
      <c r="AA47" s="267">
        <f t="shared" si="16"/>
        <v>0</v>
      </c>
      <c r="AB47" s="266">
        <f t="shared" si="16"/>
        <v>0</v>
      </c>
      <c r="AC47" s="267">
        <f t="shared" si="16"/>
        <v>0</v>
      </c>
      <c r="AD47" s="267">
        <f t="shared" si="16"/>
        <v>0</v>
      </c>
      <c r="AE47" s="267">
        <f t="shared" si="16"/>
        <v>0</v>
      </c>
      <c r="AF47" s="267">
        <f t="shared" si="16"/>
        <v>0</v>
      </c>
      <c r="AG47" s="267">
        <f t="shared" si="16"/>
        <v>0</v>
      </c>
      <c r="AH47" s="267">
        <f t="shared" si="16"/>
        <v>0</v>
      </c>
      <c r="AI47" s="267">
        <f t="shared" si="16"/>
        <v>0</v>
      </c>
      <c r="AJ47" s="267">
        <f t="shared" si="16"/>
        <v>0</v>
      </c>
      <c r="AK47" s="267">
        <f t="shared" si="16"/>
        <v>0</v>
      </c>
      <c r="AL47" s="267">
        <f t="shared" si="16"/>
        <v>0</v>
      </c>
      <c r="AM47" s="267">
        <f t="shared" si="16"/>
        <v>0</v>
      </c>
    </row>
    <row r="48" spans="1:39" s="265" customFormat="1" outlineLevel="1" x14ac:dyDescent="0.25">
      <c r="B48" s="265" t="str">
        <v>DagrenInst</v>
      </c>
      <c r="C48" s="23" t="s">
        <v>57</v>
      </c>
      <c r="D48" s="266">
        <f t="shared" ref="D48:AM48" si="17">IF(($H12&lt;&gt;0),$L12/12,$L12)</f>
        <v>650</v>
      </c>
      <c r="E48" s="267">
        <f t="shared" si="17"/>
        <v>650</v>
      </c>
      <c r="F48" s="267">
        <f t="shared" si="17"/>
        <v>650</v>
      </c>
      <c r="G48" s="267">
        <f t="shared" si="17"/>
        <v>650</v>
      </c>
      <c r="H48" s="267">
        <f t="shared" si="17"/>
        <v>650</v>
      </c>
      <c r="I48" s="267">
        <f t="shared" si="17"/>
        <v>650</v>
      </c>
      <c r="J48" s="267">
        <f t="shared" si="17"/>
        <v>650</v>
      </c>
      <c r="K48" s="267">
        <f t="shared" si="17"/>
        <v>650</v>
      </c>
      <c r="L48" s="267">
        <f t="shared" si="17"/>
        <v>650</v>
      </c>
      <c r="M48" s="267">
        <f t="shared" si="17"/>
        <v>650</v>
      </c>
      <c r="N48" s="267">
        <f t="shared" si="17"/>
        <v>650</v>
      </c>
      <c r="O48" s="267">
        <f t="shared" si="17"/>
        <v>650</v>
      </c>
      <c r="P48" s="266">
        <f t="shared" si="17"/>
        <v>650</v>
      </c>
      <c r="Q48" s="267">
        <f t="shared" si="17"/>
        <v>650</v>
      </c>
      <c r="R48" s="267">
        <f t="shared" si="17"/>
        <v>650</v>
      </c>
      <c r="S48" s="267">
        <f t="shared" si="17"/>
        <v>650</v>
      </c>
      <c r="T48" s="267">
        <f t="shared" si="17"/>
        <v>650</v>
      </c>
      <c r="U48" s="267">
        <f t="shared" si="17"/>
        <v>650</v>
      </c>
      <c r="V48" s="267">
        <f t="shared" si="17"/>
        <v>650</v>
      </c>
      <c r="W48" s="267">
        <f t="shared" si="17"/>
        <v>650</v>
      </c>
      <c r="X48" s="267">
        <f t="shared" si="17"/>
        <v>650</v>
      </c>
      <c r="Y48" s="267">
        <f t="shared" si="17"/>
        <v>650</v>
      </c>
      <c r="Z48" s="267">
        <f t="shared" si="17"/>
        <v>650</v>
      </c>
      <c r="AA48" s="267">
        <f t="shared" si="17"/>
        <v>650</v>
      </c>
      <c r="AB48" s="266">
        <f t="shared" si="17"/>
        <v>650</v>
      </c>
      <c r="AC48" s="267">
        <f t="shared" si="17"/>
        <v>650</v>
      </c>
      <c r="AD48" s="267">
        <f t="shared" si="17"/>
        <v>650</v>
      </c>
      <c r="AE48" s="267">
        <f t="shared" si="17"/>
        <v>650</v>
      </c>
      <c r="AF48" s="267">
        <f t="shared" si="17"/>
        <v>650</v>
      </c>
      <c r="AG48" s="267">
        <f t="shared" si="17"/>
        <v>650</v>
      </c>
      <c r="AH48" s="267">
        <f t="shared" si="17"/>
        <v>650</v>
      </c>
      <c r="AI48" s="267">
        <f t="shared" si="17"/>
        <v>650</v>
      </c>
      <c r="AJ48" s="267">
        <f t="shared" si="17"/>
        <v>650</v>
      </c>
      <c r="AK48" s="267">
        <f t="shared" si="17"/>
        <v>650</v>
      </c>
      <c r="AL48" s="267">
        <f t="shared" si="17"/>
        <v>650</v>
      </c>
      <c r="AM48" s="267">
        <f t="shared" si="17"/>
        <v>650</v>
      </c>
    </row>
    <row r="49" spans="2:39" s="265" customFormat="1" outlineLevel="1" x14ac:dyDescent="0.25">
      <c r="B49" s="265" t="str">
        <v>DagrenHandel</v>
      </c>
      <c r="C49" s="23" t="s">
        <v>57</v>
      </c>
      <c r="D49" s="266">
        <f t="shared" ref="D49:AM49" si="18">IF(($H13&lt;&gt;0),$L13/12,$L13)</f>
        <v>0</v>
      </c>
      <c r="E49" s="267">
        <f t="shared" si="18"/>
        <v>0</v>
      </c>
      <c r="F49" s="267">
        <f t="shared" si="18"/>
        <v>0</v>
      </c>
      <c r="G49" s="267">
        <f t="shared" si="18"/>
        <v>0</v>
      </c>
      <c r="H49" s="267">
        <f t="shared" si="18"/>
        <v>0</v>
      </c>
      <c r="I49" s="267">
        <f t="shared" si="18"/>
        <v>0</v>
      </c>
      <c r="J49" s="267">
        <f t="shared" si="18"/>
        <v>0</v>
      </c>
      <c r="K49" s="267">
        <f t="shared" si="18"/>
        <v>0</v>
      </c>
      <c r="L49" s="267">
        <f t="shared" si="18"/>
        <v>0</v>
      </c>
      <c r="M49" s="267">
        <f t="shared" si="18"/>
        <v>0</v>
      </c>
      <c r="N49" s="267">
        <f t="shared" si="18"/>
        <v>0</v>
      </c>
      <c r="O49" s="267">
        <f t="shared" si="18"/>
        <v>0</v>
      </c>
      <c r="P49" s="266">
        <f t="shared" si="18"/>
        <v>0</v>
      </c>
      <c r="Q49" s="267">
        <f t="shared" si="18"/>
        <v>0</v>
      </c>
      <c r="R49" s="267">
        <f t="shared" si="18"/>
        <v>0</v>
      </c>
      <c r="S49" s="267">
        <f t="shared" si="18"/>
        <v>0</v>
      </c>
      <c r="T49" s="267">
        <f t="shared" si="18"/>
        <v>0</v>
      </c>
      <c r="U49" s="267">
        <f t="shared" si="18"/>
        <v>0</v>
      </c>
      <c r="V49" s="267">
        <f t="shared" si="18"/>
        <v>0</v>
      </c>
      <c r="W49" s="267">
        <f t="shared" si="18"/>
        <v>0</v>
      </c>
      <c r="X49" s="267">
        <f t="shared" si="18"/>
        <v>0</v>
      </c>
      <c r="Y49" s="267">
        <f t="shared" si="18"/>
        <v>0</v>
      </c>
      <c r="Z49" s="267">
        <f t="shared" si="18"/>
        <v>0</v>
      </c>
      <c r="AA49" s="267">
        <f t="shared" si="18"/>
        <v>0</v>
      </c>
      <c r="AB49" s="266">
        <f t="shared" si="18"/>
        <v>0</v>
      </c>
      <c r="AC49" s="267">
        <f t="shared" si="18"/>
        <v>0</v>
      </c>
      <c r="AD49" s="267">
        <f t="shared" si="18"/>
        <v>0</v>
      </c>
      <c r="AE49" s="267">
        <f t="shared" si="18"/>
        <v>0</v>
      </c>
      <c r="AF49" s="267">
        <f t="shared" si="18"/>
        <v>0</v>
      </c>
      <c r="AG49" s="267">
        <f t="shared" si="18"/>
        <v>0</v>
      </c>
      <c r="AH49" s="267">
        <f t="shared" si="18"/>
        <v>0</v>
      </c>
      <c r="AI49" s="267">
        <f t="shared" si="18"/>
        <v>0</v>
      </c>
      <c r="AJ49" s="267">
        <f t="shared" si="18"/>
        <v>0</v>
      </c>
      <c r="AK49" s="267">
        <f t="shared" si="18"/>
        <v>0</v>
      </c>
      <c r="AL49" s="267">
        <f t="shared" si="18"/>
        <v>0</v>
      </c>
      <c r="AM49" s="267">
        <f t="shared" si="18"/>
        <v>0</v>
      </c>
    </row>
    <row r="50" spans="2:39" s="265" customFormat="1" outlineLevel="1" x14ac:dyDescent="0.25">
      <c r="B50" s="265" t="str">
        <v>DagrenRestau</v>
      </c>
      <c r="C50" s="23" t="s">
        <v>57</v>
      </c>
      <c r="D50" s="266">
        <f t="shared" ref="D50:AM50" si="19">IF(($H14&lt;&gt;0),$L14/12,$L14)</f>
        <v>0</v>
      </c>
      <c r="E50" s="267">
        <f t="shared" si="19"/>
        <v>0</v>
      </c>
      <c r="F50" s="267">
        <f t="shared" si="19"/>
        <v>0</v>
      </c>
      <c r="G50" s="267">
        <f t="shared" si="19"/>
        <v>0</v>
      </c>
      <c r="H50" s="267">
        <f t="shared" si="19"/>
        <v>0</v>
      </c>
      <c r="I50" s="267">
        <f t="shared" si="19"/>
        <v>0</v>
      </c>
      <c r="J50" s="267">
        <f t="shared" si="19"/>
        <v>0</v>
      </c>
      <c r="K50" s="267">
        <f t="shared" si="19"/>
        <v>0</v>
      </c>
      <c r="L50" s="267">
        <f t="shared" si="19"/>
        <v>0</v>
      </c>
      <c r="M50" s="267">
        <f t="shared" si="19"/>
        <v>0</v>
      </c>
      <c r="N50" s="267">
        <f t="shared" si="19"/>
        <v>0</v>
      </c>
      <c r="O50" s="267">
        <f t="shared" si="19"/>
        <v>0</v>
      </c>
      <c r="P50" s="266">
        <f t="shared" si="19"/>
        <v>0</v>
      </c>
      <c r="Q50" s="267">
        <f t="shared" si="19"/>
        <v>0</v>
      </c>
      <c r="R50" s="267">
        <f t="shared" si="19"/>
        <v>0</v>
      </c>
      <c r="S50" s="267">
        <f t="shared" si="19"/>
        <v>0</v>
      </c>
      <c r="T50" s="267">
        <f t="shared" si="19"/>
        <v>0</v>
      </c>
      <c r="U50" s="267">
        <f t="shared" si="19"/>
        <v>0</v>
      </c>
      <c r="V50" s="267">
        <f t="shared" si="19"/>
        <v>0</v>
      </c>
      <c r="W50" s="267">
        <f t="shared" si="19"/>
        <v>0</v>
      </c>
      <c r="X50" s="267">
        <f t="shared" si="19"/>
        <v>0</v>
      </c>
      <c r="Y50" s="267">
        <f t="shared" si="19"/>
        <v>0</v>
      </c>
      <c r="Z50" s="267">
        <f t="shared" si="19"/>
        <v>0</v>
      </c>
      <c r="AA50" s="267">
        <f t="shared" si="19"/>
        <v>0</v>
      </c>
      <c r="AB50" s="266">
        <f t="shared" si="19"/>
        <v>0</v>
      </c>
      <c r="AC50" s="267">
        <f t="shared" si="19"/>
        <v>0</v>
      </c>
      <c r="AD50" s="267">
        <f t="shared" si="19"/>
        <v>0</v>
      </c>
      <c r="AE50" s="267">
        <f t="shared" si="19"/>
        <v>0</v>
      </c>
      <c r="AF50" s="267">
        <f t="shared" si="19"/>
        <v>0</v>
      </c>
      <c r="AG50" s="267">
        <f t="shared" si="19"/>
        <v>0</v>
      </c>
      <c r="AH50" s="267">
        <f t="shared" si="19"/>
        <v>0</v>
      </c>
      <c r="AI50" s="267">
        <f t="shared" si="19"/>
        <v>0</v>
      </c>
      <c r="AJ50" s="267">
        <f t="shared" si="19"/>
        <v>0</v>
      </c>
      <c r="AK50" s="267">
        <f t="shared" si="19"/>
        <v>0</v>
      </c>
      <c r="AL50" s="267">
        <f t="shared" si="19"/>
        <v>0</v>
      </c>
      <c r="AM50" s="267">
        <f t="shared" si="19"/>
        <v>0</v>
      </c>
    </row>
    <row r="51" spans="2:39" s="265" customFormat="1" outlineLevel="1" x14ac:dyDescent="0.25">
      <c r="B51" s="265" t="str">
        <v>Erhverv</v>
      </c>
      <c r="C51" s="23" t="s">
        <v>57</v>
      </c>
      <c r="D51" s="266">
        <f t="shared" ref="D51:AM51" si="20">IF(($H15&lt;&gt;0),$L15/12,$L15)</f>
        <v>433.33333333333331</v>
      </c>
      <c r="E51" s="267">
        <f t="shared" si="20"/>
        <v>433.33333333333331</v>
      </c>
      <c r="F51" s="267">
        <f t="shared" si="20"/>
        <v>433.33333333333331</v>
      </c>
      <c r="G51" s="267">
        <f t="shared" si="20"/>
        <v>433.33333333333331</v>
      </c>
      <c r="H51" s="267">
        <f t="shared" si="20"/>
        <v>433.33333333333331</v>
      </c>
      <c r="I51" s="267">
        <f t="shared" si="20"/>
        <v>433.33333333333331</v>
      </c>
      <c r="J51" s="267">
        <f t="shared" si="20"/>
        <v>433.33333333333331</v>
      </c>
      <c r="K51" s="267">
        <f t="shared" si="20"/>
        <v>433.33333333333331</v>
      </c>
      <c r="L51" s="267">
        <f t="shared" si="20"/>
        <v>433.33333333333331</v>
      </c>
      <c r="M51" s="267">
        <f t="shared" si="20"/>
        <v>433.33333333333331</v>
      </c>
      <c r="N51" s="267">
        <f t="shared" si="20"/>
        <v>433.33333333333331</v>
      </c>
      <c r="O51" s="267">
        <f t="shared" si="20"/>
        <v>433.33333333333331</v>
      </c>
      <c r="P51" s="266">
        <f t="shared" si="20"/>
        <v>433.33333333333331</v>
      </c>
      <c r="Q51" s="267">
        <f t="shared" si="20"/>
        <v>433.33333333333331</v>
      </c>
      <c r="R51" s="267">
        <f t="shared" si="20"/>
        <v>433.33333333333331</v>
      </c>
      <c r="S51" s="267">
        <f t="shared" si="20"/>
        <v>433.33333333333331</v>
      </c>
      <c r="T51" s="267">
        <f t="shared" si="20"/>
        <v>433.33333333333331</v>
      </c>
      <c r="U51" s="267">
        <f t="shared" si="20"/>
        <v>433.33333333333331</v>
      </c>
      <c r="V51" s="267">
        <f t="shared" si="20"/>
        <v>433.33333333333331</v>
      </c>
      <c r="W51" s="267">
        <f t="shared" si="20"/>
        <v>433.33333333333331</v>
      </c>
      <c r="X51" s="267">
        <f t="shared" si="20"/>
        <v>433.33333333333331</v>
      </c>
      <c r="Y51" s="267">
        <f t="shared" si="20"/>
        <v>433.33333333333331</v>
      </c>
      <c r="Z51" s="267">
        <f t="shared" si="20"/>
        <v>433.33333333333331</v>
      </c>
      <c r="AA51" s="267">
        <f t="shared" si="20"/>
        <v>433.33333333333331</v>
      </c>
      <c r="AB51" s="266">
        <f t="shared" si="20"/>
        <v>433.33333333333331</v>
      </c>
      <c r="AC51" s="267">
        <f t="shared" si="20"/>
        <v>433.33333333333331</v>
      </c>
      <c r="AD51" s="267">
        <f t="shared" si="20"/>
        <v>433.33333333333331</v>
      </c>
      <c r="AE51" s="267">
        <f t="shared" si="20"/>
        <v>433.33333333333331</v>
      </c>
      <c r="AF51" s="267">
        <f t="shared" si="20"/>
        <v>433.33333333333331</v>
      </c>
      <c r="AG51" s="267">
        <f t="shared" si="20"/>
        <v>433.33333333333331</v>
      </c>
      <c r="AH51" s="267">
        <f t="shared" si="20"/>
        <v>433.33333333333331</v>
      </c>
      <c r="AI51" s="267">
        <f t="shared" si="20"/>
        <v>433.33333333333331</v>
      </c>
      <c r="AJ51" s="267">
        <f t="shared" si="20"/>
        <v>433.33333333333331</v>
      </c>
      <c r="AK51" s="267">
        <f t="shared" si="20"/>
        <v>433.33333333333331</v>
      </c>
      <c r="AL51" s="267">
        <f t="shared" si="20"/>
        <v>433.33333333333331</v>
      </c>
      <c r="AM51" s="267">
        <f t="shared" si="20"/>
        <v>433.33333333333331</v>
      </c>
    </row>
    <row r="52" spans="2:39" s="265" customFormat="1" outlineLevel="1" x14ac:dyDescent="0.25">
      <c r="B52" s="265" t="str">
        <v>DagrenErhverv</v>
      </c>
      <c r="C52" s="23" t="s">
        <v>57</v>
      </c>
      <c r="D52" s="266">
        <f t="shared" ref="D52:AM52" si="21">IF(($H16&lt;&gt;0),$L16/12,$L16)</f>
        <v>41.666666666666664</v>
      </c>
      <c r="E52" s="267">
        <f t="shared" si="21"/>
        <v>41.666666666666664</v>
      </c>
      <c r="F52" s="267">
        <f t="shared" si="21"/>
        <v>41.666666666666664</v>
      </c>
      <c r="G52" s="267">
        <f t="shared" si="21"/>
        <v>41.666666666666664</v>
      </c>
      <c r="H52" s="267">
        <f t="shared" si="21"/>
        <v>41.666666666666664</v>
      </c>
      <c r="I52" s="267">
        <f t="shared" si="21"/>
        <v>41.666666666666664</v>
      </c>
      <c r="J52" s="267">
        <f t="shared" si="21"/>
        <v>41.666666666666664</v>
      </c>
      <c r="K52" s="267">
        <f t="shared" si="21"/>
        <v>41.666666666666664</v>
      </c>
      <c r="L52" s="267">
        <f t="shared" si="21"/>
        <v>41.666666666666664</v>
      </c>
      <c r="M52" s="267">
        <f t="shared" si="21"/>
        <v>41.666666666666664</v>
      </c>
      <c r="N52" s="267">
        <f t="shared" si="21"/>
        <v>41.666666666666664</v>
      </c>
      <c r="O52" s="267">
        <f t="shared" si="21"/>
        <v>41.666666666666664</v>
      </c>
      <c r="P52" s="266">
        <f t="shared" si="21"/>
        <v>41.666666666666664</v>
      </c>
      <c r="Q52" s="267">
        <f t="shared" si="21"/>
        <v>41.666666666666664</v>
      </c>
      <c r="R52" s="267">
        <f t="shared" si="21"/>
        <v>41.666666666666664</v>
      </c>
      <c r="S52" s="267">
        <f t="shared" si="21"/>
        <v>41.666666666666664</v>
      </c>
      <c r="T52" s="267">
        <f t="shared" si="21"/>
        <v>41.666666666666664</v>
      </c>
      <c r="U52" s="267">
        <f t="shared" si="21"/>
        <v>41.666666666666664</v>
      </c>
      <c r="V52" s="267">
        <f t="shared" si="21"/>
        <v>41.666666666666664</v>
      </c>
      <c r="W52" s="267">
        <f t="shared" si="21"/>
        <v>41.666666666666664</v>
      </c>
      <c r="X52" s="267">
        <f t="shared" si="21"/>
        <v>41.666666666666664</v>
      </c>
      <c r="Y52" s="267">
        <f t="shared" si="21"/>
        <v>41.666666666666664</v>
      </c>
      <c r="Z52" s="267">
        <f t="shared" si="21"/>
        <v>41.666666666666664</v>
      </c>
      <c r="AA52" s="267">
        <f t="shared" si="21"/>
        <v>41.666666666666664</v>
      </c>
      <c r="AB52" s="266">
        <f t="shared" si="21"/>
        <v>41.666666666666664</v>
      </c>
      <c r="AC52" s="267">
        <f t="shared" si="21"/>
        <v>41.666666666666664</v>
      </c>
      <c r="AD52" s="267">
        <f t="shared" si="21"/>
        <v>41.666666666666664</v>
      </c>
      <c r="AE52" s="267">
        <f t="shared" si="21"/>
        <v>41.666666666666664</v>
      </c>
      <c r="AF52" s="267">
        <f t="shared" si="21"/>
        <v>41.666666666666664</v>
      </c>
      <c r="AG52" s="267">
        <f t="shared" si="21"/>
        <v>41.666666666666664</v>
      </c>
      <c r="AH52" s="267">
        <f t="shared" si="21"/>
        <v>41.666666666666664</v>
      </c>
      <c r="AI52" s="267">
        <f t="shared" si="21"/>
        <v>41.666666666666664</v>
      </c>
      <c r="AJ52" s="267">
        <f t="shared" si="21"/>
        <v>41.666666666666664</v>
      </c>
      <c r="AK52" s="267">
        <f t="shared" si="21"/>
        <v>41.666666666666664</v>
      </c>
      <c r="AL52" s="267">
        <f t="shared" si="21"/>
        <v>41.666666666666664</v>
      </c>
      <c r="AM52" s="267">
        <f t="shared" si="21"/>
        <v>41.666666666666664</v>
      </c>
    </row>
    <row r="53" spans="2:39" s="265" customFormat="1" outlineLevel="1" x14ac:dyDescent="0.25">
      <c r="B53" s="265" t="str">
        <v>HandelKontor</v>
      </c>
      <c r="C53" s="23" t="s">
        <v>57</v>
      </c>
      <c r="D53" s="266">
        <f t="shared" ref="D53:AM53" si="22">IF(($H17&lt;&gt;0),$L17/12,$L17)</f>
        <v>0</v>
      </c>
      <c r="E53" s="267">
        <f t="shared" si="22"/>
        <v>0</v>
      </c>
      <c r="F53" s="267">
        <f t="shared" si="22"/>
        <v>0</v>
      </c>
      <c r="G53" s="267">
        <f t="shared" si="22"/>
        <v>0</v>
      </c>
      <c r="H53" s="267">
        <f t="shared" si="22"/>
        <v>0</v>
      </c>
      <c r="I53" s="267">
        <f t="shared" si="22"/>
        <v>0</v>
      </c>
      <c r="J53" s="267">
        <f t="shared" si="22"/>
        <v>0</v>
      </c>
      <c r="K53" s="267">
        <f t="shared" si="22"/>
        <v>0</v>
      </c>
      <c r="L53" s="267">
        <f t="shared" si="22"/>
        <v>0</v>
      </c>
      <c r="M53" s="267">
        <f t="shared" si="22"/>
        <v>0</v>
      </c>
      <c r="N53" s="267">
        <f t="shared" si="22"/>
        <v>0</v>
      </c>
      <c r="O53" s="267">
        <f t="shared" si="22"/>
        <v>0</v>
      </c>
      <c r="P53" s="266">
        <f t="shared" si="22"/>
        <v>0</v>
      </c>
      <c r="Q53" s="267">
        <f t="shared" si="22"/>
        <v>0</v>
      </c>
      <c r="R53" s="267">
        <f t="shared" si="22"/>
        <v>0</v>
      </c>
      <c r="S53" s="267">
        <f t="shared" si="22"/>
        <v>0</v>
      </c>
      <c r="T53" s="267">
        <f t="shared" si="22"/>
        <v>0</v>
      </c>
      <c r="U53" s="267">
        <f t="shared" si="22"/>
        <v>0</v>
      </c>
      <c r="V53" s="267">
        <f t="shared" si="22"/>
        <v>0</v>
      </c>
      <c r="W53" s="267">
        <f t="shared" si="22"/>
        <v>0</v>
      </c>
      <c r="X53" s="267">
        <f t="shared" si="22"/>
        <v>0</v>
      </c>
      <c r="Y53" s="267">
        <f t="shared" si="22"/>
        <v>0</v>
      </c>
      <c r="Z53" s="267">
        <f t="shared" si="22"/>
        <v>0</v>
      </c>
      <c r="AA53" s="267">
        <f t="shared" si="22"/>
        <v>0</v>
      </c>
      <c r="AB53" s="266">
        <f t="shared" si="22"/>
        <v>0</v>
      </c>
      <c r="AC53" s="267">
        <f t="shared" si="22"/>
        <v>0</v>
      </c>
      <c r="AD53" s="267">
        <f t="shared" si="22"/>
        <v>0</v>
      </c>
      <c r="AE53" s="267">
        <f t="shared" si="22"/>
        <v>0</v>
      </c>
      <c r="AF53" s="267">
        <f t="shared" si="22"/>
        <v>0</v>
      </c>
      <c r="AG53" s="267">
        <f t="shared" si="22"/>
        <v>0</v>
      </c>
      <c r="AH53" s="267">
        <f t="shared" si="22"/>
        <v>0</v>
      </c>
      <c r="AI53" s="267">
        <f t="shared" si="22"/>
        <v>0</v>
      </c>
      <c r="AJ53" s="267">
        <f t="shared" si="22"/>
        <v>0</v>
      </c>
      <c r="AK53" s="267">
        <f t="shared" si="22"/>
        <v>0</v>
      </c>
      <c r="AL53" s="267">
        <f t="shared" si="22"/>
        <v>0</v>
      </c>
      <c r="AM53" s="267">
        <f t="shared" si="22"/>
        <v>0</v>
      </c>
    </row>
    <row r="54" spans="2:39" s="265" customFormat="1" outlineLevel="1" x14ac:dyDescent="0.25">
      <c r="B54" s="265" t="str">
        <v>Privat</v>
      </c>
      <c r="C54" s="23" t="s">
        <v>57</v>
      </c>
      <c r="D54" s="266">
        <f t="shared" ref="D54:AM54" si="23">IF(($H18&lt;&gt;0),$L18/12,$L18)</f>
        <v>0</v>
      </c>
      <c r="E54" s="267">
        <f t="shared" si="23"/>
        <v>0</v>
      </c>
      <c r="F54" s="267">
        <f t="shared" si="23"/>
        <v>0</v>
      </c>
      <c r="G54" s="267">
        <f t="shared" si="23"/>
        <v>0</v>
      </c>
      <c r="H54" s="267">
        <f t="shared" si="23"/>
        <v>0</v>
      </c>
      <c r="I54" s="267">
        <f t="shared" si="23"/>
        <v>0</v>
      </c>
      <c r="J54" s="267">
        <f t="shared" si="23"/>
        <v>0</v>
      </c>
      <c r="K54" s="267">
        <f t="shared" si="23"/>
        <v>0</v>
      </c>
      <c r="L54" s="267">
        <f t="shared" si="23"/>
        <v>0</v>
      </c>
      <c r="M54" s="267">
        <f t="shared" si="23"/>
        <v>0</v>
      </c>
      <c r="N54" s="267">
        <f t="shared" si="23"/>
        <v>0</v>
      </c>
      <c r="O54" s="267">
        <f t="shared" si="23"/>
        <v>0</v>
      </c>
      <c r="P54" s="266">
        <f t="shared" si="23"/>
        <v>0</v>
      </c>
      <c r="Q54" s="267">
        <f t="shared" si="23"/>
        <v>0</v>
      </c>
      <c r="R54" s="267">
        <f t="shared" si="23"/>
        <v>0</v>
      </c>
      <c r="S54" s="267">
        <f t="shared" si="23"/>
        <v>0</v>
      </c>
      <c r="T54" s="267">
        <f t="shared" si="23"/>
        <v>0</v>
      </c>
      <c r="U54" s="267">
        <f t="shared" si="23"/>
        <v>0</v>
      </c>
      <c r="V54" s="267">
        <f t="shared" si="23"/>
        <v>0</v>
      </c>
      <c r="W54" s="267">
        <f t="shared" si="23"/>
        <v>0</v>
      </c>
      <c r="X54" s="267">
        <f t="shared" si="23"/>
        <v>0</v>
      </c>
      <c r="Y54" s="267">
        <f t="shared" si="23"/>
        <v>0</v>
      </c>
      <c r="Z54" s="267">
        <f t="shared" si="23"/>
        <v>0</v>
      </c>
      <c r="AA54" s="267">
        <f t="shared" si="23"/>
        <v>0</v>
      </c>
      <c r="AB54" s="266">
        <f t="shared" si="23"/>
        <v>0</v>
      </c>
      <c r="AC54" s="267">
        <f t="shared" si="23"/>
        <v>0</v>
      </c>
      <c r="AD54" s="267">
        <f t="shared" si="23"/>
        <v>0</v>
      </c>
      <c r="AE54" s="267">
        <f t="shared" si="23"/>
        <v>0</v>
      </c>
      <c r="AF54" s="267">
        <f t="shared" si="23"/>
        <v>0</v>
      </c>
      <c r="AG54" s="267">
        <f t="shared" si="23"/>
        <v>0</v>
      </c>
      <c r="AH54" s="267">
        <f t="shared" si="23"/>
        <v>0</v>
      </c>
      <c r="AI54" s="267">
        <f t="shared" si="23"/>
        <v>0</v>
      </c>
      <c r="AJ54" s="267">
        <f t="shared" si="23"/>
        <v>0</v>
      </c>
      <c r="AK54" s="267">
        <f t="shared" si="23"/>
        <v>0</v>
      </c>
      <c r="AL54" s="267">
        <f t="shared" si="23"/>
        <v>0</v>
      </c>
      <c r="AM54" s="267">
        <f t="shared" si="23"/>
        <v>0</v>
      </c>
    </row>
    <row r="55" spans="2:39" s="265" customFormat="1" outlineLevel="1" x14ac:dyDescent="0.25">
      <c r="B55" s="265" t="str">
        <v>TyskRest</v>
      </c>
      <c r="C55" s="23" t="s">
        <v>57</v>
      </c>
      <c r="D55" s="266">
        <f t="shared" ref="D55:AM55" si="24">IF(($H19&lt;&gt;0),$L19/12,$L19)</f>
        <v>3333.3333333333335</v>
      </c>
      <c r="E55" s="267">
        <f t="shared" si="24"/>
        <v>3333.3333333333335</v>
      </c>
      <c r="F55" s="267">
        <f t="shared" si="24"/>
        <v>3333.3333333333335</v>
      </c>
      <c r="G55" s="267">
        <f t="shared" si="24"/>
        <v>3333.3333333333335</v>
      </c>
      <c r="H55" s="267">
        <f t="shared" si="24"/>
        <v>3333.3333333333335</v>
      </c>
      <c r="I55" s="267">
        <f t="shared" si="24"/>
        <v>3333.3333333333335</v>
      </c>
      <c r="J55" s="267">
        <f t="shared" si="24"/>
        <v>3333.3333333333335</v>
      </c>
      <c r="K55" s="267">
        <f t="shared" si="24"/>
        <v>3333.3333333333335</v>
      </c>
      <c r="L55" s="267">
        <f t="shared" si="24"/>
        <v>3333.3333333333335</v>
      </c>
      <c r="M55" s="267">
        <f t="shared" si="24"/>
        <v>3333.3333333333335</v>
      </c>
      <c r="N55" s="267">
        <f t="shared" si="24"/>
        <v>3333.3333333333335</v>
      </c>
      <c r="O55" s="267">
        <f t="shared" si="24"/>
        <v>3333.3333333333335</v>
      </c>
      <c r="P55" s="266">
        <f t="shared" si="24"/>
        <v>3333.3333333333335</v>
      </c>
      <c r="Q55" s="267">
        <f t="shared" si="24"/>
        <v>3333.3333333333335</v>
      </c>
      <c r="R55" s="267">
        <f t="shared" si="24"/>
        <v>3333.3333333333335</v>
      </c>
      <c r="S55" s="267">
        <f t="shared" si="24"/>
        <v>3333.3333333333335</v>
      </c>
      <c r="T55" s="267">
        <f t="shared" si="24"/>
        <v>3333.3333333333335</v>
      </c>
      <c r="U55" s="267">
        <f t="shared" si="24"/>
        <v>3333.3333333333335</v>
      </c>
      <c r="V55" s="267">
        <f t="shared" si="24"/>
        <v>3333.3333333333335</v>
      </c>
      <c r="W55" s="267">
        <f t="shared" si="24"/>
        <v>3333.3333333333335</v>
      </c>
      <c r="X55" s="267">
        <f t="shared" si="24"/>
        <v>3333.3333333333335</v>
      </c>
      <c r="Y55" s="267">
        <f t="shared" si="24"/>
        <v>3333.3333333333335</v>
      </c>
      <c r="Z55" s="267">
        <f t="shared" si="24"/>
        <v>3333.3333333333335</v>
      </c>
      <c r="AA55" s="267">
        <f t="shared" si="24"/>
        <v>3333.3333333333335</v>
      </c>
      <c r="AB55" s="266">
        <f t="shared" si="24"/>
        <v>3333.3333333333335</v>
      </c>
      <c r="AC55" s="267">
        <f t="shared" si="24"/>
        <v>3333.3333333333335</v>
      </c>
      <c r="AD55" s="267">
        <f t="shared" si="24"/>
        <v>3333.3333333333335</v>
      </c>
      <c r="AE55" s="267">
        <f t="shared" si="24"/>
        <v>3333.3333333333335</v>
      </c>
      <c r="AF55" s="267">
        <f t="shared" si="24"/>
        <v>3333.3333333333335</v>
      </c>
      <c r="AG55" s="267">
        <f t="shared" si="24"/>
        <v>3333.3333333333335</v>
      </c>
      <c r="AH55" s="267">
        <f t="shared" si="24"/>
        <v>3333.3333333333335</v>
      </c>
      <c r="AI55" s="267">
        <f t="shared" si="24"/>
        <v>3333.3333333333335</v>
      </c>
      <c r="AJ55" s="267">
        <f t="shared" si="24"/>
        <v>3333.3333333333335</v>
      </c>
      <c r="AK55" s="267">
        <f t="shared" si="24"/>
        <v>3333.3333333333335</v>
      </c>
      <c r="AL55" s="267">
        <f t="shared" si="24"/>
        <v>3333.3333333333335</v>
      </c>
      <c r="AM55" s="267">
        <f t="shared" si="24"/>
        <v>3333.3333333333335</v>
      </c>
    </row>
    <row r="56" spans="2:39" s="265" customFormat="1" outlineLevel="1" x14ac:dyDescent="0.25">
      <c r="B56" s="265" t="str">
        <v>PolskRest</v>
      </c>
      <c r="C56" s="23" t="s">
        <v>57</v>
      </c>
      <c r="D56" s="266">
        <f t="shared" ref="D56:AM56" si="25">IF(($H20&lt;&gt;0),$L20/12,$L20)</f>
        <v>166.66666666666666</v>
      </c>
      <c r="E56" s="267">
        <f t="shared" si="25"/>
        <v>166.66666666666666</v>
      </c>
      <c r="F56" s="267">
        <f t="shared" si="25"/>
        <v>166.66666666666666</v>
      </c>
      <c r="G56" s="267">
        <f t="shared" si="25"/>
        <v>166.66666666666666</v>
      </c>
      <c r="H56" s="267">
        <f t="shared" si="25"/>
        <v>166.66666666666666</v>
      </c>
      <c r="I56" s="267">
        <f t="shared" si="25"/>
        <v>166.66666666666666</v>
      </c>
      <c r="J56" s="267">
        <f t="shared" si="25"/>
        <v>166.66666666666666</v>
      </c>
      <c r="K56" s="267">
        <f t="shared" si="25"/>
        <v>166.66666666666666</v>
      </c>
      <c r="L56" s="267">
        <f t="shared" si="25"/>
        <v>166.66666666666666</v>
      </c>
      <c r="M56" s="267">
        <f t="shared" si="25"/>
        <v>166.66666666666666</v>
      </c>
      <c r="N56" s="267">
        <f t="shared" si="25"/>
        <v>166.66666666666666</v>
      </c>
      <c r="O56" s="267">
        <f t="shared" si="25"/>
        <v>166.66666666666666</v>
      </c>
      <c r="P56" s="266">
        <f t="shared" si="25"/>
        <v>166.66666666666666</v>
      </c>
      <c r="Q56" s="267">
        <f t="shared" si="25"/>
        <v>166.66666666666666</v>
      </c>
      <c r="R56" s="267">
        <f t="shared" si="25"/>
        <v>166.66666666666666</v>
      </c>
      <c r="S56" s="267">
        <f t="shared" si="25"/>
        <v>166.66666666666666</v>
      </c>
      <c r="T56" s="267">
        <f t="shared" si="25"/>
        <v>166.66666666666666</v>
      </c>
      <c r="U56" s="267">
        <f t="shared" si="25"/>
        <v>166.66666666666666</v>
      </c>
      <c r="V56" s="267">
        <f t="shared" si="25"/>
        <v>166.66666666666666</v>
      </c>
      <c r="W56" s="267">
        <f t="shared" si="25"/>
        <v>166.66666666666666</v>
      </c>
      <c r="X56" s="267">
        <f t="shared" si="25"/>
        <v>166.66666666666666</v>
      </c>
      <c r="Y56" s="267">
        <f t="shared" si="25"/>
        <v>166.66666666666666</v>
      </c>
      <c r="Z56" s="267">
        <f t="shared" si="25"/>
        <v>166.66666666666666</v>
      </c>
      <c r="AA56" s="267">
        <f t="shared" si="25"/>
        <v>166.66666666666666</v>
      </c>
      <c r="AB56" s="266">
        <f t="shared" si="25"/>
        <v>166.66666666666666</v>
      </c>
      <c r="AC56" s="267">
        <f t="shared" si="25"/>
        <v>166.66666666666666</v>
      </c>
      <c r="AD56" s="267">
        <f t="shared" si="25"/>
        <v>166.66666666666666</v>
      </c>
      <c r="AE56" s="267">
        <f t="shared" si="25"/>
        <v>166.66666666666666</v>
      </c>
      <c r="AF56" s="267">
        <f t="shared" si="25"/>
        <v>166.66666666666666</v>
      </c>
      <c r="AG56" s="267">
        <f t="shared" si="25"/>
        <v>166.66666666666666</v>
      </c>
      <c r="AH56" s="267">
        <f t="shared" si="25"/>
        <v>166.66666666666666</v>
      </c>
      <c r="AI56" s="267">
        <f t="shared" si="25"/>
        <v>166.66666666666666</v>
      </c>
      <c r="AJ56" s="267">
        <f t="shared" si="25"/>
        <v>166.66666666666666</v>
      </c>
      <c r="AK56" s="267">
        <f t="shared" si="25"/>
        <v>166.66666666666666</v>
      </c>
      <c r="AL56" s="267">
        <f t="shared" si="25"/>
        <v>166.66666666666666</v>
      </c>
      <c r="AM56" s="267">
        <f t="shared" si="25"/>
        <v>166.66666666666666</v>
      </c>
    </row>
    <row r="57" spans="2:39" s="265" customFormat="1" outlineLevel="1" x14ac:dyDescent="0.25">
      <c r="B57" s="265" t="str">
        <v>PcbTrae</v>
      </c>
      <c r="C57" s="23" t="s">
        <v>57</v>
      </c>
      <c r="D57" s="266">
        <f t="shared" ref="D57:AM57" si="26">IF(($H21&lt;&gt;0),$L21/12,$L21)</f>
        <v>0</v>
      </c>
      <c r="E57" s="267">
        <f t="shared" si="26"/>
        <v>0</v>
      </c>
      <c r="F57" s="267">
        <f t="shared" si="26"/>
        <v>0</v>
      </c>
      <c r="G57" s="267">
        <f t="shared" si="26"/>
        <v>0</v>
      </c>
      <c r="H57" s="267">
        <f t="shared" si="26"/>
        <v>0</v>
      </c>
      <c r="I57" s="267">
        <f t="shared" si="26"/>
        <v>0</v>
      </c>
      <c r="J57" s="267">
        <f t="shared" si="26"/>
        <v>0</v>
      </c>
      <c r="K57" s="267">
        <f t="shared" si="26"/>
        <v>0</v>
      </c>
      <c r="L57" s="267">
        <f t="shared" si="26"/>
        <v>0</v>
      </c>
      <c r="M57" s="267">
        <f t="shared" si="26"/>
        <v>0</v>
      </c>
      <c r="N57" s="267">
        <f t="shared" si="26"/>
        <v>0</v>
      </c>
      <c r="O57" s="267">
        <f t="shared" si="26"/>
        <v>0</v>
      </c>
      <c r="P57" s="266">
        <f t="shared" si="26"/>
        <v>0</v>
      </c>
      <c r="Q57" s="267">
        <f t="shared" si="26"/>
        <v>0</v>
      </c>
      <c r="R57" s="267">
        <f t="shared" si="26"/>
        <v>0</v>
      </c>
      <c r="S57" s="267">
        <f t="shared" si="26"/>
        <v>0</v>
      </c>
      <c r="T57" s="267">
        <f t="shared" si="26"/>
        <v>0</v>
      </c>
      <c r="U57" s="267">
        <f t="shared" si="26"/>
        <v>0</v>
      </c>
      <c r="V57" s="267">
        <f t="shared" si="26"/>
        <v>0</v>
      </c>
      <c r="W57" s="267">
        <f t="shared" si="26"/>
        <v>0</v>
      </c>
      <c r="X57" s="267">
        <f t="shared" si="26"/>
        <v>0</v>
      </c>
      <c r="Y57" s="267">
        <f t="shared" si="26"/>
        <v>0</v>
      </c>
      <c r="Z57" s="267">
        <f t="shared" si="26"/>
        <v>0</v>
      </c>
      <c r="AA57" s="267">
        <f t="shared" si="26"/>
        <v>0</v>
      </c>
      <c r="AB57" s="266">
        <f t="shared" si="26"/>
        <v>0</v>
      </c>
      <c r="AC57" s="267">
        <f t="shared" si="26"/>
        <v>0</v>
      </c>
      <c r="AD57" s="267">
        <f t="shared" si="26"/>
        <v>0</v>
      </c>
      <c r="AE57" s="267">
        <f t="shared" si="26"/>
        <v>0</v>
      </c>
      <c r="AF57" s="267">
        <f t="shared" si="26"/>
        <v>0</v>
      </c>
      <c r="AG57" s="267">
        <f t="shared" si="26"/>
        <v>0</v>
      </c>
      <c r="AH57" s="267">
        <f t="shared" si="26"/>
        <v>0</v>
      </c>
      <c r="AI57" s="267">
        <f t="shared" si="26"/>
        <v>0</v>
      </c>
      <c r="AJ57" s="267">
        <f t="shared" si="26"/>
        <v>0</v>
      </c>
      <c r="AK57" s="267">
        <f t="shared" si="26"/>
        <v>0</v>
      </c>
      <c r="AL57" s="267">
        <f t="shared" si="26"/>
        <v>0</v>
      </c>
      <c r="AM57" s="267">
        <f t="shared" si="26"/>
        <v>0</v>
      </c>
    </row>
    <row r="58" spans="2:39" s="265" customFormat="1" outlineLevel="1" x14ac:dyDescent="0.25">
      <c r="B58" s="265" t="str">
        <v>TraeRekv</v>
      </c>
      <c r="C58" s="23" t="s">
        <v>57</v>
      </c>
      <c r="D58" s="266">
        <f t="shared" ref="D58:AM58" si="27">IF(($H22&lt;&gt;0),$L22/12,$L22)</f>
        <v>125</v>
      </c>
      <c r="E58" s="267">
        <f t="shared" si="27"/>
        <v>125</v>
      </c>
      <c r="F58" s="267">
        <f t="shared" si="27"/>
        <v>125</v>
      </c>
      <c r="G58" s="267">
        <f t="shared" si="27"/>
        <v>125</v>
      </c>
      <c r="H58" s="267">
        <f t="shared" si="27"/>
        <v>125</v>
      </c>
      <c r="I58" s="267">
        <f t="shared" si="27"/>
        <v>125</v>
      </c>
      <c r="J58" s="267">
        <f t="shared" si="27"/>
        <v>125</v>
      </c>
      <c r="K58" s="267">
        <f t="shared" si="27"/>
        <v>125</v>
      </c>
      <c r="L58" s="267">
        <f t="shared" si="27"/>
        <v>125</v>
      </c>
      <c r="M58" s="267">
        <f t="shared" si="27"/>
        <v>125</v>
      </c>
      <c r="N58" s="267">
        <f t="shared" si="27"/>
        <v>125</v>
      </c>
      <c r="O58" s="267">
        <f t="shared" si="27"/>
        <v>125</v>
      </c>
      <c r="P58" s="266">
        <f t="shared" si="27"/>
        <v>125</v>
      </c>
      <c r="Q58" s="267">
        <f t="shared" si="27"/>
        <v>125</v>
      </c>
      <c r="R58" s="267">
        <f t="shared" si="27"/>
        <v>125</v>
      </c>
      <c r="S58" s="267">
        <f t="shared" si="27"/>
        <v>125</v>
      </c>
      <c r="T58" s="267">
        <f t="shared" si="27"/>
        <v>125</v>
      </c>
      <c r="U58" s="267">
        <f t="shared" si="27"/>
        <v>125</v>
      </c>
      <c r="V58" s="267">
        <f t="shared" si="27"/>
        <v>125</v>
      </c>
      <c r="W58" s="267">
        <f t="shared" si="27"/>
        <v>125</v>
      </c>
      <c r="X58" s="267">
        <f t="shared" si="27"/>
        <v>125</v>
      </c>
      <c r="Y58" s="267">
        <f t="shared" si="27"/>
        <v>125</v>
      </c>
      <c r="Z58" s="267">
        <f t="shared" si="27"/>
        <v>125</v>
      </c>
      <c r="AA58" s="267">
        <f t="shared" si="27"/>
        <v>125</v>
      </c>
      <c r="AB58" s="266">
        <f t="shared" si="27"/>
        <v>125</v>
      </c>
      <c r="AC58" s="267">
        <f t="shared" si="27"/>
        <v>125</v>
      </c>
      <c r="AD58" s="267">
        <f t="shared" si="27"/>
        <v>125</v>
      </c>
      <c r="AE58" s="267">
        <f t="shared" si="27"/>
        <v>125</v>
      </c>
      <c r="AF58" s="267">
        <f t="shared" si="27"/>
        <v>125</v>
      </c>
      <c r="AG58" s="267">
        <f t="shared" si="27"/>
        <v>125</v>
      </c>
      <c r="AH58" s="267">
        <f t="shared" si="27"/>
        <v>125</v>
      </c>
      <c r="AI58" s="267">
        <f t="shared" si="27"/>
        <v>125</v>
      </c>
      <c r="AJ58" s="267">
        <f t="shared" si="27"/>
        <v>125</v>
      </c>
      <c r="AK58" s="267">
        <f t="shared" si="27"/>
        <v>125</v>
      </c>
      <c r="AL58" s="267">
        <f t="shared" si="27"/>
        <v>125</v>
      </c>
      <c r="AM58" s="267">
        <f t="shared" si="27"/>
        <v>125</v>
      </c>
    </row>
    <row r="59" spans="2:39" s="265" customFormat="1" outlineLevel="1" x14ac:dyDescent="0.25">
      <c r="B59" s="265" t="str">
        <v>Halm</v>
      </c>
      <c r="C59" s="23" t="s">
        <v>57</v>
      </c>
      <c r="D59" s="266">
        <f t="shared" ref="D59:AM59" si="28">IF(($H23&lt;&gt;0),$L23/12,$L23)</f>
        <v>0</v>
      </c>
      <c r="E59" s="267">
        <f t="shared" si="28"/>
        <v>0</v>
      </c>
      <c r="F59" s="267">
        <f t="shared" si="28"/>
        <v>0</v>
      </c>
      <c r="G59" s="267">
        <f t="shared" si="28"/>
        <v>0</v>
      </c>
      <c r="H59" s="267">
        <f t="shared" si="28"/>
        <v>0</v>
      </c>
      <c r="I59" s="267">
        <f t="shared" si="28"/>
        <v>0</v>
      </c>
      <c r="J59" s="267">
        <f t="shared" si="28"/>
        <v>0</v>
      </c>
      <c r="K59" s="267">
        <f t="shared" si="28"/>
        <v>0</v>
      </c>
      <c r="L59" s="267">
        <f t="shared" si="28"/>
        <v>0</v>
      </c>
      <c r="M59" s="267">
        <f t="shared" si="28"/>
        <v>0</v>
      </c>
      <c r="N59" s="267">
        <f t="shared" si="28"/>
        <v>0</v>
      </c>
      <c r="O59" s="267">
        <f t="shared" si="28"/>
        <v>0</v>
      </c>
      <c r="P59" s="266">
        <f t="shared" si="28"/>
        <v>0</v>
      </c>
      <c r="Q59" s="267">
        <f t="shared" si="28"/>
        <v>0</v>
      </c>
      <c r="R59" s="267">
        <f t="shared" si="28"/>
        <v>0</v>
      </c>
      <c r="S59" s="267">
        <f t="shared" si="28"/>
        <v>0</v>
      </c>
      <c r="T59" s="267">
        <f t="shared" si="28"/>
        <v>0</v>
      </c>
      <c r="U59" s="267">
        <f t="shared" si="28"/>
        <v>0</v>
      </c>
      <c r="V59" s="267">
        <f t="shared" si="28"/>
        <v>0</v>
      </c>
      <c r="W59" s="267">
        <f t="shared" si="28"/>
        <v>0</v>
      </c>
      <c r="X59" s="267">
        <f t="shared" si="28"/>
        <v>0</v>
      </c>
      <c r="Y59" s="267">
        <f t="shared" si="28"/>
        <v>0</v>
      </c>
      <c r="Z59" s="267">
        <f t="shared" si="28"/>
        <v>0</v>
      </c>
      <c r="AA59" s="267">
        <f t="shared" si="28"/>
        <v>0</v>
      </c>
      <c r="AB59" s="266">
        <f t="shared" si="28"/>
        <v>0</v>
      </c>
      <c r="AC59" s="267">
        <f t="shared" si="28"/>
        <v>0</v>
      </c>
      <c r="AD59" s="267">
        <f t="shared" si="28"/>
        <v>0</v>
      </c>
      <c r="AE59" s="267">
        <f t="shared" si="28"/>
        <v>0</v>
      </c>
      <c r="AF59" s="267">
        <f t="shared" si="28"/>
        <v>0</v>
      </c>
      <c r="AG59" s="267">
        <f t="shared" si="28"/>
        <v>0</v>
      </c>
      <c r="AH59" s="267">
        <f t="shared" si="28"/>
        <v>0</v>
      </c>
      <c r="AI59" s="267">
        <f t="shared" si="28"/>
        <v>0</v>
      </c>
      <c r="AJ59" s="267">
        <f t="shared" si="28"/>
        <v>0</v>
      </c>
      <c r="AK59" s="267">
        <f t="shared" si="28"/>
        <v>0</v>
      </c>
      <c r="AL59" s="267">
        <f t="shared" si="28"/>
        <v>0</v>
      </c>
      <c r="AM59" s="267">
        <f t="shared" si="28"/>
        <v>0</v>
      </c>
    </row>
    <row r="60" spans="2:39" s="265" customFormat="1" outlineLevel="1" x14ac:dyDescent="0.25">
      <c r="B60" s="265" t="str">
        <v>Pulver</v>
      </c>
      <c r="C60" s="23" t="s">
        <v>57</v>
      </c>
      <c r="D60" s="266">
        <f t="shared" ref="D60:AM60" si="29">IF(($H24&lt;&gt;0),$L24/12,$L24)</f>
        <v>10</v>
      </c>
      <c r="E60" s="267">
        <f t="shared" si="29"/>
        <v>10</v>
      </c>
      <c r="F60" s="267">
        <f t="shared" si="29"/>
        <v>10</v>
      </c>
      <c r="G60" s="267">
        <f t="shared" si="29"/>
        <v>10</v>
      </c>
      <c r="H60" s="267">
        <f t="shared" si="29"/>
        <v>10</v>
      </c>
      <c r="I60" s="267">
        <f t="shared" si="29"/>
        <v>10</v>
      </c>
      <c r="J60" s="267">
        <f t="shared" si="29"/>
        <v>10</v>
      </c>
      <c r="K60" s="267">
        <f t="shared" si="29"/>
        <v>10</v>
      </c>
      <c r="L60" s="267">
        <f t="shared" si="29"/>
        <v>10</v>
      </c>
      <c r="M60" s="267">
        <f t="shared" si="29"/>
        <v>10</v>
      </c>
      <c r="N60" s="267">
        <f t="shared" si="29"/>
        <v>10</v>
      </c>
      <c r="O60" s="267">
        <f t="shared" si="29"/>
        <v>10</v>
      </c>
      <c r="P60" s="266">
        <f t="shared" si="29"/>
        <v>10</v>
      </c>
      <c r="Q60" s="267">
        <f t="shared" si="29"/>
        <v>10</v>
      </c>
      <c r="R60" s="267">
        <f t="shared" si="29"/>
        <v>10</v>
      </c>
      <c r="S60" s="267">
        <f t="shared" si="29"/>
        <v>10</v>
      </c>
      <c r="T60" s="267">
        <f t="shared" si="29"/>
        <v>10</v>
      </c>
      <c r="U60" s="267">
        <f t="shared" si="29"/>
        <v>10</v>
      </c>
      <c r="V60" s="267">
        <f t="shared" si="29"/>
        <v>10</v>
      </c>
      <c r="W60" s="267">
        <f t="shared" si="29"/>
        <v>10</v>
      </c>
      <c r="X60" s="267">
        <f t="shared" si="29"/>
        <v>10</v>
      </c>
      <c r="Y60" s="267">
        <f t="shared" si="29"/>
        <v>10</v>
      </c>
      <c r="Z60" s="267">
        <f t="shared" si="29"/>
        <v>10</v>
      </c>
      <c r="AA60" s="267">
        <f t="shared" si="29"/>
        <v>10</v>
      </c>
      <c r="AB60" s="266">
        <f t="shared" si="29"/>
        <v>10</v>
      </c>
      <c r="AC60" s="267">
        <f t="shared" si="29"/>
        <v>10</v>
      </c>
      <c r="AD60" s="267">
        <f t="shared" si="29"/>
        <v>10</v>
      </c>
      <c r="AE60" s="267">
        <f t="shared" si="29"/>
        <v>10</v>
      </c>
      <c r="AF60" s="267">
        <f t="shared" si="29"/>
        <v>10</v>
      </c>
      <c r="AG60" s="267">
        <f t="shared" si="29"/>
        <v>10</v>
      </c>
      <c r="AH60" s="267">
        <f t="shared" si="29"/>
        <v>10</v>
      </c>
      <c r="AI60" s="267">
        <f t="shared" si="29"/>
        <v>10</v>
      </c>
      <c r="AJ60" s="267">
        <f t="shared" si="29"/>
        <v>10</v>
      </c>
      <c r="AK60" s="267">
        <f t="shared" si="29"/>
        <v>10</v>
      </c>
      <c r="AL60" s="267">
        <f t="shared" si="29"/>
        <v>10</v>
      </c>
      <c r="AM60" s="267">
        <f t="shared" si="29"/>
        <v>10</v>
      </c>
    </row>
    <row r="61" spans="2:39" s="265" customFormat="1" outlineLevel="1" x14ac:dyDescent="0.25">
      <c r="B61" s="265" t="str">
        <v>FlisAffald</v>
      </c>
      <c r="C61" s="23" t="s">
        <v>57</v>
      </c>
      <c r="D61" s="266">
        <f t="shared" ref="D61:AM61" si="30">IF(($H25&lt;&gt;0),$L25/12,$L25)</f>
        <v>12.5</v>
      </c>
      <c r="E61" s="267">
        <f t="shared" si="30"/>
        <v>12.5</v>
      </c>
      <c r="F61" s="267">
        <f t="shared" si="30"/>
        <v>12.5</v>
      </c>
      <c r="G61" s="267">
        <f t="shared" si="30"/>
        <v>12.5</v>
      </c>
      <c r="H61" s="267">
        <f t="shared" si="30"/>
        <v>12.5</v>
      </c>
      <c r="I61" s="267">
        <f t="shared" si="30"/>
        <v>12.5</v>
      </c>
      <c r="J61" s="267">
        <f t="shared" si="30"/>
        <v>12.5</v>
      </c>
      <c r="K61" s="267">
        <f t="shared" si="30"/>
        <v>12.5</v>
      </c>
      <c r="L61" s="267">
        <f t="shared" si="30"/>
        <v>12.5</v>
      </c>
      <c r="M61" s="267">
        <f t="shared" si="30"/>
        <v>12.5</v>
      </c>
      <c r="N61" s="267">
        <f t="shared" si="30"/>
        <v>12.5</v>
      </c>
      <c r="O61" s="267">
        <f t="shared" si="30"/>
        <v>12.5</v>
      </c>
      <c r="P61" s="266">
        <f t="shared" si="30"/>
        <v>12.5</v>
      </c>
      <c r="Q61" s="267">
        <f t="shared" si="30"/>
        <v>12.5</v>
      </c>
      <c r="R61" s="267">
        <f t="shared" si="30"/>
        <v>12.5</v>
      </c>
      <c r="S61" s="267">
        <f t="shared" si="30"/>
        <v>12.5</v>
      </c>
      <c r="T61" s="267">
        <f t="shared" si="30"/>
        <v>12.5</v>
      </c>
      <c r="U61" s="267">
        <f t="shared" si="30"/>
        <v>12.5</v>
      </c>
      <c r="V61" s="267">
        <f t="shared" si="30"/>
        <v>12.5</v>
      </c>
      <c r="W61" s="267">
        <f t="shared" si="30"/>
        <v>12.5</v>
      </c>
      <c r="X61" s="267">
        <f t="shared" si="30"/>
        <v>12.5</v>
      </c>
      <c r="Y61" s="267">
        <f t="shared" si="30"/>
        <v>12.5</v>
      </c>
      <c r="Z61" s="267">
        <f t="shared" si="30"/>
        <v>12.5</v>
      </c>
      <c r="AA61" s="267">
        <f t="shared" si="30"/>
        <v>12.5</v>
      </c>
      <c r="AB61" s="266">
        <f t="shared" si="30"/>
        <v>12.5</v>
      </c>
      <c r="AC61" s="267">
        <f t="shared" si="30"/>
        <v>12.5</v>
      </c>
      <c r="AD61" s="267">
        <f t="shared" si="30"/>
        <v>12.5</v>
      </c>
      <c r="AE61" s="267">
        <f t="shared" si="30"/>
        <v>12.5</v>
      </c>
      <c r="AF61" s="267">
        <f t="shared" si="30"/>
        <v>12.5</v>
      </c>
      <c r="AG61" s="267">
        <f t="shared" si="30"/>
        <v>12.5</v>
      </c>
      <c r="AH61" s="267">
        <f t="shared" si="30"/>
        <v>12.5</v>
      </c>
      <c r="AI61" s="267">
        <f t="shared" si="30"/>
        <v>12.5</v>
      </c>
      <c r="AJ61" s="267">
        <f t="shared" si="30"/>
        <v>12.5</v>
      </c>
      <c r="AK61" s="267">
        <f t="shared" si="30"/>
        <v>12.5</v>
      </c>
      <c r="AL61" s="267">
        <f t="shared" si="30"/>
        <v>12.5</v>
      </c>
      <c r="AM61" s="267">
        <f t="shared" si="30"/>
        <v>12.5</v>
      </c>
    </row>
    <row r="62" spans="2:39" s="265" customFormat="1" outlineLevel="1" x14ac:dyDescent="0.25">
      <c r="B62" s="265" t="str">
        <v>NyAff1</v>
      </c>
      <c r="C62" s="23" t="s">
        <v>57</v>
      </c>
      <c r="D62" s="266">
        <f t="shared" ref="D62:AM62" si="31">IF(($H26&lt;&gt;0),$L26/12,$L26)</f>
        <v>4166.666666666667</v>
      </c>
      <c r="E62" s="267">
        <f t="shared" si="31"/>
        <v>4166.666666666667</v>
      </c>
      <c r="F62" s="267">
        <f t="shared" si="31"/>
        <v>4166.666666666667</v>
      </c>
      <c r="G62" s="267">
        <f t="shared" si="31"/>
        <v>4166.666666666667</v>
      </c>
      <c r="H62" s="267">
        <f t="shared" si="31"/>
        <v>4166.666666666667</v>
      </c>
      <c r="I62" s="267">
        <f t="shared" si="31"/>
        <v>4166.666666666667</v>
      </c>
      <c r="J62" s="267">
        <f t="shared" si="31"/>
        <v>4166.666666666667</v>
      </c>
      <c r="K62" s="267">
        <f t="shared" si="31"/>
        <v>4166.666666666667</v>
      </c>
      <c r="L62" s="267">
        <f t="shared" si="31"/>
        <v>4166.666666666667</v>
      </c>
      <c r="M62" s="267">
        <f t="shared" si="31"/>
        <v>4166.666666666667</v>
      </c>
      <c r="N62" s="267">
        <f t="shared" si="31"/>
        <v>4166.666666666667</v>
      </c>
      <c r="O62" s="267">
        <f t="shared" si="31"/>
        <v>4166.666666666667</v>
      </c>
      <c r="P62" s="266">
        <f t="shared" si="31"/>
        <v>4166.666666666667</v>
      </c>
      <c r="Q62" s="267">
        <f t="shared" si="31"/>
        <v>4166.666666666667</v>
      </c>
      <c r="R62" s="267">
        <f t="shared" si="31"/>
        <v>4166.666666666667</v>
      </c>
      <c r="S62" s="267">
        <f t="shared" si="31"/>
        <v>4166.666666666667</v>
      </c>
      <c r="T62" s="267">
        <f t="shared" si="31"/>
        <v>4166.666666666667</v>
      </c>
      <c r="U62" s="267">
        <f t="shared" si="31"/>
        <v>4166.666666666667</v>
      </c>
      <c r="V62" s="267">
        <f t="shared" si="31"/>
        <v>4166.666666666667</v>
      </c>
      <c r="W62" s="267">
        <f t="shared" si="31"/>
        <v>4166.666666666667</v>
      </c>
      <c r="X62" s="267">
        <f t="shared" si="31"/>
        <v>4166.666666666667</v>
      </c>
      <c r="Y62" s="267">
        <f t="shared" si="31"/>
        <v>4166.666666666667</v>
      </c>
      <c r="Z62" s="267">
        <f t="shared" si="31"/>
        <v>4166.666666666667</v>
      </c>
      <c r="AA62" s="267">
        <f t="shared" si="31"/>
        <v>4166.666666666667</v>
      </c>
      <c r="AB62" s="266">
        <f t="shared" si="31"/>
        <v>4166.666666666667</v>
      </c>
      <c r="AC62" s="267">
        <f t="shared" si="31"/>
        <v>4166.666666666667</v>
      </c>
      <c r="AD62" s="267">
        <f t="shared" si="31"/>
        <v>4166.666666666667</v>
      </c>
      <c r="AE62" s="267">
        <f t="shared" si="31"/>
        <v>4166.666666666667</v>
      </c>
      <c r="AF62" s="267">
        <f t="shared" si="31"/>
        <v>4166.666666666667</v>
      </c>
      <c r="AG62" s="267">
        <f t="shared" si="31"/>
        <v>4166.666666666667</v>
      </c>
      <c r="AH62" s="267">
        <f t="shared" si="31"/>
        <v>4166.666666666667</v>
      </c>
      <c r="AI62" s="267">
        <f t="shared" si="31"/>
        <v>4166.666666666667</v>
      </c>
      <c r="AJ62" s="267">
        <f t="shared" si="31"/>
        <v>4166.666666666667</v>
      </c>
      <c r="AK62" s="267">
        <f t="shared" si="31"/>
        <v>4166.666666666667</v>
      </c>
      <c r="AL62" s="267">
        <f t="shared" si="31"/>
        <v>4166.666666666667</v>
      </c>
      <c r="AM62" s="267">
        <f t="shared" si="31"/>
        <v>4166.666666666667</v>
      </c>
    </row>
    <row r="63" spans="2:39" s="265" customFormat="1" outlineLevel="1" x14ac:dyDescent="0.25">
      <c r="B63" s="265" t="str">
        <v>NyAff2</v>
      </c>
      <c r="C63" s="23" t="s">
        <v>57</v>
      </c>
      <c r="D63" s="266">
        <f t="shared" ref="D63:AM63" si="32">IF(($H27&lt;&gt;0),$L27/12,$L27)</f>
        <v>3333.3333333333335</v>
      </c>
      <c r="E63" s="267">
        <f t="shared" si="32"/>
        <v>3333.3333333333335</v>
      </c>
      <c r="F63" s="267">
        <f t="shared" si="32"/>
        <v>3333.3333333333335</v>
      </c>
      <c r="G63" s="267">
        <f t="shared" si="32"/>
        <v>3333.3333333333335</v>
      </c>
      <c r="H63" s="267">
        <f t="shared" si="32"/>
        <v>3333.3333333333335</v>
      </c>
      <c r="I63" s="267">
        <f t="shared" si="32"/>
        <v>3333.3333333333335</v>
      </c>
      <c r="J63" s="267">
        <f t="shared" si="32"/>
        <v>3333.3333333333335</v>
      </c>
      <c r="K63" s="267">
        <f t="shared" si="32"/>
        <v>3333.3333333333335</v>
      </c>
      <c r="L63" s="267">
        <f t="shared" si="32"/>
        <v>3333.3333333333335</v>
      </c>
      <c r="M63" s="267">
        <f t="shared" si="32"/>
        <v>3333.3333333333335</v>
      </c>
      <c r="N63" s="267">
        <f t="shared" si="32"/>
        <v>3333.3333333333335</v>
      </c>
      <c r="O63" s="267">
        <f t="shared" si="32"/>
        <v>3333.3333333333335</v>
      </c>
      <c r="P63" s="266">
        <f t="shared" si="32"/>
        <v>3333.3333333333335</v>
      </c>
      <c r="Q63" s="267">
        <f t="shared" si="32"/>
        <v>3333.3333333333335</v>
      </c>
      <c r="R63" s="267">
        <f t="shared" si="32"/>
        <v>3333.3333333333335</v>
      </c>
      <c r="S63" s="267">
        <f t="shared" si="32"/>
        <v>3333.3333333333335</v>
      </c>
      <c r="T63" s="267">
        <f t="shared" si="32"/>
        <v>3333.3333333333335</v>
      </c>
      <c r="U63" s="267">
        <f t="shared" si="32"/>
        <v>3333.3333333333335</v>
      </c>
      <c r="V63" s="267">
        <f t="shared" si="32"/>
        <v>3333.3333333333335</v>
      </c>
      <c r="W63" s="267">
        <f t="shared" si="32"/>
        <v>3333.3333333333335</v>
      </c>
      <c r="X63" s="267">
        <f t="shared" si="32"/>
        <v>3333.3333333333335</v>
      </c>
      <c r="Y63" s="267">
        <f t="shared" si="32"/>
        <v>3333.3333333333335</v>
      </c>
      <c r="Z63" s="267">
        <f t="shared" si="32"/>
        <v>3333.3333333333335</v>
      </c>
      <c r="AA63" s="267">
        <f t="shared" si="32"/>
        <v>3333.3333333333335</v>
      </c>
      <c r="AB63" s="266">
        <f t="shared" si="32"/>
        <v>3333.3333333333335</v>
      </c>
      <c r="AC63" s="267">
        <f t="shared" si="32"/>
        <v>3333.3333333333335</v>
      </c>
      <c r="AD63" s="267">
        <f t="shared" si="32"/>
        <v>3333.3333333333335</v>
      </c>
      <c r="AE63" s="267">
        <f t="shared" si="32"/>
        <v>3333.3333333333335</v>
      </c>
      <c r="AF63" s="267">
        <f t="shared" si="32"/>
        <v>3333.3333333333335</v>
      </c>
      <c r="AG63" s="267">
        <f t="shared" si="32"/>
        <v>3333.3333333333335</v>
      </c>
      <c r="AH63" s="267">
        <f t="shared" si="32"/>
        <v>3333.3333333333335</v>
      </c>
      <c r="AI63" s="267">
        <f t="shared" si="32"/>
        <v>3333.3333333333335</v>
      </c>
      <c r="AJ63" s="267">
        <f t="shared" si="32"/>
        <v>3333.3333333333335</v>
      </c>
      <c r="AK63" s="267">
        <f t="shared" si="32"/>
        <v>3333.3333333333335</v>
      </c>
      <c r="AL63" s="267">
        <f t="shared" si="32"/>
        <v>3333.3333333333335</v>
      </c>
      <c r="AM63" s="267">
        <f t="shared" si="32"/>
        <v>3333.3333333333335</v>
      </c>
    </row>
    <row r="64" spans="2:39" s="265" customFormat="1" outlineLevel="1" x14ac:dyDescent="0.25">
      <c r="B64" s="265" t="str">
        <v>NyAff3</v>
      </c>
      <c r="C64" s="23" t="s">
        <v>57</v>
      </c>
      <c r="D64" s="266">
        <f t="shared" ref="D64:AM64" si="33">IF(($H28&lt;&gt;0),$L28/12,$L28)</f>
        <v>2500</v>
      </c>
      <c r="E64" s="267">
        <f t="shared" si="33"/>
        <v>2500</v>
      </c>
      <c r="F64" s="267">
        <f t="shared" si="33"/>
        <v>2500</v>
      </c>
      <c r="G64" s="267">
        <f t="shared" si="33"/>
        <v>2500</v>
      </c>
      <c r="H64" s="267">
        <f t="shared" si="33"/>
        <v>2500</v>
      </c>
      <c r="I64" s="267">
        <f t="shared" si="33"/>
        <v>2500</v>
      </c>
      <c r="J64" s="267">
        <f t="shared" si="33"/>
        <v>2500</v>
      </c>
      <c r="K64" s="267">
        <f t="shared" si="33"/>
        <v>2500</v>
      </c>
      <c r="L64" s="267">
        <f t="shared" si="33"/>
        <v>2500</v>
      </c>
      <c r="M64" s="267">
        <f t="shared" si="33"/>
        <v>2500</v>
      </c>
      <c r="N64" s="267">
        <f t="shared" si="33"/>
        <v>2500</v>
      </c>
      <c r="O64" s="267">
        <f t="shared" si="33"/>
        <v>2500</v>
      </c>
      <c r="P64" s="266">
        <f t="shared" si="33"/>
        <v>2500</v>
      </c>
      <c r="Q64" s="267">
        <f t="shared" si="33"/>
        <v>2500</v>
      </c>
      <c r="R64" s="267">
        <f t="shared" si="33"/>
        <v>2500</v>
      </c>
      <c r="S64" s="267">
        <f t="shared" si="33"/>
        <v>2500</v>
      </c>
      <c r="T64" s="267">
        <f t="shared" si="33"/>
        <v>2500</v>
      </c>
      <c r="U64" s="267">
        <f t="shared" si="33"/>
        <v>2500</v>
      </c>
      <c r="V64" s="267">
        <f t="shared" si="33"/>
        <v>2500</v>
      </c>
      <c r="W64" s="267">
        <f t="shared" si="33"/>
        <v>2500</v>
      </c>
      <c r="X64" s="267">
        <f t="shared" si="33"/>
        <v>2500</v>
      </c>
      <c r="Y64" s="267">
        <f t="shared" si="33"/>
        <v>2500</v>
      </c>
      <c r="Z64" s="267">
        <f t="shared" si="33"/>
        <v>2500</v>
      </c>
      <c r="AA64" s="267">
        <f t="shared" si="33"/>
        <v>2500</v>
      </c>
      <c r="AB64" s="266">
        <f t="shared" si="33"/>
        <v>2500</v>
      </c>
      <c r="AC64" s="267">
        <f t="shared" si="33"/>
        <v>2500</v>
      </c>
      <c r="AD64" s="267">
        <f t="shared" si="33"/>
        <v>2500</v>
      </c>
      <c r="AE64" s="267">
        <f t="shared" si="33"/>
        <v>2500</v>
      </c>
      <c r="AF64" s="267">
        <f t="shared" si="33"/>
        <v>2500</v>
      </c>
      <c r="AG64" s="267">
        <f t="shared" si="33"/>
        <v>2500</v>
      </c>
      <c r="AH64" s="267">
        <f t="shared" si="33"/>
        <v>2500</v>
      </c>
      <c r="AI64" s="267">
        <f t="shared" si="33"/>
        <v>2500</v>
      </c>
      <c r="AJ64" s="267">
        <f t="shared" si="33"/>
        <v>2500</v>
      </c>
      <c r="AK64" s="267">
        <f t="shared" si="33"/>
        <v>2500</v>
      </c>
      <c r="AL64" s="267">
        <f t="shared" si="33"/>
        <v>2500</v>
      </c>
      <c r="AM64" s="267">
        <f t="shared" si="33"/>
        <v>2500</v>
      </c>
    </row>
    <row r="65" spans="1:39" s="265" customFormat="1" outlineLevel="1" x14ac:dyDescent="0.25">
      <c r="B65" s="265" t="str">
        <v>NyAff4</v>
      </c>
      <c r="C65" s="23" t="s">
        <v>57</v>
      </c>
      <c r="D65" s="266">
        <f t="shared" ref="D65:AM65" si="34">IF(($H29&lt;&gt;0),$L29/12,$L29)</f>
        <v>1666.6666666666667</v>
      </c>
      <c r="E65" s="267">
        <f t="shared" si="34"/>
        <v>1666.6666666666667</v>
      </c>
      <c r="F65" s="267">
        <f t="shared" si="34"/>
        <v>1666.6666666666667</v>
      </c>
      <c r="G65" s="267">
        <f t="shared" si="34"/>
        <v>1666.6666666666667</v>
      </c>
      <c r="H65" s="267">
        <f t="shared" si="34"/>
        <v>1666.6666666666667</v>
      </c>
      <c r="I65" s="267">
        <f t="shared" si="34"/>
        <v>1666.6666666666667</v>
      </c>
      <c r="J65" s="267">
        <f t="shared" si="34"/>
        <v>1666.6666666666667</v>
      </c>
      <c r="K65" s="267">
        <f t="shared" si="34"/>
        <v>1666.6666666666667</v>
      </c>
      <c r="L65" s="267">
        <f t="shared" si="34"/>
        <v>1666.6666666666667</v>
      </c>
      <c r="M65" s="267">
        <f t="shared" si="34"/>
        <v>1666.6666666666667</v>
      </c>
      <c r="N65" s="267">
        <f t="shared" si="34"/>
        <v>1666.6666666666667</v>
      </c>
      <c r="O65" s="267">
        <f t="shared" si="34"/>
        <v>1666.6666666666667</v>
      </c>
      <c r="P65" s="266">
        <f t="shared" si="34"/>
        <v>1666.6666666666667</v>
      </c>
      <c r="Q65" s="267">
        <f t="shared" si="34"/>
        <v>1666.6666666666667</v>
      </c>
      <c r="R65" s="267">
        <f t="shared" si="34"/>
        <v>1666.6666666666667</v>
      </c>
      <c r="S65" s="267">
        <f t="shared" si="34"/>
        <v>1666.6666666666667</v>
      </c>
      <c r="T65" s="267">
        <f t="shared" si="34"/>
        <v>1666.6666666666667</v>
      </c>
      <c r="U65" s="267">
        <f t="shared" si="34"/>
        <v>1666.6666666666667</v>
      </c>
      <c r="V65" s="267">
        <f t="shared" si="34"/>
        <v>1666.6666666666667</v>
      </c>
      <c r="W65" s="267">
        <f t="shared" si="34"/>
        <v>1666.6666666666667</v>
      </c>
      <c r="X65" s="267">
        <f t="shared" si="34"/>
        <v>1666.6666666666667</v>
      </c>
      <c r="Y65" s="267">
        <f t="shared" si="34"/>
        <v>1666.6666666666667</v>
      </c>
      <c r="Z65" s="267">
        <f t="shared" si="34"/>
        <v>1666.6666666666667</v>
      </c>
      <c r="AA65" s="267">
        <f t="shared" si="34"/>
        <v>1666.6666666666667</v>
      </c>
      <c r="AB65" s="266">
        <f t="shared" si="34"/>
        <v>1666.6666666666667</v>
      </c>
      <c r="AC65" s="267">
        <f t="shared" si="34"/>
        <v>1666.6666666666667</v>
      </c>
      <c r="AD65" s="267">
        <f t="shared" si="34"/>
        <v>1666.6666666666667</v>
      </c>
      <c r="AE65" s="267">
        <f t="shared" si="34"/>
        <v>1666.6666666666667</v>
      </c>
      <c r="AF65" s="267">
        <f t="shared" si="34"/>
        <v>1666.6666666666667</v>
      </c>
      <c r="AG65" s="267">
        <f t="shared" si="34"/>
        <v>1666.6666666666667</v>
      </c>
      <c r="AH65" s="267">
        <f t="shared" si="34"/>
        <v>1666.6666666666667</v>
      </c>
      <c r="AI65" s="267">
        <f t="shared" si="34"/>
        <v>1666.6666666666667</v>
      </c>
      <c r="AJ65" s="267">
        <f t="shared" si="34"/>
        <v>1666.6666666666667</v>
      </c>
      <c r="AK65" s="267">
        <f t="shared" si="34"/>
        <v>1666.6666666666667</v>
      </c>
      <c r="AL65" s="267">
        <f t="shared" si="34"/>
        <v>1666.6666666666667</v>
      </c>
      <c r="AM65" s="267">
        <f t="shared" si="34"/>
        <v>1666.6666666666667</v>
      </c>
    </row>
    <row r="66" spans="1:39" s="265" customFormat="1" outlineLevel="1" x14ac:dyDescent="0.25">
      <c r="B66" s="265" t="str">
        <v>NyAff5</v>
      </c>
      <c r="C66" s="23" t="s">
        <v>57</v>
      </c>
      <c r="D66" s="266">
        <f t="shared" ref="D66:AM66" si="35">IF(($H30&lt;&gt;0),$L30/12,$L30)</f>
        <v>833.33333333333337</v>
      </c>
      <c r="E66" s="267">
        <f t="shared" si="35"/>
        <v>833.33333333333337</v>
      </c>
      <c r="F66" s="267">
        <f t="shared" si="35"/>
        <v>833.33333333333337</v>
      </c>
      <c r="G66" s="267">
        <f t="shared" si="35"/>
        <v>833.33333333333337</v>
      </c>
      <c r="H66" s="267">
        <f t="shared" si="35"/>
        <v>833.33333333333337</v>
      </c>
      <c r="I66" s="267">
        <f t="shared" si="35"/>
        <v>833.33333333333337</v>
      </c>
      <c r="J66" s="267">
        <f t="shared" si="35"/>
        <v>833.33333333333337</v>
      </c>
      <c r="K66" s="267">
        <f t="shared" si="35"/>
        <v>833.33333333333337</v>
      </c>
      <c r="L66" s="267">
        <f t="shared" si="35"/>
        <v>833.33333333333337</v>
      </c>
      <c r="M66" s="267">
        <f t="shared" si="35"/>
        <v>833.33333333333337</v>
      </c>
      <c r="N66" s="267">
        <f t="shared" si="35"/>
        <v>833.33333333333337</v>
      </c>
      <c r="O66" s="267">
        <f t="shared" si="35"/>
        <v>833.33333333333337</v>
      </c>
      <c r="P66" s="266">
        <f t="shared" si="35"/>
        <v>833.33333333333337</v>
      </c>
      <c r="Q66" s="267">
        <f t="shared" si="35"/>
        <v>833.33333333333337</v>
      </c>
      <c r="R66" s="267">
        <f t="shared" si="35"/>
        <v>833.33333333333337</v>
      </c>
      <c r="S66" s="267">
        <f t="shared" si="35"/>
        <v>833.33333333333337</v>
      </c>
      <c r="T66" s="267">
        <f t="shared" si="35"/>
        <v>833.33333333333337</v>
      </c>
      <c r="U66" s="267">
        <f t="shared" si="35"/>
        <v>833.33333333333337</v>
      </c>
      <c r="V66" s="267">
        <f t="shared" si="35"/>
        <v>833.33333333333337</v>
      </c>
      <c r="W66" s="267">
        <f t="shared" si="35"/>
        <v>833.33333333333337</v>
      </c>
      <c r="X66" s="267">
        <f t="shared" si="35"/>
        <v>833.33333333333337</v>
      </c>
      <c r="Y66" s="267">
        <f t="shared" si="35"/>
        <v>833.33333333333337</v>
      </c>
      <c r="Z66" s="267">
        <f t="shared" si="35"/>
        <v>833.33333333333337</v>
      </c>
      <c r="AA66" s="267">
        <f t="shared" si="35"/>
        <v>833.33333333333337</v>
      </c>
      <c r="AB66" s="266">
        <f t="shared" si="35"/>
        <v>833.33333333333337</v>
      </c>
      <c r="AC66" s="267">
        <f t="shared" si="35"/>
        <v>833.33333333333337</v>
      </c>
      <c r="AD66" s="267">
        <f t="shared" si="35"/>
        <v>833.33333333333337</v>
      </c>
      <c r="AE66" s="267">
        <f t="shared" si="35"/>
        <v>833.33333333333337</v>
      </c>
      <c r="AF66" s="267">
        <f t="shared" si="35"/>
        <v>833.33333333333337</v>
      </c>
      <c r="AG66" s="267">
        <f t="shared" si="35"/>
        <v>833.33333333333337</v>
      </c>
      <c r="AH66" s="267">
        <f t="shared" si="35"/>
        <v>833.33333333333337</v>
      </c>
      <c r="AI66" s="267">
        <f t="shared" si="35"/>
        <v>833.33333333333337</v>
      </c>
      <c r="AJ66" s="267">
        <f t="shared" si="35"/>
        <v>833.33333333333337</v>
      </c>
      <c r="AK66" s="267">
        <f t="shared" si="35"/>
        <v>833.33333333333337</v>
      </c>
      <c r="AL66" s="267">
        <f t="shared" si="35"/>
        <v>833.33333333333337</v>
      </c>
      <c r="AM66" s="267">
        <f t="shared" si="35"/>
        <v>833.33333333333337</v>
      </c>
    </row>
    <row r="67" spans="1:39" s="29" customFormat="1" ht="15.75" x14ac:dyDescent="0.25">
      <c r="A67" s="40" t="s">
        <v>117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6" customFormat="1" outlineLevel="1" x14ac:dyDescent="0.25">
      <c r="B68" s="256" t="str" cm="1">
        <f t="array" ref="B68:B93">Affaldsfraktioner</f>
        <v>DepoSort</v>
      </c>
      <c r="C68" s="257" t="s">
        <v>58</v>
      </c>
      <c r="D68" s="258">
        <f t="shared" ref="D68:D93" si="36">IF(AND($X5,NOT(W5)),$K5/12,0)</f>
        <v>757.75</v>
      </c>
      <c r="E68" s="259">
        <f t="shared" ref="E68:E93" si="37">IF(AND($X5,NOT(X5)),$K5/12,0)</f>
        <v>0</v>
      </c>
      <c r="F68" s="259">
        <f t="shared" ref="F68:F93" si="38">IF(AND($X5,NOT(Y5)),$K5/12,0)</f>
        <v>757.75</v>
      </c>
      <c r="G68" s="259">
        <f t="shared" ref="G68:G93" si="39">IF(AND($X5,NOT(Z5)),$K5/12,0)</f>
        <v>757.75</v>
      </c>
      <c r="H68" s="259">
        <f t="shared" ref="H68:H93" si="40">IF(AND($X5,NOT(AA5)),$K5/12,0)</f>
        <v>757.75</v>
      </c>
      <c r="I68" s="259">
        <f t="shared" ref="I68:I93" si="41">IF(AND($X5,NOT(AB5)),$K5/12,0)</f>
        <v>757.75</v>
      </c>
      <c r="J68" s="259">
        <f t="shared" ref="J68:J93" si="42">IF(AND($X5,NOT(AC5)),$K5/12,0)</f>
        <v>757.75</v>
      </c>
      <c r="K68" s="259">
        <f t="shared" ref="K68:K93" si="43">IF(AND($X5,NOT(AD5)),$K5/12,0)</f>
        <v>757.75</v>
      </c>
      <c r="L68" s="259">
        <f t="shared" ref="L68:L93" si="44">IF(AND($X5,NOT(AE5)),$K5/12,0)</f>
        <v>757.75</v>
      </c>
      <c r="M68" s="259">
        <f t="shared" ref="M68:M93" si="45">IF(AND($X5,NOT(AF5)),$K5/12,0)</f>
        <v>757.75</v>
      </c>
      <c r="N68" s="259">
        <f t="shared" ref="N68:N93" si="46">IF(AND($X5,NOT(AG5)),$K5/12,0)</f>
        <v>757.75</v>
      </c>
      <c r="O68" s="259">
        <f t="shared" ref="O68:O93" si="47">IF(AND($X5,NOT(AH5)),$K5/12,0)</f>
        <v>757.75</v>
      </c>
      <c r="P68" s="258">
        <f t="shared" ref="P68:P93" si="48">IF(AND($X5,NOT(AI5)),$K5/12,0)</f>
        <v>757.75</v>
      </c>
      <c r="Q68" s="259">
        <f t="shared" ref="Q68:Q93" si="49">IF(AND($X5,NOT(AJ5)),$K5/12,0)</f>
        <v>757.75</v>
      </c>
      <c r="R68" s="259">
        <f t="shared" ref="R68:R93" si="50">IF(AND($X5,NOT(AK5)),$K5/12,0)</f>
        <v>757.75</v>
      </c>
      <c r="S68" s="259">
        <f t="shared" ref="S68:S93" si="51">IF(AND($X5,NOT(AL5)),$K5/12,0)</f>
        <v>757.75</v>
      </c>
      <c r="T68" s="259">
        <f t="shared" ref="T68:T93" si="52">IF(AND($X5,NOT(AM5)),$K5/12,0)</f>
        <v>757.75</v>
      </c>
      <c r="U68" s="259">
        <f t="shared" ref="U68:U93" si="53">IF(AND($X5,NOT(AN5)),$K5/12,0)</f>
        <v>757.75</v>
      </c>
      <c r="V68" s="259">
        <f t="shared" ref="V68:V93" si="54">IF(AND($X5,NOT(AO5)),$K5/12,0)</f>
        <v>757.75</v>
      </c>
      <c r="W68" s="259">
        <f t="shared" ref="W68:W93" si="55">IF(AND($X5,NOT(AP5)),$K5/12,0)</f>
        <v>757.75</v>
      </c>
      <c r="X68" s="259">
        <f t="shared" ref="X68:X93" si="56">IF(AND($X5,NOT(AQ5)),$K5/12,0)</f>
        <v>757.75</v>
      </c>
      <c r="Y68" s="259">
        <f t="shared" ref="Y68:Y93" si="57">IF(AND($X5,NOT(AR5)),$K5/12,0)</f>
        <v>757.75</v>
      </c>
      <c r="Z68" s="259">
        <f t="shared" ref="Z68:Z93" si="58">IF(AND($X5,NOT(AS5)),$K5/12,0)</f>
        <v>757.75</v>
      </c>
      <c r="AA68" s="259">
        <f t="shared" ref="AA68:AA93" si="59">IF(AND($X5,NOT(AT5)),$K5/12,0)</f>
        <v>757.75</v>
      </c>
      <c r="AB68" s="258">
        <f t="shared" ref="AB68:AB93" si="60">IF(AND($X5,NOT(AU5)),$K5/12,0)</f>
        <v>757.75</v>
      </c>
      <c r="AC68" s="259">
        <f t="shared" ref="AC68:AC93" si="61">IF(AND($X5,NOT(AV5)),$K5/12,0)</f>
        <v>757.75</v>
      </c>
      <c r="AD68" s="259">
        <f t="shared" ref="AD68:AD93" si="62">IF(AND($X5,NOT(AW5)),$K5/12,0)</f>
        <v>757.75</v>
      </c>
      <c r="AE68" s="259">
        <f t="shared" ref="AE68:AE93" si="63">IF(AND($X5,NOT(AX5)),$K5/12,0)</f>
        <v>757.75</v>
      </c>
      <c r="AF68" s="259">
        <f t="shared" ref="AF68:AF93" si="64">IF(AND($X5,NOT(AY5)),$K5/12,0)</f>
        <v>757.75</v>
      </c>
      <c r="AG68" s="259">
        <f t="shared" ref="AG68:AG93" si="65">IF(AND($X5,NOT(AZ5)),$K5/12,0)</f>
        <v>757.75</v>
      </c>
      <c r="AH68" s="259">
        <f t="shared" ref="AH68:AH93" si="66">IF(AND($X5,NOT(BA5)),$K5/12,0)</f>
        <v>757.75</v>
      </c>
      <c r="AI68" s="259">
        <f t="shared" ref="AI68:AI93" si="67">IF(AND($X5,NOT(BB5)),$K5/12,0)</f>
        <v>757.75</v>
      </c>
      <c r="AJ68" s="259">
        <f t="shared" ref="AJ68:AJ93" si="68">IF(AND($X5,NOT(BC5)),$K5/12,0)</f>
        <v>757.75</v>
      </c>
      <c r="AK68" s="259">
        <f t="shared" ref="AK68:AK93" si="69">IF(AND($X5,NOT(BD5)),$K5/12,0)</f>
        <v>757.75</v>
      </c>
      <c r="AL68" s="259">
        <f t="shared" ref="AL68:AL93" si="70">IF(AND($X5,NOT(BE5)),$K5/12,0)</f>
        <v>757.75</v>
      </c>
      <c r="AM68" s="259">
        <f t="shared" ref="AM68:AM93" si="71">IF(AND($X5,NOT(BF5)),$K5/12,0)</f>
        <v>757.75</v>
      </c>
    </row>
    <row r="69" spans="1:39" s="256" customFormat="1" outlineLevel="1" x14ac:dyDescent="0.25">
      <c r="B69" s="256" t="str">
        <v>DepoSmaat</v>
      </c>
      <c r="C69" s="257" t="s">
        <v>58</v>
      </c>
      <c r="D69" s="258">
        <f t="shared" si="36"/>
        <v>0</v>
      </c>
      <c r="E69" s="259">
        <f t="shared" si="37"/>
        <v>0</v>
      </c>
      <c r="F69" s="259">
        <f t="shared" si="38"/>
        <v>0</v>
      </c>
      <c r="G69" s="259">
        <f t="shared" si="39"/>
        <v>0</v>
      </c>
      <c r="H69" s="259">
        <f t="shared" si="40"/>
        <v>0</v>
      </c>
      <c r="I69" s="259">
        <f t="shared" si="41"/>
        <v>0</v>
      </c>
      <c r="J69" s="259">
        <f t="shared" si="42"/>
        <v>0</v>
      </c>
      <c r="K69" s="259">
        <f t="shared" si="43"/>
        <v>0</v>
      </c>
      <c r="L69" s="259">
        <f t="shared" si="44"/>
        <v>0</v>
      </c>
      <c r="M69" s="259">
        <f t="shared" si="45"/>
        <v>0</v>
      </c>
      <c r="N69" s="259">
        <f t="shared" si="46"/>
        <v>0</v>
      </c>
      <c r="O69" s="259">
        <f t="shared" si="47"/>
        <v>0</v>
      </c>
      <c r="P69" s="258">
        <f t="shared" si="48"/>
        <v>0</v>
      </c>
      <c r="Q69" s="259">
        <f t="shared" si="49"/>
        <v>0</v>
      </c>
      <c r="R69" s="259">
        <f t="shared" si="50"/>
        <v>0</v>
      </c>
      <c r="S69" s="259">
        <f t="shared" si="51"/>
        <v>0</v>
      </c>
      <c r="T69" s="259">
        <f t="shared" si="52"/>
        <v>0</v>
      </c>
      <c r="U69" s="259">
        <f t="shared" si="53"/>
        <v>0</v>
      </c>
      <c r="V69" s="259">
        <f t="shared" si="54"/>
        <v>0</v>
      </c>
      <c r="W69" s="259">
        <f t="shared" si="55"/>
        <v>0</v>
      </c>
      <c r="X69" s="259">
        <f t="shared" si="56"/>
        <v>0</v>
      </c>
      <c r="Y69" s="259">
        <f t="shared" si="57"/>
        <v>0</v>
      </c>
      <c r="Z69" s="259">
        <f t="shared" si="58"/>
        <v>0</v>
      </c>
      <c r="AA69" s="259">
        <f t="shared" si="59"/>
        <v>0</v>
      </c>
      <c r="AB69" s="258">
        <f t="shared" si="60"/>
        <v>0</v>
      </c>
      <c r="AC69" s="259">
        <f t="shared" si="61"/>
        <v>0</v>
      </c>
      <c r="AD69" s="259">
        <f t="shared" si="62"/>
        <v>0</v>
      </c>
      <c r="AE69" s="259">
        <f t="shared" si="63"/>
        <v>0</v>
      </c>
      <c r="AF69" s="259">
        <f t="shared" si="64"/>
        <v>0</v>
      </c>
      <c r="AG69" s="259">
        <f t="shared" si="65"/>
        <v>0</v>
      </c>
      <c r="AH69" s="259">
        <f t="shared" si="66"/>
        <v>0</v>
      </c>
      <c r="AI69" s="259">
        <f t="shared" si="67"/>
        <v>0</v>
      </c>
      <c r="AJ69" s="259">
        <f t="shared" si="68"/>
        <v>0</v>
      </c>
      <c r="AK69" s="259">
        <f t="shared" si="69"/>
        <v>0</v>
      </c>
      <c r="AL69" s="259">
        <f t="shared" si="70"/>
        <v>0</v>
      </c>
      <c r="AM69" s="259">
        <f t="shared" si="71"/>
        <v>0</v>
      </c>
    </row>
    <row r="70" spans="1:39" s="256" customFormat="1" outlineLevel="1" x14ac:dyDescent="0.25">
      <c r="B70" s="256" t="str">
        <v>DepoNedd</v>
      </c>
      <c r="C70" s="257" t="s">
        <v>58</v>
      </c>
      <c r="D70" s="258">
        <f t="shared" si="36"/>
        <v>0</v>
      </c>
      <c r="E70" s="259">
        <f t="shared" si="37"/>
        <v>0</v>
      </c>
      <c r="F70" s="259">
        <f t="shared" si="38"/>
        <v>0</v>
      </c>
      <c r="G70" s="259">
        <f t="shared" si="39"/>
        <v>0</v>
      </c>
      <c r="H70" s="259">
        <f t="shared" si="40"/>
        <v>0</v>
      </c>
      <c r="I70" s="259">
        <f t="shared" si="41"/>
        <v>0</v>
      </c>
      <c r="J70" s="259">
        <f t="shared" si="42"/>
        <v>0</v>
      </c>
      <c r="K70" s="259">
        <f t="shared" si="43"/>
        <v>0</v>
      </c>
      <c r="L70" s="259">
        <f t="shared" si="44"/>
        <v>0</v>
      </c>
      <c r="M70" s="259">
        <f t="shared" si="45"/>
        <v>0</v>
      </c>
      <c r="N70" s="259">
        <f t="shared" si="46"/>
        <v>0</v>
      </c>
      <c r="O70" s="259">
        <f t="shared" si="47"/>
        <v>0</v>
      </c>
      <c r="P70" s="258">
        <f t="shared" si="48"/>
        <v>0</v>
      </c>
      <c r="Q70" s="259">
        <f t="shared" si="49"/>
        <v>0</v>
      </c>
      <c r="R70" s="259">
        <f t="shared" si="50"/>
        <v>0</v>
      </c>
      <c r="S70" s="259">
        <f t="shared" si="51"/>
        <v>0</v>
      </c>
      <c r="T70" s="259">
        <f t="shared" si="52"/>
        <v>0</v>
      </c>
      <c r="U70" s="259">
        <f t="shared" si="53"/>
        <v>0</v>
      </c>
      <c r="V70" s="259">
        <f t="shared" si="54"/>
        <v>0</v>
      </c>
      <c r="W70" s="259">
        <f t="shared" si="55"/>
        <v>0</v>
      </c>
      <c r="X70" s="259">
        <f t="shared" si="56"/>
        <v>0</v>
      </c>
      <c r="Y70" s="259">
        <f t="shared" si="57"/>
        <v>0</v>
      </c>
      <c r="Z70" s="259">
        <f t="shared" si="58"/>
        <v>0</v>
      </c>
      <c r="AA70" s="259">
        <f t="shared" si="59"/>
        <v>0</v>
      </c>
      <c r="AB70" s="258">
        <f t="shared" si="60"/>
        <v>0</v>
      </c>
      <c r="AC70" s="259">
        <f t="shared" si="61"/>
        <v>0</v>
      </c>
      <c r="AD70" s="259">
        <f t="shared" si="62"/>
        <v>0</v>
      </c>
      <c r="AE70" s="259">
        <f t="shared" si="63"/>
        <v>0</v>
      </c>
      <c r="AF70" s="259">
        <f t="shared" si="64"/>
        <v>0</v>
      </c>
      <c r="AG70" s="259">
        <f t="shared" si="65"/>
        <v>0</v>
      </c>
      <c r="AH70" s="259">
        <f t="shared" si="66"/>
        <v>0</v>
      </c>
      <c r="AI70" s="259">
        <f t="shared" si="67"/>
        <v>0</v>
      </c>
      <c r="AJ70" s="259">
        <f t="shared" si="68"/>
        <v>0</v>
      </c>
      <c r="AK70" s="259">
        <f t="shared" si="69"/>
        <v>0</v>
      </c>
      <c r="AL70" s="259">
        <f t="shared" si="70"/>
        <v>0</v>
      </c>
      <c r="AM70" s="259">
        <f t="shared" si="71"/>
        <v>0</v>
      </c>
    </row>
    <row r="71" spans="1:39" s="256" customFormat="1" outlineLevel="1" x14ac:dyDescent="0.25">
      <c r="B71" s="256" t="str">
        <v>Dagren</v>
      </c>
      <c r="C71" s="257" t="s">
        <v>58</v>
      </c>
      <c r="D71" s="258">
        <f t="shared" si="36"/>
        <v>2405.75</v>
      </c>
      <c r="E71" s="259">
        <f t="shared" si="37"/>
        <v>0</v>
      </c>
      <c r="F71" s="259">
        <f t="shared" si="38"/>
        <v>2405.75</v>
      </c>
      <c r="G71" s="259">
        <f t="shared" si="39"/>
        <v>0</v>
      </c>
      <c r="H71" s="259">
        <f t="shared" si="40"/>
        <v>0</v>
      </c>
      <c r="I71" s="259">
        <f t="shared" si="41"/>
        <v>2405.75</v>
      </c>
      <c r="J71" s="259">
        <f t="shared" si="42"/>
        <v>2405.75</v>
      </c>
      <c r="K71" s="259">
        <f t="shared" si="43"/>
        <v>2405.75</v>
      </c>
      <c r="L71" s="259">
        <f t="shared" si="44"/>
        <v>2405.75</v>
      </c>
      <c r="M71" s="259">
        <f t="shared" si="45"/>
        <v>2405.75</v>
      </c>
      <c r="N71" s="259">
        <f t="shared" si="46"/>
        <v>2405.75</v>
      </c>
      <c r="O71" s="259">
        <f t="shared" si="47"/>
        <v>2405.75</v>
      </c>
      <c r="P71" s="258">
        <f t="shared" si="48"/>
        <v>2405.75</v>
      </c>
      <c r="Q71" s="259">
        <f t="shared" si="49"/>
        <v>2405.75</v>
      </c>
      <c r="R71" s="259">
        <f t="shared" si="50"/>
        <v>2405.75</v>
      </c>
      <c r="S71" s="259">
        <f t="shared" si="51"/>
        <v>2405.75</v>
      </c>
      <c r="T71" s="259">
        <f t="shared" si="52"/>
        <v>2405.75</v>
      </c>
      <c r="U71" s="259">
        <f t="shared" si="53"/>
        <v>2405.75</v>
      </c>
      <c r="V71" s="259">
        <f t="shared" si="54"/>
        <v>2405.75</v>
      </c>
      <c r="W71" s="259">
        <f t="shared" si="55"/>
        <v>2405.75</v>
      </c>
      <c r="X71" s="259">
        <f t="shared" si="56"/>
        <v>2405.75</v>
      </c>
      <c r="Y71" s="259">
        <f t="shared" si="57"/>
        <v>2405.75</v>
      </c>
      <c r="Z71" s="259">
        <f t="shared" si="58"/>
        <v>2405.75</v>
      </c>
      <c r="AA71" s="259">
        <f t="shared" si="59"/>
        <v>2405.75</v>
      </c>
      <c r="AB71" s="258">
        <f t="shared" si="60"/>
        <v>2405.75</v>
      </c>
      <c r="AC71" s="259">
        <f t="shared" si="61"/>
        <v>2405.75</v>
      </c>
      <c r="AD71" s="259">
        <f t="shared" si="62"/>
        <v>2405.75</v>
      </c>
      <c r="AE71" s="259">
        <f t="shared" si="63"/>
        <v>2405.75</v>
      </c>
      <c r="AF71" s="259">
        <f t="shared" si="64"/>
        <v>2405.75</v>
      </c>
      <c r="AG71" s="259">
        <f t="shared" si="65"/>
        <v>2405.75</v>
      </c>
      <c r="AH71" s="259">
        <f t="shared" si="66"/>
        <v>2405.75</v>
      </c>
      <c r="AI71" s="259">
        <f t="shared" si="67"/>
        <v>2405.75</v>
      </c>
      <c r="AJ71" s="259">
        <f t="shared" si="68"/>
        <v>2405.75</v>
      </c>
      <c r="AK71" s="259">
        <f t="shared" si="69"/>
        <v>2405.75</v>
      </c>
      <c r="AL71" s="259">
        <f t="shared" si="70"/>
        <v>2405.75</v>
      </c>
      <c r="AM71" s="259">
        <f t="shared" si="71"/>
        <v>2405.75</v>
      </c>
    </row>
    <row r="72" spans="1:39" s="256" customFormat="1" outlineLevel="1" x14ac:dyDescent="0.25">
      <c r="B72" s="256" t="str">
        <v>AndetBrand</v>
      </c>
      <c r="C72" s="257" t="s">
        <v>58</v>
      </c>
      <c r="D72" s="258">
        <f t="shared" si="36"/>
        <v>291.66666666666669</v>
      </c>
      <c r="E72" s="259">
        <f t="shared" si="37"/>
        <v>0</v>
      </c>
      <c r="F72" s="259">
        <f t="shared" si="38"/>
        <v>291.66666666666669</v>
      </c>
      <c r="G72" s="259">
        <f t="shared" si="39"/>
        <v>291.66666666666669</v>
      </c>
      <c r="H72" s="259">
        <f t="shared" si="40"/>
        <v>291.66666666666669</v>
      </c>
      <c r="I72" s="259">
        <f t="shared" si="41"/>
        <v>291.66666666666669</v>
      </c>
      <c r="J72" s="259">
        <f t="shared" si="42"/>
        <v>291.66666666666669</v>
      </c>
      <c r="K72" s="259">
        <f t="shared" si="43"/>
        <v>291.66666666666669</v>
      </c>
      <c r="L72" s="259">
        <f t="shared" si="44"/>
        <v>291.66666666666669</v>
      </c>
      <c r="M72" s="259">
        <f t="shared" si="45"/>
        <v>291.66666666666669</v>
      </c>
      <c r="N72" s="259">
        <f t="shared" si="46"/>
        <v>291.66666666666669</v>
      </c>
      <c r="O72" s="259">
        <f t="shared" si="47"/>
        <v>291.66666666666669</v>
      </c>
      <c r="P72" s="258">
        <f t="shared" si="48"/>
        <v>291.66666666666669</v>
      </c>
      <c r="Q72" s="259">
        <f t="shared" si="49"/>
        <v>291.66666666666669</v>
      </c>
      <c r="R72" s="259">
        <f t="shared" si="50"/>
        <v>291.66666666666669</v>
      </c>
      <c r="S72" s="259">
        <f t="shared" si="51"/>
        <v>291.66666666666669</v>
      </c>
      <c r="T72" s="259">
        <f t="shared" si="52"/>
        <v>291.66666666666669</v>
      </c>
      <c r="U72" s="259">
        <f t="shared" si="53"/>
        <v>291.66666666666669</v>
      </c>
      <c r="V72" s="259">
        <f t="shared" si="54"/>
        <v>291.66666666666669</v>
      </c>
      <c r="W72" s="259">
        <f t="shared" si="55"/>
        <v>291.66666666666669</v>
      </c>
      <c r="X72" s="259">
        <f t="shared" si="56"/>
        <v>291.66666666666669</v>
      </c>
      <c r="Y72" s="259">
        <f t="shared" si="57"/>
        <v>291.66666666666669</v>
      </c>
      <c r="Z72" s="259">
        <f t="shared" si="58"/>
        <v>291.66666666666669</v>
      </c>
      <c r="AA72" s="259">
        <f t="shared" si="59"/>
        <v>291.66666666666669</v>
      </c>
      <c r="AB72" s="258">
        <f t="shared" si="60"/>
        <v>291.66666666666669</v>
      </c>
      <c r="AC72" s="259">
        <f t="shared" si="61"/>
        <v>291.66666666666669</v>
      </c>
      <c r="AD72" s="259">
        <f t="shared" si="62"/>
        <v>291.66666666666669</v>
      </c>
      <c r="AE72" s="259">
        <f t="shared" si="63"/>
        <v>291.66666666666669</v>
      </c>
      <c r="AF72" s="259">
        <f t="shared" si="64"/>
        <v>291.66666666666669</v>
      </c>
      <c r="AG72" s="259">
        <f t="shared" si="65"/>
        <v>291.66666666666669</v>
      </c>
      <c r="AH72" s="259">
        <f t="shared" si="66"/>
        <v>291.66666666666669</v>
      </c>
      <c r="AI72" s="259">
        <f t="shared" si="67"/>
        <v>291.66666666666669</v>
      </c>
      <c r="AJ72" s="259">
        <f t="shared" si="68"/>
        <v>291.66666666666669</v>
      </c>
      <c r="AK72" s="259">
        <f t="shared" si="69"/>
        <v>291.66666666666669</v>
      </c>
      <c r="AL72" s="259">
        <f t="shared" si="70"/>
        <v>291.66666666666669</v>
      </c>
      <c r="AM72" s="259">
        <f t="shared" si="71"/>
        <v>291.66666666666669</v>
      </c>
    </row>
    <row r="73" spans="1:39" s="256" customFormat="1" outlineLevel="1" x14ac:dyDescent="0.25">
      <c r="B73" s="256" t="str">
        <v>Trae</v>
      </c>
      <c r="C73" s="257" t="s">
        <v>58</v>
      </c>
      <c r="D73" s="258">
        <f t="shared" si="36"/>
        <v>0</v>
      </c>
      <c r="E73" s="259">
        <f t="shared" si="37"/>
        <v>0</v>
      </c>
      <c r="F73" s="259">
        <f t="shared" si="38"/>
        <v>0</v>
      </c>
      <c r="G73" s="259">
        <f t="shared" si="39"/>
        <v>0</v>
      </c>
      <c r="H73" s="259">
        <f t="shared" si="40"/>
        <v>0</v>
      </c>
      <c r="I73" s="259">
        <f t="shared" si="41"/>
        <v>0</v>
      </c>
      <c r="J73" s="259">
        <f t="shared" si="42"/>
        <v>0</v>
      </c>
      <c r="K73" s="259">
        <f t="shared" si="43"/>
        <v>0</v>
      </c>
      <c r="L73" s="259">
        <f t="shared" si="44"/>
        <v>0</v>
      </c>
      <c r="M73" s="259">
        <f t="shared" si="45"/>
        <v>0</v>
      </c>
      <c r="N73" s="259">
        <f t="shared" si="46"/>
        <v>0</v>
      </c>
      <c r="O73" s="259">
        <f t="shared" si="47"/>
        <v>0</v>
      </c>
      <c r="P73" s="258">
        <f t="shared" si="48"/>
        <v>0</v>
      </c>
      <c r="Q73" s="259">
        <f t="shared" si="49"/>
        <v>0</v>
      </c>
      <c r="R73" s="259">
        <f t="shared" si="50"/>
        <v>0</v>
      </c>
      <c r="S73" s="259">
        <f t="shared" si="51"/>
        <v>0</v>
      </c>
      <c r="T73" s="259">
        <f t="shared" si="52"/>
        <v>0</v>
      </c>
      <c r="U73" s="259">
        <f t="shared" si="53"/>
        <v>0</v>
      </c>
      <c r="V73" s="259">
        <f t="shared" si="54"/>
        <v>0</v>
      </c>
      <c r="W73" s="259">
        <f t="shared" si="55"/>
        <v>0</v>
      </c>
      <c r="X73" s="259">
        <f t="shared" si="56"/>
        <v>0</v>
      </c>
      <c r="Y73" s="259">
        <f t="shared" si="57"/>
        <v>0</v>
      </c>
      <c r="Z73" s="259">
        <f t="shared" si="58"/>
        <v>0</v>
      </c>
      <c r="AA73" s="259">
        <f t="shared" si="59"/>
        <v>0</v>
      </c>
      <c r="AB73" s="258">
        <f t="shared" si="60"/>
        <v>0</v>
      </c>
      <c r="AC73" s="259">
        <f t="shared" si="61"/>
        <v>0</v>
      </c>
      <c r="AD73" s="259">
        <f t="shared" si="62"/>
        <v>0</v>
      </c>
      <c r="AE73" s="259">
        <f t="shared" si="63"/>
        <v>0</v>
      </c>
      <c r="AF73" s="259">
        <f t="shared" si="64"/>
        <v>0</v>
      </c>
      <c r="AG73" s="259">
        <f t="shared" si="65"/>
        <v>0</v>
      </c>
      <c r="AH73" s="259">
        <f t="shared" si="66"/>
        <v>0</v>
      </c>
      <c r="AI73" s="259">
        <f t="shared" si="67"/>
        <v>0</v>
      </c>
      <c r="AJ73" s="259">
        <f t="shared" si="68"/>
        <v>0</v>
      </c>
      <c r="AK73" s="259">
        <f t="shared" si="69"/>
        <v>0</v>
      </c>
      <c r="AL73" s="259">
        <f t="shared" si="70"/>
        <v>0</v>
      </c>
      <c r="AM73" s="259">
        <f t="shared" si="71"/>
        <v>0</v>
      </c>
    </row>
    <row r="74" spans="1:39" s="256" customFormat="1" outlineLevel="1" x14ac:dyDescent="0.25">
      <c r="B74" s="256" t="str">
        <v>DagrenRast</v>
      </c>
      <c r="C74" s="257" t="s">
        <v>58</v>
      </c>
      <c r="D74" s="258">
        <f t="shared" si="36"/>
        <v>0</v>
      </c>
      <c r="E74" s="259">
        <f t="shared" si="37"/>
        <v>0</v>
      </c>
      <c r="F74" s="259">
        <f t="shared" si="38"/>
        <v>0</v>
      </c>
      <c r="G74" s="259">
        <f t="shared" si="39"/>
        <v>0</v>
      </c>
      <c r="H74" s="259">
        <f t="shared" si="40"/>
        <v>0</v>
      </c>
      <c r="I74" s="259">
        <f t="shared" si="41"/>
        <v>0</v>
      </c>
      <c r="J74" s="259">
        <f t="shared" si="42"/>
        <v>0</v>
      </c>
      <c r="K74" s="259">
        <f t="shared" si="43"/>
        <v>0</v>
      </c>
      <c r="L74" s="259">
        <f t="shared" si="44"/>
        <v>0</v>
      </c>
      <c r="M74" s="259">
        <f t="shared" si="45"/>
        <v>0</v>
      </c>
      <c r="N74" s="259">
        <f t="shared" si="46"/>
        <v>0</v>
      </c>
      <c r="O74" s="259">
        <f t="shared" si="47"/>
        <v>0</v>
      </c>
      <c r="P74" s="258">
        <f t="shared" si="48"/>
        <v>0</v>
      </c>
      <c r="Q74" s="259">
        <f t="shared" si="49"/>
        <v>0</v>
      </c>
      <c r="R74" s="259">
        <f t="shared" si="50"/>
        <v>0</v>
      </c>
      <c r="S74" s="259">
        <f t="shared" si="51"/>
        <v>0</v>
      </c>
      <c r="T74" s="259">
        <f t="shared" si="52"/>
        <v>0</v>
      </c>
      <c r="U74" s="259">
        <f t="shared" si="53"/>
        <v>0</v>
      </c>
      <c r="V74" s="259">
        <f t="shared" si="54"/>
        <v>0</v>
      </c>
      <c r="W74" s="259">
        <f t="shared" si="55"/>
        <v>0</v>
      </c>
      <c r="X74" s="259">
        <f t="shared" si="56"/>
        <v>0</v>
      </c>
      <c r="Y74" s="259">
        <f t="shared" si="57"/>
        <v>0</v>
      </c>
      <c r="Z74" s="259">
        <f t="shared" si="58"/>
        <v>0</v>
      </c>
      <c r="AA74" s="259">
        <f t="shared" si="59"/>
        <v>0</v>
      </c>
      <c r="AB74" s="258">
        <f t="shared" si="60"/>
        <v>0</v>
      </c>
      <c r="AC74" s="259">
        <f t="shared" si="61"/>
        <v>0</v>
      </c>
      <c r="AD74" s="259">
        <f t="shared" si="62"/>
        <v>0</v>
      </c>
      <c r="AE74" s="259">
        <f t="shared" si="63"/>
        <v>0</v>
      </c>
      <c r="AF74" s="259">
        <f t="shared" si="64"/>
        <v>0</v>
      </c>
      <c r="AG74" s="259">
        <f t="shared" si="65"/>
        <v>0</v>
      </c>
      <c r="AH74" s="259">
        <f t="shared" si="66"/>
        <v>0</v>
      </c>
      <c r="AI74" s="259">
        <f t="shared" si="67"/>
        <v>0</v>
      </c>
      <c r="AJ74" s="259">
        <f t="shared" si="68"/>
        <v>0</v>
      </c>
      <c r="AK74" s="259">
        <f t="shared" si="69"/>
        <v>0</v>
      </c>
      <c r="AL74" s="259">
        <f t="shared" si="70"/>
        <v>0</v>
      </c>
      <c r="AM74" s="259">
        <f t="shared" si="71"/>
        <v>0</v>
      </c>
    </row>
    <row r="75" spans="1:39" s="256" customFormat="1" outlineLevel="1" x14ac:dyDescent="0.25">
      <c r="B75" s="256" t="str">
        <v>DagrenInst</v>
      </c>
      <c r="C75" s="257" t="s">
        <v>58</v>
      </c>
      <c r="D75" s="258">
        <f t="shared" si="36"/>
        <v>650</v>
      </c>
      <c r="E75" s="259">
        <f t="shared" si="37"/>
        <v>0</v>
      </c>
      <c r="F75" s="259">
        <f t="shared" si="38"/>
        <v>650</v>
      </c>
      <c r="G75" s="259">
        <f t="shared" si="39"/>
        <v>650</v>
      </c>
      <c r="H75" s="259">
        <f t="shared" si="40"/>
        <v>650</v>
      </c>
      <c r="I75" s="259">
        <f t="shared" si="41"/>
        <v>650</v>
      </c>
      <c r="J75" s="259">
        <f t="shared" si="42"/>
        <v>650</v>
      </c>
      <c r="K75" s="259">
        <f t="shared" si="43"/>
        <v>650</v>
      </c>
      <c r="L75" s="259">
        <f t="shared" si="44"/>
        <v>650</v>
      </c>
      <c r="M75" s="259">
        <f t="shared" si="45"/>
        <v>650</v>
      </c>
      <c r="N75" s="259">
        <f t="shared" si="46"/>
        <v>650</v>
      </c>
      <c r="O75" s="259">
        <f t="shared" si="47"/>
        <v>650</v>
      </c>
      <c r="P75" s="258">
        <f t="shared" si="48"/>
        <v>650</v>
      </c>
      <c r="Q75" s="259">
        <f t="shared" si="49"/>
        <v>650</v>
      </c>
      <c r="R75" s="259">
        <f t="shared" si="50"/>
        <v>650</v>
      </c>
      <c r="S75" s="259">
        <f t="shared" si="51"/>
        <v>650</v>
      </c>
      <c r="T75" s="259">
        <f t="shared" si="52"/>
        <v>650</v>
      </c>
      <c r="U75" s="259">
        <f t="shared" si="53"/>
        <v>650</v>
      </c>
      <c r="V75" s="259">
        <f t="shared" si="54"/>
        <v>650</v>
      </c>
      <c r="W75" s="259">
        <f t="shared" si="55"/>
        <v>650</v>
      </c>
      <c r="X75" s="259">
        <f t="shared" si="56"/>
        <v>650</v>
      </c>
      <c r="Y75" s="259">
        <f t="shared" si="57"/>
        <v>650</v>
      </c>
      <c r="Z75" s="259">
        <f t="shared" si="58"/>
        <v>650</v>
      </c>
      <c r="AA75" s="259">
        <f t="shared" si="59"/>
        <v>650</v>
      </c>
      <c r="AB75" s="258">
        <f t="shared" si="60"/>
        <v>650</v>
      </c>
      <c r="AC75" s="259">
        <f t="shared" si="61"/>
        <v>650</v>
      </c>
      <c r="AD75" s="259">
        <f t="shared" si="62"/>
        <v>650</v>
      </c>
      <c r="AE75" s="259">
        <f t="shared" si="63"/>
        <v>650</v>
      </c>
      <c r="AF75" s="259">
        <f t="shared" si="64"/>
        <v>650</v>
      </c>
      <c r="AG75" s="259">
        <f t="shared" si="65"/>
        <v>650</v>
      </c>
      <c r="AH75" s="259">
        <f t="shared" si="66"/>
        <v>650</v>
      </c>
      <c r="AI75" s="259">
        <f t="shared" si="67"/>
        <v>650</v>
      </c>
      <c r="AJ75" s="259">
        <f t="shared" si="68"/>
        <v>650</v>
      </c>
      <c r="AK75" s="259">
        <f t="shared" si="69"/>
        <v>650</v>
      </c>
      <c r="AL75" s="259">
        <f t="shared" si="70"/>
        <v>650</v>
      </c>
      <c r="AM75" s="259">
        <f t="shared" si="71"/>
        <v>650</v>
      </c>
    </row>
    <row r="76" spans="1:39" s="256" customFormat="1" outlineLevel="1" x14ac:dyDescent="0.25">
      <c r="B76" s="256" t="str">
        <v>DagrenHandel</v>
      </c>
      <c r="C76" s="257" t="s">
        <v>58</v>
      </c>
      <c r="D76" s="258">
        <f t="shared" si="36"/>
        <v>0</v>
      </c>
      <c r="E76" s="259">
        <f t="shared" si="37"/>
        <v>0</v>
      </c>
      <c r="F76" s="259">
        <f t="shared" si="38"/>
        <v>0</v>
      </c>
      <c r="G76" s="259">
        <f t="shared" si="39"/>
        <v>0</v>
      </c>
      <c r="H76" s="259">
        <f t="shared" si="40"/>
        <v>0</v>
      </c>
      <c r="I76" s="259">
        <f t="shared" si="41"/>
        <v>0</v>
      </c>
      <c r="J76" s="259">
        <f t="shared" si="42"/>
        <v>0</v>
      </c>
      <c r="K76" s="259">
        <f t="shared" si="43"/>
        <v>0</v>
      </c>
      <c r="L76" s="259">
        <f t="shared" si="44"/>
        <v>0</v>
      </c>
      <c r="M76" s="259">
        <f t="shared" si="45"/>
        <v>0</v>
      </c>
      <c r="N76" s="259">
        <f t="shared" si="46"/>
        <v>0</v>
      </c>
      <c r="O76" s="259">
        <f t="shared" si="47"/>
        <v>0</v>
      </c>
      <c r="P76" s="258">
        <f t="shared" si="48"/>
        <v>0</v>
      </c>
      <c r="Q76" s="259">
        <f t="shared" si="49"/>
        <v>0</v>
      </c>
      <c r="R76" s="259">
        <f t="shared" si="50"/>
        <v>0</v>
      </c>
      <c r="S76" s="259">
        <f t="shared" si="51"/>
        <v>0</v>
      </c>
      <c r="T76" s="259">
        <f t="shared" si="52"/>
        <v>0</v>
      </c>
      <c r="U76" s="259">
        <f t="shared" si="53"/>
        <v>0</v>
      </c>
      <c r="V76" s="259">
        <f t="shared" si="54"/>
        <v>0</v>
      </c>
      <c r="W76" s="259">
        <f t="shared" si="55"/>
        <v>0</v>
      </c>
      <c r="X76" s="259">
        <f t="shared" si="56"/>
        <v>0</v>
      </c>
      <c r="Y76" s="259">
        <f t="shared" si="57"/>
        <v>0</v>
      </c>
      <c r="Z76" s="259">
        <f t="shared" si="58"/>
        <v>0</v>
      </c>
      <c r="AA76" s="259">
        <f t="shared" si="59"/>
        <v>0</v>
      </c>
      <c r="AB76" s="258">
        <f t="shared" si="60"/>
        <v>0</v>
      </c>
      <c r="AC76" s="259">
        <f t="shared" si="61"/>
        <v>0</v>
      </c>
      <c r="AD76" s="259">
        <f t="shared" si="62"/>
        <v>0</v>
      </c>
      <c r="AE76" s="259">
        <f t="shared" si="63"/>
        <v>0</v>
      </c>
      <c r="AF76" s="259">
        <f t="shared" si="64"/>
        <v>0</v>
      </c>
      <c r="AG76" s="259">
        <f t="shared" si="65"/>
        <v>0</v>
      </c>
      <c r="AH76" s="259">
        <f t="shared" si="66"/>
        <v>0</v>
      </c>
      <c r="AI76" s="259">
        <f t="shared" si="67"/>
        <v>0</v>
      </c>
      <c r="AJ76" s="259">
        <f t="shared" si="68"/>
        <v>0</v>
      </c>
      <c r="AK76" s="259">
        <f t="shared" si="69"/>
        <v>0</v>
      </c>
      <c r="AL76" s="259">
        <f t="shared" si="70"/>
        <v>0</v>
      </c>
      <c r="AM76" s="259">
        <f t="shared" si="71"/>
        <v>0</v>
      </c>
    </row>
    <row r="77" spans="1:39" s="256" customFormat="1" outlineLevel="1" x14ac:dyDescent="0.25">
      <c r="B77" s="256" t="str">
        <v>DagrenRestau</v>
      </c>
      <c r="C77" s="257" t="s">
        <v>58</v>
      </c>
      <c r="D77" s="258">
        <f t="shared" si="36"/>
        <v>0</v>
      </c>
      <c r="E77" s="259">
        <f t="shared" si="37"/>
        <v>0</v>
      </c>
      <c r="F77" s="259">
        <f t="shared" si="38"/>
        <v>0</v>
      </c>
      <c r="G77" s="259">
        <f t="shared" si="39"/>
        <v>0</v>
      </c>
      <c r="H77" s="259">
        <f t="shared" si="40"/>
        <v>0</v>
      </c>
      <c r="I77" s="259">
        <f t="shared" si="41"/>
        <v>0</v>
      </c>
      <c r="J77" s="259">
        <f t="shared" si="42"/>
        <v>0</v>
      </c>
      <c r="K77" s="259">
        <f t="shared" si="43"/>
        <v>0</v>
      </c>
      <c r="L77" s="259">
        <f t="shared" si="44"/>
        <v>0</v>
      </c>
      <c r="M77" s="259">
        <f t="shared" si="45"/>
        <v>0</v>
      </c>
      <c r="N77" s="259">
        <f t="shared" si="46"/>
        <v>0</v>
      </c>
      <c r="O77" s="259">
        <f t="shared" si="47"/>
        <v>0</v>
      </c>
      <c r="P77" s="258">
        <f t="shared" si="48"/>
        <v>0</v>
      </c>
      <c r="Q77" s="259">
        <f t="shared" si="49"/>
        <v>0</v>
      </c>
      <c r="R77" s="259">
        <f t="shared" si="50"/>
        <v>0</v>
      </c>
      <c r="S77" s="259">
        <f t="shared" si="51"/>
        <v>0</v>
      </c>
      <c r="T77" s="259">
        <f t="shared" si="52"/>
        <v>0</v>
      </c>
      <c r="U77" s="259">
        <f t="shared" si="53"/>
        <v>0</v>
      </c>
      <c r="V77" s="259">
        <f t="shared" si="54"/>
        <v>0</v>
      </c>
      <c r="W77" s="259">
        <f t="shared" si="55"/>
        <v>0</v>
      </c>
      <c r="X77" s="259">
        <f t="shared" si="56"/>
        <v>0</v>
      </c>
      <c r="Y77" s="259">
        <f t="shared" si="57"/>
        <v>0</v>
      </c>
      <c r="Z77" s="259">
        <f t="shared" si="58"/>
        <v>0</v>
      </c>
      <c r="AA77" s="259">
        <f t="shared" si="59"/>
        <v>0</v>
      </c>
      <c r="AB77" s="258">
        <f t="shared" si="60"/>
        <v>0</v>
      </c>
      <c r="AC77" s="259">
        <f t="shared" si="61"/>
        <v>0</v>
      </c>
      <c r="AD77" s="259">
        <f t="shared" si="62"/>
        <v>0</v>
      </c>
      <c r="AE77" s="259">
        <f t="shared" si="63"/>
        <v>0</v>
      </c>
      <c r="AF77" s="259">
        <f t="shared" si="64"/>
        <v>0</v>
      </c>
      <c r="AG77" s="259">
        <f t="shared" si="65"/>
        <v>0</v>
      </c>
      <c r="AH77" s="259">
        <f t="shared" si="66"/>
        <v>0</v>
      </c>
      <c r="AI77" s="259">
        <f t="shared" si="67"/>
        <v>0</v>
      </c>
      <c r="AJ77" s="259">
        <f t="shared" si="68"/>
        <v>0</v>
      </c>
      <c r="AK77" s="259">
        <f t="shared" si="69"/>
        <v>0</v>
      </c>
      <c r="AL77" s="259">
        <f t="shared" si="70"/>
        <v>0</v>
      </c>
      <c r="AM77" s="259">
        <f t="shared" si="71"/>
        <v>0</v>
      </c>
    </row>
    <row r="78" spans="1:39" s="256" customFormat="1" outlineLevel="1" x14ac:dyDescent="0.25">
      <c r="B78" s="256" t="str">
        <v>Erhverv</v>
      </c>
      <c r="C78" s="257" t="s">
        <v>58</v>
      </c>
      <c r="D78" s="258">
        <f t="shared" si="36"/>
        <v>433.33333333333331</v>
      </c>
      <c r="E78" s="259">
        <f t="shared" si="37"/>
        <v>0</v>
      </c>
      <c r="F78" s="259">
        <f t="shared" si="38"/>
        <v>433.33333333333331</v>
      </c>
      <c r="G78" s="259">
        <f t="shared" si="39"/>
        <v>433.33333333333331</v>
      </c>
      <c r="H78" s="259">
        <f t="shared" si="40"/>
        <v>0</v>
      </c>
      <c r="I78" s="259">
        <f t="shared" si="41"/>
        <v>433.33333333333331</v>
      </c>
      <c r="J78" s="259">
        <f t="shared" si="42"/>
        <v>433.33333333333331</v>
      </c>
      <c r="K78" s="259">
        <f t="shared" si="43"/>
        <v>433.33333333333331</v>
      </c>
      <c r="L78" s="259">
        <f t="shared" si="44"/>
        <v>433.33333333333331</v>
      </c>
      <c r="M78" s="259">
        <f t="shared" si="45"/>
        <v>433.33333333333331</v>
      </c>
      <c r="N78" s="259">
        <f t="shared" si="46"/>
        <v>433.33333333333331</v>
      </c>
      <c r="O78" s="259">
        <f t="shared" si="47"/>
        <v>433.33333333333331</v>
      </c>
      <c r="P78" s="258">
        <f t="shared" si="48"/>
        <v>433.33333333333331</v>
      </c>
      <c r="Q78" s="259">
        <f t="shared" si="49"/>
        <v>433.33333333333331</v>
      </c>
      <c r="R78" s="259">
        <f t="shared" si="50"/>
        <v>433.33333333333331</v>
      </c>
      <c r="S78" s="259">
        <f t="shared" si="51"/>
        <v>433.33333333333331</v>
      </c>
      <c r="T78" s="259">
        <f t="shared" si="52"/>
        <v>433.33333333333331</v>
      </c>
      <c r="U78" s="259">
        <f t="shared" si="53"/>
        <v>433.33333333333331</v>
      </c>
      <c r="V78" s="259">
        <f t="shared" si="54"/>
        <v>433.33333333333331</v>
      </c>
      <c r="W78" s="259">
        <f t="shared" si="55"/>
        <v>433.33333333333331</v>
      </c>
      <c r="X78" s="259">
        <f t="shared" si="56"/>
        <v>433.33333333333331</v>
      </c>
      <c r="Y78" s="259">
        <f t="shared" si="57"/>
        <v>433.33333333333331</v>
      </c>
      <c r="Z78" s="259">
        <f t="shared" si="58"/>
        <v>433.33333333333331</v>
      </c>
      <c r="AA78" s="259">
        <f t="shared" si="59"/>
        <v>433.33333333333331</v>
      </c>
      <c r="AB78" s="258">
        <f t="shared" si="60"/>
        <v>433.33333333333331</v>
      </c>
      <c r="AC78" s="259">
        <f t="shared" si="61"/>
        <v>433.33333333333331</v>
      </c>
      <c r="AD78" s="259">
        <f t="shared" si="62"/>
        <v>433.33333333333331</v>
      </c>
      <c r="AE78" s="259">
        <f t="shared" si="63"/>
        <v>433.33333333333331</v>
      </c>
      <c r="AF78" s="259">
        <f t="shared" si="64"/>
        <v>433.33333333333331</v>
      </c>
      <c r="AG78" s="259">
        <f t="shared" si="65"/>
        <v>433.33333333333331</v>
      </c>
      <c r="AH78" s="259">
        <f t="shared" si="66"/>
        <v>433.33333333333331</v>
      </c>
      <c r="AI78" s="259">
        <f t="shared" si="67"/>
        <v>433.33333333333331</v>
      </c>
      <c r="AJ78" s="259">
        <f t="shared" si="68"/>
        <v>433.33333333333331</v>
      </c>
      <c r="AK78" s="259">
        <f t="shared" si="69"/>
        <v>433.33333333333331</v>
      </c>
      <c r="AL78" s="259">
        <f t="shared" si="70"/>
        <v>433.33333333333331</v>
      </c>
      <c r="AM78" s="259">
        <f t="shared" si="71"/>
        <v>433.33333333333331</v>
      </c>
    </row>
    <row r="79" spans="1:39" s="256" customFormat="1" outlineLevel="1" x14ac:dyDescent="0.25">
      <c r="B79" s="256" t="str">
        <v>DagrenErhverv</v>
      </c>
      <c r="C79" s="257" t="s">
        <v>58</v>
      </c>
      <c r="D79" s="258">
        <f t="shared" si="36"/>
        <v>41.666666666666664</v>
      </c>
      <c r="E79" s="259">
        <f t="shared" si="37"/>
        <v>0</v>
      </c>
      <c r="F79" s="259">
        <f t="shared" si="38"/>
        <v>41.666666666666664</v>
      </c>
      <c r="G79" s="259">
        <f t="shared" si="39"/>
        <v>41.666666666666664</v>
      </c>
      <c r="H79" s="259">
        <f t="shared" si="40"/>
        <v>41.666666666666664</v>
      </c>
      <c r="I79" s="259">
        <f t="shared" si="41"/>
        <v>41.666666666666664</v>
      </c>
      <c r="J79" s="259">
        <f t="shared" si="42"/>
        <v>41.666666666666664</v>
      </c>
      <c r="K79" s="259">
        <f t="shared" si="43"/>
        <v>41.666666666666664</v>
      </c>
      <c r="L79" s="259">
        <f t="shared" si="44"/>
        <v>41.666666666666664</v>
      </c>
      <c r="M79" s="259">
        <f t="shared" si="45"/>
        <v>41.666666666666664</v>
      </c>
      <c r="N79" s="259">
        <f t="shared" si="46"/>
        <v>41.666666666666664</v>
      </c>
      <c r="O79" s="259">
        <f t="shared" si="47"/>
        <v>41.666666666666664</v>
      </c>
      <c r="P79" s="258">
        <f t="shared" si="48"/>
        <v>41.666666666666664</v>
      </c>
      <c r="Q79" s="259">
        <f t="shared" si="49"/>
        <v>41.666666666666664</v>
      </c>
      <c r="R79" s="259">
        <f t="shared" si="50"/>
        <v>41.666666666666664</v>
      </c>
      <c r="S79" s="259">
        <f t="shared" si="51"/>
        <v>41.666666666666664</v>
      </c>
      <c r="T79" s="259">
        <f t="shared" si="52"/>
        <v>41.666666666666664</v>
      </c>
      <c r="U79" s="259">
        <f t="shared" si="53"/>
        <v>41.666666666666664</v>
      </c>
      <c r="V79" s="259">
        <f t="shared" si="54"/>
        <v>41.666666666666664</v>
      </c>
      <c r="W79" s="259">
        <f t="shared" si="55"/>
        <v>41.666666666666664</v>
      </c>
      <c r="X79" s="259">
        <f t="shared" si="56"/>
        <v>41.666666666666664</v>
      </c>
      <c r="Y79" s="259">
        <f t="shared" si="57"/>
        <v>41.666666666666664</v>
      </c>
      <c r="Z79" s="259">
        <f t="shared" si="58"/>
        <v>41.666666666666664</v>
      </c>
      <c r="AA79" s="259">
        <f t="shared" si="59"/>
        <v>41.666666666666664</v>
      </c>
      <c r="AB79" s="258">
        <f t="shared" si="60"/>
        <v>41.666666666666664</v>
      </c>
      <c r="AC79" s="259">
        <f t="shared" si="61"/>
        <v>41.666666666666664</v>
      </c>
      <c r="AD79" s="259">
        <f t="shared" si="62"/>
        <v>41.666666666666664</v>
      </c>
      <c r="AE79" s="259">
        <f t="shared" si="63"/>
        <v>41.666666666666664</v>
      </c>
      <c r="AF79" s="259">
        <f t="shared" si="64"/>
        <v>41.666666666666664</v>
      </c>
      <c r="AG79" s="259">
        <f t="shared" si="65"/>
        <v>41.666666666666664</v>
      </c>
      <c r="AH79" s="259">
        <f t="shared" si="66"/>
        <v>41.666666666666664</v>
      </c>
      <c r="AI79" s="259">
        <f t="shared" si="67"/>
        <v>41.666666666666664</v>
      </c>
      <c r="AJ79" s="259">
        <f t="shared" si="68"/>
        <v>41.666666666666664</v>
      </c>
      <c r="AK79" s="259">
        <f t="shared" si="69"/>
        <v>41.666666666666664</v>
      </c>
      <c r="AL79" s="259">
        <f t="shared" si="70"/>
        <v>41.666666666666664</v>
      </c>
      <c r="AM79" s="259">
        <f t="shared" si="71"/>
        <v>41.666666666666664</v>
      </c>
    </row>
    <row r="80" spans="1:39" s="256" customFormat="1" outlineLevel="1" x14ac:dyDescent="0.25">
      <c r="B80" s="256" t="str">
        <v>HandelKontor</v>
      </c>
      <c r="C80" s="257" t="s">
        <v>58</v>
      </c>
      <c r="D80" s="258">
        <f t="shared" si="36"/>
        <v>0</v>
      </c>
      <c r="E80" s="259">
        <f t="shared" si="37"/>
        <v>0</v>
      </c>
      <c r="F80" s="259">
        <f t="shared" si="38"/>
        <v>0</v>
      </c>
      <c r="G80" s="259">
        <f t="shared" si="39"/>
        <v>0</v>
      </c>
      <c r="H80" s="259">
        <f t="shared" si="40"/>
        <v>0</v>
      </c>
      <c r="I80" s="259">
        <f t="shared" si="41"/>
        <v>0</v>
      </c>
      <c r="J80" s="259">
        <f t="shared" si="42"/>
        <v>0</v>
      </c>
      <c r="K80" s="259">
        <f t="shared" si="43"/>
        <v>0</v>
      </c>
      <c r="L80" s="259">
        <f t="shared" si="44"/>
        <v>0</v>
      </c>
      <c r="M80" s="259">
        <f t="shared" si="45"/>
        <v>0</v>
      </c>
      <c r="N80" s="259">
        <f t="shared" si="46"/>
        <v>0</v>
      </c>
      <c r="O80" s="259">
        <f t="shared" si="47"/>
        <v>0</v>
      </c>
      <c r="P80" s="258">
        <f t="shared" si="48"/>
        <v>0</v>
      </c>
      <c r="Q80" s="259">
        <f t="shared" si="49"/>
        <v>0</v>
      </c>
      <c r="R80" s="259">
        <f t="shared" si="50"/>
        <v>0</v>
      </c>
      <c r="S80" s="259">
        <f t="shared" si="51"/>
        <v>0</v>
      </c>
      <c r="T80" s="259">
        <f t="shared" si="52"/>
        <v>0</v>
      </c>
      <c r="U80" s="259">
        <f t="shared" si="53"/>
        <v>0</v>
      </c>
      <c r="V80" s="259">
        <f t="shared" si="54"/>
        <v>0</v>
      </c>
      <c r="W80" s="259">
        <f t="shared" si="55"/>
        <v>0</v>
      </c>
      <c r="X80" s="259">
        <f t="shared" si="56"/>
        <v>0</v>
      </c>
      <c r="Y80" s="259">
        <f t="shared" si="57"/>
        <v>0</v>
      </c>
      <c r="Z80" s="259">
        <f t="shared" si="58"/>
        <v>0</v>
      </c>
      <c r="AA80" s="259">
        <f t="shared" si="59"/>
        <v>0</v>
      </c>
      <c r="AB80" s="258">
        <f t="shared" si="60"/>
        <v>0</v>
      </c>
      <c r="AC80" s="259">
        <f t="shared" si="61"/>
        <v>0</v>
      </c>
      <c r="AD80" s="259">
        <f t="shared" si="62"/>
        <v>0</v>
      </c>
      <c r="AE80" s="259">
        <f t="shared" si="63"/>
        <v>0</v>
      </c>
      <c r="AF80" s="259">
        <f t="shared" si="64"/>
        <v>0</v>
      </c>
      <c r="AG80" s="259">
        <f t="shared" si="65"/>
        <v>0</v>
      </c>
      <c r="AH80" s="259">
        <f t="shared" si="66"/>
        <v>0</v>
      </c>
      <c r="AI80" s="259">
        <f t="shared" si="67"/>
        <v>0</v>
      </c>
      <c r="AJ80" s="259">
        <f t="shared" si="68"/>
        <v>0</v>
      </c>
      <c r="AK80" s="259">
        <f t="shared" si="69"/>
        <v>0</v>
      </c>
      <c r="AL80" s="259">
        <f t="shared" si="70"/>
        <v>0</v>
      </c>
      <c r="AM80" s="259">
        <f t="shared" si="71"/>
        <v>0</v>
      </c>
    </row>
    <row r="81" spans="1:39" s="256" customFormat="1" outlineLevel="1" x14ac:dyDescent="0.25">
      <c r="B81" s="256" t="str">
        <v>Privat</v>
      </c>
      <c r="C81" s="257" t="s">
        <v>58</v>
      </c>
      <c r="D81" s="258">
        <f t="shared" si="36"/>
        <v>0</v>
      </c>
      <c r="E81" s="259">
        <f t="shared" si="37"/>
        <v>0</v>
      </c>
      <c r="F81" s="259">
        <f t="shared" si="38"/>
        <v>0</v>
      </c>
      <c r="G81" s="259">
        <f t="shared" si="39"/>
        <v>0</v>
      </c>
      <c r="H81" s="259">
        <f t="shared" si="40"/>
        <v>0</v>
      </c>
      <c r="I81" s="259">
        <f t="shared" si="41"/>
        <v>0</v>
      </c>
      <c r="J81" s="259">
        <f t="shared" si="42"/>
        <v>0</v>
      </c>
      <c r="K81" s="259">
        <f t="shared" si="43"/>
        <v>0</v>
      </c>
      <c r="L81" s="259">
        <f t="shared" si="44"/>
        <v>0</v>
      </c>
      <c r="M81" s="259">
        <f t="shared" si="45"/>
        <v>0</v>
      </c>
      <c r="N81" s="259">
        <f t="shared" si="46"/>
        <v>0</v>
      </c>
      <c r="O81" s="259">
        <f t="shared" si="47"/>
        <v>0</v>
      </c>
      <c r="P81" s="258">
        <f t="shared" si="48"/>
        <v>0</v>
      </c>
      <c r="Q81" s="259">
        <f t="shared" si="49"/>
        <v>0</v>
      </c>
      <c r="R81" s="259">
        <f t="shared" si="50"/>
        <v>0</v>
      </c>
      <c r="S81" s="259">
        <f t="shared" si="51"/>
        <v>0</v>
      </c>
      <c r="T81" s="259">
        <f t="shared" si="52"/>
        <v>0</v>
      </c>
      <c r="U81" s="259">
        <f t="shared" si="53"/>
        <v>0</v>
      </c>
      <c r="V81" s="259">
        <f t="shared" si="54"/>
        <v>0</v>
      </c>
      <c r="W81" s="259">
        <f t="shared" si="55"/>
        <v>0</v>
      </c>
      <c r="X81" s="259">
        <f t="shared" si="56"/>
        <v>0</v>
      </c>
      <c r="Y81" s="259">
        <f t="shared" si="57"/>
        <v>0</v>
      </c>
      <c r="Z81" s="259">
        <f t="shared" si="58"/>
        <v>0</v>
      </c>
      <c r="AA81" s="259">
        <f t="shared" si="59"/>
        <v>0</v>
      </c>
      <c r="AB81" s="258">
        <f t="shared" si="60"/>
        <v>0</v>
      </c>
      <c r="AC81" s="259">
        <f t="shared" si="61"/>
        <v>0</v>
      </c>
      <c r="AD81" s="259">
        <f t="shared" si="62"/>
        <v>0</v>
      </c>
      <c r="AE81" s="259">
        <f t="shared" si="63"/>
        <v>0</v>
      </c>
      <c r="AF81" s="259">
        <f t="shared" si="64"/>
        <v>0</v>
      </c>
      <c r="AG81" s="259">
        <f t="shared" si="65"/>
        <v>0</v>
      </c>
      <c r="AH81" s="259">
        <f t="shared" si="66"/>
        <v>0</v>
      </c>
      <c r="AI81" s="259">
        <f t="shared" si="67"/>
        <v>0</v>
      </c>
      <c r="AJ81" s="259">
        <f t="shared" si="68"/>
        <v>0</v>
      </c>
      <c r="AK81" s="259">
        <f t="shared" si="69"/>
        <v>0</v>
      </c>
      <c r="AL81" s="259">
        <f t="shared" si="70"/>
        <v>0</v>
      </c>
      <c r="AM81" s="259">
        <f t="shared" si="71"/>
        <v>0</v>
      </c>
    </row>
    <row r="82" spans="1:39" s="256" customFormat="1" outlineLevel="1" x14ac:dyDescent="0.25">
      <c r="B82" s="256" t="str">
        <v>TyskRest</v>
      </c>
      <c r="C82" s="257" t="s">
        <v>58</v>
      </c>
      <c r="D82" s="258">
        <f t="shared" si="36"/>
        <v>3333.3333333333335</v>
      </c>
      <c r="E82" s="259">
        <f t="shared" si="37"/>
        <v>0</v>
      </c>
      <c r="F82" s="259">
        <f t="shared" si="38"/>
        <v>3333.3333333333335</v>
      </c>
      <c r="G82" s="259">
        <f t="shared" si="39"/>
        <v>0</v>
      </c>
      <c r="H82" s="259">
        <f t="shared" si="40"/>
        <v>0</v>
      </c>
      <c r="I82" s="259">
        <f t="shared" si="41"/>
        <v>3333.3333333333335</v>
      </c>
      <c r="J82" s="259">
        <f t="shared" si="42"/>
        <v>3333.3333333333335</v>
      </c>
      <c r="K82" s="259">
        <f t="shared" si="43"/>
        <v>3333.3333333333335</v>
      </c>
      <c r="L82" s="259">
        <f t="shared" si="44"/>
        <v>3333.3333333333335</v>
      </c>
      <c r="M82" s="259">
        <f t="shared" si="45"/>
        <v>3333.3333333333335</v>
      </c>
      <c r="N82" s="259">
        <f t="shared" si="46"/>
        <v>3333.3333333333335</v>
      </c>
      <c r="O82" s="259">
        <f t="shared" si="47"/>
        <v>3333.3333333333335</v>
      </c>
      <c r="P82" s="258">
        <f t="shared" si="48"/>
        <v>3333.3333333333335</v>
      </c>
      <c r="Q82" s="259">
        <f t="shared" si="49"/>
        <v>3333.3333333333335</v>
      </c>
      <c r="R82" s="259">
        <f t="shared" si="50"/>
        <v>3333.3333333333335</v>
      </c>
      <c r="S82" s="259">
        <f t="shared" si="51"/>
        <v>3333.3333333333335</v>
      </c>
      <c r="T82" s="259">
        <f t="shared" si="52"/>
        <v>3333.3333333333335</v>
      </c>
      <c r="U82" s="259">
        <f t="shared" si="53"/>
        <v>3333.3333333333335</v>
      </c>
      <c r="V82" s="259">
        <f t="shared" si="54"/>
        <v>3333.3333333333335</v>
      </c>
      <c r="W82" s="259">
        <f t="shared" si="55"/>
        <v>3333.3333333333335</v>
      </c>
      <c r="X82" s="259">
        <f t="shared" si="56"/>
        <v>3333.3333333333335</v>
      </c>
      <c r="Y82" s="259">
        <f t="shared" si="57"/>
        <v>3333.3333333333335</v>
      </c>
      <c r="Z82" s="259">
        <f t="shared" si="58"/>
        <v>3333.3333333333335</v>
      </c>
      <c r="AA82" s="259">
        <f t="shared" si="59"/>
        <v>3333.3333333333335</v>
      </c>
      <c r="AB82" s="258">
        <f t="shared" si="60"/>
        <v>3333.3333333333335</v>
      </c>
      <c r="AC82" s="259">
        <f t="shared" si="61"/>
        <v>3333.3333333333335</v>
      </c>
      <c r="AD82" s="259">
        <f t="shared" si="62"/>
        <v>3333.3333333333335</v>
      </c>
      <c r="AE82" s="259">
        <f t="shared" si="63"/>
        <v>3333.3333333333335</v>
      </c>
      <c r="AF82" s="259">
        <f t="shared" si="64"/>
        <v>3333.3333333333335</v>
      </c>
      <c r="AG82" s="259">
        <f t="shared" si="65"/>
        <v>3333.3333333333335</v>
      </c>
      <c r="AH82" s="259">
        <f t="shared" si="66"/>
        <v>3333.3333333333335</v>
      </c>
      <c r="AI82" s="259">
        <f t="shared" si="67"/>
        <v>3333.3333333333335</v>
      </c>
      <c r="AJ82" s="259">
        <f t="shared" si="68"/>
        <v>3333.3333333333335</v>
      </c>
      <c r="AK82" s="259">
        <f t="shared" si="69"/>
        <v>3333.3333333333335</v>
      </c>
      <c r="AL82" s="259">
        <f t="shared" si="70"/>
        <v>3333.3333333333335</v>
      </c>
      <c r="AM82" s="259">
        <f t="shared" si="71"/>
        <v>3333.3333333333335</v>
      </c>
    </row>
    <row r="83" spans="1:39" s="256" customFormat="1" outlineLevel="1" x14ac:dyDescent="0.25">
      <c r="B83" s="256" t="str">
        <v>PolskRest</v>
      </c>
      <c r="C83" s="257" t="s">
        <v>58</v>
      </c>
      <c r="D83" s="258">
        <f t="shared" si="36"/>
        <v>166.66666666666666</v>
      </c>
      <c r="E83" s="259">
        <f t="shared" si="37"/>
        <v>0</v>
      </c>
      <c r="F83" s="259">
        <f t="shared" si="38"/>
        <v>166.66666666666666</v>
      </c>
      <c r="G83" s="259">
        <f t="shared" si="39"/>
        <v>166.66666666666666</v>
      </c>
      <c r="H83" s="259">
        <f t="shared" si="40"/>
        <v>166.66666666666666</v>
      </c>
      <c r="I83" s="259">
        <f t="shared" si="41"/>
        <v>166.66666666666666</v>
      </c>
      <c r="J83" s="259">
        <f t="shared" si="42"/>
        <v>166.66666666666666</v>
      </c>
      <c r="K83" s="259">
        <f t="shared" si="43"/>
        <v>166.66666666666666</v>
      </c>
      <c r="L83" s="259">
        <f t="shared" si="44"/>
        <v>166.66666666666666</v>
      </c>
      <c r="M83" s="259">
        <f t="shared" si="45"/>
        <v>166.66666666666666</v>
      </c>
      <c r="N83" s="259">
        <f t="shared" si="46"/>
        <v>166.66666666666666</v>
      </c>
      <c r="O83" s="259">
        <f t="shared" si="47"/>
        <v>166.66666666666666</v>
      </c>
      <c r="P83" s="258">
        <f t="shared" si="48"/>
        <v>166.66666666666666</v>
      </c>
      <c r="Q83" s="259">
        <f t="shared" si="49"/>
        <v>166.66666666666666</v>
      </c>
      <c r="R83" s="259">
        <f t="shared" si="50"/>
        <v>166.66666666666666</v>
      </c>
      <c r="S83" s="259">
        <f t="shared" si="51"/>
        <v>166.66666666666666</v>
      </c>
      <c r="T83" s="259">
        <f t="shared" si="52"/>
        <v>166.66666666666666</v>
      </c>
      <c r="U83" s="259">
        <f t="shared" si="53"/>
        <v>166.66666666666666</v>
      </c>
      <c r="V83" s="259">
        <f t="shared" si="54"/>
        <v>166.66666666666666</v>
      </c>
      <c r="W83" s="259">
        <f t="shared" si="55"/>
        <v>166.66666666666666</v>
      </c>
      <c r="X83" s="259">
        <f t="shared" si="56"/>
        <v>166.66666666666666</v>
      </c>
      <c r="Y83" s="259">
        <f t="shared" si="57"/>
        <v>166.66666666666666</v>
      </c>
      <c r="Z83" s="259">
        <f t="shared" si="58"/>
        <v>166.66666666666666</v>
      </c>
      <c r="AA83" s="259">
        <f t="shared" si="59"/>
        <v>166.66666666666666</v>
      </c>
      <c r="AB83" s="258">
        <f t="shared" si="60"/>
        <v>166.66666666666666</v>
      </c>
      <c r="AC83" s="259">
        <f t="shared" si="61"/>
        <v>166.66666666666666</v>
      </c>
      <c r="AD83" s="259">
        <f t="shared" si="62"/>
        <v>166.66666666666666</v>
      </c>
      <c r="AE83" s="259">
        <f t="shared" si="63"/>
        <v>166.66666666666666</v>
      </c>
      <c r="AF83" s="259">
        <f t="shared" si="64"/>
        <v>166.66666666666666</v>
      </c>
      <c r="AG83" s="259">
        <f t="shared" si="65"/>
        <v>166.66666666666666</v>
      </c>
      <c r="AH83" s="259">
        <f t="shared" si="66"/>
        <v>166.66666666666666</v>
      </c>
      <c r="AI83" s="259">
        <f t="shared" si="67"/>
        <v>166.66666666666666</v>
      </c>
      <c r="AJ83" s="259">
        <f t="shared" si="68"/>
        <v>166.66666666666666</v>
      </c>
      <c r="AK83" s="259">
        <f t="shared" si="69"/>
        <v>166.66666666666666</v>
      </c>
      <c r="AL83" s="259">
        <f t="shared" si="70"/>
        <v>166.66666666666666</v>
      </c>
      <c r="AM83" s="259">
        <f t="shared" si="71"/>
        <v>166.66666666666666</v>
      </c>
    </row>
    <row r="84" spans="1:39" s="256" customFormat="1" outlineLevel="1" x14ac:dyDescent="0.25">
      <c r="B84" s="256" t="str">
        <v>PcbTrae</v>
      </c>
      <c r="C84" s="257" t="s">
        <v>58</v>
      </c>
      <c r="D84" s="258">
        <f t="shared" si="36"/>
        <v>0</v>
      </c>
      <c r="E84" s="259">
        <f t="shared" si="37"/>
        <v>0</v>
      </c>
      <c r="F84" s="259">
        <f t="shared" si="38"/>
        <v>0</v>
      </c>
      <c r="G84" s="259">
        <f t="shared" si="39"/>
        <v>0</v>
      </c>
      <c r="H84" s="259">
        <f t="shared" si="40"/>
        <v>0</v>
      </c>
      <c r="I84" s="259">
        <f t="shared" si="41"/>
        <v>0</v>
      </c>
      <c r="J84" s="259">
        <f t="shared" si="42"/>
        <v>0</v>
      </c>
      <c r="K84" s="259">
        <f t="shared" si="43"/>
        <v>0</v>
      </c>
      <c r="L84" s="259">
        <f t="shared" si="44"/>
        <v>0</v>
      </c>
      <c r="M84" s="259">
        <f t="shared" si="45"/>
        <v>0</v>
      </c>
      <c r="N84" s="259">
        <f t="shared" si="46"/>
        <v>0</v>
      </c>
      <c r="O84" s="259">
        <f t="shared" si="47"/>
        <v>0</v>
      </c>
      <c r="P84" s="258">
        <f t="shared" si="48"/>
        <v>0</v>
      </c>
      <c r="Q84" s="259">
        <f t="shared" si="49"/>
        <v>0</v>
      </c>
      <c r="R84" s="259">
        <f t="shared" si="50"/>
        <v>0</v>
      </c>
      <c r="S84" s="259">
        <f t="shared" si="51"/>
        <v>0</v>
      </c>
      <c r="T84" s="259">
        <f t="shared" si="52"/>
        <v>0</v>
      </c>
      <c r="U84" s="259">
        <f t="shared" si="53"/>
        <v>0</v>
      </c>
      <c r="V84" s="259">
        <f t="shared" si="54"/>
        <v>0</v>
      </c>
      <c r="W84" s="259">
        <f t="shared" si="55"/>
        <v>0</v>
      </c>
      <c r="X84" s="259">
        <f t="shared" si="56"/>
        <v>0</v>
      </c>
      <c r="Y84" s="259">
        <f t="shared" si="57"/>
        <v>0</v>
      </c>
      <c r="Z84" s="259">
        <f t="shared" si="58"/>
        <v>0</v>
      </c>
      <c r="AA84" s="259">
        <f t="shared" si="59"/>
        <v>0</v>
      </c>
      <c r="AB84" s="258">
        <f t="shared" si="60"/>
        <v>0</v>
      </c>
      <c r="AC84" s="259">
        <f t="shared" si="61"/>
        <v>0</v>
      </c>
      <c r="AD84" s="259">
        <f t="shared" si="62"/>
        <v>0</v>
      </c>
      <c r="AE84" s="259">
        <f t="shared" si="63"/>
        <v>0</v>
      </c>
      <c r="AF84" s="259">
        <f t="shared" si="64"/>
        <v>0</v>
      </c>
      <c r="AG84" s="259">
        <f t="shared" si="65"/>
        <v>0</v>
      </c>
      <c r="AH84" s="259">
        <f t="shared" si="66"/>
        <v>0</v>
      </c>
      <c r="AI84" s="259">
        <f t="shared" si="67"/>
        <v>0</v>
      </c>
      <c r="AJ84" s="259">
        <f t="shared" si="68"/>
        <v>0</v>
      </c>
      <c r="AK84" s="259">
        <f t="shared" si="69"/>
        <v>0</v>
      </c>
      <c r="AL84" s="259">
        <f t="shared" si="70"/>
        <v>0</v>
      </c>
      <c r="AM84" s="259">
        <f t="shared" si="71"/>
        <v>0</v>
      </c>
    </row>
    <row r="85" spans="1:39" s="256" customFormat="1" outlineLevel="1" x14ac:dyDescent="0.25">
      <c r="B85" s="256" t="str">
        <v>TraeRekv</v>
      </c>
      <c r="C85" s="257" t="s">
        <v>58</v>
      </c>
      <c r="D85" s="258">
        <f t="shared" si="36"/>
        <v>125</v>
      </c>
      <c r="E85" s="259">
        <f t="shared" si="37"/>
        <v>0</v>
      </c>
      <c r="F85" s="259">
        <f t="shared" si="38"/>
        <v>125</v>
      </c>
      <c r="G85" s="259">
        <f t="shared" si="39"/>
        <v>125</v>
      </c>
      <c r="H85" s="259">
        <f t="shared" si="40"/>
        <v>125</v>
      </c>
      <c r="I85" s="259">
        <f t="shared" si="41"/>
        <v>125</v>
      </c>
      <c r="J85" s="259">
        <f t="shared" si="42"/>
        <v>125</v>
      </c>
      <c r="K85" s="259">
        <f t="shared" si="43"/>
        <v>125</v>
      </c>
      <c r="L85" s="259">
        <f t="shared" si="44"/>
        <v>125</v>
      </c>
      <c r="M85" s="259">
        <f t="shared" si="45"/>
        <v>125</v>
      </c>
      <c r="N85" s="259">
        <f t="shared" si="46"/>
        <v>125</v>
      </c>
      <c r="O85" s="259">
        <f t="shared" si="47"/>
        <v>125</v>
      </c>
      <c r="P85" s="258">
        <f t="shared" si="48"/>
        <v>125</v>
      </c>
      <c r="Q85" s="259">
        <f t="shared" si="49"/>
        <v>125</v>
      </c>
      <c r="R85" s="259">
        <f t="shared" si="50"/>
        <v>125</v>
      </c>
      <c r="S85" s="259">
        <f t="shared" si="51"/>
        <v>125</v>
      </c>
      <c r="T85" s="259">
        <f t="shared" si="52"/>
        <v>125</v>
      </c>
      <c r="U85" s="259">
        <f t="shared" si="53"/>
        <v>125</v>
      </c>
      <c r="V85" s="259">
        <f t="shared" si="54"/>
        <v>125</v>
      </c>
      <c r="W85" s="259">
        <f t="shared" si="55"/>
        <v>125</v>
      </c>
      <c r="X85" s="259">
        <f t="shared" si="56"/>
        <v>125</v>
      </c>
      <c r="Y85" s="259">
        <f t="shared" si="57"/>
        <v>125</v>
      </c>
      <c r="Z85" s="259">
        <f t="shared" si="58"/>
        <v>125</v>
      </c>
      <c r="AA85" s="259">
        <f t="shared" si="59"/>
        <v>125</v>
      </c>
      <c r="AB85" s="258">
        <f t="shared" si="60"/>
        <v>125</v>
      </c>
      <c r="AC85" s="259">
        <f t="shared" si="61"/>
        <v>125</v>
      </c>
      <c r="AD85" s="259">
        <f t="shared" si="62"/>
        <v>125</v>
      </c>
      <c r="AE85" s="259">
        <f t="shared" si="63"/>
        <v>125</v>
      </c>
      <c r="AF85" s="259">
        <f t="shared" si="64"/>
        <v>125</v>
      </c>
      <c r="AG85" s="259">
        <f t="shared" si="65"/>
        <v>125</v>
      </c>
      <c r="AH85" s="259">
        <f t="shared" si="66"/>
        <v>125</v>
      </c>
      <c r="AI85" s="259">
        <f t="shared" si="67"/>
        <v>125</v>
      </c>
      <c r="AJ85" s="259">
        <f t="shared" si="68"/>
        <v>125</v>
      </c>
      <c r="AK85" s="259">
        <f t="shared" si="69"/>
        <v>125</v>
      </c>
      <c r="AL85" s="259">
        <f t="shared" si="70"/>
        <v>125</v>
      </c>
      <c r="AM85" s="259">
        <f t="shared" si="71"/>
        <v>125</v>
      </c>
    </row>
    <row r="86" spans="1:39" s="256" customFormat="1" outlineLevel="1" x14ac:dyDescent="0.25">
      <c r="B86" s="256" t="str">
        <v>Halm</v>
      </c>
      <c r="C86" s="257" t="s">
        <v>58</v>
      </c>
      <c r="D86" s="258">
        <f t="shared" si="36"/>
        <v>0</v>
      </c>
      <c r="E86" s="259">
        <f t="shared" si="37"/>
        <v>0</v>
      </c>
      <c r="F86" s="259">
        <f t="shared" si="38"/>
        <v>0</v>
      </c>
      <c r="G86" s="259">
        <f t="shared" si="39"/>
        <v>0</v>
      </c>
      <c r="H86" s="259">
        <f t="shared" si="40"/>
        <v>0</v>
      </c>
      <c r="I86" s="259">
        <f t="shared" si="41"/>
        <v>0</v>
      </c>
      <c r="J86" s="259">
        <f t="shared" si="42"/>
        <v>0</v>
      </c>
      <c r="K86" s="259">
        <f t="shared" si="43"/>
        <v>0</v>
      </c>
      <c r="L86" s="259">
        <f t="shared" si="44"/>
        <v>0</v>
      </c>
      <c r="M86" s="259">
        <f t="shared" si="45"/>
        <v>0</v>
      </c>
      <c r="N86" s="259">
        <f t="shared" si="46"/>
        <v>0</v>
      </c>
      <c r="O86" s="259">
        <f t="shared" si="47"/>
        <v>0</v>
      </c>
      <c r="P86" s="258">
        <f t="shared" si="48"/>
        <v>0</v>
      </c>
      <c r="Q86" s="259">
        <f t="shared" si="49"/>
        <v>0</v>
      </c>
      <c r="R86" s="259">
        <f t="shared" si="50"/>
        <v>0</v>
      </c>
      <c r="S86" s="259">
        <f t="shared" si="51"/>
        <v>0</v>
      </c>
      <c r="T86" s="259">
        <f t="shared" si="52"/>
        <v>0</v>
      </c>
      <c r="U86" s="259">
        <f t="shared" si="53"/>
        <v>0</v>
      </c>
      <c r="V86" s="259">
        <f t="shared" si="54"/>
        <v>0</v>
      </c>
      <c r="W86" s="259">
        <f t="shared" si="55"/>
        <v>0</v>
      </c>
      <c r="X86" s="259">
        <f t="shared" si="56"/>
        <v>0</v>
      </c>
      <c r="Y86" s="259">
        <f t="shared" si="57"/>
        <v>0</v>
      </c>
      <c r="Z86" s="259">
        <f t="shared" si="58"/>
        <v>0</v>
      </c>
      <c r="AA86" s="259">
        <f t="shared" si="59"/>
        <v>0</v>
      </c>
      <c r="AB86" s="258">
        <f t="shared" si="60"/>
        <v>0</v>
      </c>
      <c r="AC86" s="259">
        <f t="shared" si="61"/>
        <v>0</v>
      </c>
      <c r="AD86" s="259">
        <f t="shared" si="62"/>
        <v>0</v>
      </c>
      <c r="AE86" s="259">
        <f t="shared" si="63"/>
        <v>0</v>
      </c>
      <c r="AF86" s="259">
        <f t="shared" si="64"/>
        <v>0</v>
      </c>
      <c r="AG86" s="259">
        <f t="shared" si="65"/>
        <v>0</v>
      </c>
      <c r="AH86" s="259">
        <f t="shared" si="66"/>
        <v>0</v>
      </c>
      <c r="AI86" s="259">
        <f t="shared" si="67"/>
        <v>0</v>
      </c>
      <c r="AJ86" s="259">
        <f t="shared" si="68"/>
        <v>0</v>
      </c>
      <c r="AK86" s="259">
        <f t="shared" si="69"/>
        <v>0</v>
      </c>
      <c r="AL86" s="259">
        <f t="shared" si="70"/>
        <v>0</v>
      </c>
      <c r="AM86" s="259">
        <f t="shared" si="71"/>
        <v>0</v>
      </c>
    </row>
    <row r="87" spans="1:39" s="256" customFormat="1" outlineLevel="1" x14ac:dyDescent="0.25">
      <c r="B87" s="256" t="str">
        <v>Pulver</v>
      </c>
      <c r="C87" s="257" t="s">
        <v>58</v>
      </c>
      <c r="D87" s="258">
        <f t="shared" si="36"/>
        <v>10</v>
      </c>
      <c r="E87" s="259">
        <f t="shared" si="37"/>
        <v>0</v>
      </c>
      <c r="F87" s="259">
        <f t="shared" si="38"/>
        <v>10</v>
      </c>
      <c r="G87" s="259">
        <f t="shared" si="39"/>
        <v>10</v>
      </c>
      <c r="H87" s="259">
        <f t="shared" si="40"/>
        <v>0</v>
      </c>
      <c r="I87" s="259">
        <f t="shared" si="41"/>
        <v>10</v>
      </c>
      <c r="J87" s="259">
        <f t="shared" si="42"/>
        <v>10</v>
      </c>
      <c r="K87" s="259">
        <f t="shared" si="43"/>
        <v>10</v>
      </c>
      <c r="L87" s="259">
        <f t="shared" si="44"/>
        <v>10</v>
      </c>
      <c r="M87" s="259">
        <f t="shared" si="45"/>
        <v>10</v>
      </c>
      <c r="N87" s="259">
        <f t="shared" si="46"/>
        <v>10</v>
      </c>
      <c r="O87" s="259">
        <f t="shared" si="47"/>
        <v>10</v>
      </c>
      <c r="P87" s="258">
        <f t="shared" si="48"/>
        <v>10</v>
      </c>
      <c r="Q87" s="259">
        <f t="shared" si="49"/>
        <v>10</v>
      </c>
      <c r="R87" s="259">
        <f t="shared" si="50"/>
        <v>10</v>
      </c>
      <c r="S87" s="259">
        <f t="shared" si="51"/>
        <v>10</v>
      </c>
      <c r="T87" s="259">
        <f t="shared" si="52"/>
        <v>10</v>
      </c>
      <c r="U87" s="259">
        <f t="shared" si="53"/>
        <v>10</v>
      </c>
      <c r="V87" s="259">
        <f t="shared" si="54"/>
        <v>10</v>
      </c>
      <c r="W87" s="259">
        <f t="shared" si="55"/>
        <v>10</v>
      </c>
      <c r="X87" s="259">
        <f t="shared" si="56"/>
        <v>10</v>
      </c>
      <c r="Y87" s="259">
        <f t="shared" si="57"/>
        <v>10</v>
      </c>
      <c r="Z87" s="259">
        <f t="shared" si="58"/>
        <v>10</v>
      </c>
      <c r="AA87" s="259">
        <f t="shared" si="59"/>
        <v>10</v>
      </c>
      <c r="AB87" s="258">
        <f t="shared" si="60"/>
        <v>10</v>
      </c>
      <c r="AC87" s="259">
        <f t="shared" si="61"/>
        <v>10</v>
      </c>
      <c r="AD87" s="259">
        <f t="shared" si="62"/>
        <v>10</v>
      </c>
      <c r="AE87" s="259">
        <f t="shared" si="63"/>
        <v>10</v>
      </c>
      <c r="AF87" s="259">
        <f t="shared" si="64"/>
        <v>10</v>
      </c>
      <c r="AG87" s="259">
        <f t="shared" si="65"/>
        <v>10</v>
      </c>
      <c r="AH87" s="259">
        <f t="shared" si="66"/>
        <v>10</v>
      </c>
      <c r="AI87" s="259">
        <f t="shared" si="67"/>
        <v>10</v>
      </c>
      <c r="AJ87" s="259">
        <f t="shared" si="68"/>
        <v>10</v>
      </c>
      <c r="AK87" s="259">
        <f t="shared" si="69"/>
        <v>10</v>
      </c>
      <c r="AL87" s="259">
        <f t="shared" si="70"/>
        <v>10</v>
      </c>
      <c r="AM87" s="259">
        <f t="shared" si="71"/>
        <v>10</v>
      </c>
    </row>
    <row r="88" spans="1:39" s="256" customFormat="1" outlineLevel="1" x14ac:dyDescent="0.25">
      <c r="B88" s="256" t="str">
        <v>FlisAffald</v>
      </c>
      <c r="C88" s="257" t="s">
        <v>58</v>
      </c>
      <c r="D88" s="258">
        <f t="shared" si="36"/>
        <v>12.5</v>
      </c>
      <c r="E88" s="259">
        <f t="shared" si="37"/>
        <v>0</v>
      </c>
      <c r="F88" s="259">
        <f t="shared" si="38"/>
        <v>12.5</v>
      </c>
      <c r="G88" s="259">
        <f t="shared" si="39"/>
        <v>0</v>
      </c>
      <c r="H88" s="259">
        <f t="shared" si="40"/>
        <v>0</v>
      </c>
      <c r="I88" s="259">
        <f t="shared" si="41"/>
        <v>12.5</v>
      </c>
      <c r="J88" s="259">
        <f t="shared" si="42"/>
        <v>12.5</v>
      </c>
      <c r="K88" s="259">
        <f t="shared" si="43"/>
        <v>12.5</v>
      </c>
      <c r="L88" s="259">
        <f t="shared" si="44"/>
        <v>12.5</v>
      </c>
      <c r="M88" s="259">
        <f t="shared" si="45"/>
        <v>12.5</v>
      </c>
      <c r="N88" s="259">
        <f t="shared" si="46"/>
        <v>12.5</v>
      </c>
      <c r="O88" s="259">
        <f t="shared" si="47"/>
        <v>12.5</v>
      </c>
      <c r="P88" s="258">
        <f t="shared" si="48"/>
        <v>12.5</v>
      </c>
      <c r="Q88" s="259">
        <f t="shared" si="49"/>
        <v>12.5</v>
      </c>
      <c r="R88" s="259">
        <f t="shared" si="50"/>
        <v>12.5</v>
      </c>
      <c r="S88" s="259">
        <f t="shared" si="51"/>
        <v>12.5</v>
      </c>
      <c r="T88" s="259">
        <f t="shared" si="52"/>
        <v>12.5</v>
      </c>
      <c r="U88" s="259">
        <f t="shared" si="53"/>
        <v>12.5</v>
      </c>
      <c r="V88" s="259">
        <f t="shared" si="54"/>
        <v>12.5</v>
      </c>
      <c r="W88" s="259">
        <f t="shared" si="55"/>
        <v>12.5</v>
      </c>
      <c r="X88" s="259">
        <f t="shared" si="56"/>
        <v>12.5</v>
      </c>
      <c r="Y88" s="259">
        <f t="shared" si="57"/>
        <v>12.5</v>
      </c>
      <c r="Z88" s="259">
        <f t="shared" si="58"/>
        <v>12.5</v>
      </c>
      <c r="AA88" s="259">
        <f t="shared" si="59"/>
        <v>12.5</v>
      </c>
      <c r="AB88" s="258">
        <f t="shared" si="60"/>
        <v>12.5</v>
      </c>
      <c r="AC88" s="259">
        <f t="shared" si="61"/>
        <v>12.5</v>
      </c>
      <c r="AD88" s="259">
        <f t="shared" si="62"/>
        <v>12.5</v>
      </c>
      <c r="AE88" s="259">
        <f t="shared" si="63"/>
        <v>12.5</v>
      </c>
      <c r="AF88" s="259">
        <f t="shared" si="64"/>
        <v>12.5</v>
      </c>
      <c r="AG88" s="259">
        <f t="shared" si="65"/>
        <v>12.5</v>
      </c>
      <c r="AH88" s="259">
        <f t="shared" si="66"/>
        <v>12.5</v>
      </c>
      <c r="AI88" s="259">
        <f t="shared" si="67"/>
        <v>12.5</v>
      </c>
      <c r="AJ88" s="259">
        <f t="shared" si="68"/>
        <v>12.5</v>
      </c>
      <c r="AK88" s="259">
        <f t="shared" si="69"/>
        <v>12.5</v>
      </c>
      <c r="AL88" s="259">
        <f t="shared" si="70"/>
        <v>12.5</v>
      </c>
      <c r="AM88" s="259">
        <f t="shared" si="71"/>
        <v>12.5</v>
      </c>
    </row>
    <row r="89" spans="1:39" s="256" customFormat="1" outlineLevel="1" x14ac:dyDescent="0.25">
      <c r="B89" s="256" t="str">
        <v>NyAff1</v>
      </c>
      <c r="C89" s="257" t="s">
        <v>58</v>
      </c>
      <c r="D89" s="258">
        <f t="shared" si="36"/>
        <v>0</v>
      </c>
      <c r="E89" s="259">
        <f t="shared" si="37"/>
        <v>0</v>
      </c>
      <c r="F89" s="259">
        <f t="shared" si="38"/>
        <v>0</v>
      </c>
      <c r="G89" s="259">
        <f t="shared" si="39"/>
        <v>0</v>
      </c>
      <c r="H89" s="259">
        <f t="shared" si="40"/>
        <v>0</v>
      </c>
      <c r="I89" s="259">
        <f t="shared" si="41"/>
        <v>0</v>
      </c>
      <c r="J89" s="259">
        <f t="shared" si="42"/>
        <v>0</v>
      </c>
      <c r="K89" s="259">
        <f t="shared" si="43"/>
        <v>0</v>
      </c>
      <c r="L89" s="259">
        <f t="shared" si="44"/>
        <v>0</v>
      </c>
      <c r="M89" s="259">
        <f t="shared" si="45"/>
        <v>0</v>
      </c>
      <c r="N89" s="259">
        <f t="shared" si="46"/>
        <v>0</v>
      </c>
      <c r="O89" s="259">
        <f t="shared" si="47"/>
        <v>0</v>
      </c>
      <c r="P89" s="258">
        <f t="shared" si="48"/>
        <v>0</v>
      </c>
      <c r="Q89" s="259">
        <f t="shared" si="49"/>
        <v>0</v>
      </c>
      <c r="R89" s="259">
        <f t="shared" si="50"/>
        <v>0</v>
      </c>
      <c r="S89" s="259">
        <f t="shared" si="51"/>
        <v>0</v>
      </c>
      <c r="T89" s="259">
        <f t="shared" si="52"/>
        <v>0</v>
      </c>
      <c r="U89" s="259">
        <f t="shared" si="53"/>
        <v>0</v>
      </c>
      <c r="V89" s="259">
        <f t="shared" si="54"/>
        <v>0</v>
      </c>
      <c r="W89" s="259">
        <f t="shared" si="55"/>
        <v>0</v>
      </c>
      <c r="X89" s="259">
        <f t="shared" si="56"/>
        <v>0</v>
      </c>
      <c r="Y89" s="259">
        <f t="shared" si="57"/>
        <v>0</v>
      </c>
      <c r="Z89" s="259">
        <f t="shared" si="58"/>
        <v>0</v>
      </c>
      <c r="AA89" s="259">
        <f t="shared" si="59"/>
        <v>0</v>
      </c>
      <c r="AB89" s="258">
        <f t="shared" si="60"/>
        <v>0</v>
      </c>
      <c r="AC89" s="259">
        <f t="shared" si="61"/>
        <v>0</v>
      </c>
      <c r="AD89" s="259">
        <f t="shared" si="62"/>
        <v>0</v>
      </c>
      <c r="AE89" s="259">
        <f t="shared" si="63"/>
        <v>0</v>
      </c>
      <c r="AF89" s="259">
        <f t="shared" si="64"/>
        <v>0</v>
      </c>
      <c r="AG89" s="259">
        <f t="shared" si="65"/>
        <v>0</v>
      </c>
      <c r="AH89" s="259">
        <f t="shared" si="66"/>
        <v>0</v>
      </c>
      <c r="AI89" s="259">
        <f t="shared" si="67"/>
        <v>0</v>
      </c>
      <c r="AJ89" s="259">
        <f t="shared" si="68"/>
        <v>0</v>
      </c>
      <c r="AK89" s="259">
        <f t="shared" si="69"/>
        <v>0</v>
      </c>
      <c r="AL89" s="259">
        <f t="shared" si="70"/>
        <v>0</v>
      </c>
      <c r="AM89" s="259">
        <f t="shared" si="71"/>
        <v>0</v>
      </c>
    </row>
    <row r="90" spans="1:39" s="256" customFormat="1" outlineLevel="1" x14ac:dyDescent="0.25">
      <c r="B90" s="256" t="str">
        <v>NyAff2</v>
      </c>
      <c r="C90" s="257" t="s">
        <v>58</v>
      </c>
      <c r="D90" s="258">
        <f t="shared" si="36"/>
        <v>0</v>
      </c>
      <c r="E90" s="259">
        <f t="shared" si="37"/>
        <v>0</v>
      </c>
      <c r="F90" s="259">
        <f t="shared" si="38"/>
        <v>0</v>
      </c>
      <c r="G90" s="259">
        <f t="shared" si="39"/>
        <v>0</v>
      </c>
      <c r="H90" s="259">
        <f t="shared" si="40"/>
        <v>0</v>
      </c>
      <c r="I90" s="259">
        <f t="shared" si="41"/>
        <v>0</v>
      </c>
      <c r="J90" s="259">
        <f t="shared" si="42"/>
        <v>0</v>
      </c>
      <c r="K90" s="259">
        <f t="shared" si="43"/>
        <v>0</v>
      </c>
      <c r="L90" s="259">
        <f t="shared" si="44"/>
        <v>0</v>
      </c>
      <c r="M90" s="259">
        <f t="shared" si="45"/>
        <v>0</v>
      </c>
      <c r="N90" s="259">
        <f t="shared" si="46"/>
        <v>0</v>
      </c>
      <c r="O90" s="259">
        <f t="shared" si="47"/>
        <v>0</v>
      </c>
      <c r="P90" s="258">
        <f t="shared" si="48"/>
        <v>0</v>
      </c>
      <c r="Q90" s="259">
        <f t="shared" si="49"/>
        <v>0</v>
      </c>
      <c r="R90" s="259">
        <f t="shared" si="50"/>
        <v>0</v>
      </c>
      <c r="S90" s="259">
        <f t="shared" si="51"/>
        <v>0</v>
      </c>
      <c r="T90" s="259">
        <f t="shared" si="52"/>
        <v>0</v>
      </c>
      <c r="U90" s="259">
        <f t="shared" si="53"/>
        <v>0</v>
      </c>
      <c r="V90" s="259">
        <f t="shared" si="54"/>
        <v>0</v>
      </c>
      <c r="W90" s="259">
        <f t="shared" si="55"/>
        <v>0</v>
      </c>
      <c r="X90" s="259">
        <f t="shared" si="56"/>
        <v>0</v>
      </c>
      <c r="Y90" s="259">
        <f t="shared" si="57"/>
        <v>0</v>
      </c>
      <c r="Z90" s="259">
        <f t="shared" si="58"/>
        <v>0</v>
      </c>
      <c r="AA90" s="259">
        <f t="shared" si="59"/>
        <v>0</v>
      </c>
      <c r="AB90" s="258">
        <f t="shared" si="60"/>
        <v>0</v>
      </c>
      <c r="AC90" s="259">
        <f t="shared" si="61"/>
        <v>0</v>
      </c>
      <c r="AD90" s="259">
        <f t="shared" si="62"/>
        <v>0</v>
      </c>
      <c r="AE90" s="259">
        <f t="shared" si="63"/>
        <v>0</v>
      </c>
      <c r="AF90" s="259">
        <f t="shared" si="64"/>
        <v>0</v>
      </c>
      <c r="AG90" s="259">
        <f t="shared" si="65"/>
        <v>0</v>
      </c>
      <c r="AH90" s="259">
        <f t="shared" si="66"/>
        <v>0</v>
      </c>
      <c r="AI90" s="259">
        <f t="shared" si="67"/>
        <v>0</v>
      </c>
      <c r="AJ90" s="259">
        <f t="shared" si="68"/>
        <v>0</v>
      </c>
      <c r="AK90" s="259">
        <f t="shared" si="69"/>
        <v>0</v>
      </c>
      <c r="AL90" s="259">
        <f t="shared" si="70"/>
        <v>0</v>
      </c>
      <c r="AM90" s="259">
        <f t="shared" si="71"/>
        <v>0</v>
      </c>
    </row>
    <row r="91" spans="1:39" s="256" customFormat="1" outlineLevel="1" x14ac:dyDescent="0.25">
      <c r="B91" s="256" t="str">
        <v>NyAff3</v>
      </c>
      <c r="C91" s="257" t="s">
        <v>58</v>
      </c>
      <c r="D91" s="258">
        <f t="shared" si="36"/>
        <v>0</v>
      </c>
      <c r="E91" s="259">
        <f t="shared" si="37"/>
        <v>0</v>
      </c>
      <c r="F91" s="259">
        <f t="shared" si="38"/>
        <v>0</v>
      </c>
      <c r="G91" s="259">
        <f t="shared" si="39"/>
        <v>0</v>
      </c>
      <c r="H91" s="259">
        <f t="shared" si="40"/>
        <v>0</v>
      </c>
      <c r="I91" s="259">
        <f t="shared" si="41"/>
        <v>0</v>
      </c>
      <c r="J91" s="259">
        <f t="shared" si="42"/>
        <v>0</v>
      </c>
      <c r="K91" s="259">
        <f t="shared" si="43"/>
        <v>0</v>
      </c>
      <c r="L91" s="259">
        <f t="shared" si="44"/>
        <v>0</v>
      </c>
      <c r="M91" s="259">
        <f t="shared" si="45"/>
        <v>0</v>
      </c>
      <c r="N91" s="259">
        <f t="shared" si="46"/>
        <v>0</v>
      </c>
      <c r="O91" s="259">
        <f t="shared" si="47"/>
        <v>0</v>
      </c>
      <c r="P91" s="258">
        <f t="shared" si="48"/>
        <v>0</v>
      </c>
      <c r="Q91" s="259">
        <f t="shared" si="49"/>
        <v>0</v>
      </c>
      <c r="R91" s="259">
        <f t="shared" si="50"/>
        <v>0</v>
      </c>
      <c r="S91" s="259">
        <f t="shared" si="51"/>
        <v>0</v>
      </c>
      <c r="T91" s="259">
        <f t="shared" si="52"/>
        <v>0</v>
      </c>
      <c r="U91" s="259">
        <f t="shared" si="53"/>
        <v>0</v>
      </c>
      <c r="V91" s="259">
        <f t="shared" si="54"/>
        <v>0</v>
      </c>
      <c r="W91" s="259">
        <f t="shared" si="55"/>
        <v>0</v>
      </c>
      <c r="X91" s="259">
        <f t="shared" si="56"/>
        <v>0</v>
      </c>
      <c r="Y91" s="259">
        <f t="shared" si="57"/>
        <v>0</v>
      </c>
      <c r="Z91" s="259">
        <f t="shared" si="58"/>
        <v>0</v>
      </c>
      <c r="AA91" s="259">
        <f t="shared" si="59"/>
        <v>0</v>
      </c>
      <c r="AB91" s="258">
        <f t="shared" si="60"/>
        <v>0</v>
      </c>
      <c r="AC91" s="259">
        <f t="shared" si="61"/>
        <v>0</v>
      </c>
      <c r="AD91" s="259">
        <f t="shared" si="62"/>
        <v>0</v>
      </c>
      <c r="AE91" s="259">
        <f t="shared" si="63"/>
        <v>0</v>
      </c>
      <c r="AF91" s="259">
        <f t="shared" si="64"/>
        <v>0</v>
      </c>
      <c r="AG91" s="259">
        <f t="shared" si="65"/>
        <v>0</v>
      </c>
      <c r="AH91" s="259">
        <f t="shared" si="66"/>
        <v>0</v>
      </c>
      <c r="AI91" s="259">
        <f t="shared" si="67"/>
        <v>0</v>
      </c>
      <c r="AJ91" s="259">
        <f t="shared" si="68"/>
        <v>0</v>
      </c>
      <c r="AK91" s="259">
        <f t="shared" si="69"/>
        <v>0</v>
      </c>
      <c r="AL91" s="259">
        <f t="shared" si="70"/>
        <v>0</v>
      </c>
      <c r="AM91" s="259">
        <f t="shared" si="71"/>
        <v>0</v>
      </c>
    </row>
    <row r="92" spans="1:39" s="256" customFormat="1" outlineLevel="1" x14ac:dyDescent="0.25">
      <c r="B92" s="256" t="str">
        <v>NyAff4</v>
      </c>
      <c r="C92" s="257" t="s">
        <v>58</v>
      </c>
      <c r="D92" s="258">
        <f t="shared" si="36"/>
        <v>0</v>
      </c>
      <c r="E92" s="259">
        <f t="shared" si="37"/>
        <v>0</v>
      </c>
      <c r="F92" s="259">
        <f t="shared" si="38"/>
        <v>0</v>
      </c>
      <c r="G92" s="259">
        <f t="shared" si="39"/>
        <v>0</v>
      </c>
      <c r="H92" s="259">
        <f t="shared" si="40"/>
        <v>0</v>
      </c>
      <c r="I92" s="259">
        <f t="shared" si="41"/>
        <v>0</v>
      </c>
      <c r="J92" s="259">
        <f t="shared" si="42"/>
        <v>0</v>
      </c>
      <c r="K92" s="259">
        <f t="shared" si="43"/>
        <v>0</v>
      </c>
      <c r="L92" s="259">
        <f t="shared" si="44"/>
        <v>0</v>
      </c>
      <c r="M92" s="259">
        <f t="shared" si="45"/>
        <v>0</v>
      </c>
      <c r="N92" s="259">
        <f t="shared" si="46"/>
        <v>0</v>
      </c>
      <c r="O92" s="259">
        <f t="shared" si="47"/>
        <v>0</v>
      </c>
      <c r="P92" s="258">
        <f t="shared" si="48"/>
        <v>0</v>
      </c>
      <c r="Q92" s="259">
        <f t="shared" si="49"/>
        <v>0</v>
      </c>
      <c r="R92" s="259">
        <f t="shared" si="50"/>
        <v>0</v>
      </c>
      <c r="S92" s="259">
        <f t="shared" si="51"/>
        <v>0</v>
      </c>
      <c r="T92" s="259">
        <f t="shared" si="52"/>
        <v>0</v>
      </c>
      <c r="U92" s="259">
        <f t="shared" si="53"/>
        <v>0</v>
      </c>
      <c r="V92" s="259">
        <f t="shared" si="54"/>
        <v>0</v>
      </c>
      <c r="W92" s="259">
        <f t="shared" si="55"/>
        <v>0</v>
      </c>
      <c r="X92" s="259">
        <f t="shared" si="56"/>
        <v>0</v>
      </c>
      <c r="Y92" s="259">
        <f t="shared" si="57"/>
        <v>0</v>
      </c>
      <c r="Z92" s="259">
        <f t="shared" si="58"/>
        <v>0</v>
      </c>
      <c r="AA92" s="259">
        <f t="shared" si="59"/>
        <v>0</v>
      </c>
      <c r="AB92" s="258">
        <f t="shared" si="60"/>
        <v>0</v>
      </c>
      <c r="AC92" s="259">
        <f t="shared" si="61"/>
        <v>0</v>
      </c>
      <c r="AD92" s="259">
        <f t="shared" si="62"/>
        <v>0</v>
      </c>
      <c r="AE92" s="259">
        <f t="shared" si="63"/>
        <v>0</v>
      </c>
      <c r="AF92" s="259">
        <f t="shared" si="64"/>
        <v>0</v>
      </c>
      <c r="AG92" s="259">
        <f t="shared" si="65"/>
        <v>0</v>
      </c>
      <c r="AH92" s="259">
        <f t="shared" si="66"/>
        <v>0</v>
      </c>
      <c r="AI92" s="259">
        <f t="shared" si="67"/>
        <v>0</v>
      </c>
      <c r="AJ92" s="259">
        <f t="shared" si="68"/>
        <v>0</v>
      </c>
      <c r="AK92" s="259">
        <f t="shared" si="69"/>
        <v>0</v>
      </c>
      <c r="AL92" s="259">
        <f t="shared" si="70"/>
        <v>0</v>
      </c>
      <c r="AM92" s="259">
        <f t="shared" si="71"/>
        <v>0</v>
      </c>
    </row>
    <row r="93" spans="1:39" s="256" customFormat="1" outlineLevel="1" x14ac:dyDescent="0.25">
      <c r="B93" s="256" t="str">
        <v>NyAff5</v>
      </c>
      <c r="C93" s="257" t="s">
        <v>58</v>
      </c>
      <c r="D93" s="258">
        <f t="shared" si="36"/>
        <v>0</v>
      </c>
      <c r="E93" s="259">
        <f t="shared" si="37"/>
        <v>0</v>
      </c>
      <c r="F93" s="259">
        <f t="shared" si="38"/>
        <v>0</v>
      </c>
      <c r="G93" s="259">
        <f t="shared" si="39"/>
        <v>0</v>
      </c>
      <c r="H93" s="259">
        <f t="shared" si="40"/>
        <v>0</v>
      </c>
      <c r="I93" s="259">
        <f t="shared" si="41"/>
        <v>0</v>
      </c>
      <c r="J93" s="259">
        <f t="shared" si="42"/>
        <v>0</v>
      </c>
      <c r="K93" s="259">
        <f t="shared" si="43"/>
        <v>0</v>
      </c>
      <c r="L93" s="259">
        <f t="shared" si="44"/>
        <v>0</v>
      </c>
      <c r="M93" s="259">
        <f t="shared" si="45"/>
        <v>0</v>
      </c>
      <c r="N93" s="259">
        <f t="shared" si="46"/>
        <v>0</v>
      </c>
      <c r="O93" s="259">
        <f t="shared" si="47"/>
        <v>0</v>
      </c>
      <c r="P93" s="258">
        <f t="shared" si="48"/>
        <v>0</v>
      </c>
      <c r="Q93" s="259">
        <f t="shared" si="49"/>
        <v>0</v>
      </c>
      <c r="R93" s="259">
        <f t="shared" si="50"/>
        <v>0</v>
      </c>
      <c r="S93" s="259">
        <f t="shared" si="51"/>
        <v>0</v>
      </c>
      <c r="T93" s="259">
        <f t="shared" si="52"/>
        <v>0</v>
      </c>
      <c r="U93" s="259">
        <f t="shared" si="53"/>
        <v>0</v>
      </c>
      <c r="V93" s="259">
        <f t="shared" si="54"/>
        <v>0</v>
      </c>
      <c r="W93" s="259">
        <f t="shared" si="55"/>
        <v>0</v>
      </c>
      <c r="X93" s="259">
        <f t="shared" si="56"/>
        <v>0</v>
      </c>
      <c r="Y93" s="259">
        <f t="shared" si="57"/>
        <v>0</v>
      </c>
      <c r="Z93" s="259">
        <f t="shared" si="58"/>
        <v>0</v>
      </c>
      <c r="AA93" s="259">
        <f t="shared" si="59"/>
        <v>0</v>
      </c>
      <c r="AB93" s="258">
        <f t="shared" si="60"/>
        <v>0</v>
      </c>
      <c r="AC93" s="259">
        <f t="shared" si="61"/>
        <v>0</v>
      </c>
      <c r="AD93" s="259">
        <f t="shared" si="62"/>
        <v>0</v>
      </c>
      <c r="AE93" s="259">
        <f t="shared" si="63"/>
        <v>0</v>
      </c>
      <c r="AF93" s="259">
        <f t="shared" si="64"/>
        <v>0</v>
      </c>
      <c r="AG93" s="259">
        <f t="shared" si="65"/>
        <v>0</v>
      </c>
      <c r="AH93" s="259">
        <f t="shared" si="66"/>
        <v>0</v>
      </c>
      <c r="AI93" s="259">
        <f t="shared" si="67"/>
        <v>0</v>
      </c>
      <c r="AJ93" s="259">
        <f t="shared" si="68"/>
        <v>0</v>
      </c>
      <c r="AK93" s="259">
        <f t="shared" si="69"/>
        <v>0</v>
      </c>
      <c r="AL93" s="259">
        <f t="shared" si="70"/>
        <v>0</v>
      </c>
      <c r="AM93" s="259">
        <f t="shared" si="71"/>
        <v>0</v>
      </c>
    </row>
    <row r="94" spans="1:39" s="43" customFormat="1" ht="15.75" x14ac:dyDescent="0.25">
      <c r="A94" s="40" t="s">
        <v>119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60" customFormat="1" outlineLevel="1" x14ac:dyDescent="0.25">
      <c r="B95" s="260" t="str" cm="1">
        <f t="array" ref="B95:B120">Affaldsfraktioner</f>
        <v>DepoSort</v>
      </c>
      <c r="C95" s="261" t="s">
        <v>194</v>
      </c>
      <c r="D95" s="262">
        <f t="shared" ref="D95:AM95" si="72">$P5</f>
        <v>10.5</v>
      </c>
      <c r="E95" s="263">
        <f t="shared" si="72"/>
        <v>10.5</v>
      </c>
      <c r="F95" s="263">
        <f t="shared" si="72"/>
        <v>10.5</v>
      </c>
      <c r="G95" s="263">
        <f t="shared" si="72"/>
        <v>10.5</v>
      </c>
      <c r="H95" s="263">
        <f t="shared" si="72"/>
        <v>10.5</v>
      </c>
      <c r="I95" s="263">
        <f t="shared" si="72"/>
        <v>10.5</v>
      </c>
      <c r="J95" s="263">
        <f t="shared" si="72"/>
        <v>10.5</v>
      </c>
      <c r="K95" s="263">
        <f t="shared" si="72"/>
        <v>10.5</v>
      </c>
      <c r="L95" s="263">
        <f t="shared" si="72"/>
        <v>10.5</v>
      </c>
      <c r="M95" s="263">
        <f t="shared" si="72"/>
        <v>10.5</v>
      </c>
      <c r="N95" s="263">
        <f t="shared" si="72"/>
        <v>10.5</v>
      </c>
      <c r="O95" s="263">
        <f t="shared" si="72"/>
        <v>10.5</v>
      </c>
      <c r="P95" s="262">
        <f t="shared" si="72"/>
        <v>10.5</v>
      </c>
      <c r="Q95" s="263">
        <f t="shared" si="72"/>
        <v>10.5</v>
      </c>
      <c r="R95" s="263">
        <f t="shared" si="72"/>
        <v>10.5</v>
      </c>
      <c r="S95" s="263">
        <f t="shared" si="72"/>
        <v>10.5</v>
      </c>
      <c r="T95" s="263">
        <f t="shared" si="72"/>
        <v>10.5</v>
      </c>
      <c r="U95" s="263">
        <f t="shared" si="72"/>
        <v>10.5</v>
      </c>
      <c r="V95" s="263">
        <f t="shared" si="72"/>
        <v>10.5</v>
      </c>
      <c r="W95" s="263">
        <f t="shared" si="72"/>
        <v>10.5</v>
      </c>
      <c r="X95" s="263">
        <f t="shared" si="72"/>
        <v>10.5</v>
      </c>
      <c r="Y95" s="263">
        <f t="shared" si="72"/>
        <v>10.5</v>
      </c>
      <c r="Z95" s="263">
        <f t="shared" si="72"/>
        <v>10.5</v>
      </c>
      <c r="AA95" s="263">
        <f t="shared" si="72"/>
        <v>10.5</v>
      </c>
      <c r="AB95" s="262">
        <f t="shared" si="72"/>
        <v>10.5</v>
      </c>
      <c r="AC95" s="263">
        <f t="shared" si="72"/>
        <v>10.5</v>
      </c>
      <c r="AD95" s="263">
        <f t="shared" si="72"/>
        <v>10.5</v>
      </c>
      <c r="AE95" s="263">
        <f t="shared" si="72"/>
        <v>10.5</v>
      </c>
      <c r="AF95" s="263">
        <f t="shared" si="72"/>
        <v>10.5</v>
      </c>
      <c r="AG95" s="263">
        <f t="shared" si="72"/>
        <v>10.5</v>
      </c>
      <c r="AH95" s="263">
        <f t="shared" si="72"/>
        <v>10.5</v>
      </c>
      <c r="AI95" s="263">
        <f t="shared" si="72"/>
        <v>10.5</v>
      </c>
      <c r="AJ95" s="263">
        <f t="shared" si="72"/>
        <v>10.5</v>
      </c>
      <c r="AK95" s="263">
        <f t="shared" si="72"/>
        <v>10.5</v>
      </c>
      <c r="AL95" s="263">
        <f t="shared" si="72"/>
        <v>10.5</v>
      </c>
      <c r="AM95" s="263">
        <f t="shared" si="72"/>
        <v>10.5</v>
      </c>
    </row>
    <row r="96" spans="1:39" s="260" customFormat="1" outlineLevel="1" x14ac:dyDescent="0.25">
      <c r="B96" s="260" t="str">
        <v>DepoSmaat</v>
      </c>
      <c r="C96" s="261" t="s">
        <v>194</v>
      </c>
      <c r="D96" s="262">
        <f t="shared" ref="D96:AM96" si="73">$P6</f>
        <v>10.5</v>
      </c>
      <c r="E96" s="263">
        <f t="shared" si="73"/>
        <v>10.5</v>
      </c>
      <c r="F96" s="263">
        <f t="shared" si="73"/>
        <v>10.5</v>
      </c>
      <c r="G96" s="263">
        <f t="shared" si="73"/>
        <v>10.5</v>
      </c>
      <c r="H96" s="263">
        <f t="shared" si="73"/>
        <v>10.5</v>
      </c>
      <c r="I96" s="263">
        <f t="shared" si="73"/>
        <v>10.5</v>
      </c>
      <c r="J96" s="263">
        <f t="shared" si="73"/>
        <v>10.5</v>
      </c>
      <c r="K96" s="263">
        <f t="shared" si="73"/>
        <v>10.5</v>
      </c>
      <c r="L96" s="263">
        <f t="shared" si="73"/>
        <v>10.5</v>
      </c>
      <c r="M96" s="263">
        <f t="shared" si="73"/>
        <v>10.5</v>
      </c>
      <c r="N96" s="263">
        <f t="shared" si="73"/>
        <v>10.5</v>
      </c>
      <c r="O96" s="263">
        <f t="shared" si="73"/>
        <v>10.5</v>
      </c>
      <c r="P96" s="262">
        <f t="shared" si="73"/>
        <v>10.5</v>
      </c>
      <c r="Q96" s="263">
        <f t="shared" si="73"/>
        <v>10.5</v>
      </c>
      <c r="R96" s="263">
        <f t="shared" si="73"/>
        <v>10.5</v>
      </c>
      <c r="S96" s="263">
        <f t="shared" si="73"/>
        <v>10.5</v>
      </c>
      <c r="T96" s="263">
        <f t="shared" si="73"/>
        <v>10.5</v>
      </c>
      <c r="U96" s="263">
        <f t="shared" si="73"/>
        <v>10.5</v>
      </c>
      <c r="V96" s="263">
        <f t="shared" si="73"/>
        <v>10.5</v>
      </c>
      <c r="W96" s="263">
        <f t="shared" si="73"/>
        <v>10.5</v>
      </c>
      <c r="X96" s="263">
        <f t="shared" si="73"/>
        <v>10.5</v>
      </c>
      <c r="Y96" s="263">
        <f t="shared" si="73"/>
        <v>10.5</v>
      </c>
      <c r="Z96" s="263">
        <f t="shared" si="73"/>
        <v>10.5</v>
      </c>
      <c r="AA96" s="263">
        <f t="shared" si="73"/>
        <v>10.5</v>
      </c>
      <c r="AB96" s="262">
        <f t="shared" si="73"/>
        <v>10.5</v>
      </c>
      <c r="AC96" s="263">
        <f t="shared" si="73"/>
        <v>10.5</v>
      </c>
      <c r="AD96" s="263">
        <f t="shared" si="73"/>
        <v>10.5</v>
      </c>
      <c r="AE96" s="263">
        <f t="shared" si="73"/>
        <v>10.5</v>
      </c>
      <c r="AF96" s="263">
        <f t="shared" si="73"/>
        <v>10.5</v>
      </c>
      <c r="AG96" s="263">
        <f t="shared" si="73"/>
        <v>10.5</v>
      </c>
      <c r="AH96" s="263">
        <f t="shared" si="73"/>
        <v>10.5</v>
      </c>
      <c r="AI96" s="263">
        <f t="shared" si="73"/>
        <v>10.5</v>
      </c>
      <c r="AJ96" s="263">
        <f t="shared" si="73"/>
        <v>10.5</v>
      </c>
      <c r="AK96" s="263">
        <f t="shared" si="73"/>
        <v>10.5</v>
      </c>
      <c r="AL96" s="263">
        <f t="shared" si="73"/>
        <v>10.5</v>
      </c>
      <c r="AM96" s="263">
        <f t="shared" si="73"/>
        <v>10.5</v>
      </c>
    </row>
    <row r="97" spans="2:39" s="260" customFormat="1" outlineLevel="1" x14ac:dyDescent="0.25">
      <c r="B97" s="260" t="str">
        <v>DepoNedd</v>
      </c>
      <c r="C97" s="261" t="s">
        <v>194</v>
      </c>
      <c r="D97" s="262">
        <f t="shared" ref="D97:AM97" si="74">$P7</f>
        <v>10.5</v>
      </c>
      <c r="E97" s="263">
        <f t="shared" si="74"/>
        <v>10.5</v>
      </c>
      <c r="F97" s="263">
        <f t="shared" si="74"/>
        <v>10.5</v>
      </c>
      <c r="G97" s="263">
        <f t="shared" si="74"/>
        <v>10.5</v>
      </c>
      <c r="H97" s="263">
        <f t="shared" si="74"/>
        <v>10.5</v>
      </c>
      <c r="I97" s="263">
        <f t="shared" si="74"/>
        <v>10.5</v>
      </c>
      <c r="J97" s="263">
        <f t="shared" si="74"/>
        <v>10.5</v>
      </c>
      <c r="K97" s="263">
        <f t="shared" si="74"/>
        <v>10.5</v>
      </c>
      <c r="L97" s="263">
        <f t="shared" si="74"/>
        <v>10.5</v>
      </c>
      <c r="M97" s="263">
        <f t="shared" si="74"/>
        <v>10.5</v>
      </c>
      <c r="N97" s="263">
        <f t="shared" si="74"/>
        <v>10.5</v>
      </c>
      <c r="O97" s="263">
        <f t="shared" si="74"/>
        <v>10.5</v>
      </c>
      <c r="P97" s="262">
        <f t="shared" si="74"/>
        <v>10.5</v>
      </c>
      <c r="Q97" s="263">
        <f t="shared" si="74"/>
        <v>10.5</v>
      </c>
      <c r="R97" s="263">
        <f t="shared" si="74"/>
        <v>10.5</v>
      </c>
      <c r="S97" s="263">
        <f t="shared" si="74"/>
        <v>10.5</v>
      </c>
      <c r="T97" s="263">
        <f t="shared" si="74"/>
        <v>10.5</v>
      </c>
      <c r="U97" s="263">
        <f t="shared" si="74"/>
        <v>10.5</v>
      </c>
      <c r="V97" s="263">
        <f t="shared" si="74"/>
        <v>10.5</v>
      </c>
      <c r="W97" s="263">
        <f t="shared" si="74"/>
        <v>10.5</v>
      </c>
      <c r="X97" s="263">
        <f t="shared" si="74"/>
        <v>10.5</v>
      </c>
      <c r="Y97" s="263">
        <f t="shared" si="74"/>
        <v>10.5</v>
      </c>
      <c r="Z97" s="263">
        <f t="shared" si="74"/>
        <v>10.5</v>
      </c>
      <c r="AA97" s="263">
        <f t="shared" si="74"/>
        <v>10.5</v>
      </c>
      <c r="AB97" s="262">
        <f t="shared" si="74"/>
        <v>10.5</v>
      </c>
      <c r="AC97" s="263">
        <f t="shared" si="74"/>
        <v>10.5</v>
      </c>
      <c r="AD97" s="263">
        <f t="shared" si="74"/>
        <v>10.5</v>
      </c>
      <c r="AE97" s="263">
        <f t="shared" si="74"/>
        <v>10.5</v>
      </c>
      <c r="AF97" s="263">
        <f t="shared" si="74"/>
        <v>10.5</v>
      </c>
      <c r="AG97" s="263">
        <f t="shared" si="74"/>
        <v>10.5</v>
      </c>
      <c r="AH97" s="263">
        <f t="shared" si="74"/>
        <v>10.5</v>
      </c>
      <c r="AI97" s="263">
        <f t="shared" si="74"/>
        <v>10.5</v>
      </c>
      <c r="AJ97" s="263">
        <f t="shared" si="74"/>
        <v>10.5</v>
      </c>
      <c r="AK97" s="263">
        <f t="shared" si="74"/>
        <v>10.5</v>
      </c>
      <c r="AL97" s="263">
        <f t="shared" si="74"/>
        <v>10.5</v>
      </c>
      <c r="AM97" s="263">
        <f t="shared" si="74"/>
        <v>10.5</v>
      </c>
    </row>
    <row r="98" spans="2:39" s="260" customFormat="1" outlineLevel="1" x14ac:dyDescent="0.25">
      <c r="B98" s="260" t="str">
        <v>Dagren</v>
      </c>
      <c r="C98" s="261" t="s">
        <v>194</v>
      </c>
      <c r="D98" s="262">
        <f t="shared" ref="D98:AM98" si="75">$P8</f>
        <v>9.4</v>
      </c>
      <c r="E98" s="263">
        <f t="shared" si="75"/>
        <v>9.4</v>
      </c>
      <c r="F98" s="263">
        <f t="shared" si="75"/>
        <v>9.4</v>
      </c>
      <c r="G98" s="263">
        <f t="shared" si="75"/>
        <v>9.4</v>
      </c>
      <c r="H98" s="263">
        <f t="shared" si="75"/>
        <v>9.4</v>
      </c>
      <c r="I98" s="263">
        <f t="shared" si="75"/>
        <v>9.4</v>
      </c>
      <c r="J98" s="263">
        <f t="shared" si="75"/>
        <v>9.4</v>
      </c>
      <c r="K98" s="263">
        <f t="shared" si="75"/>
        <v>9.4</v>
      </c>
      <c r="L98" s="263">
        <f t="shared" si="75"/>
        <v>9.4</v>
      </c>
      <c r="M98" s="263">
        <f t="shared" si="75"/>
        <v>9.4</v>
      </c>
      <c r="N98" s="263">
        <f t="shared" si="75"/>
        <v>9.4</v>
      </c>
      <c r="O98" s="263">
        <f t="shared" si="75"/>
        <v>9.4</v>
      </c>
      <c r="P98" s="262">
        <f t="shared" si="75"/>
        <v>9.4</v>
      </c>
      <c r="Q98" s="263">
        <f t="shared" si="75"/>
        <v>9.4</v>
      </c>
      <c r="R98" s="263">
        <f t="shared" si="75"/>
        <v>9.4</v>
      </c>
      <c r="S98" s="263">
        <f t="shared" si="75"/>
        <v>9.4</v>
      </c>
      <c r="T98" s="263">
        <f t="shared" si="75"/>
        <v>9.4</v>
      </c>
      <c r="U98" s="263">
        <f t="shared" si="75"/>
        <v>9.4</v>
      </c>
      <c r="V98" s="263">
        <f t="shared" si="75"/>
        <v>9.4</v>
      </c>
      <c r="W98" s="263">
        <f t="shared" si="75"/>
        <v>9.4</v>
      </c>
      <c r="X98" s="263">
        <f t="shared" si="75"/>
        <v>9.4</v>
      </c>
      <c r="Y98" s="263">
        <f t="shared" si="75"/>
        <v>9.4</v>
      </c>
      <c r="Z98" s="263">
        <f t="shared" si="75"/>
        <v>9.4</v>
      </c>
      <c r="AA98" s="263">
        <f t="shared" si="75"/>
        <v>9.4</v>
      </c>
      <c r="AB98" s="262">
        <f t="shared" si="75"/>
        <v>9.4</v>
      </c>
      <c r="AC98" s="263">
        <f t="shared" si="75"/>
        <v>9.4</v>
      </c>
      <c r="AD98" s="263">
        <f t="shared" si="75"/>
        <v>9.4</v>
      </c>
      <c r="AE98" s="263">
        <f t="shared" si="75"/>
        <v>9.4</v>
      </c>
      <c r="AF98" s="263">
        <f t="shared" si="75"/>
        <v>9.4</v>
      </c>
      <c r="AG98" s="263">
        <f t="shared" si="75"/>
        <v>9.4</v>
      </c>
      <c r="AH98" s="263">
        <f t="shared" si="75"/>
        <v>9.4</v>
      </c>
      <c r="AI98" s="263">
        <f t="shared" si="75"/>
        <v>9.4</v>
      </c>
      <c r="AJ98" s="263">
        <f t="shared" si="75"/>
        <v>9.4</v>
      </c>
      <c r="AK98" s="263">
        <f t="shared" si="75"/>
        <v>9.4</v>
      </c>
      <c r="AL98" s="263">
        <f t="shared" si="75"/>
        <v>9.4</v>
      </c>
      <c r="AM98" s="263">
        <f t="shared" si="75"/>
        <v>9.4</v>
      </c>
    </row>
    <row r="99" spans="2:39" s="260" customFormat="1" outlineLevel="1" x14ac:dyDescent="0.25">
      <c r="B99" s="260" t="str">
        <v>AndetBrand</v>
      </c>
      <c r="C99" s="261" t="s">
        <v>194</v>
      </c>
      <c r="D99" s="262">
        <f t="shared" ref="D99:AM99" si="76">$P9</f>
        <v>10.5</v>
      </c>
      <c r="E99" s="263">
        <f t="shared" si="76"/>
        <v>10.5</v>
      </c>
      <c r="F99" s="263">
        <f t="shared" si="76"/>
        <v>10.5</v>
      </c>
      <c r="G99" s="263">
        <f t="shared" si="76"/>
        <v>10.5</v>
      </c>
      <c r="H99" s="263">
        <f t="shared" si="76"/>
        <v>10.5</v>
      </c>
      <c r="I99" s="263">
        <f t="shared" si="76"/>
        <v>10.5</v>
      </c>
      <c r="J99" s="263">
        <f t="shared" si="76"/>
        <v>10.5</v>
      </c>
      <c r="K99" s="263">
        <f t="shared" si="76"/>
        <v>10.5</v>
      </c>
      <c r="L99" s="263">
        <f t="shared" si="76"/>
        <v>10.5</v>
      </c>
      <c r="M99" s="263">
        <f t="shared" si="76"/>
        <v>10.5</v>
      </c>
      <c r="N99" s="263">
        <f t="shared" si="76"/>
        <v>10.5</v>
      </c>
      <c r="O99" s="263">
        <f t="shared" si="76"/>
        <v>10.5</v>
      </c>
      <c r="P99" s="262">
        <f t="shared" si="76"/>
        <v>10.5</v>
      </c>
      <c r="Q99" s="263">
        <f t="shared" si="76"/>
        <v>10.5</v>
      </c>
      <c r="R99" s="263">
        <f t="shared" si="76"/>
        <v>10.5</v>
      </c>
      <c r="S99" s="263">
        <f t="shared" si="76"/>
        <v>10.5</v>
      </c>
      <c r="T99" s="263">
        <f t="shared" si="76"/>
        <v>10.5</v>
      </c>
      <c r="U99" s="263">
        <f t="shared" si="76"/>
        <v>10.5</v>
      </c>
      <c r="V99" s="263">
        <f t="shared" si="76"/>
        <v>10.5</v>
      </c>
      <c r="W99" s="263">
        <f t="shared" si="76"/>
        <v>10.5</v>
      </c>
      <c r="X99" s="263">
        <f t="shared" si="76"/>
        <v>10.5</v>
      </c>
      <c r="Y99" s="263">
        <f t="shared" si="76"/>
        <v>10.5</v>
      </c>
      <c r="Z99" s="263">
        <f t="shared" si="76"/>
        <v>10.5</v>
      </c>
      <c r="AA99" s="263">
        <f t="shared" si="76"/>
        <v>10.5</v>
      </c>
      <c r="AB99" s="262">
        <f t="shared" si="76"/>
        <v>10.5</v>
      </c>
      <c r="AC99" s="263">
        <f t="shared" si="76"/>
        <v>10.5</v>
      </c>
      <c r="AD99" s="263">
        <f t="shared" si="76"/>
        <v>10.5</v>
      </c>
      <c r="AE99" s="263">
        <f t="shared" si="76"/>
        <v>10.5</v>
      </c>
      <c r="AF99" s="263">
        <f t="shared" si="76"/>
        <v>10.5</v>
      </c>
      <c r="AG99" s="263">
        <f t="shared" si="76"/>
        <v>10.5</v>
      </c>
      <c r="AH99" s="263">
        <f t="shared" si="76"/>
        <v>10.5</v>
      </c>
      <c r="AI99" s="263">
        <f t="shared" si="76"/>
        <v>10.5</v>
      </c>
      <c r="AJ99" s="263">
        <f t="shared" si="76"/>
        <v>10.5</v>
      </c>
      <c r="AK99" s="263">
        <f t="shared" si="76"/>
        <v>10.5</v>
      </c>
      <c r="AL99" s="263">
        <f t="shared" si="76"/>
        <v>10.5</v>
      </c>
      <c r="AM99" s="263">
        <f t="shared" si="76"/>
        <v>10.5</v>
      </c>
    </row>
    <row r="100" spans="2:39" s="260" customFormat="1" outlineLevel="1" x14ac:dyDescent="0.25">
      <c r="B100" s="260" t="str">
        <v>Trae</v>
      </c>
      <c r="C100" s="261" t="s">
        <v>194</v>
      </c>
      <c r="D100" s="262">
        <f t="shared" ref="D100:AM100" si="77">$P10</f>
        <v>14.5</v>
      </c>
      <c r="E100" s="263">
        <f t="shared" si="77"/>
        <v>14.5</v>
      </c>
      <c r="F100" s="263">
        <f t="shared" si="77"/>
        <v>14.5</v>
      </c>
      <c r="G100" s="263">
        <f t="shared" si="77"/>
        <v>14.5</v>
      </c>
      <c r="H100" s="263">
        <f t="shared" si="77"/>
        <v>14.5</v>
      </c>
      <c r="I100" s="263">
        <f t="shared" si="77"/>
        <v>14.5</v>
      </c>
      <c r="J100" s="263">
        <f t="shared" si="77"/>
        <v>14.5</v>
      </c>
      <c r="K100" s="263">
        <f t="shared" si="77"/>
        <v>14.5</v>
      </c>
      <c r="L100" s="263">
        <f t="shared" si="77"/>
        <v>14.5</v>
      </c>
      <c r="M100" s="263">
        <f t="shared" si="77"/>
        <v>14.5</v>
      </c>
      <c r="N100" s="263">
        <f t="shared" si="77"/>
        <v>14.5</v>
      </c>
      <c r="O100" s="263">
        <f t="shared" si="77"/>
        <v>14.5</v>
      </c>
      <c r="P100" s="262">
        <f t="shared" si="77"/>
        <v>14.5</v>
      </c>
      <c r="Q100" s="263">
        <f t="shared" si="77"/>
        <v>14.5</v>
      </c>
      <c r="R100" s="263">
        <f t="shared" si="77"/>
        <v>14.5</v>
      </c>
      <c r="S100" s="263">
        <f t="shared" si="77"/>
        <v>14.5</v>
      </c>
      <c r="T100" s="263">
        <f t="shared" si="77"/>
        <v>14.5</v>
      </c>
      <c r="U100" s="263">
        <f t="shared" si="77"/>
        <v>14.5</v>
      </c>
      <c r="V100" s="263">
        <f t="shared" si="77"/>
        <v>14.5</v>
      </c>
      <c r="W100" s="263">
        <f t="shared" si="77"/>
        <v>14.5</v>
      </c>
      <c r="X100" s="263">
        <f t="shared" si="77"/>
        <v>14.5</v>
      </c>
      <c r="Y100" s="263">
        <f t="shared" si="77"/>
        <v>14.5</v>
      </c>
      <c r="Z100" s="263">
        <f t="shared" si="77"/>
        <v>14.5</v>
      </c>
      <c r="AA100" s="263">
        <f t="shared" si="77"/>
        <v>14.5</v>
      </c>
      <c r="AB100" s="262">
        <f t="shared" si="77"/>
        <v>14.5</v>
      </c>
      <c r="AC100" s="263">
        <f t="shared" si="77"/>
        <v>14.5</v>
      </c>
      <c r="AD100" s="263">
        <f t="shared" si="77"/>
        <v>14.5</v>
      </c>
      <c r="AE100" s="263">
        <f t="shared" si="77"/>
        <v>14.5</v>
      </c>
      <c r="AF100" s="263">
        <f t="shared" si="77"/>
        <v>14.5</v>
      </c>
      <c r="AG100" s="263">
        <f t="shared" si="77"/>
        <v>14.5</v>
      </c>
      <c r="AH100" s="263">
        <f t="shared" si="77"/>
        <v>14.5</v>
      </c>
      <c r="AI100" s="263">
        <f t="shared" si="77"/>
        <v>14.5</v>
      </c>
      <c r="AJ100" s="263">
        <f t="shared" si="77"/>
        <v>14.5</v>
      </c>
      <c r="AK100" s="263">
        <f t="shared" si="77"/>
        <v>14.5</v>
      </c>
      <c r="AL100" s="263">
        <f t="shared" si="77"/>
        <v>14.5</v>
      </c>
      <c r="AM100" s="263">
        <f t="shared" si="77"/>
        <v>14.5</v>
      </c>
    </row>
    <row r="101" spans="2:39" s="260" customFormat="1" outlineLevel="1" x14ac:dyDescent="0.25">
      <c r="B101" s="260" t="str">
        <v>DagrenRast</v>
      </c>
      <c r="C101" s="261" t="s">
        <v>194</v>
      </c>
      <c r="D101" s="262">
        <f t="shared" ref="D101:AM101" si="78">$P11</f>
        <v>12</v>
      </c>
      <c r="E101" s="263">
        <f t="shared" si="78"/>
        <v>12</v>
      </c>
      <c r="F101" s="263">
        <f t="shared" si="78"/>
        <v>12</v>
      </c>
      <c r="G101" s="263">
        <f t="shared" si="78"/>
        <v>12</v>
      </c>
      <c r="H101" s="263">
        <f t="shared" si="78"/>
        <v>12</v>
      </c>
      <c r="I101" s="263">
        <f t="shared" si="78"/>
        <v>12</v>
      </c>
      <c r="J101" s="263">
        <f t="shared" si="78"/>
        <v>12</v>
      </c>
      <c r="K101" s="263">
        <f t="shared" si="78"/>
        <v>12</v>
      </c>
      <c r="L101" s="263">
        <f t="shared" si="78"/>
        <v>12</v>
      </c>
      <c r="M101" s="263">
        <f t="shared" si="78"/>
        <v>12</v>
      </c>
      <c r="N101" s="263">
        <f t="shared" si="78"/>
        <v>12</v>
      </c>
      <c r="O101" s="263">
        <f t="shared" si="78"/>
        <v>12</v>
      </c>
      <c r="P101" s="262">
        <f t="shared" si="78"/>
        <v>12</v>
      </c>
      <c r="Q101" s="263">
        <f t="shared" si="78"/>
        <v>12</v>
      </c>
      <c r="R101" s="263">
        <f t="shared" si="78"/>
        <v>12</v>
      </c>
      <c r="S101" s="263">
        <f t="shared" si="78"/>
        <v>12</v>
      </c>
      <c r="T101" s="263">
        <f t="shared" si="78"/>
        <v>12</v>
      </c>
      <c r="U101" s="263">
        <f t="shared" si="78"/>
        <v>12</v>
      </c>
      <c r="V101" s="263">
        <f t="shared" si="78"/>
        <v>12</v>
      </c>
      <c r="W101" s="263">
        <f t="shared" si="78"/>
        <v>12</v>
      </c>
      <c r="X101" s="263">
        <f t="shared" si="78"/>
        <v>12</v>
      </c>
      <c r="Y101" s="263">
        <f t="shared" si="78"/>
        <v>12</v>
      </c>
      <c r="Z101" s="263">
        <f t="shared" si="78"/>
        <v>12</v>
      </c>
      <c r="AA101" s="263">
        <f t="shared" si="78"/>
        <v>12</v>
      </c>
      <c r="AB101" s="262">
        <f t="shared" si="78"/>
        <v>12</v>
      </c>
      <c r="AC101" s="263">
        <f t="shared" si="78"/>
        <v>12</v>
      </c>
      <c r="AD101" s="263">
        <f t="shared" si="78"/>
        <v>12</v>
      </c>
      <c r="AE101" s="263">
        <f t="shared" si="78"/>
        <v>12</v>
      </c>
      <c r="AF101" s="263">
        <f t="shared" si="78"/>
        <v>12</v>
      </c>
      <c r="AG101" s="263">
        <f t="shared" si="78"/>
        <v>12</v>
      </c>
      <c r="AH101" s="263">
        <f t="shared" si="78"/>
        <v>12</v>
      </c>
      <c r="AI101" s="263">
        <f t="shared" si="78"/>
        <v>12</v>
      </c>
      <c r="AJ101" s="263">
        <f t="shared" si="78"/>
        <v>12</v>
      </c>
      <c r="AK101" s="263">
        <f t="shared" si="78"/>
        <v>12</v>
      </c>
      <c r="AL101" s="263">
        <f t="shared" si="78"/>
        <v>12</v>
      </c>
      <c r="AM101" s="263">
        <f t="shared" si="78"/>
        <v>12</v>
      </c>
    </row>
    <row r="102" spans="2:39" s="260" customFormat="1" outlineLevel="1" x14ac:dyDescent="0.25">
      <c r="B102" s="260" t="str">
        <v>DagrenInst</v>
      </c>
      <c r="C102" s="261" t="s">
        <v>194</v>
      </c>
      <c r="D102" s="262">
        <f t="shared" ref="D102:AM102" si="79">$P12</f>
        <v>9</v>
      </c>
      <c r="E102" s="263">
        <f t="shared" si="79"/>
        <v>9</v>
      </c>
      <c r="F102" s="263">
        <f t="shared" si="79"/>
        <v>9</v>
      </c>
      <c r="G102" s="263">
        <f t="shared" si="79"/>
        <v>9</v>
      </c>
      <c r="H102" s="263">
        <f t="shared" si="79"/>
        <v>9</v>
      </c>
      <c r="I102" s="263">
        <f t="shared" si="79"/>
        <v>9</v>
      </c>
      <c r="J102" s="263">
        <f t="shared" si="79"/>
        <v>9</v>
      </c>
      <c r="K102" s="263">
        <f t="shared" si="79"/>
        <v>9</v>
      </c>
      <c r="L102" s="263">
        <f t="shared" si="79"/>
        <v>9</v>
      </c>
      <c r="M102" s="263">
        <f t="shared" si="79"/>
        <v>9</v>
      </c>
      <c r="N102" s="263">
        <f t="shared" si="79"/>
        <v>9</v>
      </c>
      <c r="O102" s="263">
        <f t="shared" si="79"/>
        <v>9</v>
      </c>
      <c r="P102" s="262">
        <f t="shared" si="79"/>
        <v>9</v>
      </c>
      <c r="Q102" s="263">
        <f t="shared" si="79"/>
        <v>9</v>
      </c>
      <c r="R102" s="263">
        <f t="shared" si="79"/>
        <v>9</v>
      </c>
      <c r="S102" s="263">
        <f t="shared" si="79"/>
        <v>9</v>
      </c>
      <c r="T102" s="263">
        <f t="shared" si="79"/>
        <v>9</v>
      </c>
      <c r="U102" s="263">
        <f t="shared" si="79"/>
        <v>9</v>
      </c>
      <c r="V102" s="263">
        <f t="shared" si="79"/>
        <v>9</v>
      </c>
      <c r="W102" s="263">
        <f t="shared" si="79"/>
        <v>9</v>
      </c>
      <c r="X102" s="263">
        <f t="shared" si="79"/>
        <v>9</v>
      </c>
      <c r="Y102" s="263">
        <f t="shared" si="79"/>
        <v>9</v>
      </c>
      <c r="Z102" s="263">
        <f t="shared" si="79"/>
        <v>9</v>
      </c>
      <c r="AA102" s="263">
        <f t="shared" si="79"/>
        <v>9</v>
      </c>
      <c r="AB102" s="262">
        <f t="shared" si="79"/>
        <v>9</v>
      </c>
      <c r="AC102" s="263">
        <f t="shared" si="79"/>
        <v>9</v>
      </c>
      <c r="AD102" s="263">
        <f t="shared" si="79"/>
        <v>9</v>
      </c>
      <c r="AE102" s="263">
        <f t="shared" si="79"/>
        <v>9</v>
      </c>
      <c r="AF102" s="263">
        <f t="shared" si="79"/>
        <v>9</v>
      </c>
      <c r="AG102" s="263">
        <f t="shared" si="79"/>
        <v>9</v>
      </c>
      <c r="AH102" s="263">
        <f t="shared" si="79"/>
        <v>9</v>
      </c>
      <c r="AI102" s="263">
        <f t="shared" si="79"/>
        <v>9</v>
      </c>
      <c r="AJ102" s="263">
        <f t="shared" si="79"/>
        <v>9</v>
      </c>
      <c r="AK102" s="263">
        <f t="shared" si="79"/>
        <v>9</v>
      </c>
      <c r="AL102" s="263">
        <f t="shared" si="79"/>
        <v>9</v>
      </c>
      <c r="AM102" s="263">
        <f t="shared" si="79"/>
        <v>9</v>
      </c>
    </row>
    <row r="103" spans="2:39" s="260" customFormat="1" outlineLevel="1" x14ac:dyDescent="0.25">
      <c r="B103" s="260" t="str">
        <v>DagrenHandel</v>
      </c>
      <c r="C103" s="261" t="s">
        <v>194</v>
      </c>
      <c r="D103" s="262">
        <f t="shared" ref="D103:AM103" si="80">$P13</f>
        <v>11</v>
      </c>
      <c r="E103" s="263">
        <f t="shared" si="80"/>
        <v>11</v>
      </c>
      <c r="F103" s="263">
        <f t="shared" si="80"/>
        <v>11</v>
      </c>
      <c r="G103" s="263">
        <f t="shared" si="80"/>
        <v>11</v>
      </c>
      <c r="H103" s="263">
        <f t="shared" si="80"/>
        <v>11</v>
      </c>
      <c r="I103" s="263">
        <f t="shared" si="80"/>
        <v>11</v>
      </c>
      <c r="J103" s="263">
        <f t="shared" si="80"/>
        <v>11</v>
      </c>
      <c r="K103" s="263">
        <f t="shared" si="80"/>
        <v>11</v>
      </c>
      <c r="L103" s="263">
        <f t="shared" si="80"/>
        <v>11</v>
      </c>
      <c r="M103" s="263">
        <f t="shared" si="80"/>
        <v>11</v>
      </c>
      <c r="N103" s="263">
        <f t="shared" si="80"/>
        <v>11</v>
      </c>
      <c r="O103" s="263">
        <f t="shared" si="80"/>
        <v>11</v>
      </c>
      <c r="P103" s="262">
        <f t="shared" si="80"/>
        <v>11</v>
      </c>
      <c r="Q103" s="263">
        <f t="shared" si="80"/>
        <v>11</v>
      </c>
      <c r="R103" s="263">
        <f t="shared" si="80"/>
        <v>11</v>
      </c>
      <c r="S103" s="263">
        <f t="shared" si="80"/>
        <v>11</v>
      </c>
      <c r="T103" s="263">
        <f t="shared" si="80"/>
        <v>11</v>
      </c>
      <c r="U103" s="263">
        <f t="shared" si="80"/>
        <v>11</v>
      </c>
      <c r="V103" s="263">
        <f t="shared" si="80"/>
        <v>11</v>
      </c>
      <c r="W103" s="263">
        <f t="shared" si="80"/>
        <v>11</v>
      </c>
      <c r="X103" s="263">
        <f t="shared" si="80"/>
        <v>11</v>
      </c>
      <c r="Y103" s="263">
        <f t="shared" si="80"/>
        <v>11</v>
      </c>
      <c r="Z103" s="263">
        <f t="shared" si="80"/>
        <v>11</v>
      </c>
      <c r="AA103" s="263">
        <f t="shared" si="80"/>
        <v>11</v>
      </c>
      <c r="AB103" s="262">
        <f t="shared" si="80"/>
        <v>11</v>
      </c>
      <c r="AC103" s="263">
        <f t="shared" si="80"/>
        <v>11</v>
      </c>
      <c r="AD103" s="263">
        <f t="shared" si="80"/>
        <v>11</v>
      </c>
      <c r="AE103" s="263">
        <f t="shared" si="80"/>
        <v>11</v>
      </c>
      <c r="AF103" s="263">
        <f t="shared" si="80"/>
        <v>11</v>
      </c>
      <c r="AG103" s="263">
        <f t="shared" si="80"/>
        <v>11</v>
      </c>
      <c r="AH103" s="263">
        <f t="shared" si="80"/>
        <v>11</v>
      </c>
      <c r="AI103" s="263">
        <f t="shared" si="80"/>
        <v>11</v>
      </c>
      <c r="AJ103" s="263">
        <f t="shared" si="80"/>
        <v>11</v>
      </c>
      <c r="AK103" s="263">
        <f t="shared" si="80"/>
        <v>11</v>
      </c>
      <c r="AL103" s="263">
        <f t="shared" si="80"/>
        <v>11</v>
      </c>
      <c r="AM103" s="263">
        <f t="shared" si="80"/>
        <v>11</v>
      </c>
    </row>
    <row r="104" spans="2:39" s="260" customFormat="1" outlineLevel="1" x14ac:dyDescent="0.25">
      <c r="B104" s="260" t="str">
        <v>DagrenRestau</v>
      </c>
      <c r="C104" s="261" t="s">
        <v>194</v>
      </c>
      <c r="D104" s="262">
        <f t="shared" ref="D104:AM104" si="81">$P14</f>
        <v>9.5</v>
      </c>
      <c r="E104" s="263">
        <f t="shared" si="81"/>
        <v>9.5</v>
      </c>
      <c r="F104" s="263">
        <f t="shared" si="81"/>
        <v>9.5</v>
      </c>
      <c r="G104" s="263">
        <f t="shared" si="81"/>
        <v>9.5</v>
      </c>
      <c r="H104" s="263">
        <f t="shared" si="81"/>
        <v>9.5</v>
      </c>
      <c r="I104" s="263">
        <f t="shared" si="81"/>
        <v>9.5</v>
      </c>
      <c r="J104" s="263">
        <f t="shared" si="81"/>
        <v>9.5</v>
      </c>
      <c r="K104" s="263">
        <f t="shared" si="81"/>
        <v>9.5</v>
      </c>
      <c r="L104" s="263">
        <f t="shared" si="81"/>
        <v>9.5</v>
      </c>
      <c r="M104" s="263">
        <f t="shared" si="81"/>
        <v>9.5</v>
      </c>
      <c r="N104" s="263">
        <f t="shared" si="81"/>
        <v>9.5</v>
      </c>
      <c r="O104" s="263">
        <f t="shared" si="81"/>
        <v>9.5</v>
      </c>
      <c r="P104" s="262">
        <f t="shared" si="81"/>
        <v>9.5</v>
      </c>
      <c r="Q104" s="263">
        <f t="shared" si="81"/>
        <v>9.5</v>
      </c>
      <c r="R104" s="263">
        <f t="shared" si="81"/>
        <v>9.5</v>
      </c>
      <c r="S104" s="263">
        <f t="shared" si="81"/>
        <v>9.5</v>
      </c>
      <c r="T104" s="263">
        <f t="shared" si="81"/>
        <v>9.5</v>
      </c>
      <c r="U104" s="263">
        <f t="shared" si="81"/>
        <v>9.5</v>
      </c>
      <c r="V104" s="263">
        <f t="shared" si="81"/>
        <v>9.5</v>
      </c>
      <c r="W104" s="263">
        <f t="shared" si="81"/>
        <v>9.5</v>
      </c>
      <c r="X104" s="263">
        <f t="shared" si="81"/>
        <v>9.5</v>
      </c>
      <c r="Y104" s="263">
        <f t="shared" si="81"/>
        <v>9.5</v>
      </c>
      <c r="Z104" s="263">
        <f t="shared" si="81"/>
        <v>9.5</v>
      </c>
      <c r="AA104" s="263">
        <f t="shared" si="81"/>
        <v>9.5</v>
      </c>
      <c r="AB104" s="262">
        <f t="shared" si="81"/>
        <v>9.5</v>
      </c>
      <c r="AC104" s="263">
        <f t="shared" si="81"/>
        <v>9.5</v>
      </c>
      <c r="AD104" s="263">
        <f t="shared" si="81"/>
        <v>9.5</v>
      </c>
      <c r="AE104" s="263">
        <f t="shared" si="81"/>
        <v>9.5</v>
      </c>
      <c r="AF104" s="263">
        <f t="shared" si="81"/>
        <v>9.5</v>
      </c>
      <c r="AG104" s="263">
        <f t="shared" si="81"/>
        <v>9.5</v>
      </c>
      <c r="AH104" s="263">
        <f t="shared" si="81"/>
        <v>9.5</v>
      </c>
      <c r="AI104" s="263">
        <f t="shared" si="81"/>
        <v>9.5</v>
      </c>
      <c r="AJ104" s="263">
        <f t="shared" si="81"/>
        <v>9.5</v>
      </c>
      <c r="AK104" s="263">
        <f t="shared" si="81"/>
        <v>9.5</v>
      </c>
      <c r="AL104" s="263">
        <f t="shared" si="81"/>
        <v>9.5</v>
      </c>
      <c r="AM104" s="263">
        <f t="shared" si="81"/>
        <v>9.5</v>
      </c>
    </row>
    <row r="105" spans="2:39" s="260" customFormat="1" outlineLevel="1" x14ac:dyDescent="0.25">
      <c r="B105" s="260" t="str">
        <v>Erhverv</v>
      </c>
      <c r="C105" s="261" t="s">
        <v>194</v>
      </c>
      <c r="D105" s="262">
        <f t="shared" ref="D105:AM105" si="82">$P15</f>
        <v>9</v>
      </c>
      <c r="E105" s="263">
        <f t="shared" si="82"/>
        <v>9</v>
      </c>
      <c r="F105" s="263">
        <f t="shared" si="82"/>
        <v>9</v>
      </c>
      <c r="G105" s="263">
        <f t="shared" si="82"/>
        <v>9</v>
      </c>
      <c r="H105" s="263">
        <f t="shared" si="82"/>
        <v>9</v>
      </c>
      <c r="I105" s="263">
        <f t="shared" si="82"/>
        <v>9</v>
      </c>
      <c r="J105" s="263">
        <f t="shared" si="82"/>
        <v>9</v>
      </c>
      <c r="K105" s="263">
        <f t="shared" si="82"/>
        <v>9</v>
      </c>
      <c r="L105" s="263">
        <f t="shared" si="82"/>
        <v>9</v>
      </c>
      <c r="M105" s="263">
        <f t="shared" si="82"/>
        <v>9</v>
      </c>
      <c r="N105" s="263">
        <f t="shared" si="82"/>
        <v>9</v>
      </c>
      <c r="O105" s="263">
        <f t="shared" si="82"/>
        <v>9</v>
      </c>
      <c r="P105" s="262">
        <f t="shared" si="82"/>
        <v>9</v>
      </c>
      <c r="Q105" s="263">
        <f t="shared" si="82"/>
        <v>9</v>
      </c>
      <c r="R105" s="263">
        <f t="shared" si="82"/>
        <v>9</v>
      </c>
      <c r="S105" s="263">
        <f t="shared" si="82"/>
        <v>9</v>
      </c>
      <c r="T105" s="263">
        <f t="shared" si="82"/>
        <v>9</v>
      </c>
      <c r="U105" s="263">
        <f t="shared" si="82"/>
        <v>9</v>
      </c>
      <c r="V105" s="263">
        <f t="shared" si="82"/>
        <v>9</v>
      </c>
      <c r="W105" s="263">
        <f t="shared" si="82"/>
        <v>9</v>
      </c>
      <c r="X105" s="263">
        <f t="shared" si="82"/>
        <v>9</v>
      </c>
      <c r="Y105" s="263">
        <f t="shared" si="82"/>
        <v>9</v>
      </c>
      <c r="Z105" s="263">
        <f t="shared" si="82"/>
        <v>9</v>
      </c>
      <c r="AA105" s="263">
        <f t="shared" si="82"/>
        <v>9</v>
      </c>
      <c r="AB105" s="262">
        <f t="shared" si="82"/>
        <v>9</v>
      </c>
      <c r="AC105" s="263">
        <f t="shared" si="82"/>
        <v>9</v>
      </c>
      <c r="AD105" s="263">
        <f t="shared" si="82"/>
        <v>9</v>
      </c>
      <c r="AE105" s="263">
        <f t="shared" si="82"/>
        <v>9</v>
      </c>
      <c r="AF105" s="263">
        <f t="shared" si="82"/>
        <v>9</v>
      </c>
      <c r="AG105" s="263">
        <f t="shared" si="82"/>
        <v>9</v>
      </c>
      <c r="AH105" s="263">
        <f t="shared" si="82"/>
        <v>9</v>
      </c>
      <c r="AI105" s="263">
        <f t="shared" si="82"/>
        <v>9</v>
      </c>
      <c r="AJ105" s="263">
        <f t="shared" si="82"/>
        <v>9</v>
      </c>
      <c r="AK105" s="263">
        <f t="shared" si="82"/>
        <v>9</v>
      </c>
      <c r="AL105" s="263">
        <f t="shared" si="82"/>
        <v>9</v>
      </c>
      <c r="AM105" s="263">
        <f t="shared" si="82"/>
        <v>9</v>
      </c>
    </row>
    <row r="106" spans="2:39" s="260" customFormat="1" outlineLevel="1" x14ac:dyDescent="0.25">
      <c r="B106" s="260" t="str">
        <v>DagrenErhverv</v>
      </c>
      <c r="C106" s="261" t="s">
        <v>194</v>
      </c>
      <c r="D106" s="262">
        <f t="shared" ref="D106:AM106" si="83">$P16</f>
        <v>12</v>
      </c>
      <c r="E106" s="263">
        <f t="shared" si="83"/>
        <v>12</v>
      </c>
      <c r="F106" s="263">
        <f t="shared" si="83"/>
        <v>12</v>
      </c>
      <c r="G106" s="263">
        <f t="shared" si="83"/>
        <v>12</v>
      </c>
      <c r="H106" s="263">
        <f t="shared" si="83"/>
        <v>12</v>
      </c>
      <c r="I106" s="263">
        <f t="shared" si="83"/>
        <v>12</v>
      </c>
      <c r="J106" s="263">
        <f t="shared" si="83"/>
        <v>12</v>
      </c>
      <c r="K106" s="263">
        <f t="shared" si="83"/>
        <v>12</v>
      </c>
      <c r="L106" s="263">
        <f t="shared" si="83"/>
        <v>12</v>
      </c>
      <c r="M106" s="263">
        <f t="shared" si="83"/>
        <v>12</v>
      </c>
      <c r="N106" s="263">
        <f t="shared" si="83"/>
        <v>12</v>
      </c>
      <c r="O106" s="263">
        <f t="shared" si="83"/>
        <v>12</v>
      </c>
      <c r="P106" s="262">
        <f t="shared" si="83"/>
        <v>12</v>
      </c>
      <c r="Q106" s="263">
        <f t="shared" si="83"/>
        <v>12</v>
      </c>
      <c r="R106" s="263">
        <f t="shared" si="83"/>
        <v>12</v>
      </c>
      <c r="S106" s="263">
        <f t="shared" si="83"/>
        <v>12</v>
      </c>
      <c r="T106" s="263">
        <f t="shared" si="83"/>
        <v>12</v>
      </c>
      <c r="U106" s="263">
        <f t="shared" si="83"/>
        <v>12</v>
      </c>
      <c r="V106" s="263">
        <f t="shared" si="83"/>
        <v>12</v>
      </c>
      <c r="W106" s="263">
        <f t="shared" si="83"/>
        <v>12</v>
      </c>
      <c r="X106" s="263">
        <f t="shared" si="83"/>
        <v>12</v>
      </c>
      <c r="Y106" s="263">
        <f t="shared" si="83"/>
        <v>12</v>
      </c>
      <c r="Z106" s="263">
        <f t="shared" si="83"/>
        <v>12</v>
      </c>
      <c r="AA106" s="263">
        <f t="shared" si="83"/>
        <v>12</v>
      </c>
      <c r="AB106" s="262">
        <f t="shared" si="83"/>
        <v>12</v>
      </c>
      <c r="AC106" s="263">
        <f t="shared" si="83"/>
        <v>12</v>
      </c>
      <c r="AD106" s="263">
        <f t="shared" si="83"/>
        <v>12</v>
      </c>
      <c r="AE106" s="263">
        <f t="shared" si="83"/>
        <v>12</v>
      </c>
      <c r="AF106" s="263">
        <f t="shared" si="83"/>
        <v>12</v>
      </c>
      <c r="AG106" s="263">
        <f t="shared" si="83"/>
        <v>12</v>
      </c>
      <c r="AH106" s="263">
        <f t="shared" si="83"/>
        <v>12</v>
      </c>
      <c r="AI106" s="263">
        <f t="shared" si="83"/>
        <v>12</v>
      </c>
      <c r="AJ106" s="263">
        <f t="shared" si="83"/>
        <v>12</v>
      </c>
      <c r="AK106" s="263">
        <f t="shared" si="83"/>
        <v>12</v>
      </c>
      <c r="AL106" s="263">
        <f t="shared" si="83"/>
        <v>12</v>
      </c>
      <c r="AM106" s="263">
        <f t="shared" si="83"/>
        <v>12</v>
      </c>
    </row>
    <row r="107" spans="2:39" s="260" customFormat="1" outlineLevel="1" x14ac:dyDescent="0.25">
      <c r="B107" s="260" t="str">
        <v>HandelKontor</v>
      </c>
      <c r="C107" s="261" t="s">
        <v>194</v>
      </c>
      <c r="D107" s="262">
        <f t="shared" ref="D107:AM107" si="84">$P17</f>
        <v>10</v>
      </c>
      <c r="E107" s="263">
        <f t="shared" si="84"/>
        <v>10</v>
      </c>
      <c r="F107" s="263">
        <f t="shared" si="84"/>
        <v>10</v>
      </c>
      <c r="G107" s="263">
        <f t="shared" si="84"/>
        <v>10</v>
      </c>
      <c r="H107" s="263">
        <f t="shared" si="84"/>
        <v>10</v>
      </c>
      <c r="I107" s="263">
        <f t="shared" si="84"/>
        <v>10</v>
      </c>
      <c r="J107" s="263">
        <f t="shared" si="84"/>
        <v>10</v>
      </c>
      <c r="K107" s="263">
        <f t="shared" si="84"/>
        <v>10</v>
      </c>
      <c r="L107" s="263">
        <f t="shared" si="84"/>
        <v>10</v>
      </c>
      <c r="M107" s="263">
        <f t="shared" si="84"/>
        <v>10</v>
      </c>
      <c r="N107" s="263">
        <f t="shared" si="84"/>
        <v>10</v>
      </c>
      <c r="O107" s="263">
        <f t="shared" si="84"/>
        <v>10</v>
      </c>
      <c r="P107" s="262">
        <f t="shared" si="84"/>
        <v>10</v>
      </c>
      <c r="Q107" s="263">
        <f t="shared" si="84"/>
        <v>10</v>
      </c>
      <c r="R107" s="263">
        <f t="shared" si="84"/>
        <v>10</v>
      </c>
      <c r="S107" s="263">
        <f t="shared" si="84"/>
        <v>10</v>
      </c>
      <c r="T107" s="263">
        <f t="shared" si="84"/>
        <v>10</v>
      </c>
      <c r="U107" s="263">
        <f t="shared" si="84"/>
        <v>10</v>
      </c>
      <c r="V107" s="263">
        <f t="shared" si="84"/>
        <v>10</v>
      </c>
      <c r="W107" s="263">
        <f t="shared" si="84"/>
        <v>10</v>
      </c>
      <c r="X107" s="263">
        <f t="shared" si="84"/>
        <v>10</v>
      </c>
      <c r="Y107" s="263">
        <f t="shared" si="84"/>
        <v>10</v>
      </c>
      <c r="Z107" s="263">
        <f t="shared" si="84"/>
        <v>10</v>
      </c>
      <c r="AA107" s="263">
        <f t="shared" si="84"/>
        <v>10</v>
      </c>
      <c r="AB107" s="262">
        <f t="shared" si="84"/>
        <v>10</v>
      </c>
      <c r="AC107" s="263">
        <f t="shared" si="84"/>
        <v>10</v>
      </c>
      <c r="AD107" s="263">
        <f t="shared" si="84"/>
        <v>10</v>
      </c>
      <c r="AE107" s="263">
        <f t="shared" si="84"/>
        <v>10</v>
      </c>
      <c r="AF107" s="263">
        <f t="shared" si="84"/>
        <v>10</v>
      </c>
      <c r="AG107" s="263">
        <f t="shared" si="84"/>
        <v>10</v>
      </c>
      <c r="AH107" s="263">
        <f t="shared" si="84"/>
        <v>10</v>
      </c>
      <c r="AI107" s="263">
        <f t="shared" si="84"/>
        <v>10</v>
      </c>
      <c r="AJ107" s="263">
        <f t="shared" si="84"/>
        <v>10</v>
      </c>
      <c r="AK107" s="263">
        <f t="shared" si="84"/>
        <v>10</v>
      </c>
      <c r="AL107" s="263">
        <f t="shared" si="84"/>
        <v>10</v>
      </c>
      <c r="AM107" s="263">
        <f t="shared" si="84"/>
        <v>10</v>
      </c>
    </row>
    <row r="108" spans="2:39" s="260" customFormat="1" outlineLevel="1" x14ac:dyDescent="0.25">
      <c r="B108" s="260" t="str">
        <v>Privat</v>
      </c>
      <c r="C108" s="261" t="s">
        <v>194</v>
      </c>
      <c r="D108" s="262">
        <f t="shared" ref="D108:AM108" si="85">$P18</f>
        <v>11</v>
      </c>
      <c r="E108" s="263">
        <f t="shared" si="85"/>
        <v>11</v>
      </c>
      <c r="F108" s="263">
        <f t="shared" si="85"/>
        <v>11</v>
      </c>
      <c r="G108" s="263">
        <f t="shared" si="85"/>
        <v>11</v>
      </c>
      <c r="H108" s="263">
        <f t="shared" si="85"/>
        <v>11</v>
      </c>
      <c r="I108" s="263">
        <f t="shared" si="85"/>
        <v>11</v>
      </c>
      <c r="J108" s="263">
        <f t="shared" si="85"/>
        <v>11</v>
      </c>
      <c r="K108" s="263">
        <f t="shared" si="85"/>
        <v>11</v>
      </c>
      <c r="L108" s="263">
        <f t="shared" si="85"/>
        <v>11</v>
      </c>
      <c r="M108" s="263">
        <f t="shared" si="85"/>
        <v>11</v>
      </c>
      <c r="N108" s="263">
        <f t="shared" si="85"/>
        <v>11</v>
      </c>
      <c r="O108" s="263">
        <f t="shared" si="85"/>
        <v>11</v>
      </c>
      <c r="P108" s="262">
        <f t="shared" si="85"/>
        <v>11</v>
      </c>
      <c r="Q108" s="263">
        <f t="shared" si="85"/>
        <v>11</v>
      </c>
      <c r="R108" s="263">
        <f t="shared" si="85"/>
        <v>11</v>
      </c>
      <c r="S108" s="263">
        <f t="shared" si="85"/>
        <v>11</v>
      </c>
      <c r="T108" s="263">
        <f t="shared" si="85"/>
        <v>11</v>
      </c>
      <c r="U108" s="263">
        <f t="shared" si="85"/>
        <v>11</v>
      </c>
      <c r="V108" s="263">
        <f t="shared" si="85"/>
        <v>11</v>
      </c>
      <c r="W108" s="263">
        <f t="shared" si="85"/>
        <v>11</v>
      </c>
      <c r="X108" s="263">
        <f t="shared" si="85"/>
        <v>11</v>
      </c>
      <c r="Y108" s="263">
        <f t="shared" si="85"/>
        <v>11</v>
      </c>
      <c r="Z108" s="263">
        <f t="shared" si="85"/>
        <v>11</v>
      </c>
      <c r="AA108" s="263">
        <f t="shared" si="85"/>
        <v>11</v>
      </c>
      <c r="AB108" s="262">
        <f t="shared" si="85"/>
        <v>11</v>
      </c>
      <c r="AC108" s="263">
        <f t="shared" si="85"/>
        <v>11</v>
      </c>
      <c r="AD108" s="263">
        <f t="shared" si="85"/>
        <v>11</v>
      </c>
      <c r="AE108" s="263">
        <f t="shared" si="85"/>
        <v>11</v>
      </c>
      <c r="AF108" s="263">
        <f t="shared" si="85"/>
        <v>11</v>
      </c>
      <c r="AG108" s="263">
        <f t="shared" si="85"/>
        <v>11</v>
      </c>
      <c r="AH108" s="263">
        <f t="shared" si="85"/>
        <v>11</v>
      </c>
      <c r="AI108" s="263">
        <f t="shared" si="85"/>
        <v>11</v>
      </c>
      <c r="AJ108" s="263">
        <f t="shared" si="85"/>
        <v>11</v>
      </c>
      <c r="AK108" s="263">
        <f t="shared" si="85"/>
        <v>11</v>
      </c>
      <c r="AL108" s="263">
        <f t="shared" si="85"/>
        <v>11</v>
      </c>
      <c r="AM108" s="263">
        <f t="shared" si="85"/>
        <v>11</v>
      </c>
    </row>
    <row r="109" spans="2:39" s="260" customFormat="1" outlineLevel="1" x14ac:dyDescent="0.25">
      <c r="B109" s="260" t="str">
        <v>TyskRest</v>
      </c>
      <c r="C109" s="261" t="s">
        <v>194</v>
      </c>
      <c r="D109" s="262">
        <f t="shared" ref="D109:AM109" si="86">$P19</f>
        <v>10.5</v>
      </c>
      <c r="E109" s="263">
        <f t="shared" si="86"/>
        <v>10.5</v>
      </c>
      <c r="F109" s="263">
        <f t="shared" si="86"/>
        <v>10.5</v>
      </c>
      <c r="G109" s="263">
        <f t="shared" si="86"/>
        <v>10.5</v>
      </c>
      <c r="H109" s="263">
        <f t="shared" si="86"/>
        <v>10.5</v>
      </c>
      <c r="I109" s="263">
        <f t="shared" si="86"/>
        <v>10.5</v>
      </c>
      <c r="J109" s="263">
        <f t="shared" si="86"/>
        <v>10.5</v>
      </c>
      <c r="K109" s="263">
        <f t="shared" si="86"/>
        <v>10.5</v>
      </c>
      <c r="L109" s="263">
        <f t="shared" si="86"/>
        <v>10.5</v>
      </c>
      <c r="M109" s="263">
        <f t="shared" si="86"/>
        <v>10.5</v>
      </c>
      <c r="N109" s="263">
        <f t="shared" si="86"/>
        <v>10.5</v>
      </c>
      <c r="O109" s="263">
        <f t="shared" si="86"/>
        <v>10.5</v>
      </c>
      <c r="P109" s="262">
        <f t="shared" si="86"/>
        <v>10.5</v>
      </c>
      <c r="Q109" s="263">
        <f t="shared" si="86"/>
        <v>10.5</v>
      </c>
      <c r="R109" s="263">
        <f t="shared" si="86"/>
        <v>10.5</v>
      </c>
      <c r="S109" s="263">
        <f t="shared" si="86"/>
        <v>10.5</v>
      </c>
      <c r="T109" s="263">
        <f t="shared" si="86"/>
        <v>10.5</v>
      </c>
      <c r="U109" s="263">
        <f t="shared" si="86"/>
        <v>10.5</v>
      </c>
      <c r="V109" s="263">
        <f t="shared" si="86"/>
        <v>10.5</v>
      </c>
      <c r="W109" s="263">
        <f t="shared" si="86"/>
        <v>10.5</v>
      </c>
      <c r="X109" s="263">
        <f t="shared" si="86"/>
        <v>10.5</v>
      </c>
      <c r="Y109" s="263">
        <f t="shared" si="86"/>
        <v>10.5</v>
      </c>
      <c r="Z109" s="263">
        <f t="shared" si="86"/>
        <v>10.5</v>
      </c>
      <c r="AA109" s="263">
        <f t="shared" si="86"/>
        <v>10.5</v>
      </c>
      <c r="AB109" s="262">
        <f t="shared" si="86"/>
        <v>10.5</v>
      </c>
      <c r="AC109" s="263">
        <f t="shared" si="86"/>
        <v>10.5</v>
      </c>
      <c r="AD109" s="263">
        <f t="shared" si="86"/>
        <v>10.5</v>
      </c>
      <c r="AE109" s="263">
        <f t="shared" si="86"/>
        <v>10.5</v>
      </c>
      <c r="AF109" s="263">
        <f t="shared" si="86"/>
        <v>10.5</v>
      </c>
      <c r="AG109" s="263">
        <f t="shared" si="86"/>
        <v>10.5</v>
      </c>
      <c r="AH109" s="263">
        <f t="shared" si="86"/>
        <v>10.5</v>
      </c>
      <c r="AI109" s="263">
        <f t="shared" si="86"/>
        <v>10.5</v>
      </c>
      <c r="AJ109" s="263">
        <f t="shared" si="86"/>
        <v>10.5</v>
      </c>
      <c r="AK109" s="263">
        <f t="shared" si="86"/>
        <v>10.5</v>
      </c>
      <c r="AL109" s="263">
        <f t="shared" si="86"/>
        <v>10.5</v>
      </c>
      <c r="AM109" s="263">
        <f t="shared" si="86"/>
        <v>10.5</v>
      </c>
    </row>
    <row r="110" spans="2:39" s="260" customFormat="1" outlineLevel="1" x14ac:dyDescent="0.25">
      <c r="B110" s="260" t="str">
        <v>PolskRest</v>
      </c>
      <c r="C110" s="261" t="s">
        <v>194</v>
      </c>
      <c r="D110" s="262">
        <f t="shared" ref="D110:AM110" si="87">$P20</f>
        <v>10.5</v>
      </c>
      <c r="E110" s="263">
        <f t="shared" si="87"/>
        <v>10.5</v>
      </c>
      <c r="F110" s="263">
        <f t="shared" si="87"/>
        <v>10.5</v>
      </c>
      <c r="G110" s="263">
        <f t="shared" si="87"/>
        <v>10.5</v>
      </c>
      <c r="H110" s="263">
        <f t="shared" si="87"/>
        <v>10.5</v>
      </c>
      <c r="I110" s="263">
        <f t="shared" si="87"/>
        <v>10.5</v>
      </c>
      <c r="J110" s="263">
        <f t="shared" si="87"/>
        <v>10.5</v>
      </c>
      <c r="K110" s="263">
        <f t="shared" si="87"/>
        <v>10.5</v>
      </c>
      <c r="L110" s="263">
        <f t="shared" si="87"/>
        <v>10.5</v>
      </c>
      <c r="M110" s="263">
        <f t="shared" si="87"/>
        <v>10.5</v>
      </c>
      <c r="N110" s="263">
        <f t="shared" si="87"/>
        <v>10.5</v>
      </c>
      <c r="O110" s="263">
        <f t="shared" si="87"/>
        <v>10.5</v>
      </c>
      <c r="P110" s="262">
        <f t="shared" si="87"/>
        <v>10.5</v>
      </c>
      <c r="Q110" s="263">
        <f t="shared" si="87"/>
        <v>10.5</v>
      </c>
      <c r="R110" s="263">
        <f t="shared" si="87"/>
        <v>10.5</v>
      </c>
      <c r="S110" s="263">
        <f t="shared" si="87"/>
        <v>10.5</v>
      </c>
      <c r="T110" s="263">
        <f t="shared" si="87"/>
        <v>10.5</v>
      </c>
      <c r="U110" s="263">
        <f t="shared" si="87"/>
        <v>10.5</v>
      </c>
      <c r="V110" s="263">
        <f t="shared" si="87"/>
        <v>10.5</v>
      </c>
      <c r="W110" s="263">
        <f t="shared" si="87"/>
        <v>10.5</v>
      </c>
      <c r="X110" s="263">
        <f t="shared" si="87"/>
        <v>10.5</v>
      </c>
      <c r="Y110" s="263">
        <f t="shared" si="87"/>
        <v>10.5</v>
      </c>
      <c r="Z110" s="263">
        <f t="shared" si="87"/>
        <v>10.5</v>
      </c>
      <c r="AA110" s="263">
        <f t="shared" si="87"/>
        <v>10.5</v>
      </c>
      <c r="AB110" s="262">
        <f t="shared" si="87"/>
        <v>10.5</v>
      </c>
      <c r="AC110" s="263">
        <f t="shared" si="87"/>
        <v>10.5</v>
      </c>
      <c r="AD110" s="263">
        <f t="shared" si="87"/>
        <v>10.5</v>
      </c>
      <c r="AE110" s="263">
        <f t="shared" si="87"/>
        <v>10.5</v>
      </c>
      <c r="AF110" s="263">
        <f t="shared" si="87"/>
        <v>10.5</v>
      </c>
      <c r="AG110" s="263">
        <f t="shared" si="87"/>
        <v>10.5</v>
      </c>
      <c r="AH110" s="263">
        <f t="shared" si="87"/>
        <v>10.5</v>
      </c>
      <c r="AI110" s="263">
        <f t="shared" si="87"/>
        <v>10.5</v>
      </c>
      <c r="AJ110" s="263">
        <f t="shared" si="87"/>
        <v>10.5</v>
      </c>
      <c r="AK110" s="263">
        <f t="shared" si="87"/>
        <v>10.5</v>
      </c>
      <c r="AL110" s="263">
        <f t="shared" si="87"/>
        <v>10.5</v>
      </c>
      <c r="AM110" s="263">
        <f t="shared" si="87"/>
        <v>10.5</v>
      </c>
    </row>
    <row r="111" spans="2:39" s="260" customFormat="1" outlineLevel="1" x14ac:dyDescent="0.25">
      <c r="B111" s="260" t="str">
        <v>PcbTrae</v>
      </c>
      <c r="C111" s="261" t="s">
        <v>194</v>
      </c>
      <c r="D111" s="262">
        <f t="shared" ref="D111:AM111" si="88">$P21</f>
        <v>13</v>
      </c>
      <c r="E111" s="263">
        <f t="shared" si="88"/>
        <v>13</v>
      </c>
      <c r="F111" s="263">
        <f t="shared" si="88"/>
        <v>13</v>
      </c>
      <c r="G111" s="263">
        <f t="shared" si="88"/>
        <v>13</v>
      </c>
      <c r="H111" s="263">
        <f t="shared" si="88"/>
        <v>13</v>
      </c>
      <c r="I111" s="263">
        <f t="shared" si="88"/>
        <v>13</v>
      </c>
      <c r="J111" s="263">
        <f t="shared" si="88"/>
        <v>13</v>
      </c>
      <c r="K111" s="263">
        <f t="shared" si="88"/>
        <v>13</v>
      </c>
      <c r="L111" s="263">
        <f t="shared" si="88"/>
        <v>13</v>
      </c>
      <c r="M111" s="263">
        <f t="shared" si="88"/>
        <v>13</v>
      </c>
      <c r="N111" s="263">
        <f t="shared" si="88"/>
        <v>13</v>
      </c>
      <c r="O111" s="263">
        <f t="shared" si="88"/>
        <v>13</v>
      </c>
      <c r="P111" s="262">
        <f t="shared" si="88"/>
        <v>13</v>
      </c>
      <c r="Q111" s="263">
        <f t="shared" si="88"/>
        <v>13</v>
      </c>
      <c r="R111" s="263">
        <f t="shared" si="88"/>
        <v>13</v>
      </c>
      <c r="S111" s="263">
        <f t="shared" si="88"/>
        <v>13</v>
      </c>
      <c r="T111" s="263">
        <f t="shared" si="88"/>
        <v>13</v>
      </c>
      <c r="U111" s="263">
        <f t="shared" si="88"/>
        <v>13</v>
      </c>
      <c r="V111" s="263">
        <f t="shared" si="88"/>
        <v>13</v>
      </c>
      <c r="W111" s="263">
        <f t="shared" si="88"/>
        <v>13</v>
      </c>
      <c r="X111" s="263">
        <f t="shared" si="88"/>
        <v>13</v>
      </c>
      <c r="Y111" s="263">
        <f t="shared" si="88"/>
        <v>13</v>
      </c>
      <c r="Z111" s="263">
        <f t="shared" si="88"/>
        <v>13</v>
      </c>
      <c r="AA111" s="263">
        <f t="shared" si="88"/>
        <v>13</v>
      </c>
      <c r="AB111" s="262">
        <f t="shared" si="88"/>
        <v>13</v>
      </c>
      <c r="AC111" s="263">
        <f t="shared" si="88"/>
        <v>13</v>
      </c>
      <c r="AD111" s="263">
        <f t="shared" si="88"/>
        <v>13</v>
      </c>
      <c r="AE111" s="263">
        <f t="shared" si="88"/>
        <v>13</v>
      </c>
      <c r="AF111" s="263">
        <f t="shared" si="88"/>
        <v>13</v>
      </c>
      <c r="AG111" s="263">
        <f t="shared" si="88"/>
        <v>13</v>
      </c>
      <c r="AH111" s="263">
        <f t="shared" si="88"/>
        <v>13</v>
      </c>
      <c r="AI111" s="263">
        <f t="shared" si="88"/>
        <v>13</v>
      </c>
      <c r="AJ111" s="263">
        <f t="shared" si="88"/>
        <v>13</v>
      </c>
      <c r="AK111" s="263">
        <f t="shared" si="88"/>
        <v>13</v>
      </c>
      <c r="AL111" s="263">
        <f t="shared" si="88"/>
        <v>13</v>
      </c>
      <c r="AM111" s="263">
        <f t="shared" si="88"/>
        <v>13</v>
      </c>
    </row>
    <row r="112" spans="2:39" s="260" customFormat="1" outlineLevel="1" x14ac:dyDescent="0.25">
      <c r="B112" s="260" t="str">
        <v>TraeRekv</v>
      </c>
      <c r="C112" s="261" t="s">
        <v>194</v>
      </c>
      <c r="D112" s="262">
        <f t="shared" ref="D112:AM112" si="89">$P22</f>
        <v>14.5</v>
      </c>
      <c r="E112" s="263">
        <f t="shared" si="89"/>
        <v>14.5</v>
      </c>
      <c r="F112" s="263">
        <f t="shared" si="89"/>
        <v>14.5</v>
      </c>
      <c r="G112" s="263">
        <f t="shared" si="89"/>
        <v>14.5</v>
      </c>
      <c r="H112" s="263">
        <f t="shared" si="89"/>
        <v>14.5</v>
      </c>
      <c r="I112" s="263">
        <f t="shared" si="89"/>
        <v>14.5</v>
      </c>
      <c r="J112" s="263">
        <f t="shared" si="89"/>
        <v>14.5</v>
      </c>
      <c r="K112" s="263">
        <f t="shared" si="89"/>
        <v>14.5</v>
      </c>
      <c r="L112" s="263">
        <f t="shared" si="89"/>
        <v>14.5</v>
      </c>
      <c r="M112" s="263">
        <f t="shared" si="89"/>
        <v>14.5</v>
      </c>
      <c r="N112" s="263">
        <f t="shared" si="89"/>
        <v>14.5</v>
      </c>
      <c r="O112" s="263">
        <f t="shared" si="89"/>
        <v>14.5</v>
      </c>
      <c r="P112" s="262">
        <f t="shared" si="89"/>
        <v>14.5</v>
      </c>
      <c r="Q112" s="263">
        <f t="shared" si="89"/>
        <v>14.5</v>
      </c>
      <c r="R112" s="263">
        <f t="shared" si="89"/>
        <v>14.5</v>
      </c>
      <c r="S112" s="263">
        <f t="shared" si="89"/>
        <v>14.5</v>
      </c>
      <c r="T112" s="263">
        <f t="shared" si="89"/>
        <v>14.5</v>
      </c>
      <c r="U112" s="263">
        <f t="shared" si="89"/>
        <v>14.5</v>
      </c>
      <c r="V112" s="263">
        <f t="shared" si="89"/>
        <v>14.5</v>
      </c>
      <c r="W112" s="263">
        <f t="shared" si="89"/>
        <v>14.5</v>
      </c>
      <c r="X112" s="263">
        <f t="shared" si="89"/>
        <v>14.5</v>
      </c>
      <c r="Y112" s="263">
        <f t="shared" si="89"/>
        <v>14.5</v>
      </c>
      <c r="Z112" s="263">
        <f t="shared" si="89"/>
        <v>14.5</v>
      </c>
      <c r="AA112" s="263">
        <f t="shared" si="89"/>
        <v>14.5</v>
      </c>
      <c r="AB112" s="262">
        <f t="shared" si="89"/>
        <v>14.5</v>
      </c>
      <c r="AC112" s="263">
        <f t="shared" si="89"/>
        <v>14.5</v>
      </c>
      <c r="AD112" s="263">
        <f t="shared" si="89"/>
        <v>14.5</v>
      </c>
      <c r="AE112" s="263">
        <f t="shared" si="89"/>
        <v>14.5</v>
      </c>
      <c r="AF112" s="263">
        <f t="shared" si="89"/>
        <v>14.5</v>
      </c>
      <c r="AG112" s="263">
        <f t="shared" si="89"/>
        <v>14.5</v>
      </c>
      <c r="AH112" s="263">
        <f t="shared" si="89"/>
        <v>14.5</v>
      </c>
      <c r="AI112" s="263">
        <f t="shared" si="89"/>
        <v>14.5</v>
      </c>
      <c r="AJ112" s="263">
        <f t="shared" si="89"/>
        <v>14.5</v>
      </c>
      <c r="AK112" s="263">
        <f t="shared" si="89"/>
        <v>14.5</v>
      </c>
      <c r="AL112" s="263">
        <f t="shared" si="89"/>
        <v>14.5</v>
      </c>
      <c r="AM112" s="263">
        <f t="shared" si="89"/>
        <v>14.5</v>
      </c>
    </row>
    <row r="113" spans="1:39" s="260" customFormat="1" outlineLevel="1" x14ac:dyDescent="0.25">
      <c r="B113" s="260" t="str">
        <v>Halm</v>
      </c>
      <c r="C113" s="261" t="s">
        <v>194</v>
      </c>
      <c r="D113" s="262">
        <f t="shared" ref="D113:AM113" si="90">$P23</f>
        <v>14.7</v>
      </c>
      <c r="E113" s="263">
        <f t="shared" si="90"/>
        <v>14.7</v>
      </c>
      <c r="F113" s="263">
        <f t="shared" si="90"/>
        <v>14.7</v>
      </c>
      <c r="G113" s="263">
        <f t="shared" si="90"/>
        <v>14.7</v>
      </c>
      <c r="H113" s="263">
        <f t="shared" si="90"/>
        <v>14.7</v>
      </c>
      <c r="I113" s="263">
        <f t="shared" si="90"/>
        <v>14.7</v>
      </c>
      <c r="J113" s="263">
        <f t="shared" si="90"/>
        <v>14.7</v>
      </c>
      <c r="K113" s="263">
        <f t="shared" si="90"/>
        <v>14.7</v>
      </c>
      <c r="L113" s="263">
        <f t="shared" si="90"/>
        <v>14.7</v>
      </c>
      <c r="M113" s="263">
        <f t="shared" si="90"/>
        <v>14.7</v>
      </c>
      <c r="N113" s="263">
        <f t="shared" si="90"/>
        <v>14.7</v>
      </c>
      <c r="O113" s="263">
        <f t="shared" si="90"/>
        <v>14.7</v>
      </c>
      <c r="P113" s="262">
        <f t="shared" si="90"/>
        <v>14.7</v>
      </c>
      <c r="Q113" s="263">
        <f t="shared" si="90"/>
        <v>14.7</v>
      </c>
      <c r="R113" s="263">
        <f t="shared" si="90"/>
        <v>14.7</v>
      </c>
      <c r="S113" s="263">
        <f t="shared" si="90"/>
        <v>14.7</v>
      </c>
      <c r="T113" s="263">
        <f t="shared" si="90"/>
        <v>14.7</v>
      </c>
      <c r="U113" s="263">
        <f t="shared" si="90"/>
        <v>14.7</v>
      </c>
      <c r="V113" s="263">
        <f t="shared" si="90"/>
        <v>14.7</v>
      </c>
      <c r="W113" s="263">
        <f t="shared" si="90"/>
        <v>14.7</v>
      </c>
      <c r="X113" s="263">
        <f t="shared" si="90"/>
        <v>14.7</v>
      </c>
      <c r="Y113" s="263">
        <f t="shared" si="90"/>
        <v>14.7</v>
      </c>
      <c r="Z113" s="263">
        <f t="shared" si="90"/>
        <v>14.7</v>
      </c>
      <c r="AA113" s="263">
        <f t="shared" si="90"/>
        <v>14.7</v>
      </c>
      <c r="AB113" s="262">
        <f t="shared" si="90"/>
        <v>14.7</v>
      </c>
      <c r="AC113" s="263">
        <f t="shared" si="90"/>
        <v>14.7</v>
      </c>
      <c r="AD113" s="263">
        <f t="shared" si="90"/>
        <v>14.7</v>
      </c>
      <c r="AE113" s="263">
        <f t="shared" si="90"/>
        <v>14.7</v>
      </c>
      <c r="AF113" s="263">
        <f t="shared" si="90"/>
        <v>14.7</v>
      </c>
      <c r="AG113" s="263">
        <f t="shared" si="90"/>
        <v>14.7</v>
      </c>
      <c r="AH113" s="263">
        <f t="shared" si="90"/>
        <v>14.7</v>
      </c>
      <c r="AI113" s="263">
        <f t="shared" si="90"/>
        <v>14.7</v>
      </c>
      <c r="AJ113" s="263">
        <f t="shared" si="90"/>
        <v>14.7</v>
      </c>
      <c r="AK113" s="263">
        <f t="shared" si="90"/>
        <v>14.7</v>
      </c>
      <c r="AL113" s="263">
        <f t="shared" si="90"/>
        <v>14.7</v>
      </c>
      <c r="AM113" s="263">
        <f t="shared" si="90"/>
        <v>14.7</v>
      </c>
    </row>
    <row r="114" spans="1:39" s="260" customFormat="1" outlineLevel="1" x14ac:dyDescent="0.25">
      <c r="A114" s="264"/>
      <c r="B114" s="260" t="str">
        <v>Pulver</v>
      </c>
      <c r="C114" s="261" t="s">
        <v>194</v>
      </c>
      <c r="D114" s="262">
        <f t="shared" ref="D114:AM114" si="91">$P24</f>
        <v>14</v>
      </c>
      <c r="E114" s="263">
        <f t="shared" si="91"/>
        <v>14</v>
      </c>
      <c r="F114" s="263">
        <f t="shared" si="91"/>
        <v>14</v>
      </c>
      <c r="G114" s="263">
        <f t="shared" si="91"/>
        <v>14</v>
      </c>
      <c r="H114" s="263">
        <f t="shared" si="91"/>
        <v>14</v>
      </c>
      <c r="I114" s="263">
        <f t="shared" si="91"/>
        <v>14</v>
      </c>
      <c r="J114" s="263">
        <f t="shared" si="91"/>
        <v>14</v>
      </c>
      <c r="K114" s="263">
        <f t="shared" si="91"/>
        <v>14</v>
      </c>
      <c r="L114" s="263">
        <f t="shared" si="91"/>
        <v>14</v>
      </c>
      <c r="M114" s="263">
        <f t="shared" si="91"/>
        <v>14</v>
      </c>
      <c r="N114" s="263">
        <f t="shared" si="91"/>
        <v>14</v>
      </c>
      <c r="O114" s="263">
        <f t="shared" si="91"/>
        <v>14</v>
      </c>
      <c r="P114" s="262">
        <f t="shared" si="91"/>
        <v>14</v>
      </c>
      <c r="Q114" s="263">
        <f t="shared" si="91"/>
        <v>14</v>
      </c>
      <c r="R114" s="263">
        <f t="shared" si="91"/>
        <v>14</v>
      </c>
      <c r="S114" s="263">
        <f t="shared" si="91"/>
        <v>14</v>
      </c>
      <c r="T114" s="263">
        <f t="shared" si="91"/>
        <v>14</v>
      </c>
      <c r="U114" s="263">
        <f t="shared" si="91"/>
        <v>14</v>
      </c>
      <c r="V114" s="263">
        <f t="shared" si="91"/>
        <v>14</v>
      </c>
      <c r="W114" s="263">
        <f t="shared" si="91"/>
        <v>14</v>
      </c>
      <c r="X114" s="263">
        <f t="shared" si="91"/>
        <v>14</v>
      </c>
      <c r="Y114" s="263">
        <f t="shared" si="91"/>
        <v>14</v>
      </c>
      <c r="Z114" s="263">
        <f t="shared" si="91"/>
        <v>14</v>
      </c>
      <c r="AA114" s="263">
        <f t="shared" si="91"/>
        <v>14</v>
      </c>
      <c r="AB114" s="262">
        <f t="shared" si="91"/>
        <v>14</v>
      </c>
      <c r="AC114" s="263">
        <f t="shared" si="91"/>
        <v>14</v>
      </c>
      <c r="AD114" s="263">
        <f t="shared" si="91"/>
        <v>14</v>
      </c>
      <c r="AE114" s="263">
        <f t="shared" si="91"/>
        <v>14</v>
      </c>
      <c r="AF114" s="263">
        <f t="shared" si="91"/>
        <v>14</v>
      </c>
      <c r="AG114" s="263">
        <f t="shared" si="91"/>
        <v>14</v>
      </c>
      <c r="AH114" s="263">
        <f t="shared" si="91"/>
        <v>14</v>
      </c>
      <c r="AI114" s="263">
        <f t="shared" si="91"/>
        <v>14</v>
      </c>
      <c r="AJ114" s="263">
        <f t="shared" si="91"/>
        <v>14</v>
      </c>
      <c r="AK114" s="263">
        <f t="shared" si="91"/>
        <v>14</v>
      </c>
      <c r="AL114" s="263">
        <f t="shared" si="91"/>
        <v>14</v>
      </c>
      <c r="AM114" s="263">
        <f t="shared" si="91"/>
        <v>14</v>
      </c>
    </row>
    <row r="115" spans="1:39" s="260" customFormat="1" outlineLevel="1" x14ac:dyDescent="0.25">
      <c r="A115" s="264"/>
      <c r="B115" s="260" t="str">
        <v>FlisAffald</v>
      </c>
      <c r="C115" s="261" t="s">
        <v>194</v>
      </c>
      <c r="D115" s="262">
        <f t="shared" ref="D115:AM115" si="92">$P25</f>
        <v>9</v>
      </c>
      <c r="E115" s="263">
        <f t="shared" si="92"/>
        <v>9</v>
      </c>
      <c r="F115" s="263">
        <f t="shared" si="92"/>
        <v>9</v>
      </c>
      <c r="G115" s="263">
        <f t="shared" si="92"/>
        <v>9</v>
      </c>
      <c r="H115" s="263">
        <f t="shared" si="92"/>
        <v>9</v>
      </c>
      <c r="I115" s="263">
        <f t="shared" si="92"/>
        <v>9</v>
      </c>
      <c r="J115" s="263">
        <f t="shared" si="92"/>
        <v>9</v>
      </c>
      <c r="K115" s="263">
        <f t="shared" si="92"/>
        <v>9</v>
      </c>
      <c r="L115" s="263">
        <f t="shared" si="92"/>
        <v>9</v>
      </c>
      <c r="M115" s="263">
        <f t="shared" si="92"/>
        <v>9</v>
      </c>
      <c r="N115" s="263">
        <f t="shared" si="92"/>
        <v>9</v>
      </c>
      <c r="O115" s="263">
        <f t="shared" si="92"/>
        <v>9</v>
      </c>
      <c r="P115" s="262">
        <f t="shared" si="92"/>
        <v>9</v>
      </c>
      <c r="Q115" s="263">
        <f t="shared" si="92"/>
        <v>9</v>
      </c>
      <c r="R115" s="263">
        <f t="shared" si="92"/>
        <v>9</v>
      </c>
      <c r="S115" s="263">
        <f t="shared" si="92"/>
        <v>9</v>
      </c>
      <c r="T115" s="263">
        <f t="shared" si="92"/>
        <v>9</v>
      </c>
      <c r="U115" s="263">
        <f t="shared" si="92"/>
        <v>9</v>
      </c>
      <c r="V115" s="263">
        <f t="shared" si="92"/>
        <v>9</v>
      </c>
      <c r="W115" s="263">
        <f t="shared" si="92"/>
        <v>9</v>
      </c>
      <c r="X115" s="263">
        <f t="shared" si="92"/>
        <v>9</v>
      </c>
      <c r="Y115" s="263">
        <f t="shared" si="92"/>
        <v>9</v>
      </c>
      <c r="Z115" s="263">
        <f t="shared" si="92"/>
        <v>9</v>
      </c>
      <c r="AA115" s="263">
        <f t="shared" si="92"/>
        <v>9</v>
      </c>
      <c r="AB115" s="262">
        <f t="shared" si="92"/>
        <v>9</v>
      </c>
      <c r="AC115" s="263">
        <f t="shared" si="92"/>
        <v>9</v>
      </c>
      <c r="AD115" s="263">
        <f t="shared" si="92"/>
        <v>9</v>
      </c>
      <c r="AE115" s="263">
        <f t="shared" si="92"/>
        <v>9</v>
      </c>
      <c r="AF115" s="263">
        <f t="shared" si="92"/>
        <v>9</v>
      </c>
      <c r="AG115" s="263">
        <f t="shared" si="92"/>
        <v>9</v>
      </c>
      <c r="AH115" s="263">
        <f t="shared" si="92"/>
        <v>9</v>
      </c>
      <c r="AI115" s="263">
        <f t="shared" si="92"/>
        <v>9</v>
      </c>
      <c r="AJ115" s="263">
        <f t="shared" si="92"/>
        <v>9</v>
      </c>
      <c r="AK115" s="263">
        <f t="shared" si="92"/>
        <v>9</v>
      </c>
      <c r="AL115" s="263">
        <f t="shared" si="92"/>
        <v>9</v>
      </c>
      <c r="AM115" s="263">
        <f t="shared" si="92"/>
        <v>9</v>
      </c>
    </row>
    <row r="116" spans="1:39" s="260" customFormat="1" outlineLevel="1" x14ac:dyDescent="0.25">
      <c r="A116" s="264"/>
      <c r="B116" s="260" t="str">
        <v>NyAff1</v>
      </c>
      <c r="C116" s="261" t="s">
        <v>194</v>
      </c>
      <c r="D116" s="262">
        <f t="shared" ref="D116:AM116" si="93">$P26</f>
        <v>11.5</v>
      </c>
      <c r="E116" s="263">
        <f t="shared" si="93"/>
        <v>11.5</v>
      </c>
      <c r="F116" s="263">
        <f t="shared" si="93"/>
        <v>11.5</v>
      </c>
      <c r="G116" s="263">
        <f t="shared" si="93"/>
        <v>11.5</v>
      </c>
      <c r="H116" s="263">
        <f t="shared" si="93"/>
        <v>11.5</v>
      </c>
      <c r="I116" s="263">
        <f t="shared" si="93"/>
        <v>11.5</v>
      </c>
      <c r="J116" s="263">
        <f t="shared" si="93"/>
        <v>11.5</v>
      </c>
      <c r="K116" s="263">
        <f t="shared" si="93"/>
        <v>11.5</v>
      </c>
      <c r="L116" s="263">
        <f t="shared" si="93"/>
        <v>11.5</v>
      </c>
      <c r="M116" s="263">
        <f t="shared" si="93"/>
        <v>11.5</v>
      </c>
      <c r="N116" s="263">
        <f t="shared" si="93"/>
        <v>11.5</v>
      </c>
      <c r="O116" s="263">
        <f t="shared" si="93"/>
        <v>11.5</v>
      </c>
      <c r="P116" s="262">
        <f t="shared" si="93"/>
        <v>11.5</v>
      </c>
      <c r="Q116" s="263">
        <f t="shared" si="93"/>
        <v>11.5</v>
      </c>
      <c r="R116" s="263">
        <f t="shared" si="93"/>
        <v>11.5</v>
      </c>
      <c r="S116" s="263">
        <f t="shared" si="93"/>
        <v>11.5</v>
      </c>
      <c r="T116" s="263">
        <f t="shared" si="93"/>
        <v>11.5</v>
      </c>
      <c r="U116" s="263">
        <f t="shared" si="93"/>
        <v>11.5</v>
      </c>
      <c r="V116" s="263">
        <f t="shared" si="93"/>
        <v>11.5</v>
      </c>
      <c r="W116" s="263">
        <f t="shared" si="93"/>
        <v>11.5</v>
      </c>
      <c r="X116" s="263">
        <f t="shared" si="93"/>
        <v>11.5</v>
      </c>
      <c r="Y116" s="263">
        <f t="shared" si="93"/>
        <v>11.5</v>
      </c>
      <c r="Z116" s="263">
        <f t="shared" si="93"/>
        <v>11.5</v>
      </c>
      <c r="AA116" s="263">
        <f t="shared" si="93"/>
        <v>11.5</v>
      </c>
      <c r="AB116" s="262">
        <f t="shared" si="93"/>
        <v>11.5</v>
      </c>
      <c r="AC116" s="263">
        <f t="shared" si="93"/>
        <v>11.5</v>
      </c>
      <c r="AD116" s="263">
        <f t="shared" si="93"/>
        <v>11.5</v>
      </c>
      <c r="AE116" s="263">
        <f t="shared" si="93"/>
        <v>11.5</v>
      </c>
      <c r="AF116" s="263">
        <f t="shared" si="93"/>
        <v>11.5</v>
      </c>
      <c r="AG116" s="263">
        <f t="shared" si="93"/>
        <v>11.5</v>
      </c>
      <c r="AH116" s="263">
        <f t="shared" si="93"/>
        <v>11.5</v>
      </c>
      <c r="AI116" s="263">
        <f t="shared" si="93"/>
        <v>11.5</v>
      </c>
      <c r="AJ116" s="263">
        <f t="shared" si="93"/>
        <v>11.5</v>
      </c>
      <c r="AK116" s="263">
        <f t="shared" si="93"/>
        <v>11.5</v>
      </c>
      <c r="AL116" s="263">
        <f t="shared" si="93"/>
        <v>11.5</v>
      </c>
      <c r="AM116" s="263">
        <f t="shared" si="93"/>
        <v>11.5</v>
      </c>
    </row>
    <row r="117" spans="1:39" s="260" customFormat="1" outlineLevel="1" x14ac:dyDescent="0.25">
      <c r="B117" s="260" t="str">
        <v>NyAff2</v>
      </c>
      <c r="C117" s="261" t="s">
        <v>194</v>
      </c>
      <c r="D117" s="262">
        <f t="shared" ref="D117:AM117" si="94">$P27</f>
        <v>10.5</v>
      </c>
      <c r="E117" s="263">
        <f t="shared" si="94"/>
        <v>10.5</v>
      </c>
      <c r="F117" s="263">
        <f t="shared" si="94"/>
        <v>10.5</v>
      </c>
      <c r="G117" s="263">
        <f t="shared" si="94"/>
        <v>10.5</v>
      </c>
      <c r="H117" s="263">
        <f t="shared" si="94"/>
        <v>10.5</v>
      </c>
      <c r="I117" s="263">
        <f t="shared" si="94"/>
        <v>10.5</v>
      </c>
      <c r="J117" s="263">
        <f t="shared" si="94"/>
        <v>10.5</v>
      </c>
      <c r="K117" s="263">
        <f t="shared" si="94"/>
        <v>10.5</v>
      </c>
      <c r="L117" s="263">
        <f t="shared" si="94"/>
        <v>10.5</v>
      </c>
      <c r="M117" s="263">
        <f t="shared" si="94"/>
        <v>10.5</v>
      </c>
      <c r="N117" s="263">
        <f t="shared" si="94"/>
        <v>10.5</v>
      </c>
      <c r="O117" s="263">
        <f t="shared" si="94"/>
        <v>10.5</v>
      </c>
      <c r="P117" s="262">
        <f t="shared" si="94"/>
        <v>10.5</v>
      </c>
      <c r="Q117" s="263">
        <f t="shared" si="94"/>
        <v>10.5</v>
      </c>
      <c r="R117" s="263">
        <f t="shared" si="94"/>
        <v>10.5</v>
      </c>
      <c r="S117" s="263">
        <f t="shared" si="94"/>
        <v>10.5</v>
      </c>
      <c r="T117" s="263">
        <f t="shared" si="94"/>
        <v>10.5</v>
      </c>
      <c r="U117" s="263">
        <f t="shared" si="94"/>
        <v>10.5</v>
      </c>
      <c r="V117" s="263">
        <f t="shared" si="94"/>
        <v>10.5</v>
      </c>
      <c r="W117" s="263">
        <f t="shared" si="94"/>
        <v>10.5</v>
      </c>
      <c r="X117" s="263">
        <f t="shared" si="94"/>
        <v>10.5</v>
      </c>
      <c r="Y117" s="263">
        <f t="shared" si="94"/>
        <v>10.5</v>
      </c>
      <c r="Z117" s="263">
        <f t="shared" si="94"/>
        <v>10.5</v>
      </c>
      <c r="AA117" s="263">
        <f t="shared" si="94"/>
        <v>10.5</v>
      </c>
      <c r="AB117" s="262">
        <f t="shared" si="94"/>
        <v>10.5</v>
      </c>
      <c r="AC117" s="263">
        <f t="shared" si="94"/>
        <v>10.5</v>
      </c>
      <c r="AD117" s="263">
        <f t="shared" si="94"/>
        <v>10.5</v>
      </c>
      <c r="AE117" s="263">
        <f t="shared" si="94"/>
        <v>10.5</v>
      </c>
      <c r="AF117" s="263">
        <f t="shared" si="94"/>
        <v>10.5</v>
      </c>
      <c r="AG117" s="263">
        <f t="shared" si="94"/>
        <v>10.5</v>
      </c>
      <c r="AH117" s="263">
        <f t="shared" si="94"/>
        <v>10.5</v>
      </c>
      <c r="AI117" s="263">
        <f t="shared" si="94"/>
        <v>10.5</v>
      </c>
      <c r="AJ117" s="263">
        <f t="shared" si="94"/>
        <v>10.5</v>
      </c>
      <c r="AK117" s="263">
        <f t="shared" si="94"/>
        <v>10.5</v>
      </c>
      <c r="AL117" s="263">
        <f t="shared" si="94"/>
        <v>10.5</v>
      </c>
      <c r="AM117" s="263">
        <f t="shared" si="94"/>
        <v>10.5</v>
      </c>
    </row>
    <row r="118" spans="1:39" s="260" customFormat="1" outlineLevel="1" x14ac:dyDescent="0.25">
      <c r="B118" s="260" t="str">
        <v>NyAff3</v>
      </c>
      <c r="C118" s="261" t="s">
        <v>194</v>
      </c>
      <c r="D118" s="262">
        <f t="shared" ref="D118:AM118" si="95">$P28</f>
        <v>9.5</v>
      </c>
      <c r="E118" s="263">
        <f t="shared" si="95"/>
        <v>9.5</v>
      </c>
      <c r="F118" s="263">
        <f t="shared" si="95"/>
        <v>9.5</v>
      </c>
      <c r="G118" s="263">
        <f t="shared" si="95"/>
        <v>9.5</v>
      </c>
      <c r="H118" s="263">
        <f t="shared" si="95"/>
        <v>9.5</v>
      </c>
      <c r="I118" s="263">
        <f t="shared" si="95"/>
        <v>9.5</v>
      </c>
      <c r="J118" s="263">
        <f t="shared" si="95"/>
        <v>9.5</v>
      </c>
      <c r="K118" s="263">
        <f t="shared" si="95"/>
        <v>9.5</v>
      </c>
      <c r="L118" s="263">
        <f t="shared" si="95"/>
        <v>9.5</v>
      </c>
      <c r="M118" s="263">
        <f t="shared" si="95"/>
        <v>9.5</v>
      </c>
      <c r="N118" s="263">
        <f t="shared" si="95"/>
        <v>9.5</v>
      </c>
      <c r="O118" s="263">
        <f t="shared" si="95"/>
        <v>9.5</v>
      </c>
      <c r="P118" s="262">
        <f t="shared" si="95"/>
        <v>9.5</v>
      </c>
      <c r="Q118" s="263">
        <f t="shared" si="95"/>
        <v>9.5</v>
      </c>
      <c r="R118" s="263">
        <f t="shared" si="95"/>
        <v>9.5</v>
      </c>
      <c r="S118" s="263">
        <f t="shared" si="95"/>
        <v>9.5</v>
      </c>
      <c r="T118" s="263">
        <f t="shared" si="95"/>
        <v>9.5</v>
      </c>
      <c r="U118" s="263">
        <f t="shared" si="95"/>
        <v>9.5</v>
      </c>
      <c r="V118" s="263">
        <f t="shared" si="95"/>
        <v>9.5</v>
      </c>
      <c r="W118" s="263">
        <f t="shared" si="95"/>
        <v>9.5</v>
      </c>
      <c r="X118" s="263">
        <f t="shared" si="95"/>
        <v>9.5</v>
      </c>
      <c r="Y118" s="263">
        <f t="shared" si="95"/>
        <v>9.5</v>
      </c>
      <c r="Z118" s="263">
        <f t="shared" si="95"/>
        <v>9.5</v>
      </c>
      <c r="AA118" s="263">
        <f t="shared" si="95"/>
        <v>9.5</v>
      </c>
      <c r="AB118" s="262">
        <f t="shared" si="95"/>
        <v>9.5</v>
      </c>
      <c r="AC118" s="263">
        <f t="shared" si="95"/>
        <v>9.5</v>
      </c>
      <c r="AD118" s="263">
        <f t="shared" si="95"/>
        <v>9.5</v>
      </c>
      <c r="AE118" s="263">
        <f t="shared" si="95"/>
        <v>9.5</v>
      </c>
      <c r="AF118" s="263">
        <f t="shared" si="95"/>
        <v>9.5</v>
      </c>
      <c r="AG118" s="263">
        <f t="shared" si="95"/>
        <v>9.5</v>
      </c>
      <c r="AH118" s="263">
        <f t="shared" si="95"/>
        <v>9.5</v>
      </c>
      <c r="AI118" s="263">
        <f t="shared" si="95"/>
        <v>9.5</v>
      </c>
      <c r="AJ118" s="263">
        <f t="shared" si="95"/>
        <v>9.5</v>
      </c>
      <c r="AK118" s="263">
        <f t="shared" si="95"/>
        <v>9.5</v>
      </c>
      <c r="AL118" s="263">
        <f t="shared" si="95"/>
        <v>9.5</v>
      </c>
      <c r="AM118" s="263">
        <f t="shared" si="95"/>
        <v>9.5</v>
      </c>
    </row>
    <row r="119" spans="1:39" s="260" customFormat="1" outlineLevel="1" x14ac:dyDescent="0.25">
      <c r="B119" s="260" t="str">
        <v>NyAff4</v>
      </c>
      <c r="C119" s="261" t="s">
        <v>194</v>
      </c>
      <c r="D119" s="262">
        <f t="shared" ref="D119:AM119" si="96">$P29</f>
        <v>8.5</v>
      </c>
      <c r="E119" s="263">
        <f t="shared" si="96"/>
        <v>8.5</v>
      </c>
      <c r="F119" s="263">
        <f t="shared" si="96"/>
        <v>8.5</v>
      </c>
      <c r="G119" s="263">
        <f t="shared" si="96"/>
        <v>8.5</v>
      </c>
      <c r="H119" s="263">
        <f t="shared" si="96"/>
        <v>8.5</v>
      </c>
      <c r="I119" s="263">
        <f t="shared" si="96"/>
        <v>8.5</v>
      </c>
      <c r="J119" s="263">
        <f t="shared" si="96"/>
        <v>8.5</v>
      </c>
      <c r="K119" s="263">
        <f t="shared" si="96"/>
        <v>8.5</v>
      </c>
      <c r="L119" s="263">
        <f t="shared" si="96"/>
        <v>8.5</v>
      </c>
      <c r="M119" s="263">
        <f t="shared" si="96"/>
        <v>8.5</v>
      </c>
      <c r="N119" s="263">
        <f t="shared" si="96"/>
        <v>8.5</v>
      </c>
      <c r="O119" s="263">
        <f t="shared" si="96"/>
        <v>8.5</v>
      </c>
      <c r="P119" s="262">
        <f t="shared" si="96"/>
        <v>8.5</v>
      </c>
      <c r="Q119" s="263">
        <f t="shared" si="96"/>
        <v>8.5</v>
      </c>
      <c r="R119" s="263">
        <f t="shared" si="96"/>
        <v>8.5</v>
      </c>
      <c r="S119" s="263">
        <f t="shared" si="96"/>
        <v>8.5</v>
      </c>
      <c r="T119" s="263">
        <f t="shared" si="96"/>
        <v>8.5</v>
      </c>
      <c r="U119" s="263">
        <f t="shared" si="96"/>
        <v>8.5</v>
      </c>
      <c r="V119" s="263">
        <f t="shared" si="96"/>
        <v>8.5</v>
      </c>
      <c r="W119" s="263">
        <f t="shared" si="96"/>
        <v>8.5</v>
      </c>
      <c r="X119" s="263">
        <f t="shared" si="96"/>
        <v>8.5</v>
      </c>
      <c r="Y119" s="263">
        <f t="shared" si="96"/>
        <v>8.5</v>
      </c>
      <c r="Z119" s="263">
        <f t="shared" si="96"/>
        <v>8.5</v>
      </c>
      <c r="AA119" s="263">
        <f t="shared" si="96"/>
        <v>8.5</v>
      </c>
      <c r="AB119" s="262">
        <f t="shared" si="96"/>
        <v>8.5</v>
      </c>
      <c r="AC119" s="263">
        <f t="shared" si="96"/>
        <v>8.5</v>
      </c>
      <c r="AD119" s="263">
        <f t="shared" si="96"/>
        <v>8.5</v>
      </c>
      <c r="AE119" s="263">
        <f t="shared" si="96"/>
        <v>8.5</v>
      </c>
      <c r="AF119" s="263">
        <f t="shared" si="96"/>
        <v>8.5</v>
      </c>
      <c r="AG119" s="263">
        <f t="shared" si="96"/>
        <v>8.5</v>
      </c>
      <c r="AH119" s="263">
        <f t="shared" si="96"/>
        <v>8.5</v>
      </c>
      <c r="AI119" s="263">
        <f t="shared" si="96"/>
        <v>8.5</v>
      </c>
      <c r="AJ119" s="263">
        <f t="shared" si="96"/>
        <v>8.5</v>
      </c>
      <c r="AK119" s="263">
        <f t="shared" si="96"/>
        <v>8.5</v>
      </c>
      <c r="AL119" s="263">
        <f t="shared" si="96"/>
        <v>8.5</v>
      </c>
      <c r="AM119" s="263">
        <f t="shared" si="96"/>
        <v>8.5</v>
      </c>
    </row>
    <row r="120" spans="1:39" s="260" customFormat="1" outlineLevel="1" x14ac:dyDescent="0.25">
      <c r="B120" s="260" t="str">
        <v>NyAff5</v>
      </c>
      <c r="C120" s="261" t="s">
        <v>194</v>
      </c>
      <c r="D120" s="262">
        <f t="shared" ref="D120:AM120" si="97">$P30</f>
        <v>7.5</v>
      </c>
      <c r="E120" s="263">
        <f t="shared" si="97"/>
        <v>7.5</v>
      </c>
      <c r="F120" s="263">
        <f t="shared" si="97"/>
        <v>7.5</v>
      </c>
      <c r="G120" s="263">
        <f t="shared" si="97"/>
        <v>7.5</v>
      </c>
      <c r="H120" s="263">
        <f t="shared" si="97"/>
        <v>7.5</v>
      </c>
      <c r="I120" s="263">
        <f t="shared" si="97"/>
        <v>7.5</v>
      </c>
      <c r="J120" s="263">
        <f t="shared" si="97"/>
        <v>7.5</v>
      </c>
      <c r="K120" s="263">
        <f t="shared" si="97"/>
        <v>7.5</v>
      </c>
      <c r="L120" s="263">
        <f t="shared" si="97"/>
        <v>7.5</v>
      </c>
      <c r="M120" s="263">
        <f t="shared" si="97"/>
        <v>7.5</v>
      </c>
      <c r="N120" s="263">
        <f t="shared" si="97"/>
        <v>7.5</v>
      </c>
      <c r="O120" s="263">
        <f t="shared" si="97"/>
        <v>7.5</v>
      </c>
      <c r="P120" s="262">
        <f t="shared" si="97"/>
        <v>7.5</v>
      </c>
      <c r="Q120" s="263">
        <f t="shared" si="97"/>
        <v>7.5</v>
      </c>
      <c r="R120" s="263">
        <f t="shared" si="97"/>
        <v>7.5</v>
      </c>
      <c r="S120" s="263">
        <f t="shared" si="97"/>
        <v>7.5</v>
      </c>
      <c r="T120" s="263">
        <f t="shared" si="97"/>
        <v>7.5</v>
      </c>
      <c r="U120" s="263">
        <f t="shared" si="97"/>
        <v>7.5</v>
      </c>
      <c r="V120" s="263">
        <f t="shared" si="97"/>
        <v>7.5</v>
      </c>
      <c r="W120" s="263">
        <f t="shared" si="97"/>
        <v>7.5</v>
      </c>
      <c r="X120" s="263">
        <f t="shared" si="97"/>
        <v>7.5</v>
      </c>
      <c r="Y120" s="263">
        <f t="shared" si="97"/>
        <v>7.5</v>
      </c>
      <c r="Z120" s="263">
        <f t="shared" si="97"/>
        <v>7.5</v>
      </c>
      <c r="AA120" s="263">
        <f t="shared" si="97"/>
        <v>7.5</v>
      </c>
      <c r="AB120" s="262">
        <f t="shared" si="97"/>
        <v>7.5</v>
      </c>
      <c r="AC120" s="263">
        <f t="shared" si="97"/>
        <v>7.5</v>
      </c>
      <c r="AD120" s="263">
        <f t="shared" si="97"/>
        <v>7.5</v>
      </c>
      <c r="AE120" s="263">
        <f t="shared" si="97"/>
        <v>7.5</v>
      </c>
      <c r="AF120" s="263">
        <f t="shared" si="97"/>
        <v>7.5</v>
      </c>
      <c r="AG120" s="263">
        <f t="shared" si="97"/>
        <v>7.5</v>
      </c>
      <c r="AH120" s="263">
        <f t="shared" si="97"/>
        <v>7.5</v>
      </c>
      <c r="AI120" s="263">
        <f t="shared" si="97"/>
        <v>7.5</v>
      </c>
      <c r="AJ120" s="263">
        <f t="shared" si="97"/>
        <v>7.5</v>
      </c>
      <c r="AK120" s="263">
        <f t="shared" si="97"/>
        <v>7.5</v>
      </c>
      <c r="AL120" s="263">
        <f t="shared" si="97"/>
        <v>7.5</v>
      </c>
      <c r="AM120" s="263">
        <f t="shared" si="97"/>
        <v>7.5</v>
      </c>
    </row>
    <row r="121" spans="1:39" s="43" customFormat="1" ht="15.75" x14ac:dyDescent="0.25">
      <c r="A121" s="40" t="s">
        <v>120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8" customFormat="1" outlineLevel="1" x14ac:dyDescent="0.25">
      <c r="B122" s="268" t="str">
        <f t="shared" ref="B122:B144" si="98">B95</f>
        <v>DepoSort</v>
      </c>
      <c r="C122" s="269" t="s">
        <v>272</v>
      </c>
      <c r="D122" s="270">
        <f t="shared" ref="D122:AM122" si="99">$O5</f>
        <v>525</v>
      </c>
      <c r="E122" s="271">
        <f t="shared" si="99"/>
        <v>525</v>
      </c>
      <c r="F122" s="271">
        <f t="shared" si="99"/>
        <v>525</v>
      </c>
      <c r="G122" s="271">
        <f t="shared" si="99"/>
        <v>525</v>
      </c>
      <c r="H122" s="271">
        <f t="shared" si="99"/>
        <v>525</v>
      </c>
      <c r="I122" s="271">
        <f t="shared" si="99"/>
        <v>525</v>
      </c>
      <c r="J122" s="271">
        <f t="shared" si="99"/>
        <v>525</v>
      </c>
      <c r="K122" s="271">
        <f t="shared" si="99"/>
        <v>525</v>
      </c>
      <c r="L122" s="271">
        <f t="shared" si="99"/>
        <v>525</v>
      </c>
      <c r="M122" s="271">
        <f t="shared" si="99"/>
        <v>525</v>
      </c>
      <c r="N122" s="271">
        <f t="shared" si="99"/>
        <v>525</v>
      </c>
      <c r="O122" s="271">
        <f t="shared" si="99"/>
        <v>525</v>
      </c>
      <c r="P122" s="270">
        <f t="shared" si="99"/>
        <v>525</v>
      </c>
      <c r="Q122" s="271">
        <f t="shared" si="99"/>
        <v>525</v>
      </c>
      <c r="R122" s="271">
        <f t="shared" si="99"/>
        <v>525</v>
      </c>
      <c r="S122" s="271">
        <f t="shared" si="99"/>
        <v>525</v>
      </c>
      <c r="T122" s="271">
        <f t="shared" si="99"/>
        <v>525</v>
      </c>
      <c r="U122" s="271">
        <f t="shared" si="99"/>
        <v>525</v>
      </c>
      <c r="V122" s="271">
        <f t="shared" si="99"/>
        <v>525</v>
      </c>
      <c r="W122" s="271">
        <f t="shared" si="99"/>
        <v>525</v>
      </c>
      <c r="X122" s="271">
        <f t="shared" si="99"/>
        <v>525</v>
      </c>
      <c r="Y122" s="271">
        <f t="shared" si="99"/>
        <v>525</v>
      </c>
      <c r="Z122" s="271">
        <f t="shared" si="99"/>
        <v>525</v>
      </c>
      <c r="AA122" s="271">
        <f t="shared" si="99"/>
        <v>525</v>
      </c>
      <c r="AB122" s="270">
        <f t="shared" si="99"/>
        <v>525</v>
      </c>
      <c r="AC122" s="271">
        <f t="shared" si="99"/>
        <v>525</v>
      </c>
      <c r="AD122" s="271">
        <f t="shared" si="99"/>
        <v>525</v>
      </c>
      <c r="AE122" s="271">
        <f t="shared" si="99"/>
        <v>525</v>
      </c>
      <c r="AF122" s="271">
        <f t="shared" si="99"/>
        <v>525</v>
      </c>
      <c r="AG122" s="271">
        <f t="shared" si="99"/>
        <v>525</v>
      </c>
      <c r="AH122" s="271">
        <f t="shared" si="99"/>
        <v>525</v>
      </c>
      <c r="AI122" s="271">
        <f t="shared" si="99"/>
        <v>525</v>
      </c>
      <c r="AJ122" s="271">
        <f t="shared" si="99"/>
        <v>525</v>
      </c>
      <c r="AK122" s="271">
        <f t="shared" si="99"/>
        <v>525</v>
      </c>
      <c r="AL122" s="271">
        <f t="shared" si="99"/>
        <v>525</v>
      </c>
      <c r="AM122" s="271">
        <f t="shared" si="99"/>
        <v>525</v>
      </c>
    </row>
    <row r="123" spans="1:39" s="268" customFormat="1" outlineLevel="1" x14ac:dyDescent="0.25">
      <c r="B123" s="268" t="str">
        <f t="shared" si="98"/>
        <v>DepoSmaat</v>
      </c>
      <c r="C123" s="269" t="s">
        <v>272</v>
      </c>
      <c r="D123" s="270">
        <f t="shared" ref="D123:AM123" si="100">$O6</f>
        <v>0</v>
      </c>
      <c r="E123" s="271">
        <f t="shared" si="100"/>
        <v>0</v>
      </c>
      <c r="F123" s="271">
        <f t="shared" si="100"/>
        <v>0</v>
      </c>
      <c r="G123" s="271">
        <f t="shared" si="100"/>
        <v>0</v>
      </c>
      <c r="H123" s="271">
        <f t="shared" si="100"/>
        <v>0</v>
      </c>
      <c r="I123" s="271">
        <f t="shared" si="100"/>
        <v>0</v>
      </c>
      <c r="J123" s="271">
        <f t="shared" si="100"/>
        <v>0</v>
      </c>
      <c r="K123" s="271">
        <f t="shared" si="100"/>
        <v>0</v>
      </c>
      <c r="L123" s="271">
        <f t="shared" si="100"/>
        <v>0</v>
      </c>
      <c r="M123" s="271">
        <f t="shared" si="100"/>
        <v>0</v>
      </c>
      <c r="N123" s="271">
        <f t="shared" si="100"/>
        <v>0</v>
      </c>
      <c r="O123" s="271">
        <f t="shared" si="100"/>
        <v>0</v>
      </c>
      <c r="P123" s="270">
        <f t="shared" si="100"/>
        <v>0</v>
      </c>
      <c r="Q123" s="271">
        <f t="shared" si="100"/>
        <v>0</v>
      </c>
      <c r="R123" s="271">
        <f t="shared" si="100"/>
        <v>0</v>
      </c>
      <c r="S123" s="271">
        <f t="shared" si="100"/>
        <v>0</v>
      </c>
      <c r="T123" s="271">
        <f t="shared" si="100"/>
        <v>0</v>
      </c>
      <c r="U123" s="271">
        <f t="shared" si="100"/>
        <v>0</v>
      </c>
      <c r="V123" s="271">
        <f t="shared" si="100"/>
        <v>0</v>
      </c>
      <c r="W123" s="271">
        <f t="shared" si="100"/>
        <v>0</v>
      </c>
      <c r="X123" s="271">
        <f t="shared" si="100"/>
        <v>0</v>
      </c>
      <c r="Y123" s="271">
        <f t="shared" si="100"/>
        <v>0</v>
      </c>
      <c r="Z123" s="271">
        <f t="shared" si="100"/>
        <v>0</v>
      </c>
      <c r="AA123" s="271">
        <f t="shared" si="100"/>
        <v>0</v>
      </c>
      <c r="AB123" s="270">
        <f t="shared" si="100"/>
        <v>0</v>
      </c>
      <c r="AC123" s="271">
        <f t="shared" si="100"/>
        <v>0</v>
      </c>
      <c r="AD123" s="271">
        <f t="shared" si="100"/>
        <v>0</v>
      </c>
      <c r="AE123" s="271">
        <f t="shared" si="100"/>
        <v>0</v>
      </c>
      <c r="AF123" s="271">
        <f t="shared" si="100"/>
        <v>0</v>
      </c>
      <c r="AG123" s="271">
        <f t="shared" si="100"/>
        <v>0</v>
      </c>
      <c r="AH123" s="271">
        <f t="shared" si="100"/>
        <v>0</v>
      </c>
      <c r="AI123" s="271">
        <f t="shared" si="100"/>
        <v>0</v>
      </c>
      <c r="AJ123" s="271">
        <f t="shared" si="100"/>
        <v>0</v>
      </c>
      <c r="AK123" s="271">
        <f t="shared" si="100"/>
        <v>0</v>
      </c>
      <c r="AL123" s="271">
        <f t="shared" si="100"/>
        <v>0</v>
      </c>
      <c r="AM123" s="271">
        <f t="shared" si="100"/>
        <v>0</v>
      </c>
    </row>
    <row r="124" spans="1:39" s="268" customFormat="1" outlineLevel="1" x14ac:dyDescent="0.25">
      <c r="B124" s="268" t="str">
        <f t="shared" si="98"/>
        <v>DepoNedd</v>
      </c>
      <c r="C124" s="269" t="s">
        <v>272</v>
      </c>
      <c r="D124" s="270">
        <f t="shared" ref="D124:AM124" si="101">$O7</f>
        <v>0</v>
      </c>
      <c r="E124" s="271">
        <f t="shared" si="101"/>
        <v>0</v>
      </c>
      <c r="F124" s="271">
        <f t="shared" si="101"/>
        <v>0</v>
      </c>
      <c r="G124" s="271">
        <f t="shared" si="101"/>
        <v>0</v>
      </c>
      <c r="H124" s="271">
        <f t="shared" si="101"/>
        <v>0</v>
      </c>
      <c r="I124" s="271">
        <f t="shared" si="101"/>
        <v>0</v>
      </c>
      <c r="J124" s="271">
        <f t="shared" si="101"/>
        <v>0</v>
      </c>
      <c r="K124" s="271">
        <f t="shared" si="101"/>
        <v>0</v>
      </c>
      <c r="L124" s="271">
        <f t="shared" si="101"/>
        <v>0</v>
      </c>
      <c r="M124" s="271">
        <f t="shared" si="101"/>
        <v>0</v>
      </c>
      <c r="N124" s="271">
        <f t="shared" si="101"/>
        <v>0</v>
      </c>
      <c r="O124" s="271">
        <f t="shared" si="101"/>
        <v>0</v>
      </c>
      <c r="P124" s="270">
        <f t="shared" si="101"/>
        <v>0</v>
      </c>
      <c r="Q124" s="271">
        <f t="shared" si="101"/>
        <v>0</v>
      </c>
      <c r="R124" s="271">
        <f t="shared" si="101"/>
        <v>0</v>
      </c>
      <c r="S124" s="271">
        <f t="shared" si="101"/>
        <v>0</v>
      </c>
      <c r="T124" s="271">
        <f t="shared" si="101"/>
        <v>0</v>
      </c>
      <c r="U124" s="271">
        <f t="shared" si="101"/>
        <v>0</v>
      </c>
      <c r="V124" s="271">
        <f t="shared" si="101"/>
        <v>0</v>
      </c>
      <c r="W124" s="271">
        <f t="shared" si="101"/>
        <v>0</v>
      </c>
      <c r="X124" s="271">
        <f t="shared" si="101"/>
        <v>0</v>
      </c>
      <c r="Y124" s="271">
        <f t="shared" si="101"/>
        <v>0</v>
      </c>
      <c r="Z124" s="271">
        <f t="shared" si="101"/>
        <v>0</v>
      </c>
      <c r="AA124" s="271">
        <f t="shared" si="101"/>
        <v>0</v>
      </c>
      <c r="AB124" s="270">
        <f t="shared" si="101"/>
        <v>0</v>
      </c>
      <c r="AC124" s="271">
        <f t="shared" si="101"/>
        <v>0</v>
      </c>
      <c r="AD124" s="271">
        <f t="shared" si="101"/>
        <v>0</v>
      </c>
      <c r="AE124" s="271">
        <f t="shared" si="101"/>
        <v>0</v>
      </c>
      <c r="AF124" s="271">
        <f t="shared" si="101"/>
        <v>0</v>
      </c>
      <c r="AG124" s="271">
        <f t="shared" si="101"/>
        <v>0</v>
      </c>
      <c r="AH124" s="271">
        <f t="shared" si="101"/>
        <v>0</v>
      </c>
      <c r="AI124" s="271">
        <f t="shared" si="101"/>
        <v>0</v>
      </c>
      <c r="AJ124" s="271">
        <f t="shared" si="101"/>
        <v>0</v>
      </c>
      <c r="AK124" s="271">
        <f t="shared" si="101"/>
        <v>0</v>
      </c>
      <c r="AL124" s="271">
        <f t="shared" si="101"/>
        <v>0</v>
      </c>
      <c r="AM124" s="271">
        <f t="shared" si="101"/>
        <v>0</v>
      </c>
    </row>
    <row r="125" spans="1:39" s="268" customFormat="1" outlineLevel="1" x14ac:dyDescent="0.25">
      <c r="B125" s="268" t="str">
        <f t="shared" si="98"/>
        <v>Dagren</v>
      </c>
      <c r="C125" s="269" t="s">
        <v>272</v>
      </c>
      <c r="D125" s="270">
        <f t="shared" ref="D125:AM125" si="102">$O8</f>
        <v>525</v>
      </c>
      <c r="E125" s="271">
        <f t="shared" si="102"/>
        <v>525</v>
      </c>
      <c r="F125" s="271">
        <f t="shared" si="102"/>
        <v>525</v>
      </c>
      <c r="G125" s="271">
        <f t="shared" si="102"/>
        <v>525</v>
      </c>
      <c r="H125" s="271">
        <f t="shared" si="102"/>
        <v>525</v>
      </c>
      <c r="I125" s="271">
        <f t="shared" si="102"/>
        <v>525</v>
      </c>
      <c r="J125" s="271">
        <f t="shared" si="102"/>
        <v>525</v>
      </c>
      <c r="K125" s="271">
        <f t="shared" si="102"/>
        <v>525</v>
      </c>
      <c r="L125" s="271">
        <f t="shared" si="102"/>
        <v>525</v>
      </c>
      <c r="M125" s="271">
        <f t="shared" si="102"/>
        <v>525</v>
      </c>
      <c r="N125" s="271">
        <f t="shared" si="102"/>
        <v>525</v>
      </c>
      <c r="O125" s="271">
        <f t="shared" si="102"/>
        <v>525</v>
      </c>
      <c r="P125" s="270">
        <f t="shared" si="102"/>
        <v>525</v>
      </c>
      <c r="Q125" s="271">
        <f t="shared" si="102"/>
        <v>525</v>
      </c>
      <c r="R125" s="271">
        <f t="shared" si="102"/>
        <v>525</v>
      </c>
      <c r="S125" s="271">
        <f t="shared" si="102"/>
        <v>525</v>
      </c>
      <c r="T125" s="271">
        <f t="shared" si="102"/>
        <v>525</v>
      </c>
      <c r="U125" s="271">
        <f t="shared" si="102"/>
        <v>525</v>
      </c>
      <c r="V125" s="271">
        <f t="shared" si="102"/>
        <v>525</v>
      </c>
      <c r="W125" s="271">
        <f t="shared" si="102"/>
        <v>525</v>
      </c>
      <c r="X125" s="271">
        <f t="shared" si="102"/>
        <v>525</v>
      </c>
      <c r="Y125" s="271">
        <f t="shared" si="102"/>
        <v>525</v>
      </c>
      <c r="Z125" s="271">
        <f t="shared" si="102"/>
        <v>525</v>
      </c>
      <c r="AA125" s="271">
        <f t="shared" si="102"/>
        <v>525</v>
      </c>
      <c r="AB125" s="270">
        <f t="shared" si="102"/>
        <v>525</v>
      </c>
      <c r="AC125" s="271">
        <f t="shared" si="102"/>
        <v>525</v>
      </c>
      <c r="AD125" s="271">
        <f t="shared" si="102"/>
        <v>525</v>
      </c>
      <c r="AE125" s="271">
        <f t="shared" si="102"/>
        <v>525</v>
      </c>
      <c r="AF125" s="271">
        <f t="shared" si="102"/>
        <v>525</v>
      </c>
      <c r="AG125" s="271">
        <f t="shared" si="102"/>
        <v>525</v>
      </c>
      <c r="AH125" s="271">
        <f t="shared" si="102"/>
        <v>525</v>
      </c>
      <c r="AI125" s="271">
        <f t="shared" si="102"/>
        <v>525</v>
      </c>
      <c r="AJ125" s="271">
        <f t="shared" si="102"/>
        <v>525</v>
      </c>
      <c r="AK125" s="271">
        <f t="shared" si="102"/>
        <v>525</v>
      </c>
      <c r="AL125" s="271">
        <f t="shared" si="102"/>
        <v>525</v>
      </c>
      <c r="AM125" s="271">
        <f t="shared" si="102"/>
        <v>525</v>
      </c>
    </row>
    <row r="126" spans="1:39" s="268" customFormat="1" outlineLevel="1" x14ac:dyDescent="0.25">
      <c r="B126" s="268" t="str">
        <f t="shared" si="98"/>
        <v>AndetBrand</v>
      </c>
      <c r="C126" s="269" t="s">
        <v>272</v>
      </c>
      <c r="D126" s="270">
        <f t="shared" ref="D126:AM126" si="103">$O9</f>
        <v>525</v>
      </c>
      <c r="E126" s="271">
        <f t="shared" si="103"/>
        <v>525</v>
      </c>
      <c r="F126" s="271">
        <f t="shared" si="103"/>
        <v>525</v>
      </c>
      <c r="G126" s="271">
        <f t="shared" si="103"/>
        <v>525</v>
      </c>
      <c r="H126" s="271">
        <f t="shared" si="103"/>
        <v>525</v>
      </c>
      <c r="I126" s="271">
        <f t="shared" si="103"/>
        <v>525</v>
      </c>
      <c r="J126" s="271">
        <f t="shared" si="103"/>
        <v>525</v>
      </c>
      <c r="K126" s="271">
        <f t="shared" si="103"/>
        <v>525</v>
      </c>
      <c r="L126" s="271">
        <f t="shared" si="103"/>
        <v>525</v>
      </c>
      <c r="M126" s="271">
        <f t="shared" si="103"/>
        <v>525</v>
      </c>
      <c r="N126" s="271">
        <f t="shared" si="103"/>
        <v>525</v>
      </c>
      <c r="O126" s="271">
        <f t="shared" si="103"/>
        <v>525</v>
      </c>
      <c r="P126" s="270">
        <f t="shared" si="103"/>
        <v>525</v>
      </c>
      <c r="Q126" s="271">
        <f t="shared" si="103"/>
        <v>525</v>
      </c>
      <c r="R126" s="271">
        <f t="shared" si="103"/>
        <v>525</v>
      </c>
      <c r="S126" s="271">
        <f t="shared" si="103"/>
        <v>525</v>
      </c>
      <c r="T126" s="271">
        <f t="shared" si="103"/>
        <v>525</v>
      </c>
      <c r="U126" s="271">
        <f t="shared" si="103"/>
        <v>525</v>
      </c>
      <c r="V126" s="271">
        <f t="shared" si="103"/>
        <v>525</v>
      </c>
      <c r="W126" s="271">
        <f t="shared" si="103"/>
        <v>525</v>
      </c>
      <c r="X126" s="271">
        <f t="shared" si="103"/>
        <v>525</v>
      </c>
      <c r="Y126" s="271">
        <f t="shared" si="103"/>
        <v>525</v>
      </c>
      <c r="Z126" s="271">
        <f t="shared" si="103"/>
        <v>525</v>
      </c>
      <c r="AA126" s="271">
        <f t="shared" si="103"/>
        <v>525</v>
      </c>
      <c r="AB126" s="270">
        <f t="shared" si="103"/>
        <v>525</v>
      </c>
      <c r="AC126" s="271">
        <f t="shared" si="103"/>
        <v>525</v>
      </c>
      <c r="AD126" s="271">
        <f t="shared" si="103"/>
        <v>525</v>
      </c>
      <c r="AE126" s="271">
        <f t="shared" si="103"/>
        <v>525</v>
      </c>
      <c r="AF126" s="271">
        <f t="shared" si="103"/>
        <v>525</v>
      </c>
      <c r="AG126" s="271">
        <f t="shared" si="103"/>
        <v>525</v>
      </c>
      <c r="AH126" s="271">
        <f t="shared" si="103"/>
        <v>525</v>
      </c>
      <c r="AI126" s="271">
        <f t="shared" si="103"/>
        <v>525</v>
      </c>
      <c r="AJ126" s="271">
        <f t="shared" si="103"/>
        <v>525</v>
      </c>
      <c r="AK126" s="271">
        <f t="shared" si="103"/>
        <v>525</v>
      </c>
      <c r="AL126" s="271">
        <f t="shared" si="103"/>
        <v>525</v>
      </c>
      <c r="AM126" s="271">
        <f t="shared" si="103"/>
        <v>525</v>
      </c>
    </row>
    <row r="127" spans="1:39" s="268" customFormat="1" outlineLevel="1" x14ac:dyDescent="0.25">
      <c r="B127" s="268" t="str">
        <f t="shared" si="98"/>
        <v>Trae</v>
      </c>
      <c r="C127" s="269" t="s">
        <v>272</v>
      </c>
      <c r="D127" s="270">
        <f t="shared" ref="D127:AM127" si="104">$O10</f>
        <v>155</v>
      </c>
      <c r="E127" s="271">
        <f t="shared" si="104"/>
        <v>155</v>
      </c>
      <c r="F127" s="271">
        <f t="shared" si="104"/>
        <v>155</v>
      </c>
      <c r="G127" s="271">
        <f t="shared" si="104"/>
        <v>155</v>
      </c>
      <c r="H127" s="271">
        <f t="shared" si="104"/>
        <v>155</v>
      </c>
      <c r="I127" s="271">
        <f t="shared" si="104"/>
        <v>155</v>
      </c>
      <c r="J127" s="271">
        <f t="shared" si="104"/>
        <v>155</v>
      </c>
      <c r="K127" s="271">
        <f t="shared" si="104"/>
        <v>155</v>
      </c>
      <c r="L127" s="271">
        <f t="shared" si="104"/>
        <v>155</v>
      </c>
      <c r="M127" s="271">
        <f t="shared" si="104"/>
        <v>155</v>
      </c>
      <c r="N127" s="271">
        <f t="shared" si="104"/>
        <v>155</v>
      </c>
      <c r="O127" s="271">
        <f t="shared" si="104"/>
        <v>155</v>
      </c>
      <c r="P127" s="270">
        <f t="shared" si="104"/>
        <v>155</v>
      </c>
      <c r="Q127" s="271">
        <f t="shared" si="104"/>
        <v>155</v>
      </c>
      <c r="R127" s="271">
        <f t="shared" si="104"/>
        <v>155</v>
      </c>
      <c r="S127" s="271">
        <f t="shared" si="104"/>
        <v>155</v>
      </c>
      <c r="T127" s="271">
        <f t="shared" si="104"/>
        <v>155</v>
      </c>
      <c r="U127" s="271">
        <f t="shared" si="104"/>
        <v>155</v>
      </c>
      <c r="V127" s="271">
        <f t="shared" si="104"/>
        <v>155</v>
      </c>
      <c r="W127" s="271">
        <f t="shared" si="104"/>
        <v>155</v>
      </c>
      <c r="X127" s="271">
        <f t="shared" si="104"/>
        <v>155</v>
      </c>
      <c r="Y127" s="271">
        <f t="shared" si="104"/>
        <v>155</v>
      </c>
      <c r="Z127" s="271">
        <f t="shared" si="104"/>
        <v>155</v>
      </c>
      <c r="AA127" s="271">
        <f t="shared" si="104"/>
        <v>155</v>
      </c>
      <c r="AB127" s="270">
        <f t="shared" si="104"/>
        <v>155</v>
      </c>
      <c r="AC127" s="271">
        <f t="shared" si="104"/>
        <v>155</v>
      </c>
      <c r="AD127" s="271">
        <f t="shared" si="104"/>
        <v>155</v>
      </c>
      <c r="AE127" s="271">
        <f t="shared" si="104"/>
        <v>155</v>
      </c>
      <c r="AF127" s="271">
        <f t="shared" si="104"/>
        <v>155</v>
      </c>
      <c r="AG127" s="271">
        <f t="shared" si="104"/>
        <v>155</v>
      </c>
      <c r="AH127" s="271">
        <f t="shared" si="104"/>
        <v>155</v>
      </c>
      <c r="AI127" s="271">
        <f t="shared" si="104"/>
        <v>155</v>
      </c>
      <c r="AJ127" s="271">
        <f t="shared" si="104"/>
        <v>155</v>
      </c>
      <c r="AK127" s="271">
        <f t="shared" si="104"/>
        <v>155</v>
      </c>
      <c r="AL127" s="271">
        <f t="shared" si="104"/>
        <v>155</v>
      </c>
      <c r="AM127" s="271">
        <f t="shared" si="104"/>
        <v>155</v>
      </c>
    </row>
    <row r="128" spans="1:39" s="268" customFormat="1" outlineLevel="1" x14ac:dyDescent="0.25">
      <c r="B128" s="268" t="str">
        <f t="shared" si="98"/>
        <v>DagrenRast</v>
      </c>
      <c r="C128" s="269" t="s">
        <v>272</v>
      </c>
      <c r="D128" s="270">
        <f t="shared" ref="D128:AM128" si="105">$O11</f>
        <v>525</v>
      </c>
      <c r="E128" s="271">
        <f t="shared" si="105"/>
        <v>525</v>
      </c>
      <c r="F128" s="271">
        <f t="shared" si="105"/>
        <v>525</v>
      </c>
      <c r="G128" s="271">
        <f t="shared" si="105"/>
        <v>525</v>
      </c>
      <c r="H128" s="271">
        <f t="shared" si="105"/>
        <v>525</v>
      </c>
      <c r="I128" s="271">
        <f t="shared" si="105"/>
        <v>525</v>
      </c>
      <c r="J128" s="271">
        <f t="shared" si="105"/>
        <v>525</v>
      </c>
      <c r="K128" s="271">
        <f t="shared" si="105"/>
        <v>525</v>
      </c>
      <c r="L128" s="271">
        <f t="shared" si="105"/>
        <v>525</v>
      </c>
      <c r="M128" s="271">
        <f t="shared" si="105"/>
        <v>525</v>
      </c>
      <c r="N128" s="271">
        <f t="shared" si="105"/>
        <v>525</v>
      </c>
      <c r="O128" s="271">
        <f t="shared" si="105"/>
        <v>525</v>
      </c>
      <c r="P128" s="270">
        <f t="shared" si="105"/>
        <v>525</v>
      </c>
      <c r="Q128" s="271">
        <f t="shared" si="105"/>
        <v>525</v>
      </c>
      <c r="R128" s="271">
        <f t="shared" si="105"/>
        <v>525</v>
      </c>
      <c r="S128" s="271">
        <f t="shared" si="105"/>
        <v>525</v>
      </c>
      <c r="T128" s="271">
        <f t="shared" si="105"/>
        <v>525</v>
      </c>
      <c r="U128" s="271">
        <f t="shared" si="105"/>
        <v>525</v>
      </c>
      <c r="V128" s="271">
        <f t="shared" si="105"/>
        <v>525</v>
      </c>
      <c r="W128" s="271">
        <f t="shared" si="105"/>
        <v>525</v>
      </c>
      <c r="X128" s="271">
        <f t="shared" si="105"/>
        <v>525</v>
      </c>
      <c r="Y128" s="271">
        <f t="shared" si="105"/>
        <v>525</v>
      </c>
      <c r="Z128" s="271">
        <f t="shared" si="105"/>
        <v>525</v>
      </c>
      <c r="AA128" s="271">
        <f t="shared" si="105"/>
        <v>525</v>
      </c>
      <c r="AB128" s="270">
        <f t="shared" si="105"/>
        <v>525</v>
      </c>
      <c r="AC128" s="271">
        <f t="shared" si="105"/>
        <v>525</v>
      </c>
      <c r="AD128" s="271">
        <f t="shared" si="105"/>
        <v>525</v>
      </c>
      <c r="AE128" s="271">
        <f t="shared" si="105"/>
        <v>525</v>
      </c>
      <c r="AF128" s="271">
        <f t="shared" si="105"/>
        <v>525</v>
      </c>
      <c r="AG128" s="271">
        <f t="shared" si="105"/>
        <v>525</v>
      </c>
      <c r="AH128" s="271">
        <f t="shared" si="105"/>
        <v>525</v>
      </c>
      <c r="AI128" s="271">
        <f t="shared" si="105"/>
        <v>525</v>
      </c>
      <c r="AJ128" s="271">
        <f t="shared" si="105"/>
        <v>525</v>
      </c>
      <c r="AK128" s="271">
        <f t="shared" si="105"/>
        <v>525</v>
      </c>
      <c r="AL128" s="271">
        <f t="shared" si="105"/>
        <v>525</v>
      </c>
      <c r="AM128" s="271">
        <f t="shared" si="105"/>
        <v>525</v>
      </c>
    </row>
    <row r="129" spans="1:39" s="268" customFormat="1" outlineLevel="1" x14ac:dyDescent="0.25">
      <c r="B129" s="268" t="str">
        <f t="shared" si="98"/>
        <v>DagrenInst</v>
      </c>
      <c r="C129" s="269" t="s">
        <v>272</v>
      </c>
      <c r="D129" s="270">
        <f t="shared" ref="D129:AM129" si="106">$O12</f>
        <v>525</v>
      </c>
      <c r="E129" s="271">
        <f t="shared" si="106"/>
        <v>525</v>
      </c>
      <c r="F129" s="271">
        <f t="shared" si="106"/>
        <v>525</v>
      </c>
      <c r="G129" s="271">
        <f t="shared" si="106"/>
        <v>525</v>
      </c>
      <c r="H129" s="271">
        <f t="shared" si="106"/>
        <v>525</v>
      </c>
      <c r="I129" s="271">
        <f t="shared" si="106"/>
        <v>525</v>
      </c>
      <c r="J129" s="271">
        <f t="shared" si="106"/>
        <v>525</v>
      </c>
      <c r="K129" s="271">
        <f t="shared" si="106"/>
        <v>525</v>
      </c>
      <c r="L129" s="271">
        <f t="shared" si="106"/>
        <v>525</v>
      </c>
      <c r="M129" s="271">
        <f t="shared" si="106"/>
        <v>525</v>
      </c>
      <c r="N129" s="271">
        <f t="shared" si="106"/>
        <v>525</v>
      </c>
      <c r="O129" s="271">
        <f t="shared" si="106"/>
        <v>525</v>
      </c>
      <c r="P129" s="270">
        <f t="shared" si="106"/>
        <v>525</v>
      </c>
      <c r="Q129" s="271">
        <f t="shared" si="106"/>
        <v>525</v>
      </c>
      <c r="R129" s="271">
        <f t="shared" si="106"/>
        <v>525</v>
      </c>
      <c r="S129" s="271">
        <f t="shared" si="106"/>
        <v>525</v>
      </c>
      <c r="T129" s="271">
        <f t="shared" si="106"/>
        <v>525</v>
      </c>
      <c r="U129" s="271">
        <f t="shared" si="106"/>
        <v>525</v>
      </c>
      <c r="V129" s="271">
        <f t="shared" si="106"/>
        <v>525</v>
      </c>
      <c r="W129" s="271">
        <f t="shared" si="106"/>
        <v>525</v>
      </c>
      <c r="X129" s="271">
        <f t="shared" si="106"/>
        <v>525</v>
      </c>
      <c r="Y129" s="271">
        <f t="shared" si="106"/>
        <v>525</v>
      </c>
      <c r="Z129" s="271">
        <f t="shared" si="106"/>
        <v>525</v>
      </c>
      <c r="AA129" s="271">
        <f t="shared" si="106"/>
        <v>525</v>
      </c>
      <c r="AB129" s="270">
        <f t="shared" si="106"/>
        <v>525</v>
      </c>
      <c r="AC129" s="271">
        <f t="shared" si="106"/>
        <v>525</v>
      </c>
      <c r="AD129" s="271">
        <f t="shared" si="106"/>
        <v>525</v>
      </c>
      <c r="AE129" s="271">
        <f t="shared" si="106"/>
        <v>525</v>
      </c>
      <c r="AF129" s="271">
        <f t="shared" si="106"/>
        <v>525</v>
      </c>
      <c r="AG129" s="271">
        <f t="shared" si="106"/>
        <v>525</v>
      </c>
      <c r="AH129" s="271">
        <f t="shared" si="106"/>
        <v>525</v>
      </c>
      <c r="AI129" s="271">
        <f t="shared" si="106"/>
        <v>525</v>
      </c>
      <c r="AJ129" s="271">
        <f t="shared" si="106"/>
        <v>525</v>
      </c>
      <c r="AK129" s="271">
        <f t="shared" si="106"/>
        <v>525</v>
      </c>
      <c r="AL129" s="271">
        <f t="shared" si="106"/>
        <v>525</v>
      </c>
      <c r="AM129" s="271">
        <f t="shared" si="106"/>
        <v>525</v>
      </c>
    </row>
    <row r="130" spans="1:39" s="268" customFormat="1" outlineLevel="1" x14ac:dyDescent="0.25">
      <c r="B130" s="268" t="str">
        <f t="shared" si="98"/>
        <v>DagrenHandel</v>
      </c>
      <c r="C130" s="269" t="s">
        <v>272</v>
      </c>
      <c r="D130" s="270">
        <f t="shared" ref="D130:AM130" si="107">$O13</f>
        <v>525</v>
      </c>
      <c r="E130" s="271">
        <f t="shared" si="107"/>
        <v>525</v>
      </c>
      <c r="F130" s="271">
        <f t="shared" si="107"/>
        <v>525</v>
      </c>
      <c r="G130" s="271">
        <f t="shared" si="107"/>
        <v>525</v>
      </c>
      <c r="H130" s="271">
        <f t="shared" si="107"/>
        <v>525</v>
      </c>
      <c r="I130" s="271">
        <f t="shared" si="107"/>
        <v>525</v>
      </c>
      <c r="J130" s="271">
        <f t="shared" si="107"/>
        <v>525</v>
      </c>
      <c r="K130" s="271">
        <f t="shared" si="107"/>
        <v>525</v>
      </c>
      <c r="L130" s="271">
        <f t="shared" si="107"/>
        <v>525</v>
      </c>
      <c r="M130" s="271">
        <f t="shared" si="107"/>
        <v>525</v>
      </c>
      <c r="N130" s="271">
        <f t="shared" si="107"/>
        <v>525</v>
      </c>
      <c r="O130" s="271">
        <f t="shared" si="107"/>
        <v>525</v>
      </c>
      <c r="P130" s="270">
        <f t="shared" si="107"/>
        <v>525</v>
      </c>
      <c r="Q130" s="271">
        <f t="shared" si="107"/>
        <v>525</v>
      </c>
      <c r="R130" s="271">
        <f t="shared" si="107"/>
        <v>525</v>
      </c>
      <c r="S130" s="271">
        <f t="shared" si="107"/>
        <v>525</v>
      </c>
      <c r="T130" s="271">
        <f t="shared" si="107"/>
        <v>525</v>
      </c>
      <c r="U130" s="271">
        <f t="shared" si="107"/>
        <v>525</v>
      </c>
      <c r="V130" s="271">
        <f t="shared" si="107"/>
        <v>525</v>
      </c>
      <c r="W130" s="271">
        <f t="shared" si="107"/>
        <v>525</v>
      </c>
      <c r="X130" s="271">
        <f t="shared" si="107"/>
        <v>525</v>
      </c>
      <c r="Y130" s="271">
        <f t="shared" si="107"/>
        <v>525</v>
      </c>
      <c r="Z130" s="271">
        <f t="shared" si="107"/>
        <v>525</v>
      </c>
      <c r="AA130" s="271">
        <f t="shared" si="107"/>
        <v>525</v>
      </c>
      <c r="AB130" s="270">
        <f t="shared" si="107"/>
        <v>525</v>
      </c>
      <c r="AC130" s="271">
        <f t="shared" si="107"/>
        <v>525</v>
      </c>
      <c r="AD130" s="271">
        <f t="shared" si="107"/>
        <v>525</v>
      </c>
      <c r="AE130" s="271">
        <f t="shared" si="107"/>
        <v>525</v>
      </c>
      <c r="AF130" s="271">
        <f t="shared" si="107"/>
        <v>525</v>
      </c>
      <c r="AG130" s="271">
        <f t="shared" si="107"/>
        <v>525</v>
      </c>
      <c r="AH130" s="271">
        <f t="shared" si="107"/>
        <v>525</v>
      </c>
      <c r="AI130" s="271">
        <f t="shared" si="107"/>
        <v>525</v>
      </c>
      <c r="AJ130" s="271">
        <f t="shared" si="107"/>
        <v>525</v>
      </c>
      <c r="AK130" s="271">
        <f t="shared" si="107"/>
        <v>525</v>
      </c>
      <c r="AL130" s="271">
        <f t="shared" si="107"/>
        <v>525</v>
      </c>
      <c r="AM130" s="271">
        <f t="shared" si="107"/>
        <v>525</v>
      </c>
    </row>
    <row r="131" spans="1:39" s="268" customFormat="1" outlineLevel="1" x14ac:dyDescent="0.25">
      <c r="B131" s="268" t="str">
        <f t="shared" si="98"/>
        <v>DagrenRestau</v>
      </c>
      <c r="C131" s="269" t="s">
        <v>272</v>
      </c>
      <c r="D131" s="270">
        <f t="shared" ref="D131:AM131" si="108">$O14</f>
        <v>525</v>
      </c>
      <c r="E131" s="271">
        <f t="shared" si="108"/>
        <v>525</v>
      </c>
      <c r="F131" s="271">
        <f t="shared" si="108"/>
        <v>525</v>
      </c>
      <c r="G131" s="271">
        <f t="shared" si="108"/>
        <v>525</v>
      </c>
      <c r="H131" s="271">
        <f t="shared" si="108"/>
        <v>525</v>
      </c>
      <c r="I131" s="271">
        <f t="shared" si="108"/>
        <v>525</v>
      </c>
      <c r="J131" s="271">
        <f t="shared" si="108"/>
        <v>525</v>
      </c>
      <c r="K131" s="271">
        <f t="shared" si="108"/>
        <v>525</v>
      </c>
      <c r="L131" s="271">
        <f t="shared" si="108"/>
        <v>525</v>
      </c>
      <c r="M131" s="271">
        <f t="shared" si="108"/>
        <v>525</v>
      </c>
      <c r="N131" s="271">
        <f t="shared" si="108"/>
        <v>525</v>
      </c>
      <c r="O131" s="271">
        <f t="shared" si="108"/>
        <v>525</v>
      </c>
      <c r="P131" s="270">
        <f t="shared" si="108"/>
        <v>525</v>
      </c>
      <c r="Q131" s="271">
        <f t="shared" si="108"/>
        <v>525</v>
      </c>
      <c r="R131" s="271">
        <f t="shared" si="108"/>
        <v>525</v>
      </c>
      <c r="S131" s="271">
        <f t="shared" si="108"/>
        <v>525</v>
      </c>
      <c r="T131" s="271">
        <f t="shared" si="108"/>
        <v>525</v>
      </c>
      <c r="U131" s="271">
        <f t="shared" si="108"/>
        <v>525</v>
      </c>
      <c r="V131" s="271">
        <f t="shared" si="108"/>
        <v>525</v>
      </c>
      <c r="W131" s="271">
        <f t="shared" si="108"/>
        <v>525</v>
      </c>
      <c r="X131" s="271">
        <f t="shared" si="108"/>
        <v>525</v>
      </c>
      <c r="Y131" s="271">
        <f t="shared" si="108"/>
        <v>525</v>
      </c>
      <c r="Z131" s="271">
        <f t="shared" si="108"/>
        <v>525</v>
      </c>
      <c r="AA131" s="271">
        <f t="shared" si="108"/>
        <v>525</v>
      </c>
      <c r="AB131" s="270">
        <f t="shared" si="108"/>
        <v>525</v>
      </c>
      <c r="AC131" s="271">
        <f t="shared" si="108"/>
        <v>525</v>
      </c>
      <c r="AD131" s="271">
        <f t="shared" si="108"/>
        <v>525</v>
      </c>
      <c r="AE131" s="271">
        <f t="shared" si="108"/>
        <v>525</v>
      </c>
      <c r="AF131" s="271">
        <f t="shared" si="108"/>
        <v>525</v>
      </c>
      <c r="AG131" s="271">
        <f t="shared" si="108"/>
        <v>525</v>
      </c>
      <c r="AH131" s="271">
        <f t="shared" si="108"/>
        <v>525</v>
      </c>
      <c r="AI131" s="271">
        <f t="shared" si="108"/>
        <v>525</v>
      </c>
      <c r="AJ131" s="271">
        <f t="shared" si="108"/>
        <v>525</v>
      </c>
      <c r="AK131" s="271">
        <f t="shared" si="108"/>
        <v>525</v>
      </c>
      <c r="AL131" s="271">
        <f t="shared" si="108"/>
        <v>525</v>
      </c>
      <c r="AM131" s="271">
        <f t="shared" si="108"/>
        <v>525</v>
      </c>
    </row>
    <row r="132" spans="1:39" s="268" customFormat="1" outlineLevel="1" x14ac:dyDescent="0.25">
      <c r="B132" s="268" t="str">
        <f t="shared" si="98"/>
        <v>Erhverv</v>
      </c>
      <c r="C132" s="269" t="s">
        <v>272</v>
      </c>
      <c r="D132" s="270">
        <f t="shared" ref="D132:AM132" si="109">$O15</f>
        <v>525</v>
      </c>
      <c r="E132" s="271">
        <f t="shared" si="109"/>
        <v>525</v>
      </c>
      <c r="F132" s="271">
        <f t="shared" si="109"/>
        <v>525</v>
      </c>
      <c r="G132" s="271">
        <f t="shared" si="109"/>
        <v>525</v>
      </c>
      <c r="H132" s="271">
        <f t="shared" si="109"/>
        <v>525</v>
      </c>
      <c r="I132" s="271">
        <f t="shared" si="109"/>
        <v>525</v>
      </c>
      <c r="J132" s="271">
        <f t="shared" si="109"/>
        <v>525</v>
      </c>
      <c r="K132" s="271">
        <f t="shared" si="109"/>
        <v>525</v>
      </c>
      <c r="L132" s="271">
        <f t="shared" si="109"/>
        <v>525</v>
      </c>
      <c r="M132" s="271">
        <f t="shared" si="109"/>
        <v>525</v>
      </c>
      <c r="N132" s="271">
        <f t="shared" si="109"/>
        <v>525</v>
      </c>
      <c r="O132" s="271">
        <f t="shared" si="109"/>
        <v>525</v>
      </c>
      <c r="P132" s="270">
        <f t="shared" si="109"/>
        <v>525</v>
      </c>
      <c r="Q132" s="271">
        <f t="shared" si="109"/>
        <v>525</v>
      </c>
      <c r="R132" s="271">
        <f t="shared" si="109"/>
        <v>525</v>
      </c>
      <c r="S132" s="271">
        <f t="shared" si="109"/>
        <v>525</v>
      </c>
      <c r="T132" s="271">
        <f t="shared" si="109"/>
        <v>525</v>
      </c>
      <c r="U132" s="271">
        <f t="shared" si="109"/>
        <v>525</v>
      </c>
      <c r="V132" s="271">
        <f t="shared" si="109"/>
        <v>525</v>
      </c>
      <c r="W132" s="271">
        <f t="shared" si="109"/>
        <v>525</v>
      </c>
      <c r="X132" s="271">
        <f t="shared" si="109"/>
        <v>525</v>
      </c>
      <c r="Y132" s="271">
        <f t="shared" si="109"/>
        <v>525</v>
      </c>
      <c r="Z132" s="271">
        <f t="shared" si="109"/>
        <v>525</v>
      </c>
      <c r="AA132" s="271">
        <f t="shared" si="109"/>
        <v>525</v>
      </c>
      <c r="AB132" s="270">
        <f t="shared" si="109"/>
        <v>525</v>
      </c>
      <c r="AC132" s="271">
        <f t="shared" si="109"/>
        <v>525</v>
      </c>
      <c r="AD132" s="271">
        <f t="shared" si="109"/>
        <v>525</v>
      </c>
      <c r="AE132" s="271">
        <f t="shared" si="109"/>
        <v>525</v>
      </c>
      <c r="AF132" s="271">
        <f t="shared" si="109"/>
        <v>525</v>
      </c>
      <c r="AG132" s="271">
        <f t="shared" si="109"/>
        <v>525</v>
      </c>
      <c r="AH132" s="271">
        <f t="shared" si="109"/>
        <v>525</v>
      </c>
      <c r="AI132" s="271">
        <f t="shared" si="109"/>
        <v>525</v>
      </c>
      <c r="AJ132" s="271">
        <f t="shared" si="109"/>
        <v>525</v>
      </c>
      <c r="AK132" s="271">
        <f t="shared" si="109"/>
        <v>525</v>
      </c>
      <c r="AL132" s="271">
        <f t="shared" si="109"/>
        <v>525</v>
      </c>
      <c r="AM132" s="271">
        <f t="shared" si="109"/>
        <v>525</v>
      </c>
    </row>
    <row r="133" spans="1:39" s="268" customFormat="1" outlineLevel="1" x14ac:dyDescent="0.25">
      <c r="B133" s="268" t="str">
        <f t="shared" si="98"/>
        <v>DagrenErhverv</v>
      </c>
      <c r="C133" s="269" t="s">
        <v>272</v>
      </c>
      <c r="D133" s="270">
        <f t="shared" ref="D133:AM133" si="110">$O16</f>
        <v>785</v>
      </c>
      <c r="E133" s="271">
        <f t="shared" si="110"/>
        <v>785</v>
      </c>
      <c r="F133" s="271">
        <f t="shared" si="110"/>
        <v>785</v>
      </c>
      <c r="G133" s="271">
        <f t="shared" si="110"/>
        <v>785</v>
      </c>
      <c r="H133" s="271">
        <f t="shared" si="110"/>
        <v>785</v>
      </c>
      <c r="I133" s="271">
        <f t="shared" si="110"/>
        <v>785</v>
      </c>
      <c r="J133" s="271">
        <f t="shared" si="110"/>
        <v>785</v>
      </c>
      <c r="K133" s="271">
        <f t="shared" si="110"/>
        <v>785</v>
      </c>
      <c r="L133" s="271">
        <f t="shared" si="110"/>
        <v>785</v>
      </c>
      <c r="M133" s="271">
        <f t="shared" si="110"/>
        <v>785</v>
      </c>
      <c r="N133" s="271">
        <f t="shared" si="110"/>
        <v>785</v>
      </c>
      <c r="O133" s="271">
        <f t="shared" si="110"/>
        <v>785</v>
      </c>
      <c r="P133" s="270">
        <f t="shared" si="110"/>
        <v>785</v>
      </c>
      <c r="Q133" s="271">
        <f t="shared" si="110"/>
        <v>785</v>
      </c>
      <c r="R133" s="271">
        <f t="shared" si="110"/>
        <v>785</v>
      </c>
      <c r="S133" s="271">
        <f t="shared" si="110"/>
        <v>785</v>
      </c>
      <c r="T133" s="271">
        <f t="shared" si="110"/>
        <v>785</v>
      </c>
      <c r="U133" s="271">
        <f t="shared" si="110"/>
        <v>785</v>
      </c>
      <c r="V133" s="271">
        <f t="shared" si="110"/>
        <v>785</v>
      </c>
      <c r="W133" s="271">
        <f t="shared" si="110"/>
        <v>785</v>
      </c>
      <c r="X133" s="271">
        <f t="shared" si="110"/>
        <v>785</v>
      </c>
      <c r="Y133" s="271">
        <f t="shared" si="110"/>
        <v>785</v>
      </c>
      <c r="Z133" s="271">
        <f t="shared" si="110"/>
        <v>785</v>
      </c>
      <c r="AA133" s="271">
        <f t="shared" si="110"/>
        <v>785</v>
      </c>
      <c r="AB133" s="270">
        <f t="shared" si="110"/>
        <v>785</v>
      </c>
      <c r="AC133" s="271">
        <f t="shared" si="110"/>
        <v>785</v>
      </c>
      <c r="AD133" s="271">
        <f t="shared" si="110"/>
        <v>785</v>
      </c>
      <c r="AE133" s="271">
        <f t="shared" si="110"/>
        <v>785</v>
      </c>
      <c r="AF133" s="271">
        <f t="shared" si="110"/>
        <v>785</v>
      </c>
      <c r="AG133" s="271">
        <f t="shared" si="110"/>
        <v>785</v>
      </c>
      <c r="AH133" s="271">
        <f t="shared" si="110"/>
        <v>785</v>
      </c>
      <c r="AI133" s="271">
        <f t="shared" si="110"/>
        <v>785</v>
      </c>
      <c r="AJ133" s="271">
        <f t="shared" si="110"/>
        <v>785</v>
      </c>
      <c r="AK133" s="271">
        <f t="shared" si="110"/>
        <v>785</v>
      </c>
      <c r="AL133" s="271">
        <f t="shared" si="110"/>
        <v>785</v>
      </c>
      <c r="AM133" s="271">
        <f t="shared" si="110"/>
        <v>785</v>
      </c>
    </row>
    <row r="134" spans="1:39" s="268" customFormat="1" outlineLevel="1" x14ac:dyDescent="0.25">
      <c r="B134" s="268" t="str">
        <f t="shared" si="98"/>
        <v>HandelKontor</v>
      </c>
      <c r="C134" s="269" t="s">
        <v>272</v>
      </c>
      <c r="D134" s="270">
        <f t="shared" ref="D134:AM134" si="111">$O17</f>
        <v>0</v>
      </c>
      <c r="E134" s="271">
        <f t="shared" si="111"/>
        <v>0</v>
      </c>
      <c r="F134" s="271">
        <f t="shared" si="111"/>
        <v>0</v>
      </c>
      <c r="G134" s="271">
        <f t="shared" si="111"/>
        <v>0</v>
      </c>
      <c r="H134" s="271">
        <f t="shared" si="111"/>
        <v>0</v>
      </c>
      <c r="I134" s="271">
        <f t="shared" si="111"/>
        <v>0</v>
      </c>
      <c r="J134" s="271">
        <f t="shared" si="111"/>
        <v>0</v>
      </c>
      <c r="K134" s="271">
        <f t="shared" si="111"/>
        <v>0</v>
      </c>
      <c r="L134" s="271">
        <f t="shared" si="111"/>
        <v>0</v>
      </c>
      <c r="M134" s="271">
        <f t="shared" si="111"/>
        <v>0</v>
      </c>
      <c r="N134" s="271">
        <f t="shared" si="111"/>
        <v>0</v>
      </c>
      <c r="O134" s="271">
        <f t="shared" si="111"/>
        <v>0</v>
      </c>
      <c r="P134" s="270">
        <f t="shared" si="111"/>
        <v>0</v>
      </c>
      <c r="Q134" s="271">
        <f t="shared" si="111"/>
        <v>0</v>
      </c>
      <c r="R134" s="271">
        <f t="shared" si="111"/>
        <v>0</v>
      </c>
      <c r="S134" s="271">
        <f t="shared" si="111"/>
        <v>0</v>
      </c>
      <c r="T134" s="271">
        <f t="shared" si="111"/>
        <v>0</v>
      </c>
      <c r="U134" s="271">
        <f t="shared" si="111"/>
        <v>0</v>
      </c>
      <c r="V134" s="271">
        <f t="shared" si="111"/>
        <v>0</v>
      </c>
      <c r="W134" s="271">
        <f t="shared" si="111"/>
        <v>0</v>
      </c>
      <c r="X134" s="271">
        <f t="shared" si="111"/>
        <v>0</v>
      </c>
      <c r="Y134" s="271">
        <f t="shared" si="111"/>
        <v>0</v>
      </c>
      <c r="Z134" s="271">
        <f t="shared" si="111"/>
        <v>0</v>
      </c>
      <c r="AA134" s="271">
        <f t="shared" si="111"/>
        <v>0</v>
      </c>
      <c r="AB134" s="270">
        <f t="shared" si="111"/>
        <v>0</v>
      </c>
      <c r="AC134" s="271">
        <f t="shared" si="111"/>
        <v>0</v>
      </c>
      <c r="AD134" s="271">
        <f t="shared" si="111"/>
        <v>0</v>
      </c>
      <c r="AE134" s="271">
        <f t="shared" si="111"/>
        <v>0</v>
      </c>
      <c r="AF134" s="271">
        <f t="shared" si="111"/>
        <v>0</v>
      </c>
      <c r="AG134" s="271">
        <f t="shared" si="111"/>
        <v>0</v>
      </c>
      <c r="AH134" s="271">
        <f t="shared" si="111"/>
        <v>0</v>
      </c>
      <c r="AI134" s="271">
        <f t="shared" si="111"/>
        <v>0</v>
      </c>
      <c r="AJ134" s="271">
        <f t="shared" si="111"/>
        <v>0</v>
      </c>
      <c r="AK134" s="271">
        <f t="shared" si="111"/>
        <v>0</v>
      </c>
      <c r="AL134" s="271">
        <f t="shared" si="111"/>
        <v>0</v>
      </c>
      <c r="AM134" s="271">
        <f t="shared" si="111"/>
        <v>0</v>
      </c>
    </row>
    <row r="135" spans="1:39" s="268" customFormat="1" outlineLevel="1" x14ac:dyDescent="0.25">
      <c r="B135" s="268" t="str">
        <f t="shared" si="98"/>
        <v>Privat</v>
      </c>
      <c r="C135" s="269" t="s">
        <v>272</v>
      </c>
      <c r="D135" s="270">
        <f t="shared" ref="D135:AM135" si="112">$O18</f>
        <v>525</v>
      </c>
      <c r="E135" s="271">
        <f t="shared" si="112"/>
        <v>525</v>
      </c>
      <c r="F135" s="271">
        <f t="shared" si="112"/>
        <v>525</v>
      </c>
      <c r="G135" s="271">
        <f t="shared" si="112"/>
        <v>525</v>
      </c>
      <c r="H135" s="271">
        <f t="shared" si="112"/>
        <v>525</v>
      </c>
      <c r="I135" s="271">
        <f t="shared" si="112"/>
        <v>525</v>
      </c>
      <c r="J135" s="271">
        <f t="shared" si="112"/>
        <v>525</v>
      </c>
      <c r="K135" s="271">
        <f t="shared" si="112"/>
        <v>525</v>
      </c>
      <c r="L135" s="271">
        <f t="shared" si="112"/>
        <v>525</v>
      </c>
      <c r="M135" s="271">
        <f t="shared" si="112"/>
        <v>525</v>
      </c>
      <c r="N135" s="271">
        <f t="shared" si="112"/>
        <v>525</v>
      </c>
      <c r="O135" s="271">
        <f t="shared" si="112"/>
        <v>525</v>
      </c>
      <c r="P135" s="270">
        <f t="shared" si="112"/>
        <v>525</v>
      </c>
      <c r="Q135" s="271">
        <f t="shared" si="112"/>
        <v>525</v>
      </c>
      <c r="R135" s="271">
        <f t="shared" si="112"/>
        <v>525</v>
      </c>
      <c r="S135" s="271">
        <f t="shared" si="112"/>
        <v>525</v>
      </c>
      <c r="T135" s="271">
        <f t="shared" si="112"/>
        <v>525</v>
      </c>
      <c r="U135" s="271">
        <f t="shared" si="112"/>
        <v>525</v>
      </c>
      <c r="V135" s="271">
        <f t="shared" si="112"/>
        <v>525</v>
      </c>
      <c r="W135" s="271">
        <f t="shared" si="112"/>
        <v>525</v>
      </c>
      <c r="X135" s="271">
        <f t="shared" si="112"/>
        <v>525</v>
      </c>
      <c r="Y135" s="271">
        <f t="shared" si="112"/>
        <v>525</v>
      </c>
      <c r="Z135" s="271">
        <f t="shared" si="112"/>
        <v>525</v>
      </c>
      <c r="AA135" s="271">
        <f t="shared" si="112"/>
        <v>525</v>
      </c>
      <c r="AB135" s="270">
        <f t="shared" si="112"/>
        <v>525</v>
      </c>
      <c r="AC135" s="271">
        <f t="shared" si="112"/>
        <v>525</v>
      </c>
      <c r="AD135" s="271">
        <f t="shared" si="112"/>
        <v>525</v>
      </c>
      <c r="AE135" s="271">
        <f t="shared" si="112"/>
        <v>525</v>
      </c>
      <c r="AF135" s="271">
        <f t="shared" si="112"/>
        <v>525</v>
      </c>
      <c r="AG135" s="271">
        <f t="shared" si="112"/>
        <v>525</v>
      </c>
      <c r="AH135" s="271">
        <f t="shared" si="112"/>
        <v>525</v>
      </c>
      <c r="AI135" s="271">
        <f t="shared" si="112"/>
        <v>525</v>
      </c>
      <c r="AJ135" s="271">
        <f t="shared" si="112"/>
        <v>525</v>
      </c>
      <c r="AK135" s="271">
        <f t="shared" si="112"/>
        <v>525</v>
      </c>
      <c r="AL135" s="271">
        <f t="shared" si="112"/>
        <v>525</v>
      </c>
      <c r="AM135" s="271">
        <f t="shared" si="112"/>
        <v>525</v>
      </c>
    </row>
    <row r="136" spans="1:39" s="268" customFormat="1" outlineLevel="1" x14ac:dyDescent="0.25">
      <c r="B136" s="268" t="str">
        <f t="shared" si="98"/>
        <v>TyskRest</v>
      </c>
      <c r="C136" s="269" t="s">
        <v>272</v>
      </c>
      <c r="D136" s="270">
        <f t="shared" ref="D136:AM136" si="113">$O19</f>
        <v>400</v>
      </c>
      <c r="E136" s="271">
        <f t="shared" si="113"/>
        <v>400</v>
      </c>
      <c r="F136" s="271">
        <f t="shared" si="113"/>
        <v>400</v>
      </c>
      <c r="G136" s="271">
        <f t="shared" si="113"/>
        <v>400</v>
      </c>
      <c r="H136" s="271">
        <f t="shared" si="113"/>
        <v>400</v>
      </c>
      <c r="I136" s="271">
        <f t="shared" si="113"/>
        <v>400</v>
      </c>
      <c r="J136" s="271">
        <f t="shared" si="113"/>
        <v>400</v>
      </c>
      <c r="K136" s="271">
        <f t="shared" si="113"/>
        <v>400</v>
      </c>
      <c r="L136" s="271">
        <f t="shared" si="113"/>
        <v>400</v>
      </c>
      <c r="M136" s="271">
        <f t="shared" si="113"/>
        <v>400</v>
      </c>
      <c r="N136" s="271">
        <f t="shared" si="113"/>
        <v>400</v>
      </c>
      <c r="O136" s="271">
        <f t="shared" si="113"/>
        <v>400</v>
      </c>
      <c r="P136" s="270">
        <f t="shared" si="113"/>
        <v>400</v>
      </c>
      <c r="Q136" s="271">
        <f t="shared" si="113"/>
        <v>400</v>
      </c>
      <c r="R136" s="271">
        <f t="shared" si="113"/>
        <v>400</v>
      </c>
      <c r="S136" s="271">
        <f t="shared" si="113"/>
        <v>400</v>
      </c>
      <c r="T136" s="271">
        <f t="shared" si="113"/>
        <v>400</v>
      </c>
      <c r="U136" s="271">
        <f t="shared" si="113"/>
        <v>400</v>
      </c>
      <c r="V136" s="271">
        <f t="shared" si="113"/>
        <v>400</v>
      </c>
      <c r="W136" s="271">
        <f t="shared" si="113"/>
        <v>400</v>
      </c>
      <c r="X136" s="271">
        <f t="shared" si="113"/>
        <v>400</v>
      </c>
      <c r="Y136" s="271">
        <f t="shared" si="113"/>
        <v>400</v>
      </c>
      <c r="Z136" s="271">
        <f t="shared" si="113"/>
        <v>400</v>
      </c>
      <c r="AA136" s="271">
        <f t="shared" si="113"/>
        <v>400</v>
      </c>
      <c r="AB136" s="270">
        <f t="shared" si="113"/>
        <v>400</v>
      </c>
      <c r="AC136" s="271">
        <f t="shared" si="113"/>
        <v>400</v>
      </c>
      <c r="AD136" s="271">
        <f t="shared" si="113"/>
        <v>400</v>
      </c>
      <c r="AE136" s="271">
        <f t="shared" si="113"/>
        <v>400</v>
      </c>
      <c r="AF136" s="271">
        <f t="shared" si="113"/>
        <v>400</v>
      </c>
      <c r="AG136" s="271">
        <f t="shared" si="113"/>
        <v>400</v>
      </c>
      <c r="AH136" s="271">
        <f t="shared" si="113"/>
        <v>400</v>
      </c>
      <c r="AI136" s="271">
        <f t="shared" si="113"/>
        <v>400</v>
      </c>
      <c r="AJ136" s="271">
        <f t="shared" si="113"/>
        <v>400</v>
      </c>
      <c r="AK136" s="271">
        <f t="shared" si="113"/>
        <v>400</v>
      </c>
      <c r="AL136" s="271">
        <f t="shared" si="113"/>
        <v>400</v>
      </c>
      <c r="AM136" s="271">
        <f t="shared" si="113"/>
        <v>400</v>
      </c>
    </row>
    <row r="137" spans="1:39" s="268" customFormat="1" outlineLevel="1" x14ac:dyDescent="0.25">
      <c r="B137" s="268" t="str">
        <f t="shared" si="98"/>
        <v>PolskRest</v>
      </c>
      <c r="C137" s="269" t="s">
        <v>272</v>
      </c>
      <c r="D137" s="270">
        <f t="shared" ref="D137:AM137" si="114">$O20</f>
        <v>515</v>
      </c>
      <c r="E137" s="271">
        <f t="shared" si="114"/>
        <v>515</v>
      </c>
      <c r="F137" s="271">
        <f t="shared" si="114"/>
        <v>515</v>
      </c>
      <c r="G137" s="271">
        <f t="shared" si="114"/>
        <v>515</v>
      </c>
      <c r="H137" s="271">
        <f t="shared" si="114"/>
        <v>515</v>
      </c>
      <c r="I137" s="271">
        <f t="shared" si="114"/>
        <v>515</v>
      </c>
      <c r="J137" s="271">
        <f t="shared" si="114"/>
        <v>515</v>
      </c>
      <c r="K137" s="271">
        <f t="shared" si="114"/>
        <v>515</v>
      </c>
      <c r="L137" s="271">
        <f t="shared" si="114"/>
        <v>515</v>
      </c>
      <c r="M137" s="271">
        <f t="shared" si="114"/>
        <v>515</v>
      </c>
      <c r="N137" s="271">
        <f t="shared" si="114"/>
        <v>515</v>
      </c>
      <c r="O137" s="271">
        <f t="shared" si="114"/>
        <v>515</v>
      </c>
      <c r="P137" s="270">
        <f t="shared" si="114"/>
        <v>515</v>
      </c>
      <c r="Q137" s="271">
        <f t="shared" si="114"/>
        <v>515</v>
      </c>
      <c r="R137" s="271">
        <f t="shared" si="114"/>
        <v>515</v>
      </c>
      <c r="S137" s="271">
        <f t="shared" si="114"/>
        <v>515</v>
      </c>
      <c r="T137" s="271">
        <f t="shared" si="114"/>
        <v>515</v>
      </c>
      <c r="U137" s="271">
        <f t="shared" si="114"/>
        <v>515</v>
      </c>
      <c r="V137" s="271">
        <f t="shared" si="114"/>
        <v>515</v>
      </c>
      <c r="W137" s="271">
        <f t="shared" si="114"/>
        <v>515</v>
      </c>
      <c r="X137" s="271">
        <f t="shared" si="114"/>
        <v>515</v>
      </c>
      <c r="Y137" s="271">
        <f t="shared" si="114"/>
        <v>515</v>
      </c>
      <c r="Z137" s="271">
        <f t="shared" si="114"/>
        <v>515</v>
      </c>
      <c r="AA137" s="271">
        <f t="shared" si="114"/>
        <v>515</v>
      </c>
      <c r="AB137" s="270">
        <f t="shared" si="114"/>
        <v>515</v>
      </c>
      <c r="AC137" s="271">
        <f t="shared" si="114"/>
        <v>515</v>
      </c>
      <c r="AD137" s="271">
        <f t="shared" si="114"/>
        <v>515</v>
      </c>
      <c r="AE137" s="271">
        <f t="shared" si="114"/>
        <v>515</v>
      </c>
      <c r="AF137" s="271">
        <f t="shared" si="114"/>
        <v>515</v>
      </c>
      <c r="AG137" s="271">
        <f t="shared" si="114"/>
        <v>515</v>
      </c>
      <c r="AH137" s="271">
        <f t="shared" si="114"/>
        <v>515</v>
      </c>
      <c r="AI137" s="271">
        <f t="shared" si="114"/>
        <v>515</v>
      </c>
      <c r="AJ137" s="271">
        <f t="shared" si="114"/>
        <v>515</v>
      </c>
      <c r="AK137" s="271">
        <f t="shared" si="114"/>
        <v>515</v>
      </c>
      <c r="AL137" s="271">
        <f t="shared" si="114"/>
        <v>515</v>
      </c>
      <c r="AM137" s="271">
        <f t="shared" si="114"/>
        <v>515</v>
      </c>
    </row>
    <row r="138" spans="1:39" s="268" customFormat="1" outlineLevel="1" x14ac:dyDescent="0.25">
      <c r="B138" s="268" t="str">
        <f t="shared" si="98"/>
        <v>PcbTrae</v>
      </c>
      <c r="C138" s="269" t="s">
        <v>272</v>
      </c>
      <c r="D138" s="270">
        <f t="shared" ref="D138:AM138" si="115">$O21</f>
        <v>0</v>
      </c>
      <c r="E138" s="271">
        <f t="shared" si="115"/>
        <v>0</v>
      </c>
      <c r="F138" s="271">
        <f t="shared" si="115"/>
        <v>0</v>
      </c>
      <c r="G138" s="271">
        <f t="shared" si="115"/>
        <v>0</v>
      </c>
      <c r="H138" s="271">
        <f t="shared" si="115"/>
        <v>0</v>
      </c>
      <c r="I138" s="271">
        <f t="shared" si="115"/>
        <v>0</v>
      </c>
      <c r="J138" s="271">
        <f t="shared" si="115"/>
        <v>0</v>
      </c>
      <c r="K138" s="271">
        <f t="shared" si="115"/>
        <v>0</v>
      </c>
      <c r="L138" s="271">
        <f t="shared" si="115"/>
        <v>0</v>
      </c>
      <c r="M138" s="271">
        <f t="shared" si="115"/>
        <v>0</v>
      </c>
      <c r="N138" s="271">
        <f t="shared" si="115"/>
        <v>0</v>
      </c>
      <c r="O138" s="271">
        <f t="shared" si="115"/>
        <v>0</v>
      </c>
      <c r="P138" s="270">
        <f t="shared" si="115"/>
        <v>0</v>
      </c>
      <c r="Q138" s="271">
        <f t="shared" si="115"/>
        <v>0</v>
      </c>
      <c r="R138" s="271">
        <f t="shared" si="115"/>
        <v>0</v>
      </c>
      <c r="S138" s="271">
        <f t="shared" si="115"/>
        <v>0</v>
      </c>
      <c r="T138" s="271">
        <f t="shared" si="115"/>
        <v>0</v>
      </c>
      <c r="U138" s="271">
        <f t="shared" si="115"/>
        <v>0</v>
      </c>
      <c r="V138" s="271">
        <f t="shared" si="115"/>
        <v>0</v>
      </c>
      <c r="W138" s="271">
        <f t="shared" si="115"/>
        <v>0</v>
      </c>
      <c r="X138" s="271">
        <f t="shared" si="115"/>
        <v>0</v>
      </c>
      <c r="Y138" s="271">
        <f t="shared" si="115"/>
        <v>0</v>
      </c>
      <c r="Z138" s="271">
        <f t="shared" si="115"/>
        <v>0</v>
      </c>
      <c r="AA138" s="271">
        <f t="shared" si="115"/>
        <v>0</v>
      </c>
      <c r="AB138" s="270">
        <f t="shared" si="115"/>
        <v>0</v>
      </c>
      <c r="AC138" s="271">
        <f t="shared" si="115"/>
        <v>0</v>
      </c>
      <c r="AD138" s="271">
        <f t="shared" si="115"/>
        <v>0</v>
      </c>
      <c r="AE138" s="271">
        <f t="shared" si="115"/>
        <v>0</v>
      </c>
      <c r="AF138" s="271">
        <f t="shared" si="115"/>
        <v>0</v>
      </c>
      <c r="AG138" s="271">
        <f t="shared" si="115"/>
        <v>0</v>
      </c>
      <c r="AH138" s="271">
        <f t="shared" si="115"/>
        <v>0</v>
      </c>
      <c r="AI138" s="271">
        <f t="shared" si="115"/>
        <v>0</v>
      </c>
      <c r="AJ138" s="271">
        <f t="shared" si="115"/>
        <v>0</v>
      </c>
      <c r="AK138" s="271">
        <f t="shared" si="115"/>
        <v>0</v>
      </c>
      <c r="AL138" s="271">
        <f t="shared" si="115"/>
        <v>0</v>
      </c>
      <c r="AM138" s="271">
        <f t="shared" si="115"/>
        <v>0</v>
      </c>
    </row>
    <row r="139" spans="1:39" s="268" customFormat="1" outlineLevel="1" x14ac:dyDescent="0.25">
      <c r="B139" s="268" t="str">
        <f t="shared" si="98"/>
        <v>TraeRekv</v>
      </c>
      <c r="C139" s="269" t="s">
        <v>272</v>
      </c>
      <c r="D139" s="270">
        <f t="shared" ref="D139:AM139" si="116">$O22</f>
        <v>0</v>
      </c>
      <c r="E139" s="271">
        <f t="shared" si="116"/>
        <v>0</v>
      </c>
      <c r="F139" s="271">
        <f t="shared" si="116"/>
        <v>0</v>
      </c>
      <c r="G139" s="271">
        <f t="shared" si="116"/>
        <v>0</v>
      </c>
      <c r="H139" s="271">
        <f t="shared" si="116"/>
        <v>0</v>
      </c>
      <c r="I139" s="271">
        <f t="shared" si="116"/>
        <v>0</v>
      </c>
      <c r="J139" s="271">
        <f t="shared" si="116"/>
        <v>0</v>
      </c>
      <c r="K139" s="271">
        <f t="shared" si="116"/>
        <v>0</v>
      </c>
      <c r="L139" s="271">
        <f t="shared" si="116"/>
        <v>0</v>
      </c>
      <c r="M139" s="271">
        <f t="shared" si="116"/>
        <v>0</v>
      </c>
      <c r="N139" s="271">
        <f t="shared" si="116"/>
        <v>0</v>
      </c>
      <c r="O139" s="271">
        <f t="shared" si="116"/>
        <v>0</v>
      </c>
      <c r="P139" s="270">
        <f t="shared" si="116"/>
        <v>0</v>
      </c>
      <c r="Q139" s="271">
        <f t="shared" si="116"/>
        <v>0</v>
      </c>
      <c r="R139" s="271">
        <f t="shared" si="116"/>
        <v>0</v>
      </c>
      <c r="S139" s="271">
        <f t="shared" si="116"/>
        <v>0</v>
      </c>
      <c r="T139" s="271">
        <f t="shared" si="116"/>
        <v>0</v>
      </c>
      <c r="U139" s="271">
        <f t="shared" si="116"/>
        <v>0</v>
      </c>
      <c r="V139" s="271">
        <f t="shared" si="116"/>
        <v>0</v>
      </c>
      <c r="W139" s="271">
        <f t="shared" si="116"/>
        <v>0</v>
      </c>
      <c r="X139" s="271">
        <f t="shared" si="116"/>
        <v>0</v>
      </c>
      <c r="Y139" s="271">
        <f t="shared" si="116"/>
        <v>0</v>
      </c>
      <c r="Z139" s="271">
        <f t="shared" si="116"/>
        <v>0</v>
      </c>
      <c r="AA139" s="271">
        <f t="shared" si="116"/>
        <v>0</v>
      </c>
      <c r="AB139" s="270">
        <f t="shared" si="116"/>
        <v>0</v>
      </c>
      <c r="AC139" s="271">
        <f t="shared" si="116"/>
        <v>0</v>
      </c>
      <c r="AD139" s="271">
        <f t="shared" si="116"/>
        <v>0</v>
      </c>
      <c r="AE139" s="271">
        <f t="shared" si="116"/>
        <v>0</v>
      </c>
      <c r="AF139" s="271">
        <f t="shared" si="116"/>
        <v>0</v>
      </c>
      <c r="AG139" s="271">
        <f t="shared" si="116"/>
        <v>0</v>
      </c>
      <c r="AH139" s="271">
        <f t="shared" si="116"/>
        <v>0</v>
      </c>
      <c r="AI139" s="271">
        <f t="shared" si="116"/>
        <v>0</v>
      </c>
      <c r="AJ139" s="271">
        <f t="shared" si="116"/>
        <v>0</v>
      </c>
      <c r="AK139" s="271">
        <f t="shared" si="116"/>
        <v>0</v>
      </c>
      <c r="AL139" s="271">
        <f t="shared" si="116"/>
        <v>0</v>
      </c>
      <c r="AM139" s="271">
        <f t="shared" si="116"/>
        <v>0</v>
      </c>
    </row>
    <row r="140" spans="1:39" s="268" customFormat="1" outlineLevel="1" x14ac:dyDescent="0.25">
      <c r="B140" s="268" t="str">
        <f t="shared" si="98"/>
        <v>Halm</v>
      </c>
      <c r="C140" s="269" t="s">
        <v>272</v>
      </c>
      <c r="D140" s="270">
        <f t="shared" ref="D140:AM140" si="117">$O23</f>
        <v>0</v>
      </c>
      <c r="E140" s="271">
        <f t="shared" si="117"/>
        <v>0</v>
      </c>
      <c r="F140" s="271">
        <f t="shared" si="117"/>
        <v>0</v>
      </c>
      <c r="G140" s="271">
        <f t="shared" si="117"/>
        <v>0</v>
      </c>
      <c r="H140" s="271">
        <f t="shared" si="117"/>
        <v>0</v>
      </c>
      <c r="I140" s="271">
        <f t="shared" si="117"/>
        <v>0</v>
      </c>
      <c r="J140" s="271">
        <f t="shared" si="117"/>
        <v>0</v>
      </c>
      <c r="K140" s="271">
        <f t="shared" si="117"/>
        <v>0</v>
      </c>
      <c r="L140" s="271">
        <f t="shared" si="117"/>
        <v>0</v>
      </c>
      <c r="M140" s="271">
        <f t="shared" si="117"/>
        <v>0</v>
      </c>
      <c r="N140" s="271">
        <f t="shared" si="117"/>
        <v>0</v>
      </c>
      <c r="O140" s="271">
        <f t="shared" si="117"/>
        <v>0</v>
      </c>
      <c r="P140" s="270">
        <f t="shared" si="117"/>
        <v>0</v>
      </c>
      <c r="Q140" s="271">
        <f t="shared" si="117"/>
        <v>0</v>
      </c>
      <c r="R140" s="271">
        <f t="shared" si="117"/>
        <v>0</v>
      </c>
      <c r="S140" s="271">
        <f t="shared" si="117"/>
        <v>0</v>
      </c>
      <c r="T140" s="271">
        <f t="shared" si="117"/>
        <v>0</v>
      </c>
      <c r="U140" s="271">
        <f t="shared" si="117"/>
        <v>0</v>
      </c>
      <c r="V140" s="271">
        <f t="shared" si="117"/>
        <v>0</v>
      </c>
      <c r="W140" s="271">
        <f t="shared" si="117"/>
        <v>0</v>
      </c>
      <c r="X140" s="271">
        <f t="shared" si="117"/>
        <v>0</v>
      </c>
      <c r="Y140" s="271">
        <f t="shared" si="117"/>
        <v>0</v>
      </c>
      <c r="Z140" s="271">
        <f t="shared" si="117"/>
        <v>0</v>
      </c>
      <c r="AA140" s="271">
        <f t="shared" si="117"/>
        <v>0</v>
      </c>
      <c r="AB140" s="270">
        <f t="shared" si="117"/>
        <v>0</v>
      </c>
      <c r="AC140" s="271">
        <f t="shared" si="117"/>
        <v>0</v>
      </c>
      <c r="AD140" s="271">
        <f t="shared" si="117"/>
        <v>0</v>
      </c>
      <c r="AE140" s="271">
        <f t="shared" si="117"/>
        <v>0</v>
      </c>
      <c r="AF140" s="271">
        <f t="shared" si="117"/>
        <v>0</v>
      </c>
      <c r="AG140" s="271">
        <f t="shared" si="117"/>
        <v>0</v>
      </c>
      <c r="AH140" s="271">
        <f t="shared" si="117"/>
        <v>0</v>
      </c>
      <c r="AI140" s="271">
        <f t="shared" si="117"/>
        <v>0</v>
      </c>
      <c r="AJ140" s="271">
        <f t="shared" si="117"/>
        <v>0</v>
      </c>
      <c r="AK140" s="271">
        <f t="shared" si="117"/>
        <v>0</v>
      </c>
      <c r="AL140" s="271">
        <f t="shared" si="117"/>
        <v>0</v>
      </c>
      <c r="AM140" s="271">
        <f t="shared" si="117"/>
        <v>0</v>
      </c>
    </row>
    <row r="141" spans="1:39" s="268" customFormat="1" outlineLevel="1" x14ac:dyDescent="0.25">
      <c r="A141" s="272"/>
      <c r="B141" s="268" t="str">
        <f t="shared" si="98"/>
        <v>Pulver</v>
      </c>
      <c r="C141" s="269" t="s">
        <v>272</v>
      </c>
      <c r="D141" s="270">
        <f t="shared" ref="D141:AM141" si="118">$O24</f>
        <v>685</v>
      </c>
      <c r="E141" s="271">
        <f t="shared" si="118"/>
        <v>685</v>
      </c>
      <c r="F141" s="271">
        <f t="shared" si="118"/>
        <v>685</v>
      </c>
      <c r="G141" s="271">
        <f t="shared" si="118"/>
        <v>685</v>
      </c>
      <c r="H141" s="271">
        <f t="shared" si="118"/>
        <v>685</v>
      </c>
      <c r="I141" s="271">
        <f t="shared" si="118"/>
        <v>685</v>
      </c>
      <c r="J141" s="271">
        <f t="shared" si="118"/>
        <v>685</v>
      </c>
      <c r="K141" s="271">
        <f t="shared" si="118"/>
        <v>685</v>
      </c>
      <c r="L141" s="271">
        <f t="shared" si="118"/>
        <v>685</v>
      </c>
      <c r="M141" s="271">
        <f t="shared" si="118"/>
        <v>685</v>
      </c>
      <c r="N141" s="271">
        <f t="shared" si="118"/>
        <v>685</v>
      </c>
      <c r="O141" s="271">
        <f t="shared" si="118"/>
        <v>685</v>
      </c>
      <c r="P141" s="270">
        <f t="shared" si="118"/>
        <v>685</v>
      </c>
      <c r="Q141" s="271">
        <f t="shared" si="118"/>
        <v>685</v>
      </c>
      <c r="R141" s="271">
        <f t="shared" si="118"/>
        <v>685</v>
      </c>
      <c r="S141" s="271">
        <f t="shared" si="118"/>
        <v>685</v>
      </c>
      <c r="T141" s="271">
        <f t="shared" si="118"/>
        <v>685</v>
      </c>
      <c r="U141" s="271">
        <f t="shared" si="118"/>
        <v>685</v>
      </c>
      <c r="V141" s="271">
        <f t="shared" si="118"/>
        <v>685</v>
      </c>
      <c r="W141" s="271">
        <f t="shared" si="118"/>
        <v>685</v>
      </c>
      <c r="X141" s="271">
        <f t="shared" si="118"/>
        <v>685</v>
      </c>
      <c r="Y141" s="271">
        <f t="shared" si="118"/>
        <v>685</v>
      </c>
      <c r="Z141" s="271">
        <f t="shared" si="118"/>
        <v>685</v>
      </c>
      <c r="AA141" s="271">
        <f t="shared" si="118"/>
        <v>685</v>
      </c>
      <c r="AB141" s="270">
        <f t="shared" si="118"/>
        <v>685</v>
      </c>
      <c r="AC141" s="271">
        <f t="shared" si="118"/>
        <v>685</v>
      </c>
      <c r="AD141" s="271">
        <f t="shared" si="118"/>
        <v>685</v>
      </c>
      <c r="AE141" s="271">
        <f t="shared" si="118"/>
        <v>685</v>
      </c>
      <c r="AF141" s="271">
        <f t="shared" si="118"/>
        <v>685</v>
      </c>
      <c r="AG141" s="271">
        <f t="shared" si="118"/>
        <v>685</v>
      </c>
      <c r="AH141" s="271">
        <f t="shared" si="118"/>
        <v>685</v>
      </c>
      <c r="AI141" s="271">
        <f t="shared" si="118"/>
        <v>685</v>
      </c>
      <c r="AJ141" s="271">
        <f t="shared" si="118"/>
        <v>685</v>
      </c>
      <c r="AK141" s="271">
        <f t="shared" si="118"/>
        <v>685</v>
      </c>
      <c r="AL141" s="271">
        <f t="shared" si="118"/>
        <v>685</v>
      </c>
      <c r="AM141" s="271">
        <f t="shared" si="118"/>
        <v>685</v>
      </c>
    </row>
    <row r="142" spans="1:39" s="268" customFormat="1" outlineLevel="1" x14ac:dyDescent="0.25">
      <c r="A142" s="272"/>
      <c r="B142" s="268" t="str">
        <f t="shared" si="98"/>
        <v>FlisAffald</v>
      </c>
      <c r="C142" s="269" t="s">
        <v>272</v>
      </c>
      <c r="D142" s="270">
        <f t="shared" ref="D142:AM142" si="119">$O25</f>
        <v>-450</v>
      </c>
      <c r="E142" s="271">
        <f t="shared" si="119"/>
        <v>-450</v>
      </c>
      <c r="F142" s="271">
        <f t="shared" si="119"/>
        <v>-450</v>
      </c>
      <c r="G142" s="271">
        <f t="shared" si="119"/>
        <v>-450</v>
      </c>
      <c r="H142" s="271">
        <f t="shared" si="119"/>
        <v>-450</v>
      </c>
      <c r="I142" s="271">
        <f t="shared" si="119"/>
        <v>-450</v>
      </c>
      <c r="J142" s="271">
        <f t="shared" si="119"/>
        <v>-450</v>
      </c>
      <c r="K142" s="271">
        <f t="shared" si="119"/>
        <v>-450</v>
      </c>
      <c r="L142" s="271">
        <f t="shared" si="119"/>
        <v>-450</v>
      </c>
      <c r="M142" s="271">
        <f t="shared" si="119"/>
        <v>-450</v>
      </c>
      <c r="N142" s="271">
        <f t="shared" si="119"/>
        <v>-450</v>
      </c>
      <c r="O142" s="271">
        <f t="shared" si="119"/>
        <v>-450</v>
      </c>
      <c r="P142" s="270">
        <f t="shared" si="119"/>
        <v>-450</v>
      </c>
      <c r="Q142" s="271">
        <f t="shared" si="119"/>
        <v>-450</v>
      </c>
      <c r="R142" s="271">
        <f t="shared" si="119"/>
        <v>-450</v>
      </c>
      <c r="S142" s="271">
        <f t="shared" si="119"/>
        <v>-450</v>
      </c>
      <c r="T142" s="271">
        <f t="shared" si="119"/>
        <v>-450</v>
      </c>
      <c r="U142" s="271">
        <f t="shared" si="119"/>
        <v>-450</v>
      </c>
      <c r="V142" s="271">
        <f t="shared" si="119"/>
        <v>-450</v>
      </c>
      <c r="W142" s="271">
        <f t="shared" si="119"/>
        <v>-450</v>
      </c>
      <c r="X142" s="271">
        <f t="shared" si="119"/>
        <v>-450</v>
      </c>
      <c r="Y142" s="271">
        <f t="shared" si="119"/>
        <v>-450</v>
      </c>
      <c r="Z142" s="271">
        <f t="shared" si="119"/>
        <v>-450</v>
      </c>
      <c r="AA142" s="271">
        <f t="shared" si="119"/>
        <v>-450</v>
      </c>
      <c r="AB142" s="270">
        <f t="shared" si="119"/>
        <v>-450</v>
      </c>
      <c r="AC142" s="271">
        <f t="shared" si="119"/>
        <v>-450</v>
      </c>
      <c r="AD142" s="271">
        <f t="shared" si="119"/>
        <v>-450</v>
      </c>
      <c r="AE142" s="271">
        <f t="shared" si="119"/>
        <v>-450</v>
      </c>
      <c r="AF142" s="271">
        <f t="shared" si="119"/>
        <v>-450</v>
      </c>
      <c r="AG142" s="271">
        <f t="shared" si="119"/>
        <v>-450</v>
      </c>
      <c r="AH142" s="271">
        <f t="shared" si="119"/>
        <v>-450</v>
      </c>
      <c r="AI142" s="271">
        <f t="shared" si="119"/>
        <v>-450</v>
      </c>
      <c r="AJ142" s="271">
        <f t="shared" si="119"/>
        <v>-450</v>
      </c>
      <c r="AK142" s="271">
        <f t="shared" si="119"/>
        <v>-450</v>
      </c>
      <c r="AL142" s="271">
        <f t="shared" si="119"/>
        <v>-450</v>
      </c>
      <c r="AM142" s="271">
        <f t="shared" si="119"/>
        <v>-450</v>
      </c>
    </row>
    <row r="143" spans="1:39" s="268" customFormat="1" outlineLevel="1" x14ac:dyDescent="0.25">
      <c r="A143" s="272"/>
      <c r="B143" s="268" t="str">
        <f t="shared" si="98"/>
        <v>NyAff1</v>
      </c>
      <c r="C143" s="269" t="s">
        <v>272</v>
      </c>
      <c r="D143" s="270">
        <f t="shared" ref="D143:AM143" si="120">$O26</f>
        <v>-50</v>
      </c>
      <c r="E143" s="271">
        <f t="shared" si="120"/>
        <v>-50</v>
      </c>
      <c r="F143" s="271">
        <f t="shared" si="120"/>
        <v>-50</v>
      </c>
      <c r="G143" s="271">
        <f t="shared" si="120"/>
        <v>-50</v>
      </c>
      <c r="H143" s="271">
        <f t="shared" si="120"/>
        <v>-50</v>
      </c>
      <c r="I143" s="271">
        <f t="shared" si="120"/>
        <v>-50</v>
      </c>
      <c r="J143" s="271">
        <f t="shared" si="120"/>
        <v>-50</v>
      </c>
      <c r="K143" s="271">
        <f t="shared" si="120"/>
        <v>-50</v>
      </c>
      <c r="L143" s="271">
        <f t="shared" si="120"/>
        <v>-50</v>
      </c>
      <c r="M143" s="271">
        <f t="shared" si="120"/>
        <v>-50</v>
      </c>
      <c r="N143" s="271">
        <f t="shared" si="120"/>
        <v>-50</v>
      </c>
      <c r="O143" s="271">
        <f t="shared" si="120"/>
        <v>-50</v>
      </c>
      <c r="P143" s="270">
        <f t="shared" si="120"/>
        <v>-50</v>
      </c>
      <c r="Q143" s="271">
        <f t="shared" si="120"/>
        <v>-50</v>
      </c>
      <c r="R143" s="271">
        <f t="shared" si="120"/>
        <v>-50</v>
      </c>
      <c r="S143" s="271">
        <f t="shared" si="120"/>
        <v>-50</v>
      </c>
      <c r="T143" s="271">
        <f t="shared" si="120"/>
        <v>-50</v>
      </c>
      <c r="U143" s="271">
        <f t="shared" si="120"/>
        <v>-50</v>
      </c>
      <c r="V143" s="271">
        <f t="shared" si="120"/>
        <v>-50</v>
      </c>
      <c r="W143" s="271">
        <f t="shared" si="120"/>
        <v>-50</v>
      </c>
      <c r="X143" s="271">
        <f t="shared" si="120"/>
        <v>-50</v>
      </c>
      <c r="Y143" s="271">
        <f t="shared" si="120"/>
        <v>-50</v>
      </c>
      <c r="Z143" s="271">
        <f t="shared" si="120"/>
        <v>-50</v>
      </c>
      <c r="AA143" s="271">
        <f t="shared" si="120"/>
        <v>-50</v>
      </c>
      <c r="AB143" s="270">
        <f t="shared" si="120"/>
        <v>-50</v>
      </c>
      <c r="AC143" s="271">
        <f t="shared" si="120"/>
        <v>-50</v>
      </c>
      <c r="AD143" s="271">
        <f t="shared" si="120"/>
        <v>-50</v>
      </c>
      <c r="AE143" s="271">
        <f t="shared" si="120"/>
        <v>-50</v>
      </c>
      <c r="AF143" s="271">
        <f t="shared" si="120"/>
        <v>-50</v>
      </c>
      <c r="AG143" s="271">
        <f t="shared" si="120"/>
        <v>-50</v>
      </c>
      <c r="AH143" s="271">
        <f t="shared" si="120"/>
        <v>-50</v>
      </c>
      <c r="AI143" s="271">
        <f t="shared" si="120"/>
        <v>-50</v>
      </c>
      <c r="AJ143" s="271">
        <f t="shared" si="120"/>
        <v>-50</v>
      </c>
      <c r="AK143" s="271">
        <f t="shared" si="120"/>
        <v>-50</v>
      </c>
      <c r="AL143" s="271">
        <f t="shared" si="120"/>
        <v>-50</v>
      </c>
      <c r="AM143" s="271">
        <f t="shared" si="120"/>
        <v>-50</v>
      </c>
    </row>
    <row r="144" spans="1:39" s="268" customFormat="1" outlineLevel="1" x14ac:dyDescent="0.25">
      <c r="B144" s="268" t="str">
        <f t="shared" si="98"/>
        <v>NyAff2</v>
      </c>
      <c r="C144" s="269" t="s">
        <v>272</v>
      </c>
      <c r="D144" s="270">
        <f t="shared" ref="D144:AM144" si="121">$O27</f>
        <v>450</v>
      </c>
      <c r="E144" s="271">
        <f t="shared" si="121"/>
        <v>450</v>
      </c>
      <c r="F144" s="271">
        <f t="shared" si="121"/>
        <v>450</v>
      </c>
      <c r="G144" s="271">
        <f t="shared" si="121"/>
        <v>450</v>
      </c>
      <c r="H144" s="271">
        <f t="shared" si="121"/>
        <v>450</v>
      </c>
      <c r="I144" s="271">
        <f t="shared" si="121"/>
        <v>450</v>
      </c>
      <c r="J144" s="271">
        <f t="shared" si="121"/>
        <v>450</v>
      </c>
      <c r="K144" s="271">
        <f t="shared" si="121"/>
        <v>450</v>
      </c>
      <c r="L144" s="271">
        <f t="shared" si="121"/>
        <v>450</v>
      </c>
      <c r="M144" s="271">
        <f t="shared" si="121"/>
        <v>450</v>
      </c>
      <c r="N144" s="271">
        <f t="shared" si="121"/>
        <v>450</v>
      </c>
      <c r="O144" s="271">
        <f t="shared" si="121"/>
        <v>450</v>
      </c>
      <c r="P144" s="270">
        <f t="shared" si="121"/>
        <v>450</v>
      </c>
      <c r="Q144" s="271">
        <f t="shared" si="121"/>
        <v>450</v>
      </c>
      <c r="R144" s="271">
        <f t="shared" si="121"/>
        <v>450</v>
      </c>
      <c r="S144" s="271">
        <f t="shared" si="121"/>
        <v>450</v>
      </c>
      <c r="T144" s="271">
        <f t="shared" si="121"/>
        <v>450</v>
      </c>
      <c r="U144" s="271">
        <f t="shared" si="121"/>
        <v>450</v>
      </c>
      <c r="V144" s="271">
        <f t="shared" si="121"/>
        <v>450</v>
      </c>
      <c r="W144" s="271">
        <f t="shared" si="121"/>
        <v>450</v>
      </c>
      <c r="X144" s="271">
        <f t="shared" si="121"/>
        <v>450</v>
      </c>
      <c r="Y144" s="271">
        <f t="shared" si="121"/>
        <v>450</v>
      </c>
      <c r="Z144" s="271">
        <f t="shared" si="121"/>
        <v>450</v>
      </c>
      <c r="AA144" s="271">
        <f t="shared" si="121"/>
        <v>450</v>
      </c>
      <c r="AB144" s="270">
        <f t="shared" si="121"/>
        <v>450</v>
      </c>
      <c r="AC144" s="271">
        <f t="shared" si="121"/>
        <v>450</v>
      </c>
      <c r="AD144" s="271">
        <f t="shared" si="121"/>
        <v>450</v>
      </c>
      <c r="AE144" s="271">
        <f t="shared" si="121"/>
        <v>450</v>
      </c>
      <c r="AF144" s="271">
        <f t="shared" si="121"/>
        <v>450</v>
      </c>
      <c r="AG144" s="271">
        <f t="shared" si="121"/>
        <v>450</v>
      </c>
      <c r="AH144" s="271">
        <f t="shared" si="121"/>
        <v>450</v>
      </c>
      <c r="AI144" s="271">
        <f t="shared" si="121"/>
        <v>450</v>
      </c>
      <c r="AJ144" s="271">
        <f t="shared" si="121"/>
        <v>450</v>
      </c>
      <c r="AK144" s="271">
        <f t="shared" si="121"/>
        <v>450</v>
      </c>
      <c r="AL144" s="271">
        <f t="shared" si="121"/>
        <v>450</v>
      </c>
      <c r="AM144" s="271">
        <f t="shared" si="121"/>
        <v>450</v>
      </c>
    </row>
    <row r="145" spans="1:39" s="268" customFormat="1" outlineLevel="1" x14ac:dyDescent="0.25">
      <c r="B145" s="268" t="str">
        <f t="shared" ref="B145:B147" si="122">B118</f>
        <v>NyAff3</v>
      </c>
      <c r="C145" s="269" t="s">
        <v>272</v>
      </c>
      <c r="D145" s="270">
        <f t="shared" ref="D145:AM145" si="123">$O28</f>
        <v>500</v>
      </c>
      <c r="E145" s="271">
        <f t="shared" si="123"/>
        <v>500</v>
      </c>
      <c r="F145" s="271">
        <f t="shared" si="123"/>
        <v>500</v>
      </c>
      <c r="G145" s="271">
        <f t="shared" si="123"/>
        <v>500</v>
      </c>
      <c r="H145" s="271">
        <f t="shared" si="123"/>
        <v>500</v>
      </c>
      <c r="I145" s="271">
        <f t="shared" si="123"/>
        <v>500</v>
      </c>
      <c r="J145" s="271">
        <f t="shared" si="123"/>
        <v>500</v>
      </c>
      <c r="K145" s="271">
        <f t="shared" si="123"/>
        <v>500</v>
      </c>
      <c r="L145" s="271">
        <f t="shared" si="123"/>
        <v>500</v>
      </c>
      <c r="M145" s="271">
        <f t="shared" si="123"/>
        <v>500</v>
      </c>
      <c r="N145" s="271">
        <f t="shared" si="123"/>
        <v>500</v>
      </c>
      <c r="O145" s="271">
        <f t="shared" si="123"/>
        <v>500</v>
      </c>
      <c r="P145" s="270">
        <f t="shared" si="123"/>
        <v>500</v>
      </c>
      <c r="Q145" s="271">
        <f t="shared" si="123"/>
        <v>500</v>
      </c>
      <c r="R145" s="271">
        <f t="shared" si="123"/>
        <v>500</v>
      </c>
      <c r="S145" s="271">
        <f t="shared" si="123"/>
        <v>500</v>
      </c>
      <c r="T145" s="271">
        <f t="shared" si="123"/>
        <v>500</v>
      </c>
      <c r="U145" s="271">
        <f t="shared" si="123"/>
        <v>500</v>
      </c>
      <c r="V145" s="271">
        <f t="shared" si="123"/>
        <v>500</v>
      </c>
      <c r="W145" s="271">
        <f t="shared" si="123"/>
        <v>500</v>
      </c>
      <c r="X145" s="271">
        <f t="shared" si="123"/>
        <v>500</v>
      </c>
      <c r="Y145" s="271">
        <f t="shared" si="123"/>
        <v>500</v>
      </c>
      <c r="Z145" s="271">
        <f t="shared" si="123"/>
        <v>500</v>
      </c>
      <c r="AA145" s="271">
        <f t="shared" si="123"/>
        <v>500</v>
      </c>
      <c r="AB145" s="270">
        <f t="shared" si="123"/>
        <v>500</v>
      </c>
      <c r="AC145" s="271">
        <f t="shared" si="123"/>
        <v>500</v>
      </c>
      <c r="AD145" s="271">
        <f t="shared" si="123"/>
        <v>500</v>
      </c>
      <c r="AE145" s="271">
        <f t="shared" si="123"/>
        <v>500</v>
      </c>
      <c r="AF145" s="271">
        <f t="shared" si="123"/>
        <v>500</v>
      </c>
      <c r="AG145" s="271">
        <f t="shared" si="123"/>
        <v>500</v>
      </c>
      <c r="AH145" s="271">
        <f t="shared" si="123"/>
        <v>500</v>
      </c>
      <c r="AI145" s="271">
        <f t="shared" si="123"/>
        <v>500</v>
      </c>
      <c r="AJ145" s="271">
        <f t="shared" si="123"/>
        <v>500</v>
      </c>
      <c r="AK145" s="271">
        <f t="shared" si="123"/>
        <v>500</v>
      </c>
      <c r="AL145" s="271">
        <f t="shared" si="123"/>
        <v>500</v>
      </c>
      <c r="AM145" s="271">
        <f t="shared" si="123"/>
        <v>500</v>
      </c>
    </row>
    <row r="146" spans="1:39" s="268" customFormat="1" outlineLevel="1" x14ac:dyDescent="0.25">
      <c r="B146" s="268" t="str">
        <f t="shared" si="122"/>
        <v>NyAff4</v>
      </c>
      <c r="C146" s="269" t="s">
        <v>272</v>
      </c>
      <c r="D146" s="270">
        <f t="shared" ref="D146:AM146" si="124">$O29</f>
        <v>550</v>
      </c>
      <c r="E146" s="271">
        <f t="shared" si="124"/>
        <v>550</v>
      </c>
      <c r="F146" s="271">
        <f t="shared" si="124"/>
        <v>550</v>
      </c>
      <c r="G146" s="271">
        <f t="shared" si="124"/>
        <v>550</v>
      </c>
      <c r="H146" s="271">
        <f t="shared" si="124"/>
        <v>550</v>
      </c>
      <c r="I146" s="271">
        <f t="shared" si="124"/>
        <v>550</v>
      </c>
      <c r="J146" s="271">
        <f t="shared" si="124"/>
        <v>550</v>
      </c>
      <c r="K146" s="271">
        <f t="shared" si="124"/>
        <v>550</v>
      </c>
      <c r="L146" s="271">
        <f t="shared" si="124"/>
        <v>550</v>
      </c>
      <c r="M146" s="271">
        <f t="shared" si="124"/>
        <v>550</v>
      </c>
      <c r="N146" s="271">
        <f t="shared" si="124"/>
        <v>550</v>
      </c>
      <c r="O146" s="271">
        <f t="shared" si="124"/>
        <v>550</v>
      </c>
      <c r="P146" s="270">
        <f t="shared" si="124"/>
        <v>550</v>
      </c>
      <c r="Q146" s="271">
        <f t="shared" si="124"/>
        <v>550</v>
      </c>
      <c r="R146" s="271">
        <f t="shared" si="124"/>
        <v>550</v>
      </c>
      <c r="S146" s="271">
        <f t="shared" si="124"/>
        <v>550</v>
      </c>
      <c r="T146" s="271">
        <f t="shared" si="124"/>
        <v>550</v>
      </c>
      <c r="U146" s="271">
        <f t="shared" si="124"/>
        <v>550</v>
      </c>
      <c r="V146" s="271">
        <f t="shared" si="124"/>
        <v>550</v>
      </c>
      <c r="W146" s="271">
        <f t="shared" si="124"/>
        <v>550</v>
      </c>
      <c r="X146" s="271">
        <f t="shared" si="124"/>
        <v>550</v>
      </c>
      <c r="Y146" s="271">
        <f t="shared" si="124"/>
        <v>550</v>
      </c>
      <c r="Z146" s="271">
        <f t="shared" si="124"/>
        <v>550</v>
      </c>
      <c r="AA146" s="271">
        <f t="shared" si="124"/>
        <v>550</v>
      </c>
      <c r="AB146" s="270">
        <f t="shared" si="124"/>
        <v>550</v>
      </c>
      <c r="AC146" s="271">
        <f t="shared" si="124"/>
        <v>550</v>
      </c>
      <c r="AD146" s="271">
        <f t="shared" si="124"/>
        <v>550</v>
      </c>
      <c r="AE146" s="271">
        <f t="shared" si="124"/>
        <v>550</v>
      </c>
      <c r="AF146" s="271">
        <f t="shared" si="124"/>
        <v>550</v>
      </c>
      <c r="AG146" s="271">
        <f t="shared" si="124"/>
        <v>550</v>
      </c>
      <c r="AH146" s="271">
        <f t="shared" si="124"/>
        <v>550</v>
      </c>
      <c r="AI146" s="271">
        <f t="shared" si="124"/>
        <v>550</v>
      </c>
      <c r="AJ146" s="271">
        <f t="shared" si="124"/>
        <v>550</v>
      </c>
      <c r="AK146" s="271">
        <f t="shared" si="124"/>
        <v>550</v>
      </c>
      <c r="AL146" s="271">
        <f t="shared" si="124"/>
        <v>550</v>
      </c>
      <c r="AM146" s="271">
        <f t="shared" si="124"/>
        <v>550</v>
      </c>
    </row>
    <row r="147" spans="1:39" s="268" customFormat="1" outlineLevel="1" x14ac:dyDescent="0.25">
      <c r="B147" s="268" t="str">
        <f t="shared" si="122"/>
        <v>NyAff5</v>
      </c>
      <c r="C147" s="269" t="s">
        <v>272</v>
      </c>
      <c r="D147" s="270">
        <f t="shared" ref="D147:AM147" si="125">$O30</f>
        <v>600</v>
      </c>
      <c r="E147" s="271">
        <f t="shared" si="125"/>
        <v>600</v>
      </c>
      <c r="F147" s="271">
        <f t="shared" si="125"/>
        <v>600</v>
      </c>
      <c r="G147" s="271">
        <f t="shared" si="125"/>
        <v>600</v>
      </c>
      <c r="H147" s="271">
        <f t="shared" si="125"/>
        <v>600</v>
      </c>
      <c r="I147" s="271">
        <f t="shared" si="125"/>
        <v>600</v>
      </c>
      <c r="J147" s="271">
        <f t="shared" si="125"/>
        <v>600</v>
      </c>
      <c r="K147" s="271">
        <f t="shared" si="125"/>
        <v>600</v>
      </c>
      <c r="L147" s="271">
        <f t="shared" si="125"/>
        <v>600</v>
      </c>
      <c r="M147" s="271">
        <f t="shared" si="125"/>
        <v>600</v>
      </c>
      <c r="N147" s="271">
        <f t="shared" si="125"/>
        <v>600</v>
      </c>
      <c r="O147" s="271">
        <f t="shared" si="125"/>
        <v>600</v>
      </c>
      <c r="P147" s="270">
        <f t="shared" si="125"/>
        <v>600</v>
      </c>
      <c r="Q147" s="271">
        <f t="shared" si="125"/>
        <v>600</v>
      </c>
      <c r="R147" s="271">
        <f t="shared" si="125"/>
        <v>600</v>
      </c>
      <c r="S147" s="271">
        <f t="shared" si="125"/>
        <v>600</v>
      </c>
      <c r="T147" s="271">
        <f t="shared" si="125"/>
        <v>600</v>
      </c>
      <c r="U147" s="271">
        <f t="shared" si="125"/>
        <v>600</v>
      </c>
      <c r="V147" s="271">
        <f t="shared" si="125"/>
        <v>600</v>
      </c>
      <c r="W147" s="271">
        <f t="shared" si="125"/>
        <v>600</v>
      </c>
      <c r="X147" s="271">
        <f t="shared" si="125"/>
        <v>600</v>
      </c>
      <c r="Y147" s="271">
        <f t="shared" si="125"/>
        <v>600</v>
      </c>
      <c r="Z147" s="271">
        <f t="shared" si="125"/>
        <v>600</v>
      </c>
      <c r="AA147" s="271">
        <f t="shared" si="125"/>
        <v>600</v>
      </c>
      <c r="AB147" s="270">
        <f t="shared" si="125"/>
        <v>600</v>
      </c>
      <c r="AC147" s="271">
        <f t="shared" si="125"/>
        <v>600</v>
      </c>
      <c r="AD147" s="271">
        <f t="shared" si="125"/>
        <v>600</v>
      </c>
      <c r="AE147" s="271">
        <f t="shared" si="125"/>
        <v>600</v>
      </c>
      <c r="AF147" s="271">
        <f t="shared" si="125"/>
        <v>600</v>
      </c>
      <c r="AG147" s="271">
        <f t="shared" si="125"/>
        <v>600</v>
      </c>
      <c r="AH147" s="271">
        <f t="shared" si="125"/>
        <v>600</v>
      </c>
      <c r="AI147" s="271">
        <f t="shared" si="125"/>
        <v>600</v>
      </c>
      <c r="AJ147" s="271">
        <f t="shared" si="125"/>
        <v>600</v>
      </c>
      <c r="AK147" s="271">
        <f t="shared" si="125"/>
        <v>600</v>
      </c>
      <c r="AL147" s="271">
        <f t="shared" si="125"/>
        <v>600</v>
      </c>
      <c r="AM147" s="271">
        <f t="shared" si="125"/>
        <v>600</v>
      </c>
    </row>
    <row r="148" spans="1:39" s="43" customFormat="1" ht="15.75" x14ac:dyDescent="0.25">
      <c r="A148" s="40" t="s">
        <v>273</v>
      </c>
      <c r="B148" s="39"/>
      <c r="C148" s="39"/>
      <c r="D148" s="41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1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1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</row>
    <row r="149" spans="1:39" s="273" customFormat="1" outlineLevel="1" x14ac:dyDescent="0.25">
      <c r="B149" s="273" t="str">
        <f t="shared" ref="B149:B171" si="126">B122</f>
        <v>DepoSort</v>
      </c>
      <c r="C149" s="274" t="s">
        <v>274</v>
      </c>
      <c r="D149" s="275">
        <f t="shared" ref="D149:AM149" si="127">$Q5</f>
        <v>37</v>
      </c>
      <c r="E149" s="276">
        <f t="shared" si="127"/>
        <v>37</v>
      </c>
      <c r="F149" s="276">
        <f t="shared" si="127"/>
        <v>37</v>
      </c>
      <c r="G149" s="276">
        <f t="shared" si="127"/>
        <v>37</v>
      </c>
      <c r="H149" s="276">
        <f t="shared" si="127"/>
        <v>37</v>
      </c>
      <c r="I149" s="276">
        <f t="shared" si="127"/>
        <v>37</v>
      </c>
      <c r="J149" s="276">
        <f t="shared" si="127"/>
        <v>37</v>
      </c>
      <c r="K149" s="276">
        <f t="shared" si="127"/>
        <v>37</v>
      </c>
      <c r="L149" s="276">
        <f t="shared" si="127"/>
        <v>37</v>
      </c>
      <c r="M149" s="276">
        <f t="shared" si="127"/>
        <v>37</v>
      </c>
      <c r="N149" s="276">
        <f t="shared" si="127"/>
        <v>37</v>
      </c>
      <c r="O149" s="276">
        <f t="shared" si="127"/>
        <v>37</v>
      </c>
      <c r="P149" s="275">
        <f t="shared" si="127"/>
        <v>37</v>
      </c>
      <c r="Q149" s="276">
        <f t="shared" si="127"/>
        <v>37</v>
      </c>
      <c r="R149" s="276">
        <f t="shared" si="127"/>
        <v>37</v>
      </c>
      <c r="S149" s="276">
        <f t="shared" si="127"/>
        <v>37</v>
      </c>
      <c r="T149" s="276">
        <f t="shared" si="127"/>
        <v>37</v>
      </c>
      <c r="U149" s="276">
        <f t="shared" si="127"/>
        <v>37</v>
      </c>
      <c r="V149" s="276">
        <f t="shared" si="127"/>
        <v>37</v>
      </c>
      <c r="W149" s="276">
        <f t="shared" si="127"/>
        <v>37</v>
      </c>
      <c r="X149" s="276">
        <f t="shared" si="127"/>
        <v>37</v>
      </c>
      <c r="Y149" s="276">
        <f t="shared" si="127"/>
        <v>37</v>
      </c>
      <c r="Z149" s="276">
        <f t="shared" si="127"/>
        <v>37</v>
      </c>
      <c r="AA149" s="276">
        <f t="shared" si="127"/>
        <v>37</v>
      </c>
      <c r="AB149" s="275">
        <f t="shared" si="127"/>
        <v>37</v>
      </c>
      <c r="AC149" s="276">
        <f t="shared" si="127"/>
        <v>37</v>
      </c>
      <c r="AD149" s="276">
        <f t="shared" si="127"/>
        <v>37</v>
      </c>
      <c r="AE149" s="276">
        <f t="shared" si="127"/>
        <v>37</v>
      </c>
      <c r="AF149" s="276">
        <f t="shared" si="127"/>
        <v>37</v>
      </c>
      <c r="AG149" s="276">
        <f t="shared" si="127"/>
        <v>37</v>
      </c>
      <c r="AH149" s="276">
        <f t="shared" si="127"/>
        <v>37</v>
      </c>
      <c r="AI149" s="276">
        <f t="shared" si="127"/>
        <v>37</v>
      </c>
      <c r="AJ149" s="276">
        <f t="shared" si="127"/>
        <v>37</v>
      </c>
      <c r="AK149" s="276">
        <f t="shared" si="127"/>
        <v>37</v>
      </c>
      <c r="AL149" s="276">
        <f t="shared" si="127"/>
        <v>37</v>
      </c>
      <c r="AM149" s="276">
        <f t="shared" si="127"/>
        <v>37</v>
      </c>
    </row>
    <row r="150" spans="1:39" s="273" customFormat="1" outlineLevel="1" x14ac:dyDescent="0.25">
      <c r="B150" s="273" t="str">
        <f t="shared" si="126"/>
        <v>DepoSmaat</v>
      </c>
      <c r="C150" s="274" t="s">
        <v>274</v>
      </c>
      <c r="D150" s="275">
        <f t="shared" ref="D150:AM150" si="128">$Q6</f>
        <v>37</v>
      </c>
      <c r="E150" s="276">
        <f t="shared" si="128"/>
        <v>37</v>
      </c>
      <c r="F150" s="276">
        <f t="shared" si="128"/>
        <v>37</v>
      </c>
      <c r="G150" s="276">
        <f t="shared" si="128"/>
        <v>37</v>
      </c>
      <c r="H150" s="276">
        <f t="shared" si="128"/>
        <v>37</v>
      </c>
      <c r="I150" s="276">
        <f t="shared" si="128"/>
        <v>37</v>
      </c>
      <c r="J150" s="276">
        <f t="shared" si="128"/>
        <v>37</v>
      </c>
      <c r="K150" s="276">
        <f t="shared" si="128"/>
        <v>37</v>
      </c>
      <c r="L150" s="276">
        <f t="shared" si="128"/>
        <v>37</v>
      </c>
      <c r="M150" s="276">
        <f t="shared" si="128"/>
        <v>37</v>
      </c>
      <c r="N150" s="276">
        <f t="shared" si="128"/>
        <v>37</v>
      </c>
      <c r="O150" s="276">
        <f t="shared" si="128"/>
        <v>37</v>
      </c>
      <c r="P150" s="275">
        <f t="shared" si="128"/>
        <v>37</v>
      </c>
      <c r="Q150" s="276">
        <f t="shared" si="128"/>
        <v>37</v>
      </c>
      <c r="R150" s="276">
        <f t="shared" si="128"/>
        <v>37</v>
      </c>
      <c r="S150" s="276">
        <f t="shared" si="128"/>
        <v>37</v>
      </c>
      <c r="T150" s="276">
        <f t="shared" si="128"/>
        <v>37</v>
      </c>
      <c r="U150" s="276">
        <f t="shared" si="128"/>
        <v>37</v>
      </c>
      <c r="V150" s="276">
        <f t="shared" si="128"/>
        <v>37</v>
      </c>
      <c r="W150" s="276">
        <f t="shared" si="128"/>
        <v>37</v>
      </c>
      <c r="X150" s="276">
        <f t="shared" si="128"/>
        <v>37</v>
      </c>
      <c r="Y150" s="276">
        <f t="shared" si="128"/>
        <v>37</v>
      </c>
      <c r="Z150" s="276">
        <f t="shared" si="128"/>
        <v>37</v>
      </c>
      <c r="AA150" s="276">
        <f t="shared" si="128"/>
        <v>37</v>
      </c>
      <c r="AB150" s="275">
        <f t="shared" si="128"/>
        <v>37</v>
      </c>
      <c r="AC150" s="276">
        <f t="shared" si="128"/>
        <v>37</v>
      </c>
      <c r="AD150" s="276">
        <f t="shared" si="128"/>
        <v>37</v>
      </c>
      <c r="AE150" s="276">
        <f t="shared" si="128"/>
        <v>37</v>
      </c>
      <c r="AF150" s="276">
        <f t="shared" si="128"/>
        <v>37</v>
      </c>
      <c r="AG150" s="276">
        <f t="shared" si="128"/>
        <v>37</v>
      </c>
      <c r="AH150" s="276">
        <f t="shared" si="128"/>
        <v>37</v>
      </c>
      <c r="AI150" s="276">
        <f t="shared" si="128"/>
        <v>37</v>
      </c>
      <c r="AJ150" s="276">
        <f t="shared" si="128"/>
        <v>37</v>
      </c>
      <c r="AK150" s="276">
        <f t="shared" si="128"/>
        <v>37</v>
      </c>
      <c r="AL150" s="276">
        <f t="shared" si="128"/>
        <v>37</v>
      </c>
      <c r="AM150" s="276">
        <f t="shared" si="128"/>
        <v>37</v>
      </c>
    </row>
    <row r="151" spans="1:39" s="273" customFormat="1" outlineLevel="1" x14ac:dyDescent="0.25">
      <c r="B151" s="273" t="str">
        <f t="shared" si="126"/>
        <v>DepoNedd</v>
      </c>
      <c r="C151" s="274" t="s">
        <v>274</v>
      </c>
      <c r="D151" s="275">
        <f t="shared" ref="D151:AM151" si="129">$Q7</f>
        <v>37</v>
      </c>
      <c r="E151" s="276">
        <f t="shared" si="129"/>
        <v>37</v>
      </c>
      <c r="F151" s="276">
        <f t="shared" si="129"/>
        <v>37</v>
      </c>
      <c r="G151" s="276">
        <f t="shared" si="129"/>
        <v>37</v>
      </c>
      <c r="H151" s="276">
        <f t="shared" si="129"/>
        <v>37</v>
      </c>
      <c r="I151" s="276">
        <f t="shared" si="129"/>
        <v>37</v>
      </c>
      <c r="J151" s="276">
        <f t="shared" si="129"/>
        <v>37</v>
      </c>
      <c r="K151" s="276">
        <f t="shared" si="129"/>
        <v>37</v>
      </c>
      <c r="L151" s="276">
        <f t="shared" si="129"/>
        <v>37</v>
      </c>
      <c r="M151" s="276">
        <f t="shared" si="129"/>
        <v>37</v>
      </c>
      <c r="N151" s="276">
        <f t="shared" si="129"/>
        <v>37</v>
      </c>
      <c r="O151" s="276">
        <f t="shared" si="129"/>
        <v>37</v>
      </c>
      <c r="P151" s="275">
        <f t="shared" si="129"/>
        <v>37</v>
      </c>
      <c r="Q151" s="276">
        <f t="shared" si="129"/>
        <v>37</v>
      </c>
      <c r="R151" s="276">
        <f t="shared" si="129"/>
        <v>37</v>
      </c>
      <c r="S151" s="276">
        <f t="shared" si="129"/>
        <v>37</v>
      </c>
      <c r="T151" s="276">
        <f t="shared" si="129"/>
        <v>37</v>
      </c>
      <c r="U151" s="276">
        <f t="shared" si="129"/>
        <v>37</v>
      </c>
      <c r="V151" s="276">
        <f t="shared" si="129"/>
        <v>37</v>
      </c>
      <c r="W151" s="276">
        <f t="shared" si="129"/>
        <v>37</v>
      </c>
      <c r="X151" s="276">
        <f t="shared" si="129"/>
        <v>37</v>
      </c>
      <c r="Y151" s="276">
        <f t="shared" si="129"/>
        <v>37</v>
      </c>
      <c r="Z151" s="276">
        <f t="shared" si="129"/>
        <v>37</v>
      </c>
      <c r="AA151" s="276">
        <f t="shared" si="129"/>
        <v>37</v>
      </c>
      <c r="AB151" s="275">
        <f t="shared" si="129"/>
        <v>37</v>
      </c>
      <c r="AC151" s="276">
        <f t="shared" si="129"/>
        <v>37</v>
      </c>
      <c r="AD151" s="276">
        <f t="shared" si="129"/>
        <v>37</v>
      </c>
      <c r="AE151" s="276">
        <f t="shared" si="129"/>
        <v>37</v>
      </c>
      <c r="AF151" s="276">
        <f t="shared" si="129"/>
        <v>37</v>
      </c>
      <c r="AG151" s="276">
        <f t="shared" si="129"/>
        <v>37</v>
      </c>
      <c r="AH151" s="276">
        <f t="shared" si="129"/>
        <v>37</v>
      </c>
      <c r="AI151" s="276">
        <f t="shared" si="129"/>
        <v>37</v>
      </c>
      <c r="AJ151" s="276">
        <f t="shared" si="129"/>
        <v>37</v>
      </c>
      <c r="AK151" s="276">
        <f t="shared" si="129"/>
        <v>37</v>
      </c>
      <c r="AL151" s="276">
        <f t="shared" si="129"/>
        <v>37</v>
      </c>
      <c r="AM151" s="276">
        <f t="shared" si="129"/>
        <v>37</v>
      </c>
    </row>
    <row r="152" spans="1:39" s="273" customFormat="1" outlineLevel="1" x14ac:dyDescent="0.25">
      <c r="B152" s="273" t="str">
        <f t="shared" si="126"/>
        <v>Dagren</v>
      </c>
      <c r="C152" s="274" t="s">
        <v>274</v>
      </c>
      <c r="D152" s="275">
        <f t="shared" ref="D152:AM152" si="130">$Q8</f>
        <v>37</v>
      </c>
      <c r="E152" s="276">
        <f t="shared" si="130"/>
        <v>37</v>
      </c>
      <c r="F152" s="276">
        <f t="shared" si="130"/>
        <v>37</v>
      </c>
      <c r="G152" s="276">
        <f t="shared" si="130"/>
        <v>37</v>
      </c>
      <c r="H152" s="276">
        <f t="shared" si="130"/>
        <v>37</v>
      </c>
      <c r="I152" s="276">
        <f t="shared" si="130"/>
        <v>37</v>
      </c>
      <c r="J152" s="276">
        <f t="shared" si="130"/>
        <v>37</v>
      </c>
      <c r="K152" s="276">
        <f t="shared" si="130"/>
        <v>37</v>
      </c>
      <c r="L152" s="276">
        <f t="shared" si="130"/>
        <v>37</v>
      </c>
      <c r="M152" s="276">
        <f t="shared" si="130"/>
        <v>37</v>
      </c>
      <c r="N152" s="276">
        <f t="shared" si="130"/>
        <v>37</v>
      </c>
      <c r="O152" s="276">
        <f t="shared" si="130"/>
        <v>37</v>
      </c>
      <c r="P152" s="275">
        <f t="shared" si="130"/>
        <v>37</v>
      </c>
      <c r="Q152" s="276">
        <f t="shared" si="130"/>
        <v>37</v>
      </c>
      <c r="R152" s="276">
        <f t="shared" si="130"/>
        <v>37</v>
      </c>
      <c r="S152" s="276">
        <f t="shared" si="130"/>
        <v>37</v>
      </c>
      <c r="T152" s="276">
        <f t="shared" si="130"/>
        <v>37</v>
      </c>
      <c r="U152" s="276">
        <f t="shared" si="130"/>
        <v>37</v>
      </c>
      <c r="V152" s="276">
        <f t="shared" si="130"/>
        <v>37</v>
      </c>
      <c r="W152" s="276">
        <f t="shared" si="130"/>
        <v>37</v>
      </c>
      <c r="X152" s="276">
        <f t="shared" si="130"/>
        <v>37</v>
      </c>
      <c r="Y152" s="276">
        <f t="shared" si="130"/>
        <v>37</v>
      </c>
      <c r="Z152" s="276">
        <f t="shared" si="130"/>
        <v>37</v>
      </c>
      <c r="AA152" s="276">
        <f t="shared" si="130"/>
        <v>37</v>
      </c>
      <c r="AB152" s="275">
        <f t="shared" si="130"/>
        <v>37</v>
      </c>
      <c r="AC152" s="276">
        <f t="shared" si="130"/>
        <v>37</v>
      </c>
      <c r="AD152" s="276">
        <f t="shared" si="130"/>
        <v>37</v>
      </c>
      <c r="AE152" s="276">
        <f t="shared" si="130"/>
        <v>37</v>
      </c>
      <c r="AF152" s="276">
        <f t="shared" si="130"/>
        <v>37</v>
      </c>
      <c r="AG152" s="276">
        <f t="shared" si="130"/>
        <v>37</v>
      </c>
      <c r="AH152" s="276">
        <f t="shared" si="130"/>
        <v>37</v>
      </c>
      <c r="AI152" s="276">
        <f t="shared" si="130"/>
        <v>37</v>
      </c>
      <c r="AJ152" s="276">
        <f t="shared" si="130"/>
        <v>37</v>
      </c>
      <c r="AK152" s="276">
        <f t="shared" si="130"/>
        <v>37</v>
      </c>
      <c r="AL152" s="276">
        <f t="shared" si="130"/>
        <v>37</v>
      </c>
      <c r="AM152" s="276">
        <f t="shared" si="130"/>
        <v>37</v>
      </c>
    </row>
    <row r="153" spans="1:39" s="273" customFormat="1" outlineLevel="1" x14ac:dyDescent="0.25">
      <c r="B153" s="273" t="str">
        <f t="shared" si="126"/>
        <v>AndetBrand</v>
      </c>
      <c r="C153" s="274" t="s">
        <v>274</v>
      </c>
      <c r="D153" s="275">
        <f t="shared" ref="D153:AM153" si="131">$Q9</f>
        <v>37</v>
      </c>
      <c r="E153" s="276">
        <f t="shared" si="131"/>
        <v>37</v>
      </c>
      <c r="F153" s="276">
        <f t="shared" si="131"/>
        <v>37</v>
      </c>
      <c r="G153" s="276">
        <f t="shared" si="131"/>
        <v>37</v>
      </c>
      <c r="H153" s="276">
        <f t="shared" si="131"/>
        <v>37</v>
      </c>
      <c r="I153" s="276">
        <f t="shared" si="131"/>
        <v>37</v>
      </c>
      <c r="J153" s="276">
        <f t="shared" si="131"/>
        <v>37</v>
      </c>
      <c r="K153" s="276">
        <f t="shared" si="131"/>
        <v>37</v>
      </c>
      <c r="L153" s="276">
        <f t="shared" si="131"/>
        <v>37</v>
      </c>
      <c r="M153" s="276">
        <f t="shared" si="131"/>
        <v>37</v>
      </c>
      <c r="N153" s="276">
        <f t="shared" si="131"/>
        <v>37</v>
      </c>
      <c r="O153" s="276">
        <f t="shared" si="131"/>
        <v>37</v>
      </c>
      <c r="P153" s="275">
        <f t="shared" si="131"/>
        <v>37</v>
      </c>
      <c r="Q153" s="276">
        <f t="shared" si="131"/>
        <v>37</v>
      </c>
      <c r="R153" s="276">
        <f t="shared" si="131"/>
        <v>37</v>
      </c>
      <c r="S153" s="276">
        <f t="shared" si="131"/>
        <v>37</v>
      </c>
      <c r="T153" s="276">
        <f t="shared" si="131"/>
        <v>37</v>
      </c>
      <c r="U153" s="276">
        <f t="shared" si="131"/>
        <v>37</v>
      </c>
      <c r="V153" s="276">
        <f t="shared" si="131"/>
        <v>37</v>
      </c>
      <c r="W153" s="276">
        <f t="shared" si="131"/>
        <v>37</v>
      </c>
      <c r="X153" s="276">
        <f t="shared" si="131"/>
        <v>37</v>
      </c>
      <c r="Y153" s="276">
        <f t="shared" si="131"/>
        <v>37</v>
      </c>
      <c r="Z153" s="276">
        <f t="shared" si="131"/>
        <v>37</v>
      </c>
      <c r="AA153" s="276">
        <f t="shared" si="131"/>
        <v>37</v>
      </c>
      <c r="AB153" s="275">
        <f t="shared" si="131"/>
        <v>37</v>
      </c>
      <c r="AC153" s="276">
        <f t="shared" si="131"/>
        <v>37</v>
      </c>
      <c r="AD153" s="276">
        <f t="shared" si="131"/>
        <v>37</v>
      </c>
      <c r="AE153" s="276">
        <f t="shared" si="131"/>
        <v>37</v>
      </c>
      <c r="AF153" s="276">
        <f t="shared" si="131"/>
        <v>37</v>
      </c>
      <c r="AG153" s="276">
        <f t="shared" si="131"/>
        <v>37</v>
      </c>
      <c r="AH153" s="276">
        <f t="shared" si="131"/>
        <v>37</v>
      </c>
      <c r="AI153" s="276">
        <f t="shared" si="131"/>
        <v>37</v>
      </c>
      <c r="AJ153" s="276">
        <f t="shared" si="131"/>
        <v>37</v>
      </c>
      <c r="AK153" s="276">
        <f t="shared" si="131"/>
        <v>37</v>
      </c>
      <c r="AL153" s="276">
        <f t="shared" si="131"/>
        <v>37</v>
      </c>
      <c r="AM153" s="276">
        <f t="shared" si="131"/>
        <v>37</v>
      </c>
    </row>
    <row r="154" spans="1:39" s="273" customFormat="1" outlineLevel="1" x14ac:dyDescent="0.25">
      <c r="B154" s="273" t="str">
        <f t="shared" si="126"/>
        <v>Trae</v>
      </c>
      <c r="C154" s="274" t="s">
        <v>274</v>
      </c>
      <c r="D154" s="275">
        <f t="shared" ref="D154:AM154" si="132">$Q10</f>
        <v>37</v>
      </c>
      <c r="E154" s="276">
        <f t="shared" si="132"/>
        <v>37</v>
      </c>
      <c r="F154" s="276">
        <f t="shared" si="132"/>
        <v>37</v>
      </c>
      <c r="G154" s="276">
        <f t="shared" si="132"/>
        <v>37</v>
      </c>
      <c r="H154" s="276">
        <f t="shared" si="132"/>
        <v>37</v>
      </c>
      <c r="I154" s="276">
        <f t="shared" si="132"/>
        <v>37</v>
      </c>
      <c r="J154" s="276">
        <f t="shared" si="132"/>
        <v>37</v>
      </c>
      <c r="K154" s="276">
        <f t="shared" si="132"/>
        <v>37</v>
      </c>
      <c r="L154" s="276">
        <f t="shared" si="132"/>
        <v>37</v>
      </c>
      <c r="M154" s="276">
        <f t="shared" si="132"/>
        <v>37</v>
      </c>
      <c r="N154" s="276">
        <f t="shared" si="132"/>
        <v>37</v>
      </c>
      <c r="O154" s="276">
        <f t="shared" si="132"/>
        <v>37</v>
      </c>
      <c r="P154" s="275">
        <f t="shared" si="132"/>
        <v>37</v>
      </c>
      <c r="Q154" s="276">
        <f t="shared" si="132"/>
        <v>37</v>
      </c>
      <c r="R154" s="276">
        <f t="shared" si="132"/>
        <v>37</v>
      </c>
      <c r="S154" s="276">
        <f t="shared" si="132"/>
        <v>37</v>
      </c>
      <c r="T154" s="276">
        <f t="shared" si="132"/>
        <v>37</v>
      </c>
      <c r="U154" s="276">
        <f t="shared" si="132"/>
        <v>37</v>
      </c>
      <c r="V154" s="276">
        <f t="shared" si="132"/>
        <v>37</v>
      </c>
      <c r="W154" s="276">
        <f t="shared" si="132"/>
        <v>37</v>
      </c>
      <c r="X154" s="276">
        <f t="shared" si="132"/>
        <v>37</v>
      </c>
      <c r="Y154" s="276">
        <f t="shared" si="132"/>
        <v>37</v>
      </c>
      <c r="Z154" s="276">
        <f t="shared" si="132"/>
        <v>37</v>
      </c>
      <c r="AA154" s="276">
        <f t="shared" si="132"/>
        <v>37</v>
      </c>
      <c r="AB154" s="275">
        <f t="shared" si="132"/>
        <v>37</v>
      </c>
      <c r="AC154" s="276">
        <f t="shared" si="132"/>
        <v>37</v>
      </c>
      <c r="AD154" s="276">
        <f t="shared" si="132"/>
        <v>37</v>
      </c>
      <c r="AE154" s="276">
        <f t="shared" si="132"/>
        <v>37</v>
      </c>
      <c r="AF154" s="276">
        <f t="shared" si="132"/>
        <v>37</v>
      </c>
      <c r="AG154" s="276">
        <f t="shared" si="132"/>
        <v>37</v>
      </c>
      <c r="AH154" s="276">
        <f t="shared" si="132"/>
        <v>37</v>
      </c>
      <c r="AI154" s="276">
        <f t="shared" si="132"/>
        <v>37</v>
      </c>
      <c r="AJ154" s="276">
        <f t="shared" si="132"/>
        <v>37</v>
      </c>
      <c r="AK154" s="276">
        <f t="shared" si="132"/>
        <v>37</v>
      </c>
      <c r="AL154" s="276">
        <f t="shared" si="132"/>
        <v>37</v>
      </c>
      <c r="AM154" s="276">
        <f t="shared" si="132"/>
        <v>37</v>
      </c>
    </row>
    <row r="155" spans="1:39" s="273" customFormat="1" outlineLevel="1" x14ac:dyDescent="0.25">
      <c r="B155" s="273" t="str">
        <f t="shared" si="126"/>
        <v>DagrenRast</v>
      </c>
      <c r="C155" s="274" t="s">
        <v>274</v>
      </c>
      <c r="D155" s="275">
        <f t="shared" ref="D155:AM155" si="133">$Q11</f>
        <v>37</v>
      </c>
      <c r="E155" s="276">
        <f t="shared" si="133"/>
        <v>37</v>
      </c>
      <c r="F155" s="276">
        <f t="shared" si="133"/>
        <v>37</v>
      </c>
      <c r="G155" s="276">
        <f t="shared" si="133"/>
        <v>37</v>
      </c>
      <c r="H155" s="276">
        <f t="shared" si="133"/>
        <v>37</v>
      </c>
      <c r="I155" s="276">
        <f t="shared" si="133"/>
        <v>37</v>
      </c>
      <c r="J155" s="276">
        <f t="shared" si="133"/>
        <v>37</v>
      </c>
      <c r="K155" s="276">
        <f t="shared" si="133"/>
        <v>37</v>
      </c>
      <c r="L155" s="276">
        <f t="shared" si="133"/>
        <v>37</v>
      </c>
      <c r="M155" s="276">
        <f t="shared" si="133"/>
        <v>37</v>
      </c>
      <c r="N155" s="276">
        <f t="shared" si="133"/>
        <v>37</v>
      </c>
      <c r="O155" s="276">
        <f t="shared" si="133"/>
        <v>37</v>
      </c>
      <c r="P155" s="275">
        <f t="shared" si="133"/>
        <v>37</v>
      </c>
      <c r="Q155" s="276">
        <f t="shared" si="133"/>
        <v>37</v>
      </c>
      <c r="R155" s="276">
        <f t="shared" si="133"/>
        <v>37</v>
      </c>
      <c r="S155" s="276">
        <f t="shared" si="133"/>
        <v>37</v>
      </c>
      <c r="T155" s="276">
        <f t="shared" si="133"/>
        <v>37</v>
      </c>
      <c r="U155" s="276">
        <f t="shared" si="133"/>
        <v>37</v>
      </c>
      <c r="V155" s="276">
        <f t="shared" si="133"/>
        <v>37</v>
      </c>
      <c r="W155" s="276">
        <f t="shared" si="133"/>
        <v>37</v>
      </c>
      <c r="X155" s="276">
        <f t="shared" si="133"/>
        <v>37</v>
      </c>
      <c r="Y155" s="276">
        <f t="shared" si="133"/>
        <v>37</v>
      </c>
      <c r="Z155" s="276">
        <f t="shared" si="133"/>
        <v>37</v>
      </c>
      <c r="AA155" s="276">
        <f t="shared" si="133"/>
        <v>37</v>
      </c>
      <c r="AB155" s="275">
        <f t="shared" si="133"/>
        <v>37</v>
      </c>
      <c r="AC155" s="276">
        <f t="shared" si="133"/>
        <v>37</v>
      </c>
      <c r="AD155" s="276">
        <f t="shared" si="133"/>
        <v>37</v>
      </c>
      <c r="AE155" s="276">
        <f t="shared" si="133"/>
        <v>37</v>
      </c>
      <c r="AF155" s="276">
        <f t="shared" si="133"/>
        <v>37</v>
      </c>
      <c r="AG155" s="276">
        <f t="shared" si="133"/>
        <v>37</v>
      </c>
      <c r="AH155" s="276">
        <f t="shared" si="133"/>
        <v>37</v>
      </c>
      <c r="AI155" s="276">
        <f t="shared" si="133"/>
        <v>37</v>
      </c>
      <c r="AJ155" s="276">
        <f t="shared" si="133"/>
        <v>37</v>
      </c>
      <c r="AK155" s="276">
        <f t="shared" si="133"/>
        <v>37</v>
      </c>
      <c r="AL155" s="276">
        <f t="shared" si="133"/>
        <v>37</v>
      </c>
      <c r="AM155" s="276">
        <f t="shared" si="133"/>
        <v>37</v>
      </c>
    </row>
    <row r="156" spans="1:39" s="273" customFormat="1" outlineLevel="1" x14ac:dyDescent="0.25">
      <c r="B156" s="273" t="str">
        <f t="shared" si="126"/>
        <v>DagrenInst</v>
      </c>
      <c r="C156" s="274" t="s">
        <v>274</v>
      </c>
      <c r="D156" s="275">
        <f t="shared" ref="D156:AM156" si="134">$Q12</f>
        <v>37</v>
      </c>
      <c r="E156" s="276">
        <f t="shared" si="134"/>
        <v>37</v>
      </c>
      <c r="F156" s="276">
        <f t="shared" si="134"/>
        <v>37</v>
      </c>
      <c r="G156" s="276">
        <f t="shared" si="134"/>
        <v>37</v>
      </c>
      <c r="H156" s="276">
        <f t="shared" si="134"/>
        <v>37</v>
      </c>
      <c r="I156" s="276">
        <f t="shared" si="134"/>
        <v>37</v>
      </c>
      <c r="J156" s="276">
        <f t="shared" si="134"/>
        <v>37</v>
      </c>
      <c r="K156" s="276">
        <f t="shared" si="134"/>
        <v>37</v>
      </c>
      <c r="L156" s="276">
        <f t="shared" si="134"/>
        <v>37</v>
      </c>
      <c r="M156" s="276">
        <f t="shared" si="134"/>
        <v>37</v>
      </c>
      <c r="N156" s="276">
        <f t="shared" si="134"/>
        <v>37</v>
      </c>
      <c r="O156" s="276">
        <f t="shared" si="134"/>
        <v>37</v>
      </c>
      <c r="P156" s="275">
        <f t="shared" si="134"/>
        <v>37</v>
      </c>
      <c r="Q156" s="276">
        <f t="shared" si="134"/>
        <v>37</v>
      </c>
      <c r="R156" s="276">
        <f t="shared" si="134"/>
        <v>37</v>
      </c>
      <c r="S156" s="276">
        <f t="shared" si="134"/>
        <v>37</v>
      </c>
      <c r="T156" s="276">
        <f t="shared" si="134"/>
        <v>37</v>
      </c>
      <c r="U156" s="276">
        <f t="shared" si="134"/>
        <v>37</v>
      </c>
      <c r="V156" s="276">
        <f t="shared" si="134"/>
        <v>37</v>
      </c>
      <c r="W156" s="276">
        <f t="shared" si="134"/>
        <v>37</v>
      </c>
      <c r="X156" s="276">
        <f t="shared" si="134"/>
        <v>37</v>
      </c>
      <c r="Y156" s="276">
        <f t="shared" si="134"/>
        <v>37</v>
      </c>
      <c r="Z156" s="276">
        <f t="shared" si="134"/>
        <v>37</v>
      </c>
      <c r="AA156" s="276">
        <f t="shared" si="134"/>
        <v>37</v>
      </c>
      <c r="AB156" s="275">
        <f t="shared" si="134"/>
        <v>37</v>
      </c>
      <c r="AC156" s="276">
        <f t="shared" si="134"/>
        <v>37</v>
      </c>
      <c r="AD156" s="276">
        <f t="shared" si="134"/>
        <v>37</v>
      </c>
      <c r="AE156" s="276">
        <f t="shared" si="134"/>
        <v>37</v>
      </c>
      <c r="AF156" s="276">
        <f t="shared" si="134"/>
        <v>37</v>
      </c>
      <c r="AG156" s="276">
        <f t="shared" si="134"/>
        <v>37</v>
      </c>
      <c r="AH156" s="276">
        <f t="shared" si="134"/>
        <v>37</v>
      </c>
      <c r="AI156" s="276">
        <f t="shared" si="134"/>
        <v>37</v>
      </c>
      <c r="AJ156" s="276">
        <f t="shared" si="134"/>
        <v>37</v>
      </c>
      <c r="AK156" s="276">
        <f t="shared" si="134"/>
        <v>37</v>
      </c>
      <c r="AL156" s="276">
        <f t="shared" si="134"/>
        <v>37</v>
      </c>
      <c r="AM156" s="276">
        <f t="shared" si="134"/>
        <v>37</v>
      </c>
    </row>
    <row r="157" spans="1:39" s="273" customFormat="1" outlineLevel="1" x14ac:dyDescent="0.25">
      <c r="B157" s="273" t="str">
        <f t="shared" si="126"/>
        <v>DagrenHandel</v>
      </c>
      <c r="C157" s="274" t="s">
        <v>274</v>
      </c>
      <c r="D157" s="275">
        <f t="shared" ref="D157:AM157" si="135">$Q13</f>
        <v>37</v>
      </c>
      <c r="E157" s="276">
        <f t="shared" si="135"/>
        <v>37</v>
      </c>
      <c r="F157" s="276">
        <f t="shared" si="135"/>
        <v>37</v>
      </c>
      <c r="G157" s="276">
        <f t="shared" si="135"/>
        <v>37</v>
      </c>
      <c r="H157" s="276">
        <f t="shared" si="135"/>
        <v>37</v>
      </c>
      <c r="I157" s="276">
        <f t="shared" si="135"/>
        <v>37</v>
      </c>
      <c r="J157" s="276">
        <f t="shared" si="135"/>
        <v>37</v>
      </c>
      <c r="K157" s="276">
        <f t="shared" si="135"/>
        <v>37</v>
      </c>
      <c r="L157" s="276">
        <f t="shared" si="135"/>
        <v>37</v>
      </c>
      <c r="M157" s="276">
        <f t="shared" si="135"/>
        <v>37</v>
      </c>
      <c r="N157" s="276">
        <f t="shared" si="135"/>
        <v>37</v>
      </c>
      <c r="O157" s="276">
        <f t="shared" si="135"/>
        <v>37</v>
      </c>
      <c r="P157" s="275">
        <f t="shared" si="135"/>
        <v>37</v>
      </c>
      <c r="Q157" s="276">
        <f t="shared" si="135"/>
        <v>37</v>
      </c>
      <c r="R157" s="276">
        <f t="shared" si="135"/>
        <v>37</v>
      </c>
      <c r="S157" s="276">
        <f t="shared" si="135"/>
        <v>37</v>
      </c>
      <c r="T157" s="276">
        <f t="shared" si="135"/>
        <v>37</v>
      </c>
      <c r="U157" s="276">
        <f t="shared" si="135"/>
        <v>37</v>
      </c>
      <c r="V157" s="276">
        <f t="shared" si="135"/>
        <v>37</v>
      </c>
      <c r="W157" s="276">
        <f t="shared" si="135"/>
        <v>37</v>
      </c>
      <c r="X157" s="276">
        <f t="shared" si="135"/>
        <v>37</v>
      </c>
      <c r="Y157" s="276">
        <f t="shared" si="135"/>
        <v>37</v>
      </c>
      <c r="Z157" s="276">
        <f t="shared" si="135"/>
        <v>37</v>
      </c>
      <c r="AA157" s="276">
        <f t="shared" si="135"/>
        <v>37</v>
      </c>
      <c r="AB157" s="275">
        <f t="shared" si="135"/>
        <v>37</v>
      </c>
      <c r="AC157" s="276">
        <f t="shared" si="135"/>
        <v>37</v>
      </c>
      <c r="AD157" s="276">
        <f t="shared" si="135"/>
        <v>37</v>
      </c>
      <c r="AE157" s="276">
        <f t="shared" si="135"/>
        <v>37</v>
      </c>
      <c r="AF157" s="276">
        <f t="shared" si="135"/>
        <v>37</v>
      </c>
      <c r="AG157" s="276">
        <f t="shared" si="135"/>
        <v>37</v>
      </c>
      <c r="AH157" s="276">
        <f t="shared" si="135"/>
        <v>37</v>
      </c>
      <c r="AI157" s="276">
        <f t="shared" si="135"/>
        <v>37</v>
      </c>
      <c r="AJ157" s="276">
        <f t="shared" si="135"/>
        <v>37</v>
      </c>
      <c r="AK157" s="276">
        <f t="shared" si="135"/>
        <v>37</v>
      </c>
      <c r="AL157" s="276">
        <f t="shared" si="135"/>
        <v>37</v>
      </c>
      <c r="AM157" s="276">
        <f t="shared" si="135"/>
        <v>37</v>
      </c>
    </row>
    <row r="158" spans="1:39" s="273" customFormat="1" outlineLevel="1" x14ac:dyDescent="0.25">
      <c r="B158" s="273" t="str">
        <f t="shared" si="126"/>
        <v>DagrenRestau</v>
      </c>
      <c r="C158" s="274" t="s">
        <v>274</v>
      </c>
      <c r="D158" s="275">
        <f t="shared" ref="D158:AM158" si="136">$Q14</f>
        <v>37</v>
      </c>
      <c r="E158" s="276">
        <f t="shared" si="136"/>
        <v>37</v>
      </c>
      <c r="F158" s="276">
        <f t="shared" si="136"/>
        <v>37</v>
      </c>
      <c r="G158" s="276">
        <f t="shared" si="136"/>
        <v>37</v>
      </c>
      <c r="H158" s="276">
        <f t="shared" si="136"/>
        <v>37</v>
      </c>
      <c r="I158" s="276">
        <f t="shared" si="136"/>
        <v>37</v>
      </c>
      <c r="J158" s="276">
        <f t="shared" si="136"/>
        <v>37</v>
      </c>
      <c r="K158" s="276">
        <f t="shared" si="136"/>
        <v>37</v>
      </c>
      <c r="L158" s="276">
        <f t="shared" si="136"/>
        <v>37</v>
      </c>
      <c r="M158" s="276">
        <f t="shared" si="136"/>
        <v>37</v>
      </c>
      <c r="N158" s="276">
        <f t="shared" si="136"/>
        <v>37</v>
      </c>
      <c r="O158" s="276">
        <f t="shared" si="136"/>
        <v>37</v>
      </c>
      <c r="P158" s="275">
        <f t="shared" si="136"/>
        <v>37</v>
      </c>
      <c r="Q158" s="276">
        <f t="shared" si="136"/>
        <v>37</v>
      </c>
      <c r="R158" s="276">
        <f t="shared" si="136"/>
        <v>37</v>
      </c>
      <c r="S158" s="276">
        <f t="shared" si="136"/>
        <v>37</v>
      </c>
      <c r="T158" s="276">
        <f t="shared" si="136"/>
        <v>37</v>
      </c>
      <c r="U158" s="276">
        <f t="shared" si="136"/>
        <v>37</v>
      </c>
      <c r="V158" s="276">
        <f t="shared" si="136"/>
        <v>37</v>
      </c>
      <c r="W158" s="276">
        <f t="shared" si="136"/>
        <v>37</v>
      </c>
      <c r="X158" s="276">
        <f t="shared" si="136"/>
        <v>37</v>
      </c>
      <c r="Y158" s="276">
        <f t="shared" si="136"/>
        <v>37</v>
      </c>
      <c r="Z158" s="276">
        <f t="shared" si="136"/>
        <v>37</v>
      </c>
      <c r="AA158" s="276">
        <f t="shared" si="136"/>
        <v>37</v>
      </c>
      <c r="AB158" s="275">
        <f t="shared" si="136"/>
        <v>37</v>
      </c>
      <c r="AC158" s="276">
        <f t="shared" si="136"/>
        <v>37</v>
      </c>
      <c r="AD158" s="276">
        <f t="shared" si="136"/>
        <v>37</v>
      </c>
      <c r="AE158" s="276">
        <f t="shared" si="136"/>
        <v>37</v>
      </c>
      <c r="AF158" s="276">
        <f t="shared" si="136"/>
        <v>37</v>
      </c>
      <c r="AG158" s="276">
        <f t="shared" si="136"/>
        <v>37</v>
      </c>
      <c r="AH158" s="276">
        <f t="shared" si="136"/>
        <v>37</v>
      </c>
      <c r="AI158" s="276">
        <f t="shared" si="136"/>
        <v>37</v>
      </c>
      <c r="AJ158" s="276">
        <f t="shared" si="136"/>
        <v>37</v>
      </c>
      <c r="AK158" s="276">
        <f t="shared" si="136"/>
        <v>37</v>
      </c>
      <c r="AL158" s="276">
        <f t="shared" si="136"/>
        <v>37</v>
      </c>
      <c r="AM158" s="276">
        <f t="shared" si="136"/>
        <v>37</v>
      </c>
    </row>
    <row r="159" spans="1:39" s="273" customFormat="1" outlineLevel="1" x14ac:dyDescent="0.25">
      <c r="B159" s="273" t="str">
        <f t="shared" si="126"/>
        <v>Erhverv</v>
      </c>
      <c r="C159" s="274" t="s">
        <v>274</v>
      </c>
      <c r="D159" s="275">
        <f t="shared" ref="D159:AM159" si="137">$Q15</f>
        <v>37</v>
      </c>
      <c r="E159" s="276">
        <f t="shared" si="137"/>
        <v>37</v>
      </c>
      <c r="F159" s="276">
        <f t="shared" si="137"/>
        <v>37</v>
      </c>
      <c r="G159" s="276">
        <f t="shared" si="137"/>
        <v>37</v>
      </c>
      <c r="H159" s="276">
        <f t="shared" si="137"/>
        <v>37</v>
      </c>
      <c r="I159" s="276">
        <f t="shared" si="137"/>
        <v>37</v>
      </c>
      <c r="J159" s="276">
        <f t="shared" si="137"/>
        <v>37</v>
      </c>
      <c r="K159" s="276">
        <f t="shared" si="137"/>
        <v>37</v>
      </c>
      <c r="L159" s="276">
        <f t="shared" si="137"/>
        <v>37</v>
      </c>
      <c r="M159" s="276">
        <f t="shared" si="137"/>
        <v>37</v>
      </c>
      <c r="N159" s="276">
        <f t="shared" si="137"/>
        <v>37</v>
      </c>
      <c r="O159" s="276">
        <f t="shared" si="137"/>
        <v>37</v>
      </c>
      <c r="P159" s="275">
        <f t="shared" si="137"/>
        <v>37</v>
      </c>
      <c r="Q159" s="276">
        <f t="shared" si="137"/>
        <v>37</v>
      </c>
      <c r="R159" s="276">
        <f t="shared" si="137"/>
        <v>37</v>
      </c>
      <c r="S159" s="276">
        <f t="shared" si="137"/>
        <v>37</v>
      </c>
      <c r="T159" s="276">
        <f t="shared" si="137"/>
        <v>37</v>
      </c>
      <c r="U159" s="276">
        <f t="shared" si="137"/>
        <v>37</v>
      </c>
      <c r="V159" s="276">
        <f t="shared" si="137"/>
        <v>37</v>
      </c>
      <c r="W159" s="276">
        <f t="shared" si="137"/>
        <v>37</v>
      </c>
      <c r="X159" s="276">
        <f t="shared" si="137"/>
        <v>37</v>
      </c>
      <c r="Y159" s="276">
        <f t="shared" si="137"/>
        <v>37</v>
      </c>
      <c r="Z159" s="276">
        <f t="shared" si="137"/>
        <v>37</v>
      </c>
      <c r="AA159" s="276">
        <f t="shared" si="137"/>
        <v>37</v>
      </c>
      <c r="AB159" s="275">
        <f t="shared" si="137"/>
        <v>37</v>
      </c>
      <c r="AC159" s="276">
        <f t="shared" si="137"/>
        <v>37</v>
      </c>
      <c r="AD159" s="276">
        <f t="shared" si="137"/>
        <v>37</v>
      </c>
      <c r="AE159" s="276">
        <f t="shared" si="137"/>
        <v>37</v>
      </c>
      <c r="AF159" s="276">
        <f t="shared" si="137"/>
        <v>37</v>
      </c>
      <c r="AG159" s="276">
        <f t="shared" si="137"/>
        <v>37</v>
      </c>
      <c r="AH159" s="276">
        <f t="shared" si="137"/>
        <v>37</v>
      </c>
      <c r="AI159" s="276">
        <f t="shared" si="137"/>
        <v>37</v>
      </c>
      <c r="AJ159" s="276">
        <f t="shared" si="137"/>
        <v>37</v>
      </c>
      <c r="AK159" s="276">
        <f t="shared" si="137"/>
        <v>37</v>
      </c>
      <c r="AL159" s="276">
        <f t="shared" si="137"/>
        <v>37</v>
      </c>
      <c r="AM159" s="276">
        <f t="shared" si="137"/>
        <v>37</v>
      </c>
    </row>
    <row r="160" spans="1:39" s="273" customFormat="1" outlineLevel="1" x14ac:dyDescent="0.25">
      <c r="B160" s="273" t="str">
        <f t="shared" si="126"/>
        <v>DagrenErhverv</v>
      </c>
      <c r="C160" s="274" t="s">
        <v>274</v>
      </c>
      <c r="D160" s="275">
        <f t="shared" ref="D160:AM160" si="138">$Q16</f>
        <v>37</v>
      </c>
      <c r="E160" s="276">
        <f t="shared" si="138"/>
        <v>37</v>
      </c>
      <c r="F160" s="276">
        <f t="shared" si="138"/>
        <v>37</v>
      </c>
      <c r="G160" s="276">
        <f t="shared" si="138"/>
        <v>37</v>
      </c>
      <c r="H160" s="276">
        <f t="shared" si="138"/>
        <v>37</v>
      </c>
      <c r="I160" s="276">
        <f t="shared" si="138"/>
        <v>37</v>
      </c>
      <c r="J160" s="276">
        <f t="shared" si="138"/>
        <v>37</v>
      </c>
      <c r="K160" s="276">
        <f t="shared" si="138"/>
        <v>37</v>
      </c>
      <c r="L160" s="276">
        <f t="shared" si="138"/>
        <v>37</v>
      </c>
      <c r="M160" s="276">
        <f t="shared" si="138"/>
        <v>37</v>
      </c>
      <c r="N160" s="276">
        <f t="shared" si="138"/>
        <v>37</v>
      </c>
      <c r="O160" s="276">
        <f t="shared" si="138"/>
        <v>37</v>
      </c>
      <c r="P160" s="275">
        <f t="shared" si="138"/>
        <v>37</v>
      </c>
      <c r="Q160" s="276">
        <f t="shared" si="138"/>
        <v>37</v>
      </c>
      <c r="R160" s="276">
        <f t="shared" si="138"/>
        <v>37</v>
      </c>
      <c r="S160" s="276">
        <f t="shared" si="138"/>
        <v>37</v>
      </c>
      <c r="T160" s="276">
        <f t="shared" si="138"/>
        <v>37</v>
      </c>
      <c r="U160" s="276">
        <f t="shared" si="138"/>
        <v>37</v>
      </c>
      <c r="V160" s="276">
        <f t="shared" si="138"/>
        <v>37</v>
      </c>
      <c r="W160" s="276">
        <f t="shared" si="138"/>
        <v>37</v>
      </c>
      <c r="X160" s="276">
        <f t="shared" si="138"/>
        <v>37</v>
      </c>
      <c r="Y160" s="276">
        <f t="shared" si="138"/>
        <v>37</v>
      </c>
      <c r="Z160" s="276">
        <f t="shared" si="138"/>
        <v>37</v>
      </c>
      <c r="AA160" s="276">
        <f t="shared" si="138"/>
        <v>37</v>
      </c>
      <c r="AB160" s="275">
        <f t="shared" si="138"/>
        <v>37</v>
      </c>
      <c r="AC160" s="276">
        <f t="shared" si="138"/>
        <v>37</v>
      </c>
      <c r="AD160" s="276">
        <f t="shared" si="138"/>
        <v>37</v>
      </c>
      <c r="AE160" s="276">
        <f t="shared" si="138"/>
        <v>37</v>
      </c>
      <c r="AF160" s="276">
        <f t="shared" si="138"/>
        <v>37</v>
      </c>
      <c r="AG160" s="276">
        <f t="shared" si="138"/>
        <v>37</v>
      </c>
      <c r="AH160" s="276">
        <f t="shared" si="138"/>
        <v>37</v>
      </c>
      <c r="AI160" s="276">
        <f t="shared" si="138"/>
        <v>37</v>
      </c>
      <c r="AJ160" s="276">
        <f t="shared" si="138"/>
        <v>37</v>
      </c>
      <c r="AK160" s="276">
        <f t="shared" si="138"/>
        <v>37</v>
      </c>
      <c r="AL160" s="276">
        <f t="shared" si="138"/>
        <v>37</v>
      </c>
      <c r="AM160" s="276">
        <f t="shared" si="138"/>
        <v>37</v>
      </c>
    </row>
    <row r="161" spans="1:39" s="273" customFormat="1" outlineLevel="1" x14ac:dyDescent="0.25">
      <c r="B161" s="273" t="str">
        <f t="shared" si="126"/>
        <v>HandelKontor</v>
      </c>
      <c r="C161" s="274" t="s">
        <v>274</v>
      </c>
      <c r="D161" s="275">
        <f t="shared" ref="D161:AM161" si="139">$Q17</f>
        <v>37</v>
      </c>
      <c r="E161" s="276">
        <f t="shared" si="139"/>
        <v>37</v>
      </c>
      <c r="F161" s="276">
        <f t="shared" si="139"/>
        <v>37</v>
      </c>
      <c r="G161" s="276">
        <f t="shared" si="139"/>
        <v>37</v>
      </c>
      <c r="H161" s="276">
        <f t="shared" si="139"/>
        <v>37</v>
      </c>
      <c r="I161" s="276">
        <f t="shared" si="139"/>
        <v>37</v>
      </c>
      <c r="J161" s="276">
        <f t="shared" si="139"/>
        <v>37</v>
      </c>
      <c r="K161" s="276">
        <f t="shared" si="139"/>
        <v>37</v>
      </c>
      <c r="L161" s="276">
        <f t="shared" si="139"/>
        <v>37</v>
      </c>
      <c r="M161" s="276">
        <f t="shared" si="139"/>
        <v>37</v>
      </c>
      <c r="N161" s="276">
        <f t="shared" si="139"/>
        <v>37</v>
      </c>
      <c r="O161" s="276">
        <f t="shared" si="139"/>
        <v>37</v>
      </c>
      <c r="P161" s="275">
        <f t="shared" si="139"/>
        <v>37</v>
      </c>
      <c r="Q161" s="276">
        <f t="shared" si="139"/>
        <v>37</v>
      </c>
      <c r="R161" s="276">
        <f t="shared" si="139"/>
        <v>37</v>
      </c>
      <c r="S161" s="276">
        <f t="shared" si="139"/>
        <v>37</v>
      </c>
      <c r="T161" s="276">
        <f t="shared" si="139"/>
        <v>37</v>
      </c>
      <c r="U161" s="276">
        <f t="shared" si="139"/>
        <v>37</v>
      </c>
      <c r="V161" s="276">
        <f t="shared" si="139"/>
        <v>37</v>
      </c>
      <c r="W161" s="276">
        <f t="shared" si="139"/>
        <v>37</v>
      </c>
      <c r="X161" s="276">
        <f t="shared" si="139"/>
        <v>37</v>
      </c>
      <c r="Y161" s="276">
        <f t="shared" si="139"/>
        <v>37</v>
      </c>
      <c r="Z161" s="276">
        <f t="shared" si="139"/>
        <v>37</v>
      </c>
      <c r="AA161" s="276">
        <f t="shared" si="139"/>
        <v>37</v>
      </c>
      <c r="AB161" s="275">
        <f t="shared" si="139"/>
        <v>37</v>
      </c>
      <c r="AC161" s="276">
        <f t="shared" si="139"/>
        <v>37</v>
      </c>
      <c r="AD161" s="276">
        <f t="shared" si="139"/>
        <v>37</v>
      </c>
      <c r="AE161" s="276">
        <f t="shared" si="139"/>
        <v>37</v>
      </c>
      <c r="AF161" s="276">
        <f t="shared" si="139"/>
        <v>37</v>
      </c>
      <c r="AG161" s="276">
        <f t="shared" si="139"/>
        <v>37</v>
      </c>
      <c r="AH161" s="276">
        <f t="shared" si="139"/>
        <v>37</v>
      </c>
      <c r="AI161" s="276">
        <f t="shared" si="139"/>
        <v>37</v>
      </c>
      <c r="AJ161" s="276">
        <f t="shared" si="139"/>
        <v>37</v>
      </c>
      <c r="AK161" s="276">
        <f t="shared" si="139"/>
        <v>37</v>
      </c>
      <c r="AL161" s="276">
        <f t="shared" si="139"/>
        <v>37</v>
      </c>
      <c r="AM161" s="276">
        <f t="shared" si="139"/>
        <v>37</v>
      </c>
    </row>
    <row r="162" spans="1:39" s="273" customFormat="1" outlineLevel="1" x14ac:dyDescent="0.25">
      <c r="B162" s="273" t="str">
        <f t="shared" si="126"/>
        <v>Privat</v>
      </c>
      <c r="C162" s="274" t="s">
        <v>274</v>
      </c>
      <c r="D162" s="275">
        <f t="shared" ref="D162:AM162" si="140">$Q18</f>
        <v>37</v>
      </c>
      <c r="E162" s="276">
        <f t="shared" si="140"/>
        <v>37</v>
      </c>
      <c r="F162" s="276">
        <f t="shared" si="140"/>
        <v>37</v>
      </c>
      <c r="G162" s="276">
        <f t="shared" si="140"/>
        <v>37</v>
      </c>
      <c r="H162" s="276">
        <f t="shared" si="140"/>
        <v>37</v>
      </c>
      <c r="I162" s="276">
        <f t="shared" si="140"/>
        <v>37</v>
      </c>
      <c r="J162" s="276">
        <f t="shared" si="140"/>
        <v>37</v>
      </c>
      <c r="K162" s="276">
        <f t="shared" si="140"/>
        <v>37</v>
      </c>
      <c r="L162" s="276">
        <f t="shared" si="140"/>
        <v>37</v>
      </c>
      <c r="M162" s="276">
        <f t="shared" si="140"/>
        <v>37</v>
      </c>
      <c r="N162" s="276">
        <f t="shared" si="140"/>
        <v>37</v>
      </c>
      <c r="O162" s="276">
        <f t="shared" si="140"/>
        <v>37</v>
      </c>
      <c r="P162" s="275">
        <f t="shared" si="140"/>
        <v>37</v>
      </c>
      <c r="Q162" s="276">
        <f t="shared" si="140"/>
        <v>37</v>
      </c>
      <c r="R162" s="276">
        <f t="shared" si="140"/>
        <v>37</v>
      </c>
      <c r="S162" s="276">
        <f t="shared" si="140"/>
        <v>37</v>
      </c>
      <c r="T162" s="276">
        <f t="shared" si="140"/>
        <v>37</v>
      </c>
      <c r="U162" s="276">
        <f t="shared" si="140"/>
        <v>37</v>
      </c>
      <c r="V162" s="276">
        <f t="shared" si="140"/>
        <v>37</v>
      </c>
      <c r="W162" s="276">
        <f t="shared" si="140"/>
        <v>37</v>
      </c>
      <c r="X162" s="276">
        <f t="shared" si="140"/>
        <v>37</v>
      </c>
      <c r="Y162" s="276">
        <f t="shared" si="140"/>
        <v>37</v>
      </c>
      <c r="Z162" s="276">
        <f t="shared" si="140"/>
        <v>37</v>
      </c>
      <c r="AA162" s="276">
        <f t="shared" si="140"/>
        <v>37</v>
      </c>
      <c r="AB162" s="275">
        <f t="shared" si="140"/>
        <v>37</v>
      </c>
      <c r="AC162" s="276">
        <f t="shared" si="140"/>
        <v>37</v>
      </c>
      <c r="AD162" s="276">
        <f t="shared" si="140"/>
        <v>37</v>
      </c>
      <c r="AE162" s="276">
        <f t="shared" si="140"/>
        <v>37</v>
      </c>
      <c r="AF162" s="276">
        <f t="shared" si="140"/>
        <v>37</v>
      </c>
      <c r="AG162" s="276">
        <f t="shared" si="140"/>
        <v>37</v>
      </c>
      <c r="AH162" s="276">
        <f t="shared" si="140"/>
        <v>37</v>
      </c>
      <c r="AI162" s="276">
        <f t="shared" si="140"/>
        <v>37</v>
      </c>
      <c r="AJ162" s="276">
        <f t="shared" si="140"/>
        <v>37</v>
      </c>
      <c r="AK162" s="276">
        <f t="shared" si="140"/>
        <v>37</v>
      </c>
      <c r="AL162" s="276">
        <f t="shared" si="140"/>
        <v>37</v>
      </c>
      <c r="AM162" s="276">
        <f t="shared" si="140"/>
        <v>37</v>
      </c>
    </row>
    <row r="163" spans="1:39" s="273" customFormat="1" outlineLevel="1" x14ac:dyDescent="0.25">
      <c r="B163" s="273" t="str">
        <f t="shared" si="126"/>
        <v>TyskRest</v>
      </c>
      <c r="C163" s="274" t="s">
        <v>274</v>
      </c>
      <c r="D163" s="275">
        <f t="shared" ref="D163:AM163" si="141">$Q19</f>
        <v>37</v>
      </c>
      <c r="E163" s="276">
        <f t="shared" si="141"/>
        <v>37</v>
      </c>
      <c r="F163" s="276">
        <f t="shared" si="141"/>
        <v>37</v>
      </c>
      <c r="G163" s="276">
        <f t="shared" si="141"/>
        <v>37</v>
      </c>
      <c r="H163" s="276">
        <f t="shared" si="141"/>
        <v>37</v>
      </c>
      <c r="I163" s="276">
        <f t="shared" si="141"/>
        <v>37</v>
      </c>
      <c r="J163" s="276">
        <f t="shared" si="141"/>
        <v>37</v>
      </c>
      <c r="K163" s="276">
        <f t="shared" si="141"/>
        <v>37</v>
      </c>
      <c r="L163" s="276">
        <f t="shared" si="141"/>
        <v>37</v>
      </c>
      <c r="M163" s="276">
        <f t="shared" si="141"/>
        <v>37</v>
      </c>
      <c r="N163" s="276">
        <f t="shared" si="141"/>
        <v>37</v>
      </c>
      <c r="O163" s="276">
        <f t="shared" si="141"/>
        <v>37</v>
      </c>
      <c r="P163" s="275">
        <f t="shared" si="141"/>
        <v>37</v>
      </c>
      <c r="Q163" s="276">
        <f t="shared" si="141"/>
        <v>37</v>
      </c>
      <c r="R163" s="276">
        <f t="shared" si="141"/>
        <v>37</v>
      </c>
      <c r="S163" s="276">
        <f t="shared" si="141"/>
        <v>37</v>
      </c>
      <c r="T163" s="276">
        <f t="shared" si="141"/>
        <v>37</v>
      </c>
      <c r="U163" s="276">
        <f t="shared" si="141"/>
        <v>37</v>
      </c>
      <c r="V163" s="276">
        <f t="shared" si="141"/>
        <v>37</v>
      </c>
      <c r="W163" s="276">
        <f t="shared" si="141"/>
        <v>37</v>
      </c>
      <c r="X163" s="276">
        <f t="shared" si="141"/>
        <v>37</v>
      </c>
      <c r="Y163" s="276">
        <f t="shared" si="141"/>
        <v>37</v>
      </c>
      <c r="Z163" s="276">
        <f t="shared" si="141"/>
        <v>37</v>
      </c>
      <c r="AA163" s="276">
        <f t="shared" si="141"/>
        <v>37</v>
      </c>
      <c r="AB163" s="275">
        <f t="shared" si="141"/>
        <v>37</v>
      </c>
      <c r="AC163" s="276">
        <f t="shared" si="141"/>
        <v>37</v>
      </c>
      <c r="AD163" s="276">
        <f t="shared" si="141"/>
        <v>37</v>
      </c>
      <c r="AE163" s="276">
        <f t="shared" si="141"/>
        <v>37</v>
      </c>
      <c r="AF163" s="276">
        <f t="shared" si="141"/>
        <v>37</v>
      </c>
      <c r="AG163" s="276">
        <f t="shared" si="141"/>
        <v>37</v>
      </c>
      <c r="AH163" s="276">
        <f t="shared" si="141"/>
        <v>37</v>
      </c>
      <c r="AI163" s="276">
        <f t="shared" si="141"/>
        <v>37</v>
      </c>
      <c r="AJ163" s="276">
        <f t="shared" si="141"/>
        <v>37</v>
      </c>
      <c r="AK163" s="276">
        <f t="shared" si="141"/>
        <v>37</v>
      </c>
      <c r="AL163" s="276">
        <f t="shared" si="141"/>
        <v>37</v>
      </c>
      <c r="AM163" s="276">
        <f t="shared" si="141"/>
        <v>37</v>
      </c>
    </row>
    <row r="164" spans="1:39" s="273" customFormat="1" outlineLevel="1" x14ac:dyDescent="0.25">
      <c r="B164" s="273" t="str">
        <f t="shared" si="126"/>
        <v>PolskRest</v>
      </c>
      <c r="C164" s="274" t="s">
        <v>274</v>
      </c>
      <c r="D164" s="275">
        <f t="shared" ref="D164:AM164" si="142">$Q20</f>
        <v>37</v>
      </c>
      <c r="E164" s="276">
        <f t="shared" si="142"/>
        <v>37</v>
      </c>
      <c r="F164" s="276">
        <f t="shared" si="142"/>
        <v>37</v>
      </c>
      <c r="G164" s="276">
        <f t="shared" si="142"/>
        <v>37</v>
      </c>
      <c r="H164" s="276">
        <f t="shared" si="142"/>
        <v>37</v>
      </c>
      <c r="I164" s="276">
        <f t="shared" si="142"/>
        <v>37</v>
      </c>
      <c r="J164" s="276">
        <f t="shared" si="142"/>
        <v>37</v>
      </c>
      <c r="K164" s="276">
        <f t="shared" si="142"/>
        <v>37</v>
      </c>
      <c r="L164" s="276">
        <f t="shared" si="142"/>
        <v>37</v>
      </c>
      <c r="M164" s="276">
        <f t="shared" si="142"/>
        <v>37</v>
      </c>
      <c r="N164" s="276">
        <f t="shared" si="142"/>
        <v>37</v>
      </c>
      <c r="O164" s="276">
        <f t="shared" si="142"/>
        <v>37</v>
      </c>
      <c r="P164" s="275">
        <f t="shared" si="142"/>
        <v>37</v>
      </c>
      <c r="Q164" s="276">
        <f t="shared" si="142"/>
        <v>37</v>
      </c>
      <c r="R164" s="276">
        <f t="shared" si="142"/>
        <v>37</v>
      </c>
      <c r="S164" s="276">
        <f t="shared" si="142"/>
        <v>37</v>
      </c>
      <c r="T164" s="276">
        <f t="shared" si="142"/>
        <v>37</v>
      </c>
      <c r="U164" s="276">
        <f t="shared" si="142"/>
        <v>37</v>
      </c>
      <c r="V164" s="276">
        <f t="shared" si="142"/>
        <v>37</v>
      </c>
      <c r="W164" s="276">
        <f t="shared" si="142"/>
        <v>37</v>
      </c>
      <c r="X164" s="276">
        <f t="shared" si="142"/>
        <v>37</v>
      </c>
      <c r="Y164" s="276">
        <f t="shared" si="142"/>
        <v>37</v>
      </c>
      <c r="Z164" s="276">
        <f t="shared" si="142"/>
        <v>37</v>
      </c>
      <c r="AA164" s="276">
        <f t="shared" si="142"/>
        <v>37</v>
      </c>
      <c r="AB164" s="275">
        <f t="shared" si="142"/>
        <v>37</v>
      </c>
      <c r="AC164" s="276">
        <f t="shared" si="142"/>
        <v>37</v>
      </c>
      <c r="AD164" s="276">
        <f t="shared" si="142"/>
        <v>37</v>
      </c>
      <c r="AE164" s="276">
        <f t="shared" si="142"/>
        <v>37</v>
      </c>
      <c r="AF164" s="276">
        <f t="shared" si="142"/>
        <v>37</v>
      </c>
      <c r="AG164" s="276">
        <f t="shared" si="142"/>
        <v>37</v>
      </c>
      <c r="AH164" s="276">
        <f t="shared" si="142"/>
        <v>37</v>
      </c>
      <c r="AI164" s="276">
        <f t="shared" si="142"/>
        <v>37</v>
      </c>
      <c r="AJ164" s="276">
        <f t="shared" si="142"/>
        <v>37</v>
      </c>
      <c r="AK164" s="276">
        <f t="shared" si="142"/>
        <v>37</v>
      </c>
      <c r="AL164" s="276">
        <f t="shared" si="142"/>
        <v>37</v>
      </c>
      <c r="AM164" s="276">
        <f t="shared" si="142"/>
        <v>37</v>
      </c>
    </row>
    <row r="165" spans="1:39" s="273" customFormat="1" outlineLevel="1" x14ac:dyDescent="0.25">
      <c r="B165" s="273" t="str">
        <f t="shared" si="126"/>
        <v>PcbTrae</v>
      </c>
      <c r="C165" s="274" t="s">
        <v>274</v>
      </c>
      <c r="D165" s="275">
        <f t="shared" ref="D165:AM165" si="143">$Q21</f>
        <v>37</v>
      </c>
      <c r="E165" s="276">
        <f t="shared" si="143"/>
        <v>37</v>
      </c>
      <c r="F165" s="276">
        <f t="shared" si="143"/>
        <v>37</v>
      </c>
      <c r="G165" s="276">
        <f t="shared" si="143"/>
        <v>37</v>
      </c>
      <c r="H165" s="276">
        <f t="shared" si="143"/>
        <v>37</v>
      </c>
      <c r="I165" s="276">
        <f t="shared" si="143"/>
        <v>37</v>
      </c>
      <c r="J165" s="276">
        <f t="shared" si="143"/>
        <v>37</v>
      </c>
      <c r="K165" s="276">
        <f t="shared" si="143"/>
        <v>37</v>
      </c>
      <c r="L165" s="276">
        <f t="shared" si="143"/>
        <v>37</v>
      </c>
      <c r="M165" s="276">
        <f t="shared" si="143"/>
        <v>37</v>
      </c>
      <c r="N165" s="276">
        <f t="shared" si="143"/>
        <v>37</v>
      </c>
      <c r="O165" s="276">
        <f t="shared" si="143"/>
        <v>37</v>
      </c>
      <c r="P165" s="275">
        <f t="shared" si="143"/>
        <v>37</v>
      </c>
      <c r="Q165" s="276">
        <f t="shared" si="143"/>
        <v>37</v>
      </c>
      <c r="R165" s="276">
        <f t="shared" si="143"/>
        <v>37</v>
      </c>
      <c r="S165" s="276">
        <f t="shared" si="143"/>
        <v>37</v>
      </c>
      <c r="T165" s="276">
        <f t="shared" si="143"/>
        <v>37</v>
      </c>
      <c r="U165" s="276">
        <f t="shared" si="143"/>
        <v>37</v>
      </c>
      <c r="V165" s="276">
        <f t="shared" si="143"/>
        <v>37</v>
      </c>
      <c r="W165" s="276">
        <f t="shared" si="143"/>
        <v>37</v>
      </c>
      <c r="X165" s="276">
        <f t="shared" si="143"/>
        <v>37</v>
      </c>
      <c r="Y165" s="276">
        <f t="shared" si="143"/>
        <v>37</v>
      </c>
      <c r="Z165" s="276">
        <f t="shared" si="143"/>
        <v>37</v>
      </c>
      <c r="AA165" s="276">
        <f t="shared" si="143"/>
        <v>37</v>
      </c>
      <c r="AB165" s="275">
        <f t="shared" si="143"/>
        <v>37</v>
      </c>
      <c r="AC165" s="276">
        <f t="shared" si="143"/>
        <v>37</v>
      </c>
      <c r="AD165" s="276">
        <f t="shared" si="143"/>
        <v>37</v>
      </c>
      <c r="AE165" s="276">
        <f t="shared" si="143"/>
        <v>37</v>
      </c>
      <c r="AF165" s="276">
        <f t="shared" si="143"/>
        <v>37</v>
      </c>
      <c r="AG165" s="276">
        <f t="shared" si="143"/>
        <v>37</v>
      </c>
      <c r="AH165" s="276">
        <f t="shared" si="143"/>
        <v>37</v>
      </c>
      <c r="AI165" s="276">
        <f t="shared" si="143"/>
        <v>37</v>
      </c>
      <c r="AJ165" s="276">
        <f t="shared" si="143"/>
        <v>37</v>
      </c>
      <c r="AK165" s="276">
        <f t="shared" si="143"/>
        <v>37</v>
      </c>
      <c r="AL165" s="276">
        <f t="shared" si="143"/>
        <v>37</v>
      </c>
      <c r="AM165" s="276">
        <f t="shared" si="143"/>
        <v>37</v>
      </c>
    </row>
    <row r="166" spans="1:39" s="273" customFormat="1" outlineLevel="1" x14ac:dyDescent="0.25">
      <c r="B166" s="273" t="str">
        <f t="shared" si="126"/>
        <v>TraeRekv</v>
      </c>
      <c r="C166" s="274" t="s">
        <v>274</v>
      </c>
      <c r="D166" s="275">
        <f t="shared" ref="D166:AM166" si="144">$Q22</f>
        <v>37</v>
      </c>
      <c r="E166" s="276">
        <f t="shared" si="144"/>
        <v>37</v>
      </c>
      <c r="F166" s="276">
        <f t="shared" si="144"/>
        <v>37</v>
      </c>
      <c r="G166" s="276">
        <f t="shared" si="144"/>
        <v>37</v>
      </c>
      <c r="H166" s="276">
        <f t="shared" si="144"/>
        <v>37</v>
      </c>
      <c r="I166" s="276">
        <f t="shared" si="144"/>
        <v>37</v>
      </c>
      <c r="J166" s="276">
        <f t="shared" si="144"/>
        <v>37</v>
      </c>
      <c r="K166" s="276">
        <f t="shared" si="144"/>
        <v>37</v>
      </c>
      <c r="L166" s="276">
        <f t="shared" si="144"/>
        <v>37</v>
      </c>
      <c r="M166" s="276">
        <f t="shared" si="144"/>
        <v>37</v>
      </c>
      <c r="N166" s="276">
        <f t="shared" si="144"/>
        <v>37</v>
      </c>
      <c r="O166" s="276">
        <f t="shared" si="144"/>
        <v>37</v>
      </c>
      <c r="P166" s="275">
        <f t="shared" si="144"/>
        <v>37</v>
      </c>
      <c r="Q166" s="276">
        <f t="shared" si="144"/>
        <v>37</v>
      </c>
      <c r="R166" s="276">
        <f t="shared" si="144"/>
        <v>37</v>
      </c>
      <c r="S166" s="276">
        <f t="shared" si="144"/>
        <v>37</v>
      </c>
      <c r="T166" s="276">
        <f t="shared" si="144"/>
        <v>37</v>
      </c>
      <c r="U166" s="276">
        <f t="shared" si="144"/>
        <v>37</v>
      </c>
      <c r="V166" s="276">
        <f t="shared" si="144"/>
        <v>37</v>
      </c>
      <c r="W166" s="276">
        <f t="shared" si="144"/>
        <v>37</v>
      </c>
      <c r="X166" s="276">
        <f t="shared" si="144"/>
        <v>37</v>
      </c>
      <c r="Y166" s="276">
        <f t="shared" si="144"/>
        <v>37</v>
      </c>
      <c r="Z166" s="276">
        <f t="shared" si="144"/>
        <v>37</v>
      </c>
      <c r="AA166" s="276">
        <f t="shared" si="144"/>
        <v>37</v>
      </c>
      <c r="AB166" s="275">
        <f t="shared" si="144"/>
        <v>37</v>
      </c>
      <c r="AC166" s="276">
        <f t="shared" si="144"/>
        <v>37</v>
      </c>
      <c r="AD166" s="276">
        <f t="shared" si="144"/>
        <v>37</v>
      </c>
      <c r="AE166" s="276">
        <f t="shared" si="144"/>
        <v>37</v>
      </c>
      <c r="AF166" s="276">
        <f t="shared" si="144"/>
        <v>37</v>
      </c>
      <c r="AG166" s="276">
        <f t="shared" si="144"/>
        <v>37</v>
      </c>
      <c r="AH166" s="276">
        <f t="shared" si="144"/>
        <v>37</v>
      </c>
      <c r="AI166" s="276">
        <f t="shared" si="144"/>
        <v>37</v>
      </c>
      <c r="AJ166" s="276">
        <f t="shared" si="144"/>
        <v>37</v>
      </c>
      <c r="AK166" s="276">
        <f t="shared" si="144"/>
        <v>37</v>
      </c>
      <c r="AL166" s="276">
        <f t="shared" si="144"/>
        <v>37</v>
      </c>
      <c r="AM166" s="276">
        <f t="shared" si="144"/>
        <v>37</v>
      </c>
    </row>
    <row r="167" spans="1:39" s="273" customFormat="1" outlineLevel="1" x14ac:dyDescent="0.25">
      <c r="B167" s="273" t="str">
        <f t="shared" si="126"/>
        <v>Halm</v>
      </c>
      <c r="C167" s="274" t="s">
        <v>274</v>
      </c>
      <c r="D167" s="275">
        <f t="shared" ref="D167:AM167" si="145">$Q23</f>
        <v>37</v>
      </c>
      <c r="E167" s="276">
        <f t="shared" si="145"/>
        <v>37</v>
      </c>
      <c r="F167" s="276">
        <f t="shared" si="145"/>
        <v>37</v>
      </c>
      <c r="G167" s="276">
        <f t="shared" si="145"/>
        <v>37</v>
      </c>
      <c r="H167" s="276">
        <f t="shared" si="145"/>
        <v>37</v>
      </c>
      <c r="I167" s="276">
        <f t="shared" si="145"/>
        <v>37</v>
      </c>
      <c r="J167" s="276">
        <f t="shared" si="145"/>
        <v>37</v>
      </c>
      <c r="K167" s="276">
        <f t="shared" si="145"/>
        <v>37</v>
      </c>
      <c r="L167" s="276">
        <f t="shared" si="145"/>
        <v>37</v>
      </c>
      <c r="M167" s="276">
        <f t="shared" si="145"/>
        <v>37</v>
      </c>
      <c r="N167" s="276">
        <f t="shared" si="145"/>
        <v>37</v>
      </c>
      <c r="O167" s="276">
        <f t="shared" si="145"/>
        <v>37</v>
      </c>
      <c r="P167" s="275">
        <f t="shared" si="145"/>
        <v>37</v>
      </c>
      <c r="Q167" s="276">
        <f t="shared" si="145"/>
        <v>37</v>
      </c>
      <c r="R167" s="276">
        <f t="shared" si="145"/>
        <v>37</v>
      </c>
      <c r="S167" s="276">
        <f t="shared" si="145"/>
        <v>37</v>
      </c>
      <c r="T167" s="276">
        <f t="shared" si="145"/>
        <v>37</v>
      </c>
      <c r="U167" s="276">
        <f t="shared" si="145"/>
        <v>37</v>
      </c>
      <c r="V167" s="276">
        <f t="shared" si="145"/>
        <v>37</v>
      </c>
      <c r="W167" s="276">
        <f t="shared" si="145"/>
        <v>37</v>
      </c>
      <c r="X167" s="276">
        <f t="shared" si="145"/>
        <v>37</v>
      </c>
      <c r="Y167" s="276">
        <f t="shared" si="145"/>
        <v>37</v>
      </c>
      <c r="Z167" s="276">
        <f t="shared" si="145"/>
        <v>37</v>
      </c>
      <c r="AA167" s="276">
        <f t="shared" si="145"/>
        <v>37</v>
      </c>
      <c r="AB167" s="275">
        <f t="shared" si="145"/>
        <v>37</v>
      </c>
      <c r="AC167" s="276">
        <f t="shared" si="145"/>
        <v>37</v>
      </c>
      <c r="AD167" s="276">
        <f t="shared" si="145"/>
        <v>37</v>
      </c>
      <c r="AE167" s="276">
        <f t="shared" si="145"/>
        <v>37</v>
      </c>
      <c r="AF167" s="276">
        <f t="shared" si="145"/>
        <v>37</v>
      </c>
      <c r="AG167" s="276">
        <f t="shared" si="145"/>
        <v>37</v>
      </c>
      <c r="AH167" s="276">
        <f t="shared" si="145"/>
        <v>37</v>
      </c>
      <c r="AI167" s="276">
        <f t="shared" si="145"/>
        <v>37</v>
      </c>
      <c r="AJ167" s="276">
        <f t="shared" si="145"/>
        <v>37</v>
      </c>
      <c r="AK167" s="276">
        <f t="shared" si="145"/>
        <v>37</v>
      </c>
      <c r="AL167" s="276">
        <f t="shared" si="145"/>
        <v>37</v>
      </c>
      <c r="AM167" s="276">
        <f t="shared" si="145"/>
        <v>37</v>
      </c>
    </row>
    <row r="168" spans="1:39" s="273" customFormat="1" outlineLevel="1" x14ac:dyDescent="0.25">
      <c r="A168" s="277"/>
      <c r="B168" s="273" t="str">
        <f t="shared" si="126"/>
        <v>Pulver</v>
      </c>
      <c r="C168" s="274" t="s">
        <v>274</v>
      </c>
      <c r="D168" s="275">
        <f t="shared" ref="D168:AM168" si="146">$Q24</f>
        <v>37</v>
      </c>
      <c r="E168" s="276">
        <f t="shared" si="146"/>
        <v>37</v>
      </c>
      <c r="F168" s="276">
        <f t="shared" si="146"/>
        <v>37</v>
      </c>
      <c r="G168" s="276">
        <f t="shared" si="146"/>
        <v>37</v>
      </c>
      <c r="H168" s="276">
        <f t="shared" si="146"/>
        <v>37</v>
      </c>
      <c r="I168" s="276">
        <f t="shared" si="146"/>
        <v>37</v>
      </c>
      <c r="J168" s="276">
        <f t="shared" si="146"/>
        <v>37</v>
      </c>
      <c r="K168" s="276">
        <f t="shared" si="146"/>
        <v>37</v>
      </c>
      <c r="L168" s="276">
        <f t="shared" si="146"/>
        <v>37</v>
      </c>
      <c r="M168" s="276">
        <f t="shared" si="146"/>
        <v>37</v>
      </c>
      <c r="N168" s="276">
        <f t="shared" si="146"/>
        <v>37</v>
      </c>
      <c r="O168" s="276">
        <f t="shared" si="146"/>
        <v>37</v>
      </c>
      <c r="P168" s="275">
        <f t="shared" si="146"/>
        <v>37</v>
      </c>
      <c r="Q168" s="276">
        <f t="shared" si="146"/>
        <v>37</v>
      </c>
      <c r="R168" s="276">
        <f t="shared" si="146"/>
        <v>37</v>
      </c>
      <c r="S168" s="276">
        <f t="shared" si="146"/>
        <v>37</v>
      </c>
      <c r="T168" s="276">
        <f t="shared" si="146"/>
        <v>37</v>
      </c>
      <c r="U168" s="276">
        <f t="shared" si="146"/>
        <v>37</v>
      </c>
      <c r="V168" s="276">
        <f t="shared" si="146"/>
        <v>37</v>
      </c>
      <c r="W168" s="276">
        <f t="shared" si="146"/>
        <v>37</v>
      </c>
      <c r="X168" s="276">
        <f t="shared" si="146"/>
        <v>37</v>
      </c>
      <c r="Y168" s="276">
        <f t="shared" si="146"/>
        <v>37</v>
      </c>
      <c r="Z168" s="276">
        <f t="shared" si="146"/>
        <v>37</v>
      </c>
      <c r="AA168" s="276">
        <f t="shared" si="146"/>
        <v>37</v>
      </c>
      <c r="AB168" s="275">
        <f t="shared" si="146"/>
        <v>37</v>
      </c>
      <c r="AC168" s="276">
        <f t="shared" si="146"/>
        <v>37</v>
      </c>
      <c r="AD168" s="276">
        <f t="shared" si="146"/>
        <v>37</v>
      </c>
      <c r="AE168" s="276">
        <f t="shared" si="146"/>
        <v>37</v>
      </c>
      <c r="AF168" s="276">
        <f t="shared" si="146"/>
        <v>37</v>
      </c>
      <c r="AG168" s="276">
        <f t="shared" si="146"/>
        <v>37</v>
      </c>
      <c r="AH168" s="276">
        <f t="shared" si="146"/>
        <v>37</v>
      </c>
      <c r="AI168" s="276">
        <f t="shared" si="146"/>
        <v>37</v>
      </c>
      <c r="AJ168" s="276">
        <f t="shared" si="146"/>
        <v>37</v>
      </c>
      <c r="AK168" s="276">
        <f t="shared" si="146"/>
        <v>37</v>
      </c>
      <c r="AL168" s="276">
        <f t="shared" si="146"/>
        <v>37</v>
      </c>
      <c r="AM168" s="276">
        <f t="shared" si="146"/>
        <v>37</v>
      </c>
    </row>
    <row r="169" spans="1:39" s="273" customFormat="1" outlineLevel="1" x14ac:dyDescent="0.25">
      <c r="A169" s="277"/>
      <c r="B169" s="273" t="str">
        <f t="shared" si="126"/>
        <v>FlisAffald</v>
      </c>
      <c r="C169" s="274" t="s">
        <v>274</v>
      </c>
      <c r="D169" s="275">
        <f t="shared" ref="D169:AM169" si="147">$Q25</f>
        <v>0</v>
      </c>
      <c r="E169" s="276">
        <f t="shared" si="147"/>
        <v>0</v>
      </c>
      <c r="F169" s="276">
        <f t="shared" si="147"/>
        <v>0</v>
      </c>
      <c r="G169" s="276">
        <f t="shared" si="147"/>
        <v>0</v>
      </c>
      <c r="H169" s="276">
        <f t="shared" si="147"/>
        <v>0</v>
      </c>
      <c r="I169" s="276">
        <f t="shared" si="147"/>
        <v>0</v>
      </c>
      <c r="J169" s="276">
        <f t="shared" si="147"/>
        <v>0</v>
      </c>
      <c r="K169" s="276">
        <f t="shared" si="147"/>
        <v>0</v>
      </c>
      <c r="L169" s="276">
        <f t="shared" si="147"/>
        <v>0</v>
      </c>
      <c r="M169" s="276">
        <f t="shared" si="147"/>
        <v>0</v>
      </c>
      <c r="N169" s="276">
        <f t="shared" si="147"/>
        <v>0</v>
      </c>
      <c r="O169" s="276">
        <f t="shared" si="147"/>
        <v>0</v>
      </c>
      <c r="P169" s="275">
        <f t="shared" si="147"/>
        <v>0</v>
      </c>
      <c r="Q169" s="276">
        <f t="shared" si="147"/>
        <v>0</v>
      </c>
      <c r="R169" s="276">
        <f t="shared" si="147"/>
        <v>0</v>
      </c>
      <c r="S169" s="276">
        <f t="shared" si="147"/>
        <v>0</v>
      </c>
      <c r="T169" s="276">
        <f t="shared" si="147"/>
        <v>0</v>
      </c>
      <c r="U169" s="276">
        <f t="shared" si="147"/>
        <v>0</v>
      </c>
      <c r="V169" s="276">
        <f t="shared" si="147"/>
        <v>0</v>
      </c>
      <c r="W169" s="276">
        <f t="shared" si="147"/>
        <v>0</v>
      </c>
      <c r="X169" s="276">
        <f t="shared" si="147"/>
        <v>0</v>
      </c>
      <c r="Y169" s="276">
        <f t="shared" si="147"/>
        <v>0</v>
      </c>
      <c r="Z169" s="276">
        <f t="shared" si="147"/>
        <v>0</v>
      </c>
      <c r="AA169" s="276">
        <f t="shared" si="147"/>
        <v>0</v>
      </c>
      <c r="AB169" s="275">
        <f t="shared" si="147"/>
        <v>0</v>
      </c>
      <c r="AC169" s="276">
        <f t="shared" si="147"/>
        <v>0</v>
      </c>
      <c r="AD169" s="276">
        <f t="shared" si="147"/>
        <v>0</v>
      </c>
      <c r="AE169" s="276">
        <f t="shared" si="147"/>
        <v>0</v>
      </c>
      <c r="AF169" s="276">
        <f t="shared" si="147"/>
        <v>0</v>
      </c>
      <c r="AG169" s="276">
        <f t="shared" si="147"/>
        <v>0</v>
      </c>
      <c r="AH169" s="276">
        <f t="shared" si="147"/>
        <v>0</v>
      </c>
      <c r="AI169" s="276">
        <f t="shared" si="147"/>
        <v>0</v>
      </c>
      <c r="AJ169" s="276">
        <f t="shared" si="147"/>
        <v>0</v>
      </c>
      <c r="AK169" s="276">
        <f t="shared" si="147"/>
        <v>0</v>
      </c>
      <c r="AL169" s="276">
        <f t="shared" si="147"/>
        <v>0</v>
      </c>
      <c r="AM169" s="276">
        <f t="shared" si="147"/>
        <v>0</v>
      </c>
    </row>
    <row r="170" spans="1:39" s="273" customFormat="1" outlineLevel="1" x14ac:dyDescent="0.25">
      <c r="A170" s="277"/>
      <c r="B170" s="273" t="str">
        <f t="shared" si="126"/>
        <v>NyAff1</v>
      </c>
      <c r="C170" s="274" t="s">
        <v>274</v>
      </c>
      <c r="D170" s="275">
        <f t="shared" ref="D170:AM170" si="148">$Q26</f>
        <v>0</v>
      </c>
      <c r="E170" s="276">
        <f t="shared" si="148"/>
        <v>0</v>
      </c>
      <c r="F170" s="276">
        <f t="shared" si="148"/>
        <v>0</v>
      </c>
      <c r="G170" s="276">
        <f t="shared" si="148"/>
        <v>0</v>
      </c>
      <c r="H170" s="276">
        <f t="shared" si="148"/>
        <v>0</v>
      </c>
      <c r="I170" s="276">
        <f t="shared" si="148"/>
        <v>0</v>
      </c>
      <c r="J170" s="276">
        <f t="shared" si="148"/>
        <v>0</v>
      </c>
      <c r="K170" s="276">
        <f t="shared" si="148"/>
        <v>0</v>
      </c>
      <c r="L170" s="276">
        <f t="shared" si="148"/>
        <v>0</v>
      </c>
      <c r="M170" s="276">
        <f t="shared" si="148"/>
        <v>0</v>
      </c>
      <c r="N170" s="276">
        <f t="shared" si="148"/>
        <v>0</v>
      </c>
      <c r="O170" s="276">
        <f t="shared" si="148"/>
        <v>0</v>
      </c>
      <c r="P170" s="275">
        <f t="shared" si="148"/>
        <v>0</v>
      </c>
      <c r="Q170" s="276">
        <f t="shared" si="148"/>
        <v>0</v>
      </c>
      <c r="R170" s="276">
        <f t="shared" si="148"/>
        <v>0</v>
      </c>
      <c r="S170" s="276">
        <f t="shared" si="148"/>
        <v>0</v>
      </c>
      <c r="T170" s="276">
        <f t="shared" si="148"/>
        <v>0</v>
      </c>
      <c r="U170" s="276">
        <f t="shared" si="148"/>
        <v>0</v>
      </c>
      <c r="V170" s="276">
        <f t="shared" si="148"/>
        <v>0</v>
      </c>
      <c r="W170" s="276">
        <f t="shared" si="148"/>
        <v>0</v>
      </c>
      <c r="X170" s="276">
        <f t="shared" si="148"/>
        <v>0</v>
      </c>
      <c r="Y170" s="276">
        <f t="shared" si="148"/>
        <v>0</v>
      </c>
      <c r="Z170" s="276">
        <f t="shared" si="148"/>
        <v>0</v>
      </c>
      <c r="AA170" s="276">
        <f t="shared" si="148"/>
        <v>0</v>
      </c>
      <c r="AB170" s="275">
        <f t="shared" si="148"/>
        <v>0</v>
      </c>
      <c r="AC170" s="276">
        <f t="shared" si="148"/>
        <v>0</v>
      </c>
      <c r="AD170" s="276">
        <f t="shared" si="148"/>
        <v>0</v>
      </c>
      <c r="AE170" s="276">
        <f t="shared" si="148"/>
        <v>0</v>
      </c>
      <c r="AF170" s="276">
        <f t="shared" si="148"/>
        <v>0</v>
      </c>
      <c r="AG170" s="276">
        <f t="shared" si="148"/>
        <v>0</v>
      </c>
      <c r="AH170" s="276">
        <f t="shared" si="148"/>
        <v>0</v>
      </c>
      <c r="AI170" s="276">
        <f t="shared" si="148"/>
        <v>0</v>
      </c>
      <c r="AJ170" s="276">
        <f t="shared" si="148"/>
        <v>0</v>
      </c>
      <c r="AK170" s="276">
        <f t="shared" si="148"/>
        <v>0</v>
      </c>
      <c r="AL170" s="276">
        <f t="shared" si="148"/>
        <v>0</v>
      </c>
      <c r="AM170" s="276">
        <f t="shared" si="148"/>
        <v>0</v>
      </c>
    </row>
    <row r="171" spans="1:39" s="273" customFormat="1" outlineLevel="1" x14ac:dyDescent="0.25">
      <c r="B171" s="273" t="str">
        <f t="shared" si="126"/>
        <v>NyAff2</v>
      </c>
      <c r="C171" s="274" t="s">
        <v>274</v>
      </c>
      <c r="D171" s="275">
        <f t="shared" ref="D171:AM171" si="149">$Q27</f>
        <v>37</v>
      </c>
      <c r="E171" s="276">
        <f t="shared" si="149"/>
        <v>37</v>
      </c>
      <c r="F171" s="276">
        <f t="shared" si="149"/>
        <v>37</v>
      </c>
      <c r="G171" s="276">
        <f t="shared" si="149"/>
        <v>37</v>
      </c>
      <c r="H171" s="276">
        <f t="shared" si="149"/>
        <v>37</v>
      </c>
      <c r="I171" s="276">
        <f t="shared" si="149"/>
        <v>37</v>
      </c>
      <c r="J171" s="276">
        <f t="shared" si="149"/>
        <v>37</v>
      </c>
      <c r="K171" s="276">
        <f t="shared" si="149"/>
        <v>37</v>
      </c>
      <c r="L171" s="276">
        <f t="shared" si="149"/>
        <v>37</v>
      </c>
      <c r="M171" s="276">
        <f t="shared" si="149"/>
        <v>37</v>
      </c>
      <c r="N171" s="276">
        <f t="shared" si="149"/>
        <v>37</v>
      </c>
      <c r="O171" s="276">
        <f t="shared" si="149"/>
        <v>37</v>
      </c>
      <c r="P171" s="275">
        <f t="shared" si="149"/>
        <v>37</v>
      </c>
      <c r="Q171" s="276">
        <f t="shared" si="149"/>
        <v>37</v>
      </c>
      <c r="R171" s="276">
        <f t="shared" si="149"/>
        <v>37</v>
      </c>
      <c r="S171" s="276">
        <f t="shared" si="149"/>
        <v>37</v>
      </c>
      <c r="T171" s="276">
        <f t="shared" si="149"/>
        <v>37</v>
      </c>
      <c r="U171" s="276">
        <f t="shared" si="149"/>
        <v>37</v>
      </c>
      <c r="V171" s="276">
        <f t="shared" si="149"/>
        <v>37</v>
      </c>
      <c r="W171" s="276">
        <f t="shared" si="149"/>
        <v>37</v>
      </c>
      <c r="X171" s="276">
        <f t="shared" si="149"/>
        <v>37</v>
      </c>
      <c r="Y171" s="276">
        <f t="shared" si="149"/>
        <v>37</v>
      </c>
      <c r="Z171" s="276">
        <f t="shared" si="149"/>
        <v>37</v>
      </c>
      <c r="AA171" s="276">
        <f t="shared" si="149"/>
        <v>37</v>
      </c>
      <c r="AB171" s="275">
        <f t="shared" si="149"/>
        <v>37</v>
      </c>
      <c r="AC171" s="276">
        <f t="shared" si="149"/>
        <v>37</v>
      </c>
      <c r="AD171" s="276">
        <f t="shared" si="149"/>
        <v>37</v>
      </c>
      <c r="AE171" s="276">
        <f t="shared" si="149"/>
        <v>37</v>
      </c>
      <c r="AF171" s="276">
        <f t="shared" si="149"/>
        <v>37</v>
      </c>
      <c r="AG171" s="276">
        <f t="shared" si="149"/>
        <v>37</v>
      </c>
      <c r="AH171" s="276">
        <f t="shared" si="149"/>
        <v>37</v>
      </c>
      <c r="AI171" s="276">
        <f t="shared" si="149"/>
        <v>37</v>
      </c>
      <c r="AJ171" s="276">
        <f t="shared" si="149"/>
        <v>37</v>
      </c>
      <c r="AK171" s="276">
        <f t="shared" si="149"/>
        <v>37</v>
      </c>
      <c r="AL171" s="276">
        <f t="shared" si="149"/>
        <v>37</v>
      </c>
      <c r="AM171" s="276">
        <f t="shared" si="149"/>
        <v>37</v>
      </c>
    </row>
    <row r="172" spans="1:39" s="273" customFormat="1" outlineLevel="1" x14ac:dyDescent="0.25">
      <c r="B172" s="273" t="str">
        <f t="shared" ref="B172:B174" si="150">B145</f>
        <v>NyAff3</v>
      </c>
      <c r="C172" s="274" t="s">
        <v>274</v>
      </c>
      <c r="D172" s="275">
        <f t="shared" ref="D172:AM172" si="151">$Q28</f>
        <v>37</v>
      </c>
      <c r="E172" s="276">
        <f t="shared" si="151"/>
        <v>37</v>
      </c>
      <c r="F172" s="276">
        <f t="shared" si="151"/>
        <v>37</v>
      </c>
      <c r="G172" s="276">
        <f t="shared" si="151"/>
        <v>37</v>
      </c>
      <c r="H172" s="276">
        <f t="shared" si="151"/>
        <v>37</v>
      </c>
      <c r="I172" s="276">
        <f t="shared" si="151"/>
        <v>37</v>
      </c>
      <c r="J172" s="276">
        <f t="shared" si="151"/>
        <v>37</v>
      </c>
      <c r="K172" s="276">
        <f t="shared" si="151"/>
        <v>37</v>
      </c>
      <c r="L172" s="276">
        <f t="shared" si="151"/>
        <v>37</v>
      </c>
      <c r="M172" s="276">
        <f t="shared" si="151"/>
        <v>37</v>
      </c>
      <c r="N172" s="276">
        <f t="shared" si="151"/>
        <v>37</v>
      </c>
      <c r="O172" s="276">
        <f t="shared" si="151"/>
        <v>37</v>
      </c>
      <c r="P172" s="275">
        <f t="shared" si="151"/>
        <v>37</v>
      </c>
      <c r="Q172" s="276">
        <f t="shared" si="151"/>
        <v>37</v>
      </c>
      <c r="R172" s="276">
        <f t="shared" si="151"/>
        <v>37</v>
      </c>
      <c r="S172" s="276">
        <f t="shared" si="151"/>
        <v>37</v>
      </c>
      <c r="T172" s="276">
        <f t="shared" si="151"/>
        <v>37</v>
      </c>
      <c r="U172" s="276">
        <f t="shared" si="151"/>
        <v>37</v>
      </c>
      <c r="V172" s="276">
        <f t="shared" si="151"/>
        <v>37</v>
      </c>
      <c r="W172" s="276">
        <f t="shared" si="151"/>
        <v>37</v>
      </c>
      <c r="X172" s="276">
        <f t="shared" si="151"/>
        <v>37</v>
      </c>
      <c r="Y172" s="276">
        <f t="shared" si="151"/>
        <v>37</v>
      </c>
      <c r="Z172" s="276">
        <f t="shared" si="151"/>
        <v>37</v>
      </c>
      <c r="AA172" s="276">
        <f t="shared" si="151"/>
        <v>37</v>
      </c>
      <c r="AB172" s="275">
        <f t="shared" si="151"/>
        <v>37</v>
      </c>
      <c r="AC172" s="276">
        <f t="shared" si="151"/>
        <v>37</v>
      </c>
      <c r="AD172" s="276">
        <f t="shared" si="151"/>
        <v>37</v>
      </c>
      <c r="AE172" s="276">
        <f t="shared" si="151"/>
        <v>37</v>
      </c>
      <c r="AF172" s="276">
        <f t="shared" si="151"/>
        <v>37</v>
      </c>
      <c r="AG172" s="276">
        <f t="shared" si="151"/>
        <v>37</v>
      </c>
      <c r="AH172" s="276">
        <f t="shared" si="151"/>
        <v>37</v>
      </c>
      <c r="AI172" s="276">
        <f t="shared" si="151"/>
        <v>37</v>
      </c>
      <c r="AJ172" s="276">
        <f t="shared" si="151"/>
        <v>37</v>
      </c>
      <c r="AK172" s="276">
        <f t="shared" si="151"/>
        <v>37</v>
      </c>
      <c r="AL172" s="276">
        <f t="shared" si="151"/>
        <v>37</v>
      </c>
      <c r="AM172" s="276">
        <f t="shared" si="151"/>
        <v>37</v>
      </c>
    </row>
    <row r="173" spans="1:39" s="273" customFormat="1" outlineLevel="1" x14ac:dyDescent="0.25">
      <c r="B173" s="273" t="str">
        <f t="shared" si="150"/>
        <v>NyAff4</v>
      </c>
      <c r="C173" s="274" t="s">
        <v>274</v>
      </c>
      <c r="D173" s="275">
        <f t="shared" ref="D173:AM173" si="152">$Q29</f>
        <v>37</v>
      </c>
      <c r="E173" s="276">
        <f t="shared" si="152"/>
        <v>37</v>
      </c>
      <c r="F173" s="276">
        <f t="shared" si="152"/>
        <v>37</v>
      </c>
      <c r="G173" s="276">
        <f t="shared" si="152"/>
        <v>37</v>
      </c>
      <c r="H173" s="276">
        <f t="shared" si="152"/>
        <v>37</v>
      </c>
      <c r="I173" s="276">
        <f t="shared" si="152"/>
        <v>37</v>
      </c>
      <c r="J173" s="276">
        <f t="shared" si="152"/>
        <v>37</v>
      </c>
      <c r="K173" s="276">
        <f t="shared" si="152"/>
        <v>37</v>
      </c>
      <c r="L173" s="276">
        <f t="shared" si="152"/>
        <v>37</v>
      </c>
      <c r="M173" s="276">
        <f t="shared" si="152"/>
        <v>37</v>
      </c>
      <c r="N173" s="276">
        <f t="shared" si="152"/>
        <v>37</v>
      </c>
      <c r="O173" s="276">
        <f t="shared" si="152"/>
        <v>37</v>
      </c>
      <c r="P173" s="275">
        <f t="shared" si="152"/>
        <v>37</v>
      </c>
      <c r="Q173" s="276">
        <f t="shared" si="152"/>
        <v>37</v>
      </c>
      <c r="R173" s="276">
        <f t="shared" si="152"/>
        <v>37</v>
      </c>
      <c r="S173" s="276">
        <f t="shared" si="152"/>
        <v>37</v>
      </c>
      <c r="T173" s="276">
        <f t="shared" si="152"/>
        <v>37</v>
      </c>
      <c r="U173" s="276">
        <f t="shared" si="152"/>
        <v>37</v>
      </c>
      <c r="V173" s="276">
        <f t="shared" si="152"/>
        <v>37</v>
      </c>
      <c r="W173" s="276">
        <f t="shared" si="152"/>
        <v>37</v>
      </c>
      <c r="X173" s="276">
        <f t="shared" si="152"/>
        <v>37</v>
      </c>
      <c r="Y173" s="276">
        <f t="shared" si="152"/>
        <v>37</v>
      </c>
      <c r="Z173" s="276">
        <f t="shared" si="152"/>
        <v>37</v>
      </c>
      <c r="AA173" s="276">
        <f t="shared" si="152"/>
        <v>37</v>
      </c>
      <c r="AB173" s="275">
        <f t="shared" si="152"/>
        <v>37</v>
      </c>
      <c r="AC173" s="276">
        <f t="shared" si="152"/>
        <v>37</v>
      </c>
      <c r="AD173" s="276">
        <f t="shared" si="152"/>
        <v>37</v>
      </c>
      <c r="AE173" s="276">
        <f t="shared" si="152"/>
        <v>37</v>
      </c>
      <c r="AF173" s="276">
        <f t="shared" si="152"/>
        <v>37</v>
      </c>
      <c r="AG173" s="276">
        <f t="shared" si="152"/>
        <v>37</v>
      </c>
      <c r="AH173" s="276">
        <f t="shared" si="152"/>
        <v>37</v>
      </c>
      <c r="AI173" s="276">
        <f t="shared" si="152"/>
        <v>37</v>
      </c>
      <c r="AJ173" s="276">
        <f t="shared" si="152"/>
        <v>37</v>
      </c>
      <c r="AK173" s="276">
        <f t="shared" si="152"/>
        <v>37</v>
      </c>
      <c r="AL173" s="276">
        <f t="shared" si="152"/>
        <v>37</v>
      </c>
      <c r="AM173" s="276">
        <f t="shared" si="152"/>
        <v>37</v>
      </c>
    </row>
    <row r="174" spans="1:39" s="273" customFormat="1" outlineLevel="1" x14ac:dyDescent="0.25">
      <c r="B174" s="273" t="str">
        <f t="shared" si="150"/>
        <v>NyAff5</v>
      </c>
      <c r="C174" s="274" t="s">
        <v>274</v>
      </c>
      <c r="D174" s="275">
        <f t="shared" ref="D174:AM174" si="153">$Q30</f>
        <v>37</v>
      </c>
      <c r="E174" s="276">
        <f t="shared" si="153"/>
        <v>37</v>
      </c>
      <c r="F174" s="276">
        <f t="shared" si="153"/>
        <v>37</v>
      </c>
      <c r="G174" s="276">
        <f t="shared" si="153"/>
        <v>37</v>
      </c>
      <c r="H174" s="276">
        <f t="shared" si="153"/>
        <v>37</v>
      </c>
      <c r="I174" s="276">
        <f t="shared" si="153"/>
        <v>37</v>
      </c>
      <c r="J174" s="276">
        <f t="shared" si="153"/>
        <v>37</v>
      </c>
      <c r="K174" s="276">
        <f t="shared" si="153"/>
        <v>37</v>
      </c>
      <c r="L174" s="276">
        <f t="shared" si="153"/>
        <v>37</v>
      </c>
      <c r="M174" s="276">
        <f t="shared" si="153"/>
        <v>37</v>
      </c>
      <c r="N174" s="276">
        <f t="shared" si="153"/>
        <v>37</v>
      </c>
      <c r="O174" s="276">
        <f t="shared" si="153"/>
        <v>37</v>
      </c>
      <c r="P174" s="275">
        <f t="shared" si="153"/>
        <v>37</v>
      </c>
      <c r="Q174" s="276">
        <f t="shared" si="153"/>
        <v>37</v>
      </c>
      <c r="R174" s="276">
        <f t="shared" si="153"/>
        <v>37</v>
      </c>
      <c r="S174" s="276">
        <f t="shared" si="153"/>
        <v>37</v>
      </c>
      <c r="T174" s="276">
        <f t="shared" si="153"/>
        <v>37</v>
      </c>
      <c r="U174" s="276">
        <f t="shared" si="153"/>
        <v>37</v>
      </c>
      <c r="V174" s="276">
        <f t="shared" si="153"/>
        <v>37</v>
      </c>
      <c r="W174" s="276">
        <f t="shared" si="153"/>
        <v>37</v>
      </c>
      <c r="X174" s="276">
        <f t="shared" si="153"/>
        <v>37</v>
      </c>
      <c r="Y174" s="276">
        <f t="shared" si="153"/>
        <v>37</v>
      </c>
      <c r="Z174" s="276">
        <f t="shared" si="153"/>
        <v>37</v>
      </c>
      <c r="AA174" s="276">
        <f t="shared" si="153"/>
        <v>37</v>
      </c>
      <c r="AB174" s="275">
        <f t="shared" si="153"/>
        <v>37</v>
      </c>
      <c r="AC174" s="276">
        <f t="shared" si="153"/>
        <v>37</v>
      </c>
      <c r="AD174" s="276">
        <f t="shared" si="153"/>
        <v>37</v>
      </c>
      <c r="AE174" s="276">
        <f t="shared" si="153"/>
        <v>37</v>
      </c>
      <c r="AF174" s="276">
        <f t="shared" si="153"/>
        <v>37</v>
      </c>
      <c r="AG174" s="276">
        <f t="shared" si="153"/>
        <v>37</v>
      </c>
      <c r="AH174" s="276">
        <f t="shared" si="153"/>
        <v>37</v>
      </c>
      <c r="AI174" s="276">
        <f t="shared" si="153"/>
        <v>37</v>
      </c>
      <c r="AJ174" s="276">
        <f t="shared" si="153"/>
        <v>37</v>
      </c>
      <c r="AK174" s="276">
        <f t="shared" si="153"/>
        <v>37</v>
      </c>
      <c r="AL174" s="276">
        <f t="shared" si="153"/>
        <v>37</v>
      </c>
      <c r="AM174" s="276">
        <f t="shared" si="153"/>
        <v>37</v>
      </c>
    </row>
    <row r="175" spans="1:39" s="43" customFormat="1" ht="15.75" x14ac:dyDescent="0.25">
      <c r="A175" s="40"/>
      <c r="B175" s="39"/>
      <c r="C175" s="39"/>
      <c r="D175" s="41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1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1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</row>
  </sheetData>
  <mergeCells count="3">
    <mergeCell ref="R2:T2"/>
    <mergeCell ref="M2:N2"/>
    <mergeCell ref="K2:L2"/>
  </mergeCells>
  <phoneticPr fontId="17" type="noConversion"/>
  <conditionalFormatting sqref="Q5:Q30 Q32:Q33 R5:R33 M5:N31 K5:L30">
    <cfRule type="cellIs" dxfId="19" priority="24" operator="equal">
      <formula>0</formula>
    </cfRule>
  </conditionalFormatting>
  <conditionalFormatting sqref="D32:G33 D5:G30">
    <cfRule type="cellIs" dxfId="18" priority="23" operator="equal">
      <formula>0</formula>
    </cfRule>
  </conditionalFormatting>
  <conditionalFormatting sqref="D37:AM37">
    <cfRule type="cellIs" dxfId="17" priority="15" operator="greaterThan">
      <formula>0</formula>
    </cfRule>
  </conditionalFormatting>
  <conditionalFormatting sqref="G31">
    <cfRule type="expression" dxfId="16" priority="9">
      <formula>$G31&lt;&gt;0</formula>
    </cfRule>
  </conditionalFormatting>
  <conditionalFormatting sqref="O5:O33">
    <cfRule type="cellIs" dxfId="15" priority="3" operator="lessThan">
      <formula>0</formula>
    </cfRule>
  </conditionalFormatting>
  <conditionalFormatting sqref="H31">
    <cfRule type="cellIs" dxfId="14" priority="13" operator="notEqual">
      <formula>0</formula>
    </cfRule>
  </conditionalFormatting>
  <conditionalFormatting sqref="Q31 K31:L31">
    <cfRule type="cellIs" dxfId="13" priority="12" operator="equal">
      <formula>0</formula>
    </cfRule>
  </conditionalFormatting>
  <conditionalFormatting sqref="D31:G31">
    <cfRule type="cellIs" dxfId="12" priority="11" operator="equal">
      <formula>0</formula>
    </cfRule>
  </conditionalFormatting>
  <conditionalFormatting sqref="J5:J30">
    <cfRule type="cellIs" dxfId="11" priority="8" operator="equal">
      <formula>0</formula>
    </cfRule>
  </conditionalFormatting>
  <conditionalFormatting sqref="J31">
    <cfRule type="cellIs" dxfId="10" priority="7" operator="equal">
      <formula>0</formula>
    </cfRule>
  </conditionalFormatting>
  <conditionalFormatting sqref="I5:I30">
    <cfRule type="cellIs" dxfId="9" priority="6" operator="equal">
      <formula>0</formula>
    </cfRule>
  </conditionalFormatting>
  <conditionalFormatting sqref="I31">
    <cfRule type="cellIs" dxfId="8" priority="5" operator="equal">
      <formula>0</formula>
    </cfRule>
  </conditionalFormatting>
  <conditionalFormatting sqref="I5:J30">
    <cfRule type="cellIs" dxfId="7" priority="4" operator="equal">
      <formula>0</formula>
    </cfRule>
  </conditionalFormatting>
  <conditionalFormatting sqref="B5:T33">
    <cfRule type="expression" dxfId="6" priority="25">
      <formula>$D5&lt;&gt;0</formula>
    </cfRule>
  </conditionalFormatting>
  <conditionalFormatting sqref="M5:N30">
    <cfRule type="cellIs" dxfId="5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143</v>
      </c>
      <c r="C1" s="45">
        <v>44521.465421678244</v>
      </c>
      <c r="D1" s="46"/>
      <c r="E1" s="46"/>
    </row>
    <row r="3" spans="1:17" x14ac:dyDescent="0.25">
      <c r="A3" s="26" t="s">
        <v>144</v>
      </c>
    </row>
    <row r="4" spans="1:17" x14ac:dyDescent="0.25">
      <c r="A4" s="47">
        <v>-57700178.241019867</v>
      </c>
      <c r="B4" t="s">
        <v>122</v>
      </c>
    </row>
    <row r="6" spans="1:17" ht="18.75" x14ac:dyDescent="0.3">
      <c r="A6" s="114" t="s">
        <v>201</v>
      </c>
      <c r="B6" s="115" t="s">
        <v>70</v>
      </c>
      <c r="C6" s="114"/>
      <c r="D6" s="114" t="s">
        <v>2</v>
      </c>
      <c r="E6" s="114" t="s">
        <v>3</v>
      </c>
      <c r="F6" s="115" t="s">
        <v>4</v>
      </c>
      <c r="G6" s="118" t="s">
        <v>5</v>
      </c>
      <c r="H6" s="118" t="s">
        <v>6</v>
      </c>
      <c r="I6" s="118" t="s">
        <v>7</v>
      </c>
      <c r="J6" s="118" t="s">
        <v>8</v>
      </c>
      <c r="K6" s="118" t="s">
        <v>9</v>
      </c>
      <c r="L6" s="118" t="s">
        <v>10</v>
      </c>
      <c r="M6" s="118" t="s">
        <v>11</v>
      </c>
      <c r="N6" s="118" t="s">
        <v>12</v>
      </c>
      <c r="O6" s="118" t="s">
        <v>13</v>
      </c>
      <c r="P6" s="50"/>
    </row>
    <row r="7" spans="1:17" outlineLevel="1" x14ac:dyDescent="0.25">
      <c r="A7" s="51">
        <f>(SUM(A9:A10)-A8)/A12</f>
        <v>240.41740933758268</v>
      </c>
      <c r="B7" s="51" t="s">
        <v>59</v>
      </c>
      <c r="C7" s="52" t="s">
        <v>123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122</v>
      </c>
      <c r="C8" s="52" t="s">
        <v>124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122</v>
      </c>
      <c r="C9" s="52" t="s">
        <v>125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122</v>
      </c>
      <c r="C10" s="52" t="s">
        <v>126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69</v>
      </c>
      <c r="C11" s="52" t="s">
        <v>127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63</v>
      </c>
      <c r="C12" s="52" t="s">
        <v>128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63</v>
      </c>
      <c r="C13" s="52" t="s">
        <v>129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63</v>
      </c>
      <c r="C14" s="52" t="s">
        <v>130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131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122</v>
      </c>
      <c r="C16" s="52" t="s">
        <v>132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63</v>
      </c>
      <c r="C17" s="52" t="s">
        <v>133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196</v>
      </c>
      <c r="B19" s="48" t="s">
        <v>70</v>
      </c>
      <c r="C19" s="49" t="s">
        <v>202</v>
      </c>
      <c r="D19" s="58" t="s">
        <v>2</v>
      </c>
      <c r="E19" s="58" t="s">
        <v>3</v>
      </c>
      <c r="F19" s="58" t="s">
        <v>4</v>
      </c>
      <c r="G19" s="58" t="s">
        <v>5</v>
      </c>
      <c r="H19" s="58" t="s">
        <v>6</v>
      </c>
      <c r="I19" s="58" t="s">
        <v>7</v>
      </c>
      <c r="J19" s="58" t="s">
        <v>8</v>
      </c>
      <c r="K19" s="58" t="s">
        <v>9</v>
      </c>
      <c r="L19" s="58" t="s">
        <v>10</v>
      </c>
      <c r="M19" s="58" t="s">
        <v>11</v>
      </c>
      <c r="N19" s="58" t="s">
        <v>12</v>
      </c>
      <c r="O19" s="58" t="s">
        <v>13</v>
      </c>
      <c r="P19" s="50"/>
    </row>
    <row r="20" spans="1:16" x14ac:dyDescent="0.25">
      <c r="A20" s="59">
        <f t="shared" si="0"/>
        <v>57424.012416524813</v>
      </c>
      <c r="B20" s="31" t="s">
        <v>63</v>
      </c>
      <c r="C20" s="52" t="s">
        <v>134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63</v>
      </c>
      <c r="C21" s="52" t="s">
        <v>135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63</v>
      </c>
      <c r="C22" s="52" t="s">
        <v>136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63</v>
      </c>
      <c r="C23" s="52" t="s">
        <v>137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63</v>
      </c>
      <c r="C24" s="52" t="s">
        <v>138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63</v>
      </c>
      <c r="C25" s="52" t="s">
        <v>139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203</v>
      </c>
      <c r="B27" s="48" t="s">
        <v>70</v>
      </c>
      <c r="C27" s="49"/>
      <c r="D27" s="58" t="s">
        <v>2</v>
      </c>
      <c r="E27" s="58" t="s">
        <v>3</v>
      </c>
      <c r="F27" s="58" t="s">
        <v>4</v>
      </c>
      <c r="G27" s="58" t="s">
        <v>5</v>
      </c>
      <c r="H27" s="58" t="s">
        <v>6</v>
      </c>
      <c r="I27" s="58" t="s">
        <v>7</v>
      </c>
      <c r="J27" s="58" t="s">
        <v>8</v>
      </c>
      <c r="K27" s="58" t="s">
        <v>9</v>
      </c>
      <c r="L27" s="58" t="s">
        <v>10</v>
      </c>
      <c r="M27" s="58" t="s">
        <v>11</v>
      </c>
      <c r="N27" s="58" t="s">
        <v>12</v>
      </c>
      <c r="O27" s="58" t="s">
        <v>13</v>
      </c>
    </row>
    <row r="28" spans="1:16" x14ac:dyDescent="0.25">
      <c r="A28" s="60">
        <f t="shared" si="0"/>
        <v>9093</v>
      </c>
      <c r="B28" s="61" t="s">
        <v>69</v>
      </c>
      <c r="C28" s="62" t="s">
        <v>15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69</v>
      </c>
      <c r="C29" s="62" t="s">
        <v>17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69</v>
      </c>
      <c r="C30" s="62" t="s">
        <v>19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69</v>
      </c>
      <c r="C31" s="62" t="s">
        <v>21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69</v>
      </c>
      <c r="C32" s="62" t="s">
        <v>23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69</v>
      </c>
      <c r="C33" s="62" t="s">
        <v>25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69</v>
      </c>
      <c r="C34" s="62" t="s">
        <v>27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69</v>
      </c>
      <c r="C35" s="62" t="s">
        <v>29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69</v>
      </c>
      <c r="C36" s="62" t="s">
        <v>31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69</v>
      </c>
      <c r="C37" s="62" t="s">
        <v>33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69</v>
      </c>
      <c r="C38" s="62" t="s">
        <v>35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69</v>
      </c>
      <c r="C39" s="62" t="s">
        <v>37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69</v>
      </c>
      <c r="C40" s="62" t="s">
        <v>39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69</v>
      </c>
      <c r="C41" s="62" t="s">
        <v>41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69</v>
      </c>
      <c r="C42" s="62" t="s">
        <v>43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69</v>
      </c>
      <c r="C43" s="62" t="s">
        <v>45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69</v>
      </c>
      <c r="C44" s="62" t="s">
        <v>47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69</v>
      </c>
      <c r="C45" s="62" t="s">
        <v>72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69</v>
      </c>
      <c r="C46" s="62" t="s">
        <v>51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69</v>
      </c>
      <c r="C47" s="62" t="s">
        <v>53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69</v>
      </c>
      <c r="C48" s="62" t="s">
        <v>56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69</v>
      </c>
      <c r="C49" s="62" t="s">
        <v>88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69</v>
      </c>
      <c r="C50" s="62" t="s">
        <v>90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69</v>
      </c>
      <c r="C51" s="62" t="s">
        <v>105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69</v>
      </c>
      <c r="C52" s="62" t="s">
        <v>107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69</v>
      </c>
      <c r="C53" s="62" t="s">
        <v>109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69</v>
      </c>
      <c r="C54" s="62" t="s">
        <v>49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69</v>
      </c>
      <c r="C55" s="62" t="s">
        <v>68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69</v>
      </c>
      <c r="C56" s="62" t="s">
        <v>79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69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140</v>
      </c>
      <c r="B59" s="48"/>
      <c r="C59" s="49" t="s">
        <v>141</v>
      </c>
      <c r="D59" s="58" t="s">
        <v>2</v>
      </c>
      <c r="E59" s="58" t="s">
        <v>3</v>
      </c>
      <c r="F59" s="58" t="s">
        <v>4</v>
      </c>
      <c r="G59" s="58" t="s">
        <v>5</v>
      </c>
      <c r="H59" s="58" t="s">
        <v>6</v>
      </c>
      <c r="I59" s="58" t="s">
        <v>7</v>
      </c>
      <c r="J59" s="58" t="s">
        <v>8</v>
      </c>
      <c r="K59" s="58" t="s">
        <v>9</v>
      </c>
      <c r="L59" s="58" t="s">
        <v>10</v>
      </c>
      <c r="M59" s="58" t="s">
        <v>11</v>
      </c>
      <c r="N59" s="58" t="s">
        <v>12</v>
      </c>
      <c r="O59" s="58" t="s">
        <v>13</v>
      </c>
      <c r="P59" s="50"/>
    </row>
    <row r="60" spans="1:16" x14ac:dyDescent="0.25">
      <c r="A60" s="64">
        <f t="shared" ref="A60:A85" si="2">SUM(D60:O60)</f>
        <v>4773825</v>
      </c>
      <c r="B60" s="65" t="s">
        <v>122</v>
      </c>
      <c r="C60" s="62" t="s">
        <v>15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122</v>
      </c>
      <c r="C61" s="62" t="s">
        <v>17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122</v>
      </c>
      <c r="C62" s="62" t="s">
        <v>19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122</v>
      </c>
      <c r="C63" s="62" t="s">
        <v>21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122</v>
      </c>
      <c r="C64" s="62" t="s">
        <v>23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122</v>
      </c>
      <c r="C65" s="62" t="s">
        <v>25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122</v>
      </c>
      <c r="C66" s="62" t="s">
        <v>27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122</v>
      </c>
      <c r="C67" s="62" t="s">
        <v>29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122</v>
      </c>
      <c r="C68" s="62" t="s">
        <v>31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122</v>
      </c>
      <c r="C69" s="62" t="s">
        <v>33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122</v>
      </c>
      <c r="C70" s="62" t="s">
        <v>35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122</v>
      </c>
      <c r="C71" s="62" t="s">
        <v>37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122</v>
      </c>
      <c r="C72" s="62" t="s">
        <v>39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122</v>
      </c>
      <c r="C73" s="62" t="s">
        <v>41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122</v>
      </c>
      <c r="C74" s="62" t="s">
        <v>43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122</v>
      </c>
      <c r="C75" s="62" t="s">
        <v>45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122</v>
      </c>
      <c r="C76" s="62" t="s">
        <v>47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122</v>
      </c>
      <c r="C77" s="62" t="s">
        <v>72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122</v>
      </c>
      <c r="C78" s="62" t="s">
        <v>51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122</v>
      </c>
      <c r="C79" s="62" t="s">
        <v>53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122</v>
      </c>
      <c r="C80" s="62" t="s">
        <v>56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122</v>
      </c>
      <c r="C81" s="62" t="s">
        <v>88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122</v>
      </c>
      <c r="C82" s="62" t="s">
        <v>90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122</v>
      </c>
      <c r="C83" s="62" t="s">
        <v>49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122</v>
      </c>
      <c r="C84" s="62" t="s">
        <v>68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122</v>
      </c>
      <c r="C85" s="62" t="s">
        <v>79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142</v>
      </c>
      <c r="D87" s="58" t="s">
        <v>2</v>
      </c>
      <c r="E87" s="58" t="s">
        <v>3</v>
      </c>
      <c r="F87" s="58" t="s">
        <v>4</v>
      </c>
      <c r="G87" s="58" t="s">
        <v>5</v>
      </c>
      <c r="H87" s="58" t="s">
        <v>6</v>
      </c>
      <c r="I87" s="58" t="s">
        <v>7</v>
      </c>
      <c r="J87" s="58" t="s">
        <v>8</v>
      </c>
      <c r="K87" s="58" t="s">
        <v>9</v>
      </c>
      <c r="L87" s="58" t="s">
        <v>10</v>
      </c>
      <c r="M87" s="58" t="s">
        <v>11</v>
      </c>
      <c r="N87" s="58" t="s">
        <v>12</v>
      </c>
      <c r="O87" s="58" t="s">
        <v>13</v>
      </c>
      <c r="P87" s="50"/>
    </row>
    <row r="88" spans="1:16" x14ac:dyDescent="0.25">
      <c r="C88" s="52" t="s">
        <v>134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135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136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137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138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139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4" priority="10" operator="lessThan">
      <formula>0.0000000000012</formula>
    </cfRule>
  </conditionalFormatting>
  <conditionalFormatting sqref="D88:O93">
    <cfRule type="cellIs" dxfId="3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2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1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ModelParms</vt:lpstr>
      <vt:lpstr>Styring</vt:lpstr>
      <vt:lpstr>DataU</vt:lpstr>
      <vt:lpstr>DataFuel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2021-12-21T12:07:37Z</dcterms:modified>
</cp:coreProperties>
</file>