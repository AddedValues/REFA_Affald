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32046FD-4C0E-4231-90AF-61D818F97392}" xr6:coauthVersionLast="47" xr6:coauthVersionMax="47" xr10:uidLastSave="{00000000-0000-0000-0000-000000000000}"/>
  <bookViews>
    <workbookView xWindow="1530" yWindow="39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6" l="1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D3" i="4" s="1"/>
  <c r="A21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26" i="4"/>
  <c r="A119" i="4"/>
  <c r="A120" i="4"/>
  <c r="A121" i="4"/>
  <c r="A122" i="4"/>
  <c r="A123" i="4"/>
  <c r="A124" i="4"/>
  <c r="A118" i="4"/>
  <c r="A20" i="4"/>
  <c r="A103" i="4"/>
  <c r="A104" i="4"/>
  <c r="A105" i="4"/>
  <c r="A22" i="4"/>
  <c r="A23" i="4"/>
  <c r="A24" i="4"/>
  <c r="A25" i="4"/>
  <c r="A26" i="4"/>
  <c r="A28" i="4"/>
  <c r="A29" i="4"/>
  <c r="A30" i="4"/>
  <c r="A31" i="4"/>
  <c r="A32" i="4"/>
  <c r="A33" i="4"/>
  <c r="A34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68" i="4"/>
  <c r="A69" i="4"/>
  <c r="A70" i="4"/>
  <c r="A94" i="4" l="1"/>
  <c r="A95" i="4"/>
  <c r="A96" i="4"/>
  <c r="A60" i="4"/>
  <c r="A61" i="4"/>
  <c r="A62" i="4"/>
  <c r="A63" i="4"/>
  <c r="A64" i="4"/>
  <c r="A65" i="4"/>
  <c r="A102" i="4"/>
  <c r="A101" i="4"/>
  <c r="A100" i="4"/>
  <c r="A99" i="4"/>
  <c r="A98" i="4"/>
  <c r="A97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59" i="4"/>
  <c r="A66" i="4"/>
  <c r="A67" i="4"/>
  <c r="A71" i="4"/>
  <c r="A72" i="4"/>
  <c r="A73" i="4"/>
  <c r="A37" i="4"/>
  <c r="A38" i="4"/>
  <c r="A39" i="4"/>
  <c r="A40" i="4"/>
  <c r="A41" i="4"/>
  <c r="A42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2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<sst xmlns="http://schemas.openxmlformats.org/spreadsheetml/2006/main" count="845" uniqueCount="215">
  <si>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</si>
  <si>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</si>
  <si>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</si>
  <si>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</si>
  <si>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</si>
  <si>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</si>
  <si>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</si>
  <si>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</si>
  <si>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</si>
  <si>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</si>
  <si>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</si>
  <si>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</si>
  <si>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</si>
  <si>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</si>
  <si>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</si>
  <si>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</si>
  <si>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</si>
  <si>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</si>
  <si>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</si>
  <si>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</si>
  <si>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</si>
  <si>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</si>
  <si>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</si>
  <si>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</si>
  <si>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DataFuel</t>
  </si>
  <si>
    <t>kapNom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</si>
  <si>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</si>
  <si>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</si>
  <si>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</si>
  <si>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</si>
  <si>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</si>
  <si>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</si>
  <si>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</si>
  <si>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</si>
  <si>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</si>
  <si>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</si>
  <si>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</si>
  <si>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</si>
  <si>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</si>
  <si>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</si>
  <si>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</si>
  <si>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</si>
  <si>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</si>
  <si>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</si>
  <si>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</si>
  <si>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</si>
  <si>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</si>
  <si>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</si>
  <si>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</si>
  <si>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</si>
  <si>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</si>
  <si>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</si>
  <si>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</si>
  <si>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</si>
  <si>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</si>
  <si>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</si>
  <si>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</si>
  <si>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</si>
  <si>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</si>
  <si>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</si>
  <si>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</si>
  <si>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</si>
  <si>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</si>
  <si>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</si>
  <si>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</si>
  <si>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</si>
  <si>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</si>
  <si>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</si>
  <si>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</si>
  <si>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</si>
  <si>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</si>
  <si>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</si>
  <si>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</si>
  <si>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</si>
  <si>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kapMax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</si>
  <si>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</si>
  <si>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</si>
  <si>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</si>
  <si>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</si>
  <si>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</si>
  <si>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</si>
  <si>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</si>
  <si>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</si>
  <si>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</si>
  <si>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</si>
  <si>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</si>
  <si>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</si>
  <si>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</si>
  <si>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</si>
  <si>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</si>
  <si>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</si>
  <si>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</si>
  <si>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</si>
  <si>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</si>
  <si>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</si>
  <si>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</si>
  <si>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</si>
  <si>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</si>
  <si>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</si>
  <si>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</si>
  <si>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</si>
  <si>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</si>
  <si>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</si>
  <si>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</si>
  <si>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</si>
  <si>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</si>
  <si>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</si>
  <si>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</si>
  <si>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</si>
  <si>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</si>
  <si>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</si>
  <si>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</si>
  <si>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</si>
  <si>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</si>
  <si>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</si>
  <si>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</si>
  <si>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</si>
  <si>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</si>
  <si>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</si>
  <si>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</si>
  <si>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</si>
  <si>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</si>
  <si>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</si>
  <si>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</si>
  <si>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</si>
  <si>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</si>
  <si>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</si>
  <si>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</si>
  <si>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</si>
  <si>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</si>
  <si>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</si>
  <si>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</si>
  <si>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</si>
  <si>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</si>
  <si>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</si>
  <si>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</si>
  <si>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</si>
  <si>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</si>
  <si>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</si>
  <si>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</si>
  <si>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</si>
  <si>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</si>
  <si>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</si>
  <si>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</si>
  <si>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</si>
  <si>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</si>
  <si>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</si>
  <si>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</si>
  <si>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</si>
  <si>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</si>
  <si>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</si>
  <si>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</si>
  <si>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</si>
  <si>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</si>
  <si>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</si>
  <si>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</si>
  <si>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</si>
  <si>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</si>
  <si>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</si>
  <si>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</si>
  <si>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</si>
  <si>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</si>
  <si>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</si>
  <si>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</si>
  <si>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</si>
  <si>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</si>
  <si>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</si>
  <si>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</si>
  <si>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</si>
  <si>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</si>
  <si>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mo1</t>
  </si>
  <si>
    <t>NOxKgTon</t>
  </si>
  <si>
    <t>Brændselsindkomst</t>
  </si>
  <si>
    <t>DVMWhq</t>
  </si>
  <si>
    <t>DVtime</t>
  </si>
  <si>
    <t>CO2kgGJ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</si>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</sst>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0.0\ %"/>
    <numFmt numFmtId="177" formatCode="_-#,##0\ ;\-#,##0\ ;_-* &quot;-&quot;??\ _k_r_._-;_-@_-"/>
    <numFmt numFmtId="178" formatCode="&quot;Max = &quot;_-#,##0\ ;\-#,##0\ ;_-* &quot;-&quot;??\ _k_r_._-;_-@_-"/>
    <numFmt numFmtId="179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7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176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7" fontId="0" fillId="0" borderId="1" xfId="1" quotePrefix="1" applyNumberFormat="1" applyFont="1" applyBorder="1"/>
    <xf numFmtId="177" fontId="0" fillId="0" borderId="1" xfId="1" applyNumberFormat="1" applyFont="1" applyBorder="1"/>
    <xf numFmtId="177" fontId="0" fillId="0" borderId="21" xfId="1" quotePrefix="1" applyNumberFormat="1" applyFont="1" applyBorder="1"/>
    <xf numFmtId="177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8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9" fontId="0" fillId="0" borderId="0" xfId="2" applyNumberFormat="1" applyFont="1" applyBorder="1"/>
    <xf numFmtId="179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4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4101.2813209454198</c:v>
                </c:pt>
                <c:pt idx="4">
                  <c:v>3504.4120992592593</c:v>
                </c:pt>
                <c:pt idx="5">
                  <c:v>3388.01500425926</c:v>
                </c:pt>
                <c:pt idx="6">
                  <c:v>1114.08</c:v>
                </c:pt>
                <c:pt idx="7">
                  <c:v>1114.08</c:v>
                </c:pt>
                <c:pt idx="8">
                  <c:v>3388.0191851851855</c:v>
                </c:pt>
                <c:pt idx="9">
                  <c:v>4242.1375174366476</c:v>
                </c:pt>
                <c:pt idx="10">
                  <c:v>5899.2095977865747</c:v>
                </c:pt>
                <c:pt idx="11">
                  <c:v>4242.1375174366476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Overblik!$C$38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11917.937193317972</c:v>
                </c:pt>
                <c:pt idx="1">
                  <c:v>12579.533401848777</c:v>
                </c:pt>
                <c:pt idx="2">
                  <c:v>11917.937193317972</c:v>
                </c:pt>
                <c:pt idx="3">
                  <c:v>15477.387662078681</c:v>
                </c:pt>
                <c:pt idx="4">
                  <c:v>13698.969949088008</c:v>
                </c:pt>
                <c:pt idx="5">
                  <c:v>13681.018886525288</c:v>
                </c:pt>
                <c:pt idx="6">
                  <c:v>15372.599649247311</c:v>
                </c:pt>
                <c:pt idx="7">
                  <c:v>15381.970616989247</c:v>
                </c:pt>
                <c:pt idx="8">
                  <c:v>13944.014068498607</c:v>
                </c:pt>
                <c:pt idx="9">
                  <c:v>15364.839442819426</c:v>
                </c:pt>
                <c:pt idx="10">
                  <c:v>14040.790402213424</c:v>
                </c:pt>
                <c:pt idx="11">
                  <c:v>15364.839442819426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Overblik!$C$39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421.33101697589882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93.023039743926347</c:v>
                </c:pt>
                <c:pt idx="10">
                  <c:v>7560</c:v>
                </c:pt>
                <c:pt idx="11">
                  <c:v>7793.0230397439263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Overblik!$C$40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Overblik!$C$41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-4203.3820483472682</c:v>
                </c:pt>
                <c:pt idx="5">
                  <c:v>-9569.0338907845471</c:v>
                </c:pt>
                <c:pt idx="6">
                  <c:v>-8986.6796492473113</c:v>
                </c:pt>
                <c:pt idx="7">
                  <c:v>-9496.0506169892469</c:v>
                </c:pt>
                <c:pt idx="8">
                  <c:v>-9332.0332536837923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Overblik!$C$42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Overblik!$D$42:$AA$42</c:f>
              <c:numCache>
                <c:formatCode>_-* #,##0_-;\-#,##0_-;_-* "-"??_-;_-@_-</c:formatCode>
                <c:ptCount val="24"/>
                <c:pt idx="0">
                  <c:v>3014.0628066820282</c:v>
                </c:pt>
                <c:pt idx="1">
                  <c:v>4636.4665981512226</c:v>
                </c:pt>
                <c:pt idx="2">
                  <c:v>1214.0628066820282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Overblik!$D$36:$O$36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3060.051761235</c:v>
                </c:pt>
                <c:pt idx="1">
                  <c:v>3060.051761235</c:v>
                </c:pt>
                <c:pt idx="2">
                  <c:v>3060.051761235</c:v>
                </c:pt>
                <c:pt idx="3">
                  <c:v>3060.051761235</c:v>
                </c:pt>
                <c:pt idx="4">
                  <c:v>3057.5675551499994</c:v>
                </c:pt>
                <c:pt idx="5">
                  <c:v>3060.051761235</c:v>
                </c:pt>
                <c:pt idx="6">
                  <c:v>3060.0369149850003</c:v>
                </c:pt>
                <c:pt idx="7">
                  <c:v>3060.0369149850003</c:v>
                </c:pt>
                <c:pt idx="8">
                  <c:v>3059.8232249999996</c:v>
                </c:pt>
                <c:pt idx="9">
                  <c:v>3060.051761235</c:v>
                </c:pt>
                <c:pt idx="10">
                  <c:v>3060.051761235</c:v>
                </c:pt>
                <c:pt idx="11">
                  <c:v>3060.051761235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Overblik!$C$45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757.75</c:v>
                </c:pt>
                <c:pt idx="1">
                  <c:v>757.75</c:v>
                </c:pt>
                <c:pt idx="2">
                  <c:v>757.75</c:v>
                </c:pt>
                <c:pt idx="3">
                  <c:v>757.75</c:v>
                </c:pt>
                <c:pt idx="4">
                  <c:v>757.75</c:v>
                </c:pt>
                <c:pt idx="5">
                  <c:v>757.75</c:v>
                </c:pt>
                <c:pt idx="6">
                  <c:v>757.75</c:v>
                </c:pt>
                <c:pt idx="7">
                  <c:v>757.75</c:v>
                </c:pt>
                <c:pt idx="8">
                  <c:v>757.75</c:v>
                </c:pt>
                <c:pt idx="9">
                  <c:v>757.75</c:v>
                </c:pt>
                <c:pt idx="10">
                  <c:v>757.75</c:v>
                </c:pt>
                <c:pt idx="11">
                  <c:v>757.75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Overblik!$C$46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Overblik!$C$47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2403.3442500000019</c:v>
                </c:pt>
                <c:pt idx="5">
                  <c:v>2405.9905749999998</c:v>
                </c:pt>
                <c:pt idx="6">
                  <c:v>2405.9905749999998</c:v>
                </c:pt>
                <c:pt idx="7">
                  <c:v>2405.9905749999998</c:v>
                </c:pt>
                <c:pt idx="8">
                  <c:v>2405.75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291.66666666666669</c:v>
                </c:pt>
                <c:pt idx="1">
                  <c:v>291.6666666666668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433.37666666666667</c:v>
                </c:pt>
                <c:pt idx="1">
                  <c:v>433.37666666666667</c:v>
                </c:pt>
                <c:pt idx="2">
                  <c:v>433.37666666666667</c:v>
                </c:pt>
                <c:pt idx="3">
                  <c:v>433.37666666666667</c:v>
                </c:pt>
                <c:pt idx="4">
                  <c:v>432.98666666666685</c:v>
                </c:pt>
                <c:pt idx="5">
                  <c:v>433.37666666666667</c:v>
                </c:pt>
                <c:pt idx="6">
                  <c:v>433.33333333333331</c:v>
                </c:pt>
                <c:pt idx="7">
                  <c:v>433.33333333333331</c:v>
                </c:pt>
                <c:pt idx="8">
                  <c:v>433.33333333333331</c:v>
                </c:pt>
                <c:pt idx="9">
                  <c:v>433.37666666666667</c:v>
                </c:pt>
                <c:pt idx="10">
                  <c:v>433.37666666666667</c:v>
                </c:pt>
                <c:pt idx="11">
                  <c:v>433.37666666666667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41.666666666666664</c:v>
                </c:pt>
                <c:pt idx="1">
                  <c:v>41.666666666666622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Overblik!$C$57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Overblik!$C$58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Overblik!$C$59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3333.666666666667</c:v>
                </c:pt>
                <c:pt idx="4">
                  <c:v>3329.9999999999959</c:v>
                </c:pt>
                <c:pt idx="5">
                  <c:v>3333.666666666667</c:v>
                </c:pt>
                <c:pt idx="6">
                  <c:v>3333.666666666667</c:v>
                </c:pt>
                <c:pt idx="7">
                  <c:v>3333.666666666667</c:v>
                </c:pt>
                <c:pt idx="8">
                  <c:v>3333.3333333333335</c:v>
                </c:pt>
                <c:pt idx="9">
                  <c:v>3333.666666666667</c:v>
                </c:pt>
                <c:pt idx="10">
                  <c:v>3333.666666666667</c:v>
                </c:pt>
                <c:pt idx="11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Overblik!$C$60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166.66666666666666</c:v>
                </c:pt>
                <c:pt idx="1">
                  <c:v>166.66666666666649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Overblik!$C$61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Overblik!$C$62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Overblik!$C$63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Overblik!$C$64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10.000999999999999</c:v>
                </c:pt>
                <c:pt idx="1">
                  <c:v>10.000999999999999</c:v>
                </c:pt>
                <c:pt idx="2">
                  <c:v>10.000999999999999</c:v>
                </c:pt>
                <c:pt idx="3">
                  <c:v>10.000999999999999</c:v>
                </c:pt>
                <c:pt idx="4">
                  <c:v>9.9899999999999878</c:v>
                </c:pt>
                <c:pt idx="5">
                  <c:v>10.000999999999999</c:v>
                </c:pt>
                <c:pt idx="6">
                  <c:v>10.000999999999999</c:v>
                </c:pt>
                <c:pt idx="7">
                  <c:v>10.000999999999999</c:v>
                </c:pt>
                <c:pt idx="8">
                  <c:v>10</c:v>
                </c:pt>
                <c:pt idx="9">
                  <c:v>10.000999999999999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12.501250000000001</c:v>
                </c:pt>
                <c:pt idx="1">
                  <c:v>12.501250000000001</c:v>
                </c:pt>
                <c:pt idx="2">
                  <c:v>12.501250000000001</c:v>
                </c:pt>
                <c:pt idx="3">
                  <c:v>12.501250000000001</c:v>
                </c:pt>
                <c:pt idx="4">
                  <c:v>12.490000000000009</c:v>
                </c:pt>
                <c:pt idx="5">
                  <c:v>12.501250000000001</c:v>
                </c:pt>
                <c:pt idx="6">
                  <c:v>12.5</c:v>
                </c:pt>
                <c:pt idx="7">
                  <c:v>12.5</c:v>
                </c:pt>
                <c:pt idx="8">
                  <c:v>12.5</c:v>
                </c:pt>
                <c:pt idx="9">
                  <c:v>12.501250000000001</c:v>
                </c:pt>
                <c:pt idx="10">
                  <c:v>12.501250000000001</c:v>
                </c:pt>
                <c:pt idx="11">
                  <c:v>12.501250000000001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Overblik!$C$66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Overblik!$C$67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Overblik!$C$68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Overblik!$C$69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Overblik!$C$70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189.83625295534864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41.912758833308487</c:v>
                </c:pt>
                <c:pt idx="10">
                  <c:v>3406.257822277847</c:v>
                </c:pt>
                <c:pt idx="11">
                  <c:v>3511.2494296718564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246.60513872852957</c:v>
                </c:pt>
                <c:pt idx="1">
                  <c:v>379.34726712146369</c:v>
                </c:pt>
                <c:pt idx="2">
                  <c:v>99.332411455802301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Overblik!$C$109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0.49532383103205552</c:v>
                </c:pt>
                <c:pt idx="4">
                  <c:v>0.40958533184423318</c:v>
                </c:pt>
                <c:pt idx="5">
                  <c:v>0.40918055606995896</c:v>
                </c:pt>
                <c:pt idx="6">
                  <c:v>0.40365217391304348</c:v>
                </c:pt>
                <c:pt idx="7">
                  <c:v>0.40365217391304348</c:v>
                </c:pt>
                <c:pt idx="8">
                  <c:v>0.40918106101270357</c:v>
                </c:pt>
                <c:pt idx="9">
                  <c:v>0.4958084989991407</c:v>
                </c:pt>
                <c:pt idx="10">
                  <c:v>0.71246492726890998</c:v>
                </c:pt>
                <c:pt idx="11">
                  <c:v>0.4958084989991407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Overblik!$C$110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0.57209759952563233</c:v>
                </c:pt>
                <c:pt idx="1">
                  <c:v>0.66855513402682698</c:v>
                </c:pt>
                <c:pt idx="2">
                  <c:v>0.57209759952563233</c:v>
                </c:pt>
                <c:pt idx="3">
                  <c:v>0.76772756260310915</c:v>
                </c:pt>
                <c:pt idx="4">
                  <c:v>0.65759264348540747</c:v>
                </c:pt>
                <c:pt idx="5">
                  <c:v>0.67862196857764323</c:v>
                </c:pt>
                <c:pt idx="6">
                  <c:v>0.73793201081256299</c:v>
                </c:pt>
                <c:pt idx="7">
                  <c:v>0.73838184605363133</c:v>
                </c:pt>
                <c:pt idx="8">
                  <c:v>0.69166736450885946</c:v>
                </c:pt>
                <c:pt idx="9">
                  <c:v>0.7375594970631445</c:v>
                </c:pt>
                <c:pt idx="10">
                  <c:v>0.69646777788757064</c:v>
                </c:pt>
                <c:pt idx="11">
                  <c:v>0.7375594970631445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Overblik!$C$111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5.5731616002103017E-2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1.1907711180738139E-2</c:v>
                </c:pt>
                <c:pt idx="10">
                  <c:v>1</c:v>
                </c:pt>
                <c:pt idx="11">
                  <c:v>0.99757079361801415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0.37664713694867996</c:v>
                </c:pt>
                <c:pt idx="5">
                  <c:v>0.88602165655412468</c:v>
                </c:pt>
                <c:pt idx="6">
                  <c:v>0.80525803308667665</c:v>
                </c:pt>
                <c:pt idx="7">
                  <c:v>0.85090059292018339</c:v>
                </c:pt>
                <c:pt idx="8">
                  <c:v>0.86407715311886968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Overblik!$C$114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Overblik!$D$114:$AA$114</c:f>
              <c:numCache>
                <c:formatCode>0\ %\ </c:formatCode>
                <c:ptCount val="24"/>
                <c:pt idx="0">
                  <c:v>4.0511596864005753E-2</c:v>
                </c:pt>
                <c:pt idx="1">
                  <c:v>6.8995038662964622E-2</c:v>
                </c:pt>
                <c:pt idx="2">
                  <c:v>1.6318048476908979E-2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Overblik!$D$119:$AA$119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57</v>
      </c>
    </row>
    <row r="3" spans="2:4" x14ac:dyDescent="0.25">
      <c r="B3" s="21" t="s">
        <v>0</v>
      </c>
      <c r="C3" s="21" t="s">
        <v>33</v>
      </c>
      <c r="D3" s="21" t="s">
        <v>0</v>
      </c>
    </row>
    <row r="4" spans="2:4" x14ac:dyDescent="0.25">
      <c r="B4" s="22" t="s">
        <v>1</v>
      </c>
      <c r="C4" s="21" t="s">
        <v>34</v>
      </c>
      <c r="D4" s="22" t="s">
        <v>1</v>
      </c>
    </row>
    <row r="5" spans="2:4" x14ac:dyDescent="0.25">
      <c r="B5" s="22" t="s">
        <v>2</v>
      </c>
      <c r="C5" s="21" t="s">
        <v>35</v>
      </c>
      <c r="D5" s="22" t="s">
        <v>2</v>
      </c>
    </row>
    <row r="6" spans="2:4" x14ac:dyDescent="0.25">
      <c r="B6" s="23" t="s">
        <v>3</v>
      </c>
      <c r="C6" s="21" t="s">
        <v>36</v>
      </c>
      <c r="D6" s="23" t="s">
        <v>3</v>
      </c>
    </row>
    <row r="7" spans="2:4" x14ac:dyDescent="0.25">
      <c r="B7" s="23" t="s">
        <v>4</v>
      </c>
      <c r="C7" s="21" t="s">
        <v>37</v>
      </c>
      <c r="D7" s="23" t="s">
        <v>4</v>
      </c>
    </row>
    <row r="8" spans="2:4" x14ac:dyDescent="0.25">
      <c r="B8" s="23" t="s">
        <v>5</v>
      </c>
      <c r="C8" s="21" t="s">
        <v>38</v>
      </c>
      <c r="D8" s="23" t="s">
        <v>5</v>
      </c>
    </row>
    <row r="9" spans="2:4" x14ac:dyDescent="0.25">
      <c r="B9" s="23" t="s">
        <v>6</v>
      </c>
      <c r="C9" s="21" t="s">
        <v>39</v>
      </c>
      <c r="D9" s="23" t="s">
        <v>6</v>
      </c>
    </row>
    <row r="10" spans="2:4" x14ac:dyDescent="0.25">
      <c r="B10" s="23" t="s">
        <v>7</v>
      </c>
      <c r="C10" s="21" t="s">
        <v>40</v>
      </c>
      <c r="D10" s="23" t="s">
        <v>7</v>
      </c>
    </row>
    <row r="11" spans="2:4" x14ac:dyDescent="0.25">
      <c r="B11" s="23" t="s">
        <v>8</v>
      </c>
      <c r="C11" s="21" t="s">
        <v>41</v>
      </c>
      <c r="D11" s="23" t="s">
        <v>8</v>
      </c>
    </row>
    <row r="12" spans="2:4" x14ac:dyDescent="0.25">
      <c r="B12" s="23" t="s">
        <v>9</v>
      </c>
      <c r="C12" s="21" t="s">
        <v>42</v>
      </c>
      <c r="D12" s="23" t="s">
        <v>9</v>
      </c>
    </row>
    <row r="13" spans="2:4" x14ac:dyDescent="0.25">
      <c r="B13" s="23" t="s">
        <v>10</v>
      </c>
      <c r="C13" s="21" t="s">
        <v>43</v>
      </c>
      <c r="D13" s="23" t="s">
        <v>10</v>
      </c>
    </row>
    <row r="14" spans="2:4" x14ac:dyDescent="0.25">
      <c r="B14" s="23" t="s">
        <v>11</v>
      </c>
      <c r="C14" s="21" t="s">
        <v>44</v>
      </c>
      <c r="D14" s="23" t="s">
        <v>11</v>
      </c>
    </row>
    <row r="15" spans="2:4" x14ac:dyDescent="0.25">
      <c r="B15" s="22" t="s">
        <v>12</v>
      </c>
      <c r="C15" s="21" t="s">
        <v>45</v>
      </c>
      <c r="D15" s="22" t="s">
        <v>12</v>
      </c>
    </row>
    <row r="16" spans="2:4" x14ac:dyDescent="0.25">
      <c r="B16" s="23" t="s">
        <v>13</v>
      </c>
      <c r="C16" s="21" t="s">
        <v>46</v>
      </c>
      <c r="D16" s="23" t="s">
        <v>13</v>
      </c>
    </row>
    <row r="17" spans="2:4" x14ac:dyDescent="0.25">
      <c r="B17" s="23" t="s">
        <v>14</v>
      </c>
      <c r="C17" s="21" t="s">
        <v>47</v>
      </c>
      <c r="D17" s="23" t="s">
        <v>14</v>
      </c>
    </row>
    <row r="18" spans="2:4" x14ac:dyDescent="0.25">
      <c r="B18" s="23" t="s">
        <v>15</v>
      </c>
      <c r="C18" s="21" t="s">
        <v>48</v>
      </c>
      <c r="D18" s="23" t="s">
        <v>15</v>
      </c>
    </row>
    <row r="19" spans="2:4" x14ac:dyDescent="0.25">
      <c r="B19" s="22" t="s">
        <v>16</v>
      </c>
      <c r="C19" s="21" t="s">
        <v>49</v>
      </c>
      <c r="D19" s="22" t="s">
        <v>16</v>
      </c>
    </row>
    <row r="20" spans="2:4" x14ac:dyDescent="0.25">
      <c r="B20" s="22" t="s">
        <v>18</v>
      </c>
      <c r="C20" s="21" t="s">
        <v>50</v>
      </c>
      <c r="D20" s="22" t="s">
        <v>18</v>
      </c>
    </row>
    <row r="21" spans="2:4" x14ac:dyDescent="0.25">
      <c r="B21" s="23" t="s">
        <v>19</v>
      </c>
      <c r="C21" s="21" t="s">
        <v>51</v>
      </c>
      <c r="D21" s="23" t="s">
        <v>19</v>
      </c>
    </row>
    <row r="22" spans="2:4" x14ac:dyDescent="0.25">
      <c r="B22" s="21" t="s">
        <v>20</v>
      </c>
      <c r="C22" s="21" t="s">
        <v>52</v>
      </c>
      <c r="D22" s="21" t="s">
        <v>20</v>
      </c>
    </row>
    <row r="23" spans="2:4" x14ac:dyDescent="0.25">
      <c r="B23" s="21" t="s">
        <v>17</v>
      </c>
      <c r="C23" s="21" t="s">
        <v>53</v>
      </c>
      <c r="D23" s="21" t="s">
        <v>17</v>
      </c>
    </row>
    <row r="24" spans="2:4" x14ac:dyDescent="0.25">
      <c r="B24" s="21" t="s">
        <v>28</v>
      </c>
      <c r="C24" s="21" t="s">
        <v>54</v>
      </c>
      <c r="D24" s="21" t="s">
        <v>28</v>
      </c>
    </row>
    <row r="25" spans="2:4" x14ac:dyDescent="0.25">
      <c r="B25" s="21" t="s">
        <v>29</v>
      </c>
      <c r="C25" s="21" t="s">
        <v>55</v>
      </c>
      <c r="D25" s="21" t="s">
        <v>29</v>
      </c>
    </row>
    <row r="26" spans="2:4" s="19" customFormat="1" x14ac:dyDescent="0.25">
      <c r="B26" s="21" t="s">
        <v>62</v>
      </c>
      <c r="C26" s="21" t="s">
        <v>66</v>
      </c>
      <c r="D26" s="21" t="s">
        <v>62</v>
      </c>
    </row>
    <row r="27" spans="2:4" s="19" customFormat="1" x14ac:dyDescent="0.25">
      <c r="B27" s="21" t="s">
        <v>63</v>
      </c>
      <c r="C27" s="21" t="s">
        <v>67</v>
      </c>
      <c r="D27" s="21" t="s">
        <v>63</v>
      </c>
    </row>
    <row r="28" spans="2:4" s="19" customFormat="1" x14ac:dyDescent="0.25">
      <c r="B28" s="21" t="s">
        <v>64</v>
      </c>
      <c r="C28" s="21" t="s">
        <v>68</v>
      </c>
      <c r="D28" s="21" t="s">
        <v>64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56</v>
      </c>
      <c r="D30" s="21" t="s">
        <v>22</v>
      </c>
    </row>
    <row r="31" spans="2:4" x14ac:dyDescent="0.25">
      <c r="B31" s="21" t="s">
        <v>27</v>
      </c>
      <c r="C31" s="21" t="s">
        <v>27</v>
      </c>
      <c r="D31" s="21" t="s">
        <v>27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89"/>
  <sheetViews>
    <sheetView zoomScale="85" zoomScaleNormal="85" workbookViewId="0">
      <selection activeCell="A12" sqref="A12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9" customWidth="1" outlineLevel="1"/>
    <col min="14" max="15" width="9.140625" style="19" customWidth="1" outlineLevel="1"/>
    <col min="16" max="16" width="10.28515625" style="19" bestFit="1" customWidth="1" outlineLevel="1"/>
    <col min="17" max="17" width="9.7109375" style="26" bestFit="1" customWidth="1"/>
    <col min="18" max="18" width="7.7109375" style="26" bestFit="1" customWidth="1"/>
    <col min="19" max="19" width="4" style="26" customWidth="1"/>
    <col min="20" max="20" width="16.42578125" style="19" bestFit="1" customWidth="1"/>
    <col min="21" max="21" width="10.42578125" style="19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1"/>
      <c r="T1"/>
      <c r="U1"/>
      <c r="V1" s="19"/>
    </row>
    <row r="2" spans="2:57" s="19" customFormat="1" x14ac:dyDescent="0.25">
      <c r="B2" s="160" t="s">
        <v>165</v>
      </c>
      <c r="C2" s="118" t="s">
        <v>168</v>
      </c>
      <c r="D2" s="118" t="s">
        <v>146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Q2" s="26"/>
      <c r="R2" s="26"/>
      <c r="S2" s="26"/>
    </row>
    <row r="3" spans="2:57" s="19" customFormat="1" x14ac:dyDescent="0.25">
      <c r="B3" s="148" t="s">
        <v>155</v>
      </c>
      <c r="C3" s="155">
        <v>1E-14</v>
      </c>
      <c r="D3" s="126" t="s">
        <v>147</v>
      </c>
      <c r="E3" s="44"/>
      <c r="F3" s="44"/>
      <c r="G3" s="44"/>
      <c r="H3" s="120"/>
      <c r="I3" s="44"/>
      <c r="J3" s="44"/>
      <c r="K3" s="44"/>
      <c r="L3" s="44"/>
      <c r="M3" s="44"/>
      <c r="N3" s="44"/>
      <c r="O3" s="121"/>
      <c r="Q3" s="26"/>
      <c r="R3" s="26"/>
      <c r="S3" s="26"/>
    </row>
    <row r="4" spans="2:57" s="19" customFormat="1" x14ac:dyDescent="0.25">
      <c r="B4" s="148" t="s">
        <v>169</v>
      </c>
      <c r="C4" s="155">
        <v>1E-14</v>
      </c>
      <c r="D4" s="126" t="s">
        <v>148</v>
      </c>
      <c r="E4" s="44"/>
      <c r="F4" s="44"/>
      <c r="G4" s="44"/>
      <c r="H4" s="120"/>
      <c r="I4" s="44"/>
      <c r="J4" s="44"/>
      <c r="K4" s="44"/>
      <c r="L4" s="44"/>
      <c r="M4" s="44"/>
      <c r="N4" s="44"/>
      <c r="O4" s="121"/>
      <c r="Q4" s="26"/>
      <c r="R4" s="26"/>
      <c r="S4" s="26"/>
    </row>
    <row r="5" spans="2:57" s="19" customFormat="1" x14ac:dyDescent="0.25">
      <c r="B5" s="148" t="s">
        <v>149</v>
      </c>
      <c r="C5" s="122">
        <v>0.1</v>
      </c>
      <c r="D5" s="126" t="s">
        <v>158</v>
      </c>
      <c r="E5" s="44"/>
      <c r="F5" s="44"/>
      <c r="G5" s="44"/>
      <c r="H5" s="120"/>
      <c r="I5" s="44"/>
      <c r="J5" s="44"/>
      <c r="K5" s="44"/>
      <c r="L5" s="44"/>
      <c r="M5" s="44"/>
      <c r="N5" s="44"/>
      <c r="O5" s="121"/>
      <c r="Q5" s="26"/>
      <c r="R5" s="26"/>
      <c r="S5" s="26"/>
    </row>
    <row r="6" spans="2:57" s="19" customFormat="1" x14ac:dyDescent="0.25">
      <c r="B6" s="148" t="s">
        <v>150</v>
      </c>
      <c r="C6" s="122">
        <v>7.0000000000000007E-2</v>
      </c>
      <c r="D6" s="126" t="s">
        <v>151</v>
      </c>
      <c r="E6" s="44"/>
      <c r="F6" s="44"/>
      <c r="G6" s="44"/>
      <c r="H6" s="120"/>
      <c r="I6" s="44"/>
      <c r="J6" s="44"/>
      <c r="K6" s="44"/>
      <c r="L6" s="44"/>
      <c r="M6" s="44"/>
      <c r="N6" s="44"/>
      <c r="O6" s="121"/>
      <c r="Q6" s="26"/>
      <c r="R6" s="26"/>
      <c r="S6" s="26"/>
    </row>
    <row r="7" spans="2:57" s="19" customFormat="1" x14ac:dyDescent="0.25">
      <c r="B7" s="148" t="s">
        <v>152</v>
      </c>
      <c r="C7" s="156">
        <v>1E-14</v>
      </c>
      <c r="D7" s="126" t="s">
        <v>153</v>
      </c>
      <c r="E7" s="44"/>
      <c r="F7" s="44"/>
      <c r="G7" s="44"/>
      <c r="H7" s="120"/>
      <c r="I7" s="44"/>
      <c r="J7" s="44"/>
      <c r="K7" s="44"/>
      <c r="L7" s="44"/>
      <c r="M7" s="44"/>
      <c r="N7" s="44"/>
      <c r="O7" s="121"/>
      <c r="Q7" s="26"/>
      <c r="R7" s="26"/>
      <c r="S7" s="26"/>
    </row>
    <row r="8" spans="2:57" s="19" customFormat="1" x14ac:dyDescent="0.25">
      <c r="B8" s="148" t="s">
        <v>161</v>
      </c>
      <c r="C8" s="33">
        <v>1E-14</v>
      </c>
      <c r="D8" s="126" t="s">
        <v>154</v>
      </c>
      <c r="E8" s="44"/>
      <c r="F8" s="44"/>
      <c r="G8" s="44"/>
      <c r="H8" s="120"/>
      <c r="I8" s="44"/>
      <c r="J8" s="44"/>
      <c r="K8" s="44"/>
      <c r="L8" s="44"/>
      <c r="M8" s="44"/>
      <c r="N8" s="44"/>
      <c r="O8" s="121"/>
      <c r="Q8" s="26"/>
      <c r="R8" s="26"/>
      <c r="S8" s="26"/>
    </row>
    <row r="9" spans="2:57" s="19" customFormat="1" x14ac:dyDescent="0.25">
      <c r="B9" s="149"/>
      <c r="C9" s="125"/>
      <c r="D9" s="126"/>
      <c r="E9" s="44"/>
      <c r="F9" s="44"/>
      <c r="G9" s="44"/>
      <c r="H9" s="120"/>
      <c r="I9" s="44"/>
      <c r="J9" s="44"/>
      <c r="K9" s="44"/>
      <c r="L9" s="44"/>
      <c r="M9" s="44"/>
      <c r="N9" s="44"/>
      <c r="O9" s="121"/>
      <c r="Q9" s="26"/>
      <c r="R9" s="26"/>
      <c r="S9" s="26"/>
    </row>
    <row r="10" spans="2:57" s="19" customFormat="1" x14ac:dyDescent="0.25">
      <c r="B10" s="150"/>
      <c r="C10" s="45"/>
      <c r="D10" s="127"/>
      <c r="E10" s="46"/>
      <c r="F10" s="46"/>
      <c r="G10" s="46"/>
      <c r="H10" s="123"/>
      <c r="I10" s="46"/>
      <c r="J10" s="46"/>
      <c r="K10" s="46"/>
      <c r="L10" s="46"/>
      <c r="M10" s="46"/>
      <c r="N10" s="46"/>
      <c r="O10" s="124"/>
      <c r="Q10" s="26"/>
      <c r="R10" s="26"/>
      <c r="S10" s="26"/>
    </row>
    <row r="11" spans="2:57" s="19" customFormat="1" x14ac:dyDescent="0.25">
      <c r="H11" s="31"/>
      <c r="Q11" s="26"/>
      <c r="R11" s="26"/>
      <c r="S11" s="26"/>
    </row>
    <row r="12" spans="2:57" x14ac:dyDescent="0.25">
      <c r="T12"/>
      <c r="U12"/>
      <c r="V12" s="24" t="str">
        <f>IF(ISBLANK(V$13),"",_xlfn.LET(_xlpm.mo,MID(V$13,3,4),_xlpm.dd,DATE(YEAR(Inputs!$C$16),_xlpm.mo,1),UPPER(TEXT(_xlpm.dd,"åå'mmm"))))</f>
        <v>21'JAN</v>
      </c>
      <c r="W12" s="24" t="str">
        <f>IF(ISBLANK(W$13),"",_xlfn.LET(_xlpm.mo,MID(W$13,3,4),_xlpm.dd,DATE(YEAR(Inputs!$C$16),_xlpm.mo,1),UPPER(TEXT(_xlpm.dd,"åå'mmm"))))</f>
        <v>21'FEB</v>
      </c>
      <c r="X12" s="24" t="str">
        <f>IF(ISBLANK(X$13),"",_xlfn.LET(_xlpm.mo,MID(X$13,3,4),_xlpm.dd,DATE(YEAR(Inputs!$C$16),_xlpm.mo,1),UPPER(TEXT(_xlpm.dd,"åå'mmm"))))</f>
        <v>21'MAR</v>
      </c>
      <c r="Y12" s="24" t="str">
        <f>IF(ISBLANK(Y$13),"",_xlfn.LET(_xlpm.mo,MID(Y$13,3,4),_xlpm.dd,DATE(YEAR(Inputs!$C$16),_xlpm.mo,1),UPPER(TEXT(_xlpm.dd,"åå'mmm"))))</f>
        <v>21'APR</v>
      </c>
      <c r="Z12" s="24" t="str">
        <f>IF(ISBLANK(Z$13),"",_xlfn.LET(_xlpm.mo,MID(Z$13,3,4),_xlpm.dd,DATE(YEAR(Inputs!$C$16),_xlpm.mo,1),UPPER(TEXT(_xlpm.dd,"åå'mmm"))))</f>
        <v>21'MAJ</v>
      </c>
      <c r="AA12" s="24" t="str">
        <f>IF(ISBLANK(AA$13),"",_xlfn.LET(_xlpm.mo,MID(AA$13,3,4),_xlpm.dd,DATE(YEAR(Inputs!$C$16),_xlpm.mo,1),UPPER(TEXT(_xlpm.dd,"åå'mmm"))))</f>
        <v>21'JUN</v>
      </c>
      <c r="AB12" s="24" t="str">
        <f>IF(ISBLANK(AB$13),"",_xlfn.LET(_xlpm.mo,MID(AB$13,3,4),_xlpm.dd,DATE(YEAR(Inputs!$C$16),_xlpm.mo,1),UPPER(TEXT(_xlpm.dd,"åå'mmm"))))</f>
        <v>21'JUL</v>
      </c>
      <c r="AC12" s="24" t="str">
        <f>IF(ISBLANK(AC$13),"",_xlfn.LET(_xlpm.mo,MID(AC$13,3,4),_xlpm.dd,DATE(YEAR(Inputs!$C$16),_xlpm.mo,1),UPPER(TEXT(_xlpm.dd,"åå'mmm"))))</f>
        <v>21'AUG</v>
      </c>
      <c r="AD12" s="24" t="str">
        <f>IF(ISBLANK(AD$13),"",_xlfn.LET(_xlpm.mo,MID(AD$13,3,4),_xlpm.dd,DATE(YEAR(Inputs!$C$16),_xlpm.mo,1),UPPER(TEXT(_xlpm.dd,"åå'mmm"))))</f>
        <v>21'SEP</v>
      </c>
      <c r="AE12" s="24" t="str">
        <f>IF(ISBLANK(AE$13),"",_xlfn.LET(_xlpm.mo,MID(AE$13,3,4),_xlpm.dd,DATE(YEAR(Inputs!$C$16),_xlpm.mo,1),UPPER(TEXT(_xlpm.dd,"åå'mmm"))))</f>
        <v>21'OKT</v>
      </c>
      <c r="AF12" s="24" t="str">
        <f>IF(ISBLANK(AF$13),"",_xlfn.LET(_xlpm.mo,MID(AF$13,3,4),_xlpm.dd,DATE(YEAR(Inputs!$C$16),_xlpm.mo,1),UPPER(TEXT(_xlpm.dd,"åå'mmm"))))</f>
        <v>21'NOV</v>
      </c>
      <c r="AG12" s="24" t="str">
        <f>IF(ISBLANK(AG$13),"",_xlfn.LET(_xlpm.mo,MID(AG$13,3,4),_xlpm.dd,DATE(YEAR(Inputs!$C$16),_xlpm.mo,1),UPPER(TEXT(_xlpm.dd,"åå'mmm"))))</f>
        <v>21'DEC</v>
      </c>
      <c r="AH12" s="24" t="str">
        <f>IF(ISBLANK(AH$13),"",_xlfn.LET(_xlpm.mo,MID(AH$13,3,4),_xlpm.dd,DATE(YEAR(Inputs!$C$16),_xlpm.mo,1),UPPER(TEXT(_xlpm.dd,"åå'mmm"))))</f>
        <v/>
      </c>
      <c r="AI12" s="24" t="str">
        <f>IF(ISBLANK(AI$13),"",_xlfn.LET(_xlpm.mo,MID(AI$13,3,4),_xlpm.dd,DATE(YEAR(Inputs!$C$16),_xlpm.mo,1),UPPER(TEXT(_xlpm.dd,"åå'mmm"))))</f>
        <v/>
      </c>
      <c r="AJ12" s="24" t="str">
        <f>IF(ISBLANK(AJ$13),"",_xlfn.LET(_xlpm.mo,MID(AJ$13,3,4),_xlpm.dd,DATE(YEAR(Inputs!$C$16),_xlpm.mo,1),UPPER(TEXT(_xlpm.dd,"åå'mmm"))))</f>
        <v/>
      </c>
      <c r="AK12" s="24" t="str">
        <f>IF(ISBLANK(AK$13),"",_xlfn.LET(_xlpm.mo,MID(AK$13,3,4),_xlpm.dd,DATE(YEAR(Inputs!$C$16),_xlpm.mo,1),UPPER(TEXT(_xlpm.dd,"åå'mmm"))))</f>
        <v/>
      </c>
      <c r="AL12" s="24" t="str">
        <f>IF(ISBLANK(AL$13),"",_xlfn.LET(_xlpm.mo,MID(AL$13,3,4),_xlpm.dd,DATE(YEAR(Inputs!$C$16),_xlpm.mo,1),UPPER(TEXT(_xlpm.dd,"åå'mmm"))))</f>
        <v/>
      </c>
      <c r="AM12" s="24" t="str">
        <f>IF(ISBLANK(AM$13),"",_xlfn.LET(_xlpm.mo,MID(AM$13,3,4),_xlpm.dd,DATE(YEAR(Inputs!$C$16),_xlpm.mo,1),UPPER(TEXT(_xlpm.dd,"åå'mmm"))))</f>
        <v/>
      </c>
      <c r="AN12" s="24" t="str">
        <f>IF(ISBLANK(AN$13),"",_xlfn.LET(_xlpm.mo,MID(AN$13,3,4),_xlpm.dd,DATE(YEAR(Inputs!$C$16),_xlpm.mo,1),UPPER(TEXT(_xlpm.dd,"åå'mmm"))))</f>
        <v/>
      </c>
      <c r="AO12" s="24" t="str">
        <f>IF(ISBLANK(AO$13),"",_xlfn.LET(_xlpm.mo,MID(AO$13,3,4),_xlpm.dd,DATE(YEAR(Inputs!$C$16),_xlpm.mo,1),UPPER(TEXT(_xlpm.dd,"åå'mmm"))))</f>
        <v/>
      </c>
      <c r="AP12" s="24" t="str">
        <f>IF(ISBLANK(AP$13),"",_xlfn.LET(_xlpm.mo,MID(AP$13,3,4),_xlpm.dd,DATE(YEAR(Inputs!$C$16),_xlpm.mo,1),UPPER(TEXT(_xlpm.dd,"åå'mmm"))))</f>
        <v/>
      </c>
      <c r="AQ12" s="24" t="str">
        <f>IF(ISBLANK(AQ$13),"",_xlfn.LET(_xlpm.mo,MID(AQ$13,3,4),_xlpm.dd,DATE(YEAR(Inputs!$C$16),_xlpm.mo,1),UPPER(TEXT(_xlpm.dd,"åå'mmm"))))</f>
        <v/>
      </c>
      <c r="AR12" s="24" t="str">
        <f>IF(ISBLANK(AR$13),"",_xlfn.LET(_xlpm.mo,MID(AR$13,3,4),_xlpm.dd,DATE(YEAR(Inputs!$C$16),_xlpm.mo,1),UPPER(TEXT(_xlpm.dd,"åå'mmm"))))</f>
        <v/>
      </c>
      <c r="AS12" s="24" t="str">
        <f>IF(ISBLANK(AS$13),"",_xlfn.LET(_xlpm.mo,MID(AS$13,3,4),_xlpm.dd,DATE(YEAR(Inputs!$C$16),_xlpm.mo,1),UPPER(TEXT(_xlpm.dd,"åå'mmm"))))</f>
        <v/>
      </c>
      <c r="AT12" s="24" t="str">
        <f>IF(ISBLANK(AT$13),"",_xlfn.LET(_xlpm.mo,MID(AT$13,3,4),_xlpm.dd,DATE(YEAR(Inputs!$C$16),_xlpm.mo,1),UPPER(TEXT(_xlpm.dd,"åå'mmm"))))</f>
        <v/>
      </c>
      <c r="AU12" s="24" t="str">
        <f>IF(ISBLANK(AU$13),"",_xlfn.LET(_xlpm.mo,MID(AU$13,3,4),_xlpm.dd,DATE(YEAR(Inputs!$C$16),_xlpm.mo,1),UPPER(TEXT(_xlpm.dd,"åå'mmm"))))</f>
        <v/>
      </c>
      <c r="AV12" s="24" t="str">
        <f>IF(ISBLANK(AV$13),"",_xlfn.LET(_xlpm.mo,MID(AV$13,3,4),_xlpm.dd,DATE(YEAR(Inputs!$C$16),_xlpm.mo,1),UPPER(TEXT(_xlpm.dd,"åå'mmm"))))</f>
        <v/>
      </c>
      <c r="AW12" s="24" t="str">
        <f>IF(ISBLANK(AW$13),"",_xlfn.LET(_xlpm.mo,MID(AW$13,3,4),_xlpm.dd,DATE(YEAR(Inputs!$C$16),_xlpm.mo,1),UPPER(TEXT(_xlpm.dd,"åå'mmm"))))</f>
        <v/>
      </c>
      <c r="AX12" s="24" t="str">
        <f>IF(ISBLANK(AX$13),"",_xlfn.LET(_xlpm.mo,MID(AX$13,3,4),_xlpm.dd,DATE(YEAR(Inputs!$C$16),_xlpm.mo,1),UPPER(TEXT(_xlpm.dd,"åå'mmm"))))</f>
        <v/>
      </c>
      <c r="AY12" s="24" t="str">
        <f>IF(ISBLANK(AY$13),"",_xlfn.LET(_xlpm.mo,MID(AY$13,3,4),_xlpm.dd,DATE(YEAR(Inputs!$C$16),_xlpm.mo,1),UPPER(TEXT(_xlpm.dd,"åå'mmm"))))</f>
        <v/>
      </c>
      <c r="AZ12" s="24" t="str">
        <f>IF(ISBLANK(AZ$13),"",_xlfn.LET(_xlpm.mo,MID(AZ$13,3,4),_xlpm.dd,DATE(YEAR(Inputs!$C$16),_xlpm.mo,1),UPPER(TEXT(_xlpm.dd,"åå'mmm"))))</f>
        <v/>
      </c>
      <c r="BA12" s="24" t="str">
        <f>IF(ISBLANK(BA$13),"",_xlfn.LET(_xlpm.mo,MID(BA$13,3,4),_xlpm.dd,DATE(YEAR(Inputs!$C$16),_xlpm.mo,1),UPPER(TEXT(_xlpm.dd,"åå'mmm"))))</f>
        <v/>
      </c>
      <c r="BB12" s="24" t="str">
        <f>IF(ISBLANK(BB$13),"",_xlfn.LET(_xlpm.mo,MID(BB$13,3,4),_xlpm.dd,DATE(YEAR(Inputs!$C$16),_xlpm.mo,1),UPPER(TEXT(_xlpm.dd,"åå'mmm"))))</f>
        <v/>
      </c>
      <c r="BC12" s="24" t="str">
        <f>IF(ISBLANK(BC$13),"",_xlfn.LET(_xlpm.mo,MID(BC$13,3,4),_xlpm.dd,DATE(YEAR(Inputs!$C$16),_xlpm.mo,1),UPPER(TEXT(_xlpm.dd,"åå'mmm"))))</f>
        <v/>
      </c>
      <c r="BD12" s="24" t="str">
        <f>IF(ISBLANK(BD$13),"",_xlfn.LET(_xlpm.mo,MID(BD$13,3,4),_xlpm.dd,DATE(YEAR(Inputs!$C$16),_xlpm.mo,1),UPPER(TEXT(_xlpm.dd,"åå'mmm"))))</f>
        <v/>
      </c>
      <c r="BE12" s="24" t="str">
        <f>IF(ISBLANK(BE$13),"",_xlfn.LET(_xlpm.mo,MID(BE$13,3,4),_xlpm.dd,DATE(YEAR(Inputs!$C$16),_xlpm.mo,1),UPPER(TEXT(_xlpm.dd,"åå'mmm"))))</f>
        <v/>
      </c>
    </row>
    <row r="13" spans="2:57" x14ac:dyDescent="0.25">
      <c r="B13" s="161" t="s">
        <v>61</v>
      </c>
      <c r="C13" s="157" t="s">
        <v>118</v>
      </c>
      <c r="D13" s="157" t="s">
        <v>119</v>
      </c>
      <c r="E13" s="157" t="s">
        <v>120</v>
      </c>
      <c r="F13" s="158" t="s">
        <v>121</v>
      </c>
      <c r="S13" s="167"/>
      <c r="T13" s="168" t="s">
        <v>193</v>
      </c>
      <c r="U13" s="166" t="s">
        <v>192</v>
      </c>
      <c r="V13" s="96" t="s">
        <v>170</v>
      </c>
      <c r="W13" s="96" t="s">
        <v>204</v>
      </c>
      <c r="X13" s="96" t="s">
        <v>205</v>
      </c>
      <c r="Y13" s="96" t="s">
        <v>206</v>
      </c>
      <c r="Z13" s="96" t="s">
        <v>207</v>
      </c>
      <c r="AA13" s="96" t="s">
        <v>208</v>
      </c>
      <c r="AB13" s="96" t="s">
        <v>209</v>
      </c>
      <c r="AC13" s="96" t="s">
        <v>210</v>
      </c>
      <c r="AD13" s="96" t="s">
        <v>211</v>
      </c>
      <c r="AE13" s="96" t="s">
        <v>212</v>
      </c>
      <c r="AF13" s="96" t="s">
        <v>213</v>
      </c>
      <c r="AG13" s="96" t="s">
        <v>214</v>
      </c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128"/>
    </row>
    <row r="14" spans="2:57" x14ac:dyDescent="0.25">
      <c r="B14" s="146" t="s">
        <v>70</v>
      </c>
      <c r="C14" s="33">
        <v>2021</v>
      </c>
      <c r="D14" s="33">
        <v>2023</v>
      </c>
      <c r="E14" s="33">
        <v>2021</v>
      </c>
      <c r="F14" s="34">
        <v>2021</v>
      </c>
      <c r="H14" s="32"/>
      <c r="R14" s="167"/>
      <c r="T14" s="165" t="s">
        <v>107</v>
      </c>
      <c r="U14" s="57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>
        <v>1</v>
      </c>
      <c r="AG14" s="2">
        <v>1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6" t="s">
        <v>71</v>
      </c>
      <c r="C15" s="33"/>
      <c r="D15" s="33"/>
      <c r="E15" s="35">
        <v>1</v>
      </c>
      <c r="F15" s="36">
        <v>12</v>
      </c>
      <c r="R15" s="167"/>
      <c r="T15" s="27" t="s">
        <v>176</v>
      </c>
      <c r="U15" s="57">
        <v>1E-14</v>
      </c>
      <c r="V15" s="25">
        <v>31</v>
      </c>
      <c r="W15" s="25">
        <v>28</v>
      </c>
      <c r="X15" s="25">
        <v>31</v>
      </c>
      <c r="Y15" s="25">
        <v>30</v>
      </c>
      <c r="Z15" s="25">
        <v>31</v>
      </c>
      <c r="AA15" s="25">
        <v>30</v>
      </c>
      <c r="AB15" s="25">
        <v>31</v>
      </c>
      <c r="AC15" s="25">
        <v>31</v>
      </c>
      <c r="AD15" s="25">
        <v>30</v>
      </c>
      <c r="AE15" s="25">
        <v>31</v>
      </c>
      <c r="AF15" s="25">
        <v>30</v>
      </c>
      <c r="AG15" s="25">
        <v>31</v>
      </c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</row>
    <row r="16" spans="2:57" x14ac:dyDescent="0.25">
      <c r="B16" s="147" t="s">
        <v>72</v>
      </c>
      <c r="C16" s="37">
        <v>44197</v>
      </c>
      <c r="D16" s="37">
        <v>44927</v>
      </c>
      <c r="E16" s="37">
        <v>44197</v>
      </c>
      <c r="F16" s="38">
        <v>44531</v>
      </c>
      <c r="R16" s="167"/>
      <c r="T16" s="159" t="s">
        <v>122</v>
      </c>
      <c r="U16" s="57">
        <v>1E-14</v>
      </c>
      <c r="V16" s="25">
        <v>31</v>
      </c>
      <c r="W16" s="25">
        <v>28</v>
      </c>
      <c r="X16" s="25">
        <v>31</v>
      </c>
      <c r="Y16" s="25">
        <v>30</v>
      </c>
      <c r="Z16" s="25">
        <v>31</v>
      </c>
      <c r="AA16" s="25">
        <v>30</v>
      </c>
      <c r="AB16" s="25">
        <v>10</v>
      </c>
      <c r="AC16" s="25">
        <v>10</v>
      </c>
      <c r="AD16" s="25">
        <v>30</v>
      </c>
      <c r="AE16" s="25">
        <v>31</v>
      </c>
      <c r="AF16" s="25">
        <v>30</v>
      </c>
      <c r="AG16" s="25">
        <v>31</v>
      </c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</row>
    <row r="17" spans="1:57" x14ac:dyDescent="0.25">
      <c r="R17" s="167"/>
      <c r="T17" s="159" t="s">
        <v>123</v>
      </c>
      <c r="U17" s="57">
        <v>1E-14</v>
      </c>
      <c r="V17" s="25">
        <v>31</v>
      </c>
      <c r="W17" s="25">
        <v>28</v>
      </c>
      <c r="X17" s="25">
        <v>31</v>
      </c>
      <c r="Y17" s="25">
        <v>30</v>
      </c>
      <c r="Z17" s="25">
        <v>31</v>
      </c>
      <c r="AA17" s="25">
        <v>30</v>
      </c>
      <c r="AB17" s="25">
        <v>31</v>
      </c>
      <c r="AC17" s="25">
        <v>31</v>
      </c>
      <c r="AD17" s="25">
        <v>30</v>
      </c>
      <c r="AE17" s="25">
        <v>31</v>
      </c>
      <c r="AF17" s="25">
        <v>30</v>
      </c>
      <c r="AG17" s="25">
        <v>31</v>
      </c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</row>
    <row r="18" spans="1:57" x14ac:dyDescent="0.25">
      <c r="R18" s="167"/>
      <c r="T18" s="159" t="s">
        <v>124</v>
      </c>
      <c r="U18" s="57">
        <v>1E-14</v>
      </c>
      <c r="V18" s="25">
        <v>31</v>
      </c>
      <c r="W18" s="25">
        <v>28</v>
      </c>
      <c r="X18" s="25">
        <v>31</v>
      </c>
      <c r="Y18" s="25">
        <v>30</v>
      </c>
      <c r="Z18" s="25">
        <v>31</v>
      </c>
      <c r="AA18" s="25">
        <v>30</v>
      </c>
      <c r="AB18" s="25">
        <v>31</v>
      </c>
      <c r="AC18" s="25">
        <v>31</v>
      </c>
      <c r="AD18" s="25">
        <v>30</v>
      </c>
      <c r="AE18" s="25">
        <v>31</v>
      </c>
      <c r="AF18" s="25">
        <v>30</v>
      </c>
      <c r="AG18" s="25">
        <v>31</v>
      </c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</row>
    <row r="19" spans="1:57" x14ac:dyDescent="0.25">
      <c r="B19" s="161" t="s">
        <v>26</v>
      </c>
      <c r="C19" s="96" t="s">
        <v>107</v>
      </c>
      <c r="D19" s="96" t="s">
        <v>127</v>
      </c>
      <c r="E19" s="96" t="s">
        <v>128</v>
      </c>
      <c r="F19" s="98" t="s">
        <v>200</v>
      </c>
      <c r="G19" s="98" t="s">
        <v>201</v>
      </c>
      <c r="H19" s="96" t="s">
        <v>202</v>
      </c>
      <c r="I19" s="96" t="s">
        <v>203</v>
      </c>
      <c r="J19" s="96" t="s">
        <v>25</v>
      </c>
      <c r="K19" s="96" t="s">
        <v>23</v>
      </c>
      <c r="L19" s="96" t="s">
        <v>74</v>
      </c>
      <c r="M19" s="96" t="s">
        <v>162</v>
      </c>
      <c r="N19" s="96" t="s">
        <v>163</v>
      </c>
      <c r="O19" s="96" t="s">
        <v>164</v>
      </c>
      <c r="P19" s="96" t="s">
        <v>129</v>
      </c>
      <c r="Q19" s="96" t="s">
        <v>173</v>
      </c>
      <c r="R19" s="128" t="s">
        <v>174</v>
      </c>
      <c r="S19" s="167"/>
      <c r="T19" s="159" t="s">
        <v>73</v>
      </c>
      <c r="U19" s="57">
        <v>1E-14</v>
      </c>
      <c r="V19" s="25">
        <v>20.833333333333332</v>
      </c>
      <c r="W19" s="25">
        <v>1E-14</v>
      </c>
      <c r="X19" s="25">
        <v>1E-14</v>
      </c>
      <c r="Y19" s="25">
        <v>1E-14</v>
      </c>
      <c r="Z19" s="25">
        <v>1E-14</v>
      </c>
      <c r="AA19" s="25">
        <v>1E-14</v>
      </c>
      <c r="AB19" s="25">
        <v>1E-14</v>
      </c>
      <c r="AC19" s="25">
        <v>1E-14</v>
      </c>
      <c r="AD19" s="25">
        <v>1E-14</v>
      </c>
      <c r="AE19" s="25">
        <v>1E-14</v>
      </c>
      <c r="AF19" s="25">
        <v>1E-14</v>
      </c>
      <c r="AG19" s="25">
        <v>29.166666666666668</v>
      </c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</row>
    <row r="20" spans="1:57" x14ac:dyDescent="0.25">
      <c r="B20" s="146" t="s">
        <v>122</v>
      </c>
      <c r="C20" s="39">
        <v>1</v>
      </c>
      <c r="D20" s="39">
        <v>1</v>
      </c>
      <c r="E20" s="173">
        <v>1E-14</v>
      </c>
      <c r="F20" s="40">
        <v>8.5</v>
      </c>
      <c r="G20" s="40">
        <v>14.5</v>
      </c>
      <c r="H20" s="41">
        <v>2.2000000000000002</v>
      </c>
      <c r="I20" s="41">
        <v>4.7672149428491775</v>
      </c>
      <c r="J20" s="41">
        <v>9.5</v>
      </c>
      <c r="K20" s="42">
        <v>2</v>
      </c>
      <c r="L20" s="41">
        <v>11.5</v>
      </c>
      <c r="M20" s="41">
        <v>1E-14</v>
      </c>
      <c r="N20" s="40">
        <v>1E-14</v>
      </c>
      <c r="O20" s="172">
        <v>1E-14</v>
      </c>
      <c r="P20" s="171">
        <v>0.84399999999999997</v>
      </c>
      <c r="Q20" s="40">
        <v>40</v>
      </c>
      <c r="R20" s="43">
        <v>0.01</v>
      </c>
      <c r="T20" s="159" t="s">
        <v>125</v>
      </c>
      <c r="U20" s="57">
        <v>1E-14</v>
      </c>
      <c r="V20" s="25">
        <v>31</v>
      </c>
      <c r="W20" s="25">
        <v>28</v>
      </c>
      <c r="X20" s="25">
        <v>31</v>
      </c>
      <c r="Y20" s="25">
        <v>30</v>
      </c>
      <c r="Z20" s="25">
        <v>31</v>
      </c>
      <c r="AA20" s="25">
        <v>30</v>
      </c>
      <c r="AB20" s="25">
        <v>31</v>
      </c>
      <c r="AC20" s="25">
        <v>31</v>
      </c>
      <c r="AD20" s="25">
        <v>30</v>
      </c>
      <c r="AE20" s="25">
        <v>31</v>
      </c>
      <c r="AF20" s="25">
        <v>30</v>
      </c>
      <c r="AG20" s="25">
        <v>31</v>
      </c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</row>
    <row r="21" spans="1:57" x14ac:dyDescent="0.25">
      <c r="B21" s="146" t="s">
        <v>123</v>
      </c>
      <c r="C21" s="39">
        <v>1</v>
      </c>
      <c r="D21" s="39">
        <v>1</v>
      </c>
      <c r="E21" s="33">
        <v>10</v>
      </c>
      <c r="F21" s="40">
        <v>8.5</v>
      </c>
      <c r="G21" s="40">
        <v>14.5</v>
      </c>
      <c r="H21" s="41">
        <v>6.3</v>
      </c>
      <c r="I21" s="41">
        <v>12.4</v>
      </c>
      <c r="J21" s="41">
        <v>22.5</v>
      </c>
      <c r="K21" s="42">
        <v>5.5</v>
      </c>
      <c r="L21" s="41">
        <v>28</v>
      </c>
      <c r="M21" s="41">
        <v>1E-14</v>
      </c>
      <c r="N21" s="40">
        <v>1E-14</v>
      </c>
      <c r="O21" s="172">
        <v>0.25</v>
      </c>
      <c r="P21" s="171">
        <v>0.65600000000000003</v>
      </c>
      <c r="Q21" s="40">
        <v>50</v>
      </c>
      <c r="R21" s="43">
        <v>0.01</v>
      </c>
      <c r="T21" s="159" t="s">
        <v>126</v>
      </c>
      <c r="U21" s="57">
        <v>1E-14</v>
      </c>
      <c r="V21" s="25">
        <v>31</v>
      </c>
      <c r="W21" s="25">
        <v>28</v>
      </c>
      <c r="X21" s="25">
        <v>31</v>
      </c>
      <c r="Y21" s="25">
        <v>30</v>
      </c>
      <c r="Z21" s="25">
        <v>31</v>
      </c>
      <c r="AA21" s="25">
        <v>30</v>
      </c>
      <c r="AB21" s="25">
        <v>31</v>
      </c>
      <c r="AC21" s="25">
        <v>31</v>
      </c>
      <c r="AD21" s="25">
        <v>30</v>
      </c>
      <c r="AE21" s="25">
        <v>31</v>
      </c>
      <c r="AF21" s="25">
        <v>30</v>
      </c>
      <c r="AG21" s="25">
        <v>31</v>
      </c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</row>
    <row r="22" spans="1:57" x14ac:dyDescent="0.25">
      <c r="B22" s="146" t="s">
        <v>124</v>
      </c>
      <c r="C22" s="39">
        <v>1</v>
      </c>
      <c r="D22" s="39">
        <v>2</v>
      </c>
      <c r="E22" s="173">
        <v>1E-14</v>
      </c>
      <c r="F22" s="41">
        <v>1E-14</v>
      </c>
      <c r="G22" s="44">
        <v>1E-14</v>
      </c>
      <c r="H22" s="41">
        <v>1E-14</v>
      </c>
      <c r="I22" s="41">
        <v>1E-14</v>
      </c>
      <c r="J22" s="41">
        <v>10.5</v>
      </c>
      <c r="K22" s="42">
        <v>1E-14</v>
      </c>
      <c r="L22" s="41">
        <v>10.5</v>
      </c>
      <c r="M22" s="41">
        <v>1E-14</v>
      </c>
      <c r="N22" s="40">
        <v>1E-14</v>
      </c>
      <c r="O22" s="42">
        <v>1E-14</v>
      </c>
      <c r="P22" s="169">
        <v>0.85</v>
      </c>
      <c r="Q22" s="40">
        <v>25</v>
      </c>
      <c r="R22" s="43">
        <v>0.01</v>
      </c>
      <c r="T22" s="27" t="s">
        <v>177</v>
      </c>
      <c r="U22" s="57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>
        <v>7500</v>
      </c>
      <c r="AC22" s="1">
        <v>7000</v>
      </c>
      <c r="AD22" s="1">
        <v>8000</v>
      </c>
      <c r="AE22" s="1">
        <v>19700</v>
      </c>
      <c r="AF22" s="1">
        <v>27500</v>
      </c>
      <c r="AG22" s="1">
        <v>33000</v>
      </c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6" t="s">
        <v>73</v>
      </c>
      <c r="C23" s="39">
        <v>1</v>
      </c>
      <c r="D23" s="39">
        <v>3</v>
      </c>
      <c r="E23" s="173">
        <v>9</v>
      </c>
      <c r="F23" s="41">
        <v>1E-14</v>
      </c>
      <c r="G23" s="44">
        <v>1E-14</v>
      </c>
      <c r="H23" s="41">
        <v>1E-14</v>
      </c>
      <c r="I23" s="41">
        <v>1E-14</v>
      </c>
      <c r="J23" s="41">
        <v>8</v>
      </c>
      <c r="K23" s="42">
        <v>1E-14</v>
      </c>
      <c r="L23" s="41">
        <v>8</v>
      </c>
      <c r="M23" s="41">
        <v>1E-14</v>
      </c>
      <c r="N23" s="40">
        <v>1E-14</v>
      </c>
      <c r="O23" s="42">
        <v>1E-14</v>
      </c>
      <c r="P23" s="169">
        <v>1</v>
      </c>
      <c r="Q23" s="40">
        <v>5</v>
      </c>
      <c r="R23" s="43">
        <v>0.01</v>
      </c>
      <c r="T23" s="27" t="s">
        <v>178</v>
      </c>
      <c r="U23" s="57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1E-14</v>
      </c>
      <c r="AE23" s="1">
        <v>1E-14</v>
      </c>
      <c r="AF23" s="1">
        <v>1E-14</v>
      </c>
      <c r="AG23" s="1">
        <v>5600</v>
      </c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6" t="s">
        <v>125</v>
      </c>
      <c r="C24" s="39">
        <v>1</v>
      </c>
      <c r="D24" s="39">
        <v>4</v>
      </c>
      <c r="E24" s="173">
        <v>1E-14</v>
      </c>
      <c r="F24" s="41">
        <v>1E-14</v>
      </c>
      <c r="G24" s="44">
        <v>1E-14</v>
      </c>
      <c r="H24" s="41">
        <v>1E-14</v>
      </c>
      <c r="I24" s="41">
        <v>1E-14</v>
      </c>
      <c r="J24" s="41">
        <v>15</v>
      </c>
      <c r="K24" s="42">
        <v>1E-14</v>
      </c>
      <c r="L24" s="41">
        <v>15</v>
      </c>
      <c r="M24" s="41">
        <v>1E-14</v>
      </c>
      <c r="N24" s="40">
        <v>1E-14</v>
      </c>
      <c r="O24" s="42">
        <v>1E-14</v>
      </c>
      <c r="P24" s="169">
        <v>1</v>
      </c>
      <c r="Q24" s="40">
        <v>10</v>
      </c>
      <c r="R24" s="43">
        <v>0.01</v>
      </c>
      <c r="T24" s="27" t="s">
        <v>179</v>
      </c>
      <c r="U24" s="57">
        <v>1E-14</v>
      </c>
      <c r="V24" s="1">
        <v>3562.5</v>
      </c>
      <c r="W24" s="1">
        <v>3602.6</v>
      </c>
      <c r="X24" s="1">
        <v>4379.3999999999996</v>
      </c>
      <c r="Y24" s="1">
        <v>3705.2</v>
      </c>
      <c r="Z24" s="1">
        <v>2289.3000000000002</v>
      </c>
      <c r="AA24" s="1">
        <v>700</v>
      </c>
      <c r="AB24" s="1">
        <v>200</v>
      </c>
      <c r="AC24" s="1">
        <v>324.5</v>
      </c>
      <c r="AD24" s="1">
        <v>4210.2</v>
      </c>
      <c r="AE24" s="1">
        <v>4384.8999999999996</v>
      </c>
      <c r="AF24" s="1">
        <v>4729.8</v>
      </c>
      <c r="AG24" s="1">
        <v>5952</v>
      </c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7" t="s">
        <v>126</v>
      </c>
      <c r="C25" s="45">
        <v>1</v>
      </c>
      <c r="D25" s="45">
        <v>5</v>
      </c>
      <c r="E25" s="174">
        <v>1E-14</v>
      </c>
      <c r="F25" s="47">
        <v>1E-14</v>
      </c>
      <c r="G25" s="46">
        <v>1E-14</v>
      </c>
      <c r="H25" s="47">
        <v>1E-14</v>
      </c>
      <c r="I25" s="47">
        <v>1E-14</v>
      </c>
      <c r="J25" s="47">
        <v>100</v>
      </c>
      <c r="K25" s="48">
        <v>1E-14</v>
      </c>
      <c r="L25" s="47">
        <v>100</v>
      </c>
      <c r="M25" s="47">
        <v>1E-14</v>
      </c>
      <c r="N25" s="49">
        <v>1E-14</v>
      </c>
      <c r="O25" s="48">
        <v>1E-14</v>
      </c>
      <c r="P25" s="170">
        <v>1</v>
      </c>
      <c r="Q25" s="49">
        <v>10</v>
      </c>
      <c r="R25" s="50">
        <v>0.01</v>
      </c>
      <c r="T25" s="27" t="s">
        <v>180</v>
      </c>
      <c r="U25" s="57">
        <v>1E-14</v>
      </c>
      <c r="V25" s="1">
        <v>378.33708333333323</v>
      </c>
      <c r="W25" s="1">
        <v>405.66044642857145</v>
      </c>
      <c r="X25" s="1">
        <v>347.18100806451616</v>
      </c>
      <c r="Y25" s="1">
        <v>356.0961527777776</v>
      </c>
      <c r="Z25" s="1">
        <v>410.46177419354831</v>
      </c>
      <c r="AA25" s="1">
        <v>547.42162499999972</v>
      </c>
      <c r="AB25" s="1">
        <v>605.37407258064457</v>
      </c>
      <c r="AC25" s="1">
        <v>627.85237903225811</v>
      </c>
      <c r="AD25" s="1">
        <v>920.7574305555554</v>
      </c>
      <c r="AE25" s="1">
        <v>794.33760752688215</v>
      </c>
      <c r="AF25" s="1">
        <v>1014.278430555556</v>
      </c>
      <c r="AG25" s="1">
        <v>1420.7891397849471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167"/>
      <c r="T26" s="27" t="s">
        <v>181</v>
      </c>
      <c r="U26" s="57">
        <v>1E-14</v>
      </c>
      <c r="V26" s="1">
        <v>409.75</v>
      </c>
      <c r="W26" s="1">
        <v>409.75</v>
      </c>
      <c r="X26" s="1">
        <v>409.75</v>
      </c>
      <c r="Y26" s="1">
        <v>409.75</v>
      </c>
      <c r="Z26" s="1">
        <v>409.75</v>
      </c>
      <c r="AA26" s="1">
        <v>409.75</v>
      </c>
      <c r="AB26" s="1">
        <v>409.75</v>
      </c>
      <c r="AC26" s="1">
        <v>409.75</v>
      </c>
      <c r="AD26" s="1">
        <v>409.75</v>
      </c>
      <c r="AE26" s="1">
        <v>409.75</v>
      </c>
      <c r="AF26" s="1">
        <v>409.75</v>
      </c>
      <c r="AG26" s="1">
        <v>409.75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9"/>
      <c r="B27" s="161" t="s">
        <v>130</v>
      </c>
      <c r="C27" s="96" t="s">
        <v>107</v>
      </c>
      <c r="D27" s="96" t="s">
        <v>117</v>
      </c>
      <c r="E27" s="96" t="s">
        <v>159</v>
      </c>
      <c r="F27" s="96" t="s">
        <v>108</v>
      </c>
      <c r="G27" s="96" t="s">
        <v>109</v>
      </c>
      <c r="H27" s="96" t="s">
        <v>160</v>
      </c>
      <c r="I27" s="96" t="s">
        <v>110</v>
      </c>
      <c r="J27" s="96" t="s">
        <v>111</v>
      </c>
      <c r="K27" s="98" t="s">
        <v>139</v>
      </c>
      <c r="L27" s="96" t="s">
        <v>112</v>
      </c>
      <c r="M27" s="128" t="s">
        <v>140</v>
      </c>
      <c r="R27" s="167"/>
      <c r="T27" s="27" t="s">
        <v>182</v>
      </c>
      <c r="U27" s="57">
        <v>1E-14</v>
      </c>
      <c r="V27" s="3">
        <v>25.8</v>
      </c>
      <c r="W27" s="3">
        <v>25.8</v>
      </c>
      <c r="X27" s="3">
        <v>25.8</v>
      </c>
      <c r="Y27" s="3">
        <v>25.8</v>
      </c>
      <c r="Z27" s="3">
        <v>25.8</v>
      </c>
      <c r="AA27" s="3">
        <v>25.8</v>
      </c>
      <c r="AB27" s="3">
        <v>25.8</v>
      </c>
      <c r="AC27" s="3">
        <v>25.8</v>
      </c>
      <c r="AD27" s="3">
        <v>25.8</v>
      </c>
      <c r="AE27" s="3">
        <v>25.8</v>
      </c>
      <c r="AF27" s="3">
        <v>25.8</v>
      </c>
      <c r="AG27" s="3">
        <v>25.8</v>
      </c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</row>
    <row r="28" spans="1:57" x14ac:dyDescent="0.25">
      <c r="A28" s="19"/>
      <c r="B28" s="151" t="s">
        <v>105</v>
      </c>
      <c r="C28" s="129">
        <v>1E-14</v>
      </c>
      <c r="D28" s="130">
        <v>1</v>
      </c>
      <c r="E28" s="130">
        <v>1E-14</v>
      </c>
      <c r="F28" s="90">
        <v>10000</v>
      </c>
      <c r="G28" s="90">
        <v>10000</v>
      </c>
      <c r="H28" s="90">
        <v>1E-14</v>
      </c>
      <c r="I28" s="90">
        <v>10</v>
      </c>
      <c r="J28" s="90">
        <v>30</v>
      </c>
      <c r="K28" s="90">
        <v>1E-14</v>
      </c>
      <c r="L28" s="90">
        <v>12</v>
      </c>
      <c r="M28" s="138">
        <v>1</v>
      </c>
      <c r="R28" s="167"/>
      <c r="T28" s="27" t="s">
        <v>183</v>
      </c>
      <c r="U28" s="57">
        <v>1E-14</v>
      </c>
      <c r="V28" s="3">
        <v>31.8</v>
      </c>
      <c r="W28" s="3">
        <v>31.8</v>
      </c>
      <c r="X28" s="3">
        <v>31.8</v>
      </c>
      <c r="Y28" s="3">
        <v>31.8</v>
      </c>
      <c r="Z28" s="3">
        <v>31.8</v>
      </c>
      <c r="AA28" s="3">
        <v>31.8</v>
      </c>
      <c r="AB28" s="3">
        <v>31.8</v>
      </c>
      <c r="AC28" s="3">
        <v>31.8</v>
      </c>
      <c r="AD28" s="3">
        <v>31.8</v>
      </c>
      <c r="AE28" s="3">
        <v>31.8</v>
      </c>
      <c r="AF28" s="3">
        <v>31.8</v>
      </c>
      <c r="AG28" s="3">
        <v>31.8</v>
      </c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52" t="s">
        <v>106</v>
      </c>
      <c r="C29" s="131">
        <v>1E-14</v>
      </c>
      <c r="D29" s="132">
        <v>1</v>
      </c>
      <c r="E29" s="132">
        <v>1E-14</v>
      </c>
      <c r="F29" s="91">
        <v>5000</v>
      </c>
      <c r="G29" s="91">
        <v>5000</v>
      </c>
      <c r="H29" s="91">
        <v>1E-14</v>
      </c>
      <c r="I29" s="91">
        <v>10</v>
      </c>
      <c r="J29" s="91">
        <v>15</v>
      </c>
      <c r="K29" s="91">
        <v>6</v>
      </c>
      <c r="L29" s="91">
        <v>12</v>
      </c>
      <c r="M29" s="139">
        <v>1</v>
      </c>
      <c r="R29" s="167"/>
      <c r="T29" s="27" t="s">
        <v>184</v>
      </c>
      <c r="U29" s="57">
        <v>1E-14</v>
      </c>
      <c r="V29" s="28">
        <v>37</v>
      </c>
      <c r="W29" s="28">
        <v>37</v>
      </c>
      <c r="X29" s="28">
        <v>37</v>
      </c>
      <c r="Y29" s="28">
        <v>37</v>
      </c>
      <c r="Z29" s="28">
        <v>37</v>
      </c>
      <c r="AA29" s="28">
        <v>37</v>
      </c>
      <c r="AB29" s="28">
        <v>37</v>
      </c>
      <c r="AC29" s="28">
        <v>37</v>
      </c>
      <c r="AD29" s="28">
        <v>37</v>
      </c>
      <c r="AE29" s="28">
        <v>37</v>
      </c>
      <c r="AF29" s="28">
        <v>37</v>
      </c>
      <c r="AG29" s="28">
        <v>37</v>
      </c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</row>
    <row r="30" spans="1:57" s="19" customFormat="1" x14ac:dyDescent="0.25">
      <c r="B30" s="153"/>
      <c r="C30" s="133"/>
      <c r="D30" s="134"/>
      <c r="E30" s="132"/>
      <c r="F30" s="91"/>
      <c r="G30" s="91"/>
      <c r="H30" s="91"/>
      <c r="I30" s="91"/>
      <c r="J30" s="91"/>
      <c r="K30" s="91"/>
      <c r="L30" s="91"/>
      <c r="M30" s="139"/>
      <c r="Q30" s="26"/>
      <c r="R30" s="167"/>
      <c r="S30" s="26"/>
      <c r="T30" s="27" t="s">
        <v>185</v>
      </c>
      <c r="U30" s="57">
        <v>1E-14</v>
      </c>
      <c r="V30" s="28">
        <v>37</v>
      </c>
      <c r="W30" s="28">
        <v>37</v>
      </c>
      <c r="X30" s="28">
        <v>37</v>
      </c>
      <c r="Y30" s="28">
        <v>37</v>
      </c>
      <c r="Z30" s="28">
        <v>37</v>
      </c>
      <c r="AA30" s="28">
        <v>37</v>
      </c>
      <c r="AB30" s="28">
        <v>37</v>
      </c>
      <c r="AC30" s="28">
        <v>37</v>
      </c>
      <c r="AD30" s="28">
        <v>37</v>
      </c>
      <c r="AE30" s="28">
        <v>37</v>
      </c>
      <c r="AF30" s="28">
        <v>37</v>
      </c>
      <c r="AG30" s="28">
        <v>37</v>
      </c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</row>
    <row r="31" spans="1:57" s="19" customFormat="1" x14ac:dyDescent="0.25">
      <c r="B31" s="153"/>
      <c r="C31" s="133"/>
      <c r="D31" s="134"/>
      <c r="E31" s="132"/>
      <c r="F31" s="91"/>
      <c r="G31" s="91"/>
      <c r="H31" s="91"/>
      <c r="I31" s="91"/>
      <c r="J31" s="91"/>
      <c r="K31" s="91"/>
      <c r="L31" s="91"/>
      <c r="M31" s="139"/>
      <c r="Q31" s="26"/>
      <c r="R31" s="167"/>
      <c r="S31" s="26"/>
      <c r="T31" s="27" t="s">
        <v>186</v>
      </c>
      <c r="U31" s="57">
        <v>1E-14</v>
      </c>
      <c r="V31" s="28">
        <v>178.5</v>
      </c>
      <c r="W31" s="28">
        <v>178.5</v>
      </c>
      <c r="X31" s="28">
        <v>178.5</v>
      </c>
      <c r="Y31" s="28">
        <v>178.5</v>
      </c>
      <c r="Z31" s="28">
        <v>178.5</v>
      </c>
      <c r="AA31" s="28">
        <v>178.5</v>
      </c>
      <c r="AB31" s="28">
        <v>178.5</v>
      </c>
      <c r="AC31" s="28">
        <v>178.5</v>
      </c>
      <c r="AD31" s="28">
        <v>178.5</v>
      </c>
      <c r="AE31" s="28">
        <v>178.5</v>
      </c>
      <c r="AF31" s="28">
        <v>178.5</v>
      </c>
      <c r="AG31" s="28">
        <v>178.5</v>
      </c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</row>
    <row r="32" spans="1:57" s="19" customFormat="1" x14ac:dyDescent="0.25">
      <c r="B32" s="153"/>
      <c r="C32" s="133"/>
      <c r="D32" s="134"/>
      <c r="E32" s="132"/>
      <c r="F32" s="91"/>
      <c r="G32" s="91"/>
      <c r="H32" s="91"/>
      <c r="I32" s="91"/>
      <c r="J32" s="91"/>
      <c r="K32" s="91"/>
      <c r="L32" s="91"/>
      <c r="M32" s="139"/>
      <c r="Q32" s="26"/>
      <c r="R32" s="167"/>
      <c r="S32" s="26"/>
      <c r="T32" s="27" t="s">
        <v>187</v>
      </c>
      <c r="U32" s="57">
        <v>1E-14</v>
      </c>
      <c r="V32" s="28">
        <v>5.3</v>
      </c>
      <c r="W32" s="28">
        <v>5.3</v>
      </c>
      <c r="X32" s="28">
        <v>5.3</v>
      </c>
      <c r="Y32" s="28">
        <v>5.3</v>
      </c>
      <c r="Z32" s="28">
        <v>5.3</v>
      </c>
      <c r="AA32" s="28">
        <v>5.3</v>
      </c>
      <c r="AB32" s="28">
        <v>5.3</v>
      </c>
      <c r="AC32" s="28">
        <v>5.3</v>
      </c>
      <c r="AD32" s="28">
        <v>5.3</v>
      </c>
      <c r="AE32" s="28">
        <v>5.3</v>
      </c>
      <c r="AF32" s="28">
        <v>5.3</v>
      </c>
      <c r="AG32" s="28">
        <v>5.3</v>
      </c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</row>
    <row r="33" spans="2:57" x14ac:dyDescent="0.25">
      <c r="B33" s="154"/>
      <c r="C33" s="135"/>
      <c r="D33" s="136"/>
      <c r="E33" s="137"/>
      <c r="F33" s="92"/>
      <c r="G33" s="92"/>
      <c r="H33" s="92"/>
      <c r="I33" s="92"/>
      <c r="J33" s="92"/>
      <c r="K33" s="92"/>
      <c r="L33" s="92"/>
      <c r="M33" s="140"/>
      <c r="R33" s="167"/>
      <c r="T33" s="27" t="s">
        <v>188</v>
      </c>
      <c r="U33" s="57">
        <v>1E-14</v>
      </c>
      <c r="V33" s="28">
        <v>0.5</v>
      </c>
      <c r="W33" s="28">
        <v>0.5</v>
      </c>
      <c r="X33" s="28">
        <v>0.5</v>
      </c>
      <c r="Y33" s="28">
        <v>0.5</v>
      </c>
      <c r="Z33" s="28">
        <v>0.5</v>
      </c>
      <c r="AA33" s="28">
        <v>0.5</v>
      </c>
      <c r="AB33" s="28">
        <v>0.5</v>
      </c>
      <c r="AC33" s="28">
        <v>0.5</v>
      </c>
      <c r="AD33" s="28">
        <v>0.5</v>
      </c>
      <c r="AE33" s="28">
        <v>0.5</v>
      </c>
      <c r="AF33" s="28">
        <v>0.5</v>
      </c>
      <c r="AG33" s="28">
        <v>0.5</v>
      </c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</row>
    <row r="34" spans="2:57" s="19" customFormat="1" x14ac:dyDescent="0.25">
      <c r="Q34" s="26"/>
      <c r="R34" s="167"/>
      <c r="S34" s="26"/>
      <c r="T34" s="27" t="s">
        <v>189</v>
      </c>
      <c r="U34" s="57">
        <v>1E-14</v>
      </c>
      <c r="V34" s="28">
        <v>62.37</v>
      </c>
      <c r="W34" s="28">
        <v>62.37</v>
      </c>
      <c r="X34" s="28">
        <v>62.37</v>
      </c>
      <c r="Y34" s="28">
        <v>62.37</v>
      </c>
      <c r="Z34" s="28">
        <v>62.37</v>
      </c>
      <c r="AA34" s="28">
        <v>62.37</v>
      </c>
      <c r="AB34" s="28">
        <v>62.37</v>
      </c>
      <c r="AC34" s="28">
        <v>62.37</v>
      </c>
      <c r="AD34" s="28">
        <v>62.37</v>
      </c>
      <c r="AE34" s="28">
        <v>62.37</v>
      </c>
      <c r="AF34" s="28">
        <v>62.37</v>
      </c>
      <c r="AG34" s="28">
        <v>62.37</v>
      </c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</row>
    <row r="35" spans="2:57" s="19" customFormat="1" x14ac:dyDescent="0.25">
      <c r="Q35" s="26"/>
      <c r="R35" s="167"/>
      <c r="S35" s="26"/>
      <c r="T35" s="27" t="s">
        <v>190</v>
      </c>
      <c r="U35" s="57">
        <v>1E-14</v>
      </c>
      <c r="V35" s="28">
        <v>680.72289156626493</v>
      </c>
      <c r="W35" s="28">
        <v>680.72289156626493</v>
      </c>
      <c r="X35" s="28">
        <v>680.72289156626493</v>
      </c>
      <c r="Y35" s="28">
        <v>680.72289156626493</v>
      </c>
      <c r="Z35" s="28">
        <v>680.72289156626493</v>
      </c>
      <c r="AA35" s="28">
        <v>680.72289156626493</v>
      </c>
      <c r="AB35" s="28">
        <v>680.72289156626493</v>
      </c>
      <c r="AC35" s="28">
        <v>680.72289156626493</v>
      </c>
      <c r="AD35" s="28">
        <v>680.72289156626493</v>
      </c>
      <c r="AE35" s="28">
        <v>680.72289156626493</v>
      </c>
      <c r="AF35" s="28">
        <v>680.72289156626493</v>
      </c>
      <c r="AG35" s="28">
        <v>680.72289156626493</v>
      </c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</row>
    <row r="36" spans="2:57" s="19" customFormat="1" x14ac:dyDescent="0.25">
      <c r="Q36" s="26"/>
      <c r="R36" s="167"/>
      <c r="S36" s="26"/>
      <c r="T36" s="27" t="s">
        <v>191</v>
      </c>
      <c r="U36" s="57">
        <v>1E-14</v>
      </c>
      <c r="V36" s="28">
        <v>10.843373493975903</v>
      </c>
      <c r="W36" s="28">
        <v>10.843373493975903</v>
      </c>
      <c r="X36" s="28">
        <v>10.843373493975903</v>
      </c>
      <c r="Y36" s="28">
        <v>10.843373493975903</v>
      </c>
      <c r="Z36" s="28">
        <v>10.843373493975903</v>
      </c>
      <c r="AA36" s="28">
        <v>10.843373493975903</v>
      </c>
      <c r="AB36" s="28">
        <v>10.843373493975903</v>
      </c>
      <c r="AC36" s="28">
        <v>10.843373493975903</v>
      </c>
      <c r="AD36" s="28">
        <v>10.843373493975903</v>
      </c>
      <c r="AE36" s="28">
        <v>10.843373493975903</v>
      </c>
      <c r="AF36" s="28">
        <v>10.843373493975903</v>
      </c>
      <c r="AG36" s="28">
        <v>10.843373493975903</v>
      </c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</row>
    <row r="37" spans="2:57" x14ac:dyDescent="0.25">
      <c r="T37" s="7"/>
      <c r="U37" s="57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</row>
    <row r="38" spans="2:57" x14ac:dyDescent="0.25">
      <c r="B38" s="162" t="s">
        <v>24</v>
      </c>
      <c r="C38" s="58" t="s">
        <v>107</v>
      </c>
      <c r="D38" s="58" t="s">
        <v>131</v>
      </c>
      <c r="E38" s="58" t="s">
        <v>132</v>
      </c>
      <c r="F38" s="58" t="s">
        <v>133</v>
      </c>
      <c r="G38" s="58" t="s">
        <v>134</v>
      </c>
      <c r="H38" s="58" t="s">
        <v>113</v>
      </c>
      <c r="I38" s="58" t="s">
        <v>114</v>
      </c>
      <c r="J38" s="58" t="s">
        <v>135</v>
      </c>
      <c r="K38" s="58" t="s">
        <v>136</v>
      </c>
      <c r="L38" s="58" t="s">
        <v>115</v>
      </c>
      <c r="M38" s="58" t="s">
        <v>116</v>
      </c>
      <c r="N38" s="58" t="s">
        <v>137</v>
      </c>
      <c r="O38" s="58" t="s">
        <v>138</v>
      </c>
      <c r="P38" s="58" t="s">
        <v>171</v>
      </c>
      <c r="Q38" s="94" t="s">
        <v>175</v>
      </c>
      <c r="R38" s="7"/>
      <c r="S38" s="7"/>
      <c r="T38" s="163" t="s">
        <v>199</v>
      </c>
      <c r="U38" s="98"/>
      <c r="V38" s="98" t="s">
        <v>170</v>
      </c>
      <c r="W38" s="98" t="s">
        <v>204</v>
      </c>
      <c r="X38" s="98" t="s">
        <v>205</v>
      </c>
      <c r="Y38" s="98" t="s">
        <v>206</v>
      </c>
      <c r="Z38" s="98" t="s">
        <v>207</v>
      </c>
      <c r="AA38" s="98" t="s">
        <v>208</v>
      </c>
      <c r="AB38" s="98" t="s">
        <v>209</v>
      </c>
      <c r="AC38" s="98" t="s">
        <v>210</v>
      </c>
      <c r="AD38" s="98" t="s">
        <v>211</v>
      </c>
      <c r="AE38" s="98" t="s">
        <v>212</v>
      </c>
      <c r="AF38" s="98" t="s">
        <v>213</v>
      </c>
      <c r="AG38" s="98" t="s">
        <v>214</v>
      </c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164"/>
    </row>
    <row r="39" spans="2:57" x14ac:dyDescent="0.25">
      <c r="B39" s="144" t="s">
        <v>0</v>
      </c>
      <c r="C39" s="141">
        <v>1</v>
      </c>
      <c r="D39" s="141">
        <v>1</v>
      </c>
      <c r="E39" s="141">
        <v>1</v>
      </c>
      <c r="F39" s="141">
        <v>1E-14</v>
      </c>
      <c r="G39" s="141">
        <v>1</v>
      </c>
      <c r="H39" s="141">
        <v>1</v>
      </c>
      <c r="I39" s="141">
        <v>1</v>
      </c>
      <c r="J39" s="93">
        <v>9093</v>
      </c>
      <c r="K39" s="93">
        <v>9093</v>
      </c>
      <c r="L39" s="93">
        <v>1E-14</v>
      </c>
      <c r="M39" s="93">
        <v>1E-14</v>
      </c>
      <c r="N39" s="93">
        <v>525</v>
      </c>
      <c r="O39" s="93">
        <v>10.5</v>
      </c>
      <c r="P39" s="93">
        <v>1.1000000000000001</v>
      </c>
      <c r="Q39" s="93">
        <v>37</v>
      </c>
      <c r="R39" s="7"/>
      <c r="S39" s="7"/>
      <c r="T39" s="143" t="s">
        <v>0</v>
      </c>
      <c r="U39" s="77" t="s">
        <v>194</v>
      </c>
      <c r="V39" s="78">
        <v>757.75</v>
      </c>
      <c r="W39" s="78">
        <v>1E-14</v>
      </c>
      <c r="X39" s="78">
        <v>757.75</v>
      </c>
      <c r="Y39" s="78">
        <v>757.75</v>
      </c>
      <c r="Z39" s="78">
        <v>757.75</v>
      </c>
      <c r="AA39" s="78">
        <v>757.75</v>
      </c>
      <c r="AB39" s="78">
        <v>757.75</v>
      </c>
      <c r="AC39" s="78">
        <v>757.75</v>
      </c>
      <c r="AD39" s="78">
        <v>757.75</v>
      </c>
      <c r="AE39" s="78">
        <v>757.75</v>
      </c>
      <c r="AF39" s="78">
        <v>757.75</v>
      </c>
      <c r="AG39" s="78">
        <v>757.75</v>
      </c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</row>
    <row r="40" spans="2:57" x14ac:dyDescent="0.25">
      <c r="B40" s="145" t="s">
        <v>1</v>
      </c>
      <c r="C40" s="142">
        <v>1E-14</v>
      </c>
      <c r="D40" s="142">
        <v>1</v>
      </c>
      <c r="E40" s="142">
        <v>1</v>
      </c>
      <c r="F40" s="142">
        <v>1E-14</v>
      </c>
      <c r="G40" s="142">
        <v>1</v>
      </c>
      <c r="H40" s="142">
        <v>1</v>
      </c>
      <c r="I40" s="142">
        <v>1</v>
      </c>
      <c r="J40" s="18">
        <v>1E-14</v>
      </c>
      <c r="K40" s="18">
        <v>1E-14</v>
      </c>
      <c r="L40" s="18">
        <v>1E-14</v>
      </c>
      <c r="M40" s="18">
        <v>1E-14</v>
      </c>
      <c r="N40" s="18">
        <v>1E-14</v>
      </c>
      <c r="O40" s="18">
        <v>10.5</v>
      </c>
      <c r="P40" s="18">
        <v>1.1000000000000001</v>
      </c>
      <c r="Q40" s="18">
        <v>37</v>
      </c>
      <c r="R40" s="7"/>
      <c r="S40" s="7"/>
      <c r="T40" s="143" t="s">
        <v>0</v>
      </c>
      <c r="U40" s="77" t="s">
        <v>195</v>
      </c>
      <c r="V40" s="78">
        <v>757.75</v>
      </c>
      <c r="W40" s="78">
        <v>757.75</v>
      </c>
      <c r="X40" s="78">
        <v>757.75</v>
      </c>
      <c r="Y40" s="78">
        <v>757.75</v>
      </c>
      <c r="Z40" s="78">
        <v>757.75</v>
      </c>
      <c r="AA40" s="78">
        <v>757.75</v>
      </c>
      <c r="AB40" s="78">
        <v>757.75</v>
      </c>
      <c r="AC40" s="78">
        <v>757.75</v>
      </c>
      <c r="AD40" s="78">
        <v>757.75</v>
      </c>
      <c r="AE40" s="78">
        <v>757.75</v>
      </c>
      <c r="AF40" s="78">
        <v>757.75</v>
      </c>
      <c r="AG40" s="78">
        <v>757.75</v>
      </c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</row>
    <row r="41" spans="2:57" x14ac:dyDescent="0.25">
      <c r="B41" s="145" t="s">
        <v>2</v>
      </c>
      <c r="C41" s="142">
        <v>1E-14</v>
      </c>
      <c r="D41" s="142">
        <v>1</v>
      </c>
      <c r="E41" s="142">
        <v>1</v>
      </c>
      <c r="F41" s="142">
        <v>1E-14</v>
      </c>
      <c r="G41" s="142">
        <v>1</v>
      </c>
      <c r="H41" s="142">
        <v>1</v>
      </c>
      <c r="I41" s="142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1.1000000000000001</v>
      </c>
      <c r="Q41" s="18">
        <v>37</v>
      </c>
      <c r="R41" s="7"/>
      <c r="S41" s="7"/>
      <c r="T41" s="143" t="s">
        <v>0</v>
      </c>
      <c r="U41" s="77" t="s">
        <v>196</v>
      </c>
      <c r="V41" s="78">
        <v>10.5</v>
      </c>
      <c r="W41" s="78">
        <v>10.5</v>
      </c>
      <c r="X41" s="78">
        <v>10.5</v>
      </c>
      <c r="Y41" s="78">
        <v>10.5</v>
      </c>
      <c r="Z41" s="78">
        <v>10.5</v>
      </c>
      <c r="AA41" s="78">
        <v>10.5</v>
      </c>
      <c r="AB41" s="78">
        <v>10.5</v>
      </c>
      <c r="AC41" s="78">
        <v>10.5</v>
      </c>
      <c r="AD41" s="78">
        <v>10.5</v>
      </c>
      <c r="AE41" s="78">
        <v>10.5</v>
      </c>
      <c r="AF41" s="78">
        <v>10.5</v>
      </c>
      <c r="AG41" s="78">
        <v>10.5</v>
      </c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</row>
    <row r="42" spans="2:57" x14ac:dyDescent="0.25">
      <c r="B42" s="145" t="s">
        <v>3</v>
      </c>
      <c r="C42" s="142">
        <v>1</v>
      </c>
      <c r="D42" s="142">
        <v>1</v>
      </c>
      <c r="E42" s="142">
        <v>1E-14</v>
      </c>
      <c r="F42" s="142">
        <v>1E-14</v>
      </c>
      <c r="G42" s="142">
        <v>1</v>
      </c>
      <c r="H42" s="142">
        <v>1</v>
      </c>
      <c r="I42" s="142">
        <v>1</v>
      </c>
      <c r="J42" s="18">
        <v>28869</v>
      </c>
      <c r="K42" s="18">
        <v>28869</v>
      </c>
      <c r="L42" s="18">
        <v>-1</v>
      </c>
      <c r="M42" s="18">
        <v>-1</v>
      </c>
      <c r="N42" s="18">
        <v>525</v>
      </c>
      <c r="O42" s="18">
        <v>9.4</v>
      </c>
      <c r="P42" s="18">
        <v>1.1000000000000001</v>
      </c>
      <c r="Q42" s="18">
        <v>37</v>
      </c>
      <c r="R42" s="7"/>
      <c r="S42" s="7"/>
      <c r="T42" s="143" t="s">
        <v>0</v>
      </c>
      <c r="U42" s="77" t="s">
        <v>197</v>
      </c>
      <c r="V42" s="78">
        <v>525</v>
      </c>
      <c r="W42" s="78">
        <v>525</v>
      </c>
      <c r="X42" s="78">
        <v>525</v>
      </c>
      <c r="Y42" s="78">
        <v>525</v>
      </c>
      <c r="Z42" s="78">
        <v>525</v>
      </c>
      <c r="AA42" s="78">
        <v>525</v>
      </c>
      <c r="AB42" s="78">
        <v>525</v>
      </c>
      <c r="AC42" s="78">
        <v>525</v>
      </c>
      <c r="AD42" s="78">
        <v>525</v>
      </c>
      <c r="AE42" s="78">
        <v>525</v>
      </c>
      <c r="AF42" s="78">
        <v>525</v>
      </c>
      <c r="AG42" s="78">
        <v>525</v>
      </c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</row>
    <row r="43" spans="2:57" x14ac:dyDescent="0.25">
      <c r="B43" s="145" t="s">
        <v>4</v>
      </c>
      <c r="C43" s="142">
        <v>1</v>
      </c>
      <c r="D43" s="142">
        <v>1</v>
      </c>
      <c r="E43" s="142">
        <v>1E-14</v>
      </c>
      <c r="F43" s="142">
        <v>1E-14</v>
      </c>
      <c r="G43" s="142">
        <v>1</v>
      </c>
      <c r="H43" s="142">
        <v>1E-14</v>
      </c>
      <c r="I43" s="142">
        <v>1</v>
      </c>
      <c r="J43" s="18">
        <v>3500</v>
      </c>
      <c r="K43" s="18">
        <v>3500</v>
      </c>
      <c r="L43" s="18">
        <v>-1</v>
      </c>
      <c r="M43" s="18">
        <v>-1</v>
      </c>
      <c r="N43" s="18">
        <v>525</v>
      </c>
      <c r="O43" s="18">
        <v>10.5</v>
      </c>
      <c r="P43" s="18">
        <v>1.1000000000000001</v>
      </c>
      <c r="Q43" s="18">
        <v>37</v>
      </c>
      <c r="R43" s="7"/>
      <c r="S43" s="7"/>
      <c r="T43" s="143" t="s">
        <v>0</v>
      </c>
      <c r="U43" s="77" t="s">
        <v>198</v>
      </c>
      <c r="V43" s="78">
        <v>37</v>
      </c>
      <c r="W43" s="78">
        <v>37</v>
      </c>
      <c r="X43" s="78">
        <v>37</v>
      </c>
      <c r="Y43" s="78">
        <v>37</v>
      </c>
      <c r="Z43" s="78">
        <v>37</v>
      </c>
      <c r="AA43" s="78">
        <v>37</v>
      </c>
      <c r="AB43" s="78">
        <v>37</v>
      </c>
      <c r="AC43" s="78">
        <v>37</v>
      </c>
      <c r="AD43" s="78">
        <v>37</v>
      </c>
      <c r="AE43" s="78">
        <v>37</v>
      </c>
      <c r="AF43" s="78">
        <v>37</v>
      </c>
      <c r="AG43" s="78">
        <v>37</v>
      </c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</row>
    <row r="44" spans="2:57" x14ac:dyDescent="0.25">
      <c r="B44" s="145" t="s">
        <v>5</v>
      </c>
      <c r="C44" s="142">
        <v>1E-14</v>
      </c>
      <c r="D44" s="142">
        <v>1</v>
      </c>
      <c r="E44" s="142">
        <v>1E-14</v>
      </c>
      <c r="F44" s="142">
        <v>1E-14</v>
      </c>
      <c r="G44" s="142">
        <v>1</v>
      </c>
      <c r="H44" s="142">
        <v>1</v>
      </c>
      <c r="I44" s="142">
        <v>1</v>
      </c>
      <c r="J44" s="18">
        <v>1E-14</v>
      </c>
      <c r="K44" s="18">
        <v>1E-14</v>
      </c>
      <c r="L44" s="18">
        <v>-1</v>
      </c>
      <c r="M44" s="18">
        <v>-1</v>
      </c>
      <c r="N44" s="18">
        <v>155</v>
      </c>
      <c r="O44" s="18">
        <v>14.5</v>
      </c>
      <c r="P44" s="18">
        <v>1.1000000000000001</v>
      </c>
      <c r="Q44" s="18">
        <v>37</v>
      </c>
      <c r="R44" s="7"/>
      <c r="S44" s="7"/>
      <c r="T44" s="143" t="s">
        <v>1</v>
      </c>
      <c r="U44" s="77" t="s">
        <v>194</v>
      </c>
      <c r="V44" s="78">
        <v>1E-14</v>
      </c>
      <c r="W44" s="78">
        <v>1E-14</v>
      </c>
      <c r="X44" s="78">
        <v>1E-14</v>
      </c>
      <c r="Y44" s="78">
        <v>1E-14</v>
      </c>
      <c r="Z44" s="78">
        <v>1E-14</v>
      </c>
      <c r="AA44" s="78">
        <v>1E-14</v>
      </c>
      <c r="AB44" s="78">
        <v>1E-14</v>
      </c>
      <c r="AC44" s="78">
        <v>1E-14</v>
      </c>
      <c r="AD44" s="78">
        <v>1E-14</v>
      </c>
      <c r="AE44" s="78">
        <v>1E-14</v>
      </c>
      <c r="AF44" s="78">
        <v>1E-14</v>
      </c>
      <c r="AG44" s="78">
        <v>1E-14</v>
      </c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</row>
    <row r="45" spans="2:57" x14ac:dyDescent="0.25">
      <c r="B45" s="145" t="s">
        <v>6</v>
      </c>
      <c r="C45" s="142">
        <v>1E-14</v>
      </c>
      <c r="D45" s="142">
        <v>1</v>
      </c>
      <c r="E45" s="142">
        <v>1E-14</v>
      </c>
      <c r="F45" s="142">
        <v>1E-14</v>
      </c>
      <c r="G45" s="142">
        <v>1</v>
      </c>
      <c r="H45" s="142">
        <v>1</v>
      </c>
      <c r="I45" s="142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525</v>
      </c>
      <c r="O45" s="18">
        <v>12</v>
      </c>
      <c r="P45" s="18">
        <v>1.1000000000000001</v>
      </c>
      <c r="Q45" s="18">
        <v>37</v>
      </c>
      <c r="R45" s="7"/>
      <c r="S45" s="7"/>
      <c r="T45" s="143" t="s">
        <v>1</v>
      </c>
      <c r="U45" s="77" t="s">
        <v>195</v>
      </c>
      <c r="V45" s="78">
        <v>1E-14</v>
      </c>
      <c r="W45" s="78">
        <v>1E-14</v>
      </c>
      <c r="X45" s="78">
        <v>1E-14</v>
      </c>
      <c r="Y45" s="78">
        <v>1E-14</v>
      </c>
      <c r="Z45" s="78">
        <v>1E-14</v>
      </c>
      <c r="AA45" s="78">
        <v>1E-14</v>
      </c>
      <c r="AB45" s="78">
        <v>1E-14</v>
      </c>
      <c r="AC45" s="78">
        <v>1E-14</v>
      </c>
      <c r="AD45" s="78">
        <v>1E-14</v>
      </c>
      <c r="AE45" s="78">
        <v>1E-14</v>
      </c>
      <c r="AF45" s="78">
        <v>1E-14</v>
      </c>
      <c r="AG45" s="78">
        <v>1E-14</v>
      </c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</row>
    <row r="46" spans="2:57" x14ac:dyDescent="0.25">
      <c r="B46" s="145" t="s">
        <v>7</v>
      </c>
      <c r="C46" s="142">
        <v>1</v>
      </c>
      <c r="D46" s="142">
        <v>1</v>
      </c>
      <c r="E46" s="142">
        <v>1E-14</v>
      </c>
      <c r="F46" s="142">
        <v>1E-14</v>
      </c>
      <c r="G46" s="142">
        <v>1</v>
      </c>
      <c r="H46" s="142">
        <v>1</v>
      </c>
      <c r="I46" s="142">
        <v>1</v>
      </c>
      <c r="J46" s="18">
        <v>7800</v>
      </c>
      <c r="K46" s="18">
        <v>7800</v>
      </c>
      <c r="L46" s="18">
        <v>-1</v>
      </c>
      <c r="M46" s="18">
        <v>-1</v>
      </c>
      <c r="N46" s="18">
        <v>525</v>
      </c>
      <c r="O46" s="18">
        <v>9</v>
      </c>
      <c r="P46" s="18">
        <v>1.1000000000000001</v>
      </c>
      <c r="Q46" s="18">
        <v>37</v>
      </c>
      <c r="R46" s="7"/>
      <c r="S46" s="7"/>
      <c r="T46" s="143" t="s">
        <v>1</v>
      </c>
      <c r="U46" s="77" t="s">
        <v>196</v>
      </c>
      <c r="V46" s="78">
        <v>10.5</v>
      </c>
      <c r="W46" s="78">
        <v>10.5</v>
      </c>
      <c r="X46" s="78">
        <v>10.5</v>
      </c>
      <c r="Y46" s="78">
        <v>10.5</v>
      </c>
      <c r="Z46" s="78">
        <v>10.5</v>
      </c>
      <c r="AA46" s="78">
        <v>10.5</v>
      </c>
      <c r="AB46" s="78">
        <v>10.5</v>
      </c>
      <c r="AC46" s="78">
        <v>10.5</v>
      </c>
      <c r="AD46" s="78">
        <v>10.5</v>
      </c>
      <c r="AE46" s="78">
        <v>10.5</v>
      </c>
      <c r="AF46" s="78">
        <v>10.5</v>
      </c>
      <c r="AG46" s="78">
        <v>10.5</v>
      </c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</row>
    <row r="47" spans="2:57" x14ac:dyDescent="0.25">
      <c r="B47" s="145" t="s">
        <v>8</v>
      </c>
      <c r="C47" s="142">
        <v>1E-14</v>
      </c>
      <c r="D47" s="142">
        <v>1</v>
      </c>
      <c r="E47" s="142">
        <v>1E-14</v>
      </c>
      <c r="F47" s="142">
        <v>1E-14</v>
      </c>
      <c r="G47" s="142">
        <v>1</v>
      </c>
      <c r="H47" s="142">
        <v>1</v>
      </c>
      <c r="I47" s="142">
        <v>1</v>
      </c>
      <c r="J47" s="18">
        <v>1E-14</v>
      </c>
      <c r="K47" s="18">
        <v>1E-14</v>
      </c>
      <c r="L47" s="18">
        <v>-1</v>
      </c>
      <c r="M47" s="18">
        <v>-1</v>
      </c>
      <c r="N47" s="18">
        <v>525</v>
      </c>
      <c r="O47" s="18">
        <v>11</v>
      </c>
      <c r="P47" s="18">
        <v>1.1000000000000001</v>
      </c>
      <c r="Q47" s="18">
        <v>37</v>
      </c>
      <c r="R47" s="7"/>
      <c r="S47" s="7"/>
      <c r="T47" s="143" t="s">
        <v>1</v>
      </c>
      <c r="U47" s="77" t="s">
        <v>197</v>
      </c>
      <c r="V47" s="78">
        <v>1E-14</v>
      </c>
      <c r="W47" s="78">
        <v>1E-14</v>
      </c>
      <c r="X47" s="78">
        <v>1E-14</v>
      </c>
      <c r="Y47" s="78">
        <v>1E-14</v>
      </c>
      <c r="Z47" s="78">
        <v>1E-14</v>
      </c>
      <c r="AA47" s="78">
        <v>1E-14</v>
      </c>
      <c r="AB47" s="78">
        <v>1E-14</v>
      </c>
      <c r="AC47" s="78">
        <v>1E-14</v>
      </c>
      <c r="AD47" s="78">
        <v>1E-14</v>
      </c>
      <c r="AE47" s="78">
        <v>1E-14</v>
      </c>
      <c r="AF47" s="78">
        <v>1E-14</v>
      </c>
      <c r="AG47" s="78">
        <v>1E-14</v>
      </c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</row>
    <row r="48" spans="2:57" x14ac:dyDescent="0.25">
      <c r="B48" s="145" t="s">
        <v>9</v>
      </c>
      <c r="C48" s="142">
        <v>1E-14</v>
      </c>
      <c r="D48" s="142">
        <v>1</v>
      </c>
      <c r="E48" s="142">
        <v>1E-14</v>
      </c>
      <c r="F48" s="142">
        <v>1E-14</v>
      </c>
      <c r="G48" s="142">
        <v>1</v>
      </c>
      <c r="H48" s="142">
        <v>1</v>
      </c>
      <c r="I48" s="142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9.5</v>
      </c>
      <c r="P48" s="18">
        <v>1.1000000000000001</v>
      </c>
      <c r="Q48" s="18">
        <v>37</v>
      </c>
      <c r="R48" s="7"/>
      <c r="S48" s="7"/>
      <c r="T48" s="143" t="s">
        <v>1</v>
      </c>
      <c r="U48" s="77" t="s">
        <v>198</v>
      </c>
      <c r="V48" s="78">
        <v>37</v>
      </c>
      <c r="W48" s="78">
        <v>37</v>
      </c>
      <c r="X48" s="78">
        <v>37</v>
      </c>
      <c r="Y48" s="78">
        <v>37</v>
      </c>
      <c r="Z48" s="78">
        <v>37</v>
      </c>
      <c r="AA48" s="78">
        <v>37</v>
      </c>
      <c r="AB48" s="78">
        <v>37</v>
      </c>
      <c r="AC48" s="78">
        <v>37</v>
      </c>
      <c r="AD48" s="78">
        <v>37</v>
      </c>
      <c r="AE48" s="78">
        <v>37</v>
      </c>
      <c r="AF48" s="78">
        <v>37</v>
      </c>
      <c r="AG48" s="78">
        <v>37</v>
      </c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</row>
    <row r="49" spans="2:57" x14ac:dyDescent="0.25">
      <c r="B49" s="145" t="s">
        <v>10</v>
      </c>
      <c r="C49" s="142">
        <v>1</v>
      </c>
      <c r="D49" s="142">
        <v>1</v>
      </c>
      <c r="E49" s="142">
        <v>1</v>
      </c>
      <c r="F49" s="142">
        <v>1E-14</v>
      </c>
      <c r="G49" s="142">
        <v>1</v>
      </c>
      <c r="H49" s="142">
        <v>1</v>
      </c>
      <c r="I49" s="142">
        <v>1</v>
      </c>
      <c r="J49" s="18">
        <v>5200</v>
      </c>
      <c r="K49" s="18">
        <v>5200</v>
      </c>
      <c r="L49" s="18">
        <v>1E-14</v>
      </c>
      <c r="M49" s="18">
        <v>1E-14</v>
      </c>
      <c r="N49" s="18">
        <v>525</v>
      </c>
      <c r="O49" s="18">
        <v>9</v>
      </c>
      <c r="P49" s="18">
        <v>1.1000000000000001</v>
      </c>
      <c r="Q49" s="18">
        <v>37</v>
      </c>
      <c r="R49" s="7"/>
      <c r="S49" s="7"/>
      <c r="T49" s="143" t="s">
        <v>2</v>
      </c>
      <c r="U49" s="77" t="s">
        <v>194</v>
      </c>
      <c r="V49" s="78">
        <v>1E-14</v>
      </c>
      <c r="W49" s="78">
        <v>1E-14</v>
      </c>
      <c r="X49" s="78">
        <v>1E-14</v>
      </c>
      <c r="Y49" s="78">
        <v>1E-14</v>
      </c>
      <c r="Z49" s="78">
        <v>1E-14</v>
      </c>
      <c r="AA49" s="78">
        <v>1E-14</v>
      </c>
      <c r="AB49" s="78">
        <v>1E-14</v>
      </c>
      <c r="AC49" s="78">
        <v>1E-14</v>
      </c>
      <c r="AD49" s="78">
        <v>1E-14</v>
      </c>
      <c r="AE49" s="78">
        <v>1E-14</v>
      </c>
      <c r="AF49" s="78">
        <v>1E-14</v>
      </c>
      <c r="AG49" s="78">
        <v>1E-14</v>
      </c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</row>
    <row r="50" spans="2:57" x14ac:dyDescent="0.25">
      <c r="B50" s="145" t="s">
        <v>11</v>
      </c>
      <c r="C50" s="142">
        <v>1</v>
      </c>
      <c r="D50" s="142">
        <v>1</v>
      </c>
      <c r="E50" s="142">
        <v>1E-14</v>
      </c>
      <c r="F50" s="142">
        <v>1E-14</v>
      </c>
      <c r="G50" s="142">
        <v>1</v>
      </c>
      <c r="H50" s="142">
        <v>1</v>
      </c>
      <c r="I50" s="142">
        <v>1</v>
      </c>
      <c r="J50" s="18">
        <v>500</v>
      </c>
      <c r="K50" s="18">
        <v>500</v>
      </c>
      <c r="L50" s="18">
        <v>-1</v>
      </c>
      <c r="M50" s="18">
        <v>-1</v>
      </c>
      <c r="N50" s="18">
        <v>785</v>
      </c>
      <c r="O50" s="18">
        <v>12</v>
      </c>
      <c r="P50" s="18">
        <v>1.1000000000000001</v>
      </c>
      <c r="Q50" s="18">
        <v>37</v>
      </c>
      <c r="R50" s="7"/>
      <c r="S50" s="7"/>
      <c r="T50" s="143" t="s">
        <v>2</v>
      </c>
      <c r="U50" s="77" t="s">
        <v>195</v>
      </c>
      <c r="V50" s="78">
        <v>1E-14</v>
      </c>
      <c r="W50" s="78">
        <v>1E-14</v>
      </c>
      <c r="X50" s="78">
        <v>1E-14</v>
      </c>
      <c r="Y50" s="78">
        <v>1E-14</v>
      </c>
      <c r="Z50" s="78">
        <v>1E-14</v>
      </c>
      <c r="AA50" s="78">
        <v>1E-14</v>
      </c>
      <c r="AB50" s="78">
        <v>1E-14</v>
      </c>
      <c r="AC50" s="78">
        <v>1E-14</v>
      </c>
      <c r="AD50" s="78">
        <v>1E-14</v>
      </c>
      <c r="AE50" s="78">
        <v>1E-14</v>
      </c>
      <c r="AF50" s="78">
        <v>1E-14</v>
      </c>
      <c r="AG50" s="78">
        <v>1E-14</v>
      </c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</row>
    <row r="51" spans="2:57" x14ac:dyDescent="0.25">
      <c r="B51" s="145" t="s">
        <v>12</v>
      </c>
      <c r="C51" s="142">
        <v>1E-14</v>
      </c>
      <c r="D51" s="142">
        <v>1</v>
      </c>
      <c r="E51" s="142">
        <v>1E-14</v>
      </c>
      <c r="F51" s="142">
        <v>1E-14</v>
      </c>
      <c r="G51" s="142">
        <v>1</v>
      </c>
      <c r="H51" s="142">
        <v>1</v>
      </c>
      <c r="I51" s="142">
        <v>1</v>
      </c>
      <c r="J51" s="18">
        <v>1E-14</v>
      </c>
      <c r="K51" s="18">
        <v>1E-14</v>
      </c>
      <c r="L51" s="18">
        <v>-1</v>
      </c>
      <c r="M51" s="18">
        <v>-1</v>
      </c>
      <c r="N51" s="18">
        <v>1E-14</v>
      </c>
      <c r="O51" s="18">
        <v>10</v>
      </c>
      <c r="P51" s="18">
        <v>1.1000000000000001</v>
      </c>
      <c r="Q51" s="18">
        <v>37</v>
      </c>
      <c r="R51" s="7"/>
      <c r="S51" s="7"/>
      <c r="T51" s="143" t="s">
        <v>2</v>
      </c>
      <c r="U51" s="77" t="s">
        <v>196</v>
      </c>
      <c r="V51" s="78">
        <v>10.5</v>
      </c>
      <c r="W51" s="78">
        <v>10.5</v>
      </c>
      <c r="X51" s="78">
        <v>10.5</v>
      </c>
      <c r="Y51" s="78">
        <v>10.5</v>
      </c>
      <c r="Z51" s="78">
        <v>10.5</v>
      </c>
      <c r="AA51" s="78">
        <v>10.5</v>
      </c>
      <c r="AB51" s="78">
        <v>10.5</v>
      </c>
      <c r="AC51" s="78">
        <v>10.5</v>
      </c>
      <c r="AD51" s="78">
        <v>10.5</v>
      </c>
      <c r="AE51" s="78">
        <v>10.5</v>
      </c>
      <c r="AF51" s="78">
        <v>10.5</v>
      </c>
      <c r="AG51" s="78">
        <v>10.5</v>
      </c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</row>
    <row r="52" spans="2:57" x14ac:dyDescent="0.25">
      <c r="B52" s="145" t="s">
        <v>13</v>
      </c>
      <c r="C52" s="142">
        <v>1E-14</v>
      </c>
      <c r="D52" s="142">
        <v>1</v>
      </c>
      <c r="E52" s="142">
        <v>1E-14</v>
      </c>
      <c r="F52" s="142">
        <v>1E-14</v>
      </c>
      <c r="G52" s="142">
        <v>1</v>
      </c>
      <c r="H52" s="142">
        <v>1</v>
      </c>
      <c r="I52" s="142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525</v>
      </c>
      <c r="O52" s="18">
        <v>11</v>
      </c>
      <c r="P52" s="18">
        <v>1.1000000000000001</v>
      </c>
      <c r="Q52" s="18">
        <v>37</v>
      </c>
      <c r="R52" s="7"/>
      <c r="S52" s="7"/>
      <c r="T52" s="143" t="s">
        <v>2</v>
      </c>
      <c r="U52" s="77" t="s">
        <v>197</v>
      </c>
      <c r="V52" s="78">
        <v>1E-14</v>
      </c>
      <c r="W52" s="78">
        <v>1E-14</v>
      </c>
      <c r="X52" s="78">
        <v>1E-14</v>
      </c>
      <c r="Y52" s="78">
        <v>1E-14</v>
      </c>
      <c r="Z52" s="78">
        <v>1E-14</v>
      </c>
      <c r="AA52" s="78">
        <v>1E-14</v>
      </c>
      <c r="AB52" s="78">
        <v>1E-14</v>
      </c>
      <c r="AC52" s="78">
        <v>1E-14</v>
      </c>
      <c r="AD52" s="78">
        <v>1E-14</v>
      </c>
      <c r="AE52" s="78">
        <v>1E-14</v>
      </c>
      <c r="AF52" s="78">
        <v>1E-14</v>
      </c>
      <c r="AG52" s="78">
        <v>1E-14</v>
      </c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</row>
    <row r="53" spans="2:57" x14ac:dyDescent="0.25">
      <c r="B53" s="145" t="s">
        <v>14</v>
      </c>
      <c r="C53" s="142">
        <v>1</v>
      </c>
      <c r="D53" s="142">
        <v>1</v>
      </c>
      <c r="E53" s="142">
        <v>1E-14</v>
      </c>
      <c r="F53" s="142">
        <v>1E-14</v>
      </c>
      <c r="G53" s="142">
        <v>1</v>
      </c>
      <c r="H53" s="142">
        <v>1</v>
      </c>
      <c r="I53" s="142">
        <v>1</v>
      </c>
      <c r="J53" s="18">
        <v>40000</v>
      </c>
      <c r="K53" s="18">
        <v>40000</v>
      </c>
      <c r="L53" s="18">
        <v>-1</v>
      </c>
      <c r="M53" s="18">
        <v>-1</v>
      </c>
      <c r="N53" s="18">
        <v>400</v>
      </c>
      <c r="O53" s="18">
        <v>10.5</v>
      </c>
      <c r="P53" s="18">
        <v>1.1000000000000001</v>
      </c>
      <c r="Q53" s="18">
        <v>37</v>
      </c>
      <c r="R53" s="7"/>
      <c r="S53" s="7"/>
      <c r="T53" s="143" t="s">
        <v>2</v>
      </c>
      <c r="U53" s="77" t="s">
        <v>198</v>
      </c>
      <c r="V53" s="78">
        <v>37</v>
      </c>
      <c r="W53" s="78">
        <v>37</v>
      </c>
      <c r="X53" s="78">
        <v>37</v>
      </c>
      <c r="Y53" s="78">
        <v>37</v>
      </c>
      <c r="Z53" s="78">
        <v>37</v>
      </c>
      <c r="AA53" s="78">
        <v>37</v>
      </c>
      <c r="AB53" s="78">
        <v>37</v>
      </c>
      <c r="AC53" s="78">
        <v>37</v>
      </c>
      <c r="AD53" s="78">
        <v>37</v>
      </c>
      <c r="AE53" s="78">
        <v>37</v>
      </c>
      <c r="AF53" s="78">
        <v>37</v>
      </c>
      <c r="AG53" s="78">
        <v>37</v>
      </c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</row>
    <row r="54" spans="2:57" x14ac:dyDescent="0.25">
      <c r="B54" s="145" t="s">
        <v>15</v>
      </c>
      <c r="C54" s="142">
        <v>1</v>
      </c>
      <c r="D54" s="142">
        <v>1</v>
      </c>
      <c r="E54" s="142">
        <v>1E-14</v>
      </c>
      <c r="F54" s="142">
        <v>1E-14</v>
      </c>
      <c r="G54" s="142">
        <v>1</v>
      </c>
      <c r="H54" s="142">
        <v>1</v>
      </c>
      <c r="I54" s="142">
        <v>1</v>
      </c>
      <c r="J54" s="18">
        <v>2000</v>
      </c>
      <c r="K54" s="18">
        <v>2000</v>
      </c>
      <c r="L54" s="18">
        <v>-1</v>
      </c>
      <c r="M54" s="18">
        <v>-1</v>
      </c>
      <c r="N54" s="18">
        <v>515</v>
      </c>
      <c r="O54" s="18">
        <v>10.5</v>
      </c>
      <c r="P54" s="18">
        <v>1.1000000000000001</v>
      </c>
      <c r="Q54" s="18">
        <v>37</v>
      </c>
      <c r="R54" s="7"/>
      <c r="S54" s="7"/>
      <c r="T54" s="143" t="s">
        <v>3</v>
      </c>
      <c r="U54" s="77" t="s">
        <v>194</v>
      </c>
      <c r="V54" s="78">
        <v>2405.75</v>
      </c>
      <c r="W54" s="78">
        <v>1E-14</v>
      </c>
      <c r="X54" s="78">
        <v>2405.75</v>
      </c>
      <c r="Y54" s="78">
        <v>1E-14</v>
      </c>
      <c r="Z54" s="78">
        <v>1E-14</v>
      </c>
      <c r="AA54" s="78">
        <v>2405.75</v>
      </c>
      <c r="AB54" s="78">
        <v>2405.75</v>
      </c>
      <c r="AC54" s="78">
        <v>2405.75</v>
      </c>
      <c r="AD54" s="78">
        <v>2405.75</v>
      </c>
      <c r="AE54" s="78">
        <v>2405.75</v>
      </c>
      <c r="AF54" s="78">
        <v>2405.75</v>
      </c>
      <c r="AG54" s="78">
        <v>2405.75</v>
      </c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</row>
    <row r="55" spans="2:57" x14ac:dyDescent="0.25">
      <c r="B55" s="145" t="s">
        <v>16</v>
      </c>
      <c r="C55" s="142">
        <v>1E-14</v>
      </c>
      <c r="D55" s="142">
        <v>1</v>
      </c>
      <c r="E55" s="142">
        <v>1</v>
      </c>
      <c r="F55" s="142">
        <v>1E-14</v>
      </c>
      <c r="G55" s="142">
        <v>1</v>
      </c>
      <c r="H55" s="142">
        <v>1</v>
      </c>
      <c r="I55" s="142">
        <v>1</v>
      </c>
      <c r="J55" s="18">
        <v>1E-14</v>
      </c>
      <c r="K55" s="18">
        <v>1E-14</v>
      </c>
      <c r="L55" s="18">
        <v>1E-14</v>
      </c>
      <c r="M55" s="18">
        <v>1E-14</v>
      </c>
      <c r="N55" s="18">
        <v>1E-14</v>
      </c>
      <c r="O55" s="18">
        <v>13</v>
      </c>
      <c r="P55" s="18">
        <v>1.1000000000000001</v>
      </c>
      <c r="Q55" s="18">
        <v>37</v>
      </c>
      <c r="R55" s="7"/>
      <c r="S55" s="7"/>
      <c r="T55" s="143" t="s">
        <v>3</v>
      </c>
      <c r="U55" s="77" t="s">
        <v>195</v>
      </c>
      <c r="V55" s="78">
        <v>2405.75</v>
      </c>
      <c r="W55" s="78">
        <v>2405.75</v>
      </c>
      <c r="X55" s="78">
        <v>2405.75</v>
      </c>
      <c r="Y55" s="78">
        <v>2405.75</v>
      </c>
      <c r="Z55" s="78">
        <v>2405.75</v>
      </c>
      <c r="AA55" s="78">
        <v>2405.75</v>
      </c>
      <c r="AB55" s="78">
        <v>2405.75</v>
      </c>
      <c r="AC55" s="78">
        <v>2405.75</v>
      </c>
      <c r="AD55" s="78">
        <v>2405.75</v>
      </c>
      <c r="AE55" s="78">
        <v>2405.75</v>
      </c>
      <c r="AF55" s="78">
        <v>2405.75</v>
      </c>
      <c r="AG55" s="78">
        <v>2405.75</v>
      </c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</row>
    <row r="56" spans="2:57" x14ac:dyDescent="0.25">
      <c r="B56" s="145" t="s">
        <v>18</v>
      </c>
      <c r="C56" s="142">
        <v>1</v>
      </c>
      <c r="D56" s="142">
        <v>1</v>
      </c>
      <c r="E56" s="142">
        <v>1</v>
      </c>
      <c r="F56" s="142">
        <v>1E-14</v>
      </c>
      <c r="G56" s="142">
        <v>1</v>
      </c>
      <c r="H56" s="142">
        <v>1</v>
      </c>
      <c r="I56" s="142">
        <v>1</v>
      </c>
      <c r="J56" s="18">
        <v>1500</v>
      </c>
      <c r="K56" s="18">
        <v>1500</v>
      </c>
      <c r="L56" s="18">
        <v>1E-14</v>
      </c>
      <c r="M56" s="18">
        <v>1E-14</v>
      </c>
      <c r="N56" s="18">
        <v>1E-14</v>
      </c>
      <c r="O56" s="18">
        <v>14.5</v>
      </c>
      <c r="P56" s="18">
        <v>1.1000000000000001</v>
      </c>
      <c r="Q56" s="18">
        <v>37</v>
      </c>
      <c r="R56" s="7"/>
      <c r="S56" s="7"/>
      <c r="T56" s="143" t="s">
        <v>3</v>
      </c>
      <c r="U56" s="77" t="s">
        <v>196</v>
      </c>
      <c r="V56" s="78">
        <v>9.4</v>
      </c>
      <c r="W56" s="78">
        <v>9.4</v>
      </c>
      <c r="X56" s="78">
        <v>9.4</v>
      </c>
      <c r="Y56" s="78">
        <v>9.4</v>
      </c>
      <c r="Z56" s="78">
        <v>9.4</v>
      </c>
      <c r="AA56" s="78">
        <v>9.4</v>
      </c>
      <c r="AB56" s="78">
        <v>9.4</v>
      </c>
      <c r="AC56" s="78">
        <v>9.4</v>
      </c>
      <c r="AD56" s="78">
        <v>9.4</v>
      </c>
      <c r="AE56" s="78">
        <v>9.4</v>
      </c>
      <c r="AF56" s="78">
        <v>9.4</v>
      </c>
      <c r="AG56" s="78">
        <v>9.4</v>
      </c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</row>
    <row r="57" spans="2:57" x14ac:dyDescent="0.25">
      <c r="B57" s="145" t="s">
        <v>19</v>
      </c>
      <c r="C57" s="142">
        <v>1E-14</v>
      </c>
      <c r="D57" s="142">
        <v>1</v>
      </c>
      <c r="E57" s="142">
        <v>1E-14</v>
      </c>
      <c r="F57" s="142">
        <v>1E-14</v>
      </c>
      <c r="G57" s="142">
        <v>1</v>
      </c>
      <c r="H57" s="142">
        <v>1</v>
      </c>
      <c r="I57" s="142">
        <v>1</v>
      </c>
      <c r="J57" s="18">
        <v>1E-14</v>
      </c>
      <c r="K57" s="18">
        <v>1E-14</v>
      </c>
      <c r="L57" s="18">
        <v>-1</v>
      </c>
      <c r="M57" s="18">
        <v>-1</v>
      </c>
      <c r="N57" s="18">
        <v>1E-14</v>
      </c>
      <c r="O57" s="18">
        <v>14.7</v>
      </c>
      <c r="P57" s="18">
        <v>1.1000000000000001</v>
      </c>
      <c r="Q57" s="18">
        <v>37</v>
      </c>
      <c r="R57" s="7"/>
      <c r="S57" s="7"/>
      <c r="T57" s="143" t="s">
        <v>3</v>
      </c>
      <c r="U57" s="77" t="s">
        <v>197</v>
      </c>
      <c r="V57" s="78">
        <v>525</v>
      </c>
      <c r="W57" s="78">
        <v>525</v>
      </c>
      <c r="X57" s="78">
        <v>525</v>
      </c>
      <c r="Y57" s="78">
        <v>525</v>
      </c>
      <c r="Z57" s="78">
        <v>525</v>
      </c>
      <c r="AA57" s="78">
        <v>525</v>
      </c>
      <c r="AB57" s="78">
        <v>525</v>
      </c>
      <c r="AC57" s="78">
        <v>525</v>
      </c>
      <c r="AD57" s="78">
        <v>525</v>
      </c>
      <c r="AE57" s="78">
        <v>525</v>
      </c>
      <c r="AF57" s="78">
        <v>525</v>
      </c>
      <c r="AG57" s="78">
        <v>525</v>
      </c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</row>
    <row r="58" spans="2:57" x14ac:dyDescent="0.25">
      <c r="B58" s="145" t="s">
        <v>20</v>
      </c>
      <c r="C58" s="142">
        <v>1</v>
      </c>
      <c r="D58" s="142">
        <v>1</v>
      </c>
      <c r="E58" s="142">
        <v>1E-14</v>
      </c>
      <c r="F58" s="142">
        <v>1E-14</v>
      </c>
      <c r="G58" s="142">
        <v>1</v>
      </c>
      <c r="H58" s="142">
        <v>1</v>
      </c>
      <c r="I58" s="142">
        <v>1</v>
      </c>
      <c r="J58" s="18">
        <v>120</v>
      </c>
      <c r="K58" s="18">
        <v>120</v>
      </c>
      <c r="L58" s="18">
        <v>-1</v>
      </c>
      <c r="M58" s="18">
        <v>-1</v>
      </c>
      <c r="N58" s="18">
        <v>685</v>
      </c>
      <c r="O58" s="18">
        <v>14</v>
      </c>
      <c r="P58" s="18">
        <v>1.1000000000000001</v>
      </c>
      <c r="Q58" s="18">
        <v>37</v>
      </c>
      <c r="R58" s="7"/>
      <c r="S58" s="7"/>
      <c r="T58" s="143" t="s">
        <v>3</v>
      </c>
      <c r="U58" s="77" t="s">
        <v>198</v>
      </c>
      <c r="V58" s="78">
        <v>37</v>
      </c>
      <c r="W58" s="78">
        <v>37</v>
      </c>
      <c r="X58" s="78">
        <v>37</v>
      </c>
      <c r="Y58" s="78">
        <v>37</v>
      </c>
      <c r="Z58" s="78">
        <v>37</v>
      </c>
      <c r="AA58" s="78">
        <v>37</v>
      </c>
      <c r="AB58" s="78">
        <v>37</v>
      </c>
      <c r="AC58" s="78">
        <v>37</v>
      </c>
      <c r="AD58" s="78">
        <v>37</v>
      </c>
      <c r="AE58" s="78">
        <v>37</v>
      </c>
      <c r="AF58" s="78">
        <v>37</v>
      </c>
      <c r="AG58" s="78">
        <v>37</v>
      </c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</row>
    <row r="59" spans="2:57" x14ac:dyDescent="0.25">
      <c r="B59" s="145" t="s">
        <v>17</v>
      </c>
      <c r="C59" s="142">
        <v>1</v>
      </c>
      <c r="D59" s="142">
        <v>1</v>
      </c>
      <c r="E59" s="142">
        <v>1</v>
      </c>
      <c r="F59" s="142">
        <v>1E-14</v>
      </c>
      <c r="G59" s="142">
        <v>1</v>
      </c>
      <c r="H59" s="142">
        <v>1</v>
      </c>
      <c r="I59" s="142">
        <v>1</v>
      </c>
      <c r="J59" s="18">
        <v>150</v>
      </c>
      <c r="K59" s="18">
        <v>150</v>
      </c>
      <c r="L59" s="18">
        <v>1E-14</v>
      </c>
      <c r="M59" s="18">
        <v>1E-14</v>
      </c>
      <c r="N59" s="18">
        <v>-155</v>
      </c>
      <c r="O59" s="18">
        <v>9</v>
      </c>
      <c r="P59" s="18">
        <v>1.1000000000000001</v>
      </c>
      <c r="Q59" s="18">
        <v>1E-14</v>
      </c>
      <c r="R59" s="7"/>
      <c r="S59" s="7"/>
      <c r="T59" s="143" t="s">
        <v>4</v>
      </c>
      <c r="U59" s="77" t="s">
        <v>194</v>
      </c>
      <c r="V59" s="78">
        <v>291.66666666666669</v>
      </c>
      <c r="W59" s="78">
        <v>1E-14</v>
      </c>
      <c r="X59" s="78">
        <v>291.66666666666669</v>
      </c>
      <c r="Y59" s="78">
        <v>291.66666666666669</v>
      </c>
      <c r="Z59" s="78">
        <v>291.66666666666669</v>
      </c>
      <c r="AA59" s="78">
        <v>291.66666666666669</v>
      </c>
      <c r="AB59" s="78">
        <v>291.66666666666669</v>
      </c>
      <c r="AC59" s="78">
        <v>291.66666666666669</v>
      </c>
      <c r="AD59" s="78">
        <v>291.66666666666669</v>
      </c>
      <c r="AE59" s="78">
        <v>291.66666666666669</v>
      </c>
      <c r="AF59" s="78">
        <v>291.66666666666669</v>
      </c>
      <c r="AG59" s="78">
        <v>291.66666666666669</v>
      </c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</row>
    <row r="60" spans="2:57" x14ac:dyDescent="0.25">
      <c r="B60" s="145" t="s">
        <v>28</v>
      </c>
      <c r="C60" s="142">
        <v>1E-14</v>
      </c>
      <c r="D60" s="142">
        <v>1</v>
      </c>
      <c r="E60" s="142">
        <v>1</v>
      </c>
      <c r="F60" s="142">
        <v>1</v>
      </c>
      <c r="G60" s="142">
        <v>1</v>
      </c>
      <c r="H60" s="142">
        <v>1</v>
      </c>
      <c r="I60" s="142">
        <v>1</v>
      </c>
      <c r="J60" s="18">
        <v>1E-14</v>
      </c>
      <c r="K60" s="18">
        <v>36000</v>
      </c>
      <c r="L60" s="18">
        <v>1E-14</v>
      </c>
      <c r="M60" s="18">
        <v>1E-14</v>
      </c>
      <c r="N60" s="18">
        <v>-50</v>
      </c>
      <c r="O60" s="18">
        <v>11.5</v>
      </c>
      <c r="P60" s="18">
        <v>1E-14</v>
      </c>
      <c r="Q60" s="18">
        <v>1E-14</v>
      </c>
      <c r="R60" s="7"/>
      <c r="S60" s="7"/>
      <c r="T60" s="143" t="s">
        <v>4</v>
      </c>
      <c r="U60" s="77" t="s">
        <v>195</v>
      </c>
      <c r="V60" s="78">
        <v>291.66666666666669</v>
      </c>
      <c r="W60" s="78">
        <v>291.66666666666669</v>
      </c>
      <c r="X60" s="78">
        <v>291.66666666666669</v>
      </c>
      <c r="Y60" s="78">
        <v>291.66666666666669</v>
      </c>
      <c r="Z60" s="78">
        <v>291.66666666666669</v>
      </c>
      <c r="AA60" s="78">
        <v>291.66666666666669</v>
      </c>
      <c r="AB60" s="78">
        <v>291.66666666666669</v>
      </c>
      <c r="AC60" s="78">
        <v>291.66666666666669</v>
      </c>
      <c r="AD60" s="78">
        <v>291.66666666666669</v>
      </c>
      <c r="AE60" s="78">
        <v>291.66666666666669</v>
      </c>
      <c r="AF60" s="78">
        <v>291.66666666666669</v>
      </c>
      <c r="AG60" s="78">
        <v>291.66666666666669</v>
      </c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  <c r="BE60" s="78"/>
    </row>
    <row r="61" spans="2:57" x14ac:dyDescent="0.25">
      <c r="B61" s="145" t="s">
        <v>29</v>
      </c>
      <c r="C61" s="142">
        <v>1E-14</v>
      </c>
      <c r="D61" s="142">
        <v>1</v>
      </c>
      <c r="E61" s="142">
        <v>1E-14</v>
      </c>
      <c r="F61" s="142">
        <v>1</v>
      </c>
      <c r="G61" s="142">
        <v>1</v>
      </c>
      <c r="H61" s="142">
        <v>1</v>
      </c>
      <c r="I61" s="142">
        <v>1</v>
      </c>
      <c r="J61" s="18">
        <v>1E-14</v>
      </c>
      <c r="K61" s="18">
        <v>40000</v>
      </c>
      <c r="L61" s="18">
        <v>-1</v>
      </c>
      <c r="M61" s="18">
        <v>-1</v>
      </c>
      <c r="N61" s="18">
        <v>450</v>
      </c>
      <c r="O61" s="18">
        <v>10.5</v>
      </c>
      <c r="P61" s="18">
        <v>1E-14</v>
      </c>
      <c r="Q61" s="18">
        <v>37</v>
      </c>
      <c r="R61" s="7"/>
      <c r="S61" s="7"/>
      <c r="T61" s="143" t="s">
        <v>4</v>
      </c>
      <c r="U61" s="77" t="s">
        <v>196</v>
      </c>
      <c r="V61" s="78">
        <v>10.5</v>
      </c>
      <c r="W61" s="78">
        <v>10.5</v>
      </c>
      <c r="X61" s="78">
        <v>10.5</v>
      </c>
      <c r="Y61" s="78">
        <v>10.5</v>
      </c>
      <c r="Z61" s="78">
        <v>10.5</v>
      </c>
      <c r="AA61" s="78">
        <v>10.5</v>
      </c>
      <c r="AB61" s="78">
        <v>10.5</v>
      </c>
      <c r="AC61" s="78">
        <v>10.5</v>
      </c>
      <c r="AD61" s="78">
        <v>10.5</v>
      </c>
      <c r="AE61" s="78">
        <v>10.5</v>
      </c>
      <c r="AF61" s="78">
        <v>10.5</v>
      </c>
      <c r="AG61" s="78">
        <v>10.5</v>
      </c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</row>
    <row r="62" spans="2:57" x14ac:dyDescent="0.25">
      <c r="B62" s="145" t="s">
        <v>62</v>
      </c>
      <c r="C62" s="142">
        <v>1E-14</v>
      </c>
      <c r="D62" s="142">
        <v>1</v>
      </c>
      <c r="E62" s="142">
        <v>1E-14</v>
      </c>
      <c r="F62" s="142">
        <v>1</v>
      </c>
      <c r="G62" s="142">
        <v>1</v>
      </c>
      <c r="H62" s="142">
        <v>1E-14</v>
      </c>
      <c r="I62" s="142">
        <v>1</v>
      </c>
      <c r="J62" s="18">
        <v>1E-14</v>
      </c>
      <c r="K62" s="18">
        <v>30000</v>
      </c>
      <c r="L62" s="18">
        <v>-1</v>
      </c>
      <c r="M62" s="18">
        <v>-1</v>
      </c>
      <c r="N62" s="18">
        <v>500</v>
      </c>
      <c r="O62" s="18">
        <v>9.5</v>
      </c>
      <c r="P62" s="18">
        <v>1E-14</v>
      </c>
      <c r="Q62" s="18">
        <v>37</v>
      </c>
      <c r="R62" s="7"/>
      <c r="S62" s="7"/>
      <c r="T62" s="143" t="s">
        <v>4</v>
      </c>
      <c r="U62" s="77" t="s">
        <v>197</v>
      </c>
      <c r="V62" s="78">
        <v>525</v>
      </c>
      <c r="W62" s="78">
        <v>525</v>
      </c>
      <c r="X62" s="78">
        <v>525</v>
      </c>
      <c r="Y62" s="78">
        <v>525</v>
      </c>
      <c r="Z62" s="78">
        <v>525</v>
      </c>
      <c r="AA62" s="78">
        <v>525</v>
      </c>
      <c r="AB62" s="78">
        <v>525</v>
      </c>
      <c r="AC62" s="78">
        <v>525</v>
      </c>
      <c r="AD62" s="78">
        <v>525</v>
      </c>
      <c r="AE62" s="78">
        <v>525</v>
      </c>
      <c r="AF62" s="78">
        <v>525</v>
      </c>
      <c r="AG62" s="78">
        <v>525</v>
      </c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</row>
    <row r="63" spans="2:57" x14ac:dyDescent="0.25">
      <c r="B63" s="145" t="s">
        <v>63</v>
      </c>
      <c r="C63" s="142">
        <v>1E-14</v>
      </c>
      <c r="D63" s="142">
        <v>1</v>
      </c>
      <c r="E63" s="142">
        <v>1E-14</v>
      </c>
      <c r="F63" s="142">
        <v>1</v>
      </c>
      <c r="G63" s="142">
        <v>1</v>
      </c>
      <c r="H63" s="142">
        <v>1E-14</v>
      </c>
      <c r="I63" s="142">
        <v>1</v>
      </c>
      <c r="J63" s="18">
        <v>1E-14</v>
      </c>
      <c r="K63" s="18">
        <v>20000</v>
      </c>
      <c r="L63" s="18">
        <v>-1</v>
      </c>
      <c r="M63" s="18">
        <v>-1</v>
      </c>
      <c r="N63" s="18">
        <v>550</v>
      </c>
      <c r="O63" s="18">
        <v>8.5</v>
      </c>
      <c r="P63" s="18">
        <v>1E-14</v>
      </c>
      <c r="Q63" s="18">
        <v>37</v>
      </c>
      <c r="R63" s="7"/>
      <c r="S63" s="7"/>
      <c r="T63" s="143" t="s">
        <v>4</v>
      </c>
      <c r="U63" s="77" t="s">
        <v>198</v>
      </c>
      <c r="V63" s="78">
        <v>37</v>
      </c>
      <c r="W63" s="78">
        <v>37</v>
      </c>
      <c r="X63" s="78">
        <v>37</v>
      </c>
      <c r="Y63" s="78">
        <v>37</v>
      </c>
      <c r="Z63" s="78">
        <v>37</v>
      </c>
      <c r="AA63" s="78">
        <v>37</v>
      </c>
      <c r="AB63" s="78">
        <v>37</v>
      </c>
      <c r="AC63" s="78">
        <v>37</v>
      </c>
      <c r="AD63" s="78">
        <v>37</v>
      </c>
      <c r="AE63" s="78">
        <v>37</v>
      </c>
      <c r="AF63" s="78">
        <v>37</v>
      </c>
      <c r="AG63" s="78">
        <v>37</v>
      </c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</row>
    <row r="64" spans="2:57" x14ac:dyDescent="0.25">
      <c r="B64" s="145" t="s">
        <v>64</v>
      </c>
      <c r="C64" s="142">
        <v>1E-14</v>
      </c>
      <c r="D64" s="142">
        <v>1</v>
      </c>
      <c r="E64" s="142">
        <v>1E-14</v>
      </c>
      <c r="F64" s="142">
        <v>1</v>
      </c>
      <c r="G64" s="142">
        <v>1</v>
      </c>
      <c r="H64" s="142">
        <v>1E-14</v>
      </c>
      <c r="I64" s="142">
        <v>1</v>
      </c>
      <c r="J64" s="18">
        <v>1E-14</v>
      </c>
      <c r="K64" s="18">
        <v>10000</v>
      </c>
      <c r="L64" s="18">
        <v>-1</v>
      </c>
      <c r="M64" s="18">
        <v>-1</v>
      </c>
      <c r="N64" s="18">
        <v>600</v>
      </c>
      <c r="O64" s="18">
        <v>7.5</v>
      </c>
      <c r="P64" s="18">
        <v>1E-14</v>
      </c>
      <c r="Q64" s="18">
        <v>37</v>
      </c>
      <c r="R64" s="7"/>
      <c r="S64" s="7"/>
      <c r="T64" s="143" t="s">
        <v>5</v>
      </c>
      <c r="U64" s="77" t="s">
        <v>194</v>
      </c>
      <c r="V64" s="78">
        <v>1E-14</v>
      </c>
      <c r="W64" s="78">
        <v>1E-14</v>
      </c>
      <c r="X64" s="78">
        <v>1E-14</v>
      </c>
      <c r="Y64" s="78">
        <v>1E-14</v>
      </c>
      <c r="Z64" s="78">
        <v>1E-14</v>
      </c>
      <c r="AA64" s="78">
        <v>1E-14</v>
      </c>
      <c r="AB64" s="78">
        <v>1E-14</v>
      </c>
      <c r="AC64" s="78">
        <v>1E-14</v>
      </c>
      <c r="AD64" s="78">
        <v>1E-14</v>
      </c>
      <c r="AE64" s="78">
        <v>1E-14</v>
      </c>
      <c r="AF64" s="78">
        <v>1E-14</v>
      </c>
      <c r="AG64" s="78">
        <v>1E-14</v>
      </c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</row>
    <row r="65" spans="2:57" x14ac:dyDescent="0.25">
      <c r="B65" s="145" t="s">
        <v>21</v>
      </c>
      <c r="C65" s="142">
        <v>1</v>
      </c>
      <c r="D65" s="142">
        <v>2</v>
      </c>
      <c r="E65" s="142">
        <v>1E-14</v>
      </c>
      <c r="F65" s="142">
        <v>1</v>
      </c>
      <c r="G65" s="142">
        <v>1E-14</v>
      </c>
      <c r="H65" s="142">
        <v>1E-14</v>
      </c>
      <c r="I65" s="142">
        <v>1E-14</v>
      </c>
      <c r="J65" s="18">
        <v>1E-14</v>
      </c>
      <c r="K65" s="18">
        <v>1E-14</v>
      </c>
      <c r="L65" s="18">
        <v>1E-14</v>
      </c>
      <c r="M65" s="18">
        <v>1E-14</v>
      </c>
      <c r="N65" s="18">
        <v>-470</v>
      </c>
      <c r="O65" s="18">
        <v>9.4</v>
      </c>
      <c r="P65" s="18">
        <v>1E-14</v>
      </c>
      <c r="Q65" s="18">
        <v>1E-14</v>
      </c>
      <c r="R65" s="7"/>
      <c r="S65" s="7"/>
      <c r="T65" s="143" t="s">
        <v>5</v>
      </c>
      <c r="U65" s="77" t="s">
        <v>195</v>
      </c>
      <c r="V65" s="78">
        <v>1E-14</v>
      </c>
      <c r="W65" s="78">
        <v>1E-14</v>
      </c>
      <c r="X65" s="78">
        <v>1E-14</v>
      </c>
      <c r="Y65" s="78">
        <v>1E-14</v>
      </c>
      <c r="Z65" s="78">
        <v>1E-14</v>
      </c>
      <c r="AA65" s="78">
        <v>1E-14</v>
      </c>
      <c r="AB65" s="78">
        <v>1E-14</v>
      </c>
      <c r="AC65" s="78">
        <v>1E-14</v>
      </c>
      <c r="AD65" s="78">
        <v>1E-14</v>
      </c>
      <c r="AE65" s="78">
        <v>1E-14</v>
      </c>
      <c r="AF65" s="78">
        <v>1E-14</v>
      </c>
      <c r="AG65" s="78">
        <v>1E-14</v>
      </c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</row>
    <row r="66" spans="2:57" x14ac:dyDescent="0.25">
      <c r="B66" s="145" t="s">
        <v>22</v>
      </c>
      <c r="C66" s="142">
        <v>1</v>
      </c>
      <c r="D66" s="142">
        <v>3</v>
      </c>
      <c r="E66" s="142">
        <v>1E-14</v>
      </c>
      <c r="F66" s="142">
        <v>1</v>
      </c>
      <c r="G66" s="142">
        <v>1E-14</v>
      </c>
      <c r="H66" s="142">
        <v>1E-14</v>
      </c>
      <c r="I66" s="142">
        <v>1E-14</v>
      </c>
      <c r="J66" s="18">
        <v>1E-14</v>
      </c>
      <c r="K66" s="18">
        <v>11000</v>
      </c>
      <c r="L66" s="18">
        <v>1E-14</v>
      </c>
      <c r="M66" s="18">
        <v>1E-14</v>
      </c>
      <c r="N66" s="18">
        <v>-189</v>
      </c>
      <c r="O66" s="18">
        <v>3.6</v>
      </c>
      <c r="P66" s="18">
        <v>1E-14</v>
      </c>
      <c r="Q66" s="18">
        <v>1E-14</v>
      </c>
      <c r="R66" s="7"/>
      <c r="S66" s="7"/>
      <c r="T66" s="143" t="s">
        <v>5</v>
      </c>
      <c r="U66" s="77" t="s">
        <v>196</v>
      </c>
      <c r="V66" s="78">
        <v>14.5</v>
      </c>
      <c r="W66" s="78">
        <v>14.5</v>
      </c>
      <c r="X66" s="78">
        <v>14.5</v>
      </c>
      <c r="Y66" s="78">
        <v>14.5</v>
      </c>
      <c r="Z66" s="78">
        <v>14.5</v>
      </c>
      <c r="AA66" s="78">
        <v>14.5</v>
      </c>
      <c r="AB66" s="78">
        <v>14.5</v>
      </c>
      <c r="AC66" s="78">
        <v>14.5</v>
      </c>
      <c r="AD66" s="78">
        <v>14.5</v>
      </c>
      <c r="AE66" s="78">
        <v>14.5</v>
      </c>
      <c r="AF66" s="78">
        <v>14.5</v>
      </c>
      <c r="AG66" s="78">
        <v>14.5</v>
      </c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</row>
    <row r="67" spans="2:57" x14ac:dyDescent="0.25">
      <c r="B67" s="145" t="s">
        <v>27</v>
      </c>
      <c r="C67" s="142">
        <v>1</v>
      </c>
      <c r="D67" s="142">
        <v>4</v>
      </c>
      <c r="E67" s="142">
        <v>1E-14</v>
      </c>
      <c r="F67" s="142">
        <v>1</v>
      </c>
      <c r="G67" s="142">
        <v>1E-14</v>
      </c>
      <c r="H67" s="142">
        <v>1E-14</v>
      </c>
      <c r="I67" s="142">
        <v>1E-14</v>
      </c>
      <c r="J67" s="18">
        <v>1E-14</v>
      </c>
      <c r="K67" s="18">
        <v>20000</v>
      </c>
      <c r="L67" s="18">
        <v>1E-14</v>
      </c>
      <c r="M67" s="18">
        <v>1E-14</v>
      </c>
      <c r="N67" s="18">
        <v>-5000</v>
      </c>
      <c r="O67" s="18">
        <v>44</v>
      </c>
      <c r="P67" s="18">
        <v>1E-14</v>
      </c>
      <c r="Q67" s="18">
        <v>7.2727272727272738E-2</v>
      </c>
      <c r="R67" s="7"/>
      <c r="S67" s="7"/>
      <c r="T67" s="143" t="s">
        <v>5</v>
      </c>
      <c r="U67" s="77" t="s">
        <v>197</v>
      </c>
      <c r="V67" s="78">
        <v>155</v>
      </c>
      <c r="W67" s="78">
        <v>155</v>
      </c>
      <c r="X67" s="78">
        <v>155</v>
      </c>
      <c r="Y67" s="78">
        <v>155</v>
      </c>
      <c r="Z67" s="78">
        <v>155</v>
      </c>
      <c r="AA67" s="78">
        <v>155</v>
      </c>
      <c r="AB67" s="78">
        <v>155</v>
      </c>
      <c r="AC67" s="78">
        <v>155</v>
      </c>
      <c r="AD67" s="78">
        <v>155</v>
      </c>
      <c r="AE67" s="78">
        <v>155</v>
      </c>
      <c r="AF67" s="78">
        <v>155</v>
      </c>
      <c r="AG67" s="78">
        <v>155</v>
      </c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</row>
    <row r="68" spans="2:57" x14ac:dyDescent="0.25">
      <c r="B68" s="18"/>
      <c r="C68" s="142"/>
      <c r="D68" s="142"/>
      <c r="E68" s="142"/>
      <c r="F68" s="142"/>
      <c r="G68" s="142"/>
      <c r="H68" s="142"/>
      <c r="I68" s="142"/>
      <c r="J68" s="18"/>
      <c r="K68" s="18"/>
      <c r="L68" s="18"/>
      <c r="M68" s="18"/>
      <c r="N68" s="18"/>
      <c r="O68" s="18"/>
      <c r="P68" s="18"/>
      <c r="Q68" s="18"/>
      <c r="R68" s="7"/>
      <c r="S68" s="7"/>
      <c r="T68" s="143" t="s">
        <v>5</v>
      </c>
      <c r="U68" s="77" t="s">
        <v>198</v>
      </c>
      <c r="V68" s="78">
        <v>37</v>
      </c>
      <c r="W68" s="78">
        <v>37</v>
      </c>
      <c r="X68" s="78">
        <v>37</v>
      </c>
      <c r="Y68" s="78">
        <v>37</v>
      </c>
      <c r="Z68" s="78">
        <v>37</v>
      </c>
      <c r="AA68" s="78">
        <v>37</v>
      </c>
      <c r="AB68" s="78">
        <v>37</v>
      </c>
      <c r="AC68" s="78">
        <v>37</v>
      </c>
      <c r="AD68" s="78">
        <v>37</v>
      </c>
      <c r="AE68" s="78">
        <v>37</v>
      </c>
      <c r="AF68" s="78">
        <v>37</v>
      </c>
      <c r="AG68" s="78">
        <v>37</v>
      </c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</row>
    <row r="69" spans="2:57" x14ac:dyDescent="0.25">
      <c r="B69" s="18"/>
      <c r="C69" s="142"/>
      <c r="D69" s="142"/>
      <c r="E69" s="142"/>
      <c r="F69" s="142"/>
      <c r="G69" s="142"/>
      <c r="H69" s="142"/>
      <c r="I69" s="142"/>
      <c r="J69" s="18"/>
      <c r="K69" s="18"/>
      <c r="L69" s="18"/>
      <c r="M69" s="18"/>
      <c r="N69" s="18"/>
      <c r="O69" s="18"/>
      <c r="P69" s="18"/>
      <c r="Q69" s="18"/>
      <c r="R69" s="7"/>
      <c r="S69" s="7"/>
      <c r="T69" s="143" t="s">
        <v>6</v>
      </c>
      <c r="U69" s="77" t="s">
        <v>194</v>
      </c>
      <c r="V69" s="78">
        <v>1E-14</v>
      </c>
      <c r="W69" s="78">
        <v>1E-14</v>
      </c>
      <c r="X69" s="78">
        <v>1E-14</v>
      </c>
      <c r="Y69" s="78">
        <v>1E-14</v>
      </c>
      <c r="Z69" s="78">
        <v>1E-14</v>
      </c>
      <c r="AA69" s="78">
        <v>1E-14</v>
      </c>
      <c r="AB69" s="78">
        <v>1E-14</v>
      </c>
      <c r="AC69" s="78">
        <v>1E-14</v>
      </c>
      <c r="AD69" s="78">
        <v>1E-14</v>
      </c>
      <c r="AE69" s="78">
        <v>1E-14</v>
      </c>
      <c r="AF69" s="78">
        <v>1E-14</v>
      </c>
      <c r="AG69" s="78">
        <v>1E-14</v>
      </c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</row>
    <row r="70" spans="2:57" x14ac:dyDescent="0.25">
      <c r="B70" s="18"/>
      <c r="C70" s="142"/>
      <c r="D70" s="142"/>
      <c r="E70" s="142"/>
      <c r="F70" s="142"/>
      <c r="G70" s="142"/>
      <c r="H70" s="142"/>
      <c r="I70" s="142"/>
      <c r="J70" s="18"/>
      <c r="K70" s="18"/>
      <c r="L70" s="18"/>
      <c r="M70" s="18"/>
      <c r="N70" s="18"/>
      <c r="O70" s="18"/>
      <c r="P70" s="18"/>
      <c r="Q70" s="18"/>
      <c r="R70" s="7"/>
      <c r="S70" s="7"/>
      <c r="T70" s="143" t="s">
        <v>6</v>
      </c>
      <c r="U70" s="77" t="s">
        <v>195</v>
      </c>
      <c r="V70" s="78">
        <v>1E-14</v>
      </c>
      <c r="W70" s="78">
        <v>1E-14</v>
      </c>
      <c r="X70" s="78">
        <v>1E-14</v>
      </c>
      <c r="Y70" s="78">
        <v>1E-14</v>
      </c>
      <c r="Z70" s="78">
        <v>1E-14</v>
      </c>
      <c r="AA70" s="78">
        <v>1E-14</v>
      </c>
      <c r="AB70" s="78">
        <v>1E-14</v>
      </c>
      <c r="AC70" s="78">
        <v>1E-14</v>
      </c>
      <c r="AD70" s="78">
        <v>1E-14</v>
      </c>
      <c r="AE70" s="78">
        <v>1E-14</v>
      </c>
      <c r="AF70" s="78">
        <v>1E-14</v>
      </c>
      <c r="AG70" s="78">
        <v>1E-14</v>
      </c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</row>
    <row r="71" spans="2:57" x14ac:dyDescent="0.25">
      <c r="Q71"/>
      <c r="R71" s="7"/>
      <c r="S71" s="7"/>
      <c r="T71" s="143" t="s">
        <v>6</v>
      </c>
      <c r="U71" s="77" t="s">
        <v>196</v>
      </c>
      <c r="V71" s="78">
        <v>12</v>
      </c>
      <c r="W71" s="78">
        <v>12</v>
      </c>
      <c r="X71" s="78">
        <v>12</v>
      </c>
      <c r="Y71" s="78">
        <v>12</v>
      </c>
      <c r="Z71" s="78">
        <v>12</v>
      </c>
      <c r="AA71" s="78">
        <v>12</v>
      </c>
      <c r="AB71" s="78">
        <v>12</v>
      </c>
      <c r="AC71" s="78">
        <v>12</v>
      </c>
      <c r="AD71" s="78">
        <v>12</v>
      </c>
      <c r="AE71" s="78">
        <v>12</v>
      </c>
      <c r="AF71" s="78">
        <v>12</v>
      </c>
      <c r="AG71" s="78">
        <v>12</v>
      </c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</row>
    <row r="72" spans="2:57" x14ac:dyDescent="0.25">
      <c r="Q72"/>
      <c r="R72" s="7"/>
      <c r="S72" s="7"/>
      <c r="T72" s="143" t="s">
        <v>6</v>
      </c>
      <c r="U72" s="77" t="s">
        <v>197</v>
      </c>
      <c r="V72" s="78">
        <v>525</v>
      </c>
      <c r="W72" s="78">
        <v>525</v>
      </c>
      <c r="X72" s="78">
        <v>525</v>
      </c>
      <c r="Y72" s="78">
        <v>525</v>
      </c>
      <c r="Z72" s="78">
        <v>525</v>
      </c>
      <c r="AA72" s="78">
        <v>525</v>
      </c>
      <c r="AB72" s="78">
        <v>525</v>
      </c>
      <c r="AC72" s="78">
        <v>525</v>
      </c>
      <c r="AD72" s="78">
        <v>525</v>
      </c>
      <c r="AE72" s="78">
        <v>525</v>
      </c>
      <c r="AF72" s="78">
        <v>525</v>
      </c>
      <c r="AG72" s="78">
        <v>525</v>
      </c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</row>
    <row r="73" spans="2:57" x14ac:dyDescent="0.25">
      <c r="Q73"/>
      <c r="R73" s="7"/>
      <c r="S73" s="7"/>
      <c r="T73" s="143" t="s">
        <v>6</v>
      </c>
      <c r="U73" s="77" t="s">
        <v>198</v>
      </c>
      <c r="V73" s="78">
        <v>37</v>
      </c>
      <c r="W73" s="78">
        <v>37</v>
      </c>
      <c r="X73" s="78">
        <v>37</v>
      </c>
      <c r="Y73" s="78">
        <v>37</v>
      </c>
      <c r="Z73" s="78">
        <v>37</v>
      </c>
      <c r="AA73" s="78">
        <v>37</v>
      </c>
      <c r="AB73" s="78">
        <v>37</v>
      </c>
      <c r="AC73" s="78">
        <v>37</v>
      </c>
      <c r="AD73" s="78">
        <v>37</v>
      </c>
      <c r="AE73" s="78">
        <v>37</v>
      </c>
      <c r="AF73" s="78">
        <v>37</v>
      </c>
      <c r="AG73" s="78">
        <v>37</v>
      </c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</row>
    <row r="74" spans="2:57" x14ac:dyDescent="0.25">
      <c r="Q74"/>
      <c r="R74" s="7"/>
      <c r="S74" s="7"/>
      <c r="T74" s="143" t="s">
        <v>7</v>
      </c>
      <c r="U74" s="77" t="s">
        <v>194</v>
      </c>
      <c r="V74" s="78">
        <v>650</v>
      </c>
      <c r="W74" s="78">
        <v>1E-14</v>
      </c>
      <c r="X74" s="78">
        <v>650</v>
      </c>
      <c r="Y74" s="78">
        <v>650</v>
      </c>
      <c r="Z74" s="78">
        <v>650</v>
      </c>
      <c r="AA74" s="78">
        <v>650</v>
      </c>
      <c r="AB74" s="78">
        <v>650</v>
      </c>
      <c r="AC74" s="78">
        <v>650</v>
      </c>
      <c r="AD74" s="78">
        <v>650</v>
      </c>
      <c r="AE74" s="78">
        <v>650</v>
      </c>
      <c r="AF74" s="78">
        <v>650</v>
      </c>
      <c r="AG74" s="78">
        <v>650</v>
      </c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</row>
    <row r="75" spans="2:57" x14ac:dyDescent="0.25">
      <c r="Q75"/>
      <c r="R75" s="7"/>
      <c r="S75" s="7"/>
      <c r="T75" s="143" t="s">
        <v>7</v>
      </c>
      <c r="U75" s="77" t="s">
        <v>195</v>
      </c>
      <c r="V75" s="78">
        <v>650</v>
      </c>
      <c r="W75" s="78">
        <v>650</v>
      </c>
      <c r="X75" s="78">
        <v>650</v>
      </c>
      <c r="Y75" s="78">
        <v>650</v>
      </c>
      <c r="Z75" s="78">
        <v>650</v>
      </c>
      <c r="AA75" s="78">
        <v>650</v>
      </c>
      <c r="AB75" s="78">
        <v>650</v>
      </c>
      <c r="AC75" s="78">
        <v>650</v>
      </c>
      <c r="AD75" s="78">
        <v>650</v>
      </c>
      <c r="AE75" s="78">
        <v>650</v>
      </c>
      <c r="AF75" s="78">
        <v>650</v>
      </c>
      <c r="AG75" s="78">
        <v>650</v>
      </c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</row>
    <row r="76" spans="2:57" x14ac:dyDescent="0.25">
      <c r="Q76"/>
      <c r="R76" s="7"/>
      <c r="S76" s="7"/>
      <c r="T76" s="143" t="s">
        <v>7</v>
      </c>
      <c r="U76" s="77" t="s">
        <v>196</v>
      </c>
      <c r="V76" s="78">
        <v>9</v>
      </c>
      <c r="W76" s="78">
        <v>9</v>
      </c>
      <c r="X76" s="78">
        <v>9</v>
      </c>
      <c r="Y76" s="78">
        <v>9</v>
      </c>
      <c r="Z76" s="78">
        <v>9</v>
      </c>
      <c r="AA76" s="78">
        <v>9</v>
      </c>
      <c r="AB76" s="78">
        <v>9</v>
      </c>
      <c r="AC76" s="78">
        <v>9</v>
      </c>
      <c r="AD76" s="78">
        <v>9</v>
      </c>
      <c r="AE76" s="78">
        <v>9</v>
      </c>
      <c r="AF76" s="78">
        <v>9</v>
      </c>
      <c r="AG76" s="78">
        <v>9</v>
      </c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</row>
    <row r="77" spans="2:57" x14ac:dyDescent="0.25">
      <c r="Q77"/>
      <c r="R77" s="7"/>
      <c r="S77" s="7"/>
      <c r="T77" s="143" t="s">
        <v>7</v>
      </c>
      <c r="U77" s="77" t="s">
        <v>197</v>
      </c>
      <c r="V77" s="78">
        <v>525</v>
      </c>
      <c r="W77" s="78">
        <v>525</v>
      </c>
      <c r="X77" s="78">
        <v>525</v>
      </c>
      <c r="Y77" s="78">
        <v>525</v>
      </c>
      <c r="Z77" s="78">
        <v>525</v>
      </c>
      <c r="AA77" s="78">
        <v>525</v>
      </c>
      <c r="AB77" s="78">
        <v>525</v>
      </c>
      <c r="AC77" s="78">
        <v>525</v>
      </c>
      <c r="AD77" s="78">
        <v>525</v>
      </c>
      <c r="AE77" s="78">
        <v>525</v>
      </c>
      <c r="AF77" s="78">
        <v>525</v>
      </c>
      <c r="AG77" s="78">
        <v>525</v>
      </c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</row>
    <row r="78" spans="2:57" x14ac:dyDescent="0.25">
      <c r="Q78"/>
      <c r="R78" s="7"/>
      <c r="S78" s="7"/>
      <c r="T78" s="143" t="s">
        <v>7</v>
      </c>
      <c r="U78" s="77" t="s">
        <v>198</v>
      </c>
      <c r="V78" s="78">
        <v>37</v>
      </c>
      <c r="W78" s="78">
        <v>37</v>
      </c>
      <c r="X78" s="78">
        <v>37</v>
      </c>
      <c r="Y78" s="78">
        <v>37</v>
      </c>
      <c r="Z78" s="78">
        <v>37</v>
      </c>
      <c r="AA78" s="78">
        <v>37</v>
      </c>
      <c r="AB78" s="78">
        <v>37</v>
      </c>
      <c r="AC78" s="78">
        <v>37</v>
      </c>
      <c r="AD78" s="78">
        <v>37</v>
      </c>
      <c r="AE78" s="78">
        <v>37</v>
      </c>
      <c r="AF78" s="78">
        <v>37</v>
      </c>
      <c r="AG78" s="78">
        <v>37</v>
      </c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</row>
    <row r="79" spans="2:57" x14ac:dyDescent="0.25">
      <c r="Q79"/>
      <c r="R79" s="7"/>
      <c r="S79" s="7"/>
      <c r="T79" s="143" t="s">
        <v>8</v>
      </c>
      <c r="U79" s="77" t="s">
        <v>194</v>
      </c>
      <c r="V79" s="78">
        <v>1E-14</v>
      </c>
      <c r="W79" s="78">
        <v>1E-14</v>
      </c>
      <c r="X79" s="78">
        <v>1E-14</v>
      </c>
      <c r="Y79" s="78">
        <v>1E-14</v>
      </c>
      <c r="Z79" s="78">
        <v>1E-14</v>
      </c>
      <c r="AA79" s="78">
        <v>1E-14</v>
      </c>
      <c r="AB79" s="78">
        <v>1E-14</v>
      </c>
      <c r="AC79" s="78">
        <v>1E-14</v>
      </c>
      <c r="AD79" s="78">
        <v>1E-14</v>
      </c>
      <c r="AE79" s="78">
        <v>1E-14</v>
      </c>
      <c r="AF79" s="78">
        <v>1E-14</v>
      </c>
      <c r="AG79" s="78">
        <v>1E-14</v>
      </c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</row>
    <row r="80" spans="2:57" x14ac:dyDescent="0.25">
      <c r="Q80"/>
      <c r="R80" s="7"/>
      <c r="S80" s="7"/>
      <c r="T80" s="143" t="s">
        <v>8</v>
      </c>
      <c r="U80" s="77" t="s">
        <v>195</v>
      </c>
      <c r="V80" s="78">
        <v>1E-14</v>
      </c>
      <c r="W80" s="78">
        <v>1E-14</v>
      </c>
      <c r="X80" s="78">
        <v>1E-14</v>
      </c>
      <c r="Y80" s="78">
        <v>1E-14</v>
      </c>
      <c r="Z80" s="78">
        <v>1E-14</v>
      </c>
      <c r="AA80" s="78">
        <v>1E-14</v>
      </c>
      <c r="AB80" s="78">
        <v>1E-14</v>
      </c>
      <c r="AC80" s="78">
        <v>1E-14</v>
      </c>
      <c r="AD80" s="78">
        <v>1E-14</v>
      </c>
      <c r="AE80" s="78">
        <v>1E-14</v>
      </c>
      <c r="AF80" s="78">
        <v>1E-14</v>
      </c>
      <c r="AG80" s="78">
        <v>1E-14</v>
      </c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</row>
    <row r="81" spans="17:57" x14ac:dyDescent="0.25">
      <c r="Q81"/>
      <c r="R81" s="7"/>
      <c r="S81" s="7"/>
      <c r="T81" s="143" t="s">
        <v>8</v>
      </c>
      <c r="U81" s="77" t="s">
        <v>196</v>
      </c>
      <c r="V81" s="78">
        <v>11</v>
      </c>
      <c r="W81" s="78">
        <v>11</v>
      </c>
      <c r="X81" s="78">
        <v>11</v>
      </c>
      <c r="Y81" s="78">
        <v>11</v>
      </c>
      <c r="Z81" s="78">
        <v>11</v>
      </c>
      <c r="AA81" s="78">
        <v>11</v>
      </c>
      <c r="AB81" s="78">
        <v>11</v>
      </c>
      <c r="AC81" s="78">
        <v>11</v>
      </c>
      <c r="AD81" s="78">
        <v>11</v>
      </c>
      <c r="AE81" s="78">
        <v>11</v>
      </c>
      <c r="AF81" s="78">
        <v>11</v>
      </c>
      <c r="AG81" s="78">
        <v>11</v>
      </c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</row>
    <row r="82" spans="17:57" x14ac:dyDescent="0.25">
      <c r="Q82"/>
      <c r="R82" s="7"/>
      <c r="S82" s="7"/>
      <c r="T82" s="143" t="s">
        <v>8</v>
      </c>
      <c r="U82" s="77" t="s">
        <v>197</v>
      </c>
      <c r="V82" s="78">
        <v>525</v>
      </c>
      <c r="W82" s="78">
        <v>525</v>
      </c>
      <c r="X82" s="78">
        <v>525</v>
      </c>
      <c r="Y82" s="78">
        <v>525</v>
      </c>
      <c r="Z82" s="78">
        <v>525</v>
      </c>
      <c r="AA82" s="78">
        <v>525</v>
      </c>
      <c r="AB82" s="78">
        <v>525</v>
      </c>
      <c r="AC82" s="78">
        <v>525</v>
      </c>
      <c r="AD82" s="78">
        <v>525</v>
      </c>
      <c r="AE82" s="78">
        <v>525</v>
      </c>
      <c r="AF82" s="78">
        <v>525</v>
      </c>
      <c r="AG82" s="78">
        <v>525</v>
      </c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</row>
    <row r="83" spans="17:57" x14ac:dyDescent="0.25">
      <c r="Q83"/>
      <c r="R83" s="7"/>
      <c r="S83" s="7"/>
      <c r="T83" s="143" t="s">
        <v>8</v>
      </c>
      <c r="U83" s="77" t="s">
        <v>198</v>
      </c>
      <c r="V83" s="78">
        <v>37</v>
      </c>
      <c r="W83" s="78">
        <v>37</v>
      </c>
      <c r="X83" s="78">
        <v>37</v>
      </c>
      <c r="Y83" s="78">
        <v>37</v>
      </c>
      <c r="Z83" s="78">
        <v>37</v>
      </c>
      <c r="AA83" s="78">
        <v>37</v>
      </c>
      <c r="AB83" s="78">
        <v>37</v>
      </c>
      <c r="AC83" s="78">
        <v>37</v>
      </c>
      <c r="AD83" s="78">
        <v>37</v>
      </c>
      <c r="AE83" s="78">
        <v>37</v>
      </c>
      <c r="AF83" s="78">
        <v>37</v>
      </c>
      <c r="AG83" s="78">
        <v>37</v>
      </c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</row>
    <row r="84" spans="17:57" x14ac:dyDescent="0.25">
      <c r="Q84"/>
      <c r="R84" s="7"/>
      <c r="S84" s="7"/>
      <c r="T84" s="143" t="s">
        <v>9</v>
      </c>
      <c r="U84" s="77" t="s">
        <v>194</v>
      </c>
      <c r="V84" s="78">
        <v>1E-14</v>
      </c>
      <c r="W84" s="78">
        <v>1E-14</v>
      </c>
      <c r="X84" s="78">
        <v>1E-14</v>
      </c>
      <c r="Y84" s="78">
        <v>1E-14</v>
      </c>
      <c r="Z84" s="78">
        <v>1E-14</v>
      </c>
      <c r="AA84" s="78">
        <v>1E-14</v>
      </c>
      <c r="AB84" s="78">
        <v>1E-14</v>
      </c>
      <c r="AC84" s="78">
        <v>1E-14</v>
      </c>
      <c r="AD84" s="78">
        <v>1E-14</v>
      </c>
      <c r="AE84" s="78">
        <v>1E-14</v>
      </c>
      <c r="AF84" s="78">
        <v>1E-14</v>
      </c>
      <c r="AG84" s="78">
        <v>1E-14</v>
      </c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</row>
    <row r="85" spans="17:57" x14ac:dyDescent="0.25">
      <c r="Q85"/>
      <c r="R85" s="7"/>
      <c r="S85" s="7"/>
      <c r="T85" s="143" t="s">
        <v>9</v>
      </c>
      <c r="U85" s="77" t="s">
        <v>195</v>
      </c>
      <c r="V85" s="78">
        <v>1E-14</v>
      </c>
      <c r="W85" s="78">
        <v>1E-14</v>
      </c>
      <c r="X85" s="78">
        <v>1E-14</v>
      </c>
      <c r="Y85" s="78">
        <v>1E-14</v>
      </c>
      <c r="Z85" s="78">
        <v>1E-14</v>
      </c>
      <c r="AA85" s="78">
        <v>1E-14</v>
      </c>
      <c r="AB85" s="78">
        <v>1E-14</v>
      </c>
      <c r="AC85" s="78">
        <v>1E-14</v>
      </c>
      <c r="AD85" s="78">
        <v>1E-14</v>
      </c>
      <c r="AE85" s="78">
        <v>1E-14</v>
      </c>
      <c r="AF85" s="78">
        <v>1E-14</v>
      </c>
      <c r="AG85" s="78">
        <v>1E-14</v>
      </c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</row>
    <row r="86" spans="17:57" x14ac:dyDescent="0.25">
      <c r="Q86"/>
      <c r="R86" s="7"/>
      <c r="S86" s="7"/>
      <c r="T86" s="143" t="s">
        <v>9</v>
      </c>
      <c r="U86" s="77" t="s">
        <v>196</v>
      </c>
      <c r="V86" s="78">
        <v>9.5</v>
      </c>
      <c r="W86" s="78">
        <v>9.5</v>
      </c>
      <c r="X86" s="78">
        <v>9.5</v>
      </c>
      <c r="Y86" s="78">
        <v>9.5</v>
      </c>
      <c r="Z86" s="78">
        <v>9.5</v>
      </c>
      <c r="AA86" s="78">
        <v>9.5</v>
      </c>
      <c r="AB86" s="78">
        <v>9.5</v>
      </c>
      <c r="AC86" s="78">
        <v>9.5</v>
      </c>
      <c r="AD86" s="78">
        <v>9.5</v>
      </c>
      <c r="AE86" s="78">
        <v>9.5</v>
      </c>
      <c r="AF86" s="78">
        <v>9.5</v>
      </c>
      <c r="AG86" s="78">
        <v>9.5</v>
      </c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</row>
    <row r="87" spans="17:57" x14ac:dyDescent="0.25">
      <c r="Q87"/>
      <c r="R87" s="7"/>
      <c r="S87" s="7"/>
      <c r="T87" s="143" t="s">
        <v>9</v>
      </c>
      <c r="U87" s="77" t="s">
        <v>197</v>
      </c>
      <c r="V87" s="78">
        <v>525</v>
      </c>
      <c r="W87" s="78">
        <v>525</v>
      </c>
      <c r="X87" s="78">
        <v>525</v>
      </c>
      <c r="Y87" s="78">
        <v>525</v>
      </c>
      <c r="Z87" s="78">
        <v>525</v>
      </c>
      <c r="AA87" s="78">
        <v>525</v>
      </c>
      <c r="AB87" s="78">
        <v>525</v>
      </c>
      <c r="AC87" s="78">
        <v>525</v>
      </c>
      <c r="AD87" s="78">
        <v>525</v>
      </c>
      <c r="AE87" s="78">
        <v>525</v>
      </c>
      <c r="AF87" s="78">
        <v>525</v>
      </c>
      <c r="AG87" s="78">
        <v>525</v>
      </c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</row>
    <row r="88" spans="17:57" x14ac:dyDescent="0.25">
      <c r="Q88"/>
      <c r="R88" s="7"/>
      <c r="S88" s="7"/>
      <c r="T88" s="143" t="s">
        <v>9</v>
      </c>
      <c r="U88" s="77" t="s">
        <v>198</v>
      </c>
      <c r="V88" s="78">
        <v>37</v>
      </c>
      <c r="W88" s="78">
        <v>37</v>
      </c>
      <c r="X88" s="78">
        <v>37</v>
      </c>
      <c r="Y88" s="78">
        <v>37</v>
      </c>
      <c r="Z88" s="78">
        <v>37</v>
      </c>
      <c r="AA88" s="78">
        <v>37</v>
      </c>
      <c r="AB88" s="78">
        <v>37</v>
      </c>
      <c r="AC88" s="78">
        <v>37</v>
      </c>
      <c r="AD88" s="78">
        <v>37</v>
      </c>
      <c r="AE88" s="78">
        <v>37</v>
      </c>
      <c r="AF88" s="78">
        <v>37</v>
      </c>
      <c r="AG88" s="78">
        <v>37</v>
      </c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</row>
    <row r="89" spans="17:57" x14ac:dyDescent="0.25">
      <c r="Q89"/>
      <c r="R89" s="7"/>
      <c r="S89" s="7"/>
      <c r="T89" s="143" t="s">
        <v>10</v>
      </c>
      <c r="U89" s="77" t="s">
        <v>194</v>
      </c>
      <c r="V89" s="78">
        <v>433.33333333333331</v>
      </c>
      <c r="W89" s="78">
        <v>1E-14</v>
      </c>
      <c r="X89" s="78">
        <v>433.33333333333331</v>
      </c>
      <c r="Y89" s="78">
        <v>433.33333333333331</v>
      </c>
      <c r="Z89" s="78">
        <v>1E-14</v>
      </c>
      <c r="AA89" s="78">
        <v>433.33333333333331</v>
      </c>
      <c r="AB89" s="78">
        <v>433.33333333333331</v>
      </c>
      <c r="AC89" s="78">
        <v>433.33333333333331</v>
      </c>
      <c r="AD89" s="78">
        <v>433.33333333333331</v>
      </c>
      <c r="AE89" s="78">
        <v>433.33333333333331</v>
      </c>
      <c r="AF89" s="78">
        <v>433.33333333333331</v>
      </c>
      <c r="AG89" s="78">
        <v>433.33333333333331</v>
      </c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</row>
    <row r="90" spans="17:57" x14ac:dyDescent="0.25">
      <c r="Q90"/>
      <c r="R90" s="7"/>
      <c r="S90" s="7"/>
      <c r="T90" s="143" t="s">
        <v>10</v>
      </c>
      <c r="U90" s="77" t="s">
        <v>195</v>
      </c>
      <c r="V90" s="78">
        <v>433.33333333333331</v>
      </c>
      <c r="W90" s="78">
        <v>433.33333333333331</v>
      </c>
      <c r="X90" s="78">
        <v>433.33333333333331</v>
      </c>
      <c r="Y90" s="78">
        <v>433.33333333333331</v>
      </c>
      <c r="Z90" s="78">
        <v>433.33333333333331</v>
      </c>
      <c r="AA90" s="78">
        <v>433.33333333333331</v>
      </c>
      <c r="AB90" s="78">
        <v>433.33333333333331</v>
      </c>
      <c r="AC90" s="78">
        <v>433.33333333333331</v>
      </c>
      <c r="AD90" s="78">
        <v>433.33333333333331</v>
      </c>
      <c r="AE90" s="78">
        <v>433.33333333333331</v>
      </c>
      <c r="AF90" s="78">
        <v>433.33333333333331</v>
      </c>
      <c r="AG90" s="78">
        <v>433.33333333333331</v>
      </c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</row>
    <row r="91" spans="17:57" x14ac:dyDescent="0.25">
      <c r="Q91"/>
      <c r="R91" s="7"/>
      <c r="S91" s="7"/>
      <c r="T91" s="143" t="s">
        <v>10</v>
      </c>
      <c r="U91" s="77" t="s">
        <v>196</v>
      </c>
      <c r="V91" s="78">
        <v>9</v>
      </c>
      <c r="W91" s="78">
        <v>9</v>
      </c>
      <c r="X91" s="78">
        <v>9</v>
      </c>
      <c r="Y91" s="78">
        <v>9</v>
      </c>
      <c r="Z91" s="78">
        <v>9</v>
      </c>
      <c r="AA91" s="78">
        <v>9</v>
      </c>
      <c r="AB91" s="78">
        <v>9</v>
      </c>
      <c r="AC91" s="78">
        <v>9</v>
      </c>
      <c r="AD91" s="78">
        <v>9</v>
      </c>
      <c r="AE91" s="78">
        <v>9</v>
      </c>
      <c r="AF91" s="78">
        <v>9</v>
      </c>
      <c r="AG91" s="78">
        <v>9</v>
      </c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</row>
    <row r="92" spans="17:57" x14ac:dyDescent="0.25">
      <c r="Q92"/>
      <c r="R92" s="7"/>
      <c r="S92" s="7"/>
      <c r="T92" s="143" t="s">
        <v>10</v>
      </c>
      <c r="U92" s="77" t="s">
        <v>197</v>
      </c>
      <c r="V92" s="78">
        <v>525</v>
      </c>
      <c r="W92" s="78">
        <v>525</v>
      </c>
      <c r="X92" s="78">
        <v>525</v>
      </c>
      <c r="Y92" s="78">
        <v>525</v>
      </c>
      <c r="Z92" s="78">
        <v>525</v>
      </c>
      <c r="AA92" s="78">
        <v>525</v>
      </c>
      <c r="AB92" s="78">
        <v>525</v>
      </c>
      <c r="AC92" s="78">
        <v>525</v>
      </c>
      <c r="AD92" s="78">
        <v>525</v>
      </c>
      <c r="AE92" s="78">
        <v>525</v>
      </c>
      <c r="AF92" s="78">
        <v>525</v>
      </c>
      <c r="AG92" s="78">
        <v>525</v>
      </c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</row>
    <row r="93" spans="17:57" x14ac:dyDescent="0.25">
      <c r="Q93"/>
      <c r="R93" s="7"/>
      <c r="S93" s="7"/>
      <c r="T93" s="143" t="s">
        <v>10</v>
      </c>
      <c r="U93" s="77" t="s">
        <v>198</v>
      </c>
      <c r="V93" s="78">
        <v>37</v>
      </c>
      <c r="W93" s="78">
        <v>37</v>
      </c>
      <c r="X93" s="78">
        <v>37</v>
      </c>
      <c r="Y93" s="78">
        <v>37</v>
      </c>
      <c r="Z93" s="78">
        <v>37</v>
      </c>
      <c r="AA93" s="78">
        <v>37</v>
      </c>
      <c r="AB93" s="78">
        <v>37</v>
      </c>
      <c r="AC93" s="78">
        <v>37</v>
      </c>
      <c r="AD93" s="78">
        <v>37</v>
      </c>
      <c r="AE93" s="78">
        <v>37</v>
      </c>
      <c r="AF93" s="78">
        <v>37</v>
      </c>
      <c r="AG93" s="78">
        <v>37</v>
      </c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</row>
    <row r="94" spans="17:57" x14ac:dyDescent="0.25">
      <c r="Q94"/>
      <c r="R94" s="7"/>
      <c r="S94" s="7"/>
      <c r="T94" s="143" t="s">
        <v>11</v>
      </c>
      <c r="U94" s="77" t="s">
        <v>194</v>
      </c>
      <c r="V94" s="78">
        <v>41.666666666666664</v>
      </c>
      <c r="W94" s="78">
        <v>1E-14</v>
      </c>
      <c r="X94" s="78">
        <v>41.666666666666664</v>
      </c>
      <c r="Y94" s="78">
        <v>41.666666666666664</v>
      </c>
      <c r="Z94" s="78">
        <v>41.666666666666664</v>
      </c>
      <c r="AA94" s="78">
        <v>41.666666666666664</v>
      </c>
      <c r="AB94" s="78">
        <v>41.666666666666664</v>
      </c>
      <c r="AC94" s="78">
        <v>41.666666666666664</v>
      </c>
      <c r="AD94" s="78">
        <v>41.666666666666664</v>
      </c>
      <c r="AE94" s="78">
        <v>41.666666666666664</v>
      </c>
      <c r="AF94" s="78">
        <v>41.666666666666664</v>
      </c>
      <c r="AG94" s="78">
        <v>41.666666666666664</v>
      </c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</row>
    <row r="95" spans="17:57" x14ac:dyDescent="0.25">
      <c r="Q95"/>
      <c r="R95" s="7"/>
      <c r="S95" s="7"/>
      <c r="T95" s="143" t="s">
        <v>11</v>
      </c>
      <c r="U95" s="77" t="s">
        <v>195</v>
      </c>
      <c r="V95" s="78">
        <v>41.666666666666664</v>
      </c>
      <c r="W95" s="78">
        <v>41.666666666666664</v>
      </c>
      <c r="X95" s="78">
        <v>41.666666666666664</v>
      </c>
      <c r="Y95" s="78">
        <v>41.666666666666664</v>
      </c>
      <c r="Z95" s="78">
        <v>41.666666666666664</v>
      </c>
      <c r="AA95" s="78">
        <v>41.666666666666664</v>
      </c>
      <c r="AB95" s="78">
        <v>41.666666666666664</v>
      </c>
      <c r="AC95" s="78">
        <v>41.666666666666664</v>
      </c>
      <c r="AD95" s="78">
        <v>41.666666666666664</v>
      </c>
      <c r="AE95" s="78">
        <v>41.666666666666664</v>
      </c>
      <c r="AF95" s="78">
        <v>41.666666666666664</v>
      </c>
      <c r="AG95" s="78">
        <v>41.666666666666664</v>
      </c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</row>
    <row r="96" spans="17:57" x14ac:dyDescent="0.25">
      <c r="Q96"/>
      <c r="R96" s="7"/>
      <c r="S96" s="7"/>
      <c r="T96" s="143" t="s">
        <v>11</v>
      </c>
      <c r="U96" s="77" t="s">
        <v>196</v>
      </c>
      <c r="V96" s="78">
        <v>12</v>
      </c>
      <c r="W96" s="78">
        <v>12</v>
      </c>
      <c r="X96" s="78">
        <v>12</v>
      </c>
      <c r="Y96" s="78">
        <v>12</v>
      </c>
      <c r="Z96" s="78">
        <v>12</v>
      </c>
      <c r="AA96" s="78">
        <v>12</v>
      </c>
      <c r="AB96" s="78">
        <v>12</v>
      </c>
      <c r="AC96" s="78">
        <v>12</v>
      </c>
      <c r="AD96" s="78">
        <v>12</v>
      </c>
      <c r="AE96" s="78">
        <v>12</v>
      </c>
      <c r="AF96" s="78">
        <v>12</v>
      </c>
      <c r="AG96" s="78">
        <v>12</v>
      </c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</row>
    <row r="97" spans="17:57" x14ac:dyDescent="0.25">
      <c r="Q97"/>
      <c r="R97" s="7"/>
      <c r="S97" s="7"/>
      <c r="T97" s="143" t="s">
        <v>11</v>
      </c>
      <c r="U97" s="77" t="s">
        <v>197</v>
      </c>
      <c r="V97" s="78">
        <v>785</v>
      </c>
      <c r="W97" s="78">
        <v>785</v>
      </c>
      <c r="X97" s="78">
        <v>785</v>
      </c>
      <c r="Y97" s="78">
        <v>785</v>
      </c>
      <c r="Z97" s="78">
        <v>785</v>
      </c>
      <c r="AA97" s="78">
        <v>785</v>
      </c>
      <c r="AB97" s="78">
        <v>785</v>
      </c>
      <c r="AC97" s="78">
        <v>785</v>
      </c>
      <c r="AD97" s="78">
        <v>785</v>
      </c>
      <c r="AE97" s="78">
        <v>785</v>
      </c>
      <c r="AF97" s="78">
        <v>785</v>
      </c>
      <c r="AG97" s="78">
        <v>785</v>
      </c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</row>
    <row r="98" spans="17:57" x14ac:dyDescent="0.25">
      <c r="Q98"/>
      <c r="R98" s="7"/>
      <c r="S98" s="7"/>
      <c r="T98" s="143" t="s">
        <v>11</v>
      </c>
      <c r="U98" s="77" t="s">
        <v>198</v>
      </c>
      <c r="V98" s="78">
        <v>37</v>
      </c>
      <c r="W98" s="78">
        <v>37</v>
      </c>
      <c r="X98" s="78">
        <v>37</v>
      </c>
      <c r="Y98" s="78">
        <v>37</v>
      </c>
      <c r="Z98" s="78">
        <v>37</v>
      </c>
      <c r="AA98" s="78">
        <v>37</v>
      </c>
      <c r="AB98" s="78">
        <v>37</v>
      </c>
      <c r="AC98" s="78">
        <v>37</v>
      </c>
      <c r="AD98" s="78">
        <v>37</v>
      </c>
      <c r="AE98" s="78">
        <v>37</v>
      </c>
      <c r="AF98" s="78">
        <v>37</v>
      </c>
      <c r="AG98" s="78">
        <v>37</v>
      </c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</row>
    <row r="99" spans="17:57" x14ac:dyDescent="0.25">
      <c r="Q99"/>
      <c r="R99" s="7"/>
      <c r="S99" s="7"/>
      <c r="T99" s="143" t="s">
        <v>12</v>
      </c>
      <c r="U99" s="77" t="s">
        <v>194</v>
      </c>
      <c r="V99" s="78">
        <v>1E-14</v>
      </c>
      <c r="W99" s="78">
        <v>1E-14</v>
      </c>
      <c r="X99" s="78">
        <v>1E-14</v>
      </c>
      <c r="Y99" s="78">
        <v>1E-14</v>
      </c>
      <c r="Z99" s="78">
        <v>1E-14</v>
      </c>
      <c r="AA99" s="78">
        <v>1E-14</v>
      </c>
      <c r="AB99" s="78">
        <v>1E-14</v>
      </c>
      <c r="AC99" s="78">
        <v>1E-14</v>
      </c>
      <c r="AD99" s="78">
        <v>1E-14</v>
      </c>
      <c r="AE99" s="78">
        <v>1E-14</v>
      </c>
      <c r="AF99" s="78">
        <v>1E-14</v>
      </c>
      <c r="AG99" s="78">
        <v>1E-14</v>
      </c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</row>
    <row r="100" spans="17:57" x14ac:dyDescent="0.25">
      <c r="Q100"/>
      <c r="R100" s="7"/>
      <c r="S100" s="7"/>
      <c r="T100" s="143" t="s">
        <v>12</v>
      </c>
      <c r="U100" s="77" t="s">
        <v>195</v>
      </c>
      <c r="V100" s="78">
        <v>1E-14</v>
      </c>
      <c r="W100" s="78">
        <v>1E-14</v>
      </c>
      <c r="X100" s="78">
        <v>1E-14</v>
      </c>
      <c r="Y100" s="78">
        <v>1E-14</v>
      </c>
      <c r="Z100" s="78">
        <v>1E-14</v>
      </c>
      <c r="AA100" s="78">
        <v>1E-14</v>
      </c>
      <c r="AB100" s="78">
        <v>1E-14</v>
      </c>
      <c r="AC100" s="78">
        <v>1E-14</v>
      </c>
      <c r="AD100" s="78">
        <v>1E-14</v>
      </c>
      <c r="AE100" s="78">
        <v>1E-14</v>
      </c>
      <c r="AF100" s="78">
        <v>1E-14</v>
      </c>
      <c r="AG100" s="78">
        <v>1E-14</v>
      </c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</row>
    <row r="101" spans="17:57" x14ac:dyDescent="0.25">
      <c r="Q101"/>
      <c r="R101" s="7"/>
      <c r="S101" s="7"/>
      <c r="T101" s="143" t="s">
        <v>12</v>
      </c>
      <c r="U101" s="77" t="s">
        <v>196</v>
      </c>
      <c r="V101" s="78">
        <v>10</v>
      </c>
      <c r="W101" s="78">
        <v>10</v>
      </c>
      <c r="X101" s="78">
        <v>10</v>
      </c>
      <c r="Y101" s="78">
        <v>10</v>
      </c>
      <c r="Z101" s="78">
        <v>10</v>
      </c>
      <c r="AA101" s="78">
        <v>10</v>
      </c>
      <c r="AB101" s="78">
        <v>10</v>
      </c>
      <c r="AC101" s="78">
        <v>10</v>
      </c>
      <c r="AD101" s="78">
        <v>10</v>
      </c>
      <c r="AE101" s="78">
        <v>10</v>
      </c>
      <c r="AF101" s="78">
        <v>10</v>
      </c>
      <c r="AG101" s="78">
        <v>10</v>
      </c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</row>
    <row r="102" spans="17:57" x14ac:dyDescent="0.25">
      <c r="Q102"/>
      <c r="R102" s="7"/>
      <c r="S102" s="7"/>
      <c r="T102" s="143" t="s">
        <v>12</v>
      </c>
      <c r="U102" s="77" t="s">
        <v>197</v>
      </c>
      <c r="V102" s="78">
        <v>1E-14</v>
      </c>
      <c r="W102" s="78">
        <v>1E-14</v>
      </c>
      <c r="X102" s="78">
        <v>1E-14</v>
      </c>
      <c r="Y102" s="78">
        <v>1E-14</v>
      </c>
      <c r="Z102" s="78">
        <v>1E-14</v>
      </c>
      <c r="AA102" s="78">
        <v>1E-14</v>
      </c>
      <c r="AB102" s="78">
        <v>1E-14</v>
      </c>
      <c r="AC102" s="78">
        <v>1E-14</v>
      </c>
      <c r="AD102" s="78">
        <v>1E-14</v>
      </c>
      <c r="AE102" s="78">
        <v>1E-14</v>
      </c>
      <c r="AF102" s="78">
        <v>1E-14</v>
      </c>
      <c r="AG102" s="78">
        <v>1E-14</v>
      </c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</row>
    <row r="103" spans="17:57" x14ac:dyDescent="0.25">
      <c r="Q103"/>
      <c r="R103" s="7"/>
      <c r="S103" s="7"/>
      <c r="T103" s="143" t="s">
        <v>12</v>
      </c>
      <c r="U103" s="77" t="s">
        <v>198</v>
      </c>
      <c r="V103" s="78">
        <v>37</v>
      </c>
      <c r="W103" s="78">
        <v>37</v>
      </c>
      <c r="X103" s="78">
        <v>37</v>
      </c>
      <c r="Y103" s="78">
        <v>37</v>
      </c>
      <c r="Z103" s="78">
        <v>37</v>
      </c>
      <c r="AA103" s="78">
        <v>37</v>
      </c>
      <c r="AB103" s="78">
        <v>37</v>
      </c>
      <c r="AC103" s="78">
        <v>37</v>
      </c>
      <c r="AD103" s="78">
        <v>37</v>
      </c>
      <c r="AE103" s="78">
        <v>37</v>
      </c>
      <c r="AF103" s="78">
        <v>37</v>
      </c>
      <c r="AG103" s="78">
        <v>37</v>
      </c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</row>
    <row r="104" spans="17:57" x14ac:dyDescent="0.25">
      <c r="Q104"/>
      <c r="R104" s="7"/>
      <c r="S104" s="7"/>
      <c r="T104" s="143" t="s">
        <v>13</v>
      </c>
      <c r="U104" s="77" t="s">
        <v>194</v>
      </c>
      <c r="V104" s="78">
        <v>1E-14</v>
      </c>
      <c r="W104" s="78">
        <v>1E-14</v>
      </c>
      <c r="X104" s="78">
        <v>1E-14</v>
      </c>
      <c r="Y104" s="78">
        <v>1E-14</v>
      </c>
      <c r="Z104" s="78">
        <v>1E-14</v>
      </c>
      <c r="AA104" s="78">
        <v>1E-14</v>
      </c>
      <c r="AB104" s="78">
        <v>1E-14</v>
      </c>
      <c r="AC104" s="78">
        <v>1E-14</v>
      </c>
      <c r="AD104" s="78">
        <v>1E-14</v>
      </c>
      <c r="AE104" s="78">
        <v>1E-14</v>
      </c>
      <c r="AF104" s="78">
        <v>1E-14</v>
      </c>
      <c r="AG104" s="78">
        <v>1E-14</v>
      </c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</row>
    <row r="105" spans="17:57" x14ac:dyDescent="0.25">
      <c r="Q105"/>
      <c r="R105" s="7"/>
      <c r="S105" s="7"/>
      <c r="T105" s="143" t="s">
        <v>13</v>
      </c>
      <c r="U105" s="77" t="s">
        <v>195</v>
      </c>
      <c r="V105" s="78">
        <v>1E-14</v>
      </c>
      <c r="W105" s="78">
        <v>1E-14</v>
      </c>
      <c r="X105" s="78">
        <v>1E-14</v>
      </c>
      <c r="Y105" s="78">
        <v>1E-14</v>
      </c>
      <c r="Z105" s="78">
        <v>1E-14</v>
      </c>
      <c r="AA105" s="78">
        <v>1E-14</v>
      </c>
      <c r="AB105" s="78">
        <v>1E-14</v>
      </c>
      <c r="AC105" s="78">
        <v>1E-14</v>
      </c>
      <c r="AD105" s="78">
        <v>1E-14</v>
      </c>
      <c r="AE105" s="78">
        <v>1E-14</v>
      </c>
      <c r="AF105" s="78">
        <v>1E-14</v>
      </c>
      <c r="AG105" s="78">
        <v>1E-14</v>
      </c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</row>
    <row r="106" spans="17:57" x14ac:dyDescent="0.25">
      <c r="Q106"/>
      <c r="R106" s="7"/>
      <c r="S106" s="7"/>
      <c r="T106" s="143" t="s">
        <v>13</v>
      </c>
      <c r="U106" s="77" t="s">
        <v>196</v>
      </c>
      <c r="V106" s="78">
        <v>11</v>
      </c>
      <c r="W106" s="78">
        <v>11</v>
      </c>
      <c r="X106" s="78">
        <v>11</v>
      </c>
      <c r="Y106" s="78">
        <v>11</v>
      </c>
      <c r="Z106" s="78">
        <v>11</v>
      </c>
      <c r="AA106" s="78">
        <v>11</v>
      </c>
      <c r="AB106" s="78">
        <v>11</v>
      </c>
      <c r="AC106" s="78">
        <v>11</v>
      </c>
      <c r="AD106" s="78">
        <v>11</v>
      </c>
      <c r="AE106" s="78">
        <v>11</v>
      </c>
      <c r="AF106" s="78">
        <v>11</v>
      </c>
      <c r="AG106" s="78">
        <v>11</v>
      </c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</row>
    <row r="107" spans="17:57" x14ac:dyDescent="0.25">
      <c r="Q107"/>
      <c r="R107" s="7"/>
      <c r="S107" s="7"/>
      <c r="T107" s="143" t="s">
        <v>13</v>
      </c>
      <c r="U107" s="77" t="s">
        <v>197</v>
      </c>
      <c r="V107" s="78">
        <v>525</v>
      </c>
      <c r="W107" s="78">
        <v>525</v>
      </c>
      <c r="X107" s="78">
        <v>525</v>
      </c>
      <c r="Y107" s="78">
        <v>525</v>
      </c>
      <c r="Z107" s="78">
        <v>525</v>
      </c>
      <c r="AA107" s="78">
        <v>525</v>
      </c>
      <c r="AB107" s="78">
        <v>525</v>
      </c>
      <c r="AC107" s="78">
        <v>525</v>
      </c>
      <c r="AD107" s="78">
        <v>525</v>
      </c>
      <c r="AE107" s="78">
        <v>525</v>
      </c>
      <c r="AF107" s="78">
        <v>525</v>
      </c>
      <c r="AG107" s="78">
        <v>525</v>
      </c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</row>
    <row r="108" spans="17:57" x14ac:dyDescent="0.25">
      <c r="Q108"/>
      <c r="R108" s="7"/>
      <c r="S108" s="7"/>
      <c r="T108" s="143" t="s">
        <v>13</v>
      </c>
      <c r="U108" s="77" t="s">
        <v>198</v>
      </c>
      <c r="V108" s="78">
        <v>37</v>
      </c>
      <c r="W108" s="78">
        <v>37</v>
      </c>
      <c r="X108" s="78">
        <v>37</v>
      </c>
      <c r="Y108" s="78">
        <v>37</v>
      </c>
      <c r="Z108" s="78">
        <v>37</v>
      </c>
      <c r="AA108" s="78">
        <v>37</v>
      </c>
      <c r="AB108" s="78">
        <v>37</v>
      </c>
      <c r="AC108" s="78">
        <v>37</v>
      </c>
      <c r="AD108" s="78">
        <v>37</v>
      </c>
      <c r="AE108" s="78">
        <v>37</v>
      </c>
      <c r="AF108" s="78">
        <v>37</v>
      </c>
      <c r="AG108" s="78">
        <v>37</v>
      </c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</row>
    <row r="109" spans="17:57" x14ac:dyDescent="0.25">
      <c r="Q109"/>
      <c r="R109" s="7"/>
      <c r="S109" s="7"/>
      <c r="T109" s="143" t="s">
        <v>14</v>
      </c>
      <c r="U109" s="77" t="s">
        <v>194</v>
      </c>
      <c r="V109" s="78">
        <v>3333.3333333333335</v>
      </c>
      <c r="W109" s="78">
        <v>1E-14</v>
      </c>
      <c r="X109" s="78">
        <v>3333.3333333333335</v>
      </c>
      <c r="Y109" s="78">
        <v>1E-14</v>
      </c>
      <c r="Z109" s="78">
        <v>1E-14</v>
      </c>
      <c r="AA109" s="78">
        <v>3333.3333333333335</v>
      </c>
      <c r="AB109" s="78">
        <v>3333.3333333333335</v>
      </c>
      <c r="AC109" s="78">
        <v>3333.3333333333335</v>
      </c>
      <c r="AD109" s="78">
        <v>3333.3333333333335</v>
      </c>
      <c r="AE109" s="78">
        <v>3333.3333333333335</v>
      </c>
      <c r="AF109" s="78">
        <v>3333.3333333333335</v>
      </c>
      <c r="AG109" s="78">
        <v>3333.3333333333335</v>
      </c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</row>
    <row r="110" spans="17:57" x14ac:dyDescent="0.25">
      <c r="Q110"/>
      <c r="R110" s="7"/>
      <c r="S110" s="7"/>
      <c r="T110" s="143" t="s">
        <v>14</v>
      </c>
      <c r="U110" s="77" t="s">
        <v>195</v>
      </c>
      <c r="V110" s="78">
        <v>3333.3333333333335</v>
      </c>
      <c r="W110" s="78">
        <v>3333.3333333333335</v>
      </c>
      <c r="X110" s="78">
        <v>3333.3333333333335</v>
      </c>
      <c r="Y110" s="78">
        <v>3333.3333333333335</v>
      </c>
      <c r="Z110" s="78">
        <v>3333.3333333333335</v>
      </c>
      <c r="AA110" s="78">
        <v>3333.3333333333335</v>
      </c>
      <c r="AB110" s="78">
        <v>3333.3333333333335</v>
      </c>
      <c r="AC110" s="78">
        <v>3333.3333333333335</v>
      </c>
      <c r="AD110" s="78">
        <v>3333.3333333333335</v>
      </c>
      <c r="AE110" s="78">
        <v>3333.3333333333335</v>
      </c>
      <c r="AF110" s="78">
        <v>3333.3333333333335</v>
      </c>
      <c r="AG110" s="78">
        <v>3333.3333333333335</v>
      </c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</row>
    <row r="111" spans="17:57" x14ac:dyDescent="0.25">
      <c r="Q111"/>
      <c r="R111" s="7"/>
      <c r="S111" s="7"/>
      <c r="T111" s="143" t="s">
        <v>14</v>
      </c>
      <c r="U111" s="77" t="s">
        <v>196</v>
      </c>
      <c r="V111" s="78">
        <v>10.5</v>
      </c>
      <c r="W111" s="78">
        <v>10.5</v>
      </c>
      <c r="X111" s="78">
        <v>10.5</v>
      </c>
      <c r="Y111" s="78">
        <v>10.5</v>
      </c>
      <c r="Z111" s="78">
        <v>10.5</v>
      </c>
      <c r="AA111" s="78">
        <v>10.5</v>
      </c>
      <c r="AB111" s="78">
        <v>10.5</v>
      </c>
      <c r="AC111" s="78">
        <v>10.5</v>
      </c>
      <c r="AD111" s="78">
        <v>10.5</v>
      </c>
      <c r="AE111" s="78">
        <v>10.5</v>
      </c>
      <c r="AF111" s="78">
        <v>10.5</v>
      </c>
      <c r="AG111" s="78">
        <v>10.5</v>
      </c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</row>
    <row r="112" spans="17:57" x14ac:dyDescent="0.25">
      <c r="Q112"/>
      <c r="R112" s="7"/>
      <c r="S112" s="7"/>
      <c r="T112" s="143" t="s">
        <v>14</v>
      </c>
      <c r="U112" s="77" t="s">
        <v>197</v>
      </c>
      <c r="V112" s="78">
        <v>400</v>
      </c>
      <c r="W112" s="78">
        <v>400</v>
      </c>
      <c r="X112" s="78">
        <v>400</v>
      </c>
      <c r="Y112" s="78">
        <v>400</v>
      </c>
      <c r="Z112" s="78">
        <v>400</v>
      </c>
      <c r="AA112" s="78">
        <v>400</v>
      </c>
      <c r="AB112" s="78">
        <v>400</v>
      </c>
      <c r="AC112" s="78">
        <v>400</v>
      </c>
      <c r="AD112" s="78">
        <v>400</v>
      </c>
      <c r="AE112" s="78">
        <v>400</v>
      </c>
      <c r="AF112" s="78">
        <v>400</v>
      </c>
      <c r="AG112" s="78">
        <v>400</v>
      </c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</row>
    <row r="113" spans="17:57" x14ac:dyDescent="0.25">
      <c r="Q113"/>
      <c r="R113" s="7"/>
      <c r="S113" s="7"/>
      <c r="T113" s="143" t="s">
        <v>14</v>
      </c>
      <c r="U113" s="77" t="s">
        <v>198</v>
      </c>
      <c r="V113" s="78">
        <v>37</v>
      </c>
      <c r="W113" s="78">
        <v>37</v>
      </c>
      <c r="X113" s="78">
        <v>37</v>
      </c>
      <c r="Y113" s="78">
        <v>37</v>
      </c>
      <c r="Z113" s="78">
        <v>37</v>
      </c>
      <c r="AA113" s="78">
        <v>37</v>
      </c>
      <c r="AB113" s="78">
        <v>37</v>
      </c>
      <c r="AC113" s="78">
        <v>37</v>
      </c>
      <c r="AD113" s="78">
        <v>37</v>
      </c>
      <c r="AE113" s="78">
        <v>37</v>
      </c>
      <c r="AF113" s="78">
        <v>37</v>
      </c>
      <c r="AG113" s="78">
        <v>37</v>
      </c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</row>
    <row r="114" spans="17:57" x14ac:dyDescent="0.25">
      <c r="Q114"/>
      <c r="R114" s="7"/>
      <c r="S114" s="7"/>
      <c r="T114" s="143" t="s">
        <v>15</v>
      </c>
      <c r="U114" s="77" t="s">
        <v>194</v>
      </c>
      <c r="V114" s="78">
        <v>166.66666666666666</v>
      </c>
      <c r="W114" s="78">
        <v>1E-14</v>
      </c>
      <c r="X114" s="78">
        <v>166.66666666666666</v>
      </c>
      <c r="Y114" s="78">
        <v>166.66666666666666</v>
      </c>
      <c r="Z114" s="78">
        <v>166.66666666666666</v>
      </c>
      <c r="AA114" s="78">
        <v>166.66666666666666</v>
      </c>
      <c r="AB114" s="78">
        <v>166.66666666666666</v>
      </c>
      <c r="AC114" s="78">
        <v>166.66666666666666</v>
      </c>
      <c r="AD114" s="78">
        <v>166.66666666666666</v>
      </c>
      <c r="AE114" s="78">
        <v>166.66666666666666</v>
      </c>
      <c r="AF114" s="78">
        <v>166.66666666666666</v>
      </c>
      <c r="AG114" s="78">
        <v>166.66666666666666</v>
      </c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</row>
    <row r="115" spans="17:57" x14ac:dyDescent="0.25">
      <c r="Q115"/>
      <c r="R115" s="7"/>
      <c r="S115" s="7"/>
      <c r="T115" s="143" t="s">
        <v>15</v>
      </c>
      <c r="U115" s="77" t="s">
        <v>195</v>
      </c>
      <c r="V115" s="78">
        <v>166.66666666666666</v>
      </c>
      <c r="W115" s="78">
        <v>166.66666666666666</v>
      </c>
      <c r="X115" s="78">
        <v>166.66666666666666</v>
      </c>
      <c r="Y115" s="78">
        <v>166.66666666666666</v>
      </c>
      <c r="Z115" s="78">
        <v>166.66666666666666</v>
      </c>
      <c r="AA115" s="78">
        <v>166.66666666666666</v>
      </c>
      <c r="AB115" s="78">
        <v>166.66666666666666</v>
      </c>
      <c r="AC115" s="78">
        <v>166.66666666666666</v>
      </c>
      <c r="AD115" s="78">
        <v>166.66666666666666</v>
      </c>
      <c r="AE115" s="78">
        <v>166.66666666666666</v>
      </c>
      <c r="AF115" s="78">
        <v>166.66666666666666</v>
      </c>
      <c r="AG115" s="78">
        <v>166.66666666666666</v>
      </c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</row>
    <row r="116" spans="17:57" x14ac:dyDescent="0.25">
      <c r="Q116"/>
      <c r="R116" s="7"/>
      <c r="S116" s="7"/>
      <c r="T116" s="143" t="s">
        <v>15</v>
      </c>
      <c r="U116" s="77" t="s">
        <v>196</v>
      </c>
      <c r="V116" s="78">
        <v>10.5</v>
      </c>
      <c r="W116" s="78">
        <v>10.5</v>
      </c>
      <c r="X116" s="78">
        <v>10.5</v>
      </c>
      <c r="Y116" s="78">
        <v>10.5</v>
      </c>
      <c r="Z116" s="78">
        <v>10.5</v>
      </c>
      <c r="AA116" s="78">
        <v>10.5</v>
      </c>
      <c r="AB116" s="78">
        <v>10.5</v>
      </c>
      <c r="AC116" s="78">
        <v>10.5</v>
      </c>
      <c r="AD116" s="78">
        <v>10.5</v>
      </c>
      <c r="AE116" s="78">
        <v>10.5</v>
      </c>
      <c r="AF116" s="78">
        <v>10.5</v>
      </c>
      <c r="AG116" s="78">
        <v>10.5</v>
      </c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</row>
    <row r="117" spans="17:57" x14ac:dyDescent="0.25">
      <c r="Q117"/>
      <c r="R117" s="7"/>
      <c r="S117" s="7"/>
      <c r="T117" s="143" t="s">
        <v>15</v>
      </c>
      <c r="U117" s="77" t="s">
        <v>197</v>
      </c>
      <c r="V117" s="78">
        <v>515</v>
      </c>
      <c r="W117" s="78">
        <v>515</v>
      </c>
      <c r="X117" s="78">
        <v>515</v>
      </c>
      <c r="Y117" s="78">
        <v>515</v>
      </c>
      <c r="Z117" s="78">
        <v>515</v>
      </c>
      <c r="AA117" s="78">
        <v>515</v>
      </c>
      <c r="AB117" s="78">
        <v>515</v>
      </c>
      <c r="AC117" s="78">
        <v>515</v>
      </c>
      <c r="AD117" s="78">
        <v>515</v>
      </c>
      <c r="AE117" s="78">
        <v>515</v>
      </c>
      <c r="AF117" s="78">
        <v>515</v>
      </c>
      <c r="AG117" s="78">
        <v>515</v>
      </c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</row>
    <row r="118" spans="17:57" x14ac:dyDescent="0.25">
      <c r="Q118"/>
      <c r="R118" s="7"/>
      <c r="S118" s="7"/>
      <c r="T118" s="143" t="s">
        <v>15</v>
      </c>
      <c r="U118" s="77" t="s">
        <v>198</v>
      </c>
      <c r="V118" s="78">
        <v>37</v>
      </c>
      <c r="W118" s="78">
        <v>37</v>
      </c>
      <c r="X118" s="78">
        <v>37</v>
      </c>
      <c r="Y118" s="78">
        <v>37</v>
      </c>
      <c r="Z118" s="78">
        <v>37</v>
      </c>
      <c r="AA118" s="78">
        <v>37</v>
      </c>
      <c r="AB118" s="78">
        <v>37</v>
      </c>
      <c r="AC118" s="78">
        <v>37</v>
      </c>
      <c r="AD118" s="78">
        <v>37</v>
      </c>
      <c r="AE118" s="78">
        <v>37</v>
      </c>
      <c r="AF118" s="78">
        <v>37</v>
      </c>
      <c r="AG118" s="78">
        <v>37</v>
      </c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</row>
    <row r="119" spans="17:57" x14ac:dyDescent="0.25">
      <c r="Q119"/>
      <c r="R119" s="7"/>
      <c r="S119" s="7"/>
      <c r="T119" s="143" t="s">
        <v>16</v>
      </c>
      <c r="U119" s="77" t="s">
        <v>194</v>
      </c>
      <c r="V119" s="78">
        <v>1E-14</v>
      </c>
      <c r="W119" s="78">
        <v>1E-14</v>
      </c>
      <c r="X119" s="78">
        <v>1E-14</v>
      </c>
      <c r="Y119" s="78">
        <v>1E-14</v>
      </c>
      <c r="Z119" s="78">
        <v>1E-14</v>
      </c>
      <c r="AA119" s="78">
        <v>1E-14</v>
      </c>
      <c r="AB119" s="78">
        <v>1E-14</v>
      </c>
      <c r="AC119" s="78">
        <v>1E-14</v>
      </c>
      <c r="AD119" s="78">
        <v>1E-14</v>
      </c>
      <c r="AE119" s="78">
        <v>1E-14</v>
      </c>
      <c r="AF119" s="78">
        <v>1E-14</v>
      </c>
      <c r="AG119" s="78">
        <v>1E-14</v>
      </c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</row>
    <row r="120" spans="17:57" x14ac:dyDescent="0.25">
      <c r="Q120"/>
      <c r="R120" s="7"/>
      <c r="S120" s="7"/>
      <c r="T120" s="143" t="s">
        <v>16</v>
      </c>
      <c r="U120" s="77" t="s">
        <v>195</v>
      </c>
      <c r="V120" s="78">
        <v>1E-14</v>
      </c>
      <c r="W120" s="78">
        <v>1E-14</v>
      </c>
      <c r="X120" s="78">
        <v>1E-14</v>
      </c>
      <c r="Y120" s="78">
        <v>1E-14</v>
      </c>
      <c r="Z120" s="78">
        <v>1E-14</v>
      </c>
      <c r="AA120" s="78">
        <v>1E-14</v>
      </c>
      <c r="AB120" s="78">
        <v>1E-14</v>
      </c>
      <c r="AC120" s="78">
        <v>1E-14</v>
      </c>
      <c r="AD120" s="78">
        <v>1E-14</v>
      </c>
      <c r="AE120" s="78">
        <v>1E-14</v>
      </c>
      <c r="AF120" s="78">
        <v>1E-14</v>
      </c>
      <c r="AG120" s="78">
        <v>1E-14</v>
      </c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</row>
    <row r="121" spans="17:57" x14ac:dyDescent="0.25">
      <c r="Q121"/>
      <c r="R121" s="7"/>
      <c r="S121" s="7"/>
      <c r="T121" s="143" t="s">
        <v>16</v>
      </c>
      <c r="U121" s="77" t="s">
        <v>196</v>
      </c>
      <c r="V121" s="78">
        <v>13</v>
      </c>
      <c r="W121" s="78">
        <v>13</v>
      </c>
      <c r="X121" s="78">
        <v>13</v>
      </c>
      <c r="Y121" s="78">
        <v>13</v>
      </c>
      <c r="Z121" s="78">
        <v>13</v>
      </c>
      <c r="AA121" s="78">
        <v>13</v>
      </c>
      <c r="AB121" s="78">
        <v>13</v>
      </c>
      <c r="AC121" s="78">
        <v>13</v>
      </c>
      <c r="AD121" s="78">
        <v>13</v>
      </c>
      <c r="AE121" s="78">
        <v>13</v>
      </c>
      <c r="AF121" s="78">
        <v>13</v>
      </c>
      <c r="AG121" s="78">
        <v>13</v>
      </c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</row>
    <row r="122" spans="17:57" x14ac:dyDescent="0.25">
      <c r="Q122"/>
      <c r="R122" s="7"/>
      <c r="S122" s="7"/>
      <c r="T122" s="143" t="s">
        <v>16</v>
      </c>
      <c r="U122" s="77" t="s">
        <v>197</v>
      </c>
      <c r="V122" s="78">
        <v>1E-14</v>
      </c>
      <c r="W122" s="78">
        <v>1E-14</v>
      </c>
      <c r="X122" s="78">
        <v>1E-14</v>
      </c>
      <c r="Y122" s="78">
        <v>1E-14</v>
      </c>
      <c r="Z122" s="78">
        <v>1E-14</v>
      </c>
      <c r="AA122" s="78">
        <v>1E-14</v>
      </c>
      <c r="AB122" s="78">
        <v>1E-14</v>
      </c>
      <c r="AC122" s="78">
        <v>1E-14</v>
      </c>
      <c r="AD122" s="78">
        <v>1E-14</v>
      </c>
      <c r="AE122" s="78">
        <v>1E-14</v>
      </c>
      <c r="AF122" s="78">
        <v>1E-14</v>
      </c>
      <c r="AG122" s="78">
        <v>1E-14</v>
      </c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</row>
    <row r="123" spans="17:57" x14ac:dyDescent="0.25">
      <c r="Q123"/>
      <c r="R123" s="7"/>
      <c r="S123" s="7"/>
      <c r="T123" s="143" t="s">
        <v>16</v>
      </c>
      <c r="U123" s="77" t="s">
        <v>198</v>
      </c>
      <c r="V123" s="78">
        <v>37</v>
      </c>
      <c r="W123" s="78">
        <v>37</v>
      </c>
      <c r="X123" s="78">
        <v>37</v>
      </c>
      <c r="Y123" s="78">
        <v>37</v>
      </c>
      <c r="Z123" s="78">
        <v>37</v>
      </c>
      <c r="AA123" s="78">
        <v>37</v>
      </c>
      <c r="AB123" s="78">
        <v>37</v>
      </c>
      <c r="AC123" s="78">
        <v>37</v>
      </c>
      <c r="AD123" s="78">
        <v>37</v>
      </c>
      <c r="AE123" s="78">
        <v>37</v>
      </c>
      <c r="AF123" s="78">
        <v>37</v>
      </c>
      <c r="AG123" s="78">
        <v>37</v>
      </c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</row>
    <row r="124" spans="17:57" x14ac:dyDescent="0.25">
      <c r="Q124"/>
      <c r="R124" s="7"/>
      <c r="S124" s="7"/>
      <c r="T124" s="143" t="s">
        <v>18</v>
      </c>
      <c r="U124" s="77" t="s">
        <v>194</v>
      </c>
      <c r="V124" s="78">
        <v>125</v>
      </c>
      <c r="W124" s="78">
        <v>1E-14</v>
      </c>
      <c r="X124" s="78">
        <v>125</v>
      </c>
      <c r="Y124" s="78">
        <v>125</v>
      </c>
      <c r="Z124" s="78">
        <v>125</v>
      </c>
      <c r="AA124" s="78">
        <v>125</v>
      </c>
      <c r="AB124" s="78">
        <v>125</v>
      </c>
      <c r="AC124" s="78">
        <v>125</v>
      </c>
      <c r="AD124" s="78">
        <v>125</v>
      </c>
      <c r="AE124" s="78">
        <v>125</v>
      </c>
      <c r="AF124" s="78">
        <v>125</v>
      </c>
      <c r="AG124" s="78">
        <v>125</v>
      </c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</row>
    <row r="125" spans="17:57" x14ac:dyDescent="0.25">
      <c r="Q125"/>
      <c r="R125" s="7"/>
      <c r="S125" s="7"/>
      <c r="T125" s="143" t="s">
        <v>18</v>
      </c>
      <c r="U125" s="77" t="s">
        <v>195</v>
      </c>
      <c r="V125" s="78">
        <v>125</v>
      </c>
      <c r="W125" s="78">
        <v>125</v>
      </c>
      <c r="X125" s="78">
        <v>125</v>
      </c>
      <c r="Y125" s="78">
        <v>125</v>
      </c>
      <c r="Z125" s="78">
        <v>125</v>
      </c>
      <c r="AA125" s="78">
        <v>125</v>
      </c>
      <c r="AB125" s="78">
        <v>125</v>
      </c>
      <c r="AC125" s="78">
        <v>125</v>
      </c>
      <c r="AD125" s="78">
        <v>125</v>
      </c>
      <c r="AE125" s="78">
        <v>125</v>
      </c>
      <c r="AF125" s="78">
        <v>125</v>
      </c>
      <c r="AG125" s="78">
        <v>125</v>
      </c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</row>
    <row r="126" spans="17:57" x14ac:dyDescent="0.25">
      <c r="Q126"/>
      <c r="R126" s="7"/>
      <c r="S126" s="7"/>
      <c r="T126" s="143" t="s">
        <v>18</v>
      </c>
      <c r="U126" s="77" t="s">
        <v>196</v>
      </c>
      <c r="V126" s="78">
        <v>14.5</v>
      </c>
      <c r="W126" s="78">
        <v>14.5</v>
      </c>
      <c r="X126" s="78">
        <v>14.5</v>
      </c>
      <c r="Y126" s="78">
        <v>14.5</v>
      </c>
      <c r="Z126" s="78">
        <v>14.5</v>
      </c>
      <c r="AA126" s="78">
        <v>14.5</v>
      </c>
      <c r="AB126" s="78">
        <v>14.5</v>
      </c>
      <c r="AC126" s="78">
        <v>14.5</v>
      </c>
      <c r="AD126" s="78">
        <v>14.5</v>
      </c>
      <c r="AE126" s="78">
        <v>14.5</v>
      </c>
      <c r="AF126" s="78">
        <v>14.5</v>
      </c>
      <c r="AG126" s="78">
        <v>14.5</v>
      </c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</row>
    <row r="127" spans="17:57" x14ac:dyDescent="0.25">
      <c r="Q127"/>
      <c r="R127" s="7"/>
      <c r="S127" s="7"/>
      <c r="T127" s="143" t="s">
        <v>18</v>
      </c>
      <c r="U127" s="77" t="s">
        <v>197</v>
      </c>
      <c r="V127" s="78">
        <v>1E-14</v>
      </c>
      <c r="W127" s="78">
        <v>1E-14</v>
      </c>
      <c r="X127" s="78">
        <v>1E-14</v>
      </c>
      <c r="Y127" s="78">
        <v>1E-14</v>
      </c>
      <c r="Z127" s="78">
        <v>1E-14</v>
      </c>
      <c r="AA127" s="78">
        <v>1E-14</v>
      </c>
      <c r="AB127" s="78">
        <v>1E-14</v>
      </c>
      <c r="AC127" s="78">
        <v>1E-14</v>
      </c>
      <c r="AD127" s="78">
        <v>1E-14</v>
      </c>
      <c r="AE127" s="78">
        <v>1E-14</v>
      </c>
      <c r="AF127" s="78">
        <v>1E-14</v>
      </c>
      <c r="AG127" s="78">
        <v>1E-14</v>
      </c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</row>
    <row r="128" spans="17:57" x14ac:dyDescent="0.25">
      <c r="Q128"/>
      <c r="R128" s="7"/>
      <c r="S128" s="7"/>
      <c r="T128" s="143" t="s">
        <v>18</v>
      </c>
      <c r="U128" s="77" t="s">
        <v>198</v>
      </c>
      <c r="V128" s="78">
        <v>37</v>
      </c>
      <c r="W128" s="78">
        <v>37</v>
      </c>
      <c r="X128" s="78">
        <v>37</v>
      </c>
      <c r="Y128" s="78">
        <v>37</v>
      </c>
      <c r="Z128" s="78">
        <v>37</v>
      </c>
      <c r="AA128" s="78">
        <v>37</v>
      </c>
      <c r="AB128" s="78">
        <v>37</v>
      </c>
      <c r="AC128" s="78">
        <v>37</v>
      </c>
      <c r="AD128" s="78">
        <v>37</v>
      </c>
      <c r="AE128" s="78">
        <v>37</v>
      </c>
      <c r="AF128" s="78">
        <v>37</v>
      </c>
      <c r="AG128" s="78">
        <v>37</v>
      </c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</row>
    <row r="129" spans="17:57" x14ac:dyDescent="0.25">
      <c r="Q129"/>
      <c r="R129" s="7"/>
      <c r="S129" s="7"/>
      <c r="T129" s="143" t="s">
        <v>19</v>
      </c>
      <c r="U129" s="77" t="s">
        <v>194</v>
      </c>
      <c r="V129" s="78">
        <v>1E-14</v>
      </c>
      <c r="W129" s="78">
        <v>1E-14</v>
      </c>
      <c r="X129" s="78">
        <v>1E-14</v>
      </c>
      <c r="Y129" s="78">
        <v>1E-14</v>
      </c>
      <c r="Z129" s="78">
        <v>1E-14</v>
      </c>
      <c r="AA129" s="78">
        <v>1E-14</v>
      </c>
      <c r="AB129" s="78">
        <v>1E-14</v>
      </c>
      <c r="AC129" s="78">
        <v>1E-14</v>
      </c>
      <c r="AD129" s="78">
        <v>1E-14</v>
      </c>
      <c r="AE129" s="78">
        <v>1E-14</v>
      </c>
      <c r="AF129" s="78">
        <v>1E-14</v>
      </c>
      <c r="AG129" s="78">
        <v>1E-14</v>
      </c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</row>
    <row r="130" spans="17:57" x14ac:dyDescent="0.25">
      <c r="Q130"/>
      <c r="R130" s="7"/>
      <c r="S130" s="7"/>
      <c r="T130" s="143" t="s">
        <v>19</v>
      </c>
      <c r="U130" s="77" t="s">
        <v>195</v>
      </c>
      <c r="V130" s="78">
        <v>1E-14</v>
      </c>
      <c r="W130" s="78">
        <v>1E-14</v>
      </c>
      <c r="X130" s="78">
        <v>1E-14</v>
      </c>
      <c r="Y130" s="78">
        <v>1E-14</v>
      </c>
      <c r="Z130" s="78">
        <v>1E-14</v>
      </c>
      <c r="AA130" s="78">
        <v>1E-14</v>
      </c>
      <c r="AB130" s="78">
        <v>1E-14</v>
      </c>
      <c r="AC130" s="78">
        <v>1E-14</v>
      </c>
      <c r="AD130" s="78">
        <v>1E-14</v>
      </c>
      <c r="AE130" s="78">
        <v>1E-14</v>
      </c>
      <c r="AF130" s="78">
        <v>1E-14</v>
      </c>
      <c r="AG130" s="78">
        <v>1E-14</v>
      </c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</row>
    <row r="131" spans="17:57" x14ac:dyDescent="0.25">
      <c r="Q131"/>
      <c r="R131" s="7"/>
      <c r="S131" s="7"/>
      <c r="T131" s="143" t="s">
        <v>19</v>
      </c>
      <c r="U131" s="77" t="s">
        <v>196</v>
      </c>
      <c r="V131" s="78">
        <v>14.7</v>
      </c>
      <c r="W131" s="78">
        <v>14.7</v>
      </c>
      <c r="X131" s="78">
        <v>14.7</v>
      </c>
      <c r="Y131" s="78">
        <v>14.7</v>
      </c>
      <c r="Z131" s="78">
        <v>14.7</v>
      </c>
      <c r="AA131" s="78">
        <v>14.7</v>
      </c>
      <c r="AB131" s="78">
        <v>14.7</v>
      </c>
      <c r="AC131" s="78">
        <v>14.7</v>
      </c>
      <c r="AD131" s="78">
        <v>14.7</v>
      </c>
      <c r="AE131" s="78">
        <v>14.7</v>
      </c>
      <c r="AF131" s="78">
        <v>14.7</v>
      </c>
      <c r="AG131" s="78">
        <v>14.7</v>
      </c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</row>
    <row r="132" spans="17:57" x14ac:dyDescent="0.25">
      <c r="Q132"/>
      <c r="R132" s="7"/>
      <c r="S132" s="7"/>
      <c r="T132" s="143" t="s">
        <v>19</v>
      </c>
      <c r="U132" s="77" t="s">
        <v>197</v>
      </c>
      <c r="V132" s="78">
        <v>1E-14</v>
      </c>
      <c r="W132" s="78">
        <v>1E-14</v>
      </c>
      <c r="X132" s="78">
        <v>1E-14</v>
      </c>
      <c r="Y132" s="78">
        <v>1E-14</v>
      </c>
      <c r="Z132" s="78">
        <v>1E-14</v>
      </c>
      <c r="AA132" s="78">
        <v>1E-14</v>
      </c>
      <c r="AB132" s="78">
        <v>1E-14</v>
      </c>
      <c r="AC132" s="78">
        <v>1E-14</v>
      </c>
      <c r="AD132" s="78">
        <v>1E-14</v>
      </c>
      <c r="AE132" s="78">
        <v>1E-14</v>
      </c>
      <c r="AF132" s="78">
        <v>1E-14</v>
      </c>
      <c r="AG132" s="78">
        <v>1E-14</v>
      </c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</row>
    <row r="133" spans="17:57" x14ac:dyDescent="0.25">
      <c r="Q133"/>
      <c r="R133" s="7"/>
      <c r="S133" s="7"/>
      <c r="T133" s="143" t="s">
        <v>19</v>
      </c>
      <c r="U133" s="77" t="s">
        <v>198</v>
      </c>
      <c r="V133" s="78">
        <v>37</v>
      </c>
      <c r="W133" s="78">
        <v>37</v>
      </c>
      <c r="X133" s="78">
        <v>37</v>
      </c>
      <c r="Y133" s="78">
        <v>37</v>
      </c>
      <c r="Z133" s="78">
        <v>37</v>
      </c>
      <c r="AA133" s="78">
        <v>37</v>
      </c>
      <c r="AB133" s="78">
        <v>37</v>
      </c>
      <c r="AC133" s="78">
        <v>37</v>
      </c>
      <c r="AD133" s="78">
        <v>37</v>
      </c>
      <c r="AE133" s="78">
        <v>37</v>
      </c>
      <c r="AF133" s="78">
        <v>37</v>
      </c>
      <c r="AG133" s="78">
        <v>37</v>
      </c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</row>
    <row r="134" spans="17:57" x14ac:dyDescent="0.25">
      <c r="Q134"/>
      <c r="R134" s="7"/>
      <c r="S134" s="7"/>
      <c r="T134" s="143" t="s">
        <v>20</v>
      </c>
      <c r="U134" s="77" t="s">
        <v>194</v>
      </c>
      <c r="V134" s="78">
        <v>10</v>
      </c>
      <c r="W134" s="78">
        <v>1E-14</v>
      </c>
      <c r="X134" s="78">
        <v>10</v>
      </c>
      <c r="Y134" s="78">
        <v>10</v>
      </c>
      <c r="Z134" s="78">
        <v>1E-14</v>
      </c>
      <c r="AA134" s="78">
        <v>10</v>
      </c>
      <c r="AB134" s="78">
        <v>10</v>
      </c>
      <c r="AC134" s="78">
        <v>10</v>
      </c>
      <c r="AD134" s="78">
        <v>10</v>
      </c>
      <c r="AE134" s="78">
        <v>10</v>
      </c>
      <c r="AF134" s="78">
        <v>10</v>
      </c>
      <c r="AG134" s="78">
        <v>10</v>
      </c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</row>
    <row r="135" spans="17:57" x14ac:dyDescent="0.25">
      <c r="Q135"/>
      <c r="R135" s="7"/>
      <c r="S135" s="7"/>
      <c r="T135" s="143" t="s">
        <v>20</v>
      </c>
      <c r="U135" s="77" t="s">
        <v>195</v>
      </c>
      <c r="V135" s="78">
        <v>10</v>
      </c>
      <c r="W135" s="78">
        <v>10</v>
      </c>
      <c r="X135" s="78">
        <v>10</v>
      </c>
      <c r="Y135" s="78">
        <v>10</v>
      </c>
      <c r="Z135" s="78">
        <v>10</v>
      </c>
      <c r="AA135" s="78">
        <v>10</v>
      </c>
      <c r="AB135" s="78">
        <v>10</v>
      </c>
      <c r="AC135" s="78">
        <v>10</v>
      </c>
      <c r="AD135" s="78">
        <v>10</v>
      </c>
      <c r="AE135" s="78">
        <v>10</v>
      </c>
      <c r="AF135" s="78">
        <v>10</v>
      </c>
      <c r="AG135" s="78">
        <v>10</v>
      </c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</row>
    <row r="136" spans="17:57" x14ac:dyDescent="0.25">
      <c r="Q136"/>
      <c r="R136" s="7"/>
      <c r="S136" s="7"/>
      <c r="T136" s="143" t="s">
        <v>20</v>
      </c>
      <c r="U136" s="77" t="s">
        <v>196</v>
      </c>
      <c r="V136" s="78">
        <v>14</v>
      </c>
      <c r="W136" s="78">
        <v>14</v>
      </c>
      <c r="X136" s="78">
        <v>14</v>
      </c>
      <c r="Y136" s="78">
        <v>14</v>
      </c>
      <c r="Z136" s="78">
        <v>14</v>
      </c>
      <c r="AA136" s="78">
        <v>14</v>
      </c>
      <c r="AB136" s="78">
        <v>14</v>
      </c>
      <c r="AC136" s="78">
        <v>14</v>
      </c>
      <c r="AD136" s="78">
        <v>14</v>
      </c>
      <c r="AE136" s="78">
        <v>14</v>
      </c>
      <c r="AF136" s="78">
        <v>14</v>
      </c>
      <c r="AG136" s="78">
        <v>14</v>
      </c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</row>
    <row r="137" spans="17:57" x14ac:dyDescent="0.25">
      <c r="Q137"/>
      <c r="R137" s="7"/>
      <c r="S137" s="7"/>
      <c r="T137" s="143" t="s">
        <v>20</v>
      </c>
      <c r="U137" s="77" t="s">
        <v>197</v>
      </c>
      <c r="V137" s="78">
        <v>685</v>
      </c>
      <c r="W137" s="78">
        <v>685</v>
      </c>
      <c r="X137" s="78">
        <v>685</v>
      </c>
      <c r="Y137" s="78">
        <v>685</v>
      </c>
      <c r="Z137" s="78">
        <v>685</v>
      </c>
      <c r="AA137" s="78">
        <v>685</v>
      </c>
      <c r="AB137" s="78">
        <v>685</v>
      </c>
      <c r="AC137" s="78">
        <v>685</v>
      </c>
      <c r="AD137" s="78">
        <v>685</v>
      </c>
      <c r="AE137" s="78">
        <v>685</v>
      </c>
      <c r="AF137" s="78">
        <v>685</v>
      </c>
      <c r="AG137" s="78">
        <v>685</v>
      </c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</row>
    <row r="138" spans="17:57" x14ac:dyDescent="0.25">
      <c r="Q138"/>
      <c r="R138" s="7"/>
      <c r="S138" s="7"/>
      <c r="T138" s="143" t="s">
        <v>20</v>
      </c>
      <c r="U138" s="77" t="s">
        <v>198</v>
      </c>
      <c r="V138" s="78">
        <v>37</v>
      </c>
      <c r="W138" s="78">
        <v>37</v>
      </c>
      <c r="X138" s="78">
        <v>37</v>
      </c>
      <c r="Y138" s="78">
        <v>37</v>
      </c>
      <c r="Z138" s="78">
        <v>37</v>
      </c>
      <c r="AA138" s="78">
        <v>37</v>
      </c>
      <c r="AB138" s="78">
        <v>37</v>
      </c>
      <c r="AC138" s="78">
        <v>37</v>
      </c>
      <c r="AD138" s="78">
        <v>37</v>
      </c>
      <c r="AE138" s="78">
        <v>37</v>
      </c>
      <c r="AF138" s="78">
        <v>37</v>
      </c>
      <c r="AG138" s="78">
        <v>37</v>
      </c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</row>
    <row r="139" spans="17:57" x14ac:dyDescent="0.25">
      <c r="Q139"/>
      <c r="R139" s="7"/>
      <c r="S139" s="7"/>
      <c r="T139" s="143" t="s">
        <v>17</v>
      </c>
      <c r="U139" s="77" t="s">
        <v>194</v>
      </c>
      <c r="V139" s="78">
        <v>12.5</v>
      </c>
      <c r="W139" s="78">
        <v>1E-14</v>
      </c>
      <c r="X139" s="78">
        <v>12.5</v>
      </c>
      <c r="Y139" s="78">
        <v>1E-14</v>
      </c>
      <c r="Z139" s="78">
        <v>1E-14</v>
      </c>
      <c r="AA139" s="78">
        <v>12.5</v>
      </c>
      <c r="AB139" s="78">
        <v>12.5</v>
      </c>
      <c r="AC139" s="78">
        <v>12.5</v>
      </c>
      <c r="AD139" s="78">
        <v>12.5</v>
      </c>
      <c r="AE139" s="78">
        <v>12.5</v>
      </c>
      <c r="AF139" s="78">
        <v>12.5</v>
      </c>
      <c r="AG139" s="78">
        <v>12.5</v>
      </c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</row>
    <row r="140" spans="17:57" x14ac:dyDescent="0.25">
      <c r="Q140"/>
      <c r="R140" s="7"/>
      <c r="S140" s="7"/>
      <c r="T140" s="143" t="s">
        <v>17</v>
      </c>
      <c r="U140" s="77" t="s">
        <v>195</v>
      </c>
      <c r="V140" s="78">
        <v>12.5</v>
      </c>
      <c r="W140" s="78">
        <v>12.5</v>
      </c>
      <c r="X140" s="78">
        <v>12.5</v>
      </c>
      <c r="Y140" s="78">
        <v>12.5</v>
      </c>
      <c r="Z140" s="78">
        <v>12.5</v>
      </c>
      <c r="AA140" s="78">
        <v>12.5</v>
      </c>
      <c r="AB140" s="78">
        <v>12.5</v>
      </c>
      <c r="AC140" s="78">
        <v>12.5</v>
      </c>
      <c r="AD140" s="78">
        <v>12.5</v>
      </c>
      <c r="AE140" s="78">
        <v>12.5</v>
      </c>
      <c r="AF140" s="78">
        <v>12.5</v>
      </c>
      <c r="AG140" s="78">
        <v>12.5</v>
      </c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</row>
    <row r="141" spans="17:57" x14ac:dyDescent="0.25">
      <c r="Q141"/>
      <c r="R141" s="7"/>
      <c r="S141" s="7"/>
      <c r="T141" s="143" t="s">
        <v>17</v>
      </c>
      <c r="U141" s="77" t="s">
        <v>196</v>
      </c>
      <c r="V141" s="78">
        <v>9</v>
      </c>
      <c r="W141" s="78">
        <v>9</v>
      </c>
      <c r="X141" s="78">
        <v>9</v>
      </c>
      <c r="Y141" s="78">
        <v>9</v>
      </c>
      <c r="Z141" s="78">
        <v>9</v>
      </c>
      <c r="AA141" s="78">
        <v>9</v>
      </c>
      <c r="AB141" s="78">
        <v>9</v>
      </c>
      <c r="AC141" s="78">
        <v>9</v>
      </c>
      <c r="AD141" s="78">
        <v>9</v>
      </c>
      <c r="AE141" s="78">
        <v>9</v>
      </c>
      <c r="AF141" s="78">
        <v>9</v>
      </c>
      <c r="AG141" s="78">
        <v>9</v>
      </c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</row>
    <row r="142" spans="17:57" x14ac:dyDescent="0.25">
      <c r="Q142"/>
      <c r="R142" s="7"/>
      <c r="S142" s="7"/>
      <c r="T142" s="143" t="s">
        <v>17</v>
      </c>
      <c r="U142" s="77" t="s">
        <v>197</v>
      </c>
      <c r="V142" s="78">
        <v>1E-14</v>
      </c>
      <c r="W142" s="78">
        <v>1E-14</v>
      </c>
      <c r="X142" s="78">
        <v>1E-14</v>
      </c>
      <c r="Y142" s="78">
        <v>1E-14</v>
      </c>
      <c r="Z142" s="78">
        <v>1E-14</v>
      </c>
      <c r="AA142" s="78">
        <v>1E-14</v>
      </c>
      <c r="AB142" s="78">
        <v>1E-14</v>
      </c>
      <c r="AC142" s="78">
        <v>1E-14</v>
      </c>
      <c r="AD142" s="78">
        <v>1E-14</v>
      </c>
      <c r="AE142" s="78">
        <v>1E-14</v>
      </c>
      <c r="AF142" s="78">
        <v>1E-14</v>
      </c>
      <c r="AG142" s="78">
        <v>1E-14</v>
      </c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</row>
    <row r="143" spans="17:57" x14ac:dyDescent="0.25">
      <c r="Q143"/>
      <c r="R143" s="7"/>
      <c r="S143" s="7"/>
      <c r="T143" s="143" t="s">
        <v>17</v>
      </c>
      <c r="U143" s="77" t="s">
        <v>198</v>
      </c>
      <c r="V143" s="78">
        <v>1E-14</v>
      </c>
      <c r="W143" s="78">
        <v>1E-14</v>
      </c>
      <c r="X143" s="78">
        <v>1E-14</v>
      </c>
      <c r="Y143" s="78">
        <v>1E-14</v>
      </c>
      <c r="Z143" s="78">
        <v>1E-14</v>
      </c>
      <c r="AA143" s="78">
        <v>1E-14</v>
      </c>
      <c r="AB143" s="78">
        <v>1E-14</v>
      </c>
      <c r="AC143" s="78">
        <v>1E-14</v>
      </c>
      <c r="AD143" s="78">
        <v>1E-14</v>
      </c>
      <c r="AE143" s="78">
        <v>1E-14</v>
      </c>
      <c r="AF143" s="78">
        <v>1E-14</v>
      </c>
      <c r="AG143" s="78">
        <v>1E-14</v>
      </c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</row>
    <row r="144" spans="17:57" x14ac:dyDescent="0.25">
      <c r="Q144"/>
      <c r="R144" s="7"/>
      <c r="S144" s="7"/>
      <c r="T144" s="143" t="s">
        <v>28</v>
      </c>
      <c r="U144" s="77" t="s">
        <v>194</v>
      </c>
      <c r="V144" s="78">
        <v>1E-14</v>
      </c>
      <c r="W144" s="78">
        <v>1E-14</v>
      </c>
      <c r="X144" s="78">
        <v>1E-14</v>
      </c>
      <c r="Y144" s="78">
        <v>1E-14</v>
      </c>
      <c r="Z144" s="78">
        <v>1E-14</v>
      </c>
      <c r="AA144" s="78">
        <v>1E-14</v>
      </c>
      <c r="AB144" s="78">
        <v>1E-14</v>
      </c>
      <c r="AC144" s="78">
        <v>1E-14</v>
      </c>
      <c r="AD144" s="78">
        <v>1E-14</v>
      </c>
      <c r="AE144" s="78">
        <v>1E-14</v>
      </c>
      <c r="AF144" s="78">
        <v>1E-14</v>
      </c>
      <c r="AG144" s="78">
        <v>1E-14</v>
      </c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</row>
    <row r="145" spans="17:57" x14ac:dyDescent="0.25">
      <c r="Q145"/>
      <c r="R145" s="7"/>
      <c r="S145" s="7"/>
      <c r="T145" s="143" t="s">
        <v>28</v>
      </c>
      <c r="U145" s="77" t="s">
        <v>195</v>
      </c>
      <c r="V145" s="78">
        <v>3000</v>
      </c>
      <c r="W145" s="78">
        <v>3000</v>
      </c>
      <c r="X145" s="78">
        <v>3000</v>
      </c>
      <c r="Y145" s="78">
        <v>3000</v>
      </c>
      <c r="Z145" s="78">
        <v>3000</v>
      </c>
      <c r="AA145" s="78">
        <v>3000</v>
      </c>
      <c r="AB145" s="78">
        <v>3000</v>
      </c>
      <c r="AC145" s="78">
        <v>3000</v>
      </c>
      <c r="AD145" s="78">
        <v>3000</v>
      </c>
      <c r="AE145" s="78">
        <v>3000</v>
      </c>
      <c r="AF145" s="78">
        <v>3000</v>
      </c>
      <c r="AG145" s="78">
        <v>3000</v>
      </c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</row>
    <row r="146" spans="17:57" x14ac:dyDescent="0.25">
      <c r="Q146"/>
      <c r="R146" s="7"/>
      <c r="S146" s="7"/>
      <c r="T146" s="143" t="s">
        <v>28</v>
      </c>
      <c r="U146" s="77" t="s">
        <v>196</v>
      </c>
      <c r="V146" s="78">
        <v>11.5</v>
      </c>
      <c r="W146" s="78">
        <v>11.5</v>
      </c>
      <c r="X146" s="78">
        <v>11.5</v>
      </c>
      <c r="Y146" s="78">
        <v>11.5</v>
      </c>
      <c r="Z146" s="78">
        <v>11.5</v>
      </c>
      <c r="AA146" s="78">
        <v>11.5</v>
      </c>
      <c r="AB146" s="78">
        <v>11.5</v>
      </c>
      <c r="AC146" s="78">
        <v>11.5</v>
      </c>
      <c r="AD146" s="78">
        <v>11.5</v>
      </c>
      <c r="AE146" s="78">
        <v>11.5</v>
      </c>
      <c r="AF146" s="78">
        <v>11.5</v>
      </c>
      <c r="AG146" s="78">
        <v>11.5</v>
      </c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</row>
    <row r="147" spans="17:57" x14ac:dyDescent="0.25">
      <c r="Q147"/>
      <c r="R147" s="7"/>
      <c r="S147" s="7"/>
      <c r="T147" s="143" t="s">
        <v>28</v>
      </c>
      <c r="U147" s="77" t="s">
        <v>197</v>
      </c>
      <c r="V147" s="78">
        <v>1E-14</v>
      </c>
      <c r="W147" s="78">
        <v>1E-14</v>
      </c>
      <c r="X147" s="78">
        <v>1E-14</v>
      </c>
      <c r="Y147" s="78">
        <v>1E-14</v>
      </c>
      <c r="Z147" s="78">
        <v>1E-14</v>
      </c>
      <c r="AA147" s="78">
        <v>1E-14</v>
      </c>
      <c r="AB147" s="78">
        <v>1E-14</v>
      </c>
      <c r="AC147" s="78">
        <v>1E-14</v>
      </c>
      <c r="AD147" s="78">
        <v>1E-14</v>
      </c>
      <c r="AE147" s="78">
        <v>1E-14</v>
      </c>
      <c r="AF147" s="78">
        <v>1E-14</v>
      </c>
      <c r="AG147" s="78">
        <v>1E-14</v>
      </c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</row>
    <row r="148" spans="17:57" x14ac:dyDescent="0.25">
      <c r="Q148"/>
      <c r="R148" s="7"/>
      <c r="S148" s="7"/>
      <c r="T148" s="143" t="s">
        <v>28</v>
      </c>
      <c r="U148" s="77" t="s">
        <v>198</v>
      </c>
      <c r="V148" s="78">
        <v>1E-14</v>
      </c>
      <c r="W148" s="78">
        <v>1E-14</v>
      </c>
      <c r="X148" s="78">
        <v>1E-14</v>
      </c>
      <c r="Y148" s="78">
        <v>1E-14</v>
      </c>
      <c r="Z148" s="78">
        <v>1E-14</v>
      </c>
      <c r="AA148" s="78">
        <v>1E-14</v>
      </c>
      <c r="AB148" s="78">
        <v>1E-14</v>
      </c>
      <c r="AC148" s="78">
        <v>1E-14</v>
      </c>
      <c r="AD148" s="78">
        <v>1E-14</v>
      </c>
      <c r="AE148" s="78">
        <v>1E-14</v>
      </c>
      <c r="AF148" s="78">
        <v>1E-14</v>
      </c>
      <c r="AG148" s="78">
        <v>1E-14</v>
      </c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</row>
    <row r="149" spans="17:57" x14ac:dyDescent="0.25">
      <c r="Q149"/>
      <c r="R149" s="7"/>
      <c r="S149" s="7"/>
      <c r="T149" s="143" t="s">
        <v>29</v>
      </c>
      <c r="U149" s="77" t="s">
        <v>194</v>
      </c>
      <c r="V149" s="78">
        <v>1E-14</v>
      </c>
      <c r="W149" s="78">
        <v>1E-14</v>
      </c>
      <c r="X149" s="78">
        <v>1E-14</v>
      </c>
      <c r="Y149" s="78">
        <v>1E-14</v>
      </c>
      <c r="Z149" s="78">
        <v>1E-14</v>
      </c>
      <c r="AA149" s="78">
        <v>1E-14</v>
      </c>
      <c r="AB149" s="78">
        <v>1E-14</v>
      </c>
      <c r="AC149" s="78">
        <v>1E-14</v>
      </c>
      <c r="AD149" s="78">
        <v>1E-14</v>
      </c>
      <c r="AE149" s="78">
        <v>1E-14</v>
      </c>
      <c r="AF149" s="78">
        <v>1E-14</v>
      </c>
      <c r="AG149" s="78">
        <v>1E-14</v>
      </c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</row>
    <row r="150" spans="17:57" x14ac:dyDescent="0.25">
      <c r="Q150"/>
      <c r="R150" s="7"/>
      <c r="S150" s="7"/>
      <c r="T150" s="143" t="s">
        <v>29</v>
      </c>
      <c r="U150" s="77" t="s">
        <v>195</v>
      </c>
      <c r="V150" s="78">
        <v>3333.3333333333335</v>
      </c>
      <c r="W150" s="78">
        <v>3333.3333333333335</v>
      </c>
      <c r="X150" s="78">
        <v>3333.3333333333335</v>
      </c>
      <c r="Y150" s="78">
        <v>3333.3333333333335</v>
      </c>
      <c r="Z150" s="78">
        <v>3333.3333333333335</v>
      </c>
      <c r="AA150" s="78">
        <v>3333.3333333333335</v>
      </c>
      <c r="AB150" s="78">
        <v>3333.3333333333335</v>
      </c>
      <c r="AC150" s="78">
        <v>3333.3333333333335</v>
      </c>
      <c r="AD150" s="78">
        <v>3333.3333333333335</v>
      </c>
      <c r="AE150" s="78">
        <v>3333.3333333333335</v>
      </c>
      <c r="AF150" s="78">
        <v>3333.3333333333335</v>
      </c>
      <c r="AG150" s="78">
        <v>3333.3333333333335</v>
      </c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</row>
    <row r="151" spans="17:57" x14ac:dyDescent="0.25">
      <c r="Q151"/>
      <c r="R151" s="7"/>
      <c r="S151" s="7"/>
      <c r="T151" s="143" t="s">
        <v>29</v>
      </c>
      <c r="U151" s="77" t="s">
        <v>196</v>
      </c>
      <c r="V151" s="78">
        <v>10.5</v>
      </c>
      <c r="W151" s="78">
        <v>10.5</v>
      </c>
      <c r="X151" s="78">
        <v>10.5</v>
      </c>
      <c r="Y151" s="78">
        <v>10.5</v>
      </c>
      <c r="Z151" s="78">
        <v>10.5</v>
      </c>
      <c r="AA151" s="78">
        <v>10.5</v>
      </c>
      <c r="AB151" s="78">
        <v>10.5</v>
      </c>
      <c r="AC151" s="78">
        <v>10.5</v>
      </c>
      <c r="AD151" s="78">
        <v>10.5</v>
      </c>
      <c r="AE151" s="78">
        <v>10.5</v>
      </c>
      <c r="AF151" s="78">
        <v>10.5</v>
      </c>
      <c r="AG151" s="78">
        <v>10.5</v>
      </c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</row>
    <row r="152" spans="17:57" x14ac:dyDescent="0.25">
      <c r="Q152"/>
      <c r="R152" s="7"/>
      <c r="S152" s="7"/>
      <c r="T152" s="143" t="s">
        <v>29</v>
      </c>
      <c r="U152" s="77" t="s">
        <v>197</v>
      </c>
      <c r="V152" s="78">
        <v>450</v>
      </c>
      <c r="W152" s="78">
        <v>450</v>
      </c>
      <c r="X152" s="78">
        <v>450</v>
      </c>
      <c r="Y152" s="78">
        <v>450</v>
      </c>
      <c r="Z152" s="78">
        <v>450</v>
      </c>
      <c r="AA152" s="78">
        <v>450</v>
      </c>
      <c r="AB152" s="78">
        <v>450</v>
      </c>
      <c r="AC152" s="78">
        <v>450</v>
      </c>
      <c r="AD152" s="78">
        <v>450</v>
      </c>
      <c r="AE152" s="78">
        <v>450</v>
      </c>
      <c r="AF152" s="78">
        <v>450</v>
      </c>
      <c r="AG152" s="78">
        <v>450</v>
      </c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</row>
    <row r="153" spans="17:57" x14ac:dyDescent="0.25">
      <c r="R153" s="167"/>
      <c r="S153" s="167"/>
      <c r="T153" s="143" t="s">
        <v>29</v>
      </c>
      <c r="U153" s="77" t="s">
        <v>198</v>
      </c>
      <c r="V153" s="78">
        <v>37</v>
      </c>
      <c r="W153" s="78">
        <v>37</v>
      </c>
      <c r="X153" s="78">
        <v>37</v>
      </c>
      <c r="Y153" s="78">
        <v>37</v>
      </c>
      <c r="Z153" s="78">
        <v>37</v>
      </c>
      <c r="AA153" s="78">
        <v>37</v>
      </c>
      <c r="AB153" s="78">
        <v>37</v>
      </c>
      <c r="AC153" s="78">
        <v>37</v>
      </c>
      <c r="AD153" s="78">
        <v>37</v>
      </c>
      <c r="AE153" s="78">
        <v>37</v>
      </c>
      <c r="AF153" s="78">
        <v>37</v>
      </c>
      <c r="AG153" s="78">
        <v>37</v>
      </c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</row>
    <row r="154" spans="17:57" x14ac:dyDescent="0.25">
      <c r="R154" s="167"/>
      <c r="S154" s="167"/>
      <c r="T154" s="143" t="s">
        <v>62</v>
      </c>
      <c r="U154" s="77" t="s">
        <v>194</v>
      </c>
      <c r="V154" s="78">
        <v>1E-14</v>
      </c>
      <c r="W154" s="78">
        <v>1E-14</v>
      </c>
      <c r="X154" s="78">
        <v>1E-14</v>
      </c>
      <c r="Y154" s="78">
        <v>1E-14</v>
      </c>
      <c r="Z154" s="78">
        <v>1E-14</v>
      </c>
      <c r="AA154" s="78">
        <v>1E-14</v>
      </c>
      <c r="AB154" s="78">
        <v>1E-14</v>
      </c>
      <c r="AC154" s="78">
        <v>1E-14</v>
      </c>
      <c r="AD154" s="78">
        <v>1E-14</v>
      </c>
      <c r="AE154" s="78">
        <v>1E-14</v>
      </c>
      <c r="AF154" s="78">
        <v>1E-14</v>
      </c>
      <c r="AG154" s="78">
        <v>1E-14</v>
      </c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</row>
    <row r="155" spans="17:57" x14ac:dyDescent="0.25">
      <c r="R155" s="167"/>
      <c r="S155" s="167"/>
      <c r="T155" s="143" t="s">
        <v>62</v>
      </c>
      <c r="U155" s="77" t="s">
        <v>195</v>
      </c>
      <c r="V155" s="78">
        <v>2500</v>
      </c>
      <c r="W155" s="78">
        <v>2500</v>
      </c>
      <c r="X155" s="78">
        <v>2500</v>
      </c>
      <c r="Y155" s="78">
        <v>2500</v>
      </c>
      <c r="Z155" s="78">
        <v>2500</v>
      </c>
      <c r="AA155" s="78">
        <v>2500</v>
      </c>
      <c r="AB155" s="78">
        <v>2500</v>
      </c>
      <c r="AC155" s="78">
        <v>2500</v>
      </c>
      <c r="AD155" s="78">
        <v>2500</v>
      </c>
      <c r="AE155" s="78">
        <v>2500</v>
      </c>
      <c r="AF155" s="78">
        <v>2500</v>
      </c>
      <c r="AG155" s="78">
        <v>2500</v>
      </c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</row>
    <row r="156" spans="17:57" x14ac:dyDescent="0.25">
      <c r="R156" s="167"/>
      <c r="S156" s="167"/>
      <c r="T156" s="143" t="s">
        <v>62</v>
      </c>
      <c r="U156" s="77" t="s">
        <v>196</v>
      </c>
      <c r="V156" s="78">
        <v>9.5</v>
      </c>
      <c r="W156" s="78">
        <v>9.5</v>
      </c>
      <c r="X156" s="78">
        <v>9.5</v>
      </c>
      <c r="Y156" s="78">
        <v>9.5</v>
      </c>
      <c r="Z156" s="78">
        <v>9.5</v>
      </c>
      <c r="AA156" s="78">
        <v>9.5</v>
      </c>
      <c r="AB156" s="78">
        <v>9.5</v>
      </c>
      <c r="AC156" s="78">
        <v>9.5</v>
      </c>
      <c r="AD156" s="78">
        <v>9.5</v>
      </c>
      <c r="AE156" s="78">
        <v>9.5</v>
      </c>
      <c r="AF156" s="78">
        <v>9.5</v>
      </c>
      <c r="AG156" s="78">
        <v>9.5</v>
      </c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</row>
    <row r="157" spans="17:57" x14ac:dyDescent="0.25">
      <c r="R157" s="167"/>
      <c r="S157" s="167"/>
      <c r="T157" s="143" t="s">
        <v>62</v>
      </c>
      <c r="U157" s="77" t="s">
        <v>197</v>
      </c>
      <c r="V157" s="78">
        <v>500</v>
      </c>
      <c r="W157" s="78">
        <v>500</v>
      </c>
      <c r="X157" s="78">
        <v>500</v>
      </c>
      <c r="Y157" s="78">
        <v>500</v>
      </c>
      <c r="Z157" s="78">
        <v>500</v>
      </c>
      <c r="AA157" s="78">
        <v>500</v>
      </c>
      <c r="AB157" s="78">
        <v>500</v>
      </c>
      <c r="AC157" s="78">
        <v>500</v>
      </c>
      <c r="AD157" s="78">
        <v>500</v>
      </c>
      <c r="AE157" s="78">
        <v>500</v>
      </c>
      <c r="AF157" s="78">
        <v>500</v>
      </c>
      <c r="AG157" s="78">
        <v>500</v>
      </c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</row>
    <row r="158" spans="17:57" x14ac:dyDescent="0.25">
      <c r="R158" s="167"/>
      <c r="S158" s="167"/>
      <c r="T158" s="143" t="s">
        <v>62</v>
      </c>
      <c r="U158" s="77" t="s">
        <v>198</v>
      </c>
      <c r="V158" s="78">
        <v>37</v>
      </c>
      <c r="W158" s="78">
        <v>37</v>
      </c>
      <c r="X158" s="78">
        <v>37</v>
      </c>
      <c r="Y158" s="78">
        <v>37</v>
      </c>
      <c r="Z158" s="78">
        <v>37</v>
      </c>
      <c r="AA158" s="78">
        <v>37</v>
      </c>
      <c r="AB158" s="78">
        <v>37</v>
      </c>
      <c r="AC158" s="78">
        <v>37</v>
      </c>
      <c r="AD158" s="78">
        <v>37</v>
      </c>
      <c r="AE158" s="78">
        <v>37</v>
      </c>
      <c r="AF158" s="78">
        <v>37</v>
      </c>
      <c r="AG158" s="78">
        <v>37</v>
      </c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</row>
    <row r="159" spans="17:57" x14ac:dyDescent="0.25">
      <c r="R159" s="167"/>
      <c r="S159" s="167"/>
      <c r="T159" s="143" t="s">
        <v>63</v>
      </c>
      <c r="U159" s="77" t="s">
        <v>194</v>
      </c>
      <c r="V159" s="78">
        <v>1E-14</v>
      </c>
      <c r="W159" s="78">
        <v>1E-14</v>
      </c>
      <c r="X159" s="78">
        <v>1E-14</v>
      </c>
      <c r="Y159" s="78">
        <v>1E-14</v>
      </c>
      <c r="Z159" s="78">
        <v>1E-14</v>
      </c>
      <c r="AA159" s="78">
        <v>1E-14</v>
      </c>
      <c r="AB159" s="78">
        <v>1E-14</v>
      </c>
      <c r="AC159" s="78">
        <v>1E-14</v>
      </c>
      <c r="AD159" s="78">
        <v>1E-14</v>
      </c>
      <c r="AE159" s="78">
        <v>1E-14</v>
      </c>
      <c r="AF159" s="78">
        <v>1E-14</v>
      </c>
      <c r="AG159" s="78">
        <v>1E-14</v>
      </c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</row>
    <row r="160" spans="17:57" x14ac:dyDescent="0.25">
      <c r="R160" s="167"/>
      <c r="S160" s="167"/>
      <c r="T160" s="143" t="s">
        <v>63</v>
      </c>
      <c r="U160" s="77" t="s">
        <v>195</v>
      </c>
      <c r="V160" s="78">
        <v>1666.6666666666667</v>
      </c>
      <c r="W160" s="78">
        <v>1666.6666666666667</v>
      </c>
      <c r="X160" s="78">
        <v>1666.6666666666667</v>
      </c>
      <c r="Y160" s="78">
        <v>1666.6666666666667</v>
      </c>
      <c r="Z160" s="78">
        <v>1666.6666666666667</v>
      </c>
      <c r="AA160" s="78">
        <v>1666.6666666666667</v>
      </c>
      <c r="AB160" s="78">
        <v>1666.6666666666667</v>
      </c>
      <c r="AC160" s="78">
        <v>1666.6666666666667</v>
      </c>
      <c r="AD160" s="78">
        <v>1666.6666666666667</v>
      </c>
      <c r="AE160" s="78">
        <v>1666.6666666666667</v>
      </c>
      <c r="AF160" s="78">
        <v>1666.6666666666667</v>
      </c>
      <c r="AG160" s="78">
        <v>1666.6666666666667</v>
      </c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</row>
    <row r="161" spans="18:57" x14ac:dyDescent="0.25">
      <c r="R161" s="167"/>
      <c r="S161" s="167"/>
      <c r="T161" s="143" t="s">
        <v>63</v>
      </c>
      <c r="U161" s="77" t="s">
        <v>196</v>
      </c>
      <c r="V161" s="78">
        <v>8.5</v>
      </c>
      <c r="W161" s="78">
        <v>8.5</v>
      </c>
      <c r="X161" s="78">
        <v>8.5</v>
      </c>
      <c r="Y161" s="78">
        <v>8.5</v>
      </c>
      <c r="Z161" s="78">
        <v>8.5</v>
      </c>
      <c r="AA161" s="78">
        <v>8.5</v>
      </c>
      <c r="AB161" s="78">
        <v>8.5</v>
      </c>
      <c r="AC161" s="78">
        <v>8.5</v>
      </c>
      <c r="AD161" s="78">
        <v>8.5</v>
      </c>
      <c r="AE161" s="78">
        <v>8.5</v>
      </c>
      <c r="AF161" s="78">
        <v>8.5</v>
      </c>
      <c r="AG161" s="78">
        <v>8.5</v>
      </c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</row>
    <row r="162" spans="18:57" x14ac:dyDescent="0.25">
      <c r="R162" s="167"/>
      <c r="S162" s="167"/>
      <c r="T162" s="143" t="s">
        <v>63</v>
      </c>
      <c r="U162" s="77" t="s">
        <v>197</v>
      </c>
      <c r="V162" s="78">
        <v>550</v>
      </c>
      <c r="W162" s="78">
        <v>550</v>
      </c>
      <c r="X162" s="78">
        <v>550</v>
      </c>
      <c r="Y162" s="78">
        <v>550</v>
      </c>
      <c r="Z162" s="78">
        <v>550</v>
      </c>
      <c r="AA162" s="78">
        <v>550</v>
      </c>
      <c r="AB162" s="78">
        <v>550</v>
      </c>
      <c r="AC162" s="78">
        <v>550</v>
      </c>
      <c r="AD162" s="78">
        <v>550</v>
      </c>
      <c r="AE162" s="78">
        <v>550</v>
      </c>
      <c r="AF162" s="78">
        <v>550</v>
      </c>
      <c r="AG162" s="78">
        <v>550</v>
      </c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</row>
    <row r="163" spans="18:57" x14ac:dyDescent="0.25">
      <c r="R163" s="167"/>
      <c r="S163" s="167"/>
      <c r="T163" s="143" t="s">
        <v>63</v>
      </c>
      <c r="U163" s="77" t="s">
        <v>198</v>
      </c>
      <c r="V163" s="78">
        <v>37</v>
      </c>
      <c r="W163" s="78">
        <v>37</v>
      </c>
      <c r="X163" s="78">
        <v>37</v>
      </c>
      <c r="Y163" s="78">
        <v>37</v>
      </c>
      <c r="Z163" s="78">
        <v>37</v>
      </c>
      <c r="AA163" s="78">
        <v>37</v>
      </c>
      <c r="AB163" s="78">
        <v>37</v>
      </c>
      <c r="AC163" s="78">
        <v>37</v>
      </c>
      <c r="AD163" s="78">
        <v>37</v>
      </c>
      <c r="AE163" s="78">
        <v>37</v>
      </c>
      <c r="AF163" s="78">
        <v>37</v>
      </c>
      <c r="AG163" s="78">
        <v>37</v>
      </c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</row>
    <row r="164" spans="18:57" x14ac:dyDescent="0.25">
      <c r="R164" s="167"/>
      <c r="S164" s="167"/>
      <c r="T164" s="143" t="s">
        <v>64</v>
      </c>
      <c r="U164" s="77" t="s">
        <v>194</v>
      </c>
      <c r="V164" s="78">
        <v>1E-14</v>
      </c>
      <c r="W164" s="78">
        <v>1E-14</v>
      </c>
      <c r="X164" s="78">
        <v>1E-14</v>
      </c>
      <c r="Y164" s="78">
        <v>1E-14</v>
      </c>
      <c r="Z164" s="78">
        <v>1E-14</v>
      </c>
      <c r="AA164" s="78">
        <v>1E-14</v>
      </c>
      <c r="AB164" s="78">
        <v>1E-14</v>
      </c>
      <c r="AC164" s="78">
        <v>1E-14</v>
      </c>
      <c r="AD164" s="78">
        <v>1E-14</v>
      </c>
      <c r="AE164" s="78">
        <v>1E-14</v>
      </c>
      <c r="AF164" s="78">
        <v>1E-14</v>
      </c>
      <c r="AG164" s="78">
        <v>1E-14</v>
      </c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</row>
    <row r="165" spans="18:57" x14ac:dyDescent="0.25">
      <c r="R165" s="167"/>
      <c r="S165" s="167"/>
      <c r="T165" s="143" t="s">
        <v>64</v>
      </c>
      <c r="U165" s="77" t="s">
        <v>195</v>
      </c>
      <c r="V165" s="78">
        <v>833.33333333333337</v>
      </c>
      <c r="W165" s="78">
        <v>833.33333333333337</v>
      </c>
      <c r="X165" s="78">
        <v>833.33333333333337</v>
      </c>
      <c r="Y165" s="78">
        <v>833.33333333333337</v>
      </c>
      <c r="Z165" s="78">
        <v>833.33333333333337</v>
      </c>
      <c r="AA165" s="78">
        <v>833.33333333333337</v>
      </c>
      <c r="AB165" s="78">
        <v>833.33333333333337</v>
      </c>
      <c r="AC165" s="78">
        <v>833.33333333333337</v>
      </c>
      <c r="AD165" s="78">
        <v>833.33333333333337</v>
      </c>
      <c r="AE165" s="78">
        <v>833.33333333333337</v>
      </c>
      <c r="AF165" s="78">
        <v>833.33333333333337</v>
      </c>
      <c r="AG165" s="78">
        <v>833.33333333333337</v>
      </c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</row>
    <row r="166" spans="18:57" x14ac:dyDescent="0.25">
      <c r="R166" s="167"/>
      <c r="S166" s="167"/>
      <c r="T166" s="143" t="s">
        <v>64</v>
      </c>
      <c r="U166" s="77" t="s">
        <v>196</v>
      </c>
      <c r="V166" s="78">
        <v>7.5</v>
      </c>
      <c r="W166" s="78">
        <v>7.5</v>
      </c>
      <c r="X166" s="78">
        <v>7.5</v>
      </c>
      <c r="Y166" s="78">
        <v>7.5</v>
      </c>
      <c r="Z166" s="78">
        <v>7.5</v>
      </c>
      <c r="AA166" s="78">
        <v>7.5</v>
      </c>
      <c r="AB166" s="78">
        <v>7.5</v>
      </c>
      <c r="AC166" s="78">
        <v>7.5</v>
      </c>
      <c r="AD166" s="78">
        <v>7.5</v>
      </c>
      <c r="AE166" s="78">
        <v>7.5</v>
      </c>
      <c r="AF166" s="78">
        <v>7.5</v>
      </c>
      <c r="AG166" s="78">
        <v>7.5</v>
      </c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</row>
    <row r="167" spans="18:57" x14ac:dyDescent="0.25">
      <c r="R167" s="167"/>
      <c r="S167" s="167"/>
      <c r="T167" s="143" t="s">
        <v>64</v>
      </c>
      <c r="U167" s="77" t="s">
        <v>197</v>
      </c>
      <c r="V167" s="78">
        <v>600</v>
      </c>
      <c r="W167" s="78">
        <v>600</v>
      </c>
      <c r="X167" s="78">
        <v>600</v>
      </c>
      <c r="Y167" s="78">
        <v>600</v>
      </c>
      <c r="Z167" s="78">
        <v>600</v>
      </c>
      <c r="AA167" s="78">
        <v>600</v>
      </c>
      <c r="AB167" s="78">
        <v>600</v>
      </c>
      <c r="AC167" s="78">
        <v>600</v>
      </c>
      <c r="AD167" s="78">
        <v>600</v>
      </c>
      <c r="AE167" s="78">
        <v>600</v>
      </c>
      <c r="AF167" s="78">
        <v>600</v>
      </c>
      <c r="AG167" s="78">
        <v>600</v>
      </c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</row>
    <row r="168" spans="18:57" x14ac:dyDescent="0.25">
      <c r="R168" s="167"/>
      <c r="S168" s="167"/>
      <c r="T168" s="143" t="s">
        <v>64</v>
      </c>
      <c r="U168" s="77" t="s">
        <v>198</v>
      </c>
      <c r="V168" s="78">
        <v>37</v>
      </c>
      <c r="W168" s="78">
        <v>37</v>
      </c>
      <c r="X168" s="78">
        <v>37</v>
      </c>
      <c r="Y168" s="78">
        <v>37</v>
      </c>
      <c r="Z168" s="78">
        <v>37</v>
      </c>
      <c r="AA168" s="78">
        <v>37</v>
      </c>
      <c r="AB168" s="78">
        <v>37</v>
      </c>
      <c r="AC168" s="78">
        <v>37</v>
      </c>
      <c r="AD168" s="78">
        <v>37</v>
      </c>
      <c r="AE168" s="78">
        <v>37</v>
      </c>
      <c r="AF168" s="78">
        <v>37</v>
      </c>
      <c r="AG168" s="78">
        <v>37</v>
      </c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</row>
    <row r="169" spans="18:57" x14ac:dyDescent="0.25">
      <c r="R169" s="167"/>
      <c r="S169" s="167"/>
      <c r="T169" s="143" t="s">
        <v>21</v>
      </c>
      <c r="U169" s="77" t="s">
        <v>194</v>
      </c>
      <c r="V169" s="78">
        <v>1E-14</v>
      </c>
      <c r="W169" s="78">
        <v>1E-14</v>
      </c>
      <c r="X169" s="78">
        <v>1E-14</v>
      </c>
      <c r="Y169" s="78">
        <v>1E-14</v>
      </c>
      <c r="Z169" s="78">
        <v>1E-14</v>
      </c>
      <c r="AA169" s="78">
        <v>1E-14</v>
      </c>
      <c r="AB169" s="78">
        <v>1E-14</v>
      </c>
      <c r="AC169" s="78">
        <v>1E-14</v>
      </c>
      <c r="AD169" s="78">
        <v>1E-14</v>
      </c>
      <c r="AE169" s="78">
        <v>1E-14</v>
      </c>
      <c r="AF169" s="78">
        <v>1E-14</v>
      </c>
      <c r="AG169" s="78">
        <v>1E-14</v>
      </c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</row>
    <row r="170" spans="18:57" x14ac:dyDescent="0.25">
      <c r="R170" s="167"/>
      <c r="S170" s="167"/>
      <c r="T170" s="143" t="s">
        <v>21</v>
      </c>
      <c r="U170" s="77" t="s">
        <v>195</v>
      </c>
      <c r="V170" s="78">
        <v>1E-14</v>
      </c>
      <c r="W170" s="78">
        <v>1E-14</v>
      </c>
      <c r="X170" s="78">
        <v>1E-14</v>
      </c>
      <c r="Y170" s="78">
        <v>1E-14</v>
      </c>
      <c r="Z170" s="78">
        <v>1E-14</v>
      </c>
      <c r="AA170" s="78">
        <v>1E-14</v>
      </c>
      <c r="AB170" s="78">
        <v>1E-14</v>
      </c>
      <c r="AC170" s="78">
        <v>1E-14</v>
      </c>
      <c r="AD170" s="78">
        <v>1E-14</v>
      </c>
      <c r="AE170" s="78">
        <v>1E-14</v>
      </c>
      <c r="AF170" s="78">
        <v>1E-14</v>
      </c>
      <c r="AG170" s="78">
        <v>1E-14</v>
      </c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</row>
    <row r="171" spans="18:57" x14ac:dyDescent="0.25">
      <c r="R171" s="167"/>
      <c r="S171" s="167"/>
      <c r="T171" s="143" t="s">
        <v>21</v>
      </c>
      <c r="U171" s="77" t="s">
        <v>196</v>
      </c>
      <c r="V171" s="78">
        <v>1E-14</v>
      </c>
      <c r="W171" s="78">
        <v>1E-14</v>
      </c>
      <c r="X171" s="78">
        <v>1E-14</v>
      </c>
      <c r="Y171" s="78">
        <v>1E-14</v>
      </c>
      <c r="Z171" s="78">
        <v>1E-14</v>
      </c>
      <c r="AA171" s="78">
        <v>1E-14</v>
      </c>
      <c r="AB171" s="78">
        <v>1E-14</v>
      </c>
      <c r="AC171" s="78">
        <v>1E-14</v>
      </c>
      <c r="AD171" s="78">
        <v>1E-14</v>
      </c>
      <c r="AE171" s="78">
        <v>1E-14</v>
      </c>
      <c r="AF171" s="78">
        <v>1E-14</v>
      </c>
      <c r="AG171" s="78">
        <v>1E-14</v>
      </c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</row>
    <row r="172" spans="18:57" x14ac:dyDescent="0.25">
      <c r="R172" s="167"/>
      <c r="S172" s="167"/>
      <c r="T172" s="143" t="s">
        <v>21</v>
      </c>
      <c r="U172" s="77" t="s">
        <v>197</v>
      </c>
      <c r="V172" s="78">
        <v>1E-14</v>
      </c>
      <c r="W172" s="78">
        <v>1E-14</v>
      </c>
      <c r="X172" s="78">
        <v>1E-14</v>
      </c>
      <c r="Y172" s="78">
        <v>1E-14</v>
      </c>
      <c r="Z172" s="78">
        <v>1E-14</v>
      </c>
      <c r="AA172" s="78">
        <v>1E-14</v>
      </c>
      <c r="AB172" s="78">
        <v>1E-14</v>
      </c>
      <c r="AC172" s="78">
        <v>1E-14</v>
      </c>
      <c r="AD172" s="78">
        <v>1E-14</v>
      </c>
      <c r="AE172" s="78">
        <v>1E-14</v>
      </c>
      <c r="AF172" s="78">
        <v>1E-14</v>
      </c>
      <c r="AG172" s="78">
        <v>1E-14</v>
      </c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</row>
    <row r="173" spans="18:57" x14ac:dyDescent="0.25">
      <c r="R173" s="167"/>
      <c r="S173" s="167"/>
      <c r="T173" s="143" t="s">
        <v>21</v>
      </c>
      <c r="U173" s="77" t="s">
        <v>198</v>
      </c>
      <c r="V173" s="78">
        <v>1E-14</v>
      </c>
      <c r="W173" s="78">
        <v>1E-14</v>
      </c>
      <c r="X173" s="78">
        <v>1E-14</v>
      </c>
      <c r="Y173" s="78">
        <v>1E-14</v>
      </c>
      <c r="Z173" s="78">
        <v>1E-14</v>
      </c>
      <c r="AA173" s="78">
        <v>1E-14</v>
      </c>
      <c r="AB173" s="78">
        <v>1E-14</v>
      </c>
      <c r="AC173" s="78">
        <v>1E-14</v>
      </c>
      <c r="AD173" s="78">
        <v>1E-14</v>
      </c>
      <c r="AE173" s="78">
        <v>1E-14</v>
      </c>
      <c r="AF173" s="78">
        <v>1E-14</v>
      </c>
      <c r="AG173" s="78">
        <v>1E-14</v>
      </c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</row>
    <row r="174" spans="18:57" x14ac:dyDescent="0.25">
      <c r="R174" s="167"/>
      <c r="S174" s="167"/>
      <c r="T174" s="143" t="s">
        <v>22</v>
      </c>
      <c r="U174" s="77" t="s">
        <v>194</v>
      </c>
      <c r="V174" s="78">
        <v>1E-14</v>
      </c>
      <c r="W174" s="78">
        <v>1E-14</v>
      </c>
      <c r="X174" s="78">
        <v>1E-14</v>
      </c>
      <c r="Y174" s="78">
        <v>1E-14</v>
      </c>
      <c r="Z174" s="78">
        <v>1E-14</v>
      </c>
      <c r="AA174" s="78">
        <v>1E-14</v>
      </c>
      <c r="AB174" s="78">
        <v>1E-14</v>
      </c>
      <c r="AC174" s="78">
        <v>1E-14</v>
      </c>
      <c r="AD174" s="78">
        <v>1E-14</v>
      </c>
      <c r="AE174" s="78">
        <v>1E-14</v>
      </c>
      <c r="AF174" s="78">
        <v>1E-14</v>
      </c>
      <c r="AG174" s="78">
        <v>1E-14</v>
      </c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</row>
    <row r="175" spans="18:57" x14ac:dyDescent="0.25">
      <c r="R175" s="167"/>
      <c r="S175" s="167"/>
      <c r="T175" s="143" t="s">
        <v>22</v>
      </c>
      <c r="U175" s="77" t="s">
        <v>195</v>
      </c>
      <c r="V175" s="78">
        <v>20.833333333333332</v>
      </c>
      <c r="W175" s="78">
        <v>1E-14</v>
      </c>
      <c r="X175" s="78">
        <v>1E-14</v>
      </c>
      <c r="Y175" s="78">
        <v>1E-14</v>
      </c>
      <c r="Z175" s="78">
        <v>1E-14</v>
      </c>
      <c r="AA175" s="78">
        <v>1E-14</v>
      </c>
      <c r="AB175" s="78">
        <v>1E-14</v>
      </c>
      <c r="AC175" s="78">
        <v>1E-14</v>
      </c>
      <c r="AD175" s="78">
        <v>1E-14</v>
      </c>
      <c r="AE175" s="78">
        <v>1E-14</v>
      </c>
      <c r="AF175" s="78">
        <v>1E-14</v>
      </c>
      <c r="AG175" s="78">
        <v>29.166666666666668</v>
      </c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</row>
    <row r="176" spans="18:57" x14ac:dyDescent="0.25">
      <c r="R176" s="167"/>
      <c r="S176" s="167"/>
      <c r="T176" s="143" t="s">
        <v>22</v>
      </c>
      <c r="U176" s="77" t="s">
        <v>196</v>
      </c>
      <c r="V176" s="78">
        <v>1E-14</v>
      </c>
      <c r="W176" s="78">
        <v>1E-14</v>
      </c>
      <c r="X176" s="78">
        <v>1E-14</v>
      </c>
      <c r="Y176" s="78">
        <v>1E-14</v>
      </c>
      <c r="Z176" s="78">
        <v>1E-14</v>
      </c>
      <c r="AA176" s="78">
        <v>1E-14</v>
      </c>
      <c r="AB176" s="78">
        <v>1E-14</v>
      </c>
      <c r="AC176" s="78">
        <v>1E-14</v>
      </c>
      <c r="AD176" s="78">
        <v>1E-14</v>
      </c>
      <c r="AE176" s="78">
        <v>1E-14</v>
      </c>
      <c r="AF176" s="78">
        <v>1E-14</v>
      </c>
      <c r="AG176" s="78">
        <v>1E-14</v>
      </c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</row>
    <row r="177" spans="18:57" x14ac:dyDescent="0.25">
      <c r="R177" s="167"/>
      <c r="S177" s="167"/>
      <c r="T177" s="143" t="s">
        <v>22</v>
      </c>
      <c r="U177" s="77" t="s">
        <v>197</v>
      </c>
      <c r="V177" s="78">
        <v>1E-14</v>
      </c>
      <c r="W177" s="78">
        <v>1E-14</v>
      </c>
      <c r="X177" s="78">
        <v>1E-14</v>
      </c>
      <c r="Y177" s="78">
        <v>1E-14</v>
      </c>
      <c r="Z177" s="78">
        <v>1E-14</v>
      </c>
      <c r="AA177" s="78">
        <v>1E-14</v>
      </c>
      <c r="AB177" s="78">
        <v>1E-14</v>
      </c>
      <c r="AC177" s="78">
        <v>1E-14</v>
      </c>
      <c r="AD177" s="78">
        <v>1E-14</v>
      </c>
      <c r="AE177" s="78">
        <v>1E-14</v>
      </c>
      <c r="AF177" s="78">
        <v>1E-14</v>
      </c>
      <c r="AG177" s="78">
        <v>1E-14</v>
      </c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</row>
    <row r="178" spans="18:57" x14ac:dyDescent="0.25">
      <c r="R178" s="167"/>
      <c r="S178" s="167"/>
      <c r="T178" s="143" t="s">
        <v>22</v>
      </c>
      <c r="U178" s="77" t="s">
        <v>198</v>
      </c>
      <c r="V178" s="78">
        <v>1E-14</v>
      </c>
      <c r="W178" s="78">
        <v>1E-14</v>
      </c>
      <c r="X178" s="78">
        <v>1E-14</v>
      </c>
      <c r="Y178" s="78">
        <v>1E-14</v>
      </c>
      <c r="Z178" s="78">
        <v>1E-14</v>
      </c>
      <c r="AA178" s="78">
        <v>1E-14</v>
      </c>
      <c r="AB178" s="78">
        <v>1E-14</v>
      </c>
      <c r="AC178" s="78">
        <v>1E-14</v>
      </c>
      <c r="AD178" s="78">
        <v>1E-14</v>
      </c>
      <c r="AE178" s="78">
        <v>1E-14</v>
      </c>
      <c r="AF178" s="78">
        <v>1E-14</v>
      </c>
      <c r="AG178" s="78">
        <v>1E-14</v>
      </c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</row>
    <row r="179" spans="18:57" x14ac:dyDescent="0.25">
      <c r="R179" s="167"/>
      <c r="S179" s="167"/>
      <c r="T179" s="143" t="s">
        <v>27</v>
      </c>
      <c r="U179" s="77" t="s">
        <v>194</v>
      </c>
      <c r="V179" s="78">
        <v>1E-14</v>
      </c>
      <c r="W179" s="78">
        <v>1E-14</v>
      </c>
      <c r="X179" s="78">
        <v>1E-14</v>
      </c>
      <c r="Y179" s="78">
        <v>1E-14</v>
      </c>
      <c r="Z179" s="78">
        <v>1E-14</v>
      </c>
      <c r="AA179" s="78">
        <v>1E-14</v>
      </c>
      <c r="AB179" s="78">
        <v>1E-14</v>
      </c>
      <c r="AC179" s="78">
        <v>1E-14</v>
      </c>
      <c r="AD179" s="78">
        <v>1E-14</v>
      </c>
      <c r="AE179" s="78">
        <v>1E-14</v>
      </c>
      <c r="AF179" s="78">
        <v>1E-14</v>
      </c>
      <c r="AG179" s="78">
        <v>1E-14</v>
      </c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</row>
    <row r="180" spans="18:57" x14ac:dyDescent="0.25">
      <c r="R180" s="167"/>
      <c r="S180" s="167"/>
      <c r="T180" s="143" t="s">
        <v>27</v>
      </c>
      <c r="U180" s="77" t="s">
        <v>195</v>
      </c>
      <c r="V180" s="78">
        <v>1E-14</v>
      </c>
      <c r="W180" s="78">
        <v>1E-14</v>
      </c>
      <c r="X180" s="78">
        <v>1E-14</v>
      </c>
      <c r="Y180" s="78">
        <v>1E-14</v>
      </c>
      <c r="Z180" s="78">
        <v>1E-14</v>
      </c>
      <c r="AA180" s="78">
        <v>1E-14</v>
      </c>
      <c r="AB180" s="78">
        <v>1E-14</v>
      </c>
      <c r="AC180" s="78">
        <v>1E-14</v>
      </c>
      <c r="AD180" s="78">
        <v>1E-14</v>
      </c>
      <c r="AE180" s="78">
        <v>1E-14</v>
      </c>
      <c r="AF180" s="78">
        <v>1E-14</v>
      </c>
      <c r="AG180" s="78">
        <v>1E-14</v>
      </c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</row>
    <row r="181" spans="18:57" x14ac:dyDescent="0.25">
      <c r="R181" s="167"/>
      <c r="S181" s="167"/>
      <c r="T181" s="143" t="s">
        <v>27</v>
      </c>
      <c r="U181" s="77" t="s">
        <v>196</v>
      </c>
      <c r="V181" s="78">
        <v>1E-14</v>
      </c>
      <c r="W181" s="78">
        <v>1E-14</v>
      </c>
      <c r="X181" s="78">
        <v>1E-14</v>
      </c>
      <c r="Y181" s="78">
        <v>1E-14</v>
      </c>
      <c r="Z181" s="78">
        <v>1E-14</v>
      </c>
      <c r="AA181" s="78">
        <v>1E-14</v>
      </c>
      <c r="AB181" s="78">
        <v>1E-14</v>
      </c>
      <c r="AC181" s="78">
        <v>1E-14</v>
      </c>
      <c r="AD181" s="78">
        <v>1E-14</v>
      </c>
      <c r="AE181" s="78">
        <v>1E-14</v>
      </c>
      <c r="AF181" s="78">
        <v>1E-14</v>
      </c>
      <c r="AG181" s="78">
        <v>1E-14</v>
      </c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</row>
    <row r="182" spans="18:57" x14ac:dyDescent="0.25">
      <c r="R182" s="167"/>
      <c r="S182" s="167"/>
      <c r="T182" s="143" t="s">
        <v>27</v>
      </c>
      <c r="U182" s="77" t="s">
        <v>197</v>
      </c>
      <c r="V182" s="78">
        <v>1E-14</v>
      </c>
      <c r="W182" s="78">
        <v>1E-14</v>
      </c>
      <c r="X182" s="78">
        <v>1E-14</v>
      </c>
      <c r="Y182" s="78">
        <v>1E-14</v>
      </c>
      <c r="Z182" s="78">
        <v>1E-14</v>
      </c>
      <c r="AA182" s="78">
        <v>1E-14</v>
      </c>
      <c r="AB182" s="78">
        <v>1E-14</v>
      </c>
      <c r="AC182" s="78">
        <v>1E-14</v>
      </c>
      <c r="AD182" s="78">
        <v>1E-14</v>
      </c>
      <c r="AE182" s="78">
        <v>1E-14</v>
      </c>
      <c r="AF182" s="78">
        <v>1E-14</v>
      </c>
      <c r="AG182" s="78">
        <v>1E-14</v>
      </c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</row>
    <row r="183" spans="18:57" x14ac:dyDescent="0.25">
      <c r="R183" s="167"/>
      <c r="S183" s="167"/>
      <c r="T183" s="143" t="s">
        <v>27</v>
      </c>
      <c r="U183" s="77" t="s">
        <v>198</v>
      </c>
      <c r="V183" s="78">
        <v>1E-14</v>
      </c>
      <c r="W183" s="78">
        <v>1E-14</v>
      </c>
      <c r="X183" s="78">
        <v>1E-14</v>
      </c>
      <c r="Y183" s="78">
        <v>1E-14</v>
      </c>
      <c r="Z183" s="78">
        <v>1E-14</v>
      </c>
      <c r="AA183" s="78">
        <v>1E-14</v>
      </c>
      <c r="AB183" s="78">
        <v>1E-14</v>
      </c>
      <c r="AC183" s="78">
        <v>1E-14</v>
      </c>
      <c r="AD183" s="78">
        <v>1E-14</v>
      </c>
      <c r="AE183" s="78">
        <v>1E-14</v>
      </c>
      <c r="AF183" s="78">
        <v>1E-14</v>
      </c>
      <c r="AG183" s="78">
        <v>1E-14</v>
      </c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</row>
    <row r="184" spans="18:57" x14ac:dyDescent="0.25">
      <c r="T184" s="76"/>
      <c r="U184" s="77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</row>
    <row r="185" spans="18:57" x14ac:dyDescent="0.25">
      <c r="T185" s="76"/>
      <c r="U185" s="77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</row>
    <row r="186" spans="18:57" x14ac:dyDescent="0.25">
      <c r="T186" s="76"/>
      <c r="U186" s="77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</row>
    <row r="187" spans="18:57" x14ac:dyDescent="0.25">
      <c r="T187" s="76"/>
      <c r="U187" s="77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</row>
    <row r="188" spans="18:57" x14ac:dyDescent="0.25">
      <c r="T188" s="76"/>
      <c r="U188" s="77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</row>
    <row r="189" spans="18:57" x14ac:dyDescent="0.25">
      <c r="T189" s="76"/>
      <c r="U189" s="77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8">
    <cfRule type="cellIs" dxfId="63" priority="11" operator="lessThanOrEqual">
      <formula>0</formula>
    </cfRule>
  </conditionalFormatting>
  <conditionalFormatting sqref="V14:BE14">
    <cfRule type="cellIs" dxfId="62" priority="6" operator="greaterThan">
      <formula>0</formula>
    </cfRule>
  </conditionalFormatting>
  <conditionalFormatting sqref="C28:C33">
    <cfRule type="cellIs" dxfId="61" priority="4" operator="greaterThan">
      <formula>0.0000000000001</formula>
    </cfRule>
  </conditionalFormatting>
  <conditionalFormatting sqref="B39:Q70">
    <cfRule type="expression" dxfId="60" priority="3">
      <formula>$C39&gt;0.0000000000001</formula>
    </cfRule>
  </conditionalFormatting>
  <conditionalFormatting sqref="C3:C4 C8">
    <cfRule type="cellIs" dxfId="59" priority="2" operator="greaterThan">
      <formula>0.0000000000001</formula>
    </cfRule>
  </conditionalFormatting>
  <conditionalFormatting sqref="C4">
    <cfRule type="cellIs" dxfId="5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4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5" sqref="D5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96</v>
      </c>
      <c r="B1" s="17"/>
      <c r="C1" s="86">
        <v>44574.465351458333</v>
      </c>
      <c r="D1" s="10"/>
      <c r="E1" s="10"/>
    </row>
    <row r="2" spans="1:27" x14ac:dyDescent="0.25">
      <c r="A2" s="67" t="s">
        <v>93</v>
      </c>
      <c r="B2" s="65">
        <v>44197</v>
      </c>
      <c r="C2" s="68">
        <v>44531</v>
      </c>
      <c r="E2" s="87"/>
    </row>
    <row r="3" spans="1:27" x14ac:dyDescent="0.25">
      <c r="A3" s="67" t="s">
        <v>103</v>
      </c>
      <c r="B3" s="74">
        <v>-8631333.9417737667</v>
      </c>
      <c r="C3" s="75" t="s">
        <v>58</v>
      </c>
      <c r="D3" s="19" t="str">
        <f>UPPER(TEXT(D5,"åå'mmm"))</f>
        <v>21'JAN</v>
      </c>
      <c r="E3" s="87"/>
      <c r="F3" s="19"/>
      <c r="G3" s="19"/>
      <c r="H3" s="19"/>
      <c r="I3" s="19"/>
      <c r="J3" s="19"/>
      <c r="K3" s="19"/>
      <c r="L3" s="19"/>
      <c r="M3" s="19"/>
      <c r="N3" s="19"/>
      <c r="O3" s="19"/>
      <c r="Q3" s="19"/>
      <c r="R3" s="19"/>
      <c r="S3" s="19"/>
      <c r="T3" s="19"/>
    </row>
    <row r="4" spans="1:27" x14ac:dyDescent="0.25">
      <c r="A4" s="69" t="s">
        <v>102</v>
      </c>
      <c r="B4" s="70">
        <v>-2424296.7724846192</v>
      </c>
      <c r="C4" s="71" t="s">
        <v>58</v>
      </c>
      <c r="P4" s="59"/>
    </row>
    <row r="5" spans="1:27" x14ac:dyDescent="0.25">
      <c r="D5" s="85" t="str">
        <f>_xlfn.LET(_xlpm.mo,COLUMN(D6)-COLUMN($D$6)+MONTH($B$2),_xlpm.dd,DATE(YEAR($B$2),_xlpm.mo,1),UPPER(TEXT(_xlpm.dd,"åå'mmm")))</f>
        <v>21'JAN</v>
      </c>
      <c r="E5" s="85" t="str">
        <f t="shared" ref="E5:AA5" si="0">_xlfn.LET(_xlpm.mo,COLUMN(E6)-COLUMN($D$6)+MONTH($B$2),_xlpm.dd,DATE(YEAR($B$2),_xlpm.mo,1),UPPER(TEXT(_xlpm.dd,"åå'mmm")))</f>
        <v>21'FEB</v>
      </c>
      <c r="F5" s="85" t="str">
        <f t="shared" si="0"/>
        <v>21'MAR</v>
      </c>
      <c r="G5" s="85" t="str">
        <f t="shared" si="0"/>
        <v>21'APR</v>
      </c>
      <c r="H5" s="85" t="str">
        <f t="shared" si="0"/>
        <v>21'MAJ</v>
      </c>
      <c r="I5" s="85" t="str">
        <f t="shared" si="0"/>
        <v>21'JUN</v>
      </c>
      <c r="J5" s="85" t="str">
        <f t="shared" si="0"/>
        <v>21'JUL</v>
      </c>
      <c r="K5" s="85" t="str">
        <f t="shared" si="0"/>
        <v>21'AUG</v>
      </c>
      <c r="L5" s="85" t="str">
        <f t="shared" si="0"/>
        <v>21'SEP</v>
      </c>
      <c r="M5" s="85" t="str">
        <f t="shared" si="0"/>
        <v>21'OKT</v>
      </c>
      <c r="N5" s="85" t="str">
        <f t="shared" si="0"/>
        <v>21'NOV</v>
      </c>
      <c r="O5" s="85" t="str">
        <f t="shared" si="0"/>
        <v>21'DEC</v>
      </c>
      <c r="P5" s="85" t="str">
        <f t="shared" si="0"/>
        <v>22'JAN</v>
      </c>
      <c r="Q5" s="85" t="str">
        <f t="shared" si="0"/>
        <v>22'FEB</v>
      </c>
      <c r="R5" s="85" t="str">
        <f t="shared" si="0"/>
        <v>22'MAR</v>
      </c>
      <c r="S5" s="85" t="str">
        <f t="shared" si="0"/>
        <v>22'APR</v>
      </c>
      <c r="T5" s="85" t="str">
        <f t="shared" si="0"/>
        <v>22'MAJ</v>
      </c>
      <c r="U5" s="85" t="str">
        <f t="shared" si="0"/>
        <v>22'JUN</v>
      </c>
      <c r="V5" s="85" t="str">
        <f t="shared" si="0"/>
        <v>22'JUL</v>
      </c>
      <c r="W5" s="85" t="str">
        <f t="shared" si="0"/>
        <v>22'AUG</v>
      </c>
      <c r="X5" s="85" t="str">
        <f t="shared" si="0"/>
        <v>22'SEP</v>
      </c>
      <c r="Y5" s="85" t="str">
        <f t="shared" si="0"/>
        <v>22'OKT</v>
      </c>
      <c r="Z5" s="85" t="str">
        <f t="shared" si="0"/>
        <v>22'NOV</v>
      </c>
      <c r="AA5" s="85" t="str">
        <f t="shared" si="0"/>
        <v>22'DEC</v>
      </c>
    </row>
    <row r="6" spans="1:27" s="80" customFormat="1" ht="18.75" x14ac:dyDescent="0.3">
      <c r="A6" s="79" t="s">
        <v>104</v>
      </c>
      <c r="B6" s="79" t="s">
        <v>69</v>
      </c>
      <c r="C6" s="79" t="s">
        <v>75</v>
      </c>
      <c r="D6" s="84" t="s">
        <v>170</v>
      </c>
      <c r="E6" s="84" t="s">
        <v>204</v>
      </c>
      <c r="F6" s="84" t="s">
        <v>205</v>
      </c>
      <c r="G6" s="84" t="s">
        <v>206</v>
      </c>
      <c r="H6" s="84" t="s">
        <v>207</v>
      </c>
      <c r="I6" s="84" t="s">
        <v>208</v>
      </c>
      <c r="J6" s="84" t="s">
        <v>209</v>
      </c>
      <c r="K6" s="84" t="s">
        <v>210</v>
      </c>
      <c r="L6" s="84" t="s">
        <v>211</v>
      </c>
      <c r="M6" s="84" t="s">
        <v>212</v>
      </c>
      <c r="N6" s="84" t="s">
        <v>213</v>
      </c>
      <c r="O6" s="84" t="s">
        <v>214</v>
      </c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</row>
    <row r="7" spans="1:27" s="19" customFormat="1" outlineLevel="1" x14ac:dyDescent="0.25">
      <c r="A7" s="11">
        <f>SUM(D7:AA7)</f>
        <v>240000</v>
      </c>
      <c r="B7" s="53" t="s">
        <v>59</v>
      </c>
      <c r="C7" s="60" t="s">
        <v>31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-(A10-A29)/A7</f>
        <v>183.10979401488856</v>
      </c>
      <c r="B8" s="53" t="s">
        <v>32</v>
      </c>
      <c r="C8" s="60" t="s">
        <v>94</v>
      </c>
      <c r="D8" s="13">
        <v>251.59144145705338</v>
      </c>
      <c r="E8" s="13">
        <v>278.35117374913955</v>
      </c>
      <c r="F8" s="13">
        <v>226.06458394303073</v>
      </c>
      <c r="G8" s="13">
        <v>197.9113992106779</v>
      </c>
      <c r="H8" s="13">
        <v>229.41359904111528</v>
      </c>
      <c r="I8" s="13">
        <v>411.25028259785421</v>
      </c>
      <c r="J8" s="13">
        <v>426.34028217502356</v>
      </c>
      <c r="K8" s="13">
        <v>438.98815355817936</v>
      </c>
      <c r="L8" s="13">
        <v>-47.897460798956686</v>
      </c>
      <c r="M8" s="13">
        <v>86.635507167338389</v>
      </c>
      <c r="N8" s="13">
        <v>83.042504881298953</v>
      </c>
      <c r="O8" s="13">
        <v>-12.534238716519015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-A10/(A7-A34)</f>
        <v>163.27794064689513</v>
      </c>
      <c r="B9" s="53" t="s">
        <v>32</v>
      </c>
      <c r="C9" s="60" t="s">
        <v>95</v>
      </c>
      <c r="D9" s="13">
        <v>239.36679773434875</v>
      </c>
      <c r="E9" s="13">
        <v>206.87232070333002</v>
      </c>
      <c r="F9" s="13">
        <v>205.7139417479975</v>
      </c>
      <c r="G9" s="13">
        <v>197.9113992106779</v>
      </c>
      <c r="H9" s="13">
        <v>229.4135990411153</v>
      </c>
      <c r="I9" s="13">
        <v>411.25028259785421</v>
      </c>
      <c r="J9" s="13">
        <v>426.34028217502356</v>
      </c>
      <c r="K9" s="13">
        <v>438.98815355817936</v>
      </c>
      <c r="L9" s="13">
        <v>-47.897460798956686</v>
      </c>
      <c r="M9" s="13">
        <v>86.635507167338389</v>
      </c>
      <c r="N9" s="13">
        <v>83.042504881298953</v>
      </c>
      <c r="O9" s="13">
        <v>-15.095980935953557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-37739313.394284107</v>
      </c>
      <c r="B10" s="52" t="s">
        <v>58</v>
      </c>
      <c r="C10" s="62" t="s">
        <v>83</v>
      </c>
      <c r="D10" s="16">
        <v>-6770714.2068794351</v>
      </c>
      <c r="E10" s="16">
        <v>-5660757.6574835433</v>
      </c>
      <c r="F10" s="16">
        <v>-5818811.636073729</v>
      </c>
      <c r="G10" s="16">
        <v>-3958227.984213558</v>
      </c>
      <c r="H10" s="16">
        <v>-2982376.7875344986</v>
      </c>
      <c r="I10" s="16">
        <v>-3084377.1194839068</v>
      </c>
      <c r="J10" s="16">
        <v>-3197552.1163126766</v>
      </c>
      <c r="K10" s="16">
        <v>-3072917.0749072554</v>
      </c>
      <c r="L10" s="16">
        <v>383179.68639165349</v>
      </c>
      <c r="M10" s="16">
        <v>-1706719.4911965663</v>
      </c>
      <c r="N10" s="16">
        <v>-2283668.8842357211</v>
      </c>
      <c r="O10" s="16">
        <v>413629.87764512748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8">
        <f t="shared" ref="A11:A34" si="1">SUM(D11:AA11)</f>
        <v>76274749.812355176</v>
      </c>
      <c r="B11" s="52" t="s">
        <v>58</v>
      </c>
      <c r="C11" s="72" t="s">
        <v>91</v>
      </c>
      <c r="D11" s="16">
        <v>5396159.619337542</v>
      </c>
      <c r="E11" s="16">
        <v>5508006.5223995736</v>
      </c>
      <c r="F11" s="16">
        <v>5567852.5957289506</v>
      </c>
      <c r="G11" s="16">
        <v>5358357.4462303622</v>
      </c>
      <c r="H11" s="16">
        <v>4952685.784214342</v>
      </c>
      <c r="I11" s="16">
        <v>4399687.500864177</v>
      </c>
      <c r="J11" s="16">
        <v>4132107.429695264</v>
      </c>
      <c r="K11" s="16">
        <v>4214727.2186569413</v>
      </c>
      <c r="L11" s="16">
        <v>7891526.5484394245</v>
      </c>
      <c r="M11" s="16">
        <v>7521562.5316421697</v>
      </c>
      <c r="N11" s="16">
        <v>8838845.0835864004</v>
      </c>
      <c r="O11" s="16">
        <v>12493231.531560026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46097250</v>
      </c>
      <c r="B12" s="52" t="s">
        <v>58</v>
      </c>
      <c r="C12" s="64" t="s">
        <v>84</v>
      </c>
      <c r="D12" s="16">
        <v>3841720.5702083334</v>
      </c>
      <c r="E12" s="16">
        <v>3841720.570208333</v>
      </c>
      <c r="F12" s="16">
        <v>3841720.5702083334</v>
      </c>
      <c r="G12" s="16">
        <v>3841720.5702083334</v>
      </c>
      <c r="H12" s="16">
        <v>3838652.2979166666</v>
      </c>
      <c r="I12" s="16">
        <v>3841720.5702083334</v>
      </c>
      <c r="J12" s="16">
        <v>3841697.8202083334</v>
      </c>
      <c r="K12" s="16">
        <v>3841697.8202083334</v>
      </c>
      <c r="L12" s="16">
        <v>3841437.5000000005</v>
      </c>
      <c r="M12" s="16">
        <v>3841720.5702083334</v>
      </c>
      <c r="N12" s="16">
        <v>3841720.5702083334</v>
      </c>
      <c r="O12" s="16">
        <v>3841720.5702083334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1"/>
        <v>2267176.477801953</v>
      </c>
      <c r="B13" s="52" t="s">
        <v>58</v>
      </c>
      <c r="C13" s="64" t="s">
        <v>85</v>
      </c>
      <c r="D13" s="16">
        <v>206613.18975420884</v>
      </c>
      <c r="E13" s="16">
        <v>204853.6278876696</v>
      </c>
      <c r="F13" s="16">
        <v>205687.51880287577</v>
      </c>
      <c r="G13" s="16">
        <v>197229.4107498072</v>
      </c>
      <c r="H13" s="16">
        <v>174363.34663638505</v>
      </c>
      <c r="I13" s="16">
        <v>174771.79315584374</v>
      </c>
      <c r="J13" s="16">
        <v>169334.79497080145</v>
      </c>
      <c r="K13" s="16">
        <v>169291.30145264039</v>
      </c>
      <c r="L13" s="16">
        <v>173516.11431442431</v>
      </c>
      <c r="M13" s="16">
        <v>196750.98618921102</v>
      </c>
      <c r="N13" s="16">
        <v>199790.39253639808</v>
      </c>
      <c r="O13" s="16">
        <v>194974.0013516873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1"/>
        <v>27910323.334553216</v>
      </c>
      <c r="B14" s="52" t="s">
        <v>58</v>
      </c>
      <c r="C14" s="64" t="s">
        <v>86</v>
      </c>
      <c r="D14" s="16">
        <v>1347825.8593749995</v>
      </c>
      <c r="E14" s="16">
        <v>1461432.3243035714</v>
      </c>
      <c r="F14" s="16">
        <v>1520444.506717742</v>
      </c>
      <c r="G14" s="16">
        <v>1319407.4652722215</v>
      </c>
      <c r="H14" s="16">
        <v>939670.13966129022</v>
      </c>
      <c r="I14" s="16">
        <v>383195.13749999978</v>
      </c>
      <c r="J14" s="16">
        <v>121074.81451612891</v>
      </c>
      <c r="K14" s="16">
        <v>203738.09699596776</v>
      </c>
      <c r="L14" s="16">
        <v>3876572.9341249992</v>
      </c>
      <c r="M14" s="16">
        <v>3483090.9752446255</v>
      </c>
      <c r="N14" s="16">
        <v>4797334.1208416689</v>
      </c>
      <c r="O14" s="16">
        <v>8456536.9600000046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8">
        <f t="shared" si="1"/>
        <v>114014063.20663929</v>
      </c>
      <c r="B15" s="52" t="s">
        <v>58</v>
      </c>
      <c r="C15" s="72" t="s">
        <v>90</v>
      </c>
      <c r="D15" s="16">
        <v>12166873.826216977</v>
      </c>
      <c r="E15" s="16">
        <v>11168764.179883117</v>
      </c>
      <c r="F15" s="16">
        <v>11386664.23180268</v>
      </c>
      <c r="G15" s="16">
        <v>9316585.4304439202</v>
      </c>
      <c r="H15" s="16">
        <v>7935062.5717488406</v>
      </c>
      <c r="I15" s="16">
        <v>7484064.6203480838</v>
      </c>
      <c r="J15" s="16">
        <v>7329659.5460079405</v>
      </c>
      <c r="K15" s="16">
        <v>7287644.2935641967</v>
      </c>
      <c r="L15" s="16">
        <v>7508346.862047771</v>
      </c>
      <c r="M15" s="16">
        <v>9228282.022838736</v>
      </c>
      <c r="N15" s="16">
        <v>11122513.967822121</v>
      </c>
      <c r="O15" s="16">
        <v>12079601.653914899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12049983.367132684</v>
      </c>
      <c r="B16" s="52" t="s">
        <v>58</v>
      </c>
      <c r="C16" s="64" t="s">
        <v>76</v>
      </c>
      <c r="D16" s="16">
        <v>1133436.8896658986</v>
      </c>
      <c r="E16" s="16">
        <v>1114496.7000924388</v>
      </c>
      <c r="F16" s="16">
        <v>1133436.8896658986</v>
      </c>
      <c r="G16" s="16">
        <v>948453.9413661483</v>
      </c>
      <c r="H16" s="16">
        <v>867158.83190824348</v>
      </c>
      <c r="I16" s="16">
        <v>915261.91340448032</v>
      </c>
      <c r="J16" s="16">
        <v>903060.00895483862</v>
      </c>
      <c r="K16" s="16">
        <v>908622.26701935485</v>
      </c>
      <c r="L16" s="16">
        <v>926041.83336917567</v>
      </c>
      <c r="M16" s="16">
        <v>940253.07883203542</v>
      </c>
      <c r="N16" s="16">
        <v>1127007.9340221342</v>
      </c>
      <c r="O16" s="16">
        <v>1132753.0788320354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10000623.973368794</v>
      </c>
      <c r="B17" s="52" t="s">
        <v>58</v>
      </c>
      <c r="C17" s="64" t="s">
        <v>77</v>
      </c>
      <c r="D17" s="16">
        <v>2412243.5761029408</v>
      </c>
      <c r="E17" s="16">
        <v>1496149.4584558823</v>
      </c>
      <c r="F17" s="16">
        <v>1656243.5761029411</v>
      </c>
      <c r="G17" s="16">
        <v>91160.732639013862</v>
      </c>
      <c r="H17" s="16">
        <v>1935.9500000000014</v>
      </c>
      <c r="I17" s="16">
        <v>1937.6937500000001</v>
      </c>
      <c r="J17" s="16">
        <v>1937.5</v>
      </c>
      <c r="K17" s="16">
        <v>1937.5</v>
      </c>
      <c r="L17" s="16">
        <v>1937.5</v>
      </c>
      <c r="M17" s="16">
        <v>21636.690401654989</v>
      </c>
      <c r="N17" s="16">
        <v>1602878.8702205883</v>
      </c>
      <c r="O17" s="16">
        <v>2710624.9256957723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1"/>
        <v>76918305.068812817</v>
      </c>
      <c r="B18" s="52" t="s">
        <v>58</v>
      </c>
      <c r="C18" s="64" t="s">
        <v>78</v>
      </c>
      <c r="D18" s="16">
        <v>7367337.1512820944</v>
      </c>
      <c r="E18" s="16">
        <v>7304261.8121687556</v>
      </c>
      <c r="F18" s="16">
        <v>7343127.5568677988</v>
      </c>
      <c r="G18" s="16">
        <v>7023114.5472727157</v>
      </c>
      <c r="H18" s="16">
        <v>5813129.4841178842</v>
      </c>
      <c r="I18" s="16">
        <v>5313008.804027562</v>
      </c>
      <c r="J18" s="16">
        <v>5170811.9111379972</v>
      </c>
      <c r="K18" s="16">
        <v>5123234.4006297374</v>
      </c>
      <c r="L18" s="16">
        <v>5326604.9622348454</v>
      </c>
      <c r="M18" s="16">
        <v>7012536.0444390047</v>
      </c>
      <c r="N18" s="16">
        <v>7138770.9544133591</v>
      </c>
      <c r="O18" s="16">
        <v>6982367.4402210508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1"/>
        <v>15045150.797325002</v>
      </c>
      <c r="B19" s="52" t="s">
        <v>58</v>
      </c>
      <c r="C19" s="64" t="s">
        <v>87</v>
      </c>
      <c r="D19" s="16">
        <v>1253856.2091660416</v>
      </c>
      <c r="E19" s="16">
        <v>1253856.2091660413</v>
      </c>
      <c r="F19" s="16">
        <v>1253856.2091660413</v>
      </c>
      <c r="G19" s="16">
        <v>1253856.2091660416</v>
      </c>
      <c r="H19" s="16">
        <v>1252838.3057227123</v>
      </c>
      <c r="I19" s="16">
        <v>1253856.2091660416</v>
      </c>
      <c r="J19" s="16">
        <v>1253850.1259151041</v>
      </c>
      <c r="K19" s="16">
        <v>1253850.1259151041</v>
      </c>
      <c r="L19" s="16">
        <v>1253762.5664437499</v>
      </c>
      <c r="M19" s="16">
        <v>1253856.2091660413</v>
      </c>
      <c r="N19" s="16">
        <v>1253856.2091660411</v>
      </c>
      <c r="O19" s="16">
        <v>1253856.2091660413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2">SUM(D20:AA20)</f>
        <v>1.1999999999999997E-13</v>
      </c>
      <c r="B20" s="52" t="s">
        <v>58</v>
      </c>
      <c r="C20" s="64" t="s">
        <v>141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>
        <v>1E-14</v>
      </c>
      <c r="K20" s="16">
        <v>1E-14</v>
      </c>
      <c r="L20" s="16">
        <v>1E-14</v>
      </c>
      <c r="M20" s="16">
        <v>1E-14</v>
      </c>
      <c r="N20" s="16">
        <v>1E-14</v>
      </c>
      <c r="O20" s="16">
        <v>1E-14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2"/>
        <v>36717.878700000001</v>
      </c>
      <c r="B21" s="53" t="s">
        <v>60</v>
      </c>
      <c r="C21" s="62" t="s">
        <v>156</v>
      </c>
      <c r="D21" s="8">
        <v>3060.051761235</v>
      </c>
      <c r="E21" s="8">
        <v>3060.051761235</v>
      </c>
      <c r="F21" s="8">
        <v>3060.051761235</v>
      </c>
      <c r="G21" s="8">
        <v>3060.051761235</v>
      </c>
      <c r="H21" s="8">
        <v>3057.5675551499994</v>
      </c>
      <c r="I21" s="8">
        <v>3060.051761235</v>
      </c>
      <c r="J21" s="8">
        <v>3060.0369149850003</v>
      </c>
      <c r="K21" s="8">
        <v>3060.0369149850003</v>
      </c>
      <c r="L21" s="8">
        <v>3059.8232249999996</v>
      </c>
      <c r="M21" s="8">
        <v>3060.051761235</v>
      </c>
      <c r="N21" s="8">
        <v>3060.051761235</v>
      </c>
      <c r="O21" s="8">
        <v>3060.051761235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36717.878700000001</v>
      </c>
      <c r="B22" s="53" t="s">
        <v>60</v>
      </c>
      <c r="C22" s="62" t="s">
        <v>157</v>
      </c>
      <c r="D22" s="8">
        <v>3060.051761235</v>
      </c>
      <c r="E22" s="8">
        <v>3060.051761235</v>
      </c>
      <c r="F22" s="8">
        <v>3060.051761235</v>
      </c>
      <c r="G22" s="8">
        <v>3060.051761235</v>
      </c>
      <c r="H22" s="8">
        <v>3057.5675551499994</v>
      </c>
      <c r="I22" s="8">
        <v>3060.051761235</v>
      </c>
      <c r="J22" s="8">
        <v>3060.0369149850003</v>
      </c>
      <c r="K22" s="8">
        <v>3060.0369149850003</v>
      </c>
      <c r="L22" s="8">
        <v>3059.8232249999996</v>
      </c>
      <c r="M22" s="8">
        <v>3060.051761235</v>
      </c>
      <c r="N22" s="8">
        <v>3060.051761235</v>
      </c>
      <c r="O22" s="8">
        <v>3060.051761235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38040.399999999994</v>
      </c>
      <c r="B23" s="53" t="s">
        <v>65</v>
      </c>
      <c r="C23" s="62" t="s">
        <v>97</v>
      </c>
      <c r="D23" s="8">
        <v>3562.5</v>
      </c>
      <c r="E23" s="8">
        <v>3602.6</v>
      </c>
      <c r="F23" s="8">
        <v>4379.3999999999996</v>
      </c>
      <c r="G23" s="8">
        <v>3705.2</v>
      </c>
      <c r="H23" s="8">
        <v>2289.3000000000002</v>
      </c>
      <c r="I23" s="8">
        <v>700</v>
      </c>
      <c r="J23" s="8">
        <v>200</v>
      </c>
      <c r="K23" s="8">
        <v>324.5</v>
      </c>
      <c r="L23" s="8">
        <v>4210.2</v>
      </c>
      <c r="M23" s="8">
        <v>4384.8999999999996</v>
      </c>
      <c r="N23" s="8">
        <v>4729.8</v>
      </c>
      <c r="O23" s="8">
        <v>5952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9">
        <f t="shared" si="1"/>
        <v>263122.58724753687</v>
      </c>
      <c r="B24" s="53" t="s">
        <v>59</v>
      </c>
      <c r="C24" s="72" t="s">
        <v>89</v>
      </c>
      <c r="D24" s="11">
        <v>28285.937193317972</v>
      </c>
      <c r="E24" s="11">
        <v>27363.533401848777</v>
      </c>
      <c r="F24" s="11">
        <v>28285.937193317972</v>
      </c>
      <c r="G24" s="11">
        <v>20000</v>
      </c>
      <c r="H24" s="11">
        <v>17203.382048347266</v>
      </c>
      <c r="I24" s="11">
        <v>17069.033890784547</v>
      </c>
      <c r="J24" s="11">
        <v>16486.679649247311</v>
      </c>
      <c r="K24" s="11">
        <v>16496.050616989247</v>
      </c>
      <c r="L24" s="11">
        <v>17332.033253683792</v>
      </c>
      <c r="M24" s="11">
        <v>19700</v>
      </c>
      <c r="N24" s="11">
        <v>27500</v>
      </c>
      <c r="O24" s="11">
        <v>27400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s="19" customFormat="1" outlineLevel="1" x14ac:dyDescent="0.25">
      <c r="A25" s="8">
        <f t="shared" si="1"/>
        <v>191591.25868177586</v>
      </c>
      <c r="B25" s="53" t="s">
        <v>59</v>
      </c>
      <c r="C25" s="64" t="s">
        <v>98</v>
      </c>
      <c r="D25" s="11">
        <v>16644.913816059085</v>
      </c>
      <c r="E25" s="11">
        <v>16492.553626485627</v>
      </c>
      <c r="F25" s="11">
        <v>16644.913816059085</v>
      </c>
      <c r="G25" s="11">
        <v>15825.201518429629</v>
      </c>
      <c r="H25" s="11">
        <v>15838.89430496296</v>
      </c>
      <c r="I25" s="11">
        <v>15825.201518429629</v>
      </c>
      <c r="J25" s="11">
        <v>15318.612073799999</v>
      </c>
      <c r="K25" s="11">
        <v>15318.612073799999</v>
      </c>
      <c r="L25" s="11">
        <v>15824.076925925927</v>
      </c>
      <c r="M25" s="11">
        <v>15851.120451762965</v>
      </c>
      <c r="N25" s="11">
        <v>16156.03810429799</v>
      </c>
      <c r="O25" s="11">
        <v>15851.120451762965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8">
        <f t="shared" si="1"/>
        <v>32983.951469297281</v>
      </c>
      <c r="B26" s="53" t="s">
        <v>59</v>
      </c>
      <c r="C26" s="64" t="s">
        <v>99</v>
      </c>
      <c r="D26" s="11">
        <v>3829.0233772588872</v>
      </c>
      <c r="E26" s="11">
        <v>3814.9797753631528</v>
      </c>
      <c r="F26" s="11">
        <v>3829.0233772588872</v>
      </c>
      <c r="G26" s="11">
        <v>3753.4674645944724</v>
      </c>
      <c r="H26" s="11">
        <v>1364.4877433843092</v>
      </c>
      <c r="I26" s="11">
        <v>1243.8323723549186</v>
      </c>
      <c r="J26" s="11">
        <v>1168.0675754473118</v>
      </c>
      <c r="K26" s="11">
        <v>1177.4385431892474</v>
      </c>
      <c r="L26" s="11">
        <v>1507.9563277578657</v>
      </c>
      <c r="M26" s="11">
        <v>3755.8565084931083</v>
      </c>
      <c r="N26" s="11">
        <v>3783.9618957020098</v>
      </c>
      <c r="O26" s="11">
        <v>3755.8565084931083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97"/>
      <c r="B27" s="53"/>
      <c r="C27" s="64" t="s">
        <v>100</v>
      </c>
      <c r="D27" s="51">
        <v>0.18701939646999385</v>
      </c>
      <c r="E27" s="51">
        <v>0.18786032256462229</v>
      </c>
      <c r="F27" s="51">
        <v>0.18701939646999385</v>
      </c>
      <c r="G27" s="51">
        <v>0.19171208562997605</v>
      </c>
      <c r="H27" s="51">
        <v>7.9315086972412838E-2</v>
      </c>
      <c r="I27" s="51">
        <v>7.2870695571496585E-2</v>
      </c>
      <c r="J27" s="51">
        <v>7.084917037862376E-2</v>
      </c>
      <c r="K27" s="51">
        <v>7.1376996259735412E-2</v>
      </c>
      <c r="L27" s="51">
        <v>8.7004006147828092E-2</v>
      </c>
      <c r="M27" s="51">
        <v>0.19155714397514423</v>
      </c>
      <c r="N27" s="51">
        <v>0.18976739697602857</v>
      </c>
      <c r="O27" s="51">
        <v>0.19155714397514423</v>
      </c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</row>
    <row r="28" spans="1:27" outlineLevel="1" x14ac:dyDescent="0.25">
      <c r="A28" s="8">
        <f t="shared" si="1"/>
        <v>41587.17945905216</v>
      </c>
      <c r="B28" s="53" t="s">
        <v>59</v>
      </c>
      <c r="C28" s="64" t="s">
        <v>88</v>
      </c>
      <c r="D28" s="8">
        <v>1E-14</v>
      </c>
      <c r="E28" s="8">
        <v>1E-14</v>
      </c>
      <c r="F28" s="8">
        <v>1E-14</v>
      </c>
      <c r="G28" s="8">
        <v>1E-14</v>
      </c>
      <c r="H28" s="8">
        <v>4203.3820483472682</v>
      </c>
      <c r="I28" s="8">
        <v>9569.0338907845471</v>
      </c>
      <c r="J28" s="8">
        <v>8986.6796492473113</v>
      </c>
      <c r="K28" s="8">
        <v>9496.0506169892469</v>
      </c>
      <c r="L28" s="8">
        <v>9332.0332536837923</v>
      </c>
      <c r="M28" s="8">
        <v>1E-14</v>
      </c>
      <c r="N28" s="8">
        <v>1E-14</v>
      </c>
      <c r="O28" s="8">
        <v>1E-14</v>
      </c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s="19" customFormat="1" outlineLevel="1" x14ac:dyDescent="0.25">
      <c r="A29" s="88">
        <f t="shared" si="1"/>
        <v>6207037.1692891475</v>
      </c>
      <c r="B29" s="52" t="s">
        <v>58</v>
      </c>
      <c r="C29" s="73" t="s">
        <v>92</v>
      </c>
      <c r="D29" s="16">
        <v>2110463.676554549</v>
      </c>
      <c r="E29" s="16">
        <v>3246479.9024889208</v>
      </c>
      <c r="F29" s="16">
        <v>850093.59024567716</v>
      </c>
      <c r="G29" s="16">
        <v>1E-14</v>
      </c>
      <c r="H29" s="16">
        <v>1E-14</v>
      </c>
      <c r="I29" s="16">
        <v>1E-14</v>
      </c>
      <c r="J29" s="16">
        <v>1E-14</v>
      </c>
      <c r="K29" s="16">
        <v>1E-14</v>
      </c>
      <c r="L29" s="16">
        <v>1E-14</v>
      </c>
      <c r="M29" s="16">
        <v>1E-14</v>
      </c>
      <c r="N29" s="16">
        <v>1E-14</v>
      </c>
      <c r="O29" s="16">
        <v>1E-14</v>
      </c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s="19" customFormat="1" outlineLevel="1" x14ac:dyDescent="0.25">
      <c r="A30" s="16">
        <f t="shared" si="1"/>
        <v>88645.952115152788</v>
      </c>
      <c r="B30" s="52" t="s">
        <v>58</v>
      </c>
      <c r="C30" s="63" t="s">
        <v>79</v>
      </c>
      <c r="D30" s="16">
        <v>30140.63806682028</v>
      </c>
      <c r="E30" s="16">
        <v>46364.675981512228</v>
      </c>
      <c r="F30" s="16">
        <v>12140.638066820282</v>
      </c>
      <c r="G30" s="16">
        <v>1E-14</v>
      </c>
      <c r="H30" s="16">
        <v>1E-14</v>
      </c>
      <c r="I30" s="16">
        <v>1E-14</v>
      </c>
      <c r="J30" s="16">
        <v>1E-14</v>
      </c>
      <c r="K30" s="16">
        <v>1E-14</v>
      </c>
      <c r="L30" s="16">
        <v>1E-14</v>
      </c>
      <c r="M30" s="16">
        <v>1E-14</v>
      </c>
      <c r="N30" s="16">
        <v>1E-14</v>
      </c>
      <c r="O30" s="16">
        <v>1E-14</v>
      </c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s="19" customFormat="1" outlineLevel="1" x14ac:dyDescent="0.25">
      <c r="A31" s="16">
        <f t="shared" si="1"/>
        <v>3626424.0865289778</v>
      </c>
      <c r="B31" s="52" t="s">
        <v>58</v>
      </c>
      <c r="C31" s="63" t="s">
        <v>80</v>
      </c>
      <c r="D31" s="16">
        <v>1233025.6936426479</v>
      </c>
      <c r="E31" s="16">
        <v>1896736.3356073184</v>
      </c>
      <c r="F31" s="16">
        <v>496662.05727901153</v>
      </c>
      <c r="G31" s="16">
        <v>1E-14</v>
      </c>
      <c r="H31" s="16">
        <v>1E-14</v>
      </c>
      <c r="I31" s="16">
        <v>1E-14</v>
      </c>
      <c r="J31" s="16">
        <v>1E-14</v>
      </c>
      <c r="K31" s="16">
        <v>1E-14</v>
      </c>
      <c r="L31" s="16">
        <v>1E-14</v>
      </c>
      <c r="M31" s="16">
        <v>1E-14</v>
      </c>
      <c r="N31" s="16">
        <v>1E-14</v>
      </c>
      <c r="O31" s="16">
        <v>1E-14</v>
      </c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s="19" customFormat="1" outlineLevel="1" x14ac:dyDescent="0.25">
      <c r="A32" s="16">
        <f t="shared" si="1"/>
        <v>2491967.1306450162</v>
      </c>
      <c r="B32" s="52" t="s">
        <v>58</v>
      </c>
      <c r="C32" s="63" t="s">
        <v>81</v>
      </c>
      <c r="D32" s="16">
        <v>847297.34484508075</v>
      </c>
      <c r="E32" s="16">
        <v>1303378.8909000903</v>
      </c>
      <c r="F32" s="16">
        <v>341290.89489984536</v>
      </c>
      <c r="G32" s="16">
        <v>1E-14</v>
      </c>
      <c r="H32" s="16">
        <v>1E-14</v>
      </c>
      <c r="I32" s="16">
        <v>1E-14</v>
      </c>
      <c r="J32" s="16">
        <v>1E-14</v>
      </c>
      <c r="K32" s="16">
        <v>1E-14</v>
      </c>
      <c r="L32" s="16">
        <v>1E-14</v>
      </c>
      <c r="M32" s="16">
        <v>1E-14</v>
      </c>
      <c r="N32" s="16">
        <v>1E-14</v>
      </c>
      <c r="O32" s="16">
        <v>1E-14</v>
      </c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s="19" customFormat="1" outlineLevel="1" x14ac:dyDescent="0.25">
      <c r="A33" s="8">
        <f t="shared" si="1"/>
        <v>2.3209114153786383</v>
      </c>
      <c r="B33" s="53" t="s">
        <v>60</v>
      </c>
      <c r="C33" s="61" t="s">
        <v>82</v>
      </c>
      <c r="D33" s="8">
        <v>0.78913644393129478</v>
      </c>
      <c r="E33" s="8">
        <v>1.2139112547886839</v>
      </c>
      <c r="F33" s="8">
        <v>0.31786371665856744</v>
      </c>
      <c r="G33" s="8">
        <v>1E-14</v>
      </c>
      <c r="H33" s="8">
        <v>1E-14</v>
      </c>
      <c r="I33" s="8">
        <v>1E-14</v>
      </c>
      <c r="J33" s="8">
        <v>1E-14</v>
      </c>
      <c r="K33" s="8">
        <v>1E-14</v>
      </c>
      <c r="L33" s="8">
        <v>1E-14</v>
      </c>
      <c r="M33" s="8">
        <v>1E-14</v>
      </c>
      <c r="N33" s="8">
        <v>1E-14</v>
      </c>
      <c r="O33" s="8">
        <v>1E-14</v>
      </c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s="19" customFormat="1" outlineLevel="1" x14ac:dyDescent="0.25">
      <c r="A34" s="11">
        <f t="shared" si="1"/>
        <v>8864.5922115152789</v>
      </c>
      <c r="B34" s="53" t="s">
        <v>59</v>
      </c>
      <c r="C34" s="61" t="s">
        <v>101</v>
      </c>
      <c r="D34" s="11">
        <v>3014.0628066820282</v>
      </c>
      <c r="E34" s="11">
        <v>4636.4665981512226</v>
      </c>
      <c r="F34" s="11">
        <v>1214.0628066820282</v>
      </c>
      <c r="G34" s="11">
        <v>1E-14</v>
      </c>
      <c r="H34" s="11">
        <v>1E-14</v>
      </c>
      <c r="I34" s="11">
        <v>1E-14</v>
      </c>
      <c r="J34" s="11">
        <v>1E-14</v>
      </c>
      <c r="K34" s="11">
        <v>1E-14</v>
      </c>
      <c r="L34" s="11">
        <v>1E-14</v>
      </c>
      <c r="M34" s="11">
        <v>1E-14</v>
      </c>
      <c r="N34" s="11">
        <v>1E-14</v>
      </c>
      <c r="O34" s="11">
        <v>1E-14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B35" s="5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80" customFormat="1" ht="18.75" x14ac:dyDescent="0.3">
      <c r="A36" s="83" t="s">
        <v>166</v>
      </c>
      <c r="B36" s="79" t="s">
        <v>69</v>
      </c>
      <c r="C36" s="79"/>
      <c r="D36" s="84" t="s">
        <v>170</v>
      </c>
      <c r="E36" s="84" t="s">
        <v>204</v>
      </c>
      <c r="F36" s="84" t="s">
        <v>205</v>
      </c>
      <c r="G36" s="84" t="s">
        <v>206</v>
      </c>
      <c r="H36" s="84" t="s">
        <v>207</v>
      </c>
      <c r="I36" s="84" t="s">
        <v>208</v>
      </c>
      <c r="J36" s="84" t="s">
        <v>209</v>
      </c>
      <c r="K36" s="84" t="s">
        <v>210</v>
      </c>
      <c r="L36" s="84" t="s">
        <v>211</v>
      </c>
      <c r="M36" s="84" t="s">
        <v>212</v>
      </c>
      <c r="N36" s="84" t="s">
        <v>213</v>
      </c>
      <c r="O36" s="84" t="s">
        <v>214</v>
      </c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</row>
    <row r="37" spans="1:27" outlineLevel="1" x14ac:dyDescent="0.25">
      <c r="A37" s="14">
        <f t="shared" ref="A37:A73" si="3">SUM(D37:O37)</f>
        <v>55833.372242308993</v>
      </c>
      <c r="B37" s="53" t="s">
        <v>59</v>
      </c>
      <c r="C37" s="6" t="s">
        <v>122</v>
      </c>
      <c r="D37" s="14">
        <v>8556</v>
      </c>
      <c r="E37" s="14">
        <v>7728</v>
      </c>
      <c r="F37" s="14">
        <v>8556</v>
      </c>
      <c r="G37" s="14">
        <v>4101.2813209454198</v>
      </c>
      <c r="H37" s="14">
        <v>3504.4120992592593</v>
      </c>
      <c r="I37" s="14">
        <v>3388.01500425926</v>
      </c>
      <c r="J37" s="14">
        <v>1114.08</v>
      </c>
      <c r="K37" s="14">
        <v>1114.08</v>
      </c>
      <c r="L37" s="14">
        <v>3388.0191851851855</v>
      </c>
      <c r="M37" s="14">
        <v>4242.1375174366476</v>
      </c>
      <c r="N37" s="14">
        <v>5899.2095977865747</v>
      </c>
      <c r="O37" s="14">
        <v>4242.1375174366476</v>
      </c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outlineLevel="1" x14ac:dyDescent="0.25">
      <c r="A38" s="14">
        <f t="shared" si="3"/>
        <v>168741.83790876414</v>
      </c>
      <c r="B38" s="53" t="s">
        <v>59</v>
      </c>
      <c r="C38" s="6" t="s">
        <v>123</v>
      </c>
      <c r="D38" s="14">
        <v>11917.937193317972</v>
      </c>
      <c r="E38" s="14">
        <v>12579.533401848777</v>
      </c>
      <c r="F38" s="14">
        <v>11917.937193317972</v>
      </c>
      <c r="G38" s="14">
        <v>15477.387662078681</v>
      </c>
      <c r="H38" s="14">
        <v>13698.969949088008</v>
      </c>
      <c r="I38" s="14">
        <v>13681.018886525288</v>
      </c>
      <c r="J38" s="14">
        <v>15372.599649247311</v>
      </c>
      <c r="K38" s="14">
        <v>15381.970616989247</v>
      </c>
      <c r="L38" s="14">
        <v>13944.014068498607</v>
      </c>
      <c r="M38" s="14">
        <v>15364.839442819426</v>
      </c>
      <c r="N38" s="14">
        <v>14040.790402213424</v>
      </c>
      <c r="O38" s="14">
        <v>15364.839442819426</v>
      </c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outlineLevel="1" x14ac:dyDescent="0.25">
      <c r="A39" s="14">
        <f t="shared" si="3"/>
        <v>38547.377096463752</v>
      </c>
      <c r="B39" s="53" t="s">
        <v>59</v>
      </c>
      <c r="C39" s="6" t="s">
        <v>124</v>
      </c>
      <c r="D39" s="14">
        <v>7812</v>
      </c>
      <c r="E39" s="14">
        <v>7056</v>
      </c>
      <c r="F39" s="14">
        <v>7812</v>
      </c>
      <c r="G39" s="14">
        <v>421.33101697589882</v>
      </c>
      <c r="H39" s="14">
        <v>1E-14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93.023039743926347</v>
      </c>
      <c r="N39" s="14">
        <v>7560</v>
      </c>
      <c r="O39" s="14">
        <v>7793.0230397439263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outlineLevel="1" x14ac:dyDescent="0.25">
      <c r="A40" s="14">
        <f t="shared" si="3"/>
        <v>9600</v>
      </c>
      <c r="B40" s="53" t="s">
        <v>59</v>
      </c>
      <c r="C40" s="6" t="s">
        <v>73</v>
      </c>
      <c r="D40" s="14">
        <v>3999.9999999999995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1E-14</v>
      </c>
      <c r="O40" s="14">
        <v>5600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outlineLevel="1" x14ac:dyDescent="0.25">
      <c r="A41" s="14">
        <f t="shared" si="3"/>
        <v>-41587.17945905216</v>
      </c>
      <c r="B41" s="53" t="s">
        <v>59</v>
      </c>
      <c r="C41" s="6" t="s">
        <v>125</v>
      </c>
      <c r="D41" s="14">
        <v>-1E-14</v>
      </c>
      <c r="E41" s="14">
        <v>-1E-14</v>
      </c>
      <c r="F41" s="14">
        <v>-1E-14</v>
      </c>
      <c r="G41" s="14">
        <v>-1E-14</v>
      </c>
      <c r="H41" s="14">
        <v>-4203.3820483472682</v>
      </c>
      <c r="I41" s="14">
        <v>-9569.0338907845471</v>
      </c>
      <c r="J41" s="14">
        <v>-8986.6796492473113</v>
      </c>
      <c r="K41" s="14">
        <v>-9496.0506169892469</v>
      </c>
      <c r="L41" s="14">
        <v>-9332.0332536837923</v>
      </c>
      <c r="M41" s="14">
        <v>-1E-14</v>
      </c>
      <c r="N41" s="14">
        <v>-1E-14</v>
      </c>
      <c r="O41" s="14">
        <v>-1E-14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outlineLevel="1" x14ac:dyDescent="0.25">
      <c r="A42" s="14">
        <f t="shared" si="3"/>
        <v>8864.5922115152789</v>
      </c>
      <c r="B42" s="53" t="s">
        <v>59</v>
      </c>
      <c r="C42" s="6" t="s">
        <v>126</v>
      </c>
      <c r="D42" s="14">
        <v>3014.0628066820282</v>
      </c>
      <c r="E42" s="14">
        <v>4636.4665981512226</v>
      </c>
      <c r="F42" s="14">
        <v>1214.0628066820282</v>
      </c>
      <c r="G42" s="14">
        <v>1E-14</v>
      </c>
      <c r="H42" s="14">
        <v>1E-14</v>
      </c>
      <c r="I42" s="14">
        <v>1E-14</v>
      </c>
      <c r="J42" s="14">
        <v>1E-14</v>
      </c>
      <c r="K42" s="14">
        <v>1E-14</v>
      </c>
      <c r="L42" s="14">
        <v>1E-14</v>
      </c>
      <c r="M42" s="14">
        <v>1E-14</v>
      </c>
      <c r="N42" s="14">
        <v>1E-14</v>
      </c>
      <c r="O42" s="14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outlineLevel="1" x14ac:dyDescent="0.25">
      <c r="A43" s="5"/>
      <c r="B43" s="3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s="80" customFormat="1" ht="18.75" x14ac:dyDescent="0.3">
      <c r="A44" s="83" t="s">
        <v>167</v>
      </c>
      <c r="B44" s="79" t="s">
        <v>69</v>
      </c>
      <c r="C44" s="79"/>
      <c r="D44" s="84" t="s">
        <v>170</v>
      </c>
      <c r="E44" s="84" t="s">
        <v>204</v>
      </c>
      <c r="F44" s="84" t="s">
        <v>205</v>
      </c>
      <c r="G44" s="84" t="s">
        <v>206</v>
      </c>
      <c r="H44" s="84" t="s">
        <v>207</v>
      </c>
      <c r="I44" s="84" t="s">
        <v>208</v>
      </c>
      <c r="J44" s="84" t="s">
        <v>209</v>
      </c>
      <c r="K44" s="84" t="s">
        <v>210</v>
      </c>
      <c r="L44" s="84" t="s">
        <v>211</v>
      </c>
      <c r="M44" s="84" t="s">
        <v>212</v>
      </c>
      <c r="N44" s="84" t="s">
        <v>213</v>
      </c>
      <c r="O44" s="84" t="s">
        <v>214</v>
      </c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</row>
    <row r="45" spans="1:27" outlineLevel="1" x14ac:dyDescent="0.25">
      <c r="A45" s="12">
        <f t="shared" si="3"/>
        <v>9093</v>
      </c>
      <c r="B45" s="55" t="s">
        <v>60</v>
      </c>
      <c r="C45" s="9" t="s">
        <v>0</v>
      </c>
      <c r="D45" s="12">
        <v>757.75</v>
      </c>
      <c r="E45" s="12">
        <v>757.75</v>
      </c>
      <c r="F45" s="12">
        <v>757.75</v>
      </c>
      <c r="G45" s="12">
        <v>757.75</v>
      </c>
      <c r="H45" s="12">
        <v>757.75</v>
      </c>
      <c r="I45" s="12">
        <v>757.75</v>
      </c>
      <c r="J45" s="12">
        <v>757.75</v>
      </c>
      <c r="K45" s="12">
        <v>757.75</v>
      </c>
      <c r="L45" s="12">
        <v>757.75</v>
      </c>
      <c r="M45" s="12">
        <v>757.75</v>
      </c>
      <c r="N45" s="12">
        <v>757.75</v>
      </c>
      <c r="O45" s="12">
        <v>757.75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3"/>
        <v>1.1999999999999997E-13</v>
      </c>
      <c r="B46" s="55" t="s">
        <v>60</v>
      </c>
      <c r="C46" s="9" t="s">
        <v>1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>
        <v>1E-14</v>
      </c>
      <c r="K46" s="12">
        <v>1E-14</v>
      </c>
      <c r="L46" s="12">
        <v>1E-14</v>
      </c>
      <c r="M46" s="12">
        <v>1E-14</v>
      </c>
      <c r="N46" s="12">
        <v>1E-14</v>
      </c>
      <c r="O46" s="12">
        <v>1E-14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3"/>
        <v>1.1999999999999997E-13</v>
      </c>
      <c r="B47" s="55" t="s">
        <v>60</v>
      </c>
      <c r="C47" s="9" t="s">
        <v>2</v>
      </c>
      <c r="D47" s="12">
        <v>1E-14</v>
      </c>
      <c r="E47" s="12">
        <v>1E-14</v>
      </c>
      <c r="F47" s="12">
        <v>1E-14</v>
      </c>
      <c r="G47" s="12">
        <v>1E-14</v>
      </c>
      <c r="H47" s="12">
        <v>1E-14</v>
      </c>
      <c r="I47" s="12">
        <v>1E-14</v>
      </c>
      <c r="J47" s="12">
        <v>1E-14</v>
      </c>
      <c r="K47" s="12">
        <v>1E-14</v>
      </c>
      <c r="L47" s="12">
        <v>1E-14</v>
      </c>
      <c r="M47" s="12">
        <v>1E-14</v>
      </c>
      <c r="N47" s="12">
        <v>1E-14</v>
      </c>
      <c r="O47" s="12">
        <v>1E-14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3"/>
        <v>28869</v>
      </c>
      <c r="B48" s="55" t="s">
        <v>60</v>
      </c>
      <c r="C48" s="9" t="s">
        <v>3</v>
      </c>
      <c r="D48" s="12">
        <v>2405.9905749999998</v>
      </c>
      <c r="E48" s="12">
        <v>2405.9905749999998</v>
      </c>
      <c r="F48" s="12">
        <v>2405.9905749999998</v>
      </c>
      <c r="G48" s="12">
        <v>2405.9905749999998</v>
      </c>
      <c r="H48" s="12">
        <v>2403.3442500000019</v>
      </c>
      <c r="I48" s="12">
        <v>2405.9905749999998</v>
      </c>
      <c r="J48" s="12">
        <v>2405.9905749999998</v>
      </c>
      <c r="K48" s="12">
        <v>2405.9905749999998</v>
      </c>
      <c r="L48" s="12">
        <v>2405.75</v>
      </c>
      <c r="M48" s="12">
        <v>2405.9905749999998</v>
      </c>
      <c r="N48" s="12">
        <v>2405.9905749999998</v>
      </c>
      <c r="O48" s="12">
        <v>2405.9905749999998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3"/>
        <v>3500</v>
      </c>
      <c r="B49" s="55" t="s">
        <v>60</v>
      </c>
      <c r="C49" s="9" t="s">
        <v>4</v>
      </c>
      <c r="D49" s="12">
        <v>291.66666666666669</v>
      </c>
      <c r="E49" s="12">
        <v>291.6666666666668</v>
      </c>
      <c r="F49" s="12">
        <v>291.66666666666669</v>
      </c>
      <c r="G49" s="12">
        <v>291.66666666666669</v>
      </c>
      <c r="H49" s="12">
        <v>291.66666666666669</v>
      </c>
      <c r="I49" s="12">
        <v>291.66666666666669</v>
      </c>
      <c r="J49" s="12">
        <v>291.66666666666669</v>
      </c>
      <c r="K49" s="12">
        <v>291.66666666666669</v>
      </c>
      <c r="L49" s="12">
        <v>291.66666666666669</v>
      </c>
      <c r="M49" s="12">
        <v>291.66666666666669</v>
      </c>
      <c r="N49" s="12">
        <v>291.66666666666669</v>
      </c>
      <c r="O49" s="12">
        <v>291.66666666666669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3"/>
        <v>1.1999999999999997E-13</v>
      </c>
      <c r="B50" s="55" t="s">
        <v>60</v>
      </c>
      <c r="C50" s="9" t="s">
        <v>5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>
        <v>1E-14</v>
      </c>
      <c r="K50" s="12">
        <v>1E-14</v>
      </c>
      <c r="L50" s="12">
        <v>1E-14</v>
      </c>
      <c r="M50" s="12">
        <v>1E-14</v>
      </c>
      <c r="N50" s="12">
        <v>1E-14</v>
      </c>
      <c r="O50" s="12">
        <v>1E-14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3"/>
        <v>1.1999999999999997E-13</v>
      </c>
      <c r="B51" s="55" t="s">
        <v>60</v>
      </c>
      <c r="C51" s="9" t="s">
        <v>6</v>
      </c>
      <c r="D51" s="12">
        <v>1E-14</v>
      </c>
      <c r="E51" s="12">
        <v>1E-14</v>
      </c>
      <c r="F51" s="12">
        <v>1E-14</v>
      </c>
      <c r="G51" s="12">
        <v>1E-14</v>
      </c>
      <c r="H51" s="12">
        <v>1E-14</v>
      </c>
      <c r="I51" s="12">
        <v>1E-14</v>
      </c>
      <c r="J51" s="12">
        <v>1E-14</v>
      </c>
      <c r="K51" s="12">
        <v>1E-14</v>
      </c>
      <c r="L51" s="12">
        <v>1E-14</v>
      </c>
      <c r="M51" s="12">
        <v>1E-14</v>
      </c>
      <c r="N51" s="12">
        <v>1E-14</v>
      </c>
      <c r="O51" s="12">
        <v>1E-14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3"/>
        <v>7800</v>
      </c>
      <c r="B52" s="55" t="s">
        <v>60</v>
      </c>
      <c r="C52" s="9" t="s">
        <v>7</v>
      </c>
      <c r="D52" s="12">
        <v>650</v>
      </c>
      <c r="E52" s="12">
        <v>650</v>
      </c>
      <c r="F52" s="12">
        <v>650</v>
      </c>
      <c r="G52" s="12">
        <v>650</v>
      </c>
      <c r="H52" s="12">
        <v>650</v>
      </c>
      <c r="I52" s="12">
        <v>650</v>
      </c>
      <c r="J52" s="12">
        <v>650</v>
      </c>
      <c r="K52" s="12">
        <v>650</v>
      </c>
      <c r="L52" s="12">
        <v>650</v>
      </c>
      <c r="M52" s="12">
        <v>650</v>
      </c>
      <c r="N52" s="12">
        <v>650</v>
      </c>
      <c r="O52" s="12">
        <v>650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3"/>
        <v>1.1999999999999997E-13</v>
      </c>
      <c r="B53" s="55" t="s">
        <v>60</v>
      </c>
      <c r="C53" s="9" t="s">
        <v>8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>
        <v>1E-14</v>
      </c>
      <c r="K53" s="12">
        <v>1E-14</v>
      </c>
      <c r="L53" s="12">
        <v>1E-14</v>
      </c>
      <c r="M53" s="12">
        <v>1E-14</v>
      </c>
      <c r="N53" s="12">
        <v>1E-14</v>
      </c>
      <c r="O53" s="12">
        <v>1E-14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3"/>
        <v>1.1999999999999997E-13</v>
      </c>
      <c r="B54" s="55" t="s">
        <v>60</v>
      </c>
      <c r="C54" s="9" t="s">
        <v>9</v>
      </c>
      <c r="D54" s="12">
        <v>1E-14</v>
      </c>
      <c r="E54" s="12">
        <v>1E-14</v>
      </c>
      <c r="F54" s="12">
        <v>1E-14</v>
      </c>
      <c r="G54" s="12">
        <v>1E-14</v>
      </c>
      <c r="H54" s="12">
        <v>1E-14</v>
      </c>
      <c r="I54" s="12">
        <v>1E-14</v>
      </c>
      <c r="J54" s="12">
        <v>1E-14</v>
      </c>
      <c r="K54" s="12">
        <v>1E-14</v>
      </c>
      <c r="L54" s="12">
        <v>1E-14</v>
      </c>
      <c r="M54" s="12">
        <v>1E-14</v>
      </c>
      <c r="N54" s="12">
        <v>1E-14</v>
      </c>
      <c r="O54" s="12">
        <v>1E-14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3"/>
        <v>5200.0000000000009</v>
      </c>
      <c r="B55" s="55" t="s">
        <v>60</v>
      </c>
      <c r="C55" s="9" t="s">
        <v>10</v>
      </c>
      <c r="D55" s="12">
        <v>433.37666666666667</v>
      </c>
      <c r="E55" s="12">
        <v>433.37666666666667</v>
      </c>
      <c r="F55" s="12">
        <v>433.37666666666667</v>
      </c>
      <c r="G55" s="12">
        <v>433.37666666666667</v>
      </c>
      <c r="H55" s="12">
        <v>432.98666666666685</v>
      </c>
      <c r="I55" s="12">
        <v>433.37666666666667</v>
      </c>
      <c r="J55" s="12">
        <v>433.33333333333331</v>
      </c>
      <c r="K55" s="12">
        <v>433.33333333333331</v>
      </c>
      <c r="L55" s="12">
        <v>433.33333333333331</v>
      </c>
      <c r="M55" s="12">
        <v>433.37666666666667</v>
      </c>
      <c r="N55" s="12">
        <v>433.37666666666667</v>
      </c>
      <c r="O55" s="12">
        <v>433.37666666666667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3"/>
        <v>500</v>
      </c>
      <c r="B56" s="55" t="s">
        <v>60</v>
      </c>
      <c r="C56" s="9" t="s">
        <v>11</v>
      </c>
      <c r="D56" s="12">
        <v>41.666666666666664</v>
      </c>
      <c r="E56" s="12">
        <v>41.666666666666622</v>
      </c>
      <c r="F56" s="12">
        <v>41.666666666666664</v>
      </c>
      <c r="G56" s="12">
        <v>41.666666666666664</v>
      </c>
      <c r="H56" s="12">
        <v>41.666666666666664</v>
      </c>
      <c r="I56" s="12">
        <v>41.666666666666664</v>
      </c>
      <c r="J56" s="12">
        <v>41.666666666666664</v>
      </c>
      <c r="K56" s="12">
        <v>41.666666666666664</v>
      </c>
      <c r="L56" s="12">
        <v>41.666666666666664</v>
      </c>
      <c r="M56" s="12">
        <v>41.666666666666664</v>
      </c>
      <c r="N56" s="12">
        <v>41.666666666666664</v>
      </c>
      <c r="O56" s="12">
        <v>41.666666666666664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3"/>
        <v>1.1999999999999997E-13</v>
      </c>
      <c r="B57" s="55" t="s">
        <v>60</v>
      </c>
      <c r="C57" s="9" t="s">
        <v>12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>
        <v>1E-14</v>
      </c>
      <c r="K57" s="12">
        <v>1E-14</v>
      </c>
      <c r="L57" s="12">
        <v>1E-14</v>
      </c>
      <c r="M57" s="12">
        <v>1E-14</v>
      </c>
      <c r="N57" s="12">
        <v>1E-14</v>
      </c>
      <c r="O57" s="12">
        <v>1E-14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3"/>
        <v>1.1999999999999997E-13</v>
      </c>
      <c r="B58" s="55" t="s">
        <v>60</v>
      </c>
      <c r="C58" s="9" t="s">
        <v>13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>
        <v>1E-14</v>
      </c>
      <c r="K58" s="12">
        <v>1E-14</v>
      </c>
      <c r="L58" s="12">
        <v>1E-14</v>
      </c>
      <c r="M58" s="12">
        <v>1E-14</v>
      </c>
      <c r="N58" s="12">
        <v>1E-14</v>
      </c>
      <c r="O58" s="12">
        <v>1E-14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3"/>
        <v>39999.999999999993</v>
      </c>
      <c r="B59" s="55" t="s">
        <v>60</v>
      </c>
      <c r="C59" s="9" t="s">
        <v>14</v>
      </c>
      <c r="D59" s="12">
        <v>3333.666666666667</v>
      </c>
      <c r="E59" s="12">
        <v>3333.666666666667</v>
      </c>
      <c r="F59" s="12">
        <v>3333.666666666667</v>
      </c>
      <c r="G59" s="12">
        <v>3333.666666666667</v>
      </c>
      <c r="H59" s="12">
        <v>3329.9999999999959</v>
      </c>
      <c r="I59" s="12">
        <v>3333.666666666667</v>
      </c>
      <c r="J59" s="12">
        <v>3333.666666666667</v>
      </c>
      <c r="K59" s="12">
        <v>3333.666666666667</v>
      </c>
      <c r="L59" s="12">
        <v>3333.3333333333335</v>
      </c>
      <c r="M59" s="12">
        <v>3333.666666666667</v>
      </c>
      <c r="N59" s="12">
        <v>3333.666666666667</v>
      </c>
      <c r="O59" s="12">
        <v>3333.666666666667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3"/>
        <v>2000</v>
      </c>
      <c r="B60" s="55" t="s">
        <v>60</v>
      </c>
      <c r="C60" s="9" t="s">
        <v>15</v>
      </c>
      <c r="D60" s="12">
        <v>166.66666666666666</v>
      </c>
      <c r="E60" s="12">
        <v>166.66666666666649</v>
      </c>
      <c r="F60" s="12">
        <v>166.66666666666666</v>
      </c>
      <c r="G60" s="12">
        <v>166.66666666666666</v>
      </c>
      <c r="H60" s="12">
        <v>166.66666666666666</v>
      </c>
      <c r="I60" s="12">
        <v>166.66666666666666</v>
      </c>
      <c r="J60" s="12">
        <v>166.66666666666666</v>
      </c>
      <c r="K60" s="12">
        <v>166.66666666666666</v>
      </c>
      <c r="L60" s="12">
        <v>166.66666666666666</v>
      </c>
      <c r="M60" s="12">
        <v>166.66666666666666</v>
      </c>
      <c r="N60" s="12">
        <v>166.66666666666666</v>
      </c>
      <c r="O60" s="12">
        <v>166.66666666666666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3"/>
        <v>1.1999999999999997E-13</v>
      </c>
      <c r="B61" s="55" t="s">
        <v>60</v>
      </c>
      <c r="C61" s="9" t="s">
        <v>16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>
        <v>1E-14</v>
      </c>
      <c r="K61" s="12">
        <v>1E-14</v>
      </c>
      <c r="L61" s="12">
        <v>1E-14</v>
      </c>
      <c r="M61" s="12">
        <v>1E-14</v>
      </c>
      <c r="N61" s="12">
        <v>1E-14</v>
      </c>
      <c r="O61" s="12">
        <v>1E-14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3"/>
        <v>1500</v>
      </c>
      <c r="B62" s="55" t="s">
        <v>60</v>
      </c>
      <c r="C62" s="9" t="s">
        <v>18</v>
      </c>
      <c r="D62" s="12">
        <v>125</v>
      </c>
      <c r="E62" s="12">
        <v>125</v>
      </c>
      <c r="F62" s="12">
        <v>125</v>
      </c>
      <c r="G62" s="12">
        <v>125</v>
      </c>
      <c r="H62" s="12">
        <v>125</v>
      </c>
      <c r="I62" s="12">
        <v>125</v>
      </c>
      <c r="J62" s="12">
        <v>125</v>
      </c>
      <c r="K62" s="12">
        <v>125</v>
      </c>
      <c r="L62" s="12">
        <v>125</v>
      </c>
      <c r="M62" s="12">
        <v>125</v>
      </c>
      <c r="N62" s="12">
        <v>125</v>
      </c>
      <c r="O62" s="12">
        <v>125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3"/>
        <v>1.1999999999999997E-13</v>
      </c>
      <c r="B63" s="55" t="s">
        <v>60</v>
      </c>
      <c r="C63" s="9" t="s">
        <v>19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3"/>
        <v>120</v>
      </c>
      <c r="B64" s="55" t="s">
        <v>60</v>
      </c>
      <c r="C64" s="9" t="s">
        <v>20</v>
      </c>
      <c r="D64" s="12">
        <v>10.000999999999999</v>
      </c>
      <c r="E64" s="12">
        <v>10.000999999999999</v>
      </c>
      <c r="F64" s="12">
        <v>10.000999999999999</v>
      </c>
      <c r="G64" s="12">
        <v>10.000999999999999</v>
      </c>
      <c r="H64" s="12">
        <v>9.9899999999999878</v>
      </c>
      <c r="I64" s="12">
        <v>10.000999999999999</v>
      </c>
      <c r="J64" s="12">
        <v>10.000999999999999</v>
      </c>
      <c r="K64" s="12">
        <v>10.000999999999999</v>
      </c>
      <c r="L64" s="12">
        <v>10</v>
      </c>
      <c r="M64" s="12">
        <v>10.000999999999999</v>
      </c>
      <c r="N64" s="12">
        <v>10.000999999999999</v>
      </c>
      <c r="O64" s="12">
        <v>10.000999999999999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3"/>
        <v>150.00000000000003</v>
      </c>
      <c r="B65" s="55" t="s">
        <v>60</v>
      </c>
      <c r="C65" s="9" t="s">
        <v>17</v>
      </c>
      <c r="D65" s="12">
        <v>12.501250000000001</v>
      </c>
      <c r="E65" s="12">
        <v>12.501250000000001</v>
      </c>
      <c r="F65" s="12">
        <v>12.501250000000001</v>
      </c>
      <c r="G65" s="12">
        <v>12.501250000000001</v>
      </c>
      <c r="H65" s="12">
        <v>12.490000000000009</v>
      </c>
      <c r="I65" s="12">
        <v>12.501250000000001</v>
      </c>
      <c r="J65" s="12">
        <v>12.5</v>
      </c>
      <c r="K65" s="12">
        <v>12.5</v>
      </c>
      <c r="L65" s="12">
        <v>12.5</v>
      </c>
      <c r="M65" s="12">
        <v>12.501250000000001</v>
      </c>
      <c r="N65" s="12">
        <v>12.501250000000001</v>
      </c>
      <c r="O65" s="12">
        <v>12.501250000000001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3"/>
        <v>1.1999999999999997E-13</v>
      </c>
      <c r="B66" s="55" t="s">
        <v>60</v>
      </c>
      <c r="C66" s="9" t="s">
        <v>28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3"/>
        <v>1.1999999999999997E-13</v>
      </c>
      <c r="B67" s="55" t="s">
        <v>60</v>
      </c>
      <c r="C67" s="9" t="s">
        <v>29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19" customFormat="1" outlineLevel="1" x14ac:dyDescent="0.25">
      <c r="A68" s="12">
        <f t="shared" si="3"/>
        <v>1.1999999999999997E-13</v>
      </c>
      <c r="B68" s="55" t="s">
        <v>60</v>
      </c>
      <c r="C68" s="9" t="s">
        <v>62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>
        <v>1E-14</v>
      </c>
      <c r="K68" s="12">
        <v>1E-14</v>
      </c>
      <c r="L68" s="12">
        <v>1E-14</v>
      </c>
      <c r="M68" s="12">
        <v>1E-14</v>
      </c>
      <c r="N68" s="12">
        <v>1E-14</v>
      </c>
      <c r="O68" s="12">
        <v>1E-14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19" customFormat="1" outlineLevel="1" x14ac:dyDescent="0.25">
      <c r="A69" s="12">
        <f t="shared" si="3"/>
        <v>1.1999999999999997E-13</v>
      </c>
      <c r="B69" s="55" t="s">
        <v>60</v>
      </c>
      <c r="C69" s="9" t="s">
        <v>63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s="19" customFormat="1" outlineLevel="1" x14ac:dyDescent="0.25">
      <c r="A70" s="12">
        <f t="shared" si="3"/>
        <v>1.1999999999999997E-13</v>
      </c>
      <c r="B70" s="55" t="s">
        <v>60</v>
      </c>
      <c r="C70" s="9" t="s">
        <v>64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3"/>
        <v>17368.0297305719</v>
      </c>
      <c r="B71" s="55" t="s">
        <v>60</v>
      </c>
      <c r="C71" s="9" t="s">
        <v>21</v>
      </c>
      <c r="D71" s="12">
        <v>3519.7997496871085</v>
      </c>
      <c r="E71" s="12">
        <v>3179.1739674593236</v>
      </c>
      <c r="F71" s="12">
        <v>3519.7997496871085</v>
      </c>
      <c r="G71" s="12">
        <v>189.83625295534864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41.912758833308487</v>
      </c>
      <c r="N71" s="12">
        <v>3406.257822277847</v>
      </c>
      <c r="O71" s="12">
        <v>3511.2494296718564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3"/>
        <v>9600</v>
      </c>
      <c r="B72" s="55" t="s">
        <v>60</v>
      </c>
      <c r="C72" s="9" t="s">
        <v>22</v>
      </c>
      <c r="D72" s="12">
        <v>3999.9999999999995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1E-14</v>
      </c>
      <c r="O72" s="12">
        <v>5600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3"/>
        <v>725.28481730579563</v>
      </c>
      <c r="B73" s="55" t="s">
        <v>60</v>
      </c>
      <c r="C73" s="9" t="s">
        <v>27</v>
      </c>
      <c r="D73" s="12">
        <v>246.60513872852957</v>
      </c>
      <c r="E73" s="12">
        <v>379.34726712146369</v>
      </c>
      <c r="F73" s="12">
        <v>99.332411455802301</v>
      </c>
      <c r="G73" s="12">
        <v>1E-14</v>
      </c>
      <c r="H73" s="12">
        <v>1E-14</v>
      </c>
      <c r="I73" s="12">
        <v>1E-14</v>
      </c>
      <c r="J73" s="12">
        <v>1E-14</v>
      </c>
      <c r="K73" s="12">
        <v>1E-14</v>
      </c>
      <c r="L73" s="12">
        <v>1E-14</v>
      </c>
      <c r="M73" s="12">
        <v>1E-14</v>
      </c>
      <c r="N73" s="12">
        <v>1E-14</v>
      </c>
      <c r="O73" s="12">
        <v>1E-14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55"/>
      <c r="C74" s="9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8"/>
      <c r="B75" s="53"/>
      <c r="C75" s="4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s="80" customFormat="1" ht="18.75" x14ac:dyDescent="0.3">
      <c r="A76" s="83" t="s">
        <v>172</v>
      </c>
      <c r="B76" s="81" t="s">
        <v>69</v>
      </c>
      <c r="C76" s="79"/>
      <c r="D76" s="84" t="s">
        <v>170</v>
      </c>
      <c r="E76" s="84" t="s">
        <v>204</v>
      </c>
      <c r="F76" s="84" t="s">
        <v>205</v>
      </c>
      <c r="G76" s="84" t="s">
        <v>206</v>
      </c>
      <c r="H76" s="84" t="s">
        <v>207</v>
      </c>
      <c r="I76" s="84" t="s">
        <v>208</v>
      </c>
      <c r="J76" s="84" t="s">
        <v>209</v>
      </c>
      <c r="K76" s="84" t="s">
        <v>210</v>
      </c>
      <c r="L76" s="84" t="s">
        <v>211</v>
      </c>
      <c r="M76" s="84" t="s">
        <v>212</v>
      </c>
      <c r="N76" s="84" t="s">
        <v>213</v>
      </c>
      <c r="O76" s="84" t="s">
        <v>214</v>
      </c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</row>
    <row r="77" spans="1:27" outlineLevel="1" x14ac:dyDescent="0.25">
      <c r="A77" s="15">
        <f t="shared" ref="A77:A105" si="4">SUM(D77:O77)</f>
        <v>4773825</v>
      </c>
      <c r="B77" s="56" t="s">
        <v>58</v>
      </c>
      <c r="C77" s="9" t="s">
        <v>0</v>
      </c>
      <c r="D77" s="15">
        <v>397818.75</v>
      </c>
      <c r="E77" s="15">
        <v>397818.75</v>
      </c>
      <c r="F77" s="15">
        <v>397818.75</v>
      </c>
      <c r="G77" s="15">
        <v>397818.75</v>
      </c>
      <c r="H77" s="15">
        <v>397818.75</v>
      </c>
      <c r="I77" s="15">
        <v>397818.75</v>
      </c>
      <c r="J77" s="15">
        <v>397818.75</v>
      </c>
      <c r="K77" s="15">
        <v>397818.75</v>
      </c>
      <c r="L77" s="15">
        <v>397818.75</v>
      </c>
      <c r="M77" s="15">
        <v>397818.75</v>
      </c>
      <c r="N77" s="15">
        <v>397818.75</v>
      </c>
      <c r="O77" s="15">
        <v>397818.75</v>
      </c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outlineLevel="1" x14ac:dyDescent="0.25">
      <c r="A78" s="15">
        <f t="shared" si="4"/>
        <v>1.1999999999999997E-13</v>
      </c>
      <c r="B78" s="56" t="s">
        <v>58</v>
      </c>
      <c r="C78" s="9" t="s">
        <v>1</v>
      </c>
      <c r="D78" s="15">
        <v>1E-14</v>
      </c>
      <c r="E78" s="15">
        <v>1E-14</v>
      </c>
      <c r="F78" s="15">
        <v>1E-14</v>
      </c>
      <c r="G78" s="15">
        <v>1E-14</v>
      </c>
      <c r="H78" s="15">
        <v>1E-14</v>
      </c>
      <c r="I78" s="15">
        <v>1E-14</v>
      </c>
      <c r="J78" s="15">
        <v>1E-14</v>
      </c>
      <c r="K78" s="15">
        <v>1E-14</v>
      </c>
      <c r="L78" s="15">
        <v>1E-14</v>
      </c>
      <c r="M78" s="15">
        <v>1E-14</v>
      </c>
      <c r="N78" s="15">
        <v>1E-14</v>
      </c>
      <c r="O78" s="15">
        <v>1E-14</v>
      </c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outlineLevel="1" x14ac:dyDescent="0.25">
      <c r="A79" s="15">
        <f t="shared" si="4"/>
        <v>1.1999999999999997E-13</v>
      </c>
      <c r="B79" s="56" t="s">
        <v>58</v>
      </c>
      <c r="C79" s="9" t="s">
        <v>2</v>
      </c>
      <c r="D79" s="15">
        <v>1E-14</v>
      </c>
      <c r="E79" s="15">
        <v>1E-14</v>
      </c>
      <c r="F79" s="15">
        <v>1E-14</v>
      </c>
      <c r="G79" s="15">
        <v>1E-14</v>
      </c>
      <c r="H79" s="15">
        <v>1E-14</v>
      </c>
      <c r="I79" s="15">
        <v>1E-14</v>
      </c>
      <c r="J79" s="15">
        <v>1E-14</v>
      </c>
      <c r="K79" s="15">
        <v>1E-14</v>
      </c>
      <c r="L79" s="15">
        <v>1E-14</v>
      </c>
      <c r="M79" s="15">
        <v>1E-14</v>
      </c>
      <c r="N79" s="15">
        <v>1E-14</v>
      </c>
      <c r="O79" s="15">
        <v>1E-14</v>
      </c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outlineLevel="1" x14ac:dyDescent="0.25">
      <c r="A80" s="15">
        <f t="shared" si="4"/>
        <v>15156224.999999996</v>
      </c>
      <c r="B80" s="56" t="s">
        <v>58</v>
      </c>
      <c r="C80" s="9" t="s">
        <v>3</v>
      </c>
      <c r="D80" s="15">
        <v>1263145.0518749999</v>
      </c>
      <c r="E80" s="15">
        <v>1263145.0518749999</v>
      </c>
      <c r="F80" s="15">
        <v>1263145.0518749999</v>
      </c>
      <c r="G80" s="15">
        <v>1263145.0518749999</v>
      </c>
      <c r="H80" s="15">
        <v>1261755.7312500011</v>
      </c>
      <c r="I80" s="15">
        <v>1263145.0518749999</v>
      </c>
      <c r="J80" s="15">
        <v>1263145.0518749999</v>
      </c>
      <c r="K80" s="15">
        <v>1263145.0518749999</v>
      </c>
      <c r="L80" s="15">
        <v>1263018.75</v>
      </c>
      <c r="M80" s="15">
        <v>1263145.0518749999</v>
      </c>
      <c r="N80" s="15">
        <v>1263145.0518749999</v>
      </c>
      <c r="O80" s="15">
        <v>1263145.0518749999</v>
      </c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outlineLevel="1" x14ac:dyDescent="0.25">
      <c r="A81" s="15">
        <f t="shared" si="4"/>
        <v>1837500</v>
      </c>
      <c r="B81" s="56" t="s">
        <v>58</v>
      </c>
      <c r="C81" s="9" t="s">
        <v>4</v>
      </c>
      <c r="D81" s="15">
        <v>153125</v>
      </c>
      <c r="E81" s="15">
        <v>153125.00000000006</v>
      </c>
      <c r="F81" s="15">
        <v>153125</v>
      </c>
      <c r="G81" s="15">
        <v>153125</v>
      </c>
      <c r="H81" s="15">
        <v>153125</v>
      </c>
      <c r="I81" s="15">
        <v>153125</v>
      </c>
      <c r="J81" s="15">
        <v>153125</v>
      </c>
      <c r="K81" s="15">
        <v>153125</v>
      </c>
      <c r="L81" s="15">
        <v>153125</v>
      </c>
      <c r="M81" s="15">
        <v>153125</v>
      </c>
      <c r="N81" s="15">
        <v>153125</v>
      </c>
      <c r="O81" s="15">
        <v>153125</v>
      </c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outlineLevel="1" x14ac:dyDescent="0.25">
      <c r="A82" s="15">
        <f t="shared" si="4"/>
        <v>1.1999999999999997E-13</v>
      </c>
      <c r="B82" s="56" t="s">
        <v>58</v>
      </c>
      <c r="C82" s="9" t="s">
        <v>5</v>
      </c>
      <c r="D82" s="15">
        <v>1E-14</v>
      </c>
      <c r="E82" s="15">
        <v>1E-14</v>
      </c>
      <c r="F82" s="15">
        <v>1E-14</v>
      </c>
      <c r="G82" s="15">
        <v>1E-14</v>
      </c>
      <c r="H82" s="15">
        <v>1E-14</v>
      </c>
      <c r="I82" s="15">
        <v>1E-14</v>
      </c>
      <c r="J82" s="15">
        <v>1E-14</v>
      </c>
      <c r="K82" s="15">
        <v>1E-14</v>
      </c>
      <c r="L82" s="15">
        <v>1E-14</v>
      </c>
      <c r="M82" s="15">
        <v>1E-14</v>
      </c>
      <c r="N82" s="15">
        <v>1E-14</v>
      </c>
      <c r="O82" s="15">
        <v>1E-14</v>
      </c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outlineLevel="1" x14ac:dyDescent="0.25">
      <c r="A83" s="15">
        <f t="shared" si="4"/>
        <v>1.1999999999999997E-13</v>
      </c>
      <c r="B83" s="56" t="s">
        <v>58</v>
      </c>
      <c r="C83" s="9" t="s">
        <v>6</v>
      </c>
      <c r="D83" s="15">
        <v>1E-14</v>
      </c>
      <c r="E83" s="15">
        <v>1E-14</v>
      </c>
      <c r="F83" s="15">
        <v>1E-14</v>
      </c>
      <c r="G83" s="15">
        <v>1E-14</v>
      </c>
      <c r="H83" s="15">
        <v>1E-14</v>
      </c>
      <c r="I83" s="15">
        <v>1E-14</v>
      </c>
      <c r="J83" s="15">
        <v>1E-14</v>
      </c>
      <c r="K83" s="15">
        <v>1E-14</v>
      </c>
      <c r="L83" s="15">
        <v>1E-14</v>
      </c>
      <c r="M83" s="15">
        <v>1E-14</v>
      </c>
      <c r="N83" s="15">
        <v>1E-14</v>
      </c>
      <c r="O83" s="15">
        <v>1E-14</v>
      </c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outlineLevel="1" x14ac:dyDescent="0.25">
      <c r="A84" s="15">
        <f t="shared" si="4"/>
        <v>4095000</v>
      </c>
      <c r="B84" s="56" t="s">
        <v>58</v>
      </c>
      <c r="C84" s="9" t="s">
        <v>7</v>
      </c>
      <c r="D84" s="15">
        <v>341250</v>
      </c>
      <c r="E84" s="15">
        <v>341250</v>
      </c>
      <c r="F84" s="15">
        <v>341250</v>
      </c>
      <c r="G84" s="15">
        <v>341250</v>
      </c>
      <c r="H84" s="15">
        <v>341250</v>
      </c>
      <c r="I84" s="15">
        <v>341250</v>
      </c>
      <c r="J84" s="15">
        <v>341250</v>
      </c>
      <c r="K84" s="15">
        <v>341250</v>
      </c>
      <c r="L84" s="15">
        <v>341250</v>
      </c>
      <c r="M84" s="15">
        <v>341250</v>
      </c>
      <c r="N84" s="15">
        <v>341250</v>
      </c>
      <c r="O84" s="15">
        <v>341250</v>
      </c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</row>
    <row r="85" spans="1:27" outlineLevel="1" x14ac:dyDescent="0.25">
      <c r="A85" s="15">
        <f t="shared" si="4"/>
        <v>1.1999999999999997E-13</v>
      </c>
      <c r="B85" s="56" t="s">
        <v>58</v>
      </c>
      <c r="C85" s="9" t="s">
        <v>8</v>
      </c>
      <c r="D85" s="15">
        <v>1E-14</v>
      </c>
      <c r="E85" s="15">
        <v>1E-14</v>
      </c>
      <c r="F85" s="15">
        <v>1E-14</v>
      </c>
      <c r="G85" s="15">
        <v>1E-14</v>
      </c>
      <c r="H85" s="15">
        <v>1E-14</v>
      </c>
      <c r="I85" s="15">
        <v>1E-14</v>
      </c>
      <c r="J85" s="15">
        <v>1E-14</v>
      </c>
      <c r="K85" s="15">
        <v>1E-14</v>
      </c>
      <c r="L85" s="15">
        <v>1E-14</v>
      </c>
      <c r="M85" s="15">
        <v>1E-14</v>
      </c>
      <c r="N85" s="15">
        <v>1E-14</v>
      </c>
      <c r="O85" s="15">
        <v>1E-14</v>
      </c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outlineLevel="1" x14ac:dyDescent="0.25">
      <c r="A86" s="15">
        <f t="shared" si="4"/>
        <v>1.1999999999999997E-13</v>
      </c>
      <c r="B86" s="56" t="s">
        <v>58</v>
      </c>
      <c r="C86" s="9" t="s">
        <v>9</v>
      </c>
      <c r="D86" s="15">
        <v>1E-14</v>
      </c>
      <c r="E86" s="15">
        <v>1E-14</v>
      </c>
      <c r="F86" s="15">
        <v>1E-14</v>
      </c>
      <c r="G86" s="15">
        <v>1E-14</v>
      </c>
      <c r="H86" s="15">
        <v>1E-14</v>
      </c>
      <c r="I86" s="15">
        <v>1E-14</v>
      </c>
      <c r="J86" s="15">
        <v>1E-14</v>
      </c>
      <c r="K86" s="15">
        <v>1E-14</v>
      </c>
      <c r="L86" s="15">
        <v>1E-14</v>
      </c>
      <c r="M86" s="15">
        <v>1E-14</v>
      </c>
      <c r="N86" s="15">
        <v>1E-14</v>
      </c>
      <c r="O86" s="15">
        <v>1E-14</v>
      </c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4"/>
        <v>2730000</v>
      </c>
      <c r="B87" s="56" t="s">
        <v>58</v>
      </c>
      <c r="C87" s="9" t="s">
        <v>10</v>
      </c>
      <c r="D87" s="15">
        <v>227522.75</v>
      </c>
      <c r="E87" s="15">
        <v>227522.75</v>
      </c>
      <c r="F87" s="15">
        <v>227522.75</v>
      </c>
      <c r="G87" s="15">
        <v>227522.75</v>
      </c>
      <c r="H87" s="15">
        <v>227318.00000000009</v>
      </c>
      <c r="I87" s="15">
        <v>227522.75</v>
      </c>
      <c r="J87" s="15">
        <v>227500</v>
      </c>
      <c r="K87" s="15">
        <v>227500</v>
      </c>
      <c r="L87" s="15">
        <v>227500</v>
      </c>
      <c r="M87" s="15">
        <v>227522.75</v>
      </c>
      <c r="N87" s="15">
        <v>227522.75</v>
      </c>
      <c r="O87" s="15">
        <v>227522.75</v>
      </c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4"/>
        <v>392499.99999999994</v>
      </c>
      <c r="B88" s="56" t="s">
        <v>58</v>
      </c>
      <c r="C88" s="9" t="s">
        <v>11</v>
      </c>
      <c r="D88" s="15">
        <v>32708.333333333332</v>
      </c>
      <c r="E88" s="15">
        <v>32708.333333333299</v>
      </c>
      <c r="F88" s="15">
        <v>32708.333333333332</v>
      </c>
      <c r="G88" s="15">
        <v>32708.333333333332</v>
      </c>
      <c r="H88" s="15">
        <v>32708.333333333332</v>
      </c>
      <c r="I88" s="15">
        <v>32708.333333333332</v>
      </c>
      <c r="J88" s="15">
        <v>32708.333333333332</v>
      </c>
      <c r="K88" s="15">
        <v>32708.333333333332</v>
      </c>
      <c r="L88" s="15">
        <v>32708.333333333332</v>
      </c>
      <c r="M88" s="15">
        <v>32708.333333333332</v>
      </c>
      <c r="N88" s="15">
        <v>32708.333333333332</v>
      </c>
      <c r="O88" s="15">
        <v>32708.333333333332</v>
      </c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4"/>
        <v>1.1999999999999997E-13</v>
      </c>
      <c r="B89" s="56" t="s">
        <v>58</v>
      </c>
      <c r="C89" s="9" t="s">
        <v>12</v>
      </c>
      <c r="D89" s="15">
        <v>1E-14</v>
      </c>
      <c r="E89" s="15">
        <v>1E-14</v>
      </c>
      <c r="F89" s="15">
        <v>1E-14</v>
      </c>
      <c r="G89" s="15">
        <v>1E-14</v>
      </c>
      <c r="H89" s="15">
        <v>1E-14</v>
      </c>
      <c r="I89" s="15">
        <v>1E-14</v>
      </c>
      <c r="J89" s="15">
        <v>1E-14</v>
      </c>
      <c r="K89" s="15">
        <v>1E-14</v>
      </c>
      <c r="L89" s="15">
        <v>1E-14</v>
      </c>
      <c r="M89" s="15">
        <v>1E-14</v>
      </c>
      <c r="N89" s="15">
        <v>1E-14</v>
      </c>
      <c r="O89" s="15">
        <v>1E-14</v>
      </c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4"/>
        <v>1.1999999999999997E-13</v>
      </c>
      <c r="B90" s="56" t="s">
        <v>58</v>
      </c>
      <c r="C90" s="9" t="s">
        <v>13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>
        <v>1E-14</v>
      </c>
      <c r="K90" s="15">
        <v>1E-14</v>
      </c>
      <c r="L90" s="15">
        <v>1E-14</v>
      </c>
      <c r="M90" s="15">
        <v>1E-14</v>
      </c>
      <c r="N90" s="15">
        <v>1E-14</v>
      </c>
      <c r="O90" s="15">
        <v>1E-14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4"/>
        <v>15999999.999999996</v>
      </c>
      <c r="B91" s="56" t="s">
        <v>58</v>
      </c>
      <c r="C91" s="9" t="s">
        <v>14</v>
      </c>
      <c r="D91" s="15">
        <v>1333466.6666666667</v>
      </c>
      <c r="E91" s="15">
        <v>1333466.6666666667</v>
      </c>
      <c r="F91" s="15">
        <v>1333466.6666666667</v>
      </c>
      <c r="G91" s="15">
        <v>1333466.6666666667</v>
      </c>
      <c r="H91" s="15">
        <v>1331999.9999999984</v>
      </c>
      <c r="I91" s="15">
        <v>1333466.6666666667</v>
      </c>
      <c r="J91" s="15">
        <v>1333466.6666666667</v>
      </c>
      <c r="K91" s="15">
        <v>1333466.6666666667</v>
      </c>
      <c r="L91" s="15">
        <v>1333333.3333333335</v>
      </c>
      <c r="M91" s="15">
        <v>1333466.6666666667</v>
      </c>
      <c r="N91" s="15">
        <v>1333466.6666666667</v>
      </c>
      <c r="O91" s="15">
        <v>1333466.6666666667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4"/>
        <v>1030000</v>
      </c>
      <c r="B92" s="56" t="s">
        <v>58</v>
      </c>
      <c r="C92" s="9" t="s">
        <v>15</v>
      </c>
      <c r="D92" s="15">
        <v>85833.333333333328</v>
      </c>
      <c r="E92" s="15">
        <v>85833.333333333241</v>
      </c>
      <c r="F92" s="15">
        <v>85833.333333333328</v>
      </c>
      <c r="G92" s="15">
        <v>85833.333333333328</v>
      </c>
      <c r="H92" s="15">
        <v>85833.333333333328</v>
      </c>
      <c r="I92" s="15">
        <v>85833.333333333328</v>
      </c>
      <c r="J92" s="15">
        <v>85833.333333333328</v>
      </c>
      <c r="K92" s="15">
        <v>85833.333333333328</v>
      </c>
      <c r="L92" s="15">
        <v>85833.333333333328</v>
      </c>
      <c r="M92" s="15">
        <v>85833.333333333328</v>
      </c>
      <c r="N92" s="15">
        <v>85833.333333333328</v>
      </c>
      <c r="O92" s="15">
        <v>85833.333333333328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4"/>
        <v>1.1999999999999997E-13</v>
      </c>
      <c r="B93" s="56" t="s">
        <v>58</v>
      </c>
      <c r="C93" s="9" t="s">
        <v>16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>
        <v>1E-14</v>
      </c>
      <c r="K93" s="15">
        <v>1E-14</v>
      </c>
      <c r="L93" s="15">
        <v>1E-14</v>
      </c>
      <c r="M93" s="15">
        <v>1E-14</v>
      </c>
      <c r="N93" s="15">
        <v>1E-14</v>
      </c>
      <c r="O93" s="15">
        <v>1E-14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4"/>
        <v>1.1999999999999997E-13</v>
      </c>
      <c r="B94" s="56" t="s">
        <v>58</v>
      </c>
      <c r="C94" s="9" t="s">
        <v>18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>
        <v>1E-14</v>
      </c>
      <c r="K94" s="15">
        <v>1E-14</v>
      </c>
      <c r="L94" s="15">
        <v>1E-14</v>
      </c>
      <c r="M94" s="15">
        <v>1E-14</v>
      </c>
      <c r="N94" s="15">
        <v>1E-14</v>
      </c>
      <c r="O94" s="15">
        <v>1E-14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4"/>
        <v>1.1999999999999997E-13</v>
      </c>
      <c r="B95" s="56" t="s">
        <v>58</v>
      </c>
      <c r="C95" s="9" t="s">
        <v>19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4"/>
        <v>82199.999999999985</v>
      </c>
      <c r="B96" s="56" t="s">
        <v>58</v>
      </c>
      <c r="C96" s="9" t="s">
        <v>20</v>
      </c>
      <c r="D96" s="15">
        <v>6850.6849999999995</v>
      </c>
      <c r="E96" s="15">
        <v>6850.6849999999995</v>
      </c>
      <c r="F96" s="15">
        <v>6850.6849999999995</v>
      </c>
      <c r="G96" s="15">
        <v>6850.6849999999995</v>
      </c>
      <c r="H96" s="15">
        <v>6843.1499999999915</v>
      </c>
      <c r="I96" s="15">
        <v>6850.6849999999995</v>
      </c>
      <c r="J96" s="15">
        <v>6850.6849999999995</v>
      </c>
      <c r="K96" s="15">
        <v>6850.6849999999995</v>
      </c>
      <c r="L96" s="15">
        <v>6850</v>
      </c>
      <c r="M96" s="15">
        <v>6850.6849999999995</v>
      </c>
      <c r="N96" s="15">
        <v>6850.6849999999995</v>
      </c>
      <c r="O96" s="15">
        <v>6850.6849999999995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4"/>
        <v>-23250</v>
      </c>
      <c r="B97" s="56" t="s">
        <v>58</v>
      </c>
      <c r="C97" s="9" t="s">
        <v>17</v>
      </c>
      <c r="D97" s="15">
        <v>-1937.6937500000001</v>
      </c>
      <c r="E97" s="15">
        <v>-1937.6937500000001</v>
      </c>
      <c r="F97" s="15">
        <v>-1937.6937500000001</v>
      </c>
      <c r="G97" s="15">
        <v>-1937.6937500000001</v>
      </c>
      <c r="H97" s="15">
        <v>-1935.9500000000014</v>
      </c>
      <c r="I97" s="15">
        <v>-1937.6937500000001</v>
      </c>
      <c r="J97" s="15">
        <v>-1937.5</v>
      </c>
      <c r="K97" s="15">
        <v>-1937.5</v>
      </c>
      <c r="L97" s="15">
        <v>-1937.5</v>
      </c>
      <c r="M97" s="15">
        <v>-1937.6937500000001</v>
      </c>
      <c r="N97" s="15">
        <v>-1937.6937500000001</v>
      </c>
      <c r="O97" s="15">
        <v>-1937.6937500000001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4"/>
        <v>1.1999999999999997E-13</v>
      </c>
      <c r="B98" s="56" t="s">
        <v>58</v>
      </c>
      <c r="C98" s="9" t="s">
        <v>28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4"/>
        <v>1.1999999999999997E-13</v>
      </c>
      <c r="B99" s="56" t="s">
        <v>58</v>
      </c>
      <c r="C99" s="9" t="s">
        <v>29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4"/>
        <v>1.1999999999999997E-13</v>
      </c>
      <c r="B100" s="56" t="s">
        <v>58</v>
      </c>
      <c r="C100" s="9" t="s">
        <v>62</v>
      </c>
      <c r="D100" s="15">
        <v>1E-14</v>
      </c>
      <c r="E100" s="15">
        <v>1E-14</v>
      </c>
      <c r="F100" s="15">
        <v>1E-14</v>
      </c>
      <c r="G100" s="15">
        <v>1E-14</v>
      </c>
      <c r="H100" s="15">
        <v>1E-14</v>
      </c>
      <c r="I100" s="15">
        <v>1E-14</v>
      </c>
      <c r="J100" s="15">
        <v>1E-14</v>
      </c>
      <c r="K100" s="15">
        <v>1E-14</v>
      </c>
      <c r="L100" s="15">
        <v>1E-14</v>
      </c>
      <c r="M100" s="15">
        <v>1E-14</v>
      </c>
      <c r="N100" s="15">
        <v>1E-14</v>
      </c>
      <c r="O100" s="15">
        <v>1E-14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4"/>
        <v>1.1999999999999997E-13</v>
      </c>
      <c r="B101" s="56" t="s">
        <v>58</v>
      </c>
      <c r="C101" s="9" t="s">
        <v>63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4"/>
        <v>1.1999999999999997E-13</v>
      </c>
      <c r="B102" s="56" t="s">
        <v>58</v>
      </c>
      <c r="C102" s="9" t="s">
        <v>64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4"/>
        <v>-8162973.9733687937</v>
      </c>
      <c r="B103" s="56" t="s">
        <v>58</v>
      </c>
      <c r="C103" s="9" t="s">
        <v>21</v>
      </c>
      <c r="D103" s="15">
        <v>-1654305.882352941</v>
      </c>
      <c r="E103" s="15">
        <v>-1494211.7647058822</v>
      </c>
      <c r="F103" s="15">
        <v>-1654305.882352941</v>
      </c>
      <c r="G103" s="15">
        <v>-89223.038889013857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-19698.99665165499</v>
      </c>
      <c r="N103" s="15">
        <v>-1600941.1764705882</v>
      </c>
      <c r="O103" s="15">
        <v>-1650287.2319457724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9" customFormat="1" outlineLevel="1" x14ac:dyDescent="0.25">
      <c r="A104" s="15">
        <f t="shared" si="4"/>
        <v>-1814400</v>
      </c>
      <c r="B104" s="56" t="s">
        <v>58</v>
      </c>
      <c r="C104" s="9" t="s">
        <v>22</v>
      </c>
      <c r="D104" s="15">
        <v>-755999.99999999988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>
        <v>1E-14</v>
      </c>
      <c r="K104" s="15">
        <v>1E-14</v>
      </c>
      <c r="L104" s="15">
        <v>1E-14</v>
      </c>
      <c r="M104" s="15">
        <v>1E-14</v>
      </c>
      <c r="N104" s="15">
        <v>1E-14</v>
      </c>
      <c r="O104" s="15">
        <v>-1058400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s="19" customFormat="1" outlineLevel="1" x14ac:dyDescent="0.25">
      <c r="A105" s="15">
        <f t="shared" si="4"/>
        <v>-3626424.0865289778</v>
      </c>
      <c r="B105" s="56" t="s">
        <v>58</v>
      </c>
      <c r="C105" s="9" t="s">
        <v>27</v>
      </c>
      <c r="D105" s="15">
        <v>-1233025.6936426479</v>
      </c>
      <c r="E105" s="15">
        <v>-1896736.3356073184</v>
      </c>
      <c r="F105" s="15">
        <v>-496662.05727901153</v>
      </c>
      <c r="G105" s="15">
        <v>1E-14</v>
      </c>
      <c r="H105" s="15">
        <v>1E-14</v>
      </c>
      <c r="I105" s="15">
        <v>1E-14</v>
      </c>
      <c r="J105" s="15">
        <v>1E-14</v>
      </c>
      <c r="K105" s="15">
        <v>1E-14</v>
      </c>
      <c r="L105" s="15">
        <v>1E-14</v>
      </c>
      <c r="M105" s="15">
        <v>1E-14</v>
      </c>
      <c r="N105" s="15">
        <v>1E-14</v>
      </c>
      <c r="O105" s="15">
        <v>1E-14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s="19" customFormat="1" outlineLevel="1" x14ac:dyDescent="0.25">
      <c r="B106" s="54"/>
      <c r="C106" s="7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s="19" customFormat="1" outlineLevel="1" x14ac:dyDescent="0.25">
      <c r="B107" s="54"/>
      <c r="C107" s="7"/>
    </row>
    <row r="108" spans="1:27" s="80" customFormat="1" ht="18.75" x14ac:dyDescent="0.3">
      <c r="A108" s="83" t="s">
        <v>30</v>
      </c>
      <c r="B108" s="79"/>
      <c r="C108" s="82"/>
      <c r="D108" s="84" t="s">
        <v>170</v>
      </c>
      <c r="E108" s="84" t="s">
        <v>204</v>
      </c>
      <c r="F108" s="84" t="s">
        <v>205</v>
      </c>
      <c r="G108" s="84" t="s">
        <v>206</v>
      </c>
      <c r="H108" s="84" t="s">
        <v>207</v>
      </c>
      <c r="I108" s="84" t="s">
        <v>208</v>
      </c>
      <c r="J108" s="84" t="s">
        <v>209</v>
      </c>
      <c r="K108" s="84" t="s">
        <v>210</v>
      </c>
      <c r="L108" s="84" t="s">
        <v>211</v>
      </c>
      <c r="M108" s="84" t="s">
        <v>212</v>
      </c>
      <c r="N108" s="84" t="s">
        <v>213</v>
      </c>
      <c r="O108" s="84" t="s">
        <v>214</v>
      </c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</row>
    <row r="109" spans="1:27" outlineLevel="1" x14ac:dyDescent="0.25">
      <c r="C109" s="6" t="s">
        <v>122</v>
      </c>
      <c r="D109" s="95">
        <v>1</v>
      </c>
      <c r="E109" s="95">
        <v>1</v>
      </c>
      <c r="F109" s="95">
        <v>1</v>
      </c>
      <c r="G109" s="95">
        <v>0.49532383103205552</v>
      </c>
      <c r="H109" s="95">
        <v>0.40958533184423318</v>
      </c>
      <c r="I109" s="95">
        <v>0.40918055606995896</v>
      </c>
      <c r="J109" s="95">
        <v>0.40365217391304348</v>
      </c>
      <c r="K109" s="95">
        <v>0.40365217391304348</v>
      </c>
      <c r="L109" s="95">
        <v>0.40918106101270357</v>
      </c>
      <c r="M109" s="95">
        <v>0.4958084989991407</v>
      </c>
      <c r="N109" s="95">
        <v>0.71246492726890998</v>
      </c>
      <c r="O109" s="95">
        <v>0.4958084989991407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outlineLevel="1" x14ac:dyDescent="0.25">
      <c r="C110" s="6" t="s">
        <v>123</v>
      </c>
      <c r="D110" s="95">
        <v>0.57209759952563233</v>
      </c>
      <c r="E110" s="95">
        <v>0.66855513402682698</v>
      </c>
      <c r="F110" s="95">
        <v>0.57209759952563233</v>
      </c>
      <c r="G110" s="95">
        <v>0.76772756260310915</v>
      </c>
      <c r="H110" s="95">
        <v>0.65759264348540747</v>
      </c>
      <c r="I110" s="95">
        <v>0.67862196857764323</v>
      </c>
      <c r="J110" s="95">
        <v>0.73793201081256299</v>
      </c>
      <c r="K110" s="95">
        <v>0.73838184605363133</v>
      </c>
      <c r="L110" s="95">
        <v>0.69166736450885946</v>
      </c>
      <c r="M110" s="95">
        <v>0.7375594970631445</v>
      </c>
      <c r="N110" s="95">
        <v>0.69646777788757064</v>
      </c>
      <c r="O110" s="95">
        <v>0.7375594970631445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outlineLevel="1" x14ac:dyDescent="0.25">
      <c r="C111" s="6" t="s">
        <v>124</v>
      </c>
      <c r="D111" s="95">
        <v>1</v>
      </c>
      <c r="E111" s="95">
        <v>1</v>
      </c>
      <c r="F111" s="95">
        <v>1</v>
      </c>
      <c r="G111" s="95">
        <v>5.5731616002103017E-2</v>
      </c>
      <c r="H111" s="95">
        <v>1E-14</v>
      </c>
      <c r="I111" s="95">
        <v>1E-14</v>
      </c>
      <c r="J111" s="95">
        <v>1E-14</v>
      </c>
      <c r="K111" s="95">
        <v>1E-14</v>
      </c>
      <c r="L111" s="95">
        <v>1E-14</v>
      </c>
      <c r="M111" s="95">
        <v>1.1907711180738139E-2</v>
      </c>
      <c r="N111" s="95">
        <v>1</v>
      </c>
      <c r="O111" s="95">
        <v>0.99757079361801415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outlineLevel="1" x14ac:dyDescent="0.25">
      <c r="C112" s="6" t="s">
        <v>73</v>
      </c>
      <c r="D112" s="95">
        <v>1</v>
      </c>
      <c r="E112" s="95">
        <v>1E-14</v>
      </c>
      <c r="F112" s="95">
        <v>1E-14</v>
      </c>
      <c r="G112" s="95">
        <v>1E-14</v>
      </c>
      <c r="H112" s="95">
        <v>1E-14</v>
      </c>
      <c r="I112" s="95">
        <v>1E-14</v>
      </c>
      <c r="J112" s="95">
        <v>1E-14</v>
      </c>
      <c r="K112" s="95">
        <v>1E-14</v>
      </c>
      <c r="L112" s="95">
        <v>1E-14</v>
      </c>
      <c r="M112" s="95">
        <v>1E-14</v>
      </c>
      <c r="N112" s="95">
        <v>1E-14</v>
      </c>
      <c r="O112" s="95">
        <v>1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outlineLevel="1" x14ac:dyDescent="0.25">
      <c r="C113" s="6" t="s">
        <v>125</v>
      </c>
      <c r="D113" s="95">
        <v>1E-14</v>
      </c>
      <c r="E113" s="95">
        <v>1E-14</v>
      </c>
      <c r="F113" s="95">
        <v>1E-14</v>
      </c>
      <c r="G113" s="95">
        <v>1E-14</v>
      </c>
      <c r="H113" s="95">
        <v>0.37664713694867996</v>
      </c>
      <c r="I113" s="95">
        <v>0.88602165655412468</v>
      </c>
      <c r="J113" s="95">
        <v>0.80525803308667665</v>
      </c>
      <c r="K113" s="95">
        <v>0.85090059292018339</v>
      </c>
      <c r="L113" s="95">
        <v>0.86407715311886968</v>
      </c>
      <c r="M113" s="95">
        <v>1E-14</v>
      </c>
      <c r="N113" s="95">
        <v>1E-14</v>
      </c>
      <c r="O113" s="95">
        <v>1E-14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outlineLevel="1" x14ac:dyDescent="0.25">
      <c r="C114" s="6" t="s">
        <v>126</v>
      </c>
      <c r="D114" s="95">
        <v>4.0511596864005753E-2</v>
      </c>
      <c r="E114" s="95">
        <v>6.8995038662964622E-2</v>
      </c>
      <c r="F114" s="95">
        <v>1.6318048476908979E-2</v>
      </c>
      <c r="G114" s="95">
        <v>1E-14</v>
      </c>
      <c r="H114" s="95">
        <v>1E-14</v>
      </c>
      <c r="I114" s="95">
        <v>1E-14</v>
      </c>
      <c r="J114" s="95">
        <v>1E-14</v>
      </c>
      <c r="K114" s="95">
        <v>1E-14</v>
      </c>
      <c r="L114" s="95">
        <v>1E-14</v>
      </c>
      <c r="M114" s="95">
        <v>1E-14</v>
      </c>
      <c r="N114" s="95">
        <v>1E-14</v>
      </c>
      <c r="O114" s="95">
        <v>1E-14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7" spans="1:27" s="80" customFormat="1" ht="18.75" x14ac:dyDescent="0.3">
      <c r="A117" s="83" t="s">
        <v>143</v>
      </c>
      <c r="B117" s="79"/>
      <c r="C117" s="116" t="s">
        <v>142</v>
      </c>
      <c r="D117" s="84" t="s">
        <v>170</v>
      </c>
      <c r="E117" s="84" t="s">
        <v>204</v>
      </c>
      <c r="F117" s="84" t="s">
        <v>205</v>
      </c>
      <c r="G117" s="84" t="s">
        <v>206</v>
      </c>
      <c r="H117" s="84" t="s">
        <v>207</v>
      </c>
      <c r="I117" s="84" t="s">
        <v>208</v>
      </c>
      <c r="J117" s="84" t="s">
        <v>209</v>
      </c>
      <c r="K117" s="84" t="s">
        <v>210</v>
      </c>
      <c r="L117" s="84" t="s">
        <v>211</v>
      </c>
      <c r="M117" s="84" t="s">
        <v>212</v>
      </c>
      <c r="N117" s="84" t="s">
        <v>213</v>
      </c>
      <c r="O117" s="84" t="s">
        <v>214</v>
      </c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</row>
    <row r="118" spans="1:27" s="19" customFormat="1" x14ac:dyDescent="0.25">
      <c r="A118" s="114">
        <f>MAX(D118:AA118)</f>
        <v>1E-14</v>
      </c>
      <c r="B118" s="103"/>
      <c r="C118" s="108" t="s">
        <v>105</v>
      </c>
      <c r="D118" s="101">
        <v>1E-14</v>
      </c>
      <c r="E118" s="99">
        <v>1E-14</v>
      </c>
      <c r="F118" s="99">
        <v>1E-14</v>
      </c>
      <c r="G118" s="99">
        <v>1E-14</v>
      </c>
      <c r="H118" s="99">
        <v>1E-14</v>
      </c>
      <c r="I118" s="99">
        <v>1E-14</v>
      </c>
      <c r="J118" s="99">
        <v>1E-14</v>
      </c>
      <c r="K118" s="99">
        <v>1E-14</v>
      </c>
      <c r="L118" s="99">
        <v>1E-14</v>
      </c>
      <c r="M118" s="99">
        <v>1E-14</v>
      </c>
      <c r="N118" s="99">
        <v>1E-14</v>
      </c>
      <c r="O118" s="99">
        <v>1E-14</v>
      </c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</row>
    <row r="119" spans="1:27" s="19" customFormat="1" x14ac:dyDescent="0.25">
      <c r="A119" s="114">
        <f t="shared" ref="A119:A124" si="5">MAX(D119:AA119)</f>
        <v>1E-14</v>
      </c>
      <c r="B119" s="104"/>
      <c r="C119" s="109" t="s">
        <v>106</v>
      </c>
      <c r="D119" s="102">
        <v>1E-14</v>
      </c>
      <c r="E119" s="100">
        <v>1E-14</v>
      </c>
      <c r="F119" s="100">
        <v>1E-14</v>
      </c>
      <c r="G119" s="100">
        <v>1E-14</v>
      </c>
      <c r="H119" s="100">
        <v>1E-14</v>
      </c>
      <c r="I119" s="100">
        <v>1E-14</v>
      </c>
      <c r="J119" s="100">
        <v>1E-14</v>
      </c>
      <c r="K119" s="100">
        <v>1E-14</v>
      </c>
      <c r="L119" s="100">
        <v>1E-14</v>
      </c>
      <c r="M119" s="100">
        <v>1E-14</v>
      </c>
      <c r="N119" s="100">
        <v>1E-14</v>
      </c>
      <c r="O119" s="100">
        <v>1E-14</v>
      </c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</row>
    <row r="120" spans="1:27" s="19" customFormat="1" x14ac:dyDescent="0.25">
      <c r="A120" s="114">
        <f t="shared" si="5"/>
        <v>0</v>
      </c>
      <c r="B120" s="104"/>
      <c r="C120" s="109"/>
      <c r="D120" s="102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</row>
    <row r="121" spans="1:27" s="19" customFormat="1" x14ac:dyDescent="0.25">
      <c r="A121" s="114">
        <f t="shared" si="5"/>
        <v>0</v>
      </c>
      <c r="B121" s="104"/>
      <c r="C121" s="109"/>
      <c r="D121" s="102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</row>
    <row r="122" spans="1:27" s="19" customFormat="1" x14ac:dyDescent="0.25">
      <c r="A122" s="114">
        <f t="shared" si="5"/>
        <v>0</v>
      </c>
      <c r="B122" s="104"/>
      <c r="C122" s="109"/>
      <c r="D122" s="102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</row>
    <row r="123" spans="1:27" s="19" customFormat="1" x14ac:dyDescent="0.25">
      <c r="A123" s="114">
        <f t="shared" si="5"/>
        <v>0</v>
      </c>
      <c r="B123" s="104"/>
      <c r="C123" s="109"/>
      <c r="D123" s="102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</row>
    <row r="124" spans="1:27" s="19" customFormat="1" x14ac:dyDescent="0.25">
      <c r="A124" s="114">
        <f t="shared" si="5"/>
        <v>0</v>
      </c>
      <c r="B124" s="105"/>
      <c r="C124" s="117"/>
      <c r="D124" s="102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</row>
    <row r="125" spans="1:27" s="80" customFormat="1" ht="18.75" x14ac:dyDescent="0.3">
      <c r="A125" s="83" t="s">
        <v>144</v>
      </c>
      <c r="B125" s="79" t="s">
        <v>142</v>
      </c>
      <c r="C125" s="115" t="s">
        <v>145</v>
      </c>
      <c r="D125" s="84" t="s">
        <v>170</v>
      </c>
      <c r="E125" s="84" t="s">
        <v>204</v>
      </c>
      <c r="F125" s="84" t="s">
        <v>205</v>
      </c>
      <c r="G125" s="84" t="s">
        <v>206</v>
      </c>
      <c r="H125" s="84" t="s">
        <v>207</v>
      </c>
      <c r="I125" s="84" t="s">
        <v>208</v>
      </c>
      <c r="J125" s="84" t="s">
        <v>209</v>
      </c>
      <c r="K125" s="84" t="s">
        <v>210</v>
      </c>
      <c r="L125" s="84" t="s">
        <v>211</v>
      </c>
      <c r="M125" s="84" t="s">
        <v>212</v>
      </c>
      <c r="N125" s="84" t="s">
        <v>213</v>
      </c>
      <c r="O125" s="84" t="s">
        <v>214</v>
      </c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</row>
    <row r="126" spans="1:27" x14ac:dyDescent="0.25">
      <c r="A126" s="114">
        <f>MAX(D126:AA126)</f>
        <v>1E-14</v>
      </c>
      <c r="B126" s="103" t="s">
        <v>105</v>
      </c>
      <c r="C126" s="108" t="s">
        <v>0</v>
      </c>
      <c r="D126" s="99">
        <v>1E-14</v>
      </c>
      <c r="E126" s="99">
        <v>1E-14</v>
      </c>
      <c r="F126" s="99">
        <v>1E-14</v>
      </c>
      <c r="G126" s="99">
        <v>1E-14</v>
      </c>
      <c r="H126" s="99">
        <v>1E-14</v>
      </c>
      <c r="I126" s="99">
        <v>1E-14</v>
      </c>
      <c r="J126" s="99">
        <v>1E-14</v>
      </c>
      <c r="K126" s="99">
        <v>1E-14</v>
      </c>
      <c r="L126" s="99">
        <v>1E-14</v>
      </c>
      <c r="M126" s="99">
        <v>1E-14</v>
      </c>
      <c r="N126" s="99">
        <v>1E-14</v>
      </c>
      <c r="O126" s="99">
        <v>1E-14</v>
      </c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</row>
    <row r="127" spans="1:27" x14ac:dyDescent="0.25">
      <c r="A127" s="114">
        <f t="shared" ref="A127:A183" si="6">MAX(D127:AA127)</f>
        <v>1E-14</v>
      </c>
      <c r="B127" s="104" t="s">
        <v>105</v>
      </c>
      <c r="C127" s="109" t="s">
        <v>10</v>
      </c>
      <c r="D127" s="100">
        <v>1E-14</v>
      </c>
      <c r="E127" s="100">
        <v>1E-14</v>
      </c>
      <c r="F127" s="100">
        <v>1E-14</v>
      </c>
      <c r="G127" s="100">
        <v>1E-14</v>
      </c>
      <c r="H127" s="100">
        <v>1E-14</v>
      </c>
      <c r="I127" s="100">
        <v>1E-14</v>
      </c>
      <c r="J127" s="100">
        <v>1E-14</v>
      </c>
      <c r="K127" s="100">
        <v>1E-14</v>
      </c>
      <c r="L127" s="100">
        <v>1E-14</v>
      </c>
      <c r="M127" s="100">
        <v>1E-14</v>
      </c>
      <c r="N127" s="100">
        <v>1E-14</v>
      </c>
      <c r="O127" s="100">
        <v>1E-14</v>
      </c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</row>
    <row r="128" spans="1:27" x14ac:dyDescent="0.25">
      <c r="A128" s="114">
        <f t="shared" si="6"/>
        <v>1E-14</v>
      </c>
      <c r="B128" s="104" t="s">
        <v>105</v>
      </c>
      <c r="C128" s="109" t="s">
        <v>18</v>
      </c>
      <c r="D128" s="100">
        <v>1E-14</v>
      </c>
      <c r="E128" s="100">
        <v>1E-14</v>
      </c>
      <c r="F128" s="100">
        <v>1E-14</v>
      </c>
      <c r="G128" s="100">
        <v>1E-14</v>
      </c>
      <c r="H128" s="100">
        <v>1E-14</v>
      </c>
      <c r="I128" s="100">
        <v>1E-14</v>
      </c>
      <c r="J128" s="100">
        <v>1E-14</v>
      </c>
      <c r="K128" s="100">
        <v>1E-14</v>
      </c>
      <c r="L128" s="100">
        <v>1E-14</v>
      </c>
      <c r="M128" s="100">
        <v>1E-14</v>
      </c>
      <c r="N128" s="100">
        <v>1E-14</v>
      </c>
      <c r="O128" s="100">
        <v>1E-14</v>
      </c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</row>
    <row r="129" spans="1:27" x14ac:dyDescent="0.25">
      <c r="A129" s="114">
        <f t="shared" si="6"/>
        <v>1E-14</v>
      </c>
      <c r="B129" s="104" t="s">
        <v>105</v>
      </c>
      <c r="C129" s="109" t="s">
        <v>17</v>
      </c>
      <c r="D129" s="100">
        <v>1E-14</v>
      </c>
      <c r="E129" s="100">
        <v>1E-14</v>
      </c>
      <c r="F129" s="100">
        <v>1E-14</v>
      </c>
      <c r="G129" s="100">
        <v>1E-14</v>
      </c>
      <c r="H129" s="100">
        <v>1E-14</v>
      </c>
      <c r="I129" s="100">
        <v>1E-14</v>
      </c>
      <c r="J129" s="100">
        <v>1E-14</v>
      </c>
      <c r="K129" s="100">
        <v>1E-14</v>
      </c>
      <c r="L129" s="100">
        <v>1E-14</v>
      </c>
      <c r="M129" s="100">
        <v>1E-14</v>
      </c>
      <c r="N129" s="100">
        <v>1E-14</v>
      </c>
      <c r="O129" s="100">
        <v>1E-14</v>
      </c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</row>
    <row r="130" spans="1:27" x14ac:dyDescent="0.25">
      <c r="A130" s="114">
        <f t="shared" si="6"/>
        <v>1E-14</v>
      </c>
      <c r="B130" s="104" t="s">
        <v>106</v>
      </c>
      <c r="C130" s="109" t="s">
        <v>0</v>
      </c>
      <c r="D130" s="100">
        <v>1E-14</v>
      </c>
      <c r="E130" s="100">
        <v>1E-14</v>
      </c>
      <c r="F130" s="100">
        <v>1E-14</v>
      </c>
      <c r="G130" s="100">
        <v>1E-14</v>
      </c>
      <c r="H130" s="100">
        <v>1E-14</v>
      </c>
      <c r="I130" s="100">
        <v>1E-14</v>
      </c>
      <c r="J130" s="100">
        <v>1E-14</v>
      </c>
      <c r="K130" s="100">
        <v>1E-14</v>
      </c>
      <c r="L130" s="100">
        <v>1E-14</v>
      </c>
      <c r="M130" s="100">
        <v>1E-14</v>
      </c>
      <c r="N130" s="100">
        <v>1E-14</v>
      </c>
      <c r="O130" s="100">
        <v>1E-14</v>
      </c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</row>
    <row r="131" spans="1:27" x14ac:dyDescent="0.25">
      <c r="A131" s="114">
        <f t="shared" si="6"/>
        <v>1E-14</v>
      </c>
      <c r="B131" s="104" t="s">
        <v>106</v>
      </c>
      <c r="C131" s="109" t="s">
        <v>10</v>
      </c>
      <c r="D131" s="100">
        <v>1E-14</v>
      </c>
      <c r="E131" s="100">
        <v>1E-14</v>
      </c>
      <c r="F131" s="100">
        <v>1E-14</v>
      </c>
      <c r="G131" s="100">
        <v>1E-14</v>
      </c>
      <c r="H131" s="100">
        <v>1E-14</v>
      </c>
      <c r="I131" s="100">
        <v>1E-14</v>
      </c>
      <c r="J131" s="100">
        <v>1E-14</v>
      </c>
      <c r="K131" s="100">
        <v>1E-14</v>
      </c>
      <c r="L131" s="100">
        <v>1E-14</v>
      </c>
      <c r="M131" s="100">
        <v>1E-14</v>
      </c>
      <c r="N131" s="100">
        <v>1E-14</v>
      </c>
      <c r="O131" s="100">
        <v>1E-14</v>
      </c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</row>
    <row r="132" spans="1:27" x14ac:dyDescent="0.25">
      <c r="A132" s="114">
        <f t="shared" si="6"/>
        <v>1E-14</v>
      </c>
      <c r="B132" s="106" t="s">
        <v>106</v>
      </c>
      <c r="C132" s="110" t="s">
        <v>18</v>
      </c>
      <c r="D132" s="100">
        <v>1E-14</v>
      </c>
      <c r="E132" s="100">
        <v>1E-14</v>
      </c>
      <c r="F132" s="100">
        <v>1E-14</v>
      </c>
      <c r="G132" s="100">
        <v>1E-14</v>
      </c>
      <c r="H132" s="100">
        <v>1E-14</v>
      </c>
      <c r="I132" s="100">
        <v>1E-14</v>
      </c>
      <c r="J132" s="100">
        <v>1E-14</v>
      </c>
      <c r="K132" s="100">
        <v>1E-14</v>
      </c>
      <c r="L132" s="100">
        <v>1E-14</v>
      </c>
      <c r="M132" s="100">
        <v>1E-14</v>
      </c>
      <c r="N132" s="100">
        <v>1E-14</v>
      </c>
      <c r="O132" s="100">
        <v>1E-14</v>
      </c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</row>
    <row r="133" spans="1:27" x14ac:dyDescent="0.25">
      <c r="A133" s="114">
        <f t="shared" si="6"/>
        <v>1E-14</v>
      </c>
      <c r="B133" s="112" t="s">
        <v>106</v>
      </c>
      <c r="C133" s="113" t="s">
        <v>17</v>
      </c>
      <c r="D133" s="100">
        <v>1E-14</v>
      </c>
      <c r="E133" s="100">
        <v>1E-14</v>
      </c>
      <c r="F133" s="100">
        <v>1E-14</v>
      </c>
      <c r="G133" s="100">
        <v>1E-14</v>
      </c>
      <c r="H133" s="100">
        <v>1E-14</v>
      </c>
      <c r="I133" s="100">
        <v>1E-14</v>
      </c>
      <c r="J133" s="100">
        <v>1E-14</v>
      </c>
      <c r="K133" s="100">
        <v>1E-14</v>
      </c>
      <c r="L133" s="100">
        <v>1E-14</v>
      </c>
      <c r="M133" s="100">
        <v>1E-14</v>
      </c>
      <c r="N133" s="100">
        <v>1E-14</v>
      </c>
      <c r="O133" s="100">
        <v>1E-14</v>
      </c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</row>
    <row r="134" spans="1:27" x14ac:dyDescent="0.25">
      <c r="A134" s="114">
        <f t="shared" si="6"/>
        <v>0</v>
      </c>
      <c r="B134" s="106"/>
      <c r="C134" s="11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</row>
    <row r="135" spans="1:27" x14ac:dyDescent="0.25">
      <c r="A135" s="114">
        <f t="shared" si="6"/>
        <v>0</v>
      </c>
      <c r="B135" s="106"/>
      <c r="C135" s="11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</row>
    <row r="136" spans="1:27" x14ac:dyDescent="0.25">
      <c r="A136" s="114">
        <f t="shared" si="6"/>
        <v>0</v>
      </c>
      <c r="B136" s="106"/>
      <c r="C136" s="11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</row>
    <row r="137" spans="1:27" x14ac:dyDescent="0.25">
      <c r="A137" s="114">
        <f t="shared" si="6"/>
        <v>0</v>
      </c>
      <c r="B137" s="106"/>
      <c r="C137" s="11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</row>
    <row r="138" spans="1:27" x14ac:dyDescent="0.25">
      <c r="A138" s="114">
        <f t="shared" si="6"/>
        <v>0</v>
      </c>
      <c r="B138" s="106"/>
      <c r="C138" s="11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</row>
    <row r="139" spans="1:27" x14ac:dyDescent="0.25">
      <c r="A139" s="114">
        <f t="shared" si="6"/>
        <v>0</v>
      </c>
      <c r="B139" s="106"/>
      <c r="C139" s="11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</row>
    <row r="140" spans="1:27" x14ac:dyDescent="0.25">
      <c r="A140" s="114">
        <f t="shared" si="6"/>
        <v>0</v>
      </c>
      <c r="B140" s="106"/>
      <c r="C140" s="11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</row>
    <row r="141" spans="1:27" x14ac:dyDescent="0.25">
      <c r="A141" s="114">
        <f t="shared" si="6"/>
        <v>0</v>
      </c>
      <c r="B141" s="106"/>
      <c r="C141" s="11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</row>
    <row r="142" spans="1:27" x14ac:dyDescent="0.25">
      <c r="A142" s="114">
        <f t="shared" si="6"/>
        <v>0</v>
      </c>
      <c r="B142" s="106"/>
      <c r="C142" s="11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</row>
    <row r="143" spans="1:27" x14ac:dyDescent="0.25">
      <c r="A143" s="114">
        <f t="shared" si="6"/>
        <v>0</v>
      </c>
      <c r="B143" s="106"/>
      <c r="C143" s="11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</row>
    <row r="144" spans="1:27" x14ac:dyDescent="0.25">
      <c r="A144" s="114">
        <f t="shared" si="6"/>
        <v>0</v>
      </c>
      <c r="B144" s="106"/>
      <c r="C144" s="11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</row>
    <row r="145" spans="1:27" x14ac:dyDescent="0.25">
      <c r="A145" s="114">
        <f t="shared" si="6"/>
        <v>0</v>
      </c>
      <c r="B145" s="106"/>
      <c r="C145" s="11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</row>
    <row r="146" spans="1:27" x14ac:dyDescent="0.25">
      <c r="A146" s="114">
        <f t="shared" si="6"/>
        <v>0</v>
      </c>
      <c r="B146" s="106"/>
      <c r="C146" s="11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</row>
    <row r="147" spans="1:27" x14ac:dyDescent="0.25">
      <c r="A147" s="114">
        <f t="shared" si="6"/>
        <v>0</v>
      </c>
      <c r="B147" s="106"/>
      <c r="C147" s="11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</row>
    <row r="148" spans="1:27" x14ac:dyDescent="0.25">
      <c r="A148" s="114">
        <f t="shared" si="6"/>
        <v>0</v>
      </c>
      <c r="B148" s="106"/>
      <c r="C148" s="11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</row>
    <row r="149" spans="1:27" x14ac:dyDescent="0.25">
      <c r="A149" s="114">
        <f t="shared" si="6"/>
        <v>0</v>
      </c>
      <c r="B149" s="106"/>
      <c r="C149" s="11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</row>
    <row r="150" spans="1:27" x14ac:dyDescent="0.25">
      <c r="A150" s="114">
        <f t="shared" si="6"/>
        <v>0</v>
      </c>
      <c r="B150" s="106"/>
      <c r="C150" s="11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</row>
    <row r="151" spans="1:27" x14ac:dyDescent="0.25">
      <c r="A151" s="114">
        <f t="shared" si="6"/>
        <v>0</v>
      </c>
      <c r="B151" s="106"/>
      <c r="C151" s="11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</row>
    <row r="152" spans="1:27" x14ac:dyDescent="0.25">
      <c r="A152" s="114">
        <f t="shared" si="6"/>
        <v>0</v>
      </c>
      <c r="B152" s="106"/>
      <c r="C152" s="11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</row>
    <row r="153" spans="1:27" x14ac:dyDescent="0.25">
      <c r="A153" s="114">
        <f t="shared" si="6"/>
        <v>0</v>
      </c>
      <c r="B153" s="106"/>
      <c r="C153" s="11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</row>
    <row r="154" spans="1:27" x14ac:dyDescent="0.25">
      <c r="A154" s="114">
        <f t="shared" si="6"/>
        <v>0</v>
      </c>
      <c r="B154" s="106"/>
      <c r="C154" s="11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</row>
    <row r="155" spans="1:27" x14ac:dyDescent="0.25">
      <c r="A155" s="114">
        <f t="shared" si="6"/>
        <v>0</v>
      </c>
      <c r="B155" s="106"/>
      <c r="C155" s="11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</row>
    <row r="156" spans="1:27" x14ac:dyDescent="0.25">
      <c r="A156" s="114">
        <f t="shared" si="6"/>
        <v>0</v>
      </c>
      <c r="B156" s="106"/>
      <c r="C156" s="11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</row>
    <row r="157" spans="1:27" x14ac:dyDescent="0.25">
      <c r="A157" s="114">
        <f t="shared" si="6"/>
        <v>0</v>
      </c>
      <c r="B157" s="106"/>
      <c r="C157" s="11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</row>
    <row r="158" spans="1:27" x14ac:dyDescent="0.25">
      <c r="A158" s="114">
        <f t="shared" si="6"/>
        <v>0</v>
      </c>
      <c r="B158" s="106"/>
      <c r="C158" s="11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</row>
    <row r="159" spans="1:27" x14ac:dyDescent="0.25">
      <c r="A159" s="114">
        <f t="shared" si="6"/>
        <v>0</v>
      </c>
      <c r="B159" s="106"/>
      <c r="C159" s="11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</row>
    <row r="160" spans="1:27" x14ac:dyDescent="0.25">
      <c r="A160" s="114">
        <f t="shared" si="6"/>
        <v>0</v>
      </c>
      <c r="B160" s="106"/>
      <c r="C160" s="11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</row>
    <row r="161" spans="1:27" x14ac:dyDescent="0.25">
      <c r="A161" s="114">
        <f t="shared" si="6"/>
        <v>0</v>
      </c>
      <c r="B161" s="106"/>
      <c r="C161" s="11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</row>
    <row r="162" spans="1:27" x14ac:dyDescent="0.25">
      <c r="A162" s="114">
        <f t="shared" si="6"/>
        <v>0</v>
      </c>
      <c r="B162" s="106"/>
      <c r="C162" s="11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</row>
    <row r="163" spans="1:27" x14ac:dyDescent="0.25">
      <c r="A163" s="114">
        <f t="shared" si="6"/>
        <v>0</v>
      </c>
      <c r="B163" s="106"/>
      <c r="C163" s="11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</row>
    <row r="164" spans="1:27" x14ac:dyDescent="0.25">
      <c r="A164" s="114">
        <f t="shared" si="6"/>
        <v>0</v>
      </c>
      <c r="B164" s="106"/>
      <c r="C164" s="11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</row>
    <row r="165" spans="1:27" x14ac:dyDescent="0.25">
      <c r="A165" s="114">
        <f t="shared" si="6"/>
        <v>0</v>
      </c>
      <c r="B165" s="106"/>
      <c r="C165" s="11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</row>
    <row r="166" spans="1:27" x14ac:dyDescent="0.25">
      <c r="A166" s="114">
        <f t="shared" si="6"/>
        <v>0</v>
      </c>
      <c r="B166" s="106"/>
      <c r="C166" s="11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</row>
    <row r="167" spans="1:27" x14ac:dyDescent="0.25">
      <c r="A167" s="114">
        <f t="shared" si="6"/>
        <v>0</v>
      </c>
      <c r="B167" s="106"/>
      <c r="C167" s="11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</row>
    <row r="168" spans="1:27" x14ac:dyDescent="0.25">
      <c r="A168" s="114">
        <f t="shared" si="6"/>
        <v>0</v>
      </c>
      <c r="B168" s="106"/>
      <c r="C168" s="11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</row>
    <row r="169" spans="1:27" x14ac:dyDescent="0.25">
      <c r="A169" s="114">
        <f t="shared" si="6"/>
        <v>0</v>
      </c>
      <c r="B169" s="106"/>
      <c r="C169" s="11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</row>
    <row r="170" spans="1:27" x14ac:dyDescent="0.25">
      <c r="A170" s="114">
        <f t="shared" si="6"/>
        <v>0</v>
      </c>
      <c r="B170" s="106"/>
      <c r="C170" s="11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</row>
    <row r="171" spans="1:27" x14ac:dyDescent="0.25">
      <c r="A171" s="114">
        <f t="shared" si="6"/>
        <v>0</v>
      </c>
      <c r="B171" s="106"/>
      <c r="C171" s="11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</row>
    <row r="172" spans="1:27" x14ac:dyDescent="0.25">
      <c r="A172" s="114">
        <f t="shared" si="6"/>
        <v>0</v>
      </c>
      <c r="B172" s="106"/>
      <c r="C172" s="11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</row>
    <row r="173" spans="1:27" x14ac:dyDescent="0.25">
      <c r="A173" s="114">
        <f t="shared" si="6"/>
        <v>0</v>
      </c>
      <c r="B173" s="106"/>
      <c r="C173" s="11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</row>
    <row r="174" spans="1:27" x14ac:dyDescent="0.25">
      <c r="A174" s="114">
        <f t="shared" si="6"/>
        <v>0</v>
      </c>
      <c r="B174" s="106"/>
      <c r="C174" s="11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</row>
    <row r="175" spans="1:27" x14ac:dyDescent="0.25">
      <c r="A175" s="114">
        <f t="shared" si="6"/>
        <v>0</v>
      </c>
      <c r="B175" s="106"/>
      <c r="C175" s="11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</row>
    <row r="176" spans="1:27" x14ac:dyDescent="0.25">
      <c r="A176" s="114">
        <f t="shared" si="6"/>
        <v>0</v>
      </c>
      <c r="B176" s="106"/>
      <c r="C176" s="11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</row>
    <row r="177" spans="1:27" x14ac:dyDescent="0.25">
      <c r="A177" s="114">
        <f t="shared" si="6"/>
        <v>0</v>
      </c>
      <c r="B177" s="106"/>
      <c r="C177" s="11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</row>
    <row r="178" spans="1:27" x14ac:dyDescent="0.25">
      <c r="A178" s="114">
        <f t="shared" si="6"/>
        <v>0</v>
      </c>
      <c r="B178" s="106"/>
      <c r="C178" s="11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</row>
    <row r="179" spans="1:27" x14ac:dyDescent="0.25">
      <c r="A179" s="114">
        <f t="shared" si="6"/>
        <v>0</v>
      </c>
      <c r="B179" s="107"/>
      <c r="C179" s="111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</row>
    <row r="180" spans="1:27" x14ac:dyDescent="0.25">
      <c r="A180" s="114">
        <f t="shared" si="6"/>
        <v>0</v>
      </c>
      <c r="B180" s="107"/>
      <c r="C180" s="111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</row>
    <row r="181" spans="1:27" x14ac:dyDescent="0.25">
      <c r="A181" s="114">
        <f t="shared" si="6"/>
        <v>0</v>
      </c>
      <c r="B181" s="107"/>
      <c r="C181" s="111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</row>
    <row r="182" spans="1:27" x14ac:dyDescent="0.25">
      <c r="A182" s="114">
        <f t="shared" si="6"/>
        <v>0</v>
      </c>
      <c r="B182" s="107"/>
      <c r="C182" s="111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</row>
    <row r="183" spans="1:27" x14ac:dyDescent="0.25">
      <c r="A183" s="114">
        <f t="shared" si="6"/>
        <v>0</v>
      </c>
      <c r="B183" s="107"/>
      <c r="C183" s="111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</row>
    <row r="184" spans="1:27" x14ac:dyDescent="0.25">
      <c r="A184" s="114"/>
    </row>
  </sheetData>
  <phoneticPr fontId="8" type="noConversion"/>
  <conditionalFormatting sqref="D37:AA42">
    <cfRule type="colorScale" priority="7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9:AA114">
    <cfRule type="cellIs" dxfId="57" priority="80" operator="lessThan">
      <formula>0.0000000000001</formula>
    </cfRule>
  </conditionalFormatting>
  <conditionalFormatting sqref="D45:AA75">
    <cfRule type="colorScale" priority="93">
      <colorScale>
        <cfvo type="min"/>
        <cfvo type="max"/>
        <color rgb="FFFCFCFF"/>
        <color rgb="FF63BE7B"/>
      </colorScale>
    </cfRule>
  </conditionalFormatting>
  <conditionalFormatting sqref="A7:A19 D7:AA19 D22:AA35 A22:A35">
    <cfRule type="cellIs" dxfId="56" priority="78" operator="between">
      <formula>-0.0000000000001</formula>
      <formula>0.0000000000001</formula>
    </cfRule>
  </conditionalFormatting>
  <conditionalFormatting sqref="A77:A107">
    <cfRule type="colorScale" priority="7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5:A7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37:A42">
    <cfRule type="colorScale" priority="7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5" priority="68" operator="between">
      <formula>-0.0000000000001</formula>
      <formula>0.0000000000001</formula>
    </cfRule>
  </conditionalFormatting>
  <conditionalFormatting sqref="D7:AA19 A7:A19 A22:A35 D22:AA35">
    <cfRule type="cellIs" dxfId="54" priority="67" operator="between">
      <formula>-0.0000000000001</formula>
      <formula>0.0000000000001</formula>
    </cfRule>
  </conditionalFormatting>
  <conditionalFormatting sqref="A14 C14:O14">
    <cfRule type="cellIs" dxfId="53" priority="66" operator="between">
      <formula>-0.0000000000001</formula>
      <formula>0.0000000000001</formula>
    </cfRule>
  </conditionalFormatting>
  <conditionalFormatting sqref="P14:AA14">
    <cfRule type="cellIs" dxfId="52" priority="65" operator="between">
      <formula>-0.0000000000001</formula>
      <formula>0.0000000000001</formula>
    </cfRule>
  </conditionalFormatting>
  <conditionalFormatting sqref="C7:O7 A7">
    <cfRule type="cellIs" dxfId="51" priority="64" operator="between">
      <formula>-0.0000000000001</formula>
      <formula>0.0000000000001</formula>
    </cfRule>
  </conditionalFormatting>
  <conditionalFormatting sqref="P7:AA7">
    <cfRule type="cellIs" dxfId="50" priority="63" operator="between">
      <formula>-0.0000000000001</formula>
      <formula>0.0000000000001</formula>
    </cfRule>
  </conditionalFormatting>
  <conditionalFormatting sqref="C12">
    <cfRule type="cellIs" dxfId="49" priority="62" operator="between">
      <formula>-0.0000000000001</formula>
      <formula>0.0000000000001</formula>
    </cfRule>
  </conditionalFormatting>
  <conditionalFormatting sqref="C13">
    <cfRule type="cellIs" dxfId="48" priority="60" operator="between">
      <formula>-0.0000000000001</formula>
      <formula>0.0000000000001</formula>
    </cfRule>
  </conditionalFormatting>
  <conditionalFormatting sqref="A13 C13:O13">
    <cfRule type="cellIs" dxfId="47" priority="59" operator="between">
      <formula>-0.0000000000001</formula>
      <formula>0.0000000000001</formula>
    </cfRule>
  </conditionalFormatting>
  <conditionalFormatting sqref="P13:AA13">
    <cfRule type="cellIs" dxfId="46" priority="58" operator="between">
      <formula>-0.0000000000001</formula>
      <formula>0.0000000000001</formula>
    </cfRule>
  </conditionalFormatting>
  <conditionalFormatting sqref="C18:O19 A18:A19">
    <cfRule type="cellIs" dxfId="45" priority="57" operator="between">
      <formula>-0.0000000000001</formula>
      <formula>0.0000000000001</formula>
    </cfRule>
  </conditionalFormatting>
  <conditionalFormatting sqref="P18:AA19">
    <cfRule type="cellIs" dxfId="44" priority="56" operator="between">
      <formula>-0.0000000000001</formula>
      <formula>0.0000000000001</formula>
    </cfRule>
  </conditionalFormatting>
  <conditionalFormatting sqref="C30:O31 A30:A31 A33 C33:AA33">
    <cfRule type="cellIs" dxfId="43" priority="55" operator="between">
      <formula>-0.0000000000001</formula>
      <formula>0.0000000000001</formula>
    </cfRule>
  </conditionalFormatting>
  <conditionalFormatting sqref="P30:AA31">
    <cfRule type="cellIs" dxfId="42" priority="54" operator="between">
      <formula>-0.0000000000001</formula>
      <formula>0.0000000000001</formula>
    </cfRule>
  </conditionalFormatting>
  <conditionalFormatting sqref="C32:O32 A32">
    <cfRule type="cellIs" dxfId="41" priority="53" operator="between">
      <formula>-0.0000000000001</formula>
      <formula>0.0000000000001</formula>
    </cfRule>
  </conditionalFormatting>
  <conditionalFormatting sqref="P32:AA32">
    <cfRule type="cellIs" dxfId="40" priority="52" operator="between">
      <formula>-0.0000000000001</formula>
      <formula>0.0000000000001</formula>
    </cfRule>
  </conditionalFormatting>
  <conditionalFormatting sqref="C10:O10">
    <cfRule type="cellIs" dxfId="39" priority="51" operator="between">
      <formula>-0.0000000000001</formula>
      <formula>0.0000000000001</formula>
    </cfRule>
  </conditionalFormatting>
  <conditionalFormatting sqref="P10:AA10">
    <cfRule type="cellIs" dxfId="38" priority="50" operator="between">
      <formula>-0.0000000000001</formula>
      <formula>0.0000000000001</formula>
    </cfRule>
  </conditionalFormatting>
  <conditionalFormatting sqref="C10">
    <cfRule type="cellIs" dxfId="37" priority="49" operator="between">
      <formula>-0.0000000000001</formula>
      <formula>0.0000000000001</formula>
    </cfRule>
  </conditionalFormatting>
  <conditionalFormatting sqref="A45:A75 D45:AA75">
    <cfRule type="cellIs" dxfId="36" priority="48" operator="between">
      <formula>-0.0000000000001</formula>
      <formula>0.0000000000001</formula>
    </cfRule>
  </conditionalFormatting>
  <conditionalFormatting sqref="P34:AA34">
    <cfRule type="cellIs" dxfId="35" priority="47" operator="between">
      <formula>-0.0000000000001</formula>
      <formula>0.0000000000001</formula>
    </cfRule>
  </conditionalFormatting>
  <conditionalFormatting sqref="C11:O11 A11">
    <cfRule type="cellIs" dxfId="34" priority="46" operator="between">
      <formula>-0.0000000000001</formula>
      <formula>0.0000000000001</formula>
    </cfRule>
  </conditionalFormatting>
  <conditionalFormatting sqref="P11:AA11">
    <cfRule type="cellIs" dxfId="33" priority="45" operator="between">
      <formula>-0.0000000000001</formula>
      <formula>0.0000000000001</formula>
    </cfRule>
  </conditionalFormatting>
  <conditionalFormatting sqref="C11">
    <cfRule type="cellIs" dxfId="32" priority="44" operator="between">
      <formula>-0.0000000000001</formula>
      <formula>0.0000000000001</formula>
    </cfRule>
  </conditionalFormatting>
  <conditionalFormatting sqref="C15:O15 A15">
    <cfRule type="cellIs" dxfId="31" priority="43" operator="between">
      <formula>-0.0000000000001</formula>
      <formula>0.0000000000001</formula>
    </cfRule>
  </conditionalFormatting>
  <conditionalFormatting sqref="P15:AA15">
    <cfRule type="cellIs" dxfId="30" priority="42" operator="between">
      <formula>-0.0000000000001</formula>
      <formula>0.0000000000001</formula>
    </cfRule>
  </conditionalFormatting>
  <conditionalFormatting sqref="C15">
    <cfRule type="cellIs" dxfId="29" priority="41" operator="between">
      <formula>-0.0000000000001</formula>
      <formula>0.0000000000001</formula>
    </cfRule>
  </conditionalFormatting>
  <conditionalFormatting sqref="C29:O29 A29">
    <cfRule type="cellIs" dxfId="28" priority="40" operator="between">
      <formula>-0.0000000000001</formula>
      <formula>0.0000000000001</formula>
    </cfRule>
  </conditionalFormatting>
  <conditionalFormatting sqref="P29:AA29">
    <cfRule type="cellIs" dxfId="27" priority="39" operator="between">
      <formula>-0.0000000000001</formula>
      <formula>0.0000000000001</formula>
    </cfRule>
  </conditionalFormatting>
  <conditionalFormatting sqref="D9:O9">
    <cfRule type="cellIs" dxfId="26" priority="38" operator="between">
      <formula>-0.0000000000001</formula>
      <formula>0.0000000000001</formula>
    </cfRule>
  </conditionalFormatting>
  <conditionalFormatting sqref="P9:AA9">
    <cfRule type="cellIs" dxfId="25" priority="37" operator="between">
      <formula>-0.0000000000001</formula>
      <formula>0.0000000000001</formula>
    </cfRule>
  </conditionalFormatting>
  <conditionalFormatting sqref="C25:AA25 A25">
    <cfRule type="cellIs" dxfId="24" priority="34" operator="between">
      <formula>-0.0000000000001</formula>
      <formula>0.0000000000001</formula>
    </cfRule>
  </conditionalFormatting>
  <conditionalFormatting sqref="P25:AA25">
    <cfRule type="cellIs" dxfId="23" priority="33" operator="between">
      <formula>-0.0000000000001</formula>
      <formula>0.0000000000001</formula>
    </cfRule>
  </conditionalFormatting>
  <conditionalFormatting sqref="B4">
    <cfRule type="cellIs" dxfId="22" priority="32" operator="between">
      <formula>-0.0000000000001</formula>
      <formula>0.0000000000001</formula>
    </cfRule>
  </conditionalFormatting>
  <conditionalFormatting sqref="C9">
    <cfRule type="cellIs" dxfId="21" priority="31" operator="between">
      <formula>-0.0000000000001</formula>
      <formula>0.0000000000001</formula>
    </cfRule>
  </conditionalFormatting>
  <conditionalFormatting sqref="A10">
    <cfRule type="cellIs" dxfId="20" priority="30" operator="between">
      <formula>-0.0000000000001</formula>
      <formula>0.0000000000001</formula>
    </cfRule>
  </conditionalFormatting>
  <conditionalFormatting sqref="B133:B183">
    <cfRule type="containsText" dxfId="19" priority="28" operator="containsText" text="sto2">
      <formula>NOT(ISERROR(SEARCH("sto2",B133)))</formula>
    </cfRule>
    <cfRule type="containsText" dxfId="18" priority="29" operator="containsText" text="sto1">
      <formula>NOT(ISERROR(SEARCH("sto1",B133)))</formula>
    </cfRule>
  </conditionalFormatting>
  <conditionalFormatting sqref="A20 D20:AA20">
    <cfRule type="cellIs" dxfId="17" priority="27" operator="between">
      <formula>-0.0000000000001</formula>
      <formula>0.0000000000001</formula>
    </cfRule>
  </conditionalFormatting>
  <conditionalFormatting sqref="D20:AA20 A20">
    <cfRule type="cellIs" dxfId="16" priority="26" operator="between">
      <formula>-0.0000000000001</formula>
      <formula>0.0000000000001</formula>
    </cfRule>
  </conditionalFormatting>
  <conditionalFormatting sqref="C20:O20 A20">
    <cfRule type="cellIs" dxfId="15" priority="25" operator="between">
      <formula>-0.0000000000001</formula>
      <formula>0.0000000000001</formula>
    </cfRule>
  </conditionalFormatting>
  <conditionalFormatting sqref="P20:AA20">
    <cfRule type="cellIs" dxfId="14" priority="24" operator="between">
      <formula>-0.0000000000001</formula>
      <formula>0.0000000000001</formula>
    </cfRule>
  </conditionalFormatting>
  <conditionalFormatting sqref="D126:AA183">
    <cfRule type="colorScale" priority="21">
      <colorScale>
        <cfvo type="min"/>
        <cfvo type="max"/>
        <color rgb="FFFCFCFF"/>
        <color theme="9" tint="0.39997558519241921"/>
      </colorScale>
    </cfRule>
  </conditionalFormatting>
  <conditionalFormatting sqref="B119:B121 B123:B124">
    <cfRule type="containsText" dxfId="13" priority="19" operator="containsText" text="sto2">
      <formula>NOT(ISERROR(SEARCH("sto2",B119)))</formula>
    </cfRule>
    <cfRule type="containsText" dxfId="12" priority="20" operator="containsText" text="sto1">
      <formula>NOT(ISERROR(SEARCH("sto1",B119)))</formula>
    </cfRule>
  </conditionalFormatting>
  <conditionalFormatting sqref="B118">
    <cfRule type="containsText" dxfId="11" priority="17" operator="containsText" text="sto2">
      <formula>NOT(ISERROR(SEARCH("sto2",B118)))</formula>
    </cfRule>
    <cfRule type="containsText" dxfId="10" priority="18" operator="containsText" text="sto1">
      <formula>NOT(ISERROR(SEARCH("sto1",B118)))</formula>
    </cfRule>
  </conditionalFormatting>
  <conditionalFormatting sqref="D118:AA121 D123:AA12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122">
    <cfRule type="containsText" dxfId="9" priority="14" operator="containsText" text="sto2">
      <formula>NOT(ISERROR(SEARCH("sto2",B122)))</formula>
    </cfRule>
    <cfRule type="containsText" dxfId="8" priority="15" operator="containsText" text="sto1">
      <formula>NOT(ISERROR(SEARCH("sto1",B122)))</formula>
    </cfRule>
  </conditionalFormatting>
  <conditionalFormatting sqref="D122:AA122">
    <cfRule type="colorScale" priority="13">
      <colorScale>
        <cfvo type="min"/>
        <cfvo type="max"/>
        <color rgb="FFFCFCFF"/>
        <color theme="9" tint="0.39997558519241921"/>
      </colorScale>
    </cfRule>
  </conditionalFormatting>
  <conditionalFormatting sqref="B127:B129 B131:B132">
    <cfRule type="containsText" dxfId="7" priority="8" operator="containsText" text="sto2">
      <formula>NOT(ISERROR(SEARCH("sto2",B127)))</formula>
    </cfRule>
    <cfRule type="containsText" dxfId="6" priority="9" operator="containsText" text="sto1">
      <formula>NOT(ISERROR(SEARCH("sto1",B127)))</formula>
    </cfRule>
  </conditionalFormatting>
  <conditionalFormatting sqref="B126">
    <cfRule type="containsText" dxfId="5" priority="6" operator="containsText" text="sto2">
      <formula>NOT(ISERROR(SEARCH("sto2",B126)))</formula>
    </cfRule>
    <cfRule type="containsText" dxfId="4" priority="7" operator="containsText" text="sto1">
      <formula>NOT(ISERROR(SEARCH("sto1",B126)))</formula>
    </cfRule>
  </conditionalFormatting>
  <conditionalFormatting sqref="B130">
    <cfRule type="containsText" dxfId="3" priority="4" operator="containsText" text="sto2">
      <formula>NOT(ISERROR(SEARCH("sto2",B130)))</formula>
    </cfRule>
    <cfRule type="containsText" dxfId="2" priority="5" operator="containsText" text="sto1">
      <formula>NOT(ISERROR(SEARCH("sto1",B130)))</formula>
    </cfRule>
  </conditionalFormatting>
  <conditionalFormatting sqref="D21:AA21 A21">
    <cfRule type="cellIs" dxfId="1" priority="2" operator="between">
      <formula>-0.0000000000001</formula>
      <formula>0.0000000000001</formula>
    </cfRule>
  </conditionalFormatting>
  <conditionalFormatting sqref="A21 D21:AA2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2022-01-14T10:10:07Z</dcterms:modified>
</cp:coreProperties>
</file>