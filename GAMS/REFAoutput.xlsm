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37DCBBB-2540-4932-A6FC-E5571BDC473D}" xr6:coauthVersionLast="47" xr6:coauthVersionMax="47" xr10:uidLastSave="{00000000-0000-0000-0000-000000000000}"/>
  <bookViews>
    <workbookView xWindow="28680" yWindow="-120" windowWidth="29040" windowHeight="17790" activeTab="1" xr2:uid="{82C3324D-31D0-4A40-8A1A-11BE9452E5B5}"/>
  </bookViews>
  <sheets>
    <sheet name="Overblik" sheetId="4" r:id="rId1"/>
    <sheet name="Inputs" sheetId="6" r:id="rId2"/>
    <sheet name="DUMP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4" l="1"/>
  <c r="A13" i="4"/>
  <c r="A8" i="4"/>
  <c r="A9" i="4"/>
  <c r="A10" i="4"/>
  <c r="A11" i="4"/>
  <c r="A12" i="4"/>
  <c r="A14" i="4"/>
  <c r="A16" i="4"/>
  <c r="A18" i="4"/>
  <c r="A19" i="4"/>
  <c r="A20" i="4"/>
  <c r="A21" i="4"/>
  <c r="A22" i="4"/>
  <c r="A23" i="4"/>
  <c r="A24" i="4"/>
  <c r="A25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7" i="4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H15" i="1"/>
  <c r="D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tc={FBF1AC24-3947-4E14-802B-0907425F5130}</author>
  </authors>
  <commentList>
    <comment ref="F3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4" authorId="1" shapeId="0" xr:uid="{FBF1AC24-3947-4E14-802B-0907425F5130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</commentList>
</comments>
</file>

<file path=xl/sharedStrings.xml><?xml version="1.0" encoding="utf-8"?>
<sst xmlns="http://schemas.openxmlformats.org/spreadsheetml/2006/main" count="269" uniqueCount="96">
  <si>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</si>
  <si>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</si>
  <si>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</si>
  <si>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</si>
  <si>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</si>
  <si>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</si>
  <si>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</si>
  <si>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</si>
  <si>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</si>
  <si>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</si>
  <si>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</si>
  <si>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</si>
  <si>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</si>
  <si>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IncomeTotal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</si>
  <si>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</si>
  <si>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</si>
  <si>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</si>
  <si>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</si>
  <si>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</si>
  <si>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</si>
  <si>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</si>
  <si>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</si>
  <si>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</si>
  <si>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</si>
  <si>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</si>
  <si>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</si>
  <si>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</si>
  <si>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</si>
  <si>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</si>
  <si>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</si>
  <si>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</si>
  <si>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</si>
  <si>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</si>
  <si>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</si>
  <si>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</si>
  <si>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</si>
  <si>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</si>
  <si>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IncomeF</t>
  </si>
  <si>
    <t>on/off</t>
  </si>
  <si>
    <t>MWq</t>
  </si>
  <si>
    <t>DKK/MWhq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</si>
  <si>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</si>
  <si>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</si>
  <si>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</si>
  <si>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</si>
  <si>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</si>
  <si>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</si>
  <si>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</si>
  <si>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</si>
  <si>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</si>
  <si>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</si>
  <si>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</si>
  <si>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</si>
  <si>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</si>
  <si>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</si>
  <si>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</si>
  <si>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</si>
  <si>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</si>
  <si>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</si>
  <si>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</si>
  <si>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</si>
  <si>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</si>
  <si>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tonnage</t>
  </si>
  <si>
    <t>pris</t>
  </si>
  <si>
    <t>brandv</t>
  </si>
  <si>
    <t>co2andel</t>
  </si>
  <si>
    <t>FuelBounds</t>
  </si>
  <si>
    <t>max</t>
  </si>
  <si>
    <t>min</t>
  </si>
  <si>
    <t>Varmepris</t>
  </si>
  <si>
    <t>Indkomst</t>
  </si>
  <si>
    <t>AnlaegsOmk</t>
  </si>
  <si>
    <t>BraendselOmk</t>
  </si>
  <si>
    <t>RGKvarme</t>
  </si>
  <si>
    <t>RGKandel</t>
  </si>
  <si>
    <t>RGKrabat</t>
  </si>
  <si>
    <t>Overblik</t>
  </si>
  <si>
    <t>AvailDaysU</t>
  </si>
  <si>
    <t>DataFuel</t>
  </si>
  <si>
    <t>NPV [DKK]</t>
  </si>
  <si>
    <t>TotalVarme</t>
  </si>
  <si>
    <t>Varmemaengder [MWhq]</t>
  </si>
  <si>
    <t>Braendselsforbrug [ton]</t>
  </si>
  <si>
    <t>SUM eller middel</t>
  </si>
  <si>
    <t>Tidsstempel</t>
  </si>
  <si>
    <t>NSprod</t>
  </si>
  <si>
    <t>Anlægsdata</t>
  </si>
  <si>
    <t>ton/h</t>
  </si>
  <si>
    <t>kapTon</t>
  </si>
  <si>
    <t>kapNom</t>
  </si>
  <si>
    <t>DataU</t>
  </si>
  <si>
    <t>PeakFuel</t>
  </si>
  <si>
    <t>lagerbart</t>
  </si>
  <si>
    <t>prisbv</t>
  </si>
  <si>
    <t>ns</t>
  </si>
  <si>
    <t>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</si>
</sst>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%"/>
    <numFmt numFmtId="167" formatCode="_-* #,##0.00\ _k_r_._-;\-* #,##0.00\ _k_r_._-;_-* &quot;-&quot;??\ _k_r_._-;_-@_-"/>
    <numFmt numFmtId="168" formatCode="yyyy/mm/dd\ hh:mm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3" fontId="0" fillId="0" borderId="0" xfId="0" applyNumberFormat="1"/>
    <xf numFmtId="0" fontId="3" fillId="0" borderId="0" xfId="0" applyFont="1"/>
    <xf numFmtId="3" fontId="3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/>
    <xf numFmtId="0" fontId="3" fillId="4" borderId="0" xfId="0" applyFont="1" applyFill="1"/>
    <xf numFmtId="0" fontId="0" fillId="0" borderId="0" xfId="0" applyAlignment="1">
      <alignment horizontal="right" indent="1"/>
    </xf>
    <xf numFmtId="1" fontId="0" fillId="0" borderId="0" xfId="0" applyNumberFormat="1"/>
    <xf numFmtId="3" fontId="3" fillId="0" borderId="0" xfId="0" applyNumberFormat="1" applyFont="1" applyAlignment="1">
      <alignment horizontal="right" indent="1"/>
    </xf>
    <xf numFmtId="43" fontId="0" fillId="0" borderId="0" xfId="1" applyFont="1"/>
    <xf numFmtId="164" fontId="0" fillId="0" borderId="0" xfId="0" applyNumberFormat="1"/>
    <xf numFmtId="3" fontId="0" fillId="5" borderId="0" xfId="0" applyNumberFormat="1" applyFill="1"/>
    <xf numFmtId="0" fontId="7" fillId="0" borderId="0" xfId="0" applyFont="1"/>
    <xf numFmtId="165" fontId="7" fillId="0" borderId="0" xfId="1" applyNumberFormat="1" applyFont="1"/>
    <xf numFmtId="3" fontId="8" fillId="0" borderId="0" xfId="0" applyNumberFormat="1" applyFont="1"/>
    <xf numFmtId="0" fontId="8" fillId="0" borderId="0" xfId="0" applyFont="1"/>
    <xf numFmtId="165" fontId="8" fillId="0" borderId="0" xfId="1" applyNumberFormat="1" applyFont="1"/>
    <xf numFmtId="0" fontId="9" fillId="0" borderId="0" xfId="0" applyFont="1"/>
    <xf numFmtId="165" fontId="9" fillId="0" borderId="0" xfId="1" applyNumberFormat="1" applyFont="1"/>
    <xf numFmtId="3" fontId="10" fillId="0" borderId="0" xfId="0" applyNumberFormat="1" applyFont="1"/>
    <xf numFmtId="0" fontId="10" fillId="0" borderId="0" xfId="0" applyFont="1"/>
    <xf numFmtId="165" fontId="10" fillId="0" borderId="0" xfId="1" applyNumberFormat="1" applyFont="1"/>
    <xf numFmtId="0" fontId="3" fillId="4" borderId="0" xfId="0" applyFont="1" applyFill="1" applyAlignment="1">
      <alignment horizontal="center"/>
    </xf>
    <xf numFmtId="0" fontId="3" fillId="0" borderId="0" xfId="0" quotePrefix="1" applyFont="1" applyAlignment="1">
      <alignment horizontal="right" indent="1"/>
    </xf>
    <xf numFmtId="0" fontId="3" fillId="0" borderId="0" xfId="0" quotePrefix="1" applyFont="1" applyAlignment="1">
      <alignment horizontal="center"/>
    </xf>
    <xf numFmtId="0" fontId="0" fillId="0" borderId="0" xfId="0" quotePrefix="1" applyAlignment="1">
      <alignment horizontal="right" indent="1"/>
    </xf>
    <xf numFmtId="0" fontId="3" fillId="3" borderId="1" xfId="3" quotePrefix="1" applyFont="1" applyAlignment="1">
      <alignment horizontal="center"/>
    </xf>
    <xf numFmtId="0" fontId="0" fillId="0" borderId="0" xfId="0" quotePrefix="1"/>
    <xf numFmtId="0" fontId="2" fillId="2" borderId="0" xfId="2" quotePrefix="1"/>
    <xf numFmtId="0" fontId="7" fillId="0" borderId="0" xfId="0" quotePrefix="1" applyFont="1"/>
    <xf numFmtId="0" fontId="3" fillId="4" borderId="0" xfId="0" quotePrefix="1" applyFont="1" applyFill="1" applyAlignment="1">
      <alignment horizontal="center"/>
    </xf>
    <xf numFmtId="43" fontId="3" fillId="4" borderId="0" xfId="1" quotePrefix="1" applyFont="1" applyFill="1"/>
    <xf numFmtId="165" fontId="0" fillId="0" borderId="0" xfId="1" applyNumberFormat="1" applyFont="1"/>
    <xf numFmtId="166" fontId="0" fillId="0" borderId="0" xfId="4" applyNumberFormat="1" applyFont="1"/>
    <xf numFmtId="167" fontId="0" fillId="0" borderId="0" xfId="0" applyNumberFormat="1"/>
    <xf numFmtId="43" fontId="11" fillId="0" borderId="0" xfId="1" applyFont="1"/>
    <xf numFmtId="166" fontId="0" fillId="0" borderId="0" xfId="1" applyNumberFormat="1" applyFont="1"/>
    <xf numFmtId="165" fontId="0" fillId="0" borderId="0" xfId="0" quotePrefix="1" applyNumberFormat="1" applyAlignment="1">
      <alignment horizontal="right" indent="1"/>
    </xf>
    <xf numFmtId="168" fontId="0" fillId="0" borderId="0" xfId="0" applyNumberFormat="1" applyAlignment="1"/>
    <xf numFmtId="3" fontId="0" fillId="0" borderId="0" xfId="1" applyNumberFormat="1" applyFont="1"/>
    <xf numFmtId="0" fontId="12" fillId="0" borderId="0" xfId="0" applyFont="1" applyAlignment="1">
      <alignment horizontal="center"/>
    </xf>
    <xf numFmtId="0" fontId="13" fillId="0" borderId="0" xfId="0" quotePrefix="1" applyFont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 applyNumberFormat="1" applyFill="1"/>
    <xf numFmtId="9" fontId="0" fillId="0" borderId="0" xfId="4" applyFont="1" applyFill="1"/>
    <xf numFmtId="168" fontId="0" fillId="0" borderId="0" xfId="0" applyNumberFormat="1" applyAlignment="1">
      <alignment horizontal="center"/>
    </xf>
  </cellXfs>
  <cellStyles count="5">
    <cellStyle name="Comma" xfId="1" builtinId="3"/>
    <cellStyle name="Neutral" xfId="2" builtinId="28"/>
    <cellStyle name="Normal" xfId="0" builtinId="0"/>
    <cellStyle name="Note" xfId="3" builtinId="10"/>
    <cellStyle name="Percent" xfId="4" builtinId="5"/>
  </cellStyles>
  <dxfs count="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Overblik!$B$27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Overblik!$C$27:$N$27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3599.8078144078145</c:v>
                </c:pt>
                <c:pt idx="11">
                  <c:v>5493.1921855921846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Overblik!$B$28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Overblik!$C$28:$N$28</c:f>
              <c:numCache>
                <c:formatCode>_-* #,##0_-;\-* #,##0_-;_-* "-"??_-;_-@_-</c:formatCode>
                <c:ptCount val="12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2405.75</c:v>
                </c:pt>
                <c:pt idx="11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Overblik!$B$29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Overblik!$C$29:$N$29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1845.0112332112337</c:v>
                </c:pt>
                <c:pt idx="10">
                  <c:v>1654.9887667887656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Overblik!$B$30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Overblik!$C$30:$N$30</c:f>
              <c:numCache>
                <c:formatCode>_-* #,##0_-;\-* #,##0_-;_-* "-"??_-;_-@_-</c:formatCode>
                <c:ptCount val="12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Overblik!$B$31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Overblik!$C$31:$N$31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Overblik!$B$32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Overblik!$C$32:$N$32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Overblik!$B$33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Overblik!$C$33:$N$33</c:f>
              <c:numCache>
                <c:formatCode>_-* #,##0_-;\-* #,##0_-;_-* "-"??_-;_-@_-</c:formatCode>
                <c:ptCount val="12"/>
                <c:pt idx="0">
                  <c:v>5200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Overblik!$B$34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Overblik!$C$34:$N$34</c:f>
              <c:numCache>
                <c:formatCode>_-* #,##0_-;\-* #,##0_-;_-* "-"??_-;_-@_-</c:formatCode>
                <c:ptCount val="12"/>
                <c:pt idx="0">
                  <c:v>41.666666666666664</c:v>
                </c:pt>
                <c:pt idx="1">
                  <c:v>41.666666666666664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Overblik!$B$35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Overblik!$C$35:$N$35</c:f>
              <c:numCache>
                <c:formatCode>_-* #,##0_-;\-* #,##0_-;_-* "-"??_-;_-@_-</c:formatCode>
                <c:ptCount val="12"/>
                <c:pt idx="0">
                  <c:v>5174.4808058608041</c:v>
                </c:pt>
                <c:pt idx="1">
                  <c:v>10239.032893772892</c:v>
                </c:pt>
                <c:pt idx="2">
                  <c:v>11631.623663003662</c:v>
                </c:pt>
                <c:pt idx="3">
                  <c:v>6848.6223443223435</c:v>
                </c:pt>
                <c:pt idx="4">
                  <c:v>3398.8957509157508</c:v>
                </c:pt>
                <c:pt idx="5">
                  <c:v>707.96300366300341</c:v>
                </c:pt>
                <c:pt idx="6">
                  <c:v>700.87377289377218</c:v>
                </c:pt>
                <c:pt idx="7">
                  <c:v>455.59904761904716</c:v>
                </c:pt>
                <c:pt idx="8">
                  <c:v>315.91538905539119</c:v>
                </c:pt>
                <c:pt idx="9">
                  <c:v>526.99332889332754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Overblik!$B$36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Overblik!$C$36:$N$36</c:f>
              <c:numCache>
                <c:formatCode>_-* #,##0_-;\-* #,##0_-;_-* "-"??_-;_-@_-</c:formatCode>
                <c:ptCount val="12"/>
                <c:pt idx="0">
                  <c:v>2000.0000000000002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Overblik!$B$37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Overblik!$C$37:$N$37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Overblik!$B$38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Overblik!$C$38:$N$38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Overblik!$B$39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Overblik!$C$39:$N$39</c:f>
              <c:numCache>
                <c:formatCode>_-* #,##0_-;\-* #,##0_-;_-* "-"??_-;_-@_-</c:formatCode>
                <c:ptCount val="12"/>
                <c:pt idx="0">
                  <c:v>604.58823529411768</c:v>
                </c:pt>
                <c:pt idx="1">
                  <c:v>1533.1764705882354</c:v>
                </c:pt>
                <c:pt idx="2">
                  <c:v>128.11764705882354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231.94194989106612</c:v>
                </c:pt>
                <c:pt idx="9">
                  <c:v>2067.8823529411766</c:v>
                </c:pt>
                <c:pt idx="10">
                  <c:v>2001.1764705882354</c:v>
                </c:pt>
                <c:pt idx="11">
                  <c:v>2067.8823529411766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Overblik!$B$40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Overblik!$C$40:$N$40</c:f>
              <c:numCache>
                <c:formatCode>_-* #,##0_-;\-* #,##0_-;_-* "-"??_-;_-@_-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Overblik!$B$41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Overblik!$C$41:$N$41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Overblik!$B$18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Overblik!$C$18:$N$18</c:f>
              <c:numCache>
                <c:formatCode>_-* #,##0_-;\-* 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200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Overblik!$B$19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Overblik!$C$19:$N$19</c:f>
              <c:numCache>
                <c:formatCode>_-* #,##0_-;\-* #,##0_-;_-* "-"??_-;_-@_-</c:formatCode>
                <c:ptCount val="12"/>
                <c:pt idx="0">
                  <c:v>20460</c:v>
                </c:pt>
                <c:pt idx="1">
                  <c:v>18480</c:v>
                </c:pt>
                <c:pt idx="2">
                  <c:v>20460</c:v>
                </c:pt>
                <c:pt idx="3">
                  <c:v>19800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7123.7748559670836</c:v>
                </c:pt>
                <c:pt idx="9">
                  <c:v>11888</c:v>
                </c:pt>
                <c:pt idx="10">
                  <c:v>18440</c:v>
                </c:pt>
                <c:pt idx="11">
                  <c:v>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Overblik!$B$20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Overblik!$C$20:$N$20</c:f>
              <c:numCache>
                <c:formatCode>_-* #,##0_-;\-* #,##0_-;_-* "-"??_-;_-@_-</c:formatCode>
                <c:ptCount val="12"/>
                <c:pt idx="0">
                  <c:v>2284</c:v>
                </c:pt>
                <c:pt idx="1">
                  <c:v>5792</c:v>
                </c:pt>
                <c:pt idx="2">
                  <c:v>484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876.22514403291643</c:v>
                </c:pt>
                <c:pt idx="9">
                  <c:v>7812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Overblik!$B$21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Overblik!$C$21:$N$21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Overblik!$B$22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Overblik!$C$22:$N$22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Overblik!$B$23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Overblik!$C$23:$N$23</c:f>
              <c:numCache>
                <c:formatCode>_-* #,##0_-;\-* 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v>Varmebehov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Overblik!$C$17:$N$17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Overblik!$C$11:$N$11</c:f>
              <c:numCache>
                <c:formatCode>_-* #,##0_-;\-* 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5602</xdr:colOff>
      <xdr:row>25</xdr:row>
      <xdr:rowOff>11204</xdr:rowOff>
    </xdr:from>
    <xdr:to>
      <xdr:col>25</xdr:col>
      <xdr:colOff>291353</xdr:colOff>
      <xdr:row>47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16808</xdr:colOff>
      <xdr:row>5</xdr:row>
      <xdr:rowOff>11206</xdr:rowOff>
    </xdr:from>
    <xdr:to>
      <xdr:col>25</xdr:col>
      <xdr:colOff>201706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P49"/>
  <sheetViews>
    <sheetView zoomScale="85" zoomScaleNormal="85" workbookViewId="0">
      <selection activeCell="J3" sqref="J3"/>
    </sheetView>
  </sheetViews>
  <sheetFormatPr defaultRowHeight="15" x14ac:dyDescent="0.25"/>
  <cols>
    <col min="1" max="1" width="22.5703125" customWidth="1"/>
    <col min="2" max="2" width="25.85546875" customWidth="1"/>
    <col min="3" max="14" width="12.7109375" customWidth="1"/>
    <col min="15" max="15" width="3.7109375" customWidth="1"/>
    <col min="16" max="16" width="17" bestFit="1" customWidth="1"/>
  </cols>
  <sheetData>
    <row r="1" spans="1:16" x14ac:dyDescent="0.25">
      <c r="A1" t="s">
        <v>84</v>
      </c>
      <c r="B1" s="48">
        <v>44465.413894791665</v>
      </c>
      <c r="C1" s="41"/>
      <c r="D1" s="41"/>
      <c r="E1" s="41"/>
    </row>
    <row r="4" spans="1:16" x14ac:dyDescent="0.25">
      <c r="B4" s="8" t="s">
        <v>79</v>
      </c>
      <c r="C4" s="42">
        <v>-26380954.679011758</v>
      </c>
    </row>
    <row r="6" spans="1:16" x14ac:dyDescent="0.25">
      <c r="A6" s="25" t="s">
        <v>83</v>
      </c>
      <c r="B6" s="8" t="s">
        <v>76</v>
      </c>
      <c r="C6" s="33" t="s">
        <v>0</v>
      </c>
      <c r="D6" s="33" t="s">
        <v>1</v>
      </c>
      <c r="E6" s="33" t="s">
        <v>2</v>
      </c>
      <c r="F6" s="33" t="s">
        <v>3</v>
      </c>
      <c r="G6" s="33" t="s">
        <v>4</v>
      </c>
      <c r="H6" s="33" t="s">
        <v>5</v>
      </c>
      <c r="I6" s="33" t="s">
        <v>6</v>
      </c>
      <c r="J6" s="33" t="s">
        <v>7</v>
      </c>
      <c r="K6" s="33" t="s">
        <v>8</v>
      </c>
      <c r="L6" s="33" t="s">
        <v>9</v>
      </c>
      <c r="M6" s="33" t="s">
        <v>10</v>
      </c>
      <c r="N6" s="33" t="s">
        <v>11</v>
      </c>
    </row>
    <row r="7" spans="1:16" x14ac:dyDescent="0.25">
      <c r="A7" s="38">
        <f>(SUM(A9:A10)-A8)/A11</f>
        <v>109.92064449588234</v>
      </c>
      <c r="B7" s="28" t="s">
        <v>69</v>
      </c>
      <c r="C7" s="12">
        <v>62.109837671351265</v>
      </c>
      <c r="D7" s="12">
        <v>108.80571495179605</v>
      </c>
      <c r="E7" s="12">
        <v>96.95572043063693</v>
      </c>
      <c r="F7" s="12">
        <v>96.354327137233923</v>
      </c>
      <c r="G7" s="12">
        <v>92.784044276700712</v>
      </c>
      <c r="H7" s="12">
        <v>74.10143940623297</v>
      </c>
      <c r="I7" s="12">
        <v>83.396738596424456</v>
      </c>
      <c r="J7" s="12">
        <v>87.817105989315948</v>
      </c>
      <c r="K7" s="12">
        <v>114.38891463359975</v>
      </c>
      <c r="L7" s="12">
        <v>158.4554543752019</v>
      </c>
      <c r="M7" s="12">
        <v>145.78808144712434</v>
      </c>
      <c r="N7" s="12">
        <v>147.61847196086882</v>
      </c>
    </row>
    <row r="8" spans="1:16" x14ac:dyDescent="0.25">
      <c r="A8" s="35">
        <f t="shared" ref="A8:A49" si="0">SUM(C8:N8)</f>
        <v>47992009.052125916</v>
      </c>
      <c r="B8" s="28" t="s">
        <v>70</v>
      </c>
      <c r="C8" s="35">
        <v>7743452.6836575083</v>
      </c>
      <c r="D8" s="35">
        <v>5982358.5850201454</v>
      </c>
      <c r="E8" s="35">
        <v>6566148.397943221</v>
      </c>
      <c r="F8" s="35">
        <v>4567054.8055036617</v>
      </c>
      <c r="G8" s="35">
        <v>3120470.4113058606</v>
      </c>
      <c r="H8" s="35">
        <v>1991694.585723443</v>
      </c>
      <c r="I8" s="35">
        <v>1988859.0706465198</v>
      </c>
      <c r="J8" s="35">
        <v>1885985.3124047616</v>
      </c>
      <c r="K8" s="35">
        <v>1831296.1531966892</v>
      </c>
      <c r="L8" s="35">
        <v>2929803.6574933399</v>
      </c>
      <c r="M8" s="35">
        <v>4571662.8884615377</v>
      </c>
      <c r="N8" s="35">
        <v>4813222.5007692305</v>
      </c>
      <c r="P8" s="37"/>
    </row>
    <row r="9" spans="1:16" x14ac:dyDescent="0.25">
      <c r="A9" s="35">
        <f t="shared" si="0"/>
        <v>17106141.651646089</v>
      </c>
      <c r="B9" s="28" t="s">
        <v>71</v>
      </c>
      <c r="C9" s="35">
        <v>2360100</v>
      </c>
      <c r="D9" s="35">
        <v>2428800</v>
      </c>
      <c r="E9" s="35">
        <v>1355100</v>
      </c>
      <c r="F9" s="35">
        <v>802000</v>
      </c>
      <c r="G9" s="35">
        <v>520000</v>
      </c>
      <c r="H9" s="35">
        <v>300000</v>
      </c>
      <c r="I9" s="35">
        <v>300000</v>
      </c>
      <c r="J9" s="35">
        <v>280000</v>
      </c>
      <c r="K9" s="35">
        <v>482101.65164608957</v>
      </c>
      <c r="L9" s="35">
        <v>2233220</v>
      </c>
      <c r="M9" s="35">
        <v>2663600</v>
      </c>
      <c r="N9" s="35">
        <v>3381220</v>
      </c>
    </row>
    <row r="10" spans="1:16" x14ac:dyDescent="0.25">
      <c r="A10" s="35">
        <f t="shared" si="0"/>
        <v>57266822.079491585</v>
      </c>
      <c r="B10" s="28" t="s">
        <v>72</v>
      </c>
      <c r="C10" s="35">
        <v>7575829.9534562081</v>
      </c>
      <c r="D10" s="35">
        <v>7035341.4634776199</v>
      </c>
      <c r="E10" s="35">
        <v>8071242.1506470107</v>
      </c>
      <c r="F10" s="35">
        <v>5692141.3482483402</v>
      </c>
      <c r="G10" s="35">
        <v>3806662.9869029699</v>
      </c>
      <c r="H10" s="35">
        <v>2247455.3812701902</v>
      </c>
      <c r="I10" s="35">
        <v>2314334.6101197032</v>
      </c>
      <c r="J10" s="35">
        <v>2220705.0543299732</v>
      </c>
      <c r="K10" s="35">
        <v>2264305.8186193975</v>
      </c>
      <c r="L10" s="35">
        <v>3818156.1086848178</v>
      </c>
      <c r="M10" s="35">
        <v>5917235.1282574572</v>
      </c>
      <c r="N10" s="35">
        <v>6303412.0754779018</v>
      </c>
    </row>
    <row r="11" spans="1:16" x14ac:dyDescent="0.25">
      <c r="A11" s="35">
        <f t="shared" si="0"/>
        <v>240000</v>
      </c>
      <c r="B11" s="28" t="s">
        <v>80</v>
      </c>
      <c r="C11" s="35">
        <v>35300</v>
      </c>
      <c r="D11" s="35">
        <v>32000</v>
      </c>
      <c r="E11" s="35">
        <v>29500</v>
      </c>
      <c r="F11" s="35">
        <v>20000</v>
      </c>
      <c r="G11" s="35">
        <v>13000</v>
      </c>
      <c r="H11" s="35">
        <v>7500</v>
      </c>
      <c r="I11" s="35">
        <v>7500</v>
      </c>
      <c r="J11" s="35">
        <v>7000</v>
      </c>
      <c r="K11" s="35">
        <v>8000</v>
      </c>
      <c r="L11" s="35">
        <v>19700</v>
      </c>
      <c r="M11" s="35">
        <v>27500</v>
      </c>
      <c r="N11" s="35">
        <v>33000</v>
      </c>
    </row>
    <row r="12" spans="1:16" x14ac:dyDescent="0.25">
      <c r="A12" s="35">
        <f t="shared" si="0"/>
        <v>22965.729022633746</v>
      </c>
      <c r="B12" s="28" t="s">
        <v>73</v>
      </c>
      <c r="C12" s="35">
        <v>2447.7600000000002</v>
      </c>
      <c r="D12" s="35">
        <v>2210.88</v>
      </c>
      <c r="E12" s="35">
        <v>2447.7600000000002</v>
      </c>
      <c r="F12" s="35">
        <v>1803.2000000000003</v>
      </c>
      <c r="G12" s="35">
        <v>1326.64</v>
      </c>
      <c r="H12" s="35">
        <v>928.2</v>
      </c>
      <c r="I12" s="35">
        <v>941.6400000000001</v>
      </c>
      <c r="J12" s="35">
        <v>906.6400000000001</v>
      </c>
      <c r="K12" s="35">
        <v>1295.2317919940151</v>
      </c>
      <c r="L12" s="35">
        <v>2161.454545454545</v>
      </c>
      <c r="M12" s="35">
        <v>3248.161342592593</v>
      </c>
      <c r="N12" s="35">
        <v>3248.161342592593</v>
      </c>
    </row>
    <row r="13" spans="1:16" x14ac:dyDescent="0.25">
      <c r="A13" s="39">
        <f>AVERAGE(C13:N13)</f>
        <v>0.12747717817644619</v>
      </c>
      <c r="B13" s="28" t="s">
        <v>74</v>
      </c>
      <c r="C13" s="36">
        <v>8.4358974358974367E-2</v>
      </c>
      <c r="D13" s="36">
        <v>8.4358974358974367E-2</v>
      </c>
      <c r="E13" s="36">
        <v>8.4358974358974367E-2</v>
      </c>
      <c r="F13" s="36">
        <v>9.0160000000000018E-2</v>
      </c>
      <c r="G13" s="36">
        <v>0.10204923076923078</v>
      </c>
      <c r="H13" s="36">
        <v>0.12376000000000001</v>
      </c>
      <c r="I13" s="36">
        <v>0.12555200000000002</v>
      </c>
      <c r="J13" s="36">
        <v>0.12952000000000002</v>
      </c>
      <c r="K13" s="36">
        <v>0.1818181818181818</v>
      </c>
      <c r="L13" s="36">
        <v>0.1818181818181818</v>
      </c>
      <c r="M13" s="36">
        <v>0.17614757823170243</v>
      </c>
      <c r="N13" s="36">
        <v>0.16582404240313423</v>
      </c>
    </row>
    <row r="14" spans="1:16" x14ac:dyDescent="0.25">
      <c r="A14" s="35">
        <f t="shared" si="0"/>
        <v>1872509.0521259261</v>
      </c>
      <c r="B14" s="28" t="s">
        <v>75</v>
      </c>
      <c r="C14" s="35">
        <v>276812.64</v>
      </c>
      <c r="D14" s="35">
        <v>250024.32000000004</v>
      </c>
      <c r="E14" s="35">
        <v>276812.64</v>
      </c>
      <c r="F14" s="35">
        <v>190800</v>
      </c>
      <c r="G14" s="35">
        <v>124020</v>
      </c>
      <c r="H14" s="35">
        <v>71550</v>
      </c>
      <c r="I14" s="35">
        <v>71550</v>
      </c>
      <c r="J14" s="35">
        <v>66780</v>
      </c>
      <c r="K14" s="35">
        <v>67960.812125925979</v>
      </c>
      <c r="L14" s="35">
        <v>113411.52</v>
      </c>
      <c r="M14" s="35">
        <v>175917.6</v>
      </c>
      <c r="N14" s="35">
        <v>186869.52000000002</v>
      </c>
    </row>
    <row r="15" spans="1:16" x14ac:dyDescent="0.25">
      <c r="A15" s="12">
        <f t="shared" si="0"/>
        <v>0</v>
      </c>
      <c r="B15" s="9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</row>
    <row r="16" spans="1:16" x14ac:dyDescent="0.25">
      <c r="A16" s="12">
        <f t="shared" si="0"/>
        <v>0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25">
      <c r="A17" s="12"/>
      <c r="B17" s="8" t="s">
        <v>81</v>
      </c>
      <c r="C17" s="34" t="s">
        <v>0</v>
      </c>
      <c r="D17" s="34" t="s">
        <v>1</v>
      </c>
      <c r="E17" s="34" t="s">
        <v>2</v>
      </c>
      <c r="F17" s="34" t="s">
        <v>3</v>
      </c>
      <c r="G17" s="34" t="s">
        <v>4</v>
      </c>
      <c r="H17" s="34" t="s">
        <v>5</v>
      </c>
      <c r="I17" s="34" t="s">
        <v>6</v>
      </c>
      <c r="J17" s="34" t="s">
        <v>7</v>
      </c>
      <c r="K17" s="34" t="s">
        <v>8</v>
      </c>
      <c r="L17" s="34" t="s">
        <v>9</v>
      </c>
      <c r="M17" s="34" t="s">
        <v>10</v>
      </c>
      <c r="N17" s="34" t="s">
        <v>11</v>
      </c>
    </row>
    <row r="18" spans="1:14" x14ac:dyDescent="0.25">
      <c r="A18" s="35">
        <f t="shared" si="0"/>
        <v>25040</v>
      </c>
      <c r="B18" s="28" t="s">
        <v>45</v>
      </c>
      <c r="C18" s="35">
        <v>8556</v>
      </c>
      <c r="D18" s="35">
        <v>7728</v>
      </c>
      <c r="E18" s="35">
        <v>8556</v>
      </c>
      <c r="F18" s="35">
        <v>200</v>
      </c>
      <c r="G18" s="35">
        <v>1E-14</v>
      </c>
      <c r="H18" s="35">
        <v>1E-14</v>
      </c>
      <c r="I18" s="35">
        <v>1E-14</v>
      </c>
      <c r="J18" s="35">
        <v>1E-14</v>
      </c>
      <c r="K18" s="35">
        <v>1E-14</v>
      </c>
      <c r="L18" s="35">
        <v>1E-14</v>
      </c>
      <c r="M18" s="35">
        <v>1E-14</v>
      </c>
      <c r="N18" s="35">
        <v>1E-14</v>
      </c>
    </row>
    <row r="19" spans="1:14" x14ac:dyDescent="0.25">
      <c r="A19" s="35">
        <f t="shared" si="0"/>
        <v>171239.77485596709</v>
      </c>
      <c r="B19" s="28" t="s">
        <v>46</v>
      </c>
      <c r="C19" s="35">
        <v>20460</v>
      </c>
      <c r="D19" s="35">
        <v>18480</v>
      </c>
      <c r="E19" s="35">
        <v>20460</v>
      </c>
      <c r="F19" s="35">
        <v>19800</v>
      </c>
      <c r="G19" s="35">
        <v>13000</v>
      </c>
      <c r="H19" s="35">
        <v>7500</v>
      </c>
      <c r="I19" s="35">
        <v>7500</v>
      </c>
      <c r="J19" s="35">
        <v>7000</v>
      </c>
      <c r="K19" s="35">
        <v>7123.7748559670836</v>
      </c>
      <c r="L19" s="35">
        <v>11888</v>
      </c>
      <c r="M19" s="35">
        <v>18440</v>
      </c>
      <c r="N19" s="35">
        <v>19588</v>
      </c>
    </row>
    <row r="20" spans="1:14" x14ac:dyDescent="0.25">
      <c r="A20" s="35">
        <f t="shared" si="0"/>
        <v>32620.225144032916</v>
      </c>
      <c r="B20" s="28" t="s">
        <v>47</v>
      </c>
      <c r="C20" s="35">
        <v>2284</v>
      </c>
      <c r="D20" s="35">
        <v>5792</v>
      </c>
      <c r="E20" s="35">
        <v>484</v>
      </c>
      <c r="F20" s="35">
        <v>1E-14</v>
      </c>
      <c r="G20" s="35">
        <v>1E-14</v>
      </c>
      <c r="H20" s="35">
        <v>1E-14</v>
      </c>
      <c r="I20" s="35">
        <v>1E-14</v>
      </c>
      <c r="J20" s="35">
        <v>1E-14</v>
      </c>
      <c r="K20" s="35">
        <v>876.22514403291643</v>
      </c>
      <c r="L20" s="35">
        <v>7812</v>
      </c>
      <c r="M20" s="35">
        <v>7560</v>
      </c>
      <c r="N20" s="35">
        <v>7812</v>
      </c>
    </row>
    <row r="21" spans="1:14" x14ac:dyDescent="0.25">
      <c r="A21" s="35">
        <f t="shared" si="0"/>
        <v>1.1999999999999997E-13</v>
      </c>
      <c r="B21" s="28" t="s">
        <v>48</v>
      </c>
      <c r="C21" s="35">
        <v>1E-14</v>
      </c>
      <c r="D21" s="35">
        <v>1E-14</v>
      </c>
      <c r="E21" s="35">
        <v>1E-14</v>
      </c>
      <c r="F21" s="35">
        <v>1E-14</v>
      </c>
      <c r="G21" s="35">
        <v>1E-14</v>
      </c>
      <c r="H21" s="35">
        <v>1E-14</v>
      </c>
      <c r="I21" s="35">
        <v>1E-14</v>
      </c>
      <c r="J21" s="35">
        <v>1E-14</v>
      </c>
      <c r="K21" s="35">
        <v>1E-14</v>
      </c>
      <c r="L21" s="35">
        <v>1E-14</v>
      </c>
      <c r="M21" s="35">
        <v>1E-14</v>
      </c>
      <c r="N21" s="35">
        <v>1E-14</v>
      </c>
    </row>
    <row r="22" spans="1:14" x14ac:dyDescent="0.25">
      <c r="A22" s="35">
        <f t="shared" si="0"/>
        <v>11100</v>
      </c>
      <c r="B22" s="28" t="s">
        <v>94</v>
      </c>
      <c r="C22" s="35">
        <v>3999.9999999999995</v>
      </c>
      <c r="D22" s="35">
        <v>1E-14</v>
      </c>
      <c r="E22" s="35">
        <v>1E-14</v>
      </c>
      <c r="F22" s="35">
        <v>1E-14</v>
      </c>
      <c r="G22" s="35">
        <v>1E-14</v>
      </c>
      <c r="H22" s="35">
        <v>1E-14</v>
      </c>
      <c r="I22" s="35">
        <v>1E-14</v>
      </c>
      <c r="J22" s="35">
        <v>1E-14</v>
      </c>
      <c r="K22" s="35">
        <v>1E-14</v>
      </c>
      <c r="L22" s="35">
        <v>1E-14</v>
      </c>
      <c r="M22" s="35">
        <v>1500</v>
      </c>
      <c r="N22" s="35">
        <v>5600</v>
      </c>
    </row>
    <row r="23" spans="1:14" x14ac:dyDescent="0.25">
      <c r="A23" s="35">
        <f t="shared" si="0"/>
        <v>-1.1999999999999997E-13</v>
      </c>
      <c r="B23" s="28" t="s">
        <v>49</v>
      </c>
      <c r="C23" s="35">
        <v>-1E-14</v>
      </c>
      <c r="D23" s="35">
        <v>-1E-14</v>
      </c>
      <c r="E23" s="35">
        <v>-1E-14</v>
      </c>
      <c r="F23" s="35">
        <v>-1E-14</v>
      </c>
      <c r="G23" s="35">
        <v>-1E-14</v>
      </c>
      <c r="H23" s="35">
        <v>-1E-14</v>
      </c>
      <c r="I23" s="35">
        <v>-1E-14</v>
      </c>
      <c r="J23" s="35">
        <v>-1E-14</v>
      </c>
      <c r="K23" s="35">
        <v>-1E-14</v>
      </c>
      <c r="L23" s="35">
        <v>-1E-14</v>
      </c>
      <c r="M23" s="35">
        <v>-1E-14</v>
      </c>
      <c r="N23" s="35">
        <v>-1E-14</v>
      </c>
    </row>
    <row r="24" spans="1:14" x14ac:dyDescent="0.25">
      <c r="A24" s="12">
        <f t="shared" si="0"/>
        <v>0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25">
      <c r="A25" s="12">
        <f t="shared" si="0"/>
        <v>0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25">
      <c r="A26" s="12"/>
      <c r="B26" s="8" t="s">
        <v>82</v>
      </c>
      <c r="C26" s="34" t="s">
        <v>0</v>
      </c>
      <c r="D26" s="34" t="s">
        <v>1</v>
      </c>
      <c r="E26" s="34" t="s">
        <v>2</v>
      </c>
      <c r="F26" s="34" t="s">
        <v>3</v>
      </c>
      <c r="G26" s="34" t="s">
        <v>4</v>
      </c>
      <c r="H26" s="34" t="s">
        <v>5</v>
      </c>
      <c r="I26" s="34" t="s">
        <v>6</v>
      </c>
      <c r="J26" s="34" t="s">
        <v>7</v>
      </c>
      <c r="K26" s="34" t="s">
        <v>8</v>
      </c>
      <c r="L26" s="34" t="s">
        <v>9</v>
      </c>
      <c r="M26" s="34" t="s">
        <v>10</v>
      </c>
      <c r="N26" s="34" t="s">
        <v>11</v>
      </c>
    </row>
    <row r="27" spans="1:14" x14ac:dyDescent="0.25">
      <c r="A27" s="35">
        <f t="shared" si="0"/>
        <v>9093</v>
      </c>
      <c r="B27" s="40" t="s">
        <v>14</v>
      </c>
      <c r="C27" s="35">
        <v>1E-14</v>
      </c>
      <c r="D27" s="35">
        <v>1E-14</v>
      </c>
      <c r="E27" s="35">
        <v>1E-14</v>
      </c>
      <c r="F27" s="35">
        <v>1E-14</v>
      </c>
      <c r="G27" s="35">
        <v>1E-14</v>
      </c>
      <c r="H27" s="35">
        <v>1E-14</v>
      </c>
      <c r="I27" s="35">
        <v>1E-14</v>
      </c>
      <c r="J27" s="35">
        <v>1E-14</v>
      </c>
      <c r="K27" s="35">
        <v>1E-14</v>
      </c>
      <c r="L27" s="35">
        <v>1E-14</v>
      </c>
      <c r="M27" s="35">
        <v>3599.8078144078145</v>
      </c>
      <c r="N27" s="35">
        <v>5493.1921855921846</v>
      </c>
    </row>
    <row r="28" spans="1:14" x14ac:dyDescent="0.25">
      <c r="A28" s="35">
        <f t="shared" si="0"/>
        <v>28869</v>
      </c>
      <c r="B28" s="40" t="s">
        <v>17</v>
      </c>
      <c r="C28" s="35">
        <v>2405.75</v>
      </c>
      <c r="D28" s="35">
        <v>2405.75</v>
      </c>
      <c r="E28" s="35">
        <v>2405.75</v>
      </c>
      <c r="F28" s="35">
        <v>2405.75</v>
      </c>
      <c r="G28" s="35">
        <v>2405.75</v>
      </c>
      <c r="H28" s="35">
        <v>2405.75</v>
      </c>
      <c r="I28" s="35">
        <v>2405.75</v>
      </c>
      <c r="J28" s="35">
        <v>2405.75</v>
      </c>
      <c r="K28" s="35">
        <v>2405.75</v>
      </c>
      <c r="L28" s="35">
        <v>2405.75</v>
      </c>
      <c r="M28" s="35">
        <v>2405.75</v>
      </c>
      <c r="N28" s="35">
        <v>2405.75</v>
      </c>
    </row>
    <row r="29" spans="1:14" x14ac:dyDescent="0.25">
      <c r="A29" s="35">
        <f t="shared" si="0"/>
        <v>3499.9999999999991</v>
      </c>
      <c r="B29" s="40" t="s">
        <v>18</v>
      </c>
      <c r="C29" s="35">
        <v>1E-14</v>
      </c>
      <c r="D29" s="35">
        <v>1E-14</v>
      </c>
      <c r="E29" s="35">
        <v>1E-14</v>
      </c>
      <c r="F29" s="35">
        <v>1E-14</v>
      </c>
      <c r="G29" s="35">
        <v>1E-14</v>
      </c>
      <c r="H29" s="35">
        <v>1E-14</v>
      </c>
      <c r="I29" s="35">
        <v>1E-14</v>
      </c>
      <c r="J29" s="35">
        <v>1E-14</v>
      </c>
      <c r="K29" s="35">
        <v>1E-14</v>
      </c>
      <c r="L29" s="35">
        <v>1845.0112332112337</v>
      </c>
      <c r="M29" s="35">
        <v>1654.9887667887656</v>
      </c>
      <c r="N29" s="35">
        <v>1E-14</v>
      </c>
    </row>
    <row r="30" spans="1:14" x14ac:dyDescent="0.25">
      <c r="A30" s="35">
        <f t="shared" si="0"/>
        <v>7800</v>
      </c>
      <c r="B30" s="40" t="s">
        <v>21</v>
      </c>
      <c r="C30" s="35">
        <v>650</v>
      </c>
      <c r="D30" s="35">
        <v>650</v>
      </c>
      <c r="E30" s="35">
        <v>650</v>
      </c>
      <c r="F30" s="35">
        <v>650</v>
      </c>
      <c r="G30" s="35">
        <v>650</v>
      </c>
      <c r="H30" s="35">
        <v>650</v>
      </c>
      <c r="I30" s="35">
        <v>650</v>
      </c>
      <c r="J30" s="35">
        <v>650</v>
      </c>
      <c r="K30" s="35">
        <v>650</v>
      </c>
      <c r="L30" s="35">
        <v>650</v>
      </c>
      <c r="M30" s="35">
        <v>650</v>
      </c>
      <c r="N30" s="35">
        <v>650</v>
      </c>
    </row>
    <row r="31" spans="1:14" x14ac:dyDescent="0.25">
      <c r="A31" s="35">
        <f t="shared" si="0"/>
        <v>1.1999999999999997E-13</v>
      </c>
      <c r="B31" s="40" t="s">
        <v>22</v>
      </c>
      <c r="C31" s="35">
        <v>1E-14</v>
      </c>
      <c r="D31" s="35">
        <v>1E-14</v>
      </c>
      <c r="E31" s="35">
        <v>1E-14</v>
      </c>
      <c r="F31" s="35">
        <v>1E-14</v>
      </c>
      <c r="G31" s="35">
        <v>1E-14</v>
      </c>
      <c r="H31" s="35">
        <v>1E-14</v>
      </c>
      <c r="I31" s="35">
        <v>1E-14</v>
      </c>
      <c r="J31" s="35">
        <v>1E-14</v>
      </c>
      <c r="K31" s="35">
        <v>1E-14</v>
      </c>
      <c r="L31" s="35">
        <v>1E-14</v>
      </c>
      <c r="M31" s="35">
        <v>1E-14</v>
      </c>
      <c r="N31" s="35">
        <v>1E-14</v>
      </c>
    </row>
    <row r="32" spans="1:14" x14ac:dyDescent="0.25">
      <c r="A32" s="35">
        <f t="shared" si="0"/>
        <v>1.1999999999999997E-13</v>
      </c>
      <c r="B32" s="40" t="s">
        <v>23</v>
      </c>
      <c r="C32" s="35">
        <v>1E-14</v>
      </c>
      <c r="D32" s="35">
        <v>1E-14</v>
      </c>
      <c r="E32" s="35">
        <v>1E-14</v>
      </c>
      <c r="F32" s="35">
        <v>1E-14</v>
      </c>
      <c r="G32" s="35">
        <v>1E-14</v>
      </c>
      <c r="H32" s="35">
        <v>1E-14</v>
      </c>
      <c r="I32" s="35">
        <v>1E-14</v>
      </c>
      <c r="J32" s="35">
        <v>1E-14</v>
      </c>
      <c r="K32" s="35">
        <v>1E-14</v>
      </c>
      <c r="L32" s="35">
        <v>1E-14</v>
      </c>
      <c r="M32" s="35">
        <v>1E-14</v>
      </c>
      <c r="N32" s="35">
        <v>1E-14</v>
      </c>
    </row>
    <row r="33" spans="1:14" x14ac:dyDescent="0.25">
      <c r="A33" s="35">
        <f t="shared" si="0"/>
        <v>5200</v>
      </c>
      <c r="B33" s="40" t="s">
        <v>24</v>
      </c>
      <c r="C33" s="35">
        <v>5200</v>
      </c>
      <c r="D33" s="35">
        <v>1E-14</v>
      </c>
      <c r="E33" s="35">
        <v>1E-14</v>
      </c>
      <c r="F33" s="35">
        <v>1E-14</v>
      </c>
      <c r="G33" s="35">
        <v>1E-14</v>
      </c>
      <c r="H33" s="35">
        <v>1E-14</v>
      </c>
      <c r="I33" s="35">
        <v>1E-14</v>
      </c>
      <c r="J33" s="35">
        <v>1E-14</v>
      </c>
      <c r="K33" s="35">
        <v>1E-14</v>
      </c>
      <c r="L33" s="35">
        <v>1E-14</v>
      </c>
      <c r="M33" s="35">
        <v>1E-14</v>
      </c>
      <c r="N33" s="35">
        <v>1E-14</v>
      </c>
    </row>
    <row r="34" spans="1:14" x14ac:dyDescent="0.25">
      <c r="A34" s="35">
        <f t="shared" si="0"/>
        <v>500.00000000000006</v>
      </c>
      <c r="B34" s="40" t="s">
        <v>25</v>
      </c>
      <c r="C34" s="35">
        <v>41.666666666666664</v>
      </c>
      <c r="D34" s="35">
        <v>41.666666666666664</v>
      </c>
      <c r="E34" s="35">
        <v>41.666666666666664</v>
      </c>
      <c r="F34" s="35">
        <v>41.666666666666664</v>
      </c>
      <c r="G34" s="35">
        <v>41.666666666666664</v>
      </c>
      <c r="H34" s="35">
        <v>41.666666666666664</v>
      </c>
      <c r="I34" s="35">
        <v>41.666666666666664</v>
      </c>
      <c r="J34" s="35">
        <v>41.666666666666664</v>
      </c>
      <c r="K34" s="35">
        <v>41.666666666666664</v>
      </c>
      <c r="L34" s="35">
        <v>41.666666666666664</v>
      </c>
      <c r="M34" s="35">
        <v>41.666666666666664</v>
      </c>
      <c r="N34" s="35">
        <v>41.666666666666679</v>
      </c>
    </row>
    <row r="35" spans="1:14" x14ac:dyDescent="0.25">
      <c r="A35" s="35">
        <f t="shared" si="0"/>
        <v>39999.999999999993</v>
      </c>
      <c r="B35" s="40" t="s">
        <v>28</v>
      </c>
      <c r="C35" s="35">
        <v>5174.4808058608041</v>
      </c>
      <c r="D35" s="35">
        <v>10239.032893772892</v>
      </c>
      <c r="E35" s="35">
        <v>11631.623663003662</v>
      </c>
      <c r="F35" s="35">
        <v>6848.6223443223435</v>
      </c>
      <c r="G35" s="35">
        <v>3398.8957509157508</v>
      </c>
      <c r="H35" s="35">
        <v>707.96300366300341</v>
      </c>
      <c r="I35" s="35">
        <v>700.87377289377218</v>
      </c>
      <c r="J35" s="35">
        <v>455.59904761904716</v>
      </c>
      <c r="K35" s="35">
        <v>315.91538905539119</v>
      </c>
      <c r="L35" s="35">
        <v>526.99332889332754</v>
      </c>
      <c r="M35" s="35">
        <v>1E-14</v>
      </c>
      <c r="N35" s="35">
        <v>1E-14</v>
      </c>
    </row>
    <row r="36" spans="1:14" x14ac:dyDescent="0.25">
      <c r="A36" s="35">
        <f t="shared" si="0"/>
        <v>2000.0000000000002</v>
      </c>
      <c r="B36" s="40" t="s">
        <v>29</v>
      </c>
      <c r="C36" s="35">
        <v>2000.0000000000002</v>
      </c>
      <c r="D36" s="35">
        <v>1E-14</v>
      </c>
      <c r="E36" s="35">
        <v>1E-14</v>
      </c>
      <c r="F36" s="35">
        <v>1E-14</v>
      </c>
      <c r="G36" s="35">
        <v>1E-14</v>
      </c>
      <c r="H36" s="35">
        <v>1E-14</v>
      </c>
      <c r="I36" s="35">
        <v>1E-14</v>
      </c>
      <c r="J36" s="35">
        <v>1E-14</v>
      </c>
      <c r="K36" s="35">
        <v>1E-14</v>
      </c>
      <c r="L36" s="35">
        <v>1E-14</v>
      </c>
      <c r="M36" s="35">
        <v>1E-14</v>
      </c>
      <c r="N36" s="35">
        <v>1E-14</v>
      </c>
    </row>
    <row r="37" spans="1:14" x14ac:dyDescent="0.25">
      <c r="A37" s="35">
        <f t="shared" si="0"/>
        <v>150.00000000000011</v>
      </c>
      <c r="B37" s="40" t="s">
        <v>31</v>
      </c>
      <c r="C37" s="35">
        <v>1E-14</v>
      </c>
      <c r="D37" s="35">
        <v>1E-14</v>
      </c>
      <c r="E37" s="35">
        <v>1E-14</v>
      </c>
      <c r="F37" s="35">
        <v>1E-14</v>
      </c>
      <c r="G37" s="35">
        <v>1E-14</v>
      </c>
      <c r="H37" s="35">
        <v>1E-14</v>
      </c>
      <c r="I37" s="35">
        <v>1E-14</v>
      </c>
      <c r="J37" s="35">
        <v>1E-14</v>
      </c>
      <c r="K37" s="35">
        <v>1E-14</v>
      </c>
      <c r="L37" s="35">
        <v>1E-14</v>
      </c>
      <c r="M37" s="35">
        <v>1E-14</v>
      </c>
      <c r="N37" s="35">
        <v>150</v>
      </c>
    </row>
    <row r="38" spans="1:14" x14ac:dyDescent="0.25">
      <c r="A38" s="35">
        <f t="shared" si="0"/>
        <v>120.00000000000011</v>
      </c>
      <c r="B38" s="40" t="s">
        <v>34</v>
      </c>
      <c r="C38" s="35">
        <v>1E-14</v>
      </c>
      <c r="D38" s="35">
        <v>1E-14</v>
      </c>
      <c r="E38" s="35">
        <v>1E-14</v>
      </c>
      <c r="F38" s="35">
        <v>1E-14</v>
      </c>
      <c r="G38" s="35">
        <v>1E-14</v>
      </c>
      <c r="H38" s="35">
        <v>1E-14</v>
      </c>
      <c r="I38" s="35">
        <v>1E-14</v>
      </c>
      <c r="J38" s="35">
        <v>1E-14</v>
      </c>
      <c r="K38" s="35">
        <v>1E-14</v>
      </c>
      <c r="L38" s="35">
        <v>1E-14</v>
      </c>
      <c r="M38" s="35">
        <v>1E-14</v>
      </c>
      <c r="N38" s="35">
        <v>120</v>
      </c>
    </row>
    <row r="39" spans="1:14" x14ac:dyDescent="0.25">
      <c r="A39" s="35">
        <f t="shared" si="0"/>
        <v>8634.7654793028305</v>
      </c>
      <c r="B39" s="40" t="s">
        <v>35</v>
      </c>
      <c r="C39" s="35">
        <v>604.58823529411768</v>
      </c>
      <c r="D39" s="35">
        <v>1533.1764705882354</v>
      </c>
      <c r="E39" s="35">
        <v>128.11764705882354</v>
      </c>
      <c r="F39" s="35">
        <v>1E-14</v>
      </c>
      <c r="G39" s="35">
        <v>1E-14</v>
      </c>
      <c r="H39" s="35">
        <v>1E-14</v>
      </c>
      <c r="I39" s="35">
        <v>1E-14</v>
      </c>
      <c r="J39" s="35">
        <v>1E-14</v>
      </c>
      <c r="K39" s="35">
        <v>231.94194989106612</v>
      </c>
      <c r="L39" s="35">
        <v>2067.8823529411766</v>
      </c>
      <c r="M39" s="35">
        <v>2001.1764705882354</v>
      </c>
      <c r="N39" s="35">
        <v>2067.8823529411766</v>
      </c>
    </row>
    <row r="40" spans="1:14" x14ac:dyDescent="0.25">
      <c r="A40" s="35">
        <f t="shared" si="0"/>
        <v>11100</v>
      </c>
      <c r="B40" s="40" t="s">
        <v>36</v>
      </c>
      <c r="C40" s="35">
        <v>4000</v>
      </c>
      <c r="D40" s="35">
        <v>1E-14</v>
      </c>
      <c r="E40" s="35">
        <v>1E-14</v>
      </c>
      <c r="F40" s="35">
        <v>1E-14</v>
      </c>
      <c r="G40" s="35">
        <v>1E-14</v>
      </c>
      <c r="H40" s="35">
        <v>1E-14</v>
      </c>
      <c r="I40" s="35">
        <v>1E-14</v>
      </c>
      <c r="J40" s="35">
        <v>1E-14</v>
      </c>
      <c r="K40" s="35">
        <v>1E-14</v>
      </c>
      <c r="L40" s="35">
        <v>1E-14</v>
      </c>
      <c r="M40" s="35">
        <v>1500</v>
      </c>
      <c r="N40" s="35">
        <v>5600</v>
      </c>
    </row>
    <row r="41" spans="1:14" x14ac:dyDescent="0.25">
      <c r="A41" s="35">
        <f t="shared" si="0"/>
        <v>1.1999999999999997E-13</v>
      </c>
      <c r="B41" s="40" t="s">
        <v>91</v>
      </c>
      <c r="C41" s="35">
        <v>1E-14</v>
      </c>
      <c r="D41" s="35">
        <v>1E-14</v>
      </c>
      <c r="E41" s="35">
        <v>1E-14</v>
      </c>
      <c r="F41" s="35">
        <v>1E-14</v>
      </c>
      <c r="G41" s="35">
        <v>1E-14</v>
      </c>
      <c r="H41" s="35">
        <v>1E-14</v>
      </c>
      <c r="I41" s="35">
        <v>1E-14</v>
      </c>
      <c r="J41" s="35">
        <v>1E-14</v>
      </c>
      <c r="K41" s="35">
        <v>1E-14</v>
      </c>
      <c r="L41" s="35">
        <v>1E-14</v>
      </c>
      <c r="M41" s="35">
        <v>1E-14</v>
      </c>
      <c r="N41" s="35">
        <v>1E-14</v>
      </c>
    </row>
    <row r="42" spans="1:14" x14ac:dyDescent="0.25">
      <c r="A42" s="35">
        <f t="shared" si="0"/>
        <v>0</v>
      </c>
      <c r="B42" s="40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</row>
    <row r="43" spans="1:14" x14ac:dyDescent="0.25">
      <c r="A43" s="35">
        <f t="shared" si="0"/>
        <v>0</v>
      </c>
      <c r="B43" s="40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</row>
    <row r="44" spans="1:14" x14ac:dyDescent="0.25">
      <c r="A44" s="35">
        <f t="shared" si="0"/>
        <v>0</v>
      </c>
      <c r="B44" s="40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 x14ac:dyDescent="0.25">
      <c r="A45" s="12">
        <f t="shared" si="0"/>
        <v>0</v>
      </c>
      <c r="B45" s="28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 x14ac:dyDescent="0.25">
      <c r="A46" s="12">
        <f t="shared" si="0"/>
        <v>0</v>
      </c>
      <c r="B46" s="9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x14ac:dyDescent="0.25">
      <c r="A47" s="12">
        <f t="shared" si="0"/>
        <v>0</v>
      </c>
      <c r="B47" s="9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x14ac:dyDescent="0.25">
      <c r="A48" s="12">
        <f t="shared" si="0"/>
        <v>0</v>
      </c>
      <c r="B48" s="9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x14ac:dyDescent="0.25">
      <c r="A49" s="12">
        <f t="shared" si="0"/>
        <v>0</v>
      </c>
      <c r="B49" s="9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</sheetData>
  <conditionalFormatting sqref="C18:N23">
    <cfRule type="colorScale" priority="4">
      <colorScale>
        <cfvo type="min"/>
        <cfvo type="max"/>
        <color rgb="FFFCFCFF"/>
        <color rgb="FF63BE7B"/>
      </colorScale>
    </cfRule>
  </conditionalFormatting>
  <conditionalFormatting sqref="C27:N44">
    <cfRule type="colorScale" priority="3">
      <colorScale>
        <cfvo type="min"/>
        <cfvo type="max"/>
        <color rgb="FFFCFCFF"/>
        <color rgb="FF63BE7B"/>
      </colorScale>
    </cfRule>
  </conditionalFormatting>
  <conditionalFormatting sqref="A27:A44">
    <cfRule type="cellIs" dxfId="4" priority="2" operator="lessThan">
      <formula>0.0000000000012</formula>
    </cfRule>
  </conditionalFormatting>
  <conditionalFormatting sqref="A18:A23">
    <cfRule type="cellIs" dxfId="3" priority="1" operator="lessThan">
      <formula>0.0000000000012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4"/>
  </sheetPr>
  <dimension ref="B2:AD76"/>
  <sheetViews>
    <sheetView tabSelected="1" zoomScale="85" zoomScaleNormal="85" workbookViewId="0">
      <selection activeCell="K16" sqref="K16"/>
    </sheetView>
  </sheetViews>
  <sheetFormatPr defaultRowHeight="15" x14ac:dyDescent="0.25"/>
  <cols>
    <col min="1" max="1" width="5" customWidth="1"/>
    <col min="2" max="2" width="11.7109375" bestFit="1" customWidth="1"/>
    <col min="3" max="3" width="6.85546875" bestFit="1" customWidth="1"/>
    <col min="4" max="4" width="12.140625" bestFit="1" customWidth="1"/>
    <col min="5" max="6" width="7.5703125" bestFit="1" customWidth="1"/>
    <col min="7" max="7" width="7.7109375" bestFit="1" customWidth="1"/>
    <col min="8" max="8" width="7.85546875" customWidth="1"/>
    <col min="9" max="10" width="10.28515625" bestFit="1" customWidth="1"/>
    <col min="11" max="12" width="9.28515625" customWidth="1"/>
    <col min="14" max="14" width="32.85546875" bestFit="1" customWidth="1"/>
    <col min="15" max="15" width="16.28515625" bestFit="1" customWidth="1"/>
  </cols>
  <sheetData>
    <row r="2" spans="2:22" x14ac:dyDescent="0.25">
      <c r="B2" s="2" t="s">
        <v>86</v>
      </c>
      <c r="C2" s="4" t="s">
        <v>38</v>
      </c>
      <c r="D2" s="5"/>
      <c r="E2" s="5" t="s">
        <v>87</v>
      </c>
      <c r="F2" s="43" t="s">
        <v>39</v>
      </c>
      <c r="G2" s="43" t="s">
        <v>39</v>
      </c>
      <c r="H2" s="5"/>
      <c r="I2" s="5" t="s">
        <v>39</v>
      </c>
      <c r="J2" s="5"/>
      <c r="K2" t="s">
        <v>40</v>
      </c>
      <c r="L2" t="s">
        <v>40</v>
      </c>
      <c r="O2" s="2"/>
      <c r="P2" s="2"/>
      <c r="Q2" s="2"/>
      <c r="R2" s="4" t="s">
        <v>57</v>
      </c>
      <c r="S2" s="4" t="s">
        <v>58</v>
      </c>
      <c r="T2" s="4" t="s">
        <v>59</v>
      </c>
      <c r="V2" s="4" t="s">
        <v>60</v>
      </c>
    </row>
    <row r="3" spans="2:22" x14ac:dyDescent="0.25">
      <c r="B3" s="8" t="s">
        <v>90</v>
      </c>
      <c r="C3" s="27" t="s">
        <v>41</v>
      </c>
      <c r="D3" s="27" t="s">
        <v>88</v>
      </c>
      <c r="E3" s="27" t="s">
        <v>89</v>
      </c>
      <c r="F3" s="44" t="s">
        <v>42</v>
      </c>
      <c r="G3" s="44" t="s">
        <v>43</v>
      </c>
      <c r="H3" s="27" t="s">
        <v>44</v>
      </c>
      <c r="I3" s="27" t="s">
        <v>95</v>
      </c>
      <c r="J3" s="27"/>
      <c r="K3" s="6"/>
      <c r="L3" s="6"/>
      <c r="N3" s="8" t="s">
        <v>78</v>
      </c>
      <c r="O3" s="27" t="s">
        <v>41</v>
      </c>
      <c r="P3" s="27" t="s">
        <v>61</v>
      </c>
      <c r="Q3" s="27" t="s">
        <v>92</v>
      </c>
      <c r="R3" s="27" t="s">
        <v>62</v>
      </c>
      <c r="S3" s="27" t="s">
        <v>63</v>
      </c>
      <c r="T3" s="27" t="s">
        <v>64</v>
      </c>
      <c r="U3" s="27" t="s">
        <v>65</v>
      </c>
      <c r="V3" s="27" t="s">
        <v>93</v>
      </c>
    </row>
    <row r="4" spans="2:22" x14ac:dyDescent="0.25">
      <c r="B4" s="26" t="s">
        <v>45</v>
      </c>
      <c r="C4" s="4">
        <v>1</v>
      </c>
      <c r="D4">
        <v>4.5999999999999996</v>
      </c>
      <c r="E4">
        <v>9.5</v>
      </c>
      <c r="F4">
        <v>2</v>
      </c>
      <c r="G4">
        <v>0.6</v>
      </c>
      <c r="H4" s="45">
        <v>50</v>
      </c>
      <c r="I4" s="46"/>
      <c r="J4" s="47"/>
      <c r="K4" s="7"/>
      <c r="L4" s="7"/>
      <c r="N4" s="30" t="s">
        <v>14</v>
      </c>
      <c r="O4" s="4">
        <v>1</v>
      </c>
      <c r="P4" s="4">
        <v>1</v>
      </c>
      <c r="Q4" s="1">
        <v>1</v>
      </c>
      <c r="R4" s="1">
        <v>9093</v>
      </c>
      <c r="S4" s="13">
        <v>525</v>
      </c>
      <c r="T4">
        <v>10.5</v>
      </c>
      <c r="U4" s="13">
        <v>0.45</v>
      </c>
      <c r="V4" s="1">
        <v>50</v>
      </c>
    </row>
    <row r="5" spans="2:22" x14ac:dyDescent="0.25">
      <c r="B5" s="26" t="s">
        <v>46</v>
      </c>
      <c r="C5" s="4">
        <v>1</v>
      </c>
      <c r="D5">
        <v>12.42</v>
      </c>
      <c r="E5">
        <v>22.5</v>
      </c>
      <c r="F5">
        <v>5</v>
      </c>
      <c r="G5">
        <v>0.65</v>
      </c>
      <c r="H5" s="45">
        <v>40</v>
      </c>
      <c r="I5" s="46"/>
      <c r="J5" s="47"/>
      <c r="K5" s="7"/>
      <c r="L5" s="7"/>
      <c r="N5" s="31" t="s">
        <v>15</v>
      </c>
      <c r="O5" s="4"/>
      <c r="P5" s="4">
        <v>1</v>
      </c>
      <c r="Q5" s="1">
        <v>1</v>
      </c>
      <c r="R5" s="1"/>
      <c r="S5" s="13">
        <v>-50</v>
      </c>
      <c r="T5">
        <v>10.5</v>
      </c>
      <c r="U5" s="13">
        <v>0.45</v>
      </c>
      <c r="V5" s="1">
        <v>-4.7619047619047619</v>
      </c>
    </row>
    <row r="6" spans="2:22" x14ac:dyDescent="0.25">
      <c r="B6" s="26" t="s">
        <v>47</v>
      </c>
      <c r="C6" s="4">
        <v>1</v>
      </c>
      <c r="E6">
        <v>10.5</v>
      </c>
      <c r="G6">
        <v>0.85</v>
      </c>
      <c r="H6" s="45">
        <v>25</v>
      </c>
      <c r="I6" s="46">
        <v>200</v>
      </c>
      <c r="J6" s="47"/>
      <c r="K6" s="7"/>
      <c r="L6" s="7"/>
      <c r="N6" s="31" t="s">
        <v>16</v>
      </c>
      <c r="O6" s="4"/>
      <c r="P6" s="4">
        <v>1</v>
      </c>
      <c r="Q6" s="1">
        <v>1</v>
      </c>
      <c r="R6" s="1"/>
      <c r="S6" s="13">
        <v>-50</v>
      </c>
      <c r="T6">
        <v>10.5</v>
      </c>
      <c r="U6" s="13">
        <v>0.45</v>
      </c>
      <c r="V6" s="1">
        <v>-4.7619047619047619</v>
      </c>
    </row>
    <row r="7" spans="2:22" x14ac:dyDescent="0.25">
      <c r="B7" s="26" t="s">
        <v>48</v>
      </c>
      <c r="C7" s="4">
        <v>1</v>
      </c>
      <c r="E7">
        <v>100</v>
      </c>
      <c r="G7">
        <v>1</v>
      </c>
      <c r="H7" s="45"/>
      <c r="I7" s="46">
        <v>800</v>
      </c>
      <c r="J7" s="47"/>
      <c r="K7" s="7"/>
      <c r="L7" s="7"/>
      <c r="N7" s="30" t="s">
        <v>17</v>
      </c>
      <c r="O7" s="4">
        <v>1</v>
      </c>
      <c r="P7" s="4">
        <v>1</v>
      </c>
      <c r="Q7" s="1"/>
      <c r="R7" s="1">
        <v>28869</v>
      </c>
      <c r="S7" s="13">
        <v>525</v>
      </c>
      <c r="T7">
        <v>9.4</v>
      </c>
      <c r="U7" s="13">
        <v>0.49</v>
      </c>
      <c r="V7" s="1">
        <v>55.851063829787229</v>
      </c>
    </row>
    <row r="8" spans="2:22" x14ac:dyDescent="0.25">
      <c r="B8" s="26" t="s">
        <v>94</v>
      </c>
      <c r="C8" s="4">
        <v>1</v>
      </c>
      <c r="E8">
        <v>8</v>
      </c>
      <c r="G8">
        <v>1</v>
      </c>
      <c r="H8" s="45"/>
      <c r="I8" s="46">
        <v>150</v>
      </c>
      <c r="J8" s="47"/>
      <c r="K8" s="7"/>
      <c r="L8" s="7"/>
      <c r="N8" s="30" t="s">
        <v>18</v>
      </c>
      <c r="O8" s="4">
        <v>1</v>
      </c>
      <c r="P8" s="4">
        <v>1</v>
      </c>
      <c r="Q8" s="1">
        <v>1</v>
      </c>
      <c r="R8" s="1">
        <v>3500</v>
      </c>
      <c r="S8" s="13">
        <v>525</v>
      </c>
      <c r="T8">
        <v>10.5</v>
      </c>
      <c r="U8" s="13">
        <v>0.49</v>
      </c>
      <c r="V8" s="1">
        <v>50</v>
      </c>
    </row>
    <row r="9" spans="2:22" x14ac:dyDescent="0.25">
      <c r="B9" s="26" t="s">
        <v>49</v>
      </c>
      <c r="C9" s="4">
        <v>1</v>
      </c>
      <c r="E9">
        <v>15</v>
      </c>
      <c r="G9">
        <v>1</v>
      </c>
      <c r="H9" s="45">
        <v>10</v>
      </c>
      <c r="I9" s="46"/>
      <c r="J9" s="47"/>
      <c r="K9" s="7"/>
      <c r="L9" s="7"/>
      <c r="N9" s="30" t="s">
        <v>19</v>
      </c>
      <c r="O9" s="4"/>
      <c r="P9" s="4">
        <v>1</v>
      </c>
      <c r="Q9" s="1">
        <v>1</v>
      </c>
      <c r="R9" s="1"/>
      <c r="S9" s="13">
        <v>155</v>
      </c>
      <c r="T9">
        <v>14.5</v>
      </c>
      <c r="U9" s="13">
        <v>0.1</v>
      </c>
      <c r="V9" s="1">
        <v>10.689655172413794</v>
      </c>
    </row>
    <row r="10" spans="2:22" x14ac:dyDescent="0.25">
      <c r="N10" s="30" t="s">
        <v>20</v>
      </c>
      <c r="O10" s="4"/>
      <c r="P10" s="4">
        <v>1</v>
      </c>
      <c r="Q10" s="1"/>
      <c r="R10" s="1"/>
      <c r="S10" s="13">
        <v>525</v>
      </c>
      <c r="T10">
        <v>12</v>
      </c>
      <c r="U10" s="13">
        <v>0.48</v>
      </c>
      <c r="V10" s="1">
        <v>43.75</v>
      </c>
    </row>
    <row r="11" spans="2:22" x14ac:dyDescent="0.25">
      <c r="N11" s="30" t="s">
        <v>21</v>
      </c>
      <c r="O11" s="4">
        <v>1</v>
      </c>
      <c r="P11" s="4">
        <v>1</v>
      </c>
      <c r="Q11" s="1"/>
      <c r="R11" s="1">
        <v>7800</v>
      </c>
      <c r="S11" s="13">
        <v>525</v>
      </c>
      <c r="T11">
        <v>9</v>
      </c>
      <c r="U11" s="13">
        <v>0.48</v>
      </c>
      <c r="V11" s="1">
        <v>58.333333333333336</v>
      </c>
    </row>
    <row r="12" spans="2:22" x14ac:dyDescent="0.25">
      <c r="N12" s="30" t="s">
        <v>22</v>
      </c>
      <c r="O12" s="4">
        <v>1</v>
      </c>
      <c r="P12" s="4">
        <v>1</v>
      </c>
      <c r="Q12" s="1"/>
      <c r="R12" s="1"/>
      <c r="S12" s="13">
        <v>525</v>
      </c>
      <c r="T12">
        <v>11</v>
      </c>
      <c r="U12" s="13">
        <v>0.52</v>
      </c>
      <c r="V12" s="1">
        <v>47.727272727272727</v>
      </c>
    </row>
    <row r="13" spans="2:22" x14ac:dyDescent="0.25">
      <c r="B13" s="2"/>
      <c r="C13" s="2"/>
      <c r="D13" s="4"/>
      <c r="E13" s="4"/>
      <c r="F13" s="4"/>
      <c r="G13" s="4"/>
      <c r="H13" s="4"/>
      <c r="I13" s="4"/>
      <c r="N13" s="30" t="s">
        <v>23</v>
      </c>
      <c r="O13" s="4">
        <v>1</v>
      </c>
      <c r="P13" s="4">
        <v>1</v>
      </c>
      <c r="Q13" s="1"/>
      <c r="R13" s="1"/>
      <c r="S13" s="13">
        <v>525</v>
      </c>
      <c r="T13">
        <v>9.5</v>
      </c>
      <c r="U13" s="13">
        <v>0.45</v>
      </c>
      <c r="V13" s="1">
        <v>55.263157894736842</v>
      </c>
    </row>
    <row r="14" spans="2:22" x14ac:dyDescent="0.25">
      <c r="B14" s="8" t="s">
        <v>50</v>
      </c>
      <c r="C14" s="27" t="s">
        <v>51</v>
      </c>
      <c r="D14" s="27" t="s">
        <v>52</v>
      </c>
      <c r="E14" s="27" t="s">
        <v>85</v>
      </c>
      <c r="F14" s="29" t="s">
        <v>53</v>
      </c>
      <c r="G14" s="27" t="s">
        <v>54</v>
      </c>
      <c r="H14" s="27" t="s">
        <v>55</v>
      </c>
      <c r="I14" s="27" t="s">
        <v>56</v>
      </c>
      <c r="N14" s="30" t="s">
        <v>24</v>
      </c>
      <c r="O14" s="4">
        <v>1</v>
      </c>
      <c r="P14" s="4">
        <v>1</v>
      </c>
      <c r="Q14" s="1">
        <v>1</v>
      </c>
      <c r="R14" s="1">
        <v>5200</v>
      </c>
      <c r="S14" s="13">
        <v>525</v>
      </c>
      <c r="T14">
        <v>9</v>
      </c>
      <c r="U14" s="13">
        <v>0.49</v>
      </c>
      <c r="V14" s="1">
        <v>58.333333333333336</v>
      </c>
    </row>
    <row r="15" spans="2:22" x14ac:dyDescent="0.25">
      <c r="B15" s="28" t="s">
        <v>0</v>
      </c>
      <c r="C15">
        <v>31</v>
      </c>
      <c r="D15" s="1">
        <v>35300</v>
      </c>
      <c r="E15" s="1">
        <v>4000</v>
      </c>
      <c r="F15" s="1">
        <v>5952</v>
      </c>
      <c r="G15" s="10">
        <v>265.64662500000003</v>
      </c>
      <c r="H15">
        <v>25.8</v>
      </c>
      <c r="I15">
        <v>26.5</v>
      </c>
      <c r="N15" s="30" t="s">
        <v>25</v>
      </c>
      <c r="O15" s="4">
        <v>1</v>
      </c>
      <c r="P15" s="4">
        <v>1</v>
      </c>
      <c r="Q15" s="1"/>
      <c r="R15" s="1">
        <v>500</v>
      </c>
      <c r="S15" s="13">
        <v>785</v>
      </c>
      <c r="T15">
        <v>12</v>
      </c>
      <c r="U15" s="13">
        <v>0.48</v>
      </c>
      <c r="V15" s="1">
        <v>65.416666666666671</v>
      </c>
    </row>
    <row r="16" spans="2:22" x14ac:dyDescent="0.25">
      <c r="B16" s="28" t="s">
        <v>1</v>
      </c>
      <c r="C16">
        <v>28</v>
      </c>
      <c r="D16" s="1">
        <v>32000</v>
      </c>
      <c r="E16" s="1"/>
      <c r="F16" s="1">
        <v>5376</v>
      </c>
      <c r="G16" s="10">
        <v>298.42762500000003</v>
      </c>
      <c r="H16">
        <v>25.8</v>
      </c>
      <c r="I16">
        <v>26.5</v>
      </c>
      <c r="N16" s="31" t="s">
        <v>26</v>
      </c>
      <c r="O16" s="4"/>
      <c r="P16" s="4">
        <v>1</v>
      </c>
      <c r="Q16" s="1">
        <v>1</v>
      </c>
      <c r="R16" s="1"/>
      <c r="S16" s="13"/>
      <c r="T16">
        <v>10</v>
      </c>
      <c r="U16" s="13">
        <v>0.49</v>
      </c>
      <c r="V16" s="1"/>
    </row>
    <row r="17" spans="2:30" x14ac:dyDescent="0.25">
      <c r="B17" s="28" t="s">
        <v>2</v>
      </c>
      <c r="C17">
        <v>31</v>
      </c>
      <c r="D17" s="1">
        <v>29500</v>
      </c>
      <c r="E17" s="1"/>
      <c r="F17" s="1">
        <v>5952</v>
      </c>
      <c r="G17" s="10">
        <v>334.72087500000004</v>
      </c>
      <c r="H17">
        <v>25.8</v>
      </c>
      <c r="I17">
        <v>26.5</v>
      </c>
      <c r="N17" s="30" t="s">
        <v>27</v>
      </c>
      <c r="O17" s="4"/>
      <c r="P17" s="4">
        <v>1</v>
      </c>
      <c r="Q17" s="1">
        <v>1</v>
      </c>
      <c r="R17" s="1"/>
      <c r="S17" s="13">
        <v>525</v>
      </c>
      <c r="T17">
        <v>11</v>
      </c>
      <c r="U17" s="13">
        <v>0.49</v>
      </c>
      <c r="V17" s="1">
        <v>47.727272727272727</v>
      </c>
    </row>
    <row r="18" spans="2:30" x14ac:dyDescent="0.25">
      <c r="B18" s="28" t="s">
        <v>3</v>
      </c>
      <c r="C18">
        <v>30</v>
      </c>
      <c r="D18" s="1">
        <v>20000</v>
      </c>
      <c r="E18" s="1"/>
      <c r="F18" s="1">
        <v>5760</v>
      </c>
      <c r="G18" s="10">
        <v>369.84337500000004</v>
      </c>
      <c r="H18">
        <v>25.8</v>
      </c>
      <c r="I18">
        <v>26.5</v>
      </c>
      <c r="N18" s="30" t="s">
        <v>28</v>
      </c>
      <c r="O18" s="4">
        <v>1</v>
      </c>
      <c r="P18" s="4">
        <v>1</v>
      </c>
      <c r="Q18" s="1">
        <v>1</v>
      </c>
      <c r="R18" s="1">
        <v>40000</v>
      </c>
      <c r="S18" s="13">
        <v>399.97499999999997</v>
      </c>
      <c r="T18">
        <v>10.5</v>
      </c>
      <c r="U18" s="13">
        <v>0.54</v>
      </c>
      <c r="V18" s="1">
        <v>38.092857142857142</v>
      </c>
    </row>
    <row r="19" spans="2:30" x14ac:dyDescent="0.25">
      <c r="B19" s="28" t="s">
        <v>4</v>
      </c>
      <c r="C19">
        <v>31</v>
      </c>
      <c r="D19" s="1">
        <v>13000</v>
      </c>
      <c r="E19" s="1"/>
      <c r="F19" s="1">
        <v>5952</v>
      </c>
      <c r="G19" s="10">
        <v>406.13662500000004</v>
      </c>
      <c r="H19">
        <v>25.8</v>
      </c>
      <c r="I19">
        <v>26.5</v>
      </c>
      <c r="N19" s="30" t="s">
        <v>29</v>
      </c>
      <c r="O19" s="4">
        <v>1</v>
      </c>
      <c r="P19" s="4">
        <v>1</v>
      </c>
      <c r="Q19" s="1">
        <v>1</v>
      </c>
      <c r="R19" s="1">
        <v>2000</v>
      </c>
      <c r="S19" s="13">
        <v>515</v>
      </c>
      <c r="T19">
        <v>10.5</v>
      </c>
      <c r="U19" s="13">
        <v>0.55000000000000004</v>
      </c>
      <c r="V19" s="1">
        <v>49.047619047619051</v>
      </c>
    </row>
    <row r="20" spans="2:30" x14ac:dyDescent="0.25">
      <c r="B20" s="28" t="s">
        <v>5</v>
      </c>
      <c r="C20">
        <v>30</v>
      </c>
      <c r="D20" s="1">
        <v>7500</v>
      </c>
      <c r="E20" s="1"/>
      <c r="F20" s="1">
        <v>5760</v>
      </c>
      <c r="G20" s="10">
        <v>441.25912500000004</v>
      </c>
      <c r="H20">
        <v>25.8</v>
      </c>
      <c r="I20">
        <v>26.5</v>
      </c>
      <c r="N20" s="31" t="s">
        <v>30</v>
      </c>
      <c r="O20" s="4"/>
      <c r="P20" s="4">
        <v>1</v>
      </c>
      <c r="Q20" s="1">
        <v>1</v>
      </c>
      <c r="R20" s="14"/>
      <c r="S20" s="13"/>
      <c r="T20">
        <v>13</v>
      </c>
      <c r="U20" s="13"/>
      <c r="V20" s="1"/>
    </row>
    <row r="21" spans="2:30" x14ac:dyDescent="0.25">
      <c r="B21" s="28" t="s">
        <v>6</v>
      </c>
      <c r="C21">
        <v>31</v>
      </c>
      <c r="D21" s="1">
        <v>7500</v>
      </c>
      <c r="E21" s="1"/>
      <c r="F21" s="1">
        <v>5952</v>
      </c>
      <c r="G21" s="10">
        <v>477.55237500000004</v>
      </c>
      <c r="H21">
        <v>25.8</v>
      </c>
      <c r="I21">
        <v>26.5</v>
      </c>
      <c r="N21" s="31" t="s">
        <v>31</v>
      </c>
      <c r="O21" s="4">
        <v>1</v>
      </c>
      <c r="P21" s="4">
        <v>1</v>
      </c>
      <c r="Q21" s="1">
        <v>1</v>
      </c>
      <c r="R21" s="14">
        <v>150</v>
      </c>
      <c r="S21" s="13">
        <v>155</v>
      </c>
      <c r="T21">
        <v>14.5</v>
      </c>
      <c r="U21" s="13"/>
      <c r="V21" s="1">
        <v>10.689655172413794</v>
      </c>
    </row>
    <row r="22" spans="2:30" x14ac:dyDescent="0.25">
      <c r="B22" s="28" t="s">
        <v>7</v>
      </c>
      <c r="C22">
        <v>31</v>
      </c>
      <c r="D22" s="1">
        <v>7000</v>
      </c>
      <c r="E22" s="1"/>
      <c r="F22" s="1">
        <v>5952</v>
      </c>
      <c r="G22" s="10">
        <v>513.84562500000004</v>
      </c>
      <c r="H22">
        <v>25.8</v>
      </c>
      <c r="I22">
        <v>26.5</v>
      </c>
      <c r="N22" s="30" t="s">
        <v>32</v>
      </c>
      <c r="O22" s="4"/>
      <c r="P22" s="4">
        <v>1</v>
      </c>
      <c r="Q22" s="1">
        <v>1</v>
      </c>
      <c r="R22" s="1">
        <v>1500</v>
      </c>
      <c r="S22" s="13"/>
      <c r="T22">
        <v>14.5</v>
      </c>
      <c r="U22" s="13"/>
      <c r="V22" s="1"/>
    </row>
    <row r="23" spans="2:30" x14ac:dyDescent="0.25">
      <c r="B23" s="28" t="s">
        <v>8</v>
      </c>
      <c r="C23">
        <v>30</v>
      </c>
      <c r="D23" s="1">
        <v>8000</v>
      </c>
      <c r="E23" s="1"/>
      <c r="F23" s="1">
        <v>5760</v>
      </c>
      <c r="G23" s="10">
        <v>548.9681250000001</v>
      </c>
      <c r="H23">
        <v>25.8</v>
      </c>
      <c r="I23">
        <v>26.5</v>
      </c>
      <c r="N23" s="30" t="s">
        <v>33</v>
      </c>
      <c r="O23" s="4"/>
      <c r="P23" s="4">
        <v>1</v>
      </c>
      <c r="Q23" s="1">
        <v>1</v>
      </c>
      <c r="R23" s="1"/>
      <c r="S23" s="13"/>
      <c r="T23">
        <v>14.7</v>
      </c>
      <c r="U23" s="13"/>
      <c r="V23" s="1"/>
    </row>
    <row r="24" spans="2:30" x14ac:dyDescent="0.25">
      <c r="B24" s="28" t="s">
        <v>9</v>
      </c>
      <c r="C24">
        <v>31</v>
      </c>
      <c r="D24" s="1">
        <v>19700</v>
      </c>
      <c r="E24" s="1"/>
      <c r="F24" s="1">
        <v>5952</v>
      </c>
      <c r="G24" s="10">
        <v>585.26137500000004</v>
      </c>
      <c r="H24">
        <v>25.8</v>
      </c>
      <c r="I24">
        <v>26.5</v>
      </c>
      <c r="N24" s="30" t="s">
        <v>34</v>
      </c>
      <c r="O24" s="4">
        <v>1</v>
      </c>
      <c r="P24" s="4">
        <v>1</v>
      </c>
      <c r="Q24" s="1">
        <v>1</v>
      </c>
      <c r="R24" s="1">
        <v>120</v>
      </c>
      <c r="S24" s="13">
        <v>685</v>
      </c>
      <c r="T24">
        <v>14</v>
      </c>
      <c r="U24" s="13"/>
      <c r="V24" s="1">
        <v>48.928571428571431</v>
      </c>
    </row>
    <row r="25" spans="2:30" x14ac:dyDescent="0.25">
      <c r="B25" s="28" t="s">
        <v>10</v>
      </c>
      <c r="C25">
        <v>30</v>
      </c>
      <c r="D25" s="1">
        <v>27500</v>
      </c>
      <c r="E25" s="1">
        <v>1500</v>
      </c>
      <c r="F25" s="1">
        <v>5760</v>
      </c>
      <c r="G25" s="10">
        <v>620.38387499999999</v>
      </c>
      <c r="H25">
        <v>25.8</v>
      </c>
      <c r="I25">
        <v>26.5</v>
      </c>
      <c r="N25" s="30" t="s">
        <v>35</v>
      </c>
      <c r="O25" s="4">
        <v>1</v>
      </c>
      <c r="P25" s="4">
        <v>2</v>
      </c>
      <c r="Q25" s="14">
        <v>1</v>
      </c>
      <c r="R25" s="1">
        <v>20000</v>
      </c>
      <c r="S25" s="13"/>
      <c r="T25">
        <v>16</v>
      </c>
      <c r="U25" s="13"/>
      <c r="V25" s="1"/>
    </row>
    <row r="26" spans="2:30" x14ac:dyDescent="0.25">
      <c r="B26" s="28" t="s">
        <v>11</v>
      </c>
      <c r="C26">
        <v>31</v>
      </c>
      <c r="D26" s="1">
        <v>33000</v>
      </c>
      <c r="E26" s="1">
        <v>5600</v>
      </c>
      <c r="F26" s="1">
        <v>5952</v>
      </c>
      <c r="G26" s="10">
        <v>656.67712499999993</v>
      </c>
      <c r="H26">
        <v>25.8</v>
      </c>
      <c r="I26">
        <v>26.5</v>
      </c>
      <c r="N26" s="30" t="s">
        <v>36</v>
      </c>
      <c r="O26" s="4">
        <v>1</v>
      </c>
      <c r="P26" s="4">
        <v>3</v>
      </c>
      <c r="Q26" s="1"/>
      <c r="R26" s="1">
        <v>11100</v>
      </c>
      <c r="S26" s="13"/>
      <c r="T26">
        <v>3.6</v>
      </c>
      <c r="U26" s="13"/>
      <c r="V26" s="1"/>
    </row>
    <row r="27" spans="2:30" x14ac:dyDescent="0.25">
      <c r="B27" s="11"/>
      <c r="C27" s="3"/>
      <c r="D27" s="3"/>
      <c r="E27" s="3"/>
      <c r="F27" s="3"/>
      <c r="N27" s="30" t="s">
        <v>91</v>
      </c>
      <c r="O27">
        <v>1</v>
      </c>
      <c r="P27">
        <v>4</v>
      </c>
      <c r="Q27">
        <v>1</v>
      </c>
      <c r="R27">
        <v>100000</v>
      </c>
      <c r="T27">
        <v>44</v>
      </c>
      <c r="U27">
        <v>1.9549999999999998</v>
      </c>
    </row>
    <row r="30" spans="2:30" x14ac:dyDescent="0.25">
      <c r="B30" s="8" t="s">
        <v>77</v>
      </c>
      <c r="C30" s="27" t="s">
        <v>45</v>
      </c>
      <c r="D30" s="27" t="s">
        <v>46</v>
      </c>
      <c r="E30" s="27" t="s">
        <v>47</v>
      </c>
      <c r="F30" s="27" t="s">
        <v>48</v>
      </c>
      <c r="G30" s="27" t="s">
        <v>94</v>
      </c>
      <c r="H30" s="27" t="s">
        <v>49</v>
      </c>
      <c r="N30" s="8" t="s">
        <v>66</v>
      </c>
      <c r="P30" s="27" t="s">
        <v>0</v>
      </c>
      <c r="Q30" s="27" t="s">
        <v>1</v>
      </c>
      <c r="R30" s="27" t="s">
        <v>2</v>
      </c>
      <c r="S30" s="27" t="s">
        <v>3</v>
      </c>
      <c r="T30" s="27" t="s">
        <v>4</v>
      </c>
      <c r="U30" s="27" t="s">
        <v>5</v>
      </c>
      <c r="V30" s="27" t="s">
        <v>6</v>
      </c>
      <c r="W30" s="27" t="s">
        <v>7</v>
      </c>
      <c r="X30" s="27" t="s">
        <v>8</v>
      </c>
      <c r="Y30" s="27" t="s">
        <v>9</v>
      </c>
      <c r="Z30" s="27" t="s">
        <v>10</v>
      </c>
      <c r="AA30" s="27" t="s">
        <v>11</v>
      </c>
      <c r="AC30" s="6"/>
      <c r="AD30" s="6"/>
    </row>
    <row r="31" spans="2:30" x14ac:dyDescent="0.25">
      <c r="B31" s="28" t="s">
        <v>0</v>
      </c>
      <c r="C31" s="4">
        <v>31</v>
      </c>
      <c r="D31" s="4">
        <v>31</v>
      </c>
      <c r="E31" s="4">
        <v>31</v>
      </c>
      <c r="F31" s="4">
        <v>31</v>
      </c>
      <c r="G31" s="4">
        <v>20.833333333333332</v>
      </c>
      <c r="H31" s="12">
        <v>31</v>
      </c>
      <c r="N31" s="32" t="s">
        <v>14</v>
      </c>
      <c r="O31" s="32" t="s">
        <v>67</v>
      </c>
      <c r="P31" s="16">
        <v>757.75</v>
      </c>
      <c r="Q31" s="16">
        <v>757.75</v>
      </c>
      <c r="R31" s="16">
        <v>757.75</v>
      </c>
      <c r="S31" s="16">
        <v>757.75</v>
      </c>
      <c r="T31" s="16">
        <v>757.75</v>
      </c>
      <c r="U31" s="16">
        <v>757.75</v>
      </c>
      <c r="V31" s="16">
        <v>757.75</v>
      </c>
      <c r="W31" s="16">
        <v>757.75</v>
      </c>
      <c r="X31" s="16">
        <v>757.75</v>
      </c>
      <c r="Y31" s="16">
        <v>757.75</v>
      </c>
      <c r="Z31" s="16">
        <v>757.75</v>
      </c>
      <c r="AA31" s="16">
        <v>757.75</v>
      </c>
      <c r="AB31" s="15"/>
      <c r="AC31" s="17"/>
      <c r="AD31" s="4"/>
    </row>
    <row r="32" spans="2:30" x14ac:dyDescent="0.25">
      <c r="B32" s="28" t="s">
        <v>1</v>
      </c>
      <c r="C32" s="4">
        <v>28</v>
      </c>
      <c r="D32" s="4">
        <v>28</v>
      </c>
      <c r="E32" s="4">
        <v>28</v>
      </c>
      <c r="F32" s="4">
        <v>28</v>
      </c>
      <c r="G32" s="4"/>
      <c r="H32" s="12">
        <v>28</v>
      </c>
      <c r="N32" s="32" t="s">
        <v>17</v>
      </c>
      <c r="O32" s="32" t="s">
        <v>68</v>
      </c>
      <c r="P32" s="16">
        <v>2405.75</v>
      </c>
      <c r="Q32" s="16">
        <v>2405.75</v>
      </c>
      <c r="R32" s="16">
        <v>2405.75</v>
      </c>
      <c r="S32" s="16">
        <v>2405.75</v>
      </c>
      <c r="T32" s="16">
        <v>2405.75</v>
      </c>
      <c r="U32" s="16">
        <v>2405.75</v>
      </c>
      <c r="V32" s="16">
        <v>2405.75</v>
      </c>
      <c r="W32" s="16">
        <v>2405.75</v>
      </c>
      <c r="X32" s="16">
        <v>2405.75</v>
      </c>
      <c r="Y32" s="16">
        <v>2405.75</v>
      </c>
      <c r="Z32" s="16">
        <v>2405.75</v>
      </c>
      <c r="AA32" s="16">
        <v>2405.75</v>
      </c>
      <c r="AB32" s="15"/>
      <c r="AC32" s="17"/>
      <c r="AD32" s="4"/>
    </row>
    <row r="33" spans="2:30" x14ac:dyDescent="0.25">
      <c r="B33" s="28" t="s">
        <v>2</v>
      </c>
      <c r="C33" s="4">
        <v>31</v>
      </c>
      <c r="D33" s="4">
        <v>31</v>
      </c>
      <c r="E33" s="4">
        <v>31</v>
      </c>
      <c r="F33" s="4">
        <v>31</v>
      </c>
      <c r="G33" s="4"/>
      <c r="H33" s="12">
        <v>31</v>
      </c>
      <c r="N33" s="32" t="s">
        <v>17</v>
      </c>
      <c r="O33" s="32" t="s">
        <v>67</v>
      </c>
      <c r="P33" s="16">
        <v>2405.75</v>
      </c>
      <c r="Q33" s="16">
        <v>2405.75</v>
      </c>
      <c r="R33" s="16">
        <v>2405.75</v>
      </c>
      <c r="S33" s="16">
        <v>2405.75</v>
      </c>
      <c r="T33" s="16">
        <v>2405.75</v>
      </c>
      <c r="U33" s="16">
        <v>2405.75</v>
      </c>
      <c r="V33" s="16">
        <v>2405.75</v>
      </c>
      <c r="W33" s="16">
        <v>2405.75</v>
      </c>
      <c r="X33" s="16">
        <v>2405.75</v>
      </c>
      <c r="Y33" s="16">
        <v>2405.75</v>
      </c>
      <c r="Z33" s="16">
        <v>2405.75</v>
      </c>
      <c r="AA33" s="16">
        <v>2405.75</v>
      </c>
      <c r="AB33" s="15"/>
      <c r="AC33" s="17"/>
      <c r="AD33" s="4"/>
    </row>
    <row r="34" spans="2:30" x14ac:dyDescent="0.25">
      <c r="B34" s="28" t="s">
        <v>3</v>
      </c>
      <c r="C34" s="4">
        <v>30</v>
      </c>
      <c r="D34" s="4">
        <v>30</v>
      </c>
      <c r="E34" s="4">
        <v>30</v>
      </c>
      <c r="F34" s="4">
        <v>30</v>
      </c>
      <c r="G34" s="4"/>
      <c r="H34" s="12">
        <v>30</v>
      </c>
      <c r="N34" s="32" t="s">
        <v>18</v>
      </c>
      <c r="O34" s="32" t="s">
        <v>67</v>
      </c>
      <c r="P34" s="16">
        <v>291.66666666666669</v>
      </c>
      <c r="Q34" s="16">
        <v>291.66666666666669</v>
      </c>
      <c r="R34" s="16">
        <v>291.66666666666669</v>
      </c>
      <c r="S34" s="16">
        <v>291.66666666666669</v>
      </c>
      <c r="T34" s="16">
        <v>291.66666666666669</v>
      </c>
      <c r="U34" s="16">
        <v>291.66666666666669</v>
      </c>
      <c r="V34" s="16">
        <v>291.66666666666669</v>
      </c>
      <c r="W34" s="16">
        <v>291.66666666666669</v>
      </c>
      <c r="X34" s="16">
        <v>291.66666666666669</v>
      </c>
      <c r="Y34" s="16">
        <v>291.66666666666669</v>
      </c>
      <c r="Z34" s="16">
        <v>291.66666666666669</v>
      </c>
      <c r="AA34" s="16">
        <v>291.66666666666669</v>
      </c>
      <c r="AB34" s="15"/>
      <c r="AC34" s="17"/>
      <c r="AD34" s="4"/>
    </row>
    <row r="35" spans="2:30" x14ac:dyDescent="0.25">
      <c r="B35" s="28" t="s">
        <v>4</v>
      </c>
      <c r="C35" s="4">
        <v>31</v>
      </c>
      <c r="D35" s="4">
        <v>31</v>
      </c>
      <c r="E35" s="4">
        <v>31</v>
      </c>
      <c r="F35" s="4">
        <v>31</v>
      </c>
      <c r="G35" s="4"/>
      <c r="H35" s="12">
        <v>31</v>
      </c>
      <c r="N35" s="32" t="s">
        <v>21</v>
      </c>
      <c r="O35" s="32" t="s">
        <v>68</v>
      </c>
      <c r="P35" s="16">
        <v>650</v>
      </c>
      <c r="Q35" s="16">
        <v>650</v>
      </c>
      <c r="R35" s="16">
        <v>650</v>
      </c>
      <c r="S35" s="16">
        <v>650</v>
      </c>
      <c r="T35" s="16">
        <v>650</v>
      </c>
      <c r="U35" s="16">
        <v>650</v>
      </c>
      <c r="V35" s="16">
        <v>650</v>
      </c>
      <c r="W35" s="16">
        <v>650</v>
      </c>
      <c r="X35" s="16">
        <v>650</v>
      </c>
      <c r="Y35" s="16">
        <v>650</v>
      </c>
      <c r="Z35" s="16">
        <v>650</v>
      </c>
      <c r="AA35" s="16">
        <v>650</v>
      </c>
      <c r="AB35" s="15"/>
      <c r="AC35" s="17"/>
      <c r="AD35" s="4"/>
    </row>
    <row r="36" spans="2:30" x14ac:dyDescent="0.25">
      <c r="B36" s="28" t="s">
        <v>5</v>
      </c>
      <c r="C36" s="4">
        <v>30</v>
      </c>
      <c r="D36" s="4">
        <v>30</v>
      </c>
      <c r="E36" s="4">
        <v>30</v>
      </c>
      <c r="F36" s="4">
        <v>30</v>
      </c>
      <c r="G36" s="4"/>
      <c r="H36" s="12">
        <v>30</v>
      </c>
      <c r="N36" s="32" t="s">
        <v>21</v>
      </c>
      <c r="O36" s="32" t="s">
        <v>67</v>
      </c>
      <c r="P36" s="16">
        <v>650</v>
      </c>
      <c r="Q36" s="16">
        <v>650</v>
      </c>
      <c r="R36" s="16">
        <v>650</v>
      </c>
      <c r="S36" s="16">
        <v>650</v>
      </c>
      <c r="T36" s="16">
        <v>650</v>
      </c>
      <c r="U36" s="16">
        <v>650</v>
      </c>
      <c r="V36" s="16">
        <v>650</v>
      </c>
      <c r="W36" s="16">
        <v>650</v>
      </c>
      <c r="X36" s="16">
        <v>650</v>
      </c>
      <c r="Y36" s="16">
        <v>650</v>
      </c>
      <c r="Z36" s="16">
        <v>650</v>
      </c>
      <c r="AA36" s="16">
        <v>650</v>
      </c>
      <c r="AB36" s="15"/>
      <c r="AC36" s="17"/>
      <c r="AD36" s="4"/>
    </row>
    <row r="37" spans="2:30" x14ac:dyDescent="0.25">
      <c r="B37" s="28" t="s">
        <v>6</v>
      </c>
      <c r="C37" s="4">
        <v>10</v>
      </c>
      <c r="D37" s="4">
        <v>31</v>
      </c>
      <c r="E37" s="4">
        <v>31</v>
      </c>
      <c r="F37" s="4">
        <v>31</v>
      </c>
      <c r="G37" s="4"/>
      <c r="H37" s="12">
        <v>31</v>
      </c>
      <c r="N37" s="32" t="s">
        <v>24</v>
      </c>
      <c r="O37" s="32" t="s">
        <v>67</v>
      </c>
      <c r="P37" s="16">
        <v>433.33333333333331</v>
      </c>
      <c r="Q37" s="16">
        <v>433.33333333333331</v>
      </c>
      <c r="R37" s="16">
        <v>433.33333333333331</v>
      </c>
      <c r="S37" s="16">
        <v>433.33333333333331</v>
      </c>
      <c r="T37" s="16">
        <v>433.33333333333331</v>
      </c>
      <c r="U37" s="16">
        <v>433.33333333333331</v>
      </c>
      <c r="V37" s="16">
        <v>433.33333333333331</v>
      </c>
      <c r="W37" s="16">
        <v>433.33333333333331</v>
      </c>
      <c r="X37" s="16">
        <v>433.33333333333331</v>
      </c>
      <c r="Y37" s="16">
        <v>433.33333333333331</v>
      </c>
      <c r="Z37" s="16">
        <v>433.33333333333331</v>
      </c>
      <c r="AA37" s="16">
        <v>433.33333333333331</v>
      </c>
      <c r="AB37" s="15"/>
      <c r="AC37" s="17"/>
      <c r="AD37" s="4"/>
    </row>
    <row r="38" spans="2:30" x14ac:dyDescent="0.25">
      <c r="B38" s="28" t="s">
        <v>7</v>
      </c>
      <c r="C38" s="4">
        <v>10</v>
      </c>
      <c r="D38" s="4">
        <v>31</v>
      </c>
      <c r="E38" s="4">
        <v>31</v>
      </c>
      <c r="F38" s="4">
        <v>31</v>
      </c>
      <c r="G38" s="4"/>
      <c r="H38" s="12">
        <v>31</v>
      </c>
      <c r="N38" s="32" t="s">
        <v>25</v>
      </c>
      <c r="O38" s="32" t="s">
        <v>68</v>
      </c>
      <c r="P38" s="16">
        <v>41.666666666666664</v>
      </c>
      <c r="Q38" s="16">
        <v>41.666666666666664</v>
      </c>
      <c r="R38" s="16">
        <v>41.666666666666664</v>
      </c>
      <c r="S38" s="16">
        <v>41.666666666666664</v>
      </c>
      <c r="T38" s="16">
        <v>41.666666666666664</v>
      </c>
      <c r="U38" s="16">
        <v>41.666666666666664</v>
      </c>
      <c r="V38" s="16">
        <v>41.666666666666664</v>
      </c>
      <c r="W38" s="16">
        <v>41.666666666666664</v>
      </c>
      <c r="X38" s="16">
        <v>41.666666666666664</v>
      </c>
      <c r="Y38" s="16">
        <v>41.666666666666664</v>
      </c>
      <c r="Z38" s="16">
        <v>41.666666666666664</v>
      </c>
      <c r="AA38" s="16">
        <v>41.666666666666664</v>
      </c>
      <c r="AB38" s="15"/>
      <c r="AC38" s="17"/>
      <c r="AD38" s="4"/>
    </row>
    <row r="39" spans="2:30" x14ac:dyDescent="0.25">
      <c r="B39" s="28" t="s">
        <v>8</v>
      </c>
      <c r="C39" s="4">
        <v>30</v>
      </c>
      <c r="D39" s="4">
        <v>30</v>
      </c>
      <c r="E39" s="4">
        <v>30</v>
      </c>
      <c r="F39" s="4">
        <v>30</v>
      </c>
      <c r="G39" s="4"/>
      <c r="H39" s="12">
        <v>30</v>
      </c>
      <c r="N39" s="32" t="s">
        <v>25</v>
      </c>
      <c r="O39" s="32" t="s">
        <v>67</v>
      </c>
      <c r="P39" s="16">
        <v>41.666666666666664</v>
      </c>
      <c r="Q39" s="16">
        <v>41.666666666666664</v>
      </c>
      <c r="R39" s="16">
        <v>41.666666666666664</v>
      </c>
      <c r="S39" s="16">
        <v>41.666666666666664</v>
      </c>
      <c r="T39" s="16">
        <v>41.666666666666664</v>
      </c>
      <c r="U39" s="16">
        <v>41.666666666666664</v>
      </c>
      <c r="V39" s="16">
        <v>41.666666666666664</v>
      </c>
      <c r="W39" s="16">
        <v>41.666666666666664</v>
      </c>
      <c r="X39" s="16">
        <v>41.666666666666664</v>
      </c>
      <c r="Y39" s="16">
        <v>41.666666666666664</v>
      </c>
      <c r="Z39" s="16">
        <v>41.666666666666664</v>
      </c>
      <c r="AA39" s="16">
        <v>41.666666666666664</v>
      </c>
      <c r="AB39" s="15"/>
      <c r="AC39" s="17"/>
      <c r="AD39" s="4"/>
    </row>
    <row r="40" spans="2:30" x14ac:dyDescent="0.25">
      <c r="B40" s="28" t="s">
        <v>9</v>
      </c>
      <c r="C40" s="4">
        <v>31</v>
      </c>
      <c r="D40" s="4">
        <v>31</v>
      </c>
      <c r="E40" s="4">
        <v>31</v>
      </c>
      <c r="F40" s="4">
        <v>31</v>
      </c>
      <c r="G40" s="4"/>
      <c r="H40" s="12">
        <v>31</v>
      </c>
      <c r="N40" s="32" t="s">
        <v>28</v>
      </c>
      <c r="O40" s="32" t="s">
        <v>67</v>
      </c>
      <c r="P40" s="16">
        <v>3333.3333333333335</v>
      </c>
      <c r="Q40" s="16">
        <v>3333.3333333333335</v>
      </c>
      <c r="R40" s="16">
        <v>3333.3333333333335</v>
      </c>
      <c r="S40" s="16">
        <v>3333.3333333333335</v>
      </c>
      <c r="T40" s="16">
        <v>3333.3333333333335</v>
      </c>
      <c r="U40" s="16">
        <v>3333.3333333333335</v>
      </c>
      <c r="V40" s="16">
        <v>3333.3333333333335</v>
      </c>
      <c r="W40" s="16">
        <v>3333.3333333333335</v>
      </c>
      <c r="X40" s="16">
        <v>3333.3333333333335</v>
      </c>
      <c r="Y40" s="16">
        <v>3333.3333333333335</v>
      </c>
      <c r="Z40" s="16">
        <v>3333.3333333333335</v>
      </c>
      <c r="AA40" s="16">
        <v>3333.3333333333335</v>
      </c>
      <c r="AB40" s="15"/>
      <c r="AC40" s="17"/>
      <c r="AD40" s="4"/>
    </row>
    <row r="41" spans="2:30" x14ac:dyDescent="0.25">
      <c r="B41" s="28" t="s">
        <v>10</v>
      </c>
      <c r="C41" s="4">
        <v>30</v>
      </c>
      <c r="D41" s="4">
        <v>30</v>
      </c>
      <c r="E41" s="4">
        <v>30</v>
      </c>
      <c r="F41" s="4">
        <v>30</v>
      </c>
      <c r="G41" s="4">
        <v>7.8125</v>
      </c>
      <c r="H41" s="12">
        <v>30</v>
      </c>
      <c r="N41" s="32" t="s">
        <v>29</v>
      </c>
      <c r="O41" s="32" t="s">
        <v>67</v>
      </c>
      <c r="P41" s="16">
        <v>166.66666666666666</v>
      </c>
      <c r="Q41" s="16">
        <v>166.66666666666666</v>
      </c>
      <c r="R41" s="16">
        <v>166.66666666666666</v>
      </c>
      <c r="S41" s="16">
        <v>166.66666666666666</v>
      </c>
      <c r="T41" s="16">
        <v>166.66666666666666</v>
      </c>
      <c r="U41" s="16">
        <v>166.66666666666666</v>
      </c>
      <c r="V41" s="16">
        <v>166.66666666666666</v>
      </c>
      <c r="W41" s="16">
        <v>166.66666666666666</v>
      </c>
      <c r="X41" s="16">
        <v>166.66666666666666</v>
      </c>
      <c r="Y41" s="16">
        <v>166.66666666666666</v>
      </c>
      <c r="Z41" s="16">
        <v>166.66666666666666</v>
      </c>
      <c r="AA41" s="16">
        <v>166.66666666666666</v>
      </c>
      <c r="AB41" s="15"/>
      <c r="AC41" s="17"/>
      <c r="AD41" s="4"/>
    </row>
    <row r="42" spans="2:30" x14ac:dyDescent="0.25">
      <c r="B42" s="28" t="s">
        <v>11</v>
      </c>
      <c r="C42" s="4">
        <v>31</v>
      </c>
      <c r="D42" s="4">
        <v>31</v>
      </c>
      <c r="E42" s="4">
        <v>31</v>
      </c>
      <c r="F42" s="4">
        <v>31</v>
      </c>
      <c r="G42" s="4">
        <v>29.166666666666668</v>
      </c>
      <c r="H42" s="12">
        <v>31</v>
      </c>
      <c r="N42" s="32" t="s">
        <v>31</v>
      </c>
      <c r="O42" s="32" t="s">
        <v>67</v>
      </c>
      <c r="P42" s="16">
        <v>12.5</v>
      </c>
      <c r="Q42" s="16">
        <v>12.5</v>
      </c>
      <c r="R42" s="16">
        <v>12.5</v>
      </c>
      <c r="S42" s="16">
        <v>12.5</v>
      </c>
      <c r="T42" s="16">
        <v>12.5</v>
      </c>
      <c r="U42" s="16">
        <v>12.5</v>
      </c>
      <c r="V42" s="16">
        <v>12.5</v>
      </c>
      <c r="W42" s="16">
        <v>12.5</v>
      </c>
      <c r="X42" s="16">
        <v>12.5</v>
      </c>
      <c r="Y42" s="16">
        <v>12.5</v>
      </c>
      <c r="Z42" s="16">
        <v>12.5</v>
      </c>
      <c r="AA42" s="16">
        <v>12.5</v>
      </c>
      <c r="AB42" s="15"/>
      <c r="AC42" s="17"/>
      <c r="AD42" s="4"/>
    </row>
    <row r="43" spans="2:30" x14ac:dyDescent="0.25">
      <c r="B43" s="30"/>
      <c r="N43" s="32" t="s">
        <v>32</v>
      </c>
      <c r="O43" s="32" t="s">
        <v>67</v>
      </c>
      <c r="P43" s="16">
        <v>125</v>
      </c>
      <c r="Q43" s="16">
        <v>125</v>
      </c>
      <c r="R43" s="16">
        <v>125</v>
      </c>
      <c r="S43" s="16">
        <v>125</v>
      </c>
      <c r="T43" s="16">
        <v>125</v>
      </c>
      <c r="U43" s="16">
        <v>125</v>
      </c>
      <c r="V43" s="16">
        <v>125</v>
      </c>
      <c r="W43" s="16">
        <v>125</v>
      </c>
      <c r="X43" s="16">
        <v>125</v>
      </c>
      <c r="Y43" s="16">
        <v>125</v>
      </c>
      <c r="Z43" s="16">
        <v>125</v>
      </c>
      <c r="AA43" s="16">
        <v>125</v>
      </c>
      <c r="AB43" s="15"/>
      <c r="AC43" s="17"/>
      <c r="AD43" s="4"/>
    </row>
    <row r="44" spans="2:30" x14ac:dyDescent="0.25">
      <c r="B44" s="30"/>
      <c r="N44" s="32" t="s">
        <v>34</v>
      </c>
      <c r="O44" s="32" t="s">
        <v>67</v>
      </c>
      <c r="P44" s="16">
        <v>10</v>
      </c>
      <c r="Q44" s="16">
        <v>10</v>
      </c>
      <c r="R44" s="16">
        <v>10</v>
      </c>
      <c r="S44" s="16">
        <v>10</v>
      </c>
      <c r="T44" s="16">
        <v>10</v>
      </c>
      <c r="U44" s="16">
        <v>10</v>
      </c>
      <c r="V44" s="16">
        <v>10</v>
      </c>
      <c r="W44" s="16">
        <v>10</v>
      </c>
      <c r="X44" s="16">
        <v>10</v>
      </c>
      <c r="Y44" s="16">
        <v>10</v>
      </c>
      <c r="Z44" s="16">
        <v>10</v>
      </c>
      <c r="AA44" s="16">
        <v>10</v>
      </c>
      <c r="AB44" s="15"/>
      <c r="AC44" s="17"/>
      <c r="AD44" s="4"/>
    </row>
    <row r="45" spans="2:30" x14ac:dyDescent="0.25">
      <c r="B45" s="30"/>
      <c r="N45" s="32" t="s">
        <v>35</v>
      </c>
      <c r="O45" s="32" t="s">
        <v>67</v>
      </c>
      <c r="P45" s="16">
        <v>1666.6666666666667</v>
      </c>
      <c r="Q45" s="16">
        <v>1666.6666666666667</v>
      </c>
      <c r="R45" s="16">
        <v>1666.6666666666667</v>
      </c>
      <c r="S45" s="16">
        <v>1666.6666666666667</v>
      </c>
      <c r="T45" s="16">
        <v>1666.6666666666667</v>
      </c>
      <c r="U45" s="16">
        <v>1666.6666666666667</v>
      </c>
      <c r="V45" s="16">
        <v>1666.6666666666667</v>
      </c>
      <c r="W45" s="16">
        <v>1666.6666666666667</v>
      </c>
      <c r="X45" s="16">
        <v>1666.6666666666667</v>
      </c>
      <c r="Y45" s="16">
        <v>1666.6666666666667</v>
      </c>
      <c r="Z45" s="16">
        <v>1666.6666666666667</v>
      </c>
      <c r="AA45" s="16">
        <v>1666.6666666666667</v>
      </c>
      <c r="AB45" s="15"/>
      <c r="AC45" s="17"/>
      <c r="AD45" s="4"/>
    </row>
    <row r="46" spans="2:30" x14ac:dyDescent="0.25">
      <c r="B46" s="30"/>
      <c r="N46" s="32" t="s">
        <v>36</v>
      </c>
      <c r="O46" s="32" t="s">
        <v>68</v>
      </c>
      <c r="P46" s="16">
        <v>4000</v>
      </c>
      <c r="Q46" s="16"/>
      <c r="R46" s="16"/>
      <c r="S46" s="16"/>
      <c r="T46" s="16"/>
      <c r="U46" s="16"/>
      <c r="V46" s="16"/>
      <c r="W46" s="16"/>
      <c r="X46" s="16"/>
      <c r="Y46" s="16"/>
      <c r="Z46" s="16">
        <v>1500</v>
      </c>
      <c r="AA46" s="16">
        <v>5600</v>
      </c>
      <c r="AB46" s="15"/>
      <c r="AC46" s="17"/>
      <c r="AD46" s="4"/>
    </row>
    <row r="47" spans="2:30" x14ac:dyDescent="0.25">
      <c r="B47" s="30"/>
      <c r="N47" s="32" t="s">
        <v>36</v>
      </c>
      <c r="O47" s="32" t="s">
        <v>67</v>
      </c>
      <c r="P47" s="16">
        <v>4000</v>
      </c>
      <c r="Q47" s="16"/>
      <c r="R47" s="16"/>
      <c r="S47" s="16"/>
      <c r="T47" s="16"/>
      <c r="U47" s="16"/>
      <c r="V47" s="16"/>
      <c r="W47" s="16"/>
      <c r="X47" s="16"/>
      <c r="Y47" s="16"/>
      <c r="Z47" s="16">
        <v>1500</v>
      </c>
      <c r="AA47" s="16">
        <v>5600</v>
      </c>
      <c r="AB47" s="15"/>
      <c r="AC47" s="17"/>
      <c r="AD47" s="4"/>
    </row>
    <row r="48" spans="2:30" x14ac:dyDescent="0.25">
      <c r="B48" s="30"/>
      <c r="N48" s="32" t="s">
        <v>91</v>
      </c>
      <c r="O48" s="32" t="s">
        <v>67</v>
      </c>
      <c r="P48" s="16">
        <v>8333.3333333333339</v>
      </c>
      <c r="Q48" s="16">
        <v>8333.3333333333339</v>
      </c>
      <c r="R48" s="16">
        <v>8333.3333333333339</v>
      </c>
      <c r="S48" s="16">
        <v>8333.3333333333339</v>
      </c>
      <c r="T48" s="16">
        <v>8333.3333333333339</v>
      </c>
      <c r="U48" s="16">
        <v>8333.3333333333339</v>
      </c>
      <c r="V48" s="16">
        <v>8333.3333333333339</v>
      </c>
      <c r="W48" s="16">
        <v>8333.3333333333339</v>
      </c>
      <c r="X48" s="16">
        <v>8333.3333333333339</v>
      </c>
      <c r="Y48" s="16">
        <v>8333.3333333333339</v>
      </c>
      <c r="Z48" s="16">
        <v>8333.3333333333339</v>
      </c>
      <c r="AA48" s="16">
        <v>8333.3333333333339</v>
      </c>
      <c r="AB48" s="15"/>
      <c r="AC48" s="17"/>
      <c r="AD48" s="4"/>
    </row>
    <row r="49" spans="2:30" x14ac:dyDescent="0.25">
      <c r="B49" s="30"/>
      <c r="N49" s="15"/>
      <c r="O49" s="15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5"/>
      <c r="AC49" s="17"/>
      <c r="AD49" s="4"/>
    </row>
    <row r="50" spans="2:30" x14ac:dyDescent="0.25">
      <c r="B50" s="30"/>
      <c r="N50" s="15"/>
      <c r="O50" s="15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5"/>
      <c r="AC50" s="17"/>
      <c r="AD50" s="4"/>
    </row>
    <row r="51" spans="2:30" x14ac:dyDescent="0.25">
      <c r="B51" s="30"/>
      <c r="N51" s="15"/>
      <c r="O51" s="15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5"/>
      <c r="AC51" s="17"/>
      <c r="AD51" s="4"/>
    </row>
    <row r="52" spans="2:30" x14ac:dyDescent="0.25">
      <c r="B52" s="30"/>
      <c r="N52" s="15"/>
      <c r="O52" s="15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5"/>
      <c r="AC52" s="17"/>
      <c r="AD52" s="4"/>
    </row>
    <row r="53" spans="2:30" x14ac:dyDescent="0.25">
      <c r="B53" s="30"/>
      <c r="N53" s="18"/>
      <c r="O53" s="18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8"/>
      <c r="AC53" s="17"/>
      <c r="AD53" s="6"/>
    </row>
    <row r="54" spans="2:30" x14ac:dyDescent="0.25">
      <c r="N54" s="20"/>
      <c r="O54" s="20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0"/>
      <c r="AC54" s="22"/>
      <c r="AD54" s="4"/>
    </row>
    <row r="55" spans="2:30" x14ac:dyDescent="0.25">
      <c r="N55" s="20"/>
      <c r="O55" s="20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0"/>
      <c r="AC55" s="22"/>
      <c r="AD55" s="4"/>
    </row>
    <row r="56" spans="2:30" x14ac:dyDescent="0.25">
      <c r="N56" s="20"/>
      <c r="O56" s="20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0"/>
      <c r="AC56" s="22"/>
      <c r="AD56" s="4"/>
    </row>
    <row r="57" spans="2:30" x14ac:dyDescent="0.25">
      <c r="N57" s="20"/>
      <c r="O57" s="20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0"/>
      <c r="AC57" s="22"/>
      <c r="AD57" s="4"/>
    </row>
    <row r="58" spans="2:30" x14ac:dyDescent="0.25">
      <c r="N58" s="20"/>
      <c r="O58" s="20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0"/>
      <c r="AC58" s="22"/>
      <c r="AD58" s="4"/>
    </row>
    <row r="59" spans="2:30" x14ac:dyDescent="0.25">
      <c r="N59" s="20"/>
      <c r="O59" s="20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0"/>
      <c r="AC59" s="22"/>
      <c r="AD59" s="4"/>
    </row>
    <row r="60" spans="2:30" x14ac:dyDescent="0.25">
      <c r="N60" s="20"/>
      <c r="O60" s="20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0"/>
      <c r="AC60" s="22"/>
      <c r="AD60" s="4"/>
    </row>
    <row r="61" spans="2:30" x14ac:dyDescent="0.25">
      <c r="N61" s="20"/>
      <c r="O61" s="20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0"/>
      <c r="AC61" s="22"/>
      <c r="AD61" s="4"/>
    </row>
    <row r="62" spans="2:30" x14ac:dyDescent="0.25">
      <c r="N62" s="20"/>
      <c r="O62" s="20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0"/>
      <c r="AC62" s="22"/>
      <c r="AD62" s="4"/>
    </row>
    <row r="63" spans="2:30" x14ac:dyDescent="0.25">
      <c r="N63" s="20"/>
      <c r="O63" s="20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0"/>
      <c r="AC63" s="22"/>
      <c r="AD63" s="4"/>
    </row>
    <row r="64" spans="2:30" x14ac:dyDescent="0.25">
      <c r="N64" s="20"/>
      <c r="O64" s="20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0"/>
      <c r="AC64" s="22"/>
      <c r="AD64" s="4"/>
    </row>
    <row r="65" spans="14:30" x14ac:dyDescent="0.25">
      <c r="N65" s="20"/>
      <c r="O65" s="20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0"/>
      <c r="AC65" s="22"/>
      <c r="AD65" s="4"/>
    </row>
    <row r="66" spans="14:30" x14ac:dyDescent="0.25">
      <c r="N66" s="20"/>
      <c r="O66" s="20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0"/>
      <c r="AC66" s="22"/>
      <c r="AD66" s="4"/>
    </row>
    <row r="67" spans="14:30" x14ac:dyDescent="0.25">
      <c r="N67" s="20"/>
      <c r="O67" s="20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0"/>
      <c r="AC67" s="22"/>
      <c r="AD67" s="4"/>
    </row>
    <row r="68" spans="14:30" x14ac:dyDescent="0.25">
      <c r="N68" s="20"/>
      <c r="O68" s="20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0"/>
      <c r="AC68" s="22"/>
      <c r="AD68" s="4"/>
    </row>
    <row r="69" spans="14:30" x14ac:dyDescent="0.25">
      <c r="N69" s="20"/>
      <c r="O69" s="20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0"/>
      <c r="AC69" s="22"/>
      <c r="AD69" s="4"/>
    </row>
    <row r="70" spans="14:30" x14ac:dyDescent="0.25">
      <c r="N70" s="20"/>
      <c r="O70" s="20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0"/>
      <c r="AC70" s="22"/>
      <c r="AD70" s="4"/>
    </row>
    <row r="71" spans="14:30" x14ac:dyDescent="0.25">
      <c r="N71" s="20"/>
      <c r="O71" s="20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0"/>
      <c r="AC71" s="22"/>
      <c r="AD71" s="4"/>
    </row>
    <row r="72" spans="14:30" x14ac:dyDescent="0.25">
      <c r="N72" s="20"/>
      <c r="O72" s="20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0"/>
      <c r="AC72" s="22"/>
      <c r="AD72" s="4"/>
    </row>
    <row r="73" spans="14:30" x14ac:dyDescent="0.25">
      <c r="N73" s="20"/>
      <c r="O73" s="20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0"/>
      <c r="AC73" s="22"/>
      <c r="AD73" s="4"/>
    </row>
    <row r="74" spans="14:30" x14ac:dyDescent="0.25">
      <c r="N74" s="20"/>
      <c r="O74" s="20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0"/>
      <c r="AC74" s="22"/>
      <c r="AD74" s="4"/>
    </row>
    <row r="75" spans="14:30" x14ac:dyDescent="0.25">
      <c r="N75" s="20"/>
      <c r="O75" s="20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0"/>
      <c r="AC75" s="22"/>
      <c r="AD75" s="4"/>
    </row>
    <row r="76" spans="14:30" x14ac:dyDescent="0.25">
      <c r="N76" s="23"/>
      <c r="O76" s="23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3"/>
      <c r="AC76" s="22"/>
      <c r="AD76" s="6"/>
    </row>
  </sheetData>
  <conditionalFormatting sqref="C4:C9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conditionalFormatting sqref="C31:H42">
    <cfRule type="colorScale" priority="9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R4:R27">
    <cfRule type="cellIs" dxfId="2" priority="8" operator="lessThan">
      <formula>0</formula>
    </cfRule>
  </conditionalFormatting>
  <conditionalFormatting sqref="O4:O27">
    <cfRule type="colorScale" priority="7">
      <colorScale>
        <cfvo type="min"/>
        <cfvo type="max"/>
        <color theme="7" tint="0.79998168889431442"/>
        <color theme="9" tint="0.59999389629810485"/>
      </colorScale>
    </cfRule>
  </conditionalFormatting>
  <conditionalFormatting sqref="T4:T27">
    <cfRule type="cellIs" dxfId="1" priority="6" operator="greaterThan">
      <formula>0</formula>
    </cfRule>
  </conditionalFormatting>
  <conditionalFormatting sqref="U4:U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:Q27">
    <cfRule type="cellIs" dxfId="0" priority="1" operator="lessThanOrEqual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EA2D-DDC9-4350-B279-3276D2ECF13A}">
  <dimension ref="C2:AD15"/>
  <sheetViews>
    <sheetView zoomScale="85" zoomScaleNormal="85" workbookViewId="0">
      <selection activeCell="AF7" sqref="AF7"/>
    </sheetView>
  </sheetViews>
  <sheetFormatPr defaultRowHeight="15" x14ac:dyDescent="0.25"/>
  <cols>
    <col min="4" max="4" width="10.28515625" bestFit="1" customWidth="1"/>
    <col min="11" max="11" width="11.28515625" bestFit="1" customWidth="1"/>
  </cols>
  <sheetData>
    <row r="2" spans="3:30" x14ac:dyDescent="0.25">
      <c r="D2" t="s">
        <v>13</v>
      </c>
      <c r="G2" s="2" t="s">
        <v>37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V2" t="s">
        <v>28</v>
      </c>
      <c r="W2" t="s">
        <v>29</v>
      </c>
      <c r="X2" t="s">
        <v>30</v>
      </c>
      <c r="Y2" t="s">
        <v>31</v>
      </c>
      <c r="Z2" t="s">
        <v>32</v>
      </c>
      <c r="AA2" t="s">
        <v>33</v>
      </c>
      <c r="AB2" t="s">
        <v>34</v>
      </c>
      <c r="AC2" t="s">
        <v>35</v>
      </c>
      <c r="AD2" t="s">
        <v>36</v>
      </c>
    </row>
    <row r="3" spans="3:30" x14ac:dyDescent="0.25">
      <c r="C3" t="s">
        <v>0</v>
      </c>
      <c r="D3" s="1">
        <v>4800726.7781380201</v>
      </c>
      <c r="G3" t="s">
        <v>0</v>
      </c>
      <c r="H3" s="1">
        <v>0</v>
      </c>
      <c r="I3" s="1">
        <v>0</v>
      </c>
      <c r="J3" s="1">
        <v>0</v>
      </c>
      <c r="K3" s="1">
        <v>1263018.75</v>
      </c>
      <c r="L3" s="1">
        <v>0</v>
      </c>
      <c r="M3" s="1">
        <v>0</v>
      </c>
      <c r="N3" s="1">
        <v>0</v>
      </c>
      <c r="O3" s="1">
        <v>341250</v>
      </c>
      <c r="P3" s="1">
        <v>0</v>
      </c>
      <c r="Q3" s="1">
        <v>0</v>
      </c>
      <c r="R3" s="1">
        <v>2730000</v>
      </c>
      <c r="S3" s="1">
        <v>32708.333333333299</v>
      </c>
      <c r="T3" s="1">
        <v>0</v>
      </c>
      <c r="U3" s="1">
        <v>0</v>
      </c>
      <c r="V3" s="1">
        <v>0</v>
      </c>
      <c r="W3" s="1">
        <v>356450.25480468798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</row>
    <row r="4" spans="3:30" x14ac:dyDescent="0.25">
      <c r="C4" t="s">
        <v>1</v>
      </c>
      <c r="D4" s="1">
        <v>3618208.7938665799</v>
      </c>
      <c r="G4" t="s">
        <v>1</v>
      </c>
      <c r="H4" s="1">
        <v>0</v>
      </c>
      <c r="I4" s="1">
        <v>0</v>
      </c>
      <c r="J4" s="1">
        <v>0</v>
      </c>
      <c r="K4" s="1">
        <v>1263018.75</v>
      </c>
      <c r="L4" s="1">
        <v>0</v>
      </c>
      <c r="M4" s="1">
        <v>0</v>
      </c>
      <c r="N4" s="1">
        <v>0</v>
      </c>
      <c r="O4" s="1">
        <v>341250</v>
      </c>
      <c r="P4" s="1">
        <v>0</v>
      </c>
      <c r="Q4" s="1">
        <v>0</v>
      </c>
      <c r="R4" s="1">
        <v>0</v>
      </c>
      <c r="S4" s="1">
        <v>32708.333333333299</v>
      </c>
      <c r="T4" s="1">
        <v>0</v>
      </c>
      <c r="U4" s="1">
        <v>0</v>
      </c>
      <c r="V4" s="1">
        <v>1230382.5253379401</v>
      </c>
      <c r="W4" s="1">
        <v>673549.74519531196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</row>
    <row r="5" spans="3:30" x14ac:dyDescent="0.25">
      <c r="C5" t="s">
        <v>2</v>
      </c>
      <c r="D5" s="1">
        <v>3773859.5010472098</v>
      </c>
      <c r="G5" t="s">
        <v>2</v>
      </c>
      <c r="H5" s="1">
        <v>0</v>
      </c>
      <c r="I5" s="1">
        <v>0</v>
      </c>
      <c r="J5" s="1">
        <v>0</v>
      </c>
      <c r="K5" s="1">
        <v>1263018.75</v>
      </c>
      <c r="L5" s="1">
        <v>0</v>
      </c>
      <c r="M5" s="1">
        <v>0</v>
      </c>
      <c r="N5" s="1">
        <v>0</v>
      </c>
      <c r="O5" s="1">
        <v>341250</v>
      </c>
      <c r="P5" s="1">
        <v>0</v>
      </c>
      <c r="Q5" s="1">
        <v>0</v>
      </c>
      <c r="R5" s="1">
        <v>0</v>
      </c>
      <c r="S5" s="1">
        <v>32708.333333333299</v>
      </c>
      <c r="T5" s="1">
        <v>0</v>
      </c>
      <c r="U5" s="1">
        <v>0</v>
      </c>
      <c r="V5" s="1">
        <v>2059582.9777138799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</row>
    <row r="6" spans="3:30" x14ac:dyDescent="0.25">
      <c r="C6" t="s">
        <v>3</v>
      </c>
      <c r="D6" s="1">
        <v>3261847.0148859499</v>
      </c>
      <c r="G6" t="s">
        <v>3</v>
      </c>
      <c r="H6" s="1">
        <v>0</v>
      </c>
      <c r="I6" s="1">
        <v>0</v>
      </c>
      <c r="J6" s="1">
        <v>0</v>
      </c>
      <c r="K6" s="1">
        <v>1263018.75</v>
      </c>
      <c r="L6" s="1">
        <v>0</v>
      </c>
      <c r="M6" s="1">
        <v>0</v>
      </c>
      <c r="N6" s="1">
        <v>0</v>
      </c>
      <c r="O6" s="1">
        <v>341250</v>
      </c>
      <c r="P6" s="1">
        <v>0</v>
      </c>
      <c r="Q6" s="1">
        <v>0</v>
      </c>
      <c r="R6" s="1">
        <v>0</v>
      </c>
      <c r="S6" s="1">
        <v>32708.333333333299</v>
      </c>
      <c r="T6" s="1">
        <v>0</v>
      </c>
      <c r="U6" s="1">
        <v>0</v>
      </c>
      <c r="V6" s="1">
        <v>1547570.49155262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</row>
    <row r="7" spans="3:30" x14ac:dyDescent="0.25">
      <c r="C7" t="s">
        <v>4</v>
      </c>
      <c r="D7" s="1">
        <v>2249665.5818990301</v>
      </c>
      <c r="G7" t="s">
        <v>4</v>
      </c>
      <c r="H7" s="1">
        <v>0</v>
      </c>
      <c r="I7" s="1">
        <v>0</v>
      </c>
      <c r="J7" s="1">
        <v>0</v>
      </c>
      <c r="K7" s="1">
        <v>1263018.75</v>
      </c>
      <c r="L7" s="1">
        <v>0</v>
      </c>
      <c r="M7" s="1">
        <v>0</v>
      </c>
      <c r="N7" s="1">
        <v>0</v>
      </c>
      <c r="O7" s="1">
        <v>341250</v>
      </c>
      <c r="P7" s="1">
        <v>0</v>
      </c>
      <c r="Q7" s="1">
        <v>0</v>
      </c>
      <c r="R7" s="1">
        <v>0</v>
      </c>
      <c r="S7" s="1">
        <v>32708.333333333299</v>
      </c>
      <c r="T7" s="1">
        <v>0</v>
      </c>
      <c r="U7" s="1">
        <v>0</v>
      </c>
      <c r="V7" s="1">
        <v>612688.49856569897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</row>
    <row r="8" spans="3:30" x14ac:dyDescent="0.25">
      <c r="C8" t="s">
        <v>5</v>
      </c>
      <c r="D8" s="1">
        <v>1636977.08333333</v>
      </c>
      <c r="G8" t="s">
        <v>5</v>
      </c>
      <c r="H8" s="1">
        <v>0</v>
      </c>
      <c r="I8" s="1">
        <v>0</v>
      </c>
      <c r="J8" s="1">
        <v>0</v>
      </c>
      <c r="K8" s="1">
        <v>1263018.75</v>
      </c>
      <c r="L8" s="1">
        <v>0</v>
      </c>
      <c r="M8" s="1">
        <v>0</v>
      </c>
      <c r="N8" s="1">
        <v>0</v>
      </c>
      <c r="O8" s="1">
        <v>341250</v>
      </c>
      <c r="P8" s="1">
        <v>0</v>
      </c>
      <c r="Q8" s="1">
        <v>0</v>
      </c>
      <c r="R8" s="1">
        <v>0</v>
      </c>
      <c r="S8" s="1">
        <v>32708.333333333299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</row>
    <row r="9" spans="3:30" x14ac:dyDescent="0.25">
      <c r="C9" t="s">
        <v>6</v>
      </c>
      <c r="D9" s="1">
        <v>1636977.08333333</v>
      </c>
      <c r="G9" t="s">
        <v>6</v>
      </c>
      <c r="H9" s="1">
        <v>0</v>
      </c>
      <c r="I9" s="1">
        <v>0</v>
      </c>
      <c r="J9" s="1">
        <v>0</v>
      </c>
      <c r="K9" s="1">
        <v>1263018.75</v>
      </c>
      <c r="L9" s="1">
        <v>0</v>
      </c>
      <c r="M9" s="1">
        <v>0</v>
      </c>
      <c r="N9" s="1">
        <v>0</v>
      </c>
      <c r="O9" s="1">
        <v>341250</v>
      </c>
      <c r="P9" s="1">
        <v>0</v>
      </c>
      <c r="Q9" s="1">
        <v>0</v>
      </c>
      <c r="R9" s="1">
        <v>0</v>
      </c>
      <c r="S9" s="1">
        <v>32708.333333333299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</row>
    <row r="10" spans="3:30" x14ac:dyDescent="0.25">
      <c r="C10" t="s">
        <v>7</v>
      </c>
      <c r="D10" s="1">
        <v>1636977.08333333</v>
      </c>
      <c r="G10" t="s">
        <v>7</v>
      </c>
      <c r="H10" s="1">
        <v>0</v>
      </c>
      <c r="I10" s="1">
        <v>0</v>
      </c>
      <c r="J10" s="1">
        <v>0</v>
      </c>
      <c r="K10" s="1">
        <v>1263018.75</v>
      </c>
      <c r="L10" s="1">
        <v>0</v>
      </c>
      <c r="M10" s="1">
        <v>0</v>
      </c>
      <c r="N10" s="1">
        <v>0</v>
      </c>
      <c r="O10" s="1">
        <v>341250</v>
      </c>
      <c r="P10" s="1">
        <v>0</v>
      </c>
      <c r="Q10" s="1">
        <v>0</v>
      </c>
      <c r="R10" s="1">
        <v>0</v>
      </c>
      <c r="S10" s="1">
        <v>32708.333333333299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</row>
    <row r="11" spans="3:30" x14ac:dyDescent="0.25">
      <c r="C11" t="s">
        <v>8</v>
      </c>
      <c r="D11" s="1">
        <v>1636977.08333333</v>
      </c>
      <c r="G11" t="s">
        <v>8</v>
      </c>
      <c r="H11" s="1">
        <v>0</v>
      </c>
      <c r="I11" s="1">
        <v>0</v>
      </c>
      <c r="J11" s="1">
        <v>0</v>
      </c>
      <c r="K11" s="1">
        <v>1263018.75</v>
      </c>
      <c r="L11" s="1">
        <v>0</v>
      </c>
      <c r="M11" s="1">
        <v>0</v>
      </c>
      <c r="N11" s="1">
        <v>0</v>
      </c>
      <c r="O11" s="1">
        <v>341250</v>
      </c>
      <c r="P11" s="1">
        <v>0</v>
      </c>
      <c r="Q11" s="1">
        <v>0</v>
      </c>
      <c r="R11" s="1">
        <v>0</v>
      </c>
      <c r="S11" s="1">
        <v>32708.333333333299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</row>
    <row r="12" spans="3:30" x14ac:dyDescent="0.25">
      <c r="C12" t="s">
        <v>9</v>
      </c>
      <c r="D12" s="1">
        <v>3584499.7505626101</v>
      </c>
      <c r="G12" t="s">
        <v>9</v>
      </c>
      <c r="H12" s="1">
        <v>0</v>
      </c>
      <c r="I12" s="1">
        <v>0</v>
      </c>
      <c r="J12" s="1">
        <v>0</v>
      </c>
      <c r="K12" s="1">
        <v>1263018.75</v>
      </c>
      <c r="L12" s="1">
        <v>1531253.5078221001</v>
      </c>
      <c r="M12" s="1">
        <v>0</v>
      </c>
      <c r="N12" s="1">
        <v>0</v>
      </c>
      <c r="O12" s="1">
        <v>341250</v>
      </c>
      <c r="P12" s="1">
        <v>0</v>
      </c>
      <c r="Q12" s="1">
        <v>0</v>
      </c>
      <c r="R12" s="1">
        <v>0</v>
      </c>
      <c r="S12" s="1">
        <v>32708.333333333299</v>
      </c>
      <c r="T12" s="1">
        <v>0</v>
      </c>
      <c r="U12" s="1">
        <v>0</v>
      </c>
      <c r="V12" s="1">
        <v>338969.71940717299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</row>
    <row r="13" spans="3:30" x14ac:dyDescent="0.25">
      <c r="C13" t="s">
        <v>10</v>
      </c>
      <c r="D13" s="1">
        <v>4283726.39653558</v>
      </c>
      <c r="G13" t="s">
        <v>10</v>
      </c>
      <c r="H13" s="1">
        <v>2263203.3810243499</v>
      </c>
      <c r="I13" s="1">
        <v>0</v>
      </c>
      <c r="J13" s="1">
        <v>0</v>
      </c>
      <c r="K13" s="1">
        <v>1263018.75</v>
      </c>
      <c r="L13" s="1">
        <v>306246.49217789801</v>
      </c>
      <c r="M13" s="1">
        <v>0</v>
      </c>
      <c r="N13" s="1">
        <v>0</v>
      </c>
      <c r="O13" s="1">
        <v>341250</v>
      </c>
      <c r="P13" s="1">
        <v>0</v>
      </c>
      <c r="Q13" s="1">
        <v>0</v>
      </c>
      <c r="R13" s="1">
        <v>0</v>
      </c>
      <c r="S13" s="1">
        <v>32708.333333333299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</row>
    <row r="14" spans="3:30" x14ac:dyDescent="0.25">
      <c r="C14" t="s">
        <v>11</v>
      </c>
      <c r="D14" s="1">
        <v>4330348.1423089802</v>
      </c>
      <c r="G14" t="s">
        <v>11</v>
      </c>
      <c r="H14" s="1">
        <v>2510621.6189756501</v>
      </c>
      <c r="I14" s="1">
        <v>0</v>
      </c>
      <c r="J14" s="1">
        <v>0</v>
      </c>
      <c r="K14" s="1">
        <v>1263018.75</v>
      </c>
      <c r="L14" s="1">
        <v>0</v>
      </c>
      <c r="M14" s="1">
        <v>0</v>
      </c>
      <c r="N14" s="1">
        <v>0</v>
      </c>
      <c r="O14" s="1">
        <v>341250</v>
      </c>
      <c r="P14" s="1">
        <v>0</v>
      </c>
      <c r="Q14" s="1">
        <v>0</v>
      </c>
      <c r="R14" s="1">
        <v>0</v>
      </c>
      <c r="S14" s="1">
        <v>32708.333333333299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23250</v>
      </c>
      <c r="Z14" s="1">
        <v>0</v>
      </c>
      <c r="AA14" s="1">
        <v>0</v>
      </c>
      <c r="AB14" s="1">
        <v>82200</v>
      </c>
      <c r="AC14" s="1">
        <v>0</v>
      </c>
      <c r="AD14" s="1">
        <v>0</v>
      </c>
    </row>
    <row r="15" spans="3:30" x14ac:dyDescent="0.25">
      <c r="C15" t="s">
        <v>12</v>
      </c>
      <c r="D15" s="1">
        <f>SUM(D3:D14)</f>
        <v>36450790.292577267</v>
      </c>
      <c r="G15" t="s">
        <v>12</v>
      </c>
      <c r="H15" s="3">
        <f>SUM(H3:H14)</f>
        <v>4773825</v>
      </c>
      <c r="I15" s="3">
        <f t="shared" ref="I15:AD15" si="0">SUM(I3:I14)</f>
        <v>0</v>
      </c>
      <c r="J15" s="3">
        <f t="shared" si="0"/>
        <v>0</v>
      </c>
      <c r="K15" s="3">
        <f t="shared" si="0"/>
        <v>15156225</v>
      </c>
      <c r="L15" s="3">
        <f t="shared" si="0"/>
        <v>1837499.9999999981</v>
      </c>
      <c r="M15" s="3">
        <f t="shared" si="0"/>
        <v>0</v>
      </c>
      <c r="N15" s="3">
        <f t="shared" si="0"/>
        <v>0</v>
      </c>
      <c r="O15" s="3">
        <f t="shared" si="0"/>
        <v>4095000</v>
      </c>
      <c r="P15" s="3">
        <f t="shared" si="0"/>
        <v>0</v>
      </c>
      <c r="Q15" s="3">
        <f t="shared" si="0"/>
        <v>0</v>
      </c>
      <c r="R15" s="3">
        <f t="shared" si="0"/>
        <v>2730000</v>
      </c>
      <c r="S15" s="3">
        <f t="shared" si="0"/>
        <v>392499.99999999971</v>
      </c>
      <c r="T15" s="3">
        <f t="shared" si="0"/>
        <v>0</v>
      </c>
      <c r="U15" s="3">
        <f t="shared" si="0"/>
        <v>0</v>
      </c>
      <c r="V15" s="3">
        <f t="shared" si="0"/>
        <v>5789194.2125773123</v>
      </c>
      <c r="W15" s="3">
        <f t="shared" si="0"/>
        <v>1030000</v>
      </c>
      <c r="X15" s="3">
        <f t="shared" si="0"/>
        <v>0</v>
      </c>
      <c r="Y15" s="3">
        <f t="shared" si="0"/>
        <v>23250</v>
      </c>
      <c r="Z15" s="3">
        <f t="shared" si="0"/>
        <v>0</v>
      </c>
      <c r="AA15" s="3">
        <f t="shared" si="0"/>
        <v>0</v>
      </c>
      <c r="AB15" s="3">
        <f t="shared" si="0"/>
        <v>82200</v>
      </c>
      <c r="AC15" s="3">
        <f t="shared" si="0"/>
        <v>0</v>
      </c>
      <c r="AD15" s="3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Overblik</vt:lpstr>
      <vt:lpstr>Inputs</vt:lpstr>
      <vt:lpstr>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2021-09-27T07:59:55Z</dcterms:modified>
</cp:coreProperties>
</file>