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702DAC3F-CDA5-4038-9340-6D9945DD80E4}" xr6:coauthVersionLast="47" xr6:coauthVersionMax="47" xr10:uidLastSave="{00000000-0000-0000-0000-000000000000}"/>
  <bookViews>
    <workbookView xWindow="1560" yWindow="1560" windowWidth="21600" windowHeight="1129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VarmeAndel" sheetId="15" r:id="rId8"/>
    <sheet name="cBrændsler" sheetId="9" r:id="rId9"/>
    <sheet name="cKapacUdnyttelse" sheetId="10" r:id="rId10"/>
    <sheet name="cLagerStand" sheetId="11" r:id="rId11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8" i="4" l="1"/>
  <c r="A47" i="4"/>
  <c r="A46" i="4"/>
  <c r="A45" i="4"/>
  <c r="A44" i="4"/>
  <c r="A43" i="4"/>
  <c r="A24" i="4"/>
  <c r="A23" i="4"/>
  <c r="A22" i="4"/>
  <c r="A21" i="4"/>
  <c r="A16" i="4"/>
  <c r="D2" i="4"/>
  <c r="A57" i="4"/>
  <c r="A58" i="4"/>
  <c r="A59" i="4"/>
  <c r="A56" i="4"/>
  <c r="A37" i="4"/>
  <c r="A42" i="4"/>
  <c r="A34" i="4"/>
  <c r="A36" i="4"/>
  <c r="A35" i="4"/>
  <c r="A33" i="4"/>
  <c r="A32" i="4"/>
  <c r="A40" i="4"/>
  <c r="A30" i="4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W14" i="6"/>
  <c r="E6" i="4"/>
  <c r="E9" i="14" s="1"/>
  <c r="F6" i="4"/>
  <c r="F9" i="14" s="1"/>
  <c r="G6" i="4"/>
  <c r="G9" i="14" s="1"/>
  <c r="H6" i="4"/>
  <c r="H9" i="14" s="1"/>
  <c r="I6" i="4"/>
  <c r="I9" i="14" s="1"/>
  <c r="J6" i="4"/>
  <c r="J9" i="14" s="1"/>
  <c r="K6" i="4"/>
  <c r="K9" i="14" s="1"/>
  <c r="L6" i="4"/>
  <c r="L9" i="14" s="1"/>
  <c r="M6" i="4"/>
  <c r="M9" i="14" s="1"/>
  <c r="N6" i="4"/>
  <c r="N9" i="14" s="1"/>
  <c r="O6" i="4"/>
  <c r="O9" i="14" s="1"/>
  <c r="P6" i="4"/>
  <c r="P9" i="14" s="1"/>
  <c r="Q6" i="4"/>
  <c r="Q9" i="14" s="1"/>
  <c r="R6" i="4"/>
  <c r="R9" i="14" s="1"/>
  <c r="S6" i="4"/>
  <c r="S9" i="14" s="1"/>
  <c r="T6" i="4"/>
  <c r="T9" i="14" s="1"/>
  <c r="U6" i="4"/>
  <c r="U9" i="14" s="1"/>
  <c r="V6" i="4"/>
  <c r="V9" i="14" s="1"/>
  <c r="W6" i="4"/>
  <c r="W9" i="14" s="1"/>
  <c r="X6" i="4"/>
  <c r="X9" i="14" s="1"/>
  <c r="Y6" i="4"/>
  <c r="Y9" i="14" s="1"/>
  <c r="Z6" i="4"/>
  <c r="Z9" i="14" s="1"/>
  <c r="AA6" i="4"/>
  <c r="AA9" i="14" s="1"/>
  <c r="D6" i="4"/>
  <c r="D9" i="14" s="1"/>
  <c r="A28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164" i="4"/>
  <c r="A157" i="4"/>
  <c r="A158" i="4"/>
  <c r="A159" i="4"/>
  <c r="A160" i="4"/>
  <c r="A161" i="4"/>
  <c r="A156" i="4"/>
  <c r="A27" i="4"/>
  <c r="A128" i="4"/>
  <c r="A129" i="4"/>
  <c r="A130" i="4"/>
  <c r="A29" i="4"/>
  <c r="A31" i="4"/>
  <c r="A38" i="4"/>
  <c r="A39" i="4"/>
  <c r="A49" i="4"/>
  <c r="A50" i="4"/>
  <c r="A51" i="4"/>
  <c r="A52" i="4"/>
  <c r="A54" i="4"/>
  <c r="A55" i="4"/>
  <c r="A13" i="4"/>
  <c r="A14" i="4"/>
  <c r="A15" i="4"/>
  <c r="A17" i="4"/>
  <c r="A18" i="4"/>
  <c r="A19" i="4"/>
  <c r="A20" i="4"/>
  <c r="A25" i="4"/>
  <c r="A26" i="4"/>
  <c r="A12" i="4"/>
  <c r="A8" i="4"/>
  <c r="D9" i="12" l="1"/>
  <c r="T9" i="12"/>
  <c r="L9" i="12"/>
  <c r="D9" i="13"/>
  <c r="T9" i="13"/>
  <c r="L9" i="13"/>
  <c r="AA9" i="12"/>
  <c r="S9" i="12"/>
  <c r="K9" i="12"/>
  <c r="AA9" i="13"/>
  <c r="S9" i="13"/>
  <c r="K9" i="13"/>
  <c r="Z9" i="12"/>
  <c r="R9" i="12"/>
  <c r="J9" i="12"/>
  <c r="Z9" i="13"/>
  <c r="R9" i="13"/>
  <c r="J9" i="13"/>
  <c r="Y9" i="12"/>
  <c r="Q9" i="12"/>
  <c r="I9" i="12"/>
  <c r="Y9" i="13"/>
  <c r="Q9" i="13"/>
  <c r="I9" i="13"/>
  <c r="X9" i="12"/>
  <c r="P9" i="12"/>
  <c r="H9" i="12"/>
  <c r="X9" i="13"/>
  <c r="P9" i="13"/>
  <c r="H9" i="13"/>
  <c r="W9" i="12"/>
  <c r="O9" i="12"/>
  <c r="G9" i="12"/>
  <c r="W9" i="13"/>
  <c r="O9" i="13"/>
  <c r="G9" i="13"/>
  <c r="V9" i="12"/>
  <c r="N9" i="12"/>
  <c r="F9" i="12"/>
  <c r="V9" i="13"/>
  <c r="N9" i="13"/>
  <c r="F9" i="13"/>
  <c r="U9" i="12"/>
  <c r="M9" i="12"/>
  <c r="E9" i="12"/>
  <c r="U9" i="13"/>
  <c r="M9" i="13"/>
  <c r="E9" i="13"/>
  <c r="A53" i="4"/>
  <c r="A93" i="4"/>
  <c r="A94" i="4"/>
  <c r="A95" i="4"/>
  <c r="A119" i="4" l="1"/>
  <c r="A120" i="4"/>
  <c r="A121" i="4"/>
  <c r="A85" i="4"/>
  <c r="A86" i="4"/>
  <c r="A87" i="4"/>
  <c r="A88" i="4"/>
  <c r="A89" i="4"/>
  <c r="A90" i="4"/>
  <c r="A127" i="4"/>
  <c r="A126" i="4"/>
  <c r="A125" i="4"/>
  <c r="A124" i="4"/>
  <c r="A123" i="4"/>
  <c r="A122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84" i="4"/>
  <c r="A91" i="4"/>
  <c r="A92" i="4"/>
  <c r="A96" i="4"/>
  <c r="A97" i="4"/>
  <c r="A98" i="4"/>
  <c r="A62" i="4"/>
  <c r="A63" i="4"/>
  <c r="A64" i="4"/>
  <c r="A65" i="4"/>
  <c r="A66" i="4"/>
  <c r="A67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7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<sst xmlns="http://schemas.openxmlformats.org/spreadsheetml/2006/main" count="1743" uniqueCount="253">
  <si>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</si>
  <si>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</si>
  <si>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</si>
  <si>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</si>
  <si>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</si>
  <si>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</si>
  <si>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</si>
  <si>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</si>
  <si>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</si>
  <si>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</si>
  <si>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</si>
  <si>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</si>
  <si>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</si>
  <si>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</si>
  <si>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</si>
  <si>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</si>
  <si>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</si>
  <si>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</si>
  <si>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</si>
  <si>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</si>
  <si>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</si>
  <si>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</si>
  <si>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</si>
  <si>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</si>
  <si>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</si>
  <si>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</si>
  <si>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</si>
  <si>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</si>
  <si>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</si>
  <si>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</si>
  <si>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</si>
  <si>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</si>
  <si>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</si>
  <si>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</si>
  <si>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</si>
  <si>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</si>
  <si>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</si>
  <si>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</si>
  <si>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</si>
  <si>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</si>
  <si>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</si>
  <si>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</si>
  <si>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</si>
  <si>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</si>
  <si>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</si>
  <si>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</si>
  <si>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</si>
  <si>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</si>
  <si>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</si>
  <si>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</si>
  <si>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</si>
  <si>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</si>
  <si>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</si>
  <si>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</si>
  <si>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</si>
  <si>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</si>
  <si>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</si>
  <si>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</si>
  <si>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</si>
  <si>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</si>
  <si>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</si>
  <si>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</si>
  <si>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</si>
  <si>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</si>
  <si>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</si>
  <si>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</si>
  <si>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</si>
  <si>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</si>
  <si>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</si>
  <si>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</si>
  <si>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</si>
  <si>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</si>
  <si>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</si>
  <si>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</si>
  <si>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</si>
  <si>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</si>
  <si>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</si>
  <si>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</si>
  <si>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</si>
  <si>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</si>
  <si>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</si>
  <si>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</si>
  <si>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</si>
  <si>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</si>
  <si>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</si>
  <si>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</si>
  <si>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</si>
  <si>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</si>
  <si>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</si>
  <si>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</si>
  <si>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</si>
  <si>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</si>
  <si>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</si>
  <si>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</si>
  <si>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</si>
  <si>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</si>
  <si>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</si>
  <si>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</si>
  <si>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</si>
  <si>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</si>
  <si>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</si>
  <si>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</si>
  <si>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</si>
  <si>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</si>
  <si>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</si>
  <si>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</si>
  <si>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</si>
  <si>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</si>
  <si>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</si>
  <si>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</si>
  <si>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</si>
  <si>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</si>
  <si>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</si>
  <si>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</si>
  <si>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</si>
  <si>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</si>
  <si>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</si>
  <si>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</si>
  <si>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</si>
  <si>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</si>
  <si>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</si>
  <si>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</si>
  <si>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</si>
  <si>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</si>
  <si>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</si>
  <si>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</si>
  <si>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</si>
  <si>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</si>
  <si>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</si>
  <si>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</si>
  <si>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</si>
  <si>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</si>
  <si>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</si>
  <si>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</si>
  <si>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</si>
  <si>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</si>
  <si>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</si>
  <si>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</si>
  <si>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</si>
  <si>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</si>
  <si>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</si>
  <si>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</si>
  <si>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</si>
  <si>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</si>
  <si>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</si>
  <si>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</si>
  <si>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</si>
  <si>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</si>
  <si>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</si>
  <si>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</si>
  <si>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</si>
  <si>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</si>
  <si>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</si>
  <si>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</si>
  <si>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</si>
  <si>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</si>
  <si>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</si>
  <si>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</si>
  <si>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</si>
  <si>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</si>
  <si>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</si>
  <si>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</si>
  <si>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</si>
  <si>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</si>
  <si>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</si>
  <si>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</si>
  <si>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</si>
  <si>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</si>
  <si>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</si>
  <si>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</si>
  <si>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</si>
  <si>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</si>
  <si>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</si>
  <si>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</si>
  <si>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</si>
  <si>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</si>
  <si>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</si>
  <si>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</si>
  <si>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</si>
  <si>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</si>
  <si>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</si>
  <si>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</si>
  <si>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</si>
  <si>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</si>
  <si>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</si>
  <si>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</si>
  <si>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</si>
  <si>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</si>
  <si>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</si>
  <si>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</si>
  <si>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</si>
  <si>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</si>
  <si>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</si>
  <si>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</si>
  <si>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</si>
  <si>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</si>
  <si>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</si>
  <si>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</si>
  <si>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</si>
  <si>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</si>
  <si>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</si>
  <si>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</si>
  <si>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</si>
  <si>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</si>
  <si>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</si>
  <si>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</si>
  <si>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</si>
  <si>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</si>
  <si>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</si>
  <si>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</si>
  <si>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</si>
  <si>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</si>
  <si>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LHV</t>
  </si>
  <si>
    <t>Varmemængder</t>
  </si>
  <si>
    <t>Brændselsforbrug</t>
  </si>
  <si>
    <t>Brændselsindkomst</t>
  </si>
  <si>
    <t>MinLast</t>
  </si>
  <si>
    <t>REFA-CO2-Afgift</t>
  </si>
  <si>
    <t>REFA-NOx-Afgift</t>
  </si>
  <si>
    <t>ton CO2</t>
  </si>
  <si>
    <t>REFA-Affaldvarme-afgift</t>
  </si>
  <si>
    <t>REFA-Tillaegs-Afgift</t>
  </si>
  <si>
    <t>FixAffald2021</t>
  </si>
  <si>
    <t>FixAffaldSum</t>
  </si>
  <si>
    <t>REFA-Var-VPO-Affald</t>
  </si>
  <si>
    <t>REFA-Var-VPO-Total</t>
  </si>
  <si>
    <t>Total-Var-VPO</t>
  </si>
  <si>
    <t>DeltaTon</t>
  </si>
  <si>
    <t>DeltaTonAktiv</t>
  </si>
  <si>
    <t>mo1</t>
  </si>
  <si>
    <t>Produceret andel af varmebehov</t>
  </si>
  <si>
    <t>KapQmin</t>
  </si>
  <si>
    <t>Nominel</t>
  </si>
  <si>
    <t>Maximum</t>
  </si>
  <si>
    <t>Kapacitetsudnyttelse</t>
  </si>
  <si>
    <t>Reference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</si>
  <si>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</si>
  <si>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</si>
  <si>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</si>
  <si>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</si>
  <si>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</si>
  <si>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</si>
  <si>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</si>
  <si>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</si>
  <si>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</si>
  <si>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</si>
  <si>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</si>
  <si>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Fliskedel-AnlaegsVarOmk</t>
  </si>
  <si>
    <t>Fliskedel-BraendselOmk</t>
  </si>
  <si>
    <t>Fliskedel-Afgifter</t>
  </si>
  <si>
    <t>Fliskedel-CO2-Emission</t>
  </si>
  <si>
    <t>Fliskedel-Total-Var-Omkostning</t>
  </si>
  <si>
    <t>Fliskedel-Total-Varme-Produktion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</si>
</sst>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9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6" borderId="2" xfId="0" quotePrefix="1" applyFill="1" applyBorder="1" applyAlignment="1">
      <alignment horizontal="left" indent="1"/>
    </xf>
    <xf numFmtId="0" fontId="0" fillId="6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7" borderId="0" xfId="0" applyFont="1" applyFill="1"/>
    <xf numFmtId="0" fontId="2" fillId="7" borderId="0" xfId="0" applyFont="1" applyFill="1"/>
    <xf numFmtId="0" fontId="19" fillId="7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173" fontId="0" fillId="0" borderId="1" xfId="2" quotePrefix="1" applyNumberFormat="1" applyFont="1" applyBorder="1"/>
    <xf numFmtId="0" fontId="2" fillId="2" borderId="13" xfId="0" quotePrefix="1" applyFont="1" applyFill="1" applyBorder="1" applyAlignment="1">
      <alignment horizontal="left" indent="1"/>
    </xf>
    <xf numFmtId="0" fontId="2" fillId="5" borderId="0" xfId="0" quotePrefix="1" applyFont="1" applyFill="1" applyAlignment="1">
      <alignment horizontal="left" indent="1"/>
    </xf>
    <xf numFmtId="0" fontId="2" fillId="8" borderId="0" xfId="0" quotePrefix="1" applyFont="1" applyFill="1" applyAlignment="1">
      <alignment horizontal="left" indent="1"/>
    </xf>
    <xf numFmtId="0" fontId="0" fillId="8" borderId="0" xfId="0" quotePrefix="1" applyFont="1" applyFill="1" applyAlignment="1">
      <alignment horizontal="left" indent="2"/>
    </xf>
    <xf numFmtId="0" fontId="0" fillId="8" borderId="0" xfId="0" quotePrefix="1" applyFill="1" applyAlignment="1">
      <alignment horizontal="left" indent="2"/>
    </xf>
    <xf numFmtId="0" fontId="0" fillId="8" borderId="0" xfId="0" quotePrefix="1" applyFill="1" applyAlignment="1">
      <alignment horizontal="lef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28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FEE2E3"/>
      <color rgb="FFFBABAD"/>
      <color rgb="FFECF5E7"/>
      <color rgb="FFEAF3FA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Overblik!$C$62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_-* #,##0_-;\-#,##0_-;_-* "-"??_-;_-@_-</c:formatCode>
                <c:ptCount val="12"/>
                <c:pt idx="0">
                  <c:v>3283</c:v>
                </c:pt>
                <c:pt idx="1">
                  <c:v>5086</c:v>
                </c:pt>
                <c:pt idx="2">
                  <c:v>6523</c:v>
                </c:pt>
                <c:pt idx="3">
                  <c:v>3009</c:v>
                </c:pt>
                <c:pt idx="4">
                  <c:v>1336.0000000000018</c:v>
                </c:pt>
                <c:pt idx="5">
                  <c:v>3420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912</c:v>
                </c:pt>
                <c:pt idx="10">
                  <c:v>250</c:v>
                </c:pt>
                <c:pt idx="11">
                  <c:v>7068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Overblik!$C$63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_-* #,##0_-;\-#,##0_-;_-* "-"??_-;_-@_-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19488</c:v>
                </c:pt>
                <c:pt idx="4">
                  <c:v>11423.999999999998</c:v>
                </c:pt>
                <c:pt idx="5">
                  <c:v>8417.5957317073171</c:v>
                </c:pt>
                <c:pt idx="6">
                  <c:v>13537.359220711023</c:v>
                </c:pt>
                <c:pt idx="7">
                  <c:v>14577.170241176416</c:v>
                </c:pt>
                <c:pt idx="8">
                  <c:v>13942.661754344939</c:v>
                </c:pt>
                <c:pt idx="9">
                  <c:v>15120</c:v>
                </c:pt>
                <c:pt idx="10">
                  <c:v>20160</c:v>
                </c:pt>
                <c:pt idx="11">
                  <c:v>16740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Overblik!$C$64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Overblik!$C$65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Overblik!$C$66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-5737.5957317073171</c:v>
                </c:pt>
                <c:pt idx="6">
                  <c:v>-7126.3592207110232</c:v>
                </c:pt>
                <c:pt idx="7">
                  <c:v>-6803.1702411764163</c:v>
                </c:pt>
                <c:pt idx="8">
                  <c:v>-5056.6617543449393</c:v>
                </c:pt>
                <c:pt idx="9">
                  <c:v>-422</c:v>
                </c:pt>
                <c:pt idx="10">
                  <c:v>-1E-14</c:v>
                </c:pt>
                <c:pt idx="11">
                  <c:v>-3933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Overblik!$C$67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Produceret andel af varmebehov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249691585433166"/>
          <c:y val="0.17141506048368815"/>
          <c:w val="0.85789104635417945"/>
          <c:h val="0.786216171046341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Overblik!$C$148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Overblik!$D$148:$O$148</c:f>
              <c:numCache>
                <c:formatCode>0\ %\ </c:formatCode>
                <c:ptCount val="12"/>
                <c:pt idx="0">
                  <c:v>0.11677040725591321</c:v>
                </c:pt>
                <c:pt idx="1">
                  <c:v>0.21278554095891558</c:v>
                </c:pt>
                <c:pt idx="2">
                  <c:v>0.23845732041674284</c:v>
                </c:pt>
                <c:pt idx="3">
                  <c:v>0.13375116682224297</c:v>
                </c:pt>
                <c:pt idx="4">
                  <c:v>0.10470219435736691</c:v>
                </c:pt>
                <c:pt idx="5">
                  <c:v>0.56065573770491806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5.8424087123638696E-2</c:v>
                </c:pt>
                <c:pt idx="10">
                  <c:v>1.2248897599216071E-2</c:v>
                </c:pt>
                <c:pt idx="11">
                  <c:v>0.2774484789008832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5-4BC9-9CB0-D194555E3A4C}"/>
            </c:ext>
          </c:extLst>
        </c:ser>
        <c:ser>
          <c:idx val="1"/>
          <c:order val="1"/>
          <c:tx>
            <c:strRef>
              <c:f>Overblik!$C$149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Overblik!$D$149:$O$149</c:f>
              <c:numCache>
                <c:formatCode>0\ %\ </c:formatCode>
                <c:ptCount val="12"/>
                <c:pt idx="0">
                  <c:v>0.74095678463453674</c:v>
                </c:pt>
                <c:pt idx="1">
                  <c:v>0.78721445904108445</c:v>
                </c:pt>
                <c:pt idx="2">
                  <c:v>0.76154267958325716</c:v>
                </c:pt>
                <c:pt idx="3">
                  <c:v>0.86624883317775703</c:v>
                </c:pt>
                <c:pt idx="4">
                  <c:v>0.89529780564263306</c:v>
                </c:pt>
                <c:pt idx="5">
                  <c:v>1.3799337265093963</c:v>
                </c:pt>
                <c:pt idx="6">
                  <c:v>2.1115830947919236</c:v>
                </c:pt>
                <c:pt idx="7">
                  <c:v>1.8751183742187312</c:v>
                </c:pt>
                <c:pt idx="8">
                  <c:v>1.5690593916660971</c:v>
                </c:pt>
                <c:pt idx="9">
                  <c:v>0.96860986547085204</c:v>
                </c:pt>
                <c:pt idx="10">
                  <c:v>0.9877511024007839</c:v>
                </c:pt>
                <c:pt idx="11">
                  <c:v>0.65711481844946029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5-4BC9-9CB0-D194555E3A4C}"/>
            </c:ext>
          </c:extLst>
        </c:ser>
        <c:ser>
          <c:idx val="2"/>
          <c:order val="2"/>
          <c:tx>
            <c:strRef>
              <c:f>Overblik!$C$150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Overblik!$D$150:$O$150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D5-4BC9-9CB0-D194555E3A4C}"/>
            </c:ext>
          </c:extLst>
        </c:ser>
        <c:ser>
          <c:idx val="3"/>
          <c:order val="3"/>
          <c:tx>
            <c:strRef>
              <c:f>Overblik!$C$151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Overblik!$D$151:$O$151</c:f>
              <c:numCache>
                <c:formatCode>0\ %\ </c:formatCode>
                <c:ptCount val="12"/>
                <c:pt idx="0">
                  <c:v>0.14227280810955006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0.2198233562315996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D5-4BC9-9CB0-D194555E3A4C}"/>
            </c:ext>
          </c:extLst>
        </c:ser>
        <c:ser>
          <c:idx val="4"/>
          <c:order val="4"/>
          <c:tx>
            <c:strRef>
              <c:f>Overblik!$C$152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rgbClr val="00FFFF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Overblik!$D$152:$O$152</c:f>
              <c:numCache>
                <c:formatCode>0\ %\ 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-0.94058946421431433</c:v>
                </c:pt>
                <c:pt idx="6">
                  <c:v>-1.1115830947919239</c:v>
                </c:pt>
                <c:pt idx="7">
                  <c:v>-0.87511837421873118</c:v>
                </c:pt>
                <c:pt idx="8">
                  <c:v>-0.5690593916660972</c:v>
                </c:pt>
                <c:pt idx="9">
                  <c:v>-2.703395259449071E-2</c:v>
                </c:pt>
                <c:pt idx="10">
                  <c:v>-1E-14</c:v>
                </c:pt>
                <c:pt idx="11">
                  <c:v>-0.15438665358194309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D5-4BC9-9CB0-D194555E3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829666112"/>
        <c:axId val="829658208"/>
      </c:barChart>
      <c:catAx>
        <c:axId val="8296661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29658208"/>
        <c:crosses val="autoZero"/>
        <c:auto val="1"/>
        <c:lblAlgn val="ctr"/>
        <c:lblOffset val="100"/>
        <c:noMultiLvlLbl val="0"/>
      </c:catAx>
      <c:valAx>
        <c:axId val="8296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2966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907851238618336"/>
          <c:y val="9.5455269795986578E-2"/>
          <c:w val="0.39307424505138872"/>
          <c:h val="5.553176025216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Overblik!$C$70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3908.64</c:v>
                </c:pt>
                <c:pt idx="1">
                  <c:v>973.00097299999993</c:v>
                </c:pt>
                <c:pt idx="2">
                  <c:v>1702.5917025899998</c:v>
                </c:pt>
                <c:pt idx="3">
                  <c:v>1267.9912679899999</c:v>
                </c:pt>
                <c:pt idx="4">
                  <c:v>105.72010571999999</c:v>
                </c:pt>
                <c:pt idx="5">
                  <c:v>1E-14</c:v>
                </c:pt>
                <c:pt idx="6">
                  <c:v>182.36018236000001</c:v>
                </c:pt>
                <c:pt idx="7">
                  <c:v>161.74016173999999</c:v>
                </c:pt>
                <c:pt idx="8">
                  <c:v>1474.88147488</c:v>
                </c:pt>
                <c:pt idx="9">
                  <c:v>1389.91138991</c:v>
                </c:pt>
                <c:pt idx="10">
                  <c:v>187.49018748999998</c:v>
                </c:pt>
                <c:pt idx="11">
                  <c:v>1560.9815609799998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Overblik!$C$71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Overblik!$C$72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Overblik!$C$73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2356.98</c:v>
                </c:pt>
                <c:pt idx="1">
                  <c:v>2129.9021299000001</c:v>
                </c:pt>
                <c:pt idx="2">
                  <c:v>2515.2125152099998</c:v>
                </c:pt>
                <c:pt idx="3">
                  <c:v>2421.3424213399999</c:v>
                </c:pt>
                <c:pt idx="4">
                  <c:v>2323.0623230599999</c:v>
                </c:pt>
                <c:pt idx="5">
                  <c:v>2443.7424437399995</c:v>
                </c:pt>
                <c:pt idx="6">
                  <c:v>2591.0825910799999</c:v>
                </c:pt>
                <c:pt idx="7">
                  <c:v>2530.8425308400001</c:v>
                </c:pt>
                <c:pt idx="8">
                  <c:v>2388.4523884499995</c:v>
                </c:pt>
                <c:pt idx="9">
                  <c:v>2269.3822693799998</c:v>
                </c:pt>
                <c:pt idx="10">
                  <c:v>2350.3423503399999</c:v>
                </c:pt>
                <c:pt idx="11">
                  <c:v>2446.4624464599997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Overblik!$C$74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437.56</c:v>
                </c:pt>
                <c:pt idx="1">
                  <c:v>345.00034499999998</c:v>
                </c:pt>
                <c:pt idx="2">
                  <c:v>540.71054071000003</c:v>
                </c:pt>
                <c:pt idx="3">
                  <c:v>440.19044018999995</c:v>
                </c:pt>
                <c:pt idx="4">
                  <c:v>404.17040416999998</c:v>
                </c:pt>
                <c:pt idx="5">
                  <c:v>104.08010407999998</c:v>
                </c:pt>
                <c:pt idx="6">
                  <c:v>311.55031155</c:v>
                </c:pt>
                <c:pt idx="7">
                  <c:v>308.58930858899998</c:v>
                </c:pt>
                <c:pt idx="8">
                  <c:v>384.76038475999997</c:v>
                </c:pt>
                <c:pt idx="9">
                  <c:v>338.54033853999999</c:v>
                </c:pt>
                <c:pt idx="10">
                  <c:v>295.89029588999995</c:v>
                </c:pt>
                <c:pt idx="11">
                  <c:v>321.37032137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Overblik!$C$75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33.350033349999997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Overblik!$C$76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1E-14</c:v>
                </c:pt>
                <c:pt idx="1">
                  <c:v>260.87026086999998</c:v>
                </c:pt>
                <c:pt idx="2">
                  <c:v>347.07034706999997</c:v>
                </c:pt>
                <c:pt idx="3">
                  <c:v>332.39033238999997</c:v>
                </c:pt>
                <c:pt idx="4">
                  <c:v>330.62033062</c:v>
                </c:pt>
                <c:pt idx="5">
                  <c:v>417.61041760999996</c:v>
                </c:pt>
                <c:pt idx="6">
                  <c:v>481.77048176999995</c:v>
                </c:pt>
                <c:pt idx="7">
                  <c:v>404.79040478999997</c:v>
                </c:pt>
                <c:pt idx="8">
                  <c:v>419.89041988999998</c:v>
                </c:pt>
                <c:pt idx="9">
                  <c:v>377.54037754000001</c:v>
                </c:pt>
                <c:pt idx="10">
                  <c:v>311.19031118999999</c:v>
                </c:pt>
                <c:pt idx="11">
                  <c:v>314.38031437999996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Overblik!$C$77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6.15</c:v>
                </c:pt>
                <c:pt idx="1">
                  <c:v>4.0500040499999992</c:v>
                </c:pt>
                <c:pt idx="2">
                  <c:v>6.7200067199999989</c:v>
                </c:pt>
                <c:pt idx="3">
                  <c:v>18.610018609999997</c:v>
                </c:pt>
                <c:pt idx="4">
                  <c:v>9.6500096499999994</c:v>
                </c:pt>
                <c:pt idx="5">
                  <c:v>6.2400062399999996</c:v>
                </c:pt>
                <c:pt idx="6">
                  <c:v>13.020013019999999</c:v>
                </c:pt>
                <c:pt idx="7">
                  <c:v>3.4100034099999998</c:v>
                </c:pt>
                <c:pt idx="8">
                  <c:v>14.300014299999999</c:v>
                </c:pt>
                <c:pt idx="9">
                  <c:v>12.240012239999999</c:v>
                </c:pt>
                <c:pt idx="10">
                  <c:v>4.9400049399999997</c:v>
                </c:pt>
                <c:pt idx="11">
                  <c:v>7.5700075699999996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Overblik!$C$78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257</c:v>
                </c:pt>
                <c:pt idx="1">
                  <c:v>257.76025775999994</c:v>
                </c:pt>
                <c:pt idx="2">
                  <c:v>307.94030793999997</c:v>
                </c:pt>
                <c:pt idx="3">
                  <c:v>309.31030930999998</c:v>
                </c:pt>
                <c:pt idx="4">
                  <c:v>337.34033733999996</c:v>
                </c:pt>
                <c:pt idx="5">
                  <c:v>441.40044139999992</c:v>
                </c:pt>
                <c:pt idx="6">
                  <c:v>494.33049432999996</c:v>
                </c:pt>
                <c:pt idx="7">
                  <c:v>298.84029883999995</c:v>
                </c:pt>
                <c:pt idx="8">
                  <c:v>458.61045860999997</c:v>
                </c:pt>
                <c:pt idx="9">
                  <c:v>310.66031065999999</c:v>
                </c:pt>
                <c:pt idx="10">
                  <c:v>449.82044981999996</c:v>
                </c:pt>
                <c:pt idx="11">
                  <c:v>343.27034326999996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Overblik!$C$79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22.8</c:v>
                </c:pt>
                <c:pt idx="1">
                  <c:v>23.960023959999997</c:v>
                </c:pt>
                <c:pt idx="2">
                  <c:v>21.490021489999997</c:v>
                </c:pt>
                <c:pt idx="3">
                  <c:v>22.120022119999998</c:v>
                </c:pt>
                <c:pt idx="4">
                  <c:v>24.730024729999997</c:v>
                </c:pt>
                <c:pt idx="5">
                  <c:v>27.840027839999998</c:v>
                </c:pt>
                <c:pt idx="6">
                  <c:v>57.590057590000001</c:v>
                </c:pt>
                <c:pt idx="7">
                  <c:v>49.560049559999996</c:v>
                </c:pt>
                <c:pt idx="8">
                  <c:v>33.480033479999996</c:v>
                </c:pt>
                <c:pt idx="9">
                  <c:v>43.96004396</c:v>
                </c:pt>
                <c:pt idx="10">
                  <c:v>39.010039009999993</c:v>
                </c:pt>
                <c:pt idx="11">
                  <c:v>31.92003192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Overblik!$C$80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1016</c:v>
                </c:pt>
                <c:pt idx="1">
                  <c:v>1240.74124074</c:v>
                </c:pt>
                <c:pt idx="2">
                  <c:v>783.20078319999993</c:v>
                </c:pt>
                <c:pt idx="3">
                  <c:v>577.0305770299999</c:v>
                </c:pt>
                <c:pt idx="4">
                  <c:v>314.81031480999997</c:v>
                </c:pt>
                <c:pt idx="5">
                  <c:v>84.140084139999999</c:v>
                </c:pt>
                <c:pt idx="6">
                  <c:v>329.48032947999997</c:v>
                </c:pt>
                <c:pt idx="7">
                  <c:v>582.48058247999995</c:v>
                </c:pt>
                <c:pt idx="8">
                  <c:v>237.45023744999997</c:v>
                </c:pt>
                <c:pt idx="9">
                  <c:v>406.18040617999998</c:v>
                </c:pt>
                <c:pt idx="10">
                  <c:v>337.86033785999996</c:v>
                </c:pt>
                <c:pt idx="11">
                  <c:v>232.3002323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Overblik!$C$81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13.53</c:v>
                </c:pt>
                <c:pt idx="1">
                  <c:v>1.6800016799999997</c:v>
                </c:pt>
                <c:pt idx="2">
                  <c:v>11.22001122</c:v>
                </c:pt>
                <c:pt idx="3">
                  <c:v>9.280009279999998</c:v>
                </c:pt>
                <c:pt idx="4">
                  <c:v>11.42001142</c:v>
                </c:pt>
                <c:pt idx="5">
                  <c:v>5.7500057499999997</c:v>
                </c:pt>
                <c:pt idx="6">
                  <c:v>3.4800034799999997</c:v>
                </c:pt>
                <c:pt idx="7">
                  <c:v>14.440014439999999</c:v>
                </c:pt>
                <c:pt idx="8">
                  <c:v>5.7100057099999999</c:v>
                </c:pt>
                <c:pt idx="9">
                  <c:v>44.540044539999997</c:v>
                </c:pt>
                <c:pt idx="10">
                  <c:v>11.770011769999998</c:v>
                </c:pt>
                <c:pt idx="11">
                  <c:v>1.37000137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Overblik!$C$82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1E-14</c:v>
                </c:pt>
                <c:pt idx="1">
                  <c:v>2.12</c:v>
                </c:pt>
                <c:pt idx="2">
                  <c:v>4.6399999999999997</c:v>
                </c:pt>
                <c:pt idx="3">
                  <c:v>3.35</c:v>
                </c:pt>
                <c:pt idx="4">
                  <c:v>8.83</c:v>
                </c:pt>
                <c:pt idx="5">
                  <c:v>8.82</c:v>
                </c:pt>
                <c:pt idx="6">
                  <c:v>3.03</c:v>
                </c:pt>
                <c:pt idx="7">
                  <c:v>1.72</c:v>
                </c:pt>
                <c:pt idx="8">
                  <c:v>4.71</c:v>
                </c:pt>
                <c:pt idx="9">
                  <c:v>2.21</c:v>
                </c:pt>
                <c:pt idx="10">
                  <c:v>4.2900000000000018</c:v>
                </c:pt>
                <c:pt idx="11">
                  <c:v>7.27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Overblik!$C$83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1E-14</c:v>
                </c:pt>
                <c:pt idx="1">
                  <c:v>4.3200043199999998</c:v>
                </c:pt>
                <c:pt idx="2">
                  <c:v>1E-14</c:v>
                </c:pt>
                <c:pt idx="3">
                  <c:v>1E-14</c:v>
                </c:pt>
                <c:pt idx="4">
                  <c:v>0.45000045</c:v>
                </c:pt>
                <c:pt idx="5">
                  <c:v>1E-14</c:v>
                </c:pt>
                <c:pt idx="6">
                  <c:v>2.4700024699999998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2.5000024999999999</c:v>
                </c:pt>
                <c:pt idx="11">
                  <c:v>3.1500031499999999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Overblik!$C$84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2200.102821207854</c:v>
                </c:pt>
                <c:pt idx="1">
                  <c:v>2882.6877230026766</c:v>
                </c:pt>
                <c:pt idx="2">
                  <c:v>2752.3099669053076</c:v>
                </c:pt>
                <c:pt idx="3">
                  <c:v>2285.9925229421096</c:v>
                </c:pt>
                <c:pt idx="4">
                  <c:v>1179.0345477286128</c:v>
                </c:pt>
                <c:pt idx="5">
                  <c:v>800.73518495309452</c:v>
                </c:pt>
                <c:pt idx="6">
                  <c:v>1211.9015214260874</c:v>
                </c:pt>
                <c:pt idx="7">
                  <c:v>1334.0041338119879</c:v>
                </c:pt>
                <c:pt idx="8">
                  <c:v>1273.4306481498538</c:v>
                </c:pt>
                <c:pt idx="9">
                  <c:v>2288.5550567518198</c:v>
                </c:pt>
                <c:pt idx="10">
                  <c:v>3106.7183031400173</c:v>
                </c:pt>
                <c:pt idx="11">
                  <c:v>2833.4474324492348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Overblik!$C$85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154.09015409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Overblik!$C$86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Overblik!$C$87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1E-14</c:v>
                </c:pt>
                <c:pt idx="1">
                  <c:v>143.63014362999999</c:v>
                </c:pt>
                <c:pt idx="2">
                  <c:v>49.690049689999995</c:v>
                </c:pt>
                <c:pt idx="3">
                  <c:v>116.49011648999999</c:v>
                </c:pt>
                <c:pt idx="4">
                  <c:v>144.72014471999998</c:v>
                </c:pt>
                <c:pt idx="5">
                  <c:v>157.86015785999999</c:v>
                </c:pt>
                <c:pt idx="6">
                  <c:v>62.100062099999995</c:v>
                </c:pt>
                <c:pt idx="7">
                  <c:v>2.9200029199999995</c:v>
                </c:pt>
                <c:pt idx="8">
                  <c:v>54.700054699999995</c:v>
                </c:pt>
                <c:pt idx="9">
                  <c:v>78.220078219999991</c:v>
                </c:pt>
                <c:pt idx="10">
                  <c:v>92.890092889999991</c:v>
                </c:pt>
                <c:pt idx="11">
                  <c:v>83.810083809999995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Overblik!$C$88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Overblik!$C$89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1E-14</c:v>
                </c:pt>
                <c:pt idx="1">
                  <c:v>9.2400092399999991</c:v>
                </c:pt>
                <c:pt idx="2">
                  <c:v>15.290015289999998</c:v>
                </c:pt>
                <c:pt idx="3">
                  <c:v>9.1700091699999984</c:v>
                </c:pt>
                <c:pt idx="4">
                  <c:v>12.23001223</c:v>
                </c:pt>
                <c:pt idx="5">
                  <c:v>12.06001206</c:v>
                </c:pt>
                <c:pt idx="6">
                  <c:v>10.96001096</c:v>
                </c:pt>
                <c:pt idx="7">
                  <c:v>10.58001058</c:v>
                </c:pt>
                <c:pt idx="8">
                  <c:v>0.91000090999999994</c:v>
                </c:pt>
                <c:pt idx="9">
                  <c:v>1E-14</c:v>
                </c:pt>
                <c:pt idx="10">
                  <c:v>9.470009469999999</c:v>
                </c:pt>
                <c:pt idx="11">
                  <c:v>13.410013409999999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Overblik!$C$90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15.19</c:v>
                </c:pt>
                <c:pt idx="1">
                  <c:v>5.4200054199999999</c:v>
                </c:pt>
                <c:pt idx="2">
                  <c:v>32.670032669999998</c:v>
                </c:pt>
                <c:pt idx="3">
                  <c:v>48.460048459999996</c:v>
                </c:pt>
                <c:pt idx="4">
                  <c:v>9.1100091099999982</c:v>
                </c:pt>
                <c:pt idx="5">
                  <c:v>2.0500020499999998</c:v>
                </c:pt>
                <c:pt idx="6">
                  <c:v>23.100023099999998</c:v>
                </c:pt>
                <c:pt idx="7">
                  <c:v>25.1000251</c:v>
                </c:pt>
                <c:pt idx="8">
                  <c:v>24.470024469999998</c:v>
                </c:pt>
                <c:pt idx="9">
                  <c:v>15.680015679999999</c:v>
                </c:pt>
                <c:pt idx="10">
                  <c:v>4.9800049800000004</c:v>
                </c:pt>
                <c:pt idx="11">
                  <c:v>5.970005969999999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Overblik!$C$91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1E-14</c:v>
                </c:pt>
                <c:pt idx="1">
                  <c:v>1215.8633857692166</c:v>
                </c:pt>
                <c:pt idx="2">
                  <c:v>1605.5759271965696</c:v>
                </c:pt>
                <c:pt idx="3">
                  <c:v>1027.146934105873</c:v>
                </c:pt>
                <c:pt idx="4">
                  <c:v>149.9901880563913</c:v>
                </c:pt>
                <c:pt idx="5">
                  <c:v>504.44535522410246</c:v>
                </c:pt>
                <c:pt idx="6">
                  <c:v>1E-14</c:v>
                </c:pt>
                <c:pt idx="7">
                  <c:v>441.36098345522282</c:v>
                </c:pt>
                <c:pt idx="8">
                  <c:v>525.49568881534651</c:v>
                </c:pt>
                <c:pt idx="9">
                  <c:v>670.84633083867038</c:v>
                </c:pt>
                <c:pt idx="10">
                  <c:v>1151.4305896390454</c:v>
                </c:pt>
                <c:pt idx="11">
                  <c:v>2707.8546168995581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Overblik!$C$92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Overblik!$C$93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Overblik!$D$93:$O$93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Overblik!$C$94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Overblik!$D$94:$O$94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Overblik!$C$95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Overblik!$D$95:$O$95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Overblik!$C$96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Overblik!$D$96:$O$96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Overblik!$C$97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Overblik!$D$97:$O$97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Overblik!$C$98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Overblik!$D$98:$O$98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 ift. max. varmekapacitet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Overblik!$C$134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noFill/>
              <a:ln w="0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Overblik!$D$134:$O$134</c:f>
              <c:numCache>
                <c:formatCode>0\ %\ </c:formatCode>
                <c:ptCount val="12"/>
                <c:pt idx="0">
                  <c:v>0.46448783248443692</c:v>
                </c:pt>
                <c:pt idx="1">
                  <c:v>0.82618583495776465</c:v>
                </c:pt>
                <c:pt idx="2">
                  <c:v>0.92289190718732317</c:v>
                </c:pt>
                <c:pt idx="3">
                  <c:v>0.43991228070175437</c:v>
                </c:pt>
                <c:pt idx="4">
                  <c:v>0.26634768740031933</c:v>
                </c:pt>
                <c:pt idx="5">
                  <c:v>1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</c:v>
                </c:pt>
                <c:pt idx="10">
                  <c:v>5.7710064635272389E-2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Overblik!$C$135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Overblik!$D$135:$O$135</c:f>
              <c:numCache>
                <c:formatCode>0\ %\ </c:formatCode>
                <c:ptCount val="12"/>
                <c:pt idx="0">
                  <c:v>1.2444444444444445</c:v>
                </c:pt>
                <c:pt idx="1">
                  <c:v>1.2444444444444445</c:v>
                </c:pt>
                <c:pt idx="2">
                  <c:v>1.2444444444444445</c:v>
                </c:pt>
                <c:pt idx="3">
                  <c:v>1.2444444444444445</c:v>
                </c:pt>
                <c:pt idx="4">
                  <c:v>1.2444444444444442</c:v>
                </c:pt>
                <c:pt idx="5">
                  <c:v>1.1990877110694185</c:v>
                </c:pt>
                <c:pt idx="6">
                  <c:v>0.83563945806858164</c:v>
                </c:pt>
                <c:pt idx="7">
                  <c:v>0.87079870018975003</c:v>
                </c:pt>
                <c:pt idx="8">
                  <c:v>0.86065813298425553</c:v>
                </c:pt>
                <c:pt idx="9">
                  <c:v>1.0000000000000002</c:v>
                </c:pt>
                <c:pt idx="10">
                  <c:v>1.2444444444444445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Overblik!$C$136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Overblik!$D$136:$O$136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Overblik!$C$137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Overblik!$D$137:$O$137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Overblik!$C$138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Overblik!$D$138:$O$138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0.53125886404697376</c:v>
                </c:pt>
                <c:pt idx="6">
                  <c:v>0.63856265418557556</c:v>
                </c:pt>
                <c:pt idx="7">
                  <c:v>0.60960306820577204</c:v>
                </c:pt>
                <c:pt idx="8">
                  <c:v>0.46820942169860547</c:v>
                </c:pt>
                <c:pt idx="9">
                  <c:v>3.7813620071684588E-2</c:v>
                </c:pt>
                <c:pt idx="10">
                  <c:v>1E-14</c:v>
                </c:pt>
                <c:pt idx="11">
                  <c:v>0.35241935483870968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Overblik!$C$139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Overblik!$D$139:$O$139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Overblik!$C$156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Overblik!$D$156:$O$156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Overblik!$C$157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Overblik!$D$157:$O$157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D715BBF-52C9-464C-8A3B-0BABC3E71D0C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6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22410</xdr:colOff>
      <xdr:row>1</xdr:row>
      <xdr:rowOff>22411</xdr:rowOff>
    </xdr:from>
    <xdr:to>
      <xdr:col>30</xdr:col>
      <xdr:colOff>571499</xdr:colOff>
      <xdr:row>7</xdr:row>
      <xdr:rowOff>179294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493C7F-7EC7-4259-9BAB-746CFA3067C9}"/>
            </a:ext>
          </a:extLst>
        </xdr:cNvPr>
        <xdr:cNvSpPr txBox="1"/>
      </xdr:nvSpPr>
      <xdr:spPr>
        <a:xfrm>
          <a:off x="12998822" y="212911"/>
          <a:ext cx="7788089" cy="1299883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/>
            <a:t>OBS</a:t>
          </a:r>
        </a:p>
        <a:p>
          <a:r>
            <a:rPr lang="da-DK" sz="1400"/>
            <a:t>De angivne</a:t>
          </a:r>
          <a:r>
            <a:rPr lang="da-DK" sz="1400" baseline="0"/>
            <a:t> inputværdier repræsenterer referencescenariet, dvs. som tallene er angivet i inputarket. </a:t>
          </a:r>
        </a:p>
        <a:p>
          <a:endParaRPr lang="da-DK" sz="1400" baseline="0"/>
        </a:p>
        <a:p>
          <a:r>
            <a:rPr lang="da-DK" sz="1400" baseline="0"/>
            <a:t>De aktuelle værdier brugt i beregningen kan være modificeret af scenarie-parametre. </a:t>
          </a:r>
        </a:p>
        <a:p>
          <a:r>
            <a:rPr lang="da-DK" sz="1400" baseline="0"/>
            <a:t>Sådanne ændringer kan aflæses i arkene DataU, DataSto, DataFuel, hvor modifikationerne er registreret.</a:t>
          </a:r>
          <a:endParaRPr lang="da-DK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1F68-3313-4FD3-82E7-479261A57F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54</v>
      </c>
    </row>
    <row r="3" spans="2:4" x14ac:dyDescent="0.25">
      <c r="B3" s="18" t="s">
        <v>0</v>
      </c>
      <c r="C3" s="18" t="s">
        <v>30</v>
      </c>
      <c r="D3" s="18" t="s">
        <v>0</v>
      </c>
    </row>
    <row r="4" spans="2:4" x14ac:dyDescent="0.25">
      <c r="B4" s="19" t="s">
        <v>1</v>
      </c>
      <c r="C4" s="18" t="s">
        <v>31</v>
      </c>
      <c r="D4" s="19" t="s">
        <v>1</v>
      </c>
    </row>
    <row r="5" spans="2:4" x14ac:dyDescent="0.25">
      <c r="B5" s="19" t="s">
        <v>2</v>
      </c>
      <c r="C5" s="18" t="s">
        <v>32</v>
      </c>
      <c r="D5" s="19" t="s">
        <v>2</v>
      </c>
    </row>
    <row r="6" spans="2:4" x14ac:dyDescent="0.25">
      <c r="B6" s="20" t="s">
        <v>3</v>
      </c>
      <c r="C6" s="18" t="s">
        <v>33</v>
      </c>
      <c r="D6" s="20" t="s">
        <v>3</v>
      </c>
    </row>
    <row r="7" spans="2:4" x14ac:dyDescent="0.25">
      <c r="B7" s="20" t="s">
        <v>4</v>
      </c>
      <c r="C7" s="18" t="s">
        <v>34</v>
      </c>
      <c r="D7" s="20" t="s">
        <v>4</v>
      </c>
    </row>
    <row r="8" spans="2:4" x14ac:dyDescent="0.25">
      <c r="B8" s="20" t="s">
        <v>5</v>
      </c>
      <c r="C8" s="18" t="s">
        <v>35</v>
      </c>
      <c r="D8" s="20" t="s">
        <v>5</v>
      </c>
    </row>
    <row r="9" spans="2:4" x14ac:dyDescent="0.25">
      <c r="B9" s="20" t="s">
        <v>6</v>
      </c>
      <c r="C9" s="18" t="s">
        <v>36</v>
      </c>
      <c r="D9" s="20" t="s">
        <v>6</v>
      </c>
    </row>
    <row r="10" spans="2:4" x14ac:dyDescent="0.25">
      <c r="B10" s="20" t="s">
        <v>7</v>
      </c>
      <c r="C10" s="18" t="s">
        <v>37</v>
      </c>
      <c r="D10" s="20" t="s">
        <v>7</v>
      </c>
    </row>
    <row r="11" spans="2:4" x14ac:dyDescent="0.25">
      <c r="B11" s="20" t="s">
        <v>8</v>
      </c>
      <c r="C11" s="18" t="s">
        <v>38</v>
      </c>
      <c r="D11" s="20" t="s">
        <v>8</v>
      </c>
    </row>
    <row r="12" spans="2:4" x14ac:dyDescent="0.25">
      <c r="B12" s="20" t="s">
        <v>9</v>
      </c>
      <c r="C12" s="18" t="s">
        <v>39</v>
      </c>
      <c r="D12" s="20" t="s">
        <v>9</v>
      </c>
    </row>
    <row r="13" spans="2:4" x14ac:dyDescent="0.25">
      <c r="B13" s="20" t="s">
        <v>10</v>
      </c>
      <c r="C13" s="18" t="s">
        <v>40</v>
      </c>
      <c r="D13" s="20" t="s">
        <v>10</v>
      </c>
    </row>
    <row r="14" spans="2:4" x14ac:dyDescent="0.25">
      <c r="B14" s="20" t="s">
        <v>11</v>
      </c>
      <c r="C14" s="18" t="s">
        <v>41</v>
      </c>
      <c r="D14" s="20" t="s">
        <v>11</v>
      </c>
    </row>
    <row r="15" spans="2:4" x14ac:dyDescent="0.25">
      <c r="B15" s="19" t="s">
        <v>12</v>
      </c>
      <c r="C15" s="18" t="s">
        <v>42</v>
      </c>
      <c r="D15" s="19" t="s">
        <v>12</v>
      </c>
    </row>
    <row r="16" spans="2:4" x14ac:dyDescent="0.25">
      <c r="B16" s="20" t="s">
        <v>13</v>
      </c>
      <c r="C16" s="18" t="s">
        <v>43</v>
      </c>
      <c r="D16" s="20" t="s">
        <v>13</v>
      </c>
    </row>
    <row r="17" spans="2:4" x14ac:dyDescent="0.25">
      <c r="B17" s="20" t="s">
        <v>14</v>
      </c>
      <c r="C17" s="18" t="s">
        <v>44</v>
      </c>
      <c r="D17" s="20" t="s">
        <v>14</v>
      </c>
    </row>
    <row r="18" spans="2:4" x14ac:dyDescent="0.25">
      <c r="B18" s="20" t="s">
        <v>15</v>
      </c>
      <c r="C18" s="18" t="s">
        <v>45</v>
      </c>
      <c r="D18" s="20" t="s">
        <v>15</v>
      </c>
    </row>
    <row r="19" spans="2:4" x14ac:dyDescent="0.25">
      <c r="B19" s="19" t="s">
        <v>16</v>
      </c>
      <c r="C19" s="18" t="s">
        <v>46</v>
      </c>
      <c r="D19" s="19" t="s">
        <v>16</v>
      </c>
    </row>
    <row r="20" spans="2:4" x14ac:dyDescent="0.25">
      <c r="B20" s="19" t="s">
        <v>18</v>
      </c>
      <c r="C20" s="18" t="s">
        <v>47</v>
      </c>
      <c r="D20" s="19" t="s">
        <v>18</v>
      </c>
    </row>
    <row r="21" spans="2:4" x14ac:dyDescent="0.25">
      <c r="B21" s="20" t="s">
        <v>19</v>
      </c>
      <c r="C21" s="18" t="s">
        <v>48</v>
      </c>
      <c r="D21" s="20" t="s">
        <v>19</v>
      </c>
    </row>
    <row r="22" spans="2:4" x14ac:dyDescent="0.25">
      <c r="B22" s="18" t="s">
        <v>20</v>
      </c>
      <c r="C22" s="18" t="s">
        <v>49</v>
      </c>
      <c r="D22" s="18" t="s">
        <v>20</v>
      </c>
    </row>
    <row r="23" spans="2:4" x14ac:dyDescent="0.25">
      <c r="B23" s="18" t="s">
        <v>17</v>
      </c>
      <c r="C23" s="18" t="s">
        <v>50</v>
      </c>
      <c r="D23" s="18" t="s">
        <v>17</v>
      </c>
    </row>
    <row r="24" spans="2:4" x14ac:dyDescent="0.25">
      <c r="B24" s="18" t="s">
        <v>26</v>
      </c>
      <c r="C24" s="18" t="s">
        <v>51</v>
      </c>
      <c r="D24" s="18" t="s">
        <v>26</v>
      </c>
    </row>
    <row r="25" spans="2:4" x14ac:dyDescent="0.25">
      <c r="B25" s="18" t="s">
        <v>27</v>
      </c>
      <c r="C25" s="18" t="s">
        <v>52</v>
      </c>
      <c r="D25" s="18" t="s">
        <v>27</v>
      </c>
    </row>
    <row r="26" spans="2:4" s="16" customFormat="1" x14ac:dyDescent="0.25">
      <c r="B26" s="18" t="s">
        <v>59</v>
      </c>
      <c r="C26" s="18" t="s">
        <v>63</v>
      </c>
      <c r="D26" s="18" t="s">
        <v>59</v>
      </c>
    </row>
    <row r="27" spans="2:4" s="16" customFormat="1" x14ac:dyDescent="0.25">
      <c r="B27" s="18" t="s">
        <v>60</v>
      </c>
      <c r="C27" s="18" t="s">
        <v>64</v>
      </c>
      <c r="D27" s="18" t="s">
        <v>60</v>
      </c>
    </row>
    <row r="28" spans="2:4" s="16" customFormat="1" x14ac:dyDescent="0.25">
      <c r="B28" s="18" t="s">
        <v>61</v>
      </c>
      <c r="C28" s="18" t="s">
        <v>65</v>
      </c>
      <c r="D28" s="18" t="s">
        <v>61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53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F246"/>
  <sheetViews>
    <sheetView zoomScale="85" zoomScaleNormal="85" workbookViewId="0">
      <selection activeCell="S6" sqref="S6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8.7109375" style="23" customWidth="1"/>
    <col min="20" max="20" width="4" style="23" customWidth="1"/>
    <col min="21" max="21" width="16.42578125" style="16" bestFit="1" customWidth="1"/>
    <col min="22" max="22" width="12.7109375" style="16" bestFit="1" customWidth="1"/>
    <col min="23" max="23" width="9.7109375" customWidth="1"/>
    <col min="24" max="28" width="9.7109375" customWidth="1" outlineLevel="1"/>
    <col min="29" max="34" width="10.42578125" customWidth="1" outlineLevel="1"/>
    <col min="35" max="35" width="10.42578125" customWidth="1"/>
    <col min="36" max="36" width="10.42578125" customWidth="1" outlineLevel="1"/>
    <col min="37" max="46" width="11.42578125" customWidth="1" outlineLevel="1"/>
    <col min="47" max="47" width="11.42578125" customWidth="1"/>
    <col min="48" max="58" width="11.42578125" customWidth="1" outlineLevel="1"/>
  </cols>
  <sheetData>
    <row r="1" spans="2:58" x14ac:dyDescent="0.25">
      <c r="H1" s="28"/>
      <c r="U1"/>
      <c r="V1"/>
      <c r="W1" s="16"/>
    </row>
    <row r="2" spans="2:58" s="16" customFormat="1" x14ac:dyDescent="0.25">
      <c r="B2" s="145" t="s">
        <v>133</v>
      </c>
      <c r="C2" s="109" t="s">
        <v>142</v>
      </c>
      <c r="D2" s="109" t="s">
        <v>125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  <c r="T2" s="23"/>
    </row>
    <row r="3" spans="2:58" s="16" customFormat="1" x14ac:dyDescent="0.25">
      <c r="B3" s="176" t="s">
        <v>206</v>
      </c>
      <c r="C3" s="177">
        <v>1</v>
      </c>
      <c r="D3" s="178" t="s">
        <v>126</v>
      </c>
      <c r="E3" s="171"/>
      <c r="F3" s="171"/>
      <c r="G3" s="171"/>
      <c r="H3" s="179"/>
      <c r="I3" s="171"/>
      <c r="J3" s="171"/>
      <c r="K3" s="171"/>
      <c r="L3" s="171"/>
      <c r="M3" s="171"/>
      <c r="N3" s="171"/>
      <c r="O3" s="180"/>
      <c r="Q3" s="23"/>
      <c r="R3" s="23"/>
      <c r="S3" s="23"/>
      <c r="T3" s="23"/>
    </row>
    <row r="4" spans="2:58" s="16" customFormat="1" x14ac:dyDescent="0.25">
      <c r="B4" s="136" t="s">
        <v>141</v>
      </c>
      <c r="C4" s="141">
        <v>1E-14</v>
      </c>
      <c r="D4" s="115" t="s">
        <v>127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  <c r="T4" s="23"/>
    </row>
    <row r="5" spans="2:58" s="16" customFormat="1" x14ac:dyDescent="0.25">
      <c r="B5" s="136" t="s">
        <v>143</v>
      </c>
      <c r="C5" s="141">
        <v>1E-14</v>
      </c>
      <c r="D5" s="115" t="s">
        <v>136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  <c r="T5" s="23"/>
    </row>
    <row r="6" spans="2:58" s="16" customFormat="1" x14ac:dyDescent="0.25">
      <c r="B6" s="136" t="s">
        <v>195</v>
      </c>
      <c r="C6" s="141">
        <v>1</v>
      </c>
      <c r="D6" s="115" t="s">
        <v>130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  <c r="T6" s="23"/>
    </row>
    <row r="7" spans="2:58" s="16" customFormat="1" x14ac:dyDescent="0.25">
      <c r="B7" s="136" t="s">
        <v>139</v>
      </c>
      <c r="C7" s="141">
        <v>1E-14</v>
      </c>
      <c r="D7" s="115" t="s">
        <v>131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  <c r="T7" s="23"/>
    </row>
    <row r="8" spans="2:58" s="16" customFormat="1" x14ac:dyDescent="0.25">
      <c r="B8" s="136" t="s">
        <v>222</v>
      </c>
      <c r="C8" s="30">
        <v>1</v>
      </c>
      <c r="D8" s="115" t="s">
        <v>132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  <c r="T8" s="23"/>
    </row>
    <row r="9" spans="2:58" s="16" customFormat="1" x14ac:dyDescent="0.25">
      <c r="B9" s="136" t="s">
        <v>223</v>
      </c>
      <c r="C9" s="181">
        <v>1E-14</v>
      </c>
      <c r="D9" s="115" t="s">
        <v>176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  <c r="T9" s="23"/>
    </row>
    <row r="10" spans="2:58" s="16" customFormat="1" x14ac:dyDescent="0.25">
      <c r="B10" s="136" t="s">
        <v>228</v>
      </c>
      <c r="C10" s="181">
        <v>1E-14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  <c r="T10" s="23"/>
    </row>
    <row r="11" spans="2:58" s="16" customFormat="1" x14ac:dyDescent="0.25">
      <c r="B11" s="136" t="s">
        <v>128</v>
      </c>
      <c r="C11" s="192">
        <v>0.1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  <c r="T11" s="23"/>
    </row>
    <row r="12" spans="2:58" s="16" customFormat="1" x14ac:dyDescent="0.25">
      <c r="B12" s="136" t="s">
        <v>129</v>
      </c>
      <c r="C12" s="192">
        <v>7.0000000000000007E-2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  <c r="T12" s="23"/>
    </row>
    <row r="13" spans="2:58" s="16" customFormat="1" x14ac:dyDescent="0.25">
      <c r="B13" s="191" t="s">
        <v>207</v>
      </c>
      <c r="C13" s="193">
        <v>311</v>
      </c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  <c r="T13" s="23"/>
    </row>
    <row r="14" spans="2:58" x14ac:dyDescent="0.25">
      <c r="B14" s="6" t="s">
        <v>208</v>
      </c>
      <c r="C14">
        <v>25</v>
      </c>
      <c r="U14"/>
      <c r="V14"/>
      <c r="W14" s="21" t="str">
        <f>IF(ISBLANK(W$15),"",_xlfn.LET(_xlpm.mo,MID(W$15,3,4),_xlpm.dd,DATE(YEAR(Inputs!$C$18),_xlpm.mo,1),UPPER(TEXT(_xlpm.dd,"åå'mmm"))))</f>
        <v>21'JAN</v>
      </c>
      <c r="X14" s="21" t="str">
        <f>IF(ISBLANK(X$15),"",_xlfn.LET(_xlpm.mo,MID(X$15,3,4),_xlpm.dd,DATE(YEAR(Inputs!$C$18),_xlpm.mo,1),UPPER(TEXT(_xlpm.dd,"åå'mmm"))))</f>
        <v>21'FEB</v>
      </c>
      <c r="Y14" s="21" t="str">
        <f>IF(ISBLANK(Y$15),"",_xlfn.LET(_xlpm.mo,MID(Y$15,3,4),_xlpm.dd,DATE(YEAR(Inputs!$C$18),_xlpm.mo,1),UPPER(TEXT(_xlpm.dd,"åå'mmm"))))</f>
        <v>21'MAR</v>
      </c>
      <c r="Z14" s="21" t="str">
        <f>IF(ISBLANK(Z$15),"",_xlfn.LET(_xlpm.mo,MID(Z$15,3,4),_xlpm.dd,DATE(YEAR(Inputs!$C$18),_xlpm.mo,1),UPPER(TEXT(_xlpm.dd,"åå'mmm"))))</f>
        <v>21'APR</v>
      </c>
      <c r="AA14" s="21" t="str">
        <f>IF(ISBLANK(AA$15),"",_xlfn.LET(_xlpm.mo,MID(AA$15,3,4),_xlpm.dd,DATE(YEAR(Inputs!$C$18),_xlpm.mo,1),UPPER(TEXT(_xlpm.dd,"åå'mmm"))))</f>
        <v>21'MAJ</v>
      </c>
      <c r="AB14" s="21" t="str">
        <f>IF(ISBLANK(AB$15),"",_xlfn.LET(_xlpm.mo,MID(AB$15,3,4),_xlpm.dd,DATE(YEAR(Inputs!$C$18),_xlpm.mo,1),UPPER(TEXT(_xlpm.dd,"åå'mmm"))))</f>
        <v>21'JUN</v>
      </c>
      <c r="AC14" s="21" t="str">
        <f>IF(ISBLANK(AC$15),"",_xlfn.LET(_xlpm.mo,MID(AC$15,3,4),_xlpm.dd,DATE(YEAR(Inputs!$C$18),_xlpm.mo,1),UPPER(TEXT(_xlpm.dd,"åå'mmm"))))</f>
        <v>21'JUL</v>
      </c>
      <c r="AD14" s="21" t="str">
        <f>IF(ISBLANK(AD$15),"",_xlfn.LET(_xlpm.mo,MID(AD$15,3,4),_xlpm.dd,DATE(YEAR(Inputs!$C$18),_xlpm.mo,1),UPPER(TEXT(_xlpm.dd,"åå'mmm"))))</f>
        <v>21'AUG</v>
      </c>
      <c r="AE14" s="21" t="str">
        <f>IF(ISBLANK(AE$15),"",_xlfn.LET(_xlpm.mo,MID(AE$15,3,4),_xlpm.dd,DATE(YEAR(Inputs!$C$18),_xlpm.mo,1),UPPER(TEXT(_xlpm.dd,"åå'mmm"))))</f>
        <v>21'SEP</v>
      </c>
      <c r="AF14" s="21" t="str">
        <f>IF(ISBLANK(AF$15),"",_xlfn.LET(_xlpm.mo,MID(AF$15,3,4),_xlpm.dd,DATE(YEAR(Inputs!$C$18),_xlpm.mo,1),UPPER(TEXT(_xlpm.dd,"åå'mmm"))))</f>
        <v>21'OKT</v>
      </c>
      <c r="AG14" s="21" t="str">
        <f>IF(ISBLANK(AG$15),"",_xlfn.LET(_xlpm.mo,MID(AG$15,3,4),_xlpm.dd,DATE(YEAR(Inputs!$C$18),_xlpm.mo,1),UPPER(TEXT(_xlpm.dd,"åå'mmm"))))</f>
        <v>21'NOV</v>
      </c>
      <c r="AH14" s="21" t="str">
        <f>IF(ISBLANK(AH$15),"",_xlfn.LET(_xlpm.mo,MID(AH$15,3,4),_xlpm.dd,DATE(YEAR(Inputs!$C$18),_xlpm.mo,1),UPPER(TEXT(_xlpm.dd,"åå'mmm"))))</f>
        <v>21'DEC</v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  <c r="BF14" s="21" t="str">
        <f>IF(ISBLANK(BF$15),"",_xlfn.LET(_xlpm.mo,MID(BF$15,3,4),_xlpm.dd,DATE(YEAR(Inputs!$C$18),_xlpm.mo,1),UPPER(TEXT(_xlpm.dd,"åå'mmm"))))</f>
        <v/>
      </c>
    </row>
    <row r="15" spans="2:58" x14ac:dyDescent="0.25">
      <c r="B15" s="213" t="s">
        <v>58</v>
      </c>
      <c r="C15" s="142" t="s">
        <v>105</v>
      </c>
      <c r="D15" s="142" t="s">
        <v>106</v>
      </c>
      <c r="E15" s="142" t="s">
        <v>107</v>
      </c>
      <c r="F15" s="143" t="s">
        <v>108</v>
      </c>
      <c r="T15" s="152"/>
      <c r="U15" s="153" t="s">
        <v>163</v>
      </c>
      <c r="V15" s="151" t="s">
        <v>162</v>
      </c>
      <c r="W15" s="89" t="s">
        <v>229</v>
      </c>
      <c r="X15" s="89" t="s">
        <v>236</v>
      </c>
      <c r="Y15" s="89" t="s">
        <v>237</v>
      </c>
      <c r="Z15" s="89" t="s">
        <v>238</v>
      </c>
      <c r="AA15" s="89" t="s">
        <v>239</v>
      </c>
      <c r="AB15" s="89" t="s">
        <v>240</v>
      </c>
      <c r="AC15" s="89" t="s">
        <v>241</v>
      </c>
      <c r="AD15" s="89" t="s">
        <v>242</v>
      </c>
      <c r="AE15" s="89" t="s">
        <v>243</v>
      </c>
      <c r="AF15" s="89" t="s">
        <v>244</v>
      </c>
      <c r="AG15" s="89" t="s">
        <v>245</v>
      </c>
      <c r="AH15" s="89" t="s">
        <v>246</v>
      </c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116"/>
    </row>
    <row r="16" spans="2:58" x14ac:dyDescent="0.25">
      <c r="B16" s="134" t="s">
        <v>67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S16" s="152"/>
      <c r="U16" s="150" t="s">
        <v>98</v>
      </c>
      <c r="V16" s="53">
        <v>1E-14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>
        <v>1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</row>
    <row r="17" spans="1:58" x14ac:dyDescent="0.25">
      <c r="B17" s="134" t="s">
        <v>68</v>
      </c>
      <c r="C17" s="30"/>
      <c r="D17" s="30"/>
      <c r="E17" s="32">
        <v>1</v>
      </c>
      <c r="F17" s="33">
        <v>12</v>
      </c>
      <c r="R17" s="152"/>
      <c r="S17" s="152"/>
      <c r="U17" s="24" t="s">
        <v>109</v>
      </c>
      <c r="V17" s="53">
        <v>1E-14</v>
      </c>
      <c r="W17" s="22">
        <v>31</v>
      </c>
      <c r="X17" s="22">
        <v>27</v>
      </c>
      <c r="Y17" s="22">
        <v>31</v>
      </c>
      <c r="Z17" s="22">
        <v>30</v>
      </c>
      <c r="AA17" s="22">
        <v>22</v>
      </c>
      <c r="AB17" s="22">
        <v>15</v>
      </c>
      <c r="AC17" s="22">
        <v>1E-14</v>
      </c>
      <c r="AD17" s="22">
        <v>1E-14</v>
      </c>
      <c r="AE17" s="22">
        <v>1E-14</v>
      </c>
      <c r="AF17" s="22">
        <v>4</v>
      </c>
      <c r="AG17" s="22">
        <v>19</v>
      </c>
      <c r="AH17" s="22">
        <v>31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</row>
    <row r="18" spans="1:58" x14ac:dyDescent="0.25">
      <c r="B18" s="135" t="s">
        <v>69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S18" s="152"/>
      <c r="U18" s="144" t="s">
        <v>110</v>
      </c>
      <c r="V18" s="53">
        <v>1E-14</v>
      </c>
      <c r="W18" s="22">
        <v>31</v>
      </c>
      <c r="X18" s="22">
        <v>28</v>
      </c>
      <c r="Y18" s="22">
        <v>31</v>
      </c>
      <c r="Z18" s="22">
        <v>29</v>
      </c>
      <c r="AA18" s="22">
        <v>17</v>
      </c>
      <c r="AB18" s="22">
        <v>13</v>
      </c>
      <c r="AC18" s="22">
        <v>30</v>
      </c>
      <c r="AD18" s="22">
        <v>31</v>
      </c>
      <c r="AE18" s="22">
        <v>30</v>
      </c>
      <c r="AF18" s="22">
        <v>28</v>
      </c>
      <c r="AG18" s="22">
        <v>31</v>
      </c>
      <c r="AH18" s="22">
        <v>31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</row>
    <row r="19" spans="1:58" x14ac:dyDescent="0.25">
      <c r="R19" s="152"/>
      <c r="S19" s="152"/>
      <c r="U19" s="144" t="s">
        <v>111</v>
      </c>
      <c r="V19" s="53">
        <v>1E-14</v>
      </c>
      <c r="W19" s="22">
        <v>31</v>
      </c>
      <c r="X19" s="22">
        <v>28</v>
      </c>
      <c r="Y19" s="22">
        <v>31</v>
      </c>
      <c r="Z19" s="22">
        <v>30</v>
      </c>
      <c r="AA19" s="22">
        <v>31</v>
      </c>
      <c r="AB19" s="22">
        <v>30</v>
      </c>
      <c r="AC19" s="22">
        <v>31</v>
      </c>
      <c r="AD19" s="22">
        <v>31</v>
      </c>
      <c r="AE19" s="22">
        <v>30</v>
      </c>
      <c r="AF19" s="22">
        <v>31</v>
      </c>
      <c r="AG19" s="22">
        <v>30</v>
      </c>
      <c r="AH19" s="22">
        <v>31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</row>
    <row r="20" spans="1:58" x14ac:dyDescent="0.25">
      <c r="R20" s="152"/>
      <c r="S20" s="152"/>
      <c r="U20" s="144" t="s">
        <v>70</v>
      </c>
      <c r="V20" s="53">
        <v>1E-14</v>
      </c>
      <c r="W20" s="22">
        <v>20.833333333333332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1E-14</v>
      </c>
      <c r="AH20" s="22">
        <v>29.166666666666668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</row>
    <row r="21" spans="1:58" x14ac:dyDescent="0.25">
      <c r="B21" s="146" t="s">
        <v>24</v>
      </c>
      <c r="C21" s="89" t="s">
        <v>98</v>
      </c>
      <c r="D21" s="89" t="s">
        <v>114</v>
      </c>
      <c r="E21" s="89" t="s">
        <v>115</v>
      </c>
      <c r="F21" s="90" t="s">
        <v>164</v>
      </c>
      <c r="G21" s="90" t="s">
        <v>165</v>
      </c>
      <c r="H21" s="89" t="s">
        <v>166</v>
      </c>
      <c r="I21" s="89" t="s">
        <v>167</v>
      </c>
      <c r="J21" s="89" t="s">
        <v>191</v>
      </c>
      <c r="K21" s="89" t="s">
        <v>23</v>
      </c>
      <c r="L21" s="89" t="s">
        <v>192</v>
      </c>
      <c r="M21" s="89" t="s">
        <v>216</v>
      </c>
      <c r="N21" s="89" t="s">
        <v>231</v>
      </c>
      <c r="O21" s="89" t="s">
        <v>140</v>
      </c>
      <c r="P21" s="116" t="s">
        <v>116</v>
      </c>
      <c r="Q21" s="152" t="s">
        <v>144</v>
      </c>
      <c r="R21" s="152" t="s">
        <v>145</v>
      </c>
      <c r="T21" s="152"/>
      <c r="U21" s="144" t="s">
        <v>112</v>
      </c>
      <c r="V21" s="53">
        <v>1E-14</v>
      </c>
      <c r="W21" s="22">
        <v>31</v>
      </c>
      <c r="X21" s="22">
        <v>28</v>
      </c>
      <c r="Y21" s="22">
        <v>31</v>
      </c>
      <c r="Z21" s="22">
        <v>30</v>
      </c>
      <c r="AA21" s="22">
        <v>31</v>
      </c>
      <c r="AB21" s="22">
        <v>30</v>
      </c>
      <c r="AC21" s="22">
        <v>31</v>
      </c>
      <c r="AD21" s="22">
        <v>31</v>
      </c>
      <c r="AE21" s="22">
        <v>30</v>
      </c>
      <c r="AF21" s="22">
        <v>31</v>
      </c>
      <c r="AG21" s="22">
        <v>30</v>
      </c>
      <c r="AH21" s="22">
        <v>31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</row>
    <row r="22" spans="1:58" x14ac:dyDescent="0.25">
      <c r="B22" s="134" t="s">
        <v>109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1E-14</v>
      </c>
      <c r="O22" s="37">
        <v>1E-14</v>
      </c>
      <c r="P22" s="40">
        <v>0.84399999999999997</v>
      </c>
      <c r="Q22" s="23">
        <v>30</v>
      </c>
      <c r="R22" s="23">
        <v>0.01</v>
      </c>
      <c r="U22" s="144" t="s">
        <v>113</v>
      </c>
      <c r="V22" s="53">
        <v>1E-14</v>
      </c>
      <c r="W22" s="22">
        <v>31</v>
      </c>
      <c r="X22" s="22">
        <v>28</v>
      </c>
      <c r="Y22" s="22">
        <v>31</v>
      </c>
      <c r="Z22" s="22">
        <v>30</v>
      </c>
      <c r="AA22" s="22">
        <v>31</v>
      </c>
      <c r="AB22" s="22">
        <v>30</v>
      </c>
      <c r="AC22" s="22">
        <v>31</v>
      </c>
      <c r="AD22" s="22">
        <v>31</v>
      </c>
      <c r="AE22" s="22">
        <v>30</v>
      </c>
      <c r="AF22" s="22">
        <v>31</v>
      </c>
      <c r="AG22" s="22">
        <v>30</v>
      </c>
      <c r="AH22" s="22">
        <v>31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</row>
    <row r="23" spans="1:58" x14ac:dyDescent="0.25">
      <c r="B23" s="134" t="s">
        <v>110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1E-14</v>
      </c>
      <c r="N23" s="156">
        <v>1E-14</v>
      </c>
      <c r="O23" s="37">
        <v>0.22470000000000001</v>
      </c>
      <c r="P23" s="40">
        <v>0.65600000000000003</v>
      </c>
      <c r="Q23" s="23">
        <v>50</v>
      </c>
      <c r="R23" s="23">
        <v>0.01</v>
      </c>
      <c r="U23" s="144" t="s">
        <v>146</v>
      </c>
      <c r="V23" s="53">
        <v>1E-14</v>
      </c>
      <c r="W23" s="22">
        <v>31</v>
      </c>
      <c r="X23" s="22">
        <v>28</v>
      </c>
      <c r="Y23" s="22">
        <v>31</v>
      </c>
      <c r="Z23" s="22">
        <v>30</v>
      </c>
      <c r="AA23" s="22">
        <v>31</v>
      </c>
      <c r="AB23" s="22">
        <v>30</v>
      </c>
      <c r="AC23" s="22">
        <v>31</v>
      </c>
      <c r="AD23" s="22">
        <v>31</v>
      </c>
      <c r="AE23" s="22">
        <v>30</v>
      </c>
      <c r="AF23" s="22">
        <v>31</v>
      </c>
      <c r="AG23" s="22">
        <v>30</v>
      </c>
      <c r="AH23" s="22">
        <v>31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</row>
    <row r="24" spans="1:58" x14ac:dyDescent="0.25">
      <c r="B24" s="134" t="s">
        <v>111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1E-14</v>
      </c>
      <c r="O24" s="37">
        <v>1E-14</v>
      </c>
      <c r="P24" s="40">
        <v>0.85</v>
      </c>
      <c r="Q24" s="23">
        <v>25</v>
      </c>
      <c r="R24" s="23">
        <v>0.01</v>
      </c>
      <c r="U24" s="144" t="s">
        <v>205</v>
      </c>
      <c r="V24" s="53">
        <v>1E-14</v>
      </c>
      <c r="W24" s="184">
        <v>31</v>
      </c>
      <c r="X24" s="184">
        <v>28</v>
      </c>
      <c r="Y24" s="184">
        <v>31</v>
      </c>
      <c r="Z24" s="184">
        <v>29</v>
      </c>
      <c r="AA24" s="184">
        <v>17</v>
      </c>
      <c r="AB24" s="184">
        <v>3.5676666666666663</v>
      </c>
      <c r="AC24" s="184">
        <v>0.43333333333333335</v>
      </c>
      <c r="AD24" s="184">
        <v>1.4472222222222222</v>
      </c>
      <c r="AE24" s="184">
        <v>30</v>
      </c>
      <c r="AF24" s="184">
        <v>28</v>
      </c>
      <c r="AG24" s="184">
        <v>30</v>
      </c>
      <c r="AH24" s="184">
        <v>31</v>
      </c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</row>
    <row r="25" spans="1:58" x14ac:dyDescent="0.25">
      <c r="B25" s="134" t="s">
        <v>70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1E-14</v>
      </c>
      <c r="O25" s="37">
        <v>1E-14</v>
      </c>
      <c r="P25" s="40">
        <v>1</v>
      </c>
      <c r="Q25" s="23">
        <v>5</v>
      </c>
      <c r="R25" s="23">
        <v>0.01</v>
      </c>
      <c r="U25" s="24" t="s">
        <v>147</v>
      </c>
      <c r="V25" s="53">
        <v>1E-14</v>
      </c>
      <c r="W25" s="1">
        <v>28115</v>
      </c>
      <c r="X25" s="1">
        <v>23902</v>
      </c>
      <c r="Y25" s="1">
        <v>27355</v>
      </c>
      <c r="Z25" s="1">
        <v>22497</v>
      </c>
      <c r="AA25" s="1">
        <v>12760</v>
      </c>
      <c r="AB25" s="1">
        <v>6100</v>
      </c>
      <c r="AC25" s="1">
        <v>6411</v>
      </c>
      <c r="AD25" s="1">
        <v>7774</v>
      </c>
      <c r="AE25" s="1">
        <v>8886</v>
      </c>
      <c r="AF25" s="1">
        <v>15610</v>
      </c>
      <c r="AG25" s="1">
        <v>20410</v>
      </c>
      <c r="AH25" s="1">
        <v>25475</v>
      </c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25">
      <c r="B26" s="134" t="s">
        <v>112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1E-14</v>
      </c>
      <c r="O26" s="37">
        <v>1E-14</v>
      </c>
      <c r="P26" s="40">
        <v>1</v>
      </c>
      <c r="Q26" s="23">
        <v>10</v>
      </c>
      <c r="R26" s="23">
        <v>0.01</v>
      </c>
      <c r="U26" s="24" t="s">
        <v>148</v>
      </c>
      <c r="V26" s="53">
        <v>1E-14</v>
      </c>
      <c r="W26" s="1">
        <v>4000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1E-14</v>
      </c>
      <c r="AH26" s="1">
        <v>5600</v>
      </c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25">
      <c r="B27" s="135" t="s">
        <v>113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1E-14</v>
      </c>
      <c r="O27" s="46">
        <v>1E-14</v>
      </c>
      <c r="P27" s="47">
        <v>1</v>
      </c>
      <c r="Q27" s="23">
        <v>10</v>
      </c>
      <c r="R27" s="23">
        <v>0.01</v>
      </c>
      <c r="U27" s="161" t="s">
        <v>149</v>
      </c>
      <c r="V27" s="182">
        <v>1E-14</v>
      </c>
      <c r="W27" s="183">
        <v>4076.9</v>
      </c>
      <c r="X27" s="183">
        <v>4120.58</v>
      </c>
      <c r="Y27" s="183">
        <v>4939.28</v>
      </c>
      <c r="Z27" s="183">
        <v>4131.42</v>
      </c>
      <c r="AA27" s="183">
        <v>2587.7199999999998</v>
      </c>
      <c r="AB27" s="183">
        <v>642.17999999999995</v>
      </c>
      <c r="AC27" s="183">
        <v>78</v>
      </c>
      <c r="AD27" s="183">
        <v>260.5</v>
      </c>
      <c r="AE27" s="183">
        <v>4821.5600000000004</v>
      </c>
      <c r="AF27" s="183">
        <v>4868.74</v>
      </c>
      <c r="AG27" s="183">
        <v>5228.4799999999996</v>
      </c>
      <c r="AH27" s="183">
        <v>5266</v>
      </c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</row>
    <row r="28" spans="1:58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S28" s="152"/>
      <c r="U28" s="189" t="s">
        <v>170</v>
      </c>
      <c r="V28" s="182">
        <v>1E-14</v>
      </c>
      <c r="W28" s="190">
        <v>1</v>
      </c>
      <c r="X28" s="190">
        <v>1E-14</v>
      </c>
      <c r="Y28" s="190">
        <v>1</v>
      </c>
      <c r="Z28" s="190">
        <v>1</v>
      </c>
      <c r="AA28" s="190">
        <v>1</v>
      </c>
      <c r="AB28" s="190">
        <v>1</v>
      </c>
      <c r="AC28" s="190">
        <v>1</v>
      </c>
      <c r="AD28" s="190">
        <v>1</v>
      </c>
      <c r="AE28" s="190">
        <v>1</v>
      </c>
      <c r="AF28" s="190">
        <v>1</v>
      </c>
      <c r="AG28" s="190">
        <v>1</v>
      </c>
      <c r="AH28" s="190">
        <v>1</v>
      </c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  <c r="BD28" s="190"/>
      <c r="BE28" s="190"/>
      <c r="BF28" s="190"/>
    </row>
    <row r="29" spans="1:58" x14ac:dyDescent="0.25">
      <c r="A29" s="16"/>
      <c r="B29" s="146" t="s">
        <v>117</v>
      </c>
      <c r="C29" s="89" t="s">
        <v>98</v>
      </c>
      <c r="D29" s="89" t="s">
        <v>104</v>
      </c>
      <c r="E29" s="89" t="s">
        <v>203</v>
      </c>
      <c r="F29" s="89" t="s">
        <v>137</v>
      </c>
      <c r="G29" s="89" t="s">
        <v>99</v>
      </c>
      <c r="H29" s="89" t="s">
        <v>100</v>
      </c>
      <c r="I29" s="89" t="s">
        <v>138</v>
      </c>
      <c r="J29" s="89" t="s">
        <v>101</v>
      </c>
      <c r="K29" s="90" t="s">
        <v>102</v>
      </c>
      <c r="L29" s="89" t="s">
        <v>118</v>
      </c>
      <c r="M29" s="89" t="s">
        <v>103</v>
      </c>
      <c r="N29" s="116" t="s">
        <v>119</v>
      </c>
      <c r="R29" s="152"/>
      <c r="S29" s="152"/>
      <c r="U29" s="24" t="s">
        <v>150</v>
      </c>
      <c r="V29" s="53">
        <v>1E-14</v>
      </c>
      <c r="W29" s="1">
        <v>378.33708333333323</v>
      </c>
      <c r="X29" s="1">
        <v>356.0961527777776</v>
      </c>
      <c r="Y29" s="1">
        <v>347.18100806451616</v>
      </c>
      <c r="Z29" s="1">
        <v>356.0961527777776</v>
      </c>
      <c r="AA29" s="1">
        <v>410.46177419354831</v>
      </c>
      <c r="AB29" s="1">
        <v>547.42162499999972</v>
      </c>
      <c r="AC29" s="1">
        <v>605.37407258064457</v>
      </c>
      <c r="AD29" s="1">
        <v>627.85237903225811</v>
      </c>
      <c r="AE29" s="1">
        <v>920.7574305555554</v>
      </c>
      <c r="AF29" s="1">
        <v>794.33760752688215</v>
      </c>
      <c r="AG29" s="1">
        <v>1014.278430555556</v>
      </c>
      <c r="AH29" s="1">
        <v>1420.7891397849471</v>
      </c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25">
      <c r="A30" s="16"/>
      <c r="B30" s="137" t="s">
        <v>96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S30" s="152"/>
      <c r="U30" s="24" t="s">
        <v>151</v>
      </c>
      <c r="V30" s="53">
        <v>1E-14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>
        <v>409.75</v>
      </c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</row>
    <row r="31" spans="1:58" x14ac:dyDescent="0.25">
      <c r="B31" s="138" t="s">
        <v>97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S31" s="152"/>
      <c r="U31" s="24" t="s">
        <v>152</v>
      </c>
      <c r="V31" s="53">
        <v>1E-14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>
        <v>25.8</v>
      </c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</row>
    <row r="32" spans="1:58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152"/>
      <c r="T32" s="23"/>
      <c r="U32" s="24" t="s">
        <v>153</v>
      </c>
      <c r="V32" s="53">
        <v>1E-14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>
        <v>31.8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</row>
    <row r="33" spans="1:58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152"/>
      <c r="T33" s="23"/>
      <c r="U33" s="24" t="s">
        <v>154</v>
      </c>
      <c r="V33" s="53">
        <v>1E-14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>
        <v>37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</row>
    <row r="34" spans="1:58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152"/>
      <c r="T34" s="23"/>
      <c r="U34" s="24" t="s">
        <v>155</v>
      </c>
      <c r="V34" s="53">
        <v>1E-14</v>
      </c>
      <c r="W34" s="25">
        <v>450.5</v>
      </c>
      <c r="X34" s="25">
        <v>450.5</v>
      </c>
      <c r="Y34" s="25">
        <v>450.5</v>
      </c>
      <c r="Z34" s="25">
        <v>450.5</v>
      </c>
      <c r="AA34" s="25">
        <v>450.5</v>
      </c>
      <c r="AB34" s="25">
        <v>450.5</v>
      </c>
      <c r="AC34" s="25">
        <v>450.5</v>
      </c>
      <c r="AD34" s="25">
        <v>450.5</v>
      </c>
      <c r="AE34" s="25">
        <v>450.5</v>
      </c>
      <c r="AF34" s="25">
        <v>450.5</v>
      </c>
      <c r="AG34" s="25">
        <v>450.5</v>
      </c>
      <c r="AH34" s="25">
        <v>450.5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</row>
    <row r="35" spans="1:58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S35" s="152"/>
      <c r="U35" s="24" t="s">
        <v>156</v>
      </c>
      <c r="V35" s="53">
        <v>1E-14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>
        <v>178.5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</row>
    <row r="36" spans="1:58" s="16" customFormat="1" x14ac:dyDescent="0.25">
      <c r="Q36" s="23"/>
      <c r="R36" s="152"/>
      <c r="S36" s="152"/>
      <c r="T36" s="23"/>
      <c r="U36" s="24" t="s">
        <v>157</v>
      </c>
      <c r="V36" s="53">
        <v>1E-14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>
        <v>5.3</v>
      </c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</row>
    <row r="37" spans="1:58" s="16" customFormat="1" x14ac:dyDescent="0.25">
      <c r="Q37" s="23"/>
      <c r="R37" s="152"/>
      <c r="S37" s="152"/>
      <c r="T37" s="23"/>
      <c r="U37" s="24" t="s">
        <v>158</v>
      </c>
      <c r="V37" s="53">
        <v>1E-14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>
        <v>0.5</v>
      </c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</row>
    <row r="38" spans="1:58" s="16" customFormat="1" x14ac:dyDescent="0.25">
      <c r="Q38" s="23"/>
      <c r="R38" s="152"/>
      <c r="S38" s="152"/>
      <c r="T38" s="23"/>
      <c r="U38" s="24" t="s">
        <v>159</v>
      </c>
      <c r="V38" s="53">
        <v>1E-14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>
        <v>62.37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</row>
    <row r="39" spans="1:58" s="16" customFormat="1" x14ac:dyDescent="0.25">
      <c r="Q39" s="23"/>
      <c r="R39" s="152"/>
      <c r="S39" s="152"/>
      <c r="T39" s="23"/>
      <c r="U39" s="24" t="s">
        <v>160</v>
      </c>
      <c r="V39" s="53">
        <v>1E-14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>
        <v>680.72289156626493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</row>
    <row r="40" spans="1:58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S40" s="152"/>
      <c r="U40" s="160" t="s">
        <v>161</v>
      </c>
      <c r="V40" s="53">
        <v>1E-14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162">
        <v>10.843373493975903</v>
      </c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</row>
    <row r="41" spans="1:58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U41" s="6"/>
      <c r="V41" s="53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</row>
    <row r="42" spans="1:58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23"/>
      <c r="U42" s="6"/>
      <c r="V42" s="53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</row>
    <row r="43" spans="1:58" x14ac:dyDescent="0.25">
      <c r="B43" s="147" t="s">
        <v>190</v>
      </c>
      <c r="C43" s="54" t="s">
        <v>98</v>
      </c>
      <c r="D43" s="54" t="s">
        <v>177</v>
      </c>
      <c r="E43" s="54" t="s">
        <v>178</v>
      </c>
      <c r="F43" s="54" t="s">
        <v>179</v>
      </c>
      <c r="G43" s="54" t="s">
        <v>200</v>
      </c>
      <c r="H43" s="54" t="s">
        <v>180</v>
      </c>
      <c r="I43" s="54" t="s">
        <v>181</v>
      </c>
      <c r="J43" s="54" t="s">
        <v>182</v>
      </c>
      <c r="K43" s="54" t="s">
        <v>227</v>
      </c>
      <c r="L43" s="54" t="s">
        <v>183</v>
      </c>
      <c r="M43" s="54" t="s">
        <v>184</v>
      </c>
      <c r="N43" s="54" t="s">
        <v>185</v>
      </c>
      <c r="O43" s="54" t="s">
        <v>186</v>
      </c>
      <c r="P43" s="54" t="s">
        <v>187</v>
      </c>
      <c r="Q43" s="54" t="s">
        <v>212</v>
      </c>
      <c r="R43" s="87" t="s">
        <v>188</v>
      </c>
      <c r="S43" s="87" t="s">
        <v>189</v>
      </c>
      <c r="T43" s="6"/>
      <c r="U43" s="148" t="s">
        <v>209</v>
      </c>
      <c r="V43" s="90"/>
      <c r="W43" s="90" t="s">
        <v>229</v>
      </c>
      <c r="X43" s="90" t="s">
        <v>236</v>
      </c>
      <c r="Y43" s="90" t="s">
        <v>237</v>
      </c>
      <c r="Z43" s="90" t="s">
        <v>238</v>
      </c>
      <c r="AA43" s="90" t="s">
        <v>239</v>
      </c>
      <c r="AB43" s="90" t="s">
        <v>240</v>
      </c>
      <c r="AC43" s="90" t="s">
        <v>241</v>
      </c>
      <c r="AD43" s="90" t="s">
        <v>242</v>
      </c>
      <c r="AE43" s="90" t="s">
        <v>243</v>
      </c>
      <c r="AF43" s="90" t="s">
        <v>244</v>
      </c>
      <c r="AG43" s="90" t="s">
        <v>245</v>
      </c>
      <c r="AH43" s="90" t="s">
        <v>246</v>
      </c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149"/>
    </row>
    <row r="44" spans="1:58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0.6</v>
      </c>
      <c r="L44" s="86">
        <v>12915.299999999997</v>
      </c>
      <c r="M44" s="86">
        <v>12915.299999999997</v>
      </c>
      <c r="N44" s="86">
        <v>-1</v>
      </c>
      <c r="O44" s="86">
        <v>-1</v>
      </c>
      <c r="P44" s="86">
        <v>525</v>
      </c>
      <c r="Q44" s="185">
        <v>10.5</v>
      </c>
      <c r="R44" s="86">
        <v>1.1000000000000001</v>
      </c>
      <c r="S44" s="187">
        <v>37</v>
      </c>
      <c r="T44" s="6"/>
      <c r="U44" s="131" t="s">
        <v>0</v>
      </c>
      <c r="V44" s="72" t="s">
        <v>181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>
        <v>1</v>
      </c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1E-14</v>
      </c>
      <c r="N45" s="15">
        <v>-1</v>
      </c>
      <c r="O45" s="15">
        <v>-1</v>
      </c>
      <c r="P45" s="15">
        <v>525</v>
      </c>
      <c r="Q45" s="186">
        <v>10.5</v>
      </c>
      <c r="R45" s="15">
        <v>1.1000000000000001</v>
      </c>
      <c r="S45" s="188">
        <v>37</v>
      </c>
      <c r="T45" s="6"/>
      <c r="U45" s="131" t="s">
        <v>0</v>
      </c>
      <c r="V45" s="72" t="s">
        <v>182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>
        <v>1</v>
      </c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1E-14</v>
      </c>
      <c r="N46" s="15">
        <v>-1</v>
      </c>
      <c r="O46" s="15">
        <v>-1</v>
      </c>
      <c r="P46" s="15">
        <v>525</v>
      </c>
      <c r="Q46" s="186">
        <v>10.5</v>
      </c>
      <c r="R46" s="15">
        <v>1.1000000000000001</v>
      </c>
      <c r="S46" s="188">
        <v>37</v>
      </c>
      <c r="T46" s="6"/>
      <c r="U46" s="131" t="s">
        <v>0</v>
      </c>
      <c r="V46" s="72" t="s">
        <v>183</v>
      </c>
      <c r="W46" s="73">
        <v>3908.64</v>
      </c>
      <c r="X46" s="73">
        <v>973</v>
      </c>
      <c r="Y46" s="73">
        <v>1702.59</v>
      </c>
      <c r="Z46" s="73">
        <v>1267.99</v>
      </c>
      <c r="AA46" s="73">
        <v>105.72</v>
      </c>
      <c r="AB46" s="73">
        <v>1E-14</v>
      </c>
      <c r="AC46" s="73">
        <v>182.36</v>
      </c>
      <c r="AD46" s="73">
        <v>161.74</v>
      </c>
      <c r="AE46" s="73">
        <v>1474.88</v>
      </c>
      <c r="AF46" s="73">
        <v>1389.91</v>
      </c>
      <c r="AG46" s="73">
        <v>187.49</v>
      </c>
      <c r="AH46" s="73">
        <v>1560.98</v>
      </c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1E-14</v>
      </c>
      <c r="L47" s="15">
        <v>28766.78</v>
      </c>
      <c r="M47" s="15">
        <v>28766.78</v>
      </c>
      <c r="N47" s="15">
        <v>-1</v>
      </c>
      <c r="O47" s="15">
        <v>-1</v>
      </c>
      <c r="P47" s="15">
        <v>525</v>
      </c>
      <c r="Q47" s="186">
        <v>9.4</v>
      </c>
      <c r="R47" s="15">
        <v>1.1000000000000001</v>
      </c>
      <c r="S47" s="188">
        <v>37</v>
      </c>
      <c r="T47" s="6"/>
      <c r="U47" s="131" t="s">
        <v>0</v>
      </c>
      <c r="V47" s="72" t="s">
        <v>184</v>
      </c>
      <c r="W47" s="73">
        <v>3908.64</v>
      </c>
      <c r="X47" s="73">
        <v>973</v>
      </c>
      <c r="Y47" s="73">
        <v>1702.59</v>
      </c>
      <c r="Z47" s="73">
        <v>1267.99</v>
      </c>
      <c r="AA47" s="73">
        <v>105.72</v>
      </c>
      <c r="AB47" s="73">
        <v>1E-14</v>
      </c>
      <c r="AC47" s="73">
        <v>182.36</v>
      </c>
      <c r="AD47" s="73">
        <v>161.74</v>
      </c>
      <c r="AE47" s="73">
        <v>1474.88</v>
      </c>
      <c r="AF47" s="73">
        <v>1389.91</v>
      </c>
      <c r="AG47" s="73">
        <v>187.49</v>
      </c>
      <c r="AH47" s="73">
        <v>1560.98</v>
      </c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1E-14</v>
      </c>
      <c r="L48" s="15">
        <v>4232.4090000000006</v>
      </c>
      <c r="M48" s="15">
        <v>4232.4090000000006</v>
      </c>
      <c r="N48" s="15">
        <v>-1</v>
      </c>
      <c r="O48" s="15">
        <v>-1</v>
      </c>
      <c r="P48" s="15">
        <v>525</v>
      </c>
      <c r="Q48" s="186">
        <v>10.5</v>
      </c>
      <c r="R48" s="15">
        <v>1.1000000000000001</v>
      </c>
      <c r="S48" s="188">
        <v>37</v>
      </c>
      <c r="T48" s="6"/>
      <c r="U48" s="131" t="s">
        <v>0</v>
      </c>
      <c r="V48" s="72" t="s">
        <v>187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>
        <v>525</v>
      </c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2:58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33.35</v>
      </c>
      <c r="M49" s="15">
        <v>33.35</v>
      </c>
      <c r="N49" s="15">
        <v>-1</v>
      </c>
      <c r="O49" s="15">
        <v>-1</v>
      </c>
      <c r="P49" s="15">
        <v>155</v>
      </c>
      <c r="Q49" s="186">
        <v>14.5</v>
      </c>
      <c r="R49" s="15">
        <v>1.1000000000000001</v>
      </c>
      <c r="S49" s="188">
        <v>37</v>
      </c>
      <c r="T49" s="6"/>
      <c r="U49" s="131" t="s">
        <v>0</v>
      </c>
      <c r="V49" s="72" t="s">
        <v>212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>
        <v>10.5</v>
      </c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2:58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1E-14</v>
      </c>
      <c r="L50" s="15">
        <v>4289.78</v>
      </c>
      <c r="M50" s="15">
        <v>4289.78</v>
      </c>
      <c r="N50" s="15">
        <v>-1</v>
      </c>
      <c r="O50" s="15">
        <v>-1</v>
      </c>
      <c r="P50" s="15">
        <v>525</v>
      </c>
      <c r="Q50" s="186">
        <v>12</v>
      </c>
      <c r="R50" s="15">
        <v>1.1000000000000001</v>
      </c>
      <c r="S50" s="188">
        <v>37</v>
      </c>
      <c r="T50" s="6"/>
      <c r="U50" s="131" t="s">
        <v>0</v>
      </c>
      <c r="V50" s="72" t="s">
        <v>189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>
        <v>37</v>
      </c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2:58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1E-14</v>
      </c>
      <c r="L51" s="15">
        <v>106.89999999999998</v>
      </c>
      <c r="M51" s="15">
        <v>106.89999999999998</v>
      </c>
      <c r="N51" s="15">
        <v>-1</v>
      </c>
      <c r="O51" s="15">
        <v>-1</v>
      </c>
      <c r="P51" s="15">
        <v>525</v>
      </c>
      <c r="Q51" s="186">
        <v>9</v>
      </c>
      <c r="R51" s="15">
        <v>1.1000000000000001</v>
      </c>
      <c r="S51" s="188">
        <v>37</v>
      </c>
      <c r="T51" s="6"/>
      <c r="U51" s="131" t="s">
        <v>1</v>
      </c>
      <c r="V51" s="72" t="s">
        <v>181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>
        <v>1</v>
      </c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2:58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1E-14</v>
      </c>
      <c r="L52" s="15">
        <v>4266.01</v>
      </c>
      <c r="M52" s="15">
        <v>4266.01</v>
      </c>
      <c r="N52" s="15">
        <v>-1</v>
      </c>
      <c r="O52" s="15">
        <v>-1</v>
      </c>
      <c r="P52" s="15">
        <v>525</v>
      </c>
      <c r="Q52" s="186">
        <v>11</v>
      </c>
      <c r="R52" s="15">
        <v>1.1000000000000001</v>
      </c>
      <c r="S52" s="188">
        <v>37</v>
      </c>
      <c r="T52" s="6"/>
      <c r="U52" s="131" t="s">
        <v>1</v>
      </c>
      <c r="V52" s="72" t="s">
        <v>182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>
        <v>1</v>
      </c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2:58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1E-14</v>
      </c>
      <c r="L53" s="15">
        <v>398.46</v>
      </c>
      <c r="M53" s="15">
        <v>398.46</v>
      </c>
      <c r="N53" s="15">
        <v>-1</v>
      </c>
      <c r="O53" s="15">
        <v>-1</v>
      </c>
      <c r="P53" s="15">
        <v>525</v>
      </c>
      <c r="Q53" s="186">
        <v>9.5</v>
      </c>
      <c r="R53" s="15">
        <v>1.1000000000000001</v>
      </c>
      <c r="S53" s="188">
        <v>37</v>
      </c>
      <c r="T53" s="6"/>
      <c r="U53" s="131" t="s">
        <v>1</v>
      </c>
      <c r="V53" s="72" t="s">
        <v>183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>
        <v>1E-14</v>
      </c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2:58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1E-14</v>
      </c>
      <c r="L54" s="15">
        <v>6141.6699999999992</v>
      </c>
      <c r="M54" s="15">
        <v>6141.6699999999992</v>
      </c>
      <c r="N54" s="15">
        <v>1E-14</v>
      </c>
      <c r="O54" s="15">
        <v>1E-14</v>
      </c>
      <c r="P54" s="15">
        <v>525</v>
      </c>
      <c r="Q54" s="186">
        <v>9</v>
      </c>
      <c r="R54" s="15">
        <v>1.1000000000000001</v>
      </c>
      <c r="S54" s="188">
        <v>37</v>
      </c>
      <c r="T54" s="6"/>
      <c r="U54" s="131" t="s">
        <v>1</v>
      </c>
      <c r="V54" s="72" t="s">
        <v>184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>
        <v>1E-14</v>
      </c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2:58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1E-14</v>
      </c>
      <c r="L55" s="15">
        <v>134.19</v>
      </c>
      <c r="M55" s="15">
        <v>134.19</v>
      </c>
      <c r="N55" s="15">
        <v>-1</v>
      </c>
      <c r="O55" s="15">
        <v>-1</v>
      </c>
      <c r="P55" s="15">
        <v>785</v>
      </c>
      <c r="Q55" s="186">
        <v>12</v>
      </c>
      <c r="R55" s="15">
        <v>1.1000000000000001</v>
      </c>
      <c r="S55" s="188">
        <v>37</v>
      </c>
      <c r="T55" s="6"/>
      <c r="U55" s="131" t="s">
        <v>1</v>
      </c>
      <c r="V55" s="72" t="s">
        <v>187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>
        <v>525</v>
      </c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2:58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57.78</v>
      </c>
      <c r="M56" s="15">
        <v>57.78</v>
      </c>
      <c r="N56" s="15">
        <v>-1</v>
      </c>
      <c r="O56" s="15">
        <v>-1</v>
      </c>
      <c r="P56" s="15">
        <v>1E-14</v>
      </c>
      <c r="Q56" s="186">
        <v>10</v>
      </c>
      <c r="R56" s="15">
        <v>1.1000000000000001</v>
      </c>
      <c r="S56" s="188">
        <v>37</v>
      </c>
      <c r="T56" s="6"/>
      <c r="U56" s="131" t="s">
        <v>1</v>
      </c>
      <c r="V56" s="72" t="s">
        <v>212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>
        <v>10.5</v>
      </c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2:58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12.89</v>
      </c>
      <c r="M57" s="15">
        <v>12.89</v>
      </c>
      <c r="N57" s="15">
        <v>-1</v>
      </c>
      <c r="O57" s="15">
        <v>-1</v>
      </c>
      <c r="P57" s="15">
        <v>525</v>
      </c>
      <c r="Q57" s="186">
        <v>11</v>
      </c>
      <c r="R57" s="15">
        <v>1.1000000000000001</v>
      </c>
      <c r="S57" s="188">
        <v>37</v>
      </c>
      <c r="T57" s="6"/>
      <c r="U57" s="131" t="s">
        <v>1</v>
      </c>
      <c r="V57" s="72" t="s">
        <v>189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>
        <v>37</v>
      </c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2:58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0.8</v>
      </c>
      <c r="L58" s="15">
        <v>34232.69</v>
      </c>
      <c r="M58" s="15">
        <v>34232.69</v>
      </c>
      <c r="N58" s="15">
        <v>-1</v>
      </c>
      <c r="O58" s="15">
        <v>-1</v>
      </c>
      <c r="P58" s="15">
        <v>350</v>
      </c>
      <c r="Q58" s="186">
        <v>10.5</v>
      </c>
      <c r="R58" s="15">
        <v>1.1000000000000001</v>
      </c>
      <c r="S58" s="188">
        <v>37</v>
      </c>
      <c r="T58" s="6"/>
      <c r="U58" s="131" t="s">
        <v>2</v>
      </c>
      <c r="V58" s="72" t="s">
        <v>181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>
        <v>1</v>
      </c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2:58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1E-14</v>
      </c>
      <c r="L59" s="15">
        <v>154.09</v>
      </c>
      <c r="M59" s="15">
        <v>154.09</v>
      </c>
      <c r="N59" s="15">
        <v>-1</v>
      </c>
      <c r="O59" s="15">
        <v>-1</v>
      </c>
      <c r="P59" s="15">
        <v>515</v>
      </c>
      <c r="Q59" s="186">
        <v>10.5</v>
      </c>
      <c r="R59" s="15">
        <v>1.1000000000000001</v>
      </c>
      <c r="S59" s="188">
        <v>37</v>
      </c>
      <c r="T59" s="6"/>
      <c r="U59" s="131" t="s">
        <v>2</v>
      </c>
      <c r="V59" s="72" t="s">
        <v>182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>
        <v>1</v>
      </c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2:58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5">
        <v>1E-14</v>
      </c>
      <c r="Q60" s="186">
        <v>13</v>
      </c>
      <c r="R60" s="15">
        <v>1.1000000000000001</v>
      </c>
      <c r="S60" s="188">
        <v>37</v>
      </c>
      <c r="T60" s="6"/>
      <c r="U60" s="131" t="s">
        <v>2</v>
      </c>
      <c r="V60" s="72" t="s">
        <v>183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>
        <v>1E-14</v>
      </c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2:58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1E-14</v>
      </c>
      <c r="L61" s="15">
        <v>1044.53</v>
      </c>
      <c r="M61" s="15">
        <v>1044.53</v>
      </c>
      <c r="N61" s="15">
        <v>1E-14</v>
      </c>
      <c r="O61" s="15">
        <v>1E-14</v>
      </c>
      <c r="P61" s="15">
        <v>1E-14</v>
      </c>
      <c r="Q61" s="186">
        <v>14.5</v>
      </c>
      <c r="R61" s="15">
        <v>1.1000000000000001</v>
      </c>
      <c r="S61" s="188">
        <v>37</v>
      </c>
      <c r="T61" s="6"/>
      <c r="U61" s="131" t="s">
        <v>2</v>
      </c>
      <c r="V61" s="72" t="s">
        <v>184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>
        <v>1E-14</v>
      </c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2:58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1E-14</v>
      </c>
      <c r="N62" s="15">
        <v>-1</v>
      </c>
      <c r="O62" s="15">
        <v>-1</v>
      </c>
      <c r="P62" s="15">
        <v>1E-14</v>
      </c>
      <c r="Q62" s="186">
        <v>14.7</v>
      </c>
      <c r="R62" s="15">
        <v>1.1000000000000001</v>
      </c>
      <c r="S62" s="188">
        <v>37</v>
      </c>
      <c r="T62" s="6"/>
      <c r="U62" s="131" t="s">
        <v>2</v>
      </c>
      <c r="V62" s="72" t="s">
        <v>187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>
        <v>525</v>
      </c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2:58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</v>
      </c>
      <c r="L63" s="15">
        <v>113.93999999999998</v>
      </c>
      <c r="M63" s="15">
        <v>113.93999999999998</v>
      </c>
      <c r="N63" s="15">
        <v>-1</v>
      </c>
      <c r="O63" s="15">
        <v>-1</v>
      </c>
      <c r="P63" s="15">
        <v>685</v>
      </c>
      <c r="Q63" s="186">
        <v>14</v>
      </c>
      <c r="R63" s="15">
        <v>1.1000000000000001</v>
      </c>
      <c r="S63" s="188">
        <v>37</v>
      </c>
      <c r="T63" s="6"/>
      <c r="U63" s="131" t="s">
        <v>2</v>
      </c>
      <c r="V63" s="72" t="s">
        <v>212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>
        <v>10.5</v>
      </c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</row>
    <row r="64" spans="2:58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</v>
      </c>
      <c r="L64" s="15">
        <v>212.2</v>
      </c>
      <c r="M64" s="15">
        <v>212.2</v>
      </c>
      <c r="N64" s="15">
        <v>1E-14</v>
      </c>
      <c r="O64" s="15">
        <v>1E-14</v>
      </c>
      <c r="P64" s="15">
        <v>155</v>
      </c>
      <c r="Q64" s="186">
        <v>9</v>
      </c>
      <c r="R64" s="15">
        <v>1.1000000000000001</v>
      </c>
      <c r="S64" s="188">
        <v>1E-14</v>
      </c>
      <c r="T64" s="6"/>
      <c r="U64" s="131" t="s">
        <v>2</v>
      </c>
      <c r="V64" s="72" t="s">
        <v>189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>
        <v>37</v>
      </c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</row>
    <row r="65" spans="2:58" x14ac:dyDescent="0.25">
      <c r="B65" s="133" t="s">
        <v>26</v>
      </c>
      <c r="C65" s="130">
        <v>1</v>
      </c>
      <c r="D65" s="130">
        <v>1</v>
      </c>
      <c r="E65" s="130">
        <v>1</v>
      </c>
      <c r="F65" s="130">
        <v>1E-14</v>
      </c>
      <c r="G65" s="130">
        <v>1</v>
      </c>
      <c r="H65" s="130">
        <v>1E-14</v>
      </c>
      <c r="I65" s="130">
        <v>1</v>
      </c>
      <c r="J65" s="130">
        <v>1</v>
      </c>
      <c r="K65" s="15">
        <v>1</v>
      </c>
      <c r="L65" s="15">
        <v>20000</v>
      </c>
      <c r="M65" s="15">
        <v>20000</v>
      </c>
      <c r="N65" s="15">
        <v>-1</v>
      </c>
      <c r="O65" s="15">
        <v>-1</v>
      </c>
      <c r="P65" s="15">
        <v>-91</v>
      </c>
      <c r="Q65" s="186">
        <v>14</v>
      </c>
      <c r="R65" s="15">
        <v>1.1000000000000001</v>
      </c>
      <c r="S65" s="188">
        <v>1E-14</v>
      </c>
      <c r="T65" s="6"/>
      <c r="U65" s="131" t="s">
        <v>3</v>
      </c>
      <c r="V65" s="72" t="s">
        <v>181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>
        <v>1</v>
      </c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</row>
    <row r="66" spans="2:58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1E-14</v>
      </c>
      <c r="M66" s="15">
        <v>10000</v>
      </c>
      <c r="N66" s="15">
        <v>-1</v>
      </c>
      <c r="O66" s="15">
        <v>-1</v>
      </c>
      <c r="P66" s="15">
        <v>450</v>
      </c>
      <c r="Q66" s="186">
        <v>10.5</v>
      </c>
      <c r="R66" s="15">
        <v>1.1000000000000001</v>
      </c>
      <c r="S66" s="188">
        <v>37</v>
      </c>
      <c r="T66" s="6"/>
      <c r="U66" s="131" t="s">
        <v>3</v>
      </c>
      <c r="V66" s="72" t="s">
        <v>182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>
        <v>1</v>
      </c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</row>
    <row r="67" spans="2:58" x14ac:dyDescent="0.25">
      <c r="B67" s="133" t="s">
        <v>59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1E-14</v>
      </c>
      <c r="M67" s="15">
        <v>10000</v>
      </c>
      <c r="N67" s="15">
        <v>-1</v>
      </c>
      <c r="O67" s="15">
        <v>-1</v>
      </c>
      <c r="P67" s="15">
        <v>500</v>
      </c>
      <c r="Q67" s="186">
        <v>9.5</v>
      </c>
      <c r="R67" s="15">
        <v>1.1000000000000001</v>
      </c>
      <c r="S67" s="188">
        <v>37</v>
      </c>
      <c r="T67" s="6"/>
      <c r="U67" s="131" t="s">
        <v>3</v>
      </c>
      <c r="V67" s="72" t="s">
        <v>183</v>
      </c>
      <c r="W67" s="73">
        <v>2356.98</v>
      </c>
      <c r="X67" s="73">
        <v>2129.9</v>
      </c>
      <c r="Y67" s="73">
        <v>2515.21</v>
      </c>
      <c r="Z67" s="73">
        <v>2421.34</v>
      </c>
      <c r="AA67" s="73">
        <v>2323.06</v>
      </c>
      <c r="AB67" s="73">
        <v>2443.7399999999998</v>
      </c>
      <c r="AC67" s="73">
        <v>2591.08</v>
      </c>
      <c r="AD67" s="73">
        <v>2530.84</v>
      </c>
      <c r="AE67" s="73">
        <v>2388.4499999999998</v>
      </c>
      <c r="AF67" s="73">
        <v>2269.38</v>
      </c>
      <c r="AG67" s="73">
        <v>2350.34</v>
      </c>
      <c r="AH67" s="73">
        <v>2446.46</v>
      </c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</row>
    <row r="68" spans="2:58" x14ac:dyDescent="0.25">
      <c r="B68" s="133" t="s">
        <v>60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1E-14</v>
      </c>
      <c r="M68" s="15">
        <v>10000</v>
      </c>
      <c r="N68" s="15">
        <v>-1</v>
      </c>
      <c r="O68" s="15">
        <v>-1</v>
      </c>
      <c r="P68" s="15">
        <v>550</v>
      </c>
      <c r="Q68" s="186">
        <v>8.5</v>
      </c>
      <c r="R68" s="15">
        <v>1.1000000000000001</v>
      </c>
      <c r="S68" s="188">
        <v>37</v>
      </c>
      <c r="T68" s="6"/>
      <c r="U68" s="131" t="s">
        <v>3</v>
      </c>
      <c r="V68" s="72" t="s">
        <v>184</v>
      </c>
      <c r="W68" s="73">
        <v>2356.98</v>
      </c>
      <c r="X68" s="73">
        <v>2129.9</v>
      </c>
      <c r="Y68" s="73">
        <v>2515.21</v>
      </c>
      <c r="Z68" s="73">
        <v>2421.34</v>
      </c>
      <c r="AA68" s="73">
        <v>2323.06</v>
      </c>
      <c r="AB68" s="73">
        <v>2443.7399999999998</v>
      </c>
      <c r="AC68" s="73">
        <v>2591.08</v>
      </c>
      <c r="AD68" s="73">
        <v>2530.84</v>
      </c>
      <c r="AE68" s="73">
        <v>2388.4499999999998</v>
      </c>
      <c r="AF68" s="73">
        <v>2269.38</v>
      </c>
      <c r="AG68" s="73">
        <v>2350.34</v>
      </c>
      <c r="AH68" s="73">
        <v>2446.46</v>
      </c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</row>
    <row r="69" spans="2:58" x14ac:dyDescent="0.25">
      <c r="B69" s="133" t="s">
        <v>61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1E-14</v>
      </c>
      <c r="M69" s="15">
        <v>10000</v>
      </c>
      <c r="N69" s="15">
        <v>-1</v>
      </c>
      <c r="O69" s="15">
        <v>-1</v>
      </c>
      <c r="P69" s="15">
        <v>600</v>
      </c>
      <c r="Q69" s="186">
        <v>7.5</v>
      </c>
      <c r="R69" s="15">
        <v>1.1000000000000001</v>
      </c>
      <c r="S69" s="188">
        <v>37</v>
      </c>
      <c r="T69" s="6"/>
      <c r="U69" s="131" t="s">
        <v>3</v>
      </c>
      <c r="V69" s="72" t="s">
        <v>187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>
        <v>525</v>
      </c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</row>
    <row r="70" spans="2:58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1E-14</v>
      </c>
      <c r="N70" s="15">
        <v>-1</v>
      </c>
      <c r="O70" s="15">
        <v>-1</v>
      </c>
      <c r="P70" s="15">
        <v>-470</v>
      </c>
      <c r="Q70" s="186">
        <v>9.4</v>
      </c>
      <c r="R70" s="15">
        <v>1E-14</v>
      </c>
      <c r="S70" s="188">
        <v>1E-14</v>
      </c>
      <c r="T70" s="6"/>
      <c r="U70" s="131" t="s">
        <v>3</v>
      </c>
      <c r="V70" s="72" t="s">
        <v>212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>
        <v>9.4</v>
      </c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</row>
    <row r="71" spans="2:58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1E-14</v>
      </c>
      <c r="M71" s="15">
        <v>11000</v>
      </c>
      <c r="N71" s="15">
        <v>-1</v>
      </c>
      <c r="O71" s="15">
        <v>-1</v>
      </c>
      <c r="P71" s="15">
        <v>-189</v>
      </c>
      <c r="Q71" s="186">
        <v>3.6</v>
      </c>
      <c r="R71" s="15">
        <v>1E-14</v>
      </c>
      <c r="S71" s="188">
        <v>1E-14</v>
      </c>
      <c r="T71" s="6"/>
      <c r="U71" s="131" t="s">
        <v>3</v>
      </c>
      <c r="V71" s="72" t="s">
        <v>189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>
        <v>37</v>
      </c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</row>
    <row r="72" spans="2:58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1E-14</v>
      </c>
      <c r="M72" s="15">
        <v>20000</v>
      </c>
      <c r="N72" s="15">
        <v>-1</v>
      </c>
      <c r="O72" s="15">
        <v>-1</v>
      </c>
      <c r="P72" s="15">
        <v>-5000</v>
      </c>
      <c r="Q72" s="15">
        <v>44</v>
      </c>
      <c r="R72" s="15">
        <v>1E-14</v>
      </c>
      <c r="S72" s="188">
        <v>72.727272727272734</v>
      </c>
      <c r="T72" s="6"/>
      <c r="U72" s="131" t="s">
        <v>4</v>
      </c>
      <c r="V72" s="72" t="s">
        <v>181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>
        <v>1</v>
      </c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</row>
    <row r="73" spans="2:58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6"/>
      <c r="U73" s="131" t="s">
        <v>4</v>
      </c>
      <c r="V73" s="72" t="s">
        <v>182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>
        <v>1</v>
      </c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</row>
    <row r="74" spans="2:58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6"/>
      <c r="U74" s="131" t="s">
        <v>4</v>
      </c>
      <c r="V74" s="72" t="s">
        <v>183</v>
      </c>
      <c r="W74" s="73">
        <v>437.56</v>
      </c>
      <c r="X74" s="73">
        <v>345</v>
      </c>
      <c r="Y74" s="73">
        <v>540.71</v>
      </c>
      <c r="Z74" s="73">
        <v>440.19</v>
      </c>
      <c r="AA74" s="73">
        <v>404.17</v>
      </c>
      <c r="AB74" s="73">
        <v>104.08</v>
      </c>
      <c r="AC74" s="73">
        <v>311.55</v>
      </c>
      <c r="AD74" s="73">
        <v>308.589</v>
      </c>
      <c r="AE74" s="73">
        <v>384.76</v>
      </c>
      <c r="AF74" s="73">
        <v>338.54</v>
      </c>
      <c r="AG74" s="73">
        <v>295.89</v>
      </c>
      <c r="AH74" s="73">
        <v>321.37</v>
      </c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</row>
    <row r="75" spans="2:58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6"/>
      <c r="U75" s="131" t="s">
        <v>4</v>
      </c>
      <c r="V75" s="72" t="s">
        <v>184</v>
      </c>
      <c r="W75" s="73">
        <v>437.56</v>
      </c>
      <c r="X75" s="73">
        <v>345</v>
      </c>
      <c r="Y75" s="73">
        <v>540.71</v>
      </c>
      <c r="Z75" s="73">
        <v>440.19</v>
      </c>
      <c r="AA75" s="73">
        <v>404.17</v>
      </c>
      <c r="AB75" s="73">
        <v>104.08</v>
      </c>
      <c r="AC75" s="73">
        <v>311.55</v>
      </c>
      <c r="AD75" s="73">
        <v>308.589</v>
      </c>
      <c r="AE75" s="73">
        <v>384.76</v>
      </c>
      <c r="AF75" s="73">
        <v>338.54</v>
      </c>
      <c r="AG75" s="73">
        <v>295.89</v>
      </c>
      <c r="AH75" s="73">
        <v>321.37</v>
      </c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</row>
    <row r="76" spans="2:58" x14ac:dyDescent="0.25">
      <c r="Q76"/>
      <c r="R76" s="6"/>
      <c r="S76" s="6"/>
      <c r="T76" s="6"/>
      <c r="U76" s="131" t="s">
        <v>4</v>
      </c>
      <c r="V76" s="72" t="s">
        <v>187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>
        <v>525</v>
      </c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</row>
    <row r="77" spans="2:58" x14ac:dyDescent="0.25">
      <c r="Q77"/>
      <c r="R77" s="6"/>
      <c r="S77" s="6"/>
      <c r="T77" s="6"/>
      <c r="U77" s="131" t="s">
        <v>4</v>
      </c>
      <c r="V77" s="72" t="s">
        <v>212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>
        <v>10.5</v>
      </c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</row>
    <row r="78" spans="2:58" x14ac:dyDescent="0.25">
      <c r="Q78"/>
      <c r="R78" s="6"/>
      <c r="S78" s="6"/>
      <c r="T78" s="6"/>
      <c r="U78" s="131" t="s">
        <v>4</v>
      </c>
      <c r="V78" s="72" t="s">
        <v>189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>
        <v>37</v>
      </c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</row>
    <row r="79" spans="2:58" x14ac:dyDescent="0.25">
      <c r="Q79"/>
      <c r="R79" s="6"/>
      <c r="S79" s="6"/>
      <c r="T79" s="6"/>
      <c r="U79" s="131" t="s">
        <v>5</v>
      </c>
      <c r="V79" s="72" t="s">
        <v>181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>
        <v>1</v>
      </c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</row>
    <row r="80" spans="2:58" x14ac:dyDescent="0.25">
      <c r="Q80"/>
      <c r="R80" s="6"/>
      <c r="S80" s="6"/>
      <c r="T80" s="6"/>
      <c r="U80" s="131" t="s">
        <v>5</v>
      </c>
      <c r="V80" s="72" t="s">
        <v>182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>
        <v>1</v>
      </c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</row>
    <row r="81" spans="17:58" x14ac:dyDescent="0.25">
      <c r="Q81"/>
      <c r="R81" s="6"/>
      <c r="S81" s="6"/>
      <c r="T81" s="6"/>
      <c r="U81" s="131" t="s">
        <v>5</v>
      </c>
      <c r="V81" s="72" t="s">
        <v>183</v>
      </c>
      <c r="W81" s="73">
        <v>1E-14</v>
      </c>
      <c r="X81" s="73">
        <v>1E-14</v>
      </c>
      <c r="Y81" s="73">
        <v>1E-14</v>
      </c>
      <c r="Z81" s="73">
        <v>33.35</v>
      </c>
      <c r="AA81" s="73">
        <v>1E-14</v>
      </c>
      <c r="AB81" s="73">
        <v>1E-14</v>
      </c>
      <c r="AC81" s="73">
        <v>1E-14</v>
      </c>
      <c r="AD81" s="73">
        <v>1E-14</v>
      </c>
      <c r="AE81" s="73">
        <v>1E-14</v>
      </c>
      <c r="AF81" s="73">
        <v>1E-14</v>
      </c>
      <c r="AG81" s="73">
        <v>1E-14</v>
      </c>
      <c r="AH81" s="73">
        <v>1E-14</v>
      </c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</row>
    <row r="82" spans="17:58" x14ac:dyDescent="0.25">
      <c r="Q82"/>
      <c r="R82" s="6"/>
      <c r="S82" s="6"/>
      <c r="T82" s="6"/>
      <c r="U82" s="131" t="s">
        <v>5</v>
      </c>
      <c r="V82" s="72" t="s">
        <v>184</v>
      </c>
      <c r="W82" s="73">
        <v>1E-14</v>
      </c>
      <c r="X82" s="73">
        <v>1E-14</v>
      </c>
      <c r="Y82" s="73">
        <v>1E-14</v>
      </c>
      <c r="Z82" s="73">
        <v>33.35</v>
      </c>
      <c r="AA82" s="73">
        <v>1E-14</v>
      </c>
      <c r="AB82" s="73">
        <v>1E-14</v>
      </c>
      <c r="AC82" s="73">
        <v>1E-14</v>
      </c>
      <c r="AD82" s="73">
        <v>1E-14</v>
      </c>
      <c r="AE82" s="73">
        <v>1E-14</v>
      </c>
      <c r="AF82" s="73">
        <v>1E-14</v>
      </c>
      <c r="AG82" s="73">
        <v>1E-14</v>
      </c>
      <c r="AH82" s="73">
        <v>1E-14</v>
      </c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</row>
    <row r="83" spans="17:58" x14ac:dyDescent="0.25">
      <c r="Q83"/>
      <c r="R83" s="6"/>
      <c r="S83" s="6"/>
      <c r="T83" s="6"/>
      <c r="U83" s="131" t="s">
        <v>5</v>
      </c>
      <c r="V83" s="72" t="s">
        <v>187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>
        <v>155</v>
      </c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</row>
    <row r="84" spans="17:58" x14ac:dyDescent="0.25">
      <c r="Q84"/>
      <c r="R84" s="6"/>
      <c r="S84" s="6"/>
      <c r="T84" s="6"/>
      <c r="U84" s="131" t="s">
        <v>5</v>
      </c>
      <c r="V84" s="72" t="s">
        <v>212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>
        <v>14.5</v>
      </c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</row>
    <row r="85" spans="17:58" x14ac:dyDescent="0.25">
      <c r="Q85"/>
      <c r="R85" s="6"/>
      <c r="S85" s="6"/>
      <c r="T85" s="6"/>
      <c r="U85" s="131" t="s">
        <v>5</v>
      </c>
      <c r="V85" s="72" t="s">
        <v>189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>
        <v>37</v>
      </c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</row>
    <row r="86" spans="17:58" x14ac:dyDescent="0.25">
      <c r="Q86"/>
      <c r="R86" s="6"/>
      <c r="S86" s="6"/>
      <c r="T86" s="6"/>
      <c r="U86" s="131" t="s">
        <v>6</v>
      </c>
      <c r="V86" s="72" t="s">
        <v>181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>
        <v>1</v>
      </c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</row>
    <row r="87" spans="17:58" x14ac:dyDescent="0.25">
      <c r="Q87"/>
      <c r="R87" s="6"/>
      <c r="S87" s="6"/>
      <c r="T87" s="6"/>
      <c r="U87" s="131" t="s">
        <v>6</v>
      </c>
      <c r="V87" s="72" t="s">
        <v>182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>
        <v>1</v>
      </c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</row>
    <row r="88" spans="17:58" x14ac:dyDescent="0.25">
      <c r="Q88"/>
      <c r="R88" s="6"/>
      <c r="S88" s="6"/>
      <c r="T88" s="6"/>
      <c r="U88" s="131" t="s">
        <v>6</v>
      </c>
      <c r="V88" s="72" t="s">
        <v>183</v>
      </c>
      <c r="W88" s="73">
        <v>291.66000000000003</v>
      </c>
      <c r="X88" s="73">
        <v>260.87</v>
      </c>
      <c r="Y88" s="73">
        <v>347.07</v>
      </c>
      <c r="Z88" s="73">
        <v>332.39</v>
      </c>
      <c r="AA88" s="73">
        <v>330.62</v>
      </c>
      <c r="AB88" s="73">
        <v>417.61</v>
      </c>
      <c r="AC88" s="73">
        <v>481.77</v>
      </c>
      <c r="AD88" s="73">
        <v>404.79</v>
      </c>
      <c r="AE88" s="73">
        <v>419.89</v>
      </c>
      <c r="AF88" s="73">
        <v>377.54</v>
      </c>
      <c r="AG88" s="73">
        <v>311.19</v>
      </c>
      <c r="AH88" s="73">
        <v>314.38</v>
      </c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</row>
    <row r="89" spans="17:58" x14ac:dyDescent="0.25">
      <c r="Q89"/>
      <c r="R89" s="6"/>
      <c r="S89" s="6"/>
      <c r="T89" s="6"/>
      <c r="U89" s="131" t="s">
        <v>6</v>
      </c>
      <c r="V89" s="72" t="s">
        <v>184</v>
      </c>
      <c r="W89" s="73">
        <v>291.66000000000003</v>
      </c>
      <c r="X89" s="73">
        <v>260.87</v>
      </c>
      <c r="Y89" s="73">
        <v>347.07</v>
      </c>
      <c r="Z89" s="73">
        <v>332.39</v>
      </c>
      <c r="AA89" s="73">
        <v>330.62</v>
      </c>
      <c r="AB89" s="73">
        <v>417.61</v>
      </c>
      <c r="AC89" s="73">
        <v>481.77</v>
      </c>
      <c r="AD89" s="73">
        <v>404.79</v>
      </c>
      <c r="AE89" s="73">
        <v>419.89</v>
      </c>
      <c r="AF89" s="73">
        <v>377.54</v>
      </c>
      <c r="AG89" s="73">
        <v>311.19</v>
      </c>
      <c r="AH89" s="73">
        <v>314.38</v>
      </c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</row>
    <row r="90" spans="17:58" x14ac:dyDescent="0.25">
      <c r="Q90"/>
      <c r="R90" s="6"/>
      <c r="S90" s="6"/>
      <c r="T90" s="6"/>
      <c r="U90" s="131" t="s">
        <v>6</v>
      </c>
      <c r="V90" s="72" t="s">
        <v>187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>
        <v>525</v>
      </c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</row>
    <row r="91" spans="17:58" x14ac:dyDescent="0.25">
      <c r="Q91"/>
      <c r="R91" s="6"/>
      <c r="S91" s="6"/>
      <c r="T91" s="6"/>
      <c r="U91" s="131" t="s">
        <v>6</v>
      </c>
      <c r="V91" s="72" t="s">
        <v>212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>
        <v>12</v>
      </c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</row>
    <row r="92" spans="17:58" x14ac:dyDescent="0.25">
      <c r="Q92"/>
      <c r="R92" s="6"/>
      <c r="S92" s="6"/>
      <c r="T92" s="6"/>
      <c r="U92" s="131" t="s">
        <v>6</v>
      </c>
      <c r="V92" s="72" t="s">
        <v>189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>
        <v>37</v>
      </c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</row>
    <row r="93" spans="17:58" x14ac:dyDescent="0.25">
      <c r="Q93"/>
      <c r="R93" s="6"/>
      <c r="S93" s="6"/>
      <c r="T93" s="6"/>
      <c r="U93" s="131" t="s">
        <v>7</v>
      </c>
      <c r="V93" s="72" t="s">
        <v>181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>
        <v>1</v>
      </c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</row>
    <row r="94" spans="17:58" x14ac:dyDescent="0.25">
      <c r="Q94"/>
      <c r="R94" s="6"/>
      <c r="S94" s="6"/>
      <c r="T94" s="6"/>
      <c r="U94" s="131" t="s">
        <v>7</v>
      </c>
      <c r="V94" s="72" t="s">
        <v>182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>
        <v>1</v>
      </c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</row>
    <row r="95" spans="17:58" x14ac:dyDescent="0.25">
      <c r="Q95"/>
      <c r="R95" s="6"/>
      <c r="S95" s="6"/>
      <c r="T95" s="6"/>
      <c r="U95" s="131" t="s">
        <v>7</v>
      </c>
      <c r="V95" s="72" t="s">
        <v>183</v>
      </c>
      <c r="W95" s="73">
        <v>6.15</v>
      </c>
      <c r="X95" s="73">
        <v>4.05</v>
      </c>
      <c r="Y95" s="73">
        <v>6.72</v>
      </c>
      <c r="Z95" s="73">
        <v>18.61</v>
      </c>
      <c r="AA95" s="73">
        <v>9.65</v>
      </c>
      <c r="AB95" s="73">
        <v>6.24</v>
      </c>
      <c r="AC95" s="73">
        <v>13.02</v>
      </c>
      <c r="AD95" s="73">
        <v>3.41</v>
      </c>
      <c r="AE95" s="73">
        <v>14.3</v>
      </c>
      <c r="AF95" s="73">
        <v>12.24</v>
      </c>
      <c r="AG95" s="73">
        <v>4.9400000000000004</v>
      </c>
      <c r="AH95" s="73">
        <v>7.57</v>
      </c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</row>
    <row r="96" spans="17:58" x14ac:dyDescent="0.25">
      <c r="Q96"/>
      <c r="R96" s="6"/>
      <c r="S96" s="6"/>
      <c r="T96" s="6"/>
      <c r="U96" s="131" t="s">
        <v>7</v>
      </c>
      <c r="V96" s="72" t="s">
        <v>184</v>
      </c>
      <c r="W96" s="73">
        <v>6.15</v>
      </c>
      <c r="X96" s="73">
        <v>4.05</v>
      </c>
      <c r="Y96" s="73">
        <v>6.72</v>
      </c>
      <c r="Z96" s="73">
        <v>18.61</v>
      </c>
      <c r="AA96" s="73">
        <v>9.65</v>
      </c>
      <c r="AB96" s="73">
        <v>6.24</v>
      </c>
      <c r="AC96" s="73">
        <v>13.02</v>
      </c>
      <c r="AD96" s="73">
        <v>3.41</v>
      </c>
      <c r="AE96" s="73">
        <v>14.3</v>
      </c>
      <c r="AF96" s="73">
        <v>12.24</v>
      </c>
      <c r="AG96" s="73">
        <v>4.9400000000000004</v>
      </c>
      <c r="AH96" s="73">
        <v>7.57</v>
      </c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</row>
    <row r="97" spans="17:58" x14ac:dyDescent="0.25">
      <c r="Q97"/>
      <c r="R97" s="6"/>
      <c r="S97" s="6"/>
      <c r="T97" s="6"/>
      <c r="U97" s="131" t="s">
        <v>7</v>
      </c>
      <c r="V97" s="72" t="s">
        <v>187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>
        <v>525</v>
      </c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</row>
    <row r="98" spans="17:58" x14ac:dyDescent="0.25">
      <c r="Q98"/>
      <c r="R98" s="6"/>
      <c r="S98" s="6"/>
      <c r="T98" s="6"/>
      <c r="U98" s="131" t="s">
        <v>7</v>
      </c>
      <c r="V98" s="72" t="s">
        <v>212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>
        <v>9</v>
      </c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</row>
    <row r="99" spans="17:58" x14ac:dyDescent="0.25">
      <c r="Q99"/>
      <c r="R99" s="6"/>
      <c r="S99" s="6"/>
      <c r="T99" s="6"/>
      <c r="U99" s="131" t="s">
        <v>7</v>
      </c>
      <c r="V99" s="72" t="s">
        <v>189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>
        <v>37</v>
      </c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</row>
    <row r="100" spans="17:58" x14ac:dyDescent="0.25">
      <c r="Q100"/>
      <c r="R100" s="6"/>
      <c r="S100" s="6"/>
      <c r="T100" s="6"/>
      <c r="U100" s="131" t="s">
        <v>8</v>
      </c>
      <c r="V100" s="72" t="s">
        <v>181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>
        <v>1</v>
      </c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</row>
    <row r="101" spans="17:58" x14ac:dyDescent="0.25">
      <c r="Q101"/>
      <c r="R101" s="6"/>
      <c r="S101" s="6"/>
      <c r="T101" s="6"/>
      <c r="U101" s="131" t="s">
        <v>8</v>
      </c>
      <c r="V101" s="72" t="s">
        <v>182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>
        <v>1</v>
      </c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</row>
    <row r="102" spans="17:58" x14ac:dyDescent="0.25">
      <c r="Q102"/>
      <c r="R102" s="6"/>
      <c r="S102" s="6"/>
      <c r="T102" s="6"/>
      <c r="U102" s="131" t="s">
        <v>8</v>
      </c>
      <c r="V102" s="72" t="s">
        <v>183</v>
      </c>
      <c r="W102" s="73">
        <v>257</v>
      </c>
      <c r="X102" s="73">
        <v>257.76</v>
      </c>
      <c r="Y102" s="73">
        <v>307.94</v>
      </c>
      <c r="Z102" s="73">
        <v>309.31</v>
      </c>
      <c r="AA102" s="73">
        <v>337.34</v>
      </c>
      <c r="AB102" s="73">
        <v>441.4</v>
      </c>
      <c r="AC102" s="73">
        <v>494.33</v>
      </c>
      <c r="AD102" s="73">
        <v>298.83999999999997</v>
      </c>
      <c r="AE102" s="73">
        <v>458.61</v>
      </c>
      <c r="AF102" s="73">
        <v>310.66000000000003</v>
      </c>
      <c r="AG102" s="73">
        <v>449.82</v>
      </c>
      <c r="AH102" s="73">
        <v>343.27</v>
      </c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</row>
    <row r="103" spans="17:58" x14ac:dyDescent="0.25">
      <c r="Q103"/>
      <c r="R103" s="6"/>
      <c r="S103" s="6"/>
      <c r="T103" s="6"/>
      <c r="U103" s="131" t="s">
        <v>8</v>
      </c>
      <c r="V103" s="72" t="s">
        <v>184</v>
      </c>
      <c r="W103" s="73">
        <v>257</v>
      </c>
      <c r="X103" s="73">
        <v>257.76</v>
      </c>
      <c r="Y103" s="73">
        <v>307.94</v>
      </c>
      <c r="Z103" s="73">
        <v>309.31</v>
      </c>
      <c r="AA103" s="73">
        <v>337.34</v>
      </c>
      <c r="AB103" s="73">
        <v>441.4</v>
      </c>
      <c r="AC103" s="73">
        <v>494.33</v>
      </c>
      <c r="AD103" s="73">
        <v>298.83999999999997</v>
      </c>
      <c r="AE103" s="73">
        <v>458.61</v>
      </c>
      <c r="AF103" s="73">
        <v>310.66000000000003</v>
      </c>
      <c r="AG103" s="73">
        <v>449.82</v>
      </c>
      <c r="AH103" s="73">
        <v>343.27</v>
      </c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</row>
    <row r="104" spans="17:58" x14ac:dyDescent="0.25">
      <c r="Q104"/>
      <c r="R104" s="6"/>
      <c r="S104" s="6"/>
      <c r="T104" s="6"/>
      <c r="U104" s="131" t="s">
        <v>8</v>
      </c>
      <c r="V104" s="72" t="s">
        <v>187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>
        <v>525</v>
      </c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</row>
    <row r="105" spans="17:58" x14ac:dyDescent="0.25">
      <c r="Q105"/>
      <c r="R105" s="6"/>
      <c r="S105" s="6"/>
      <c r="T105" s="6"/>
      <c r="U105" s="131" t="s">
        <v>8</v>
      </c>
      <c r="V105" s="72" t="s">
        <v>212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>
        <v>11</v>
      </c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</row>
    <row r="106" spans="17:58" x14ac:dyDescent="0.25">
      <c r="Q106"/>
      <c r="R106" s="6"/>
      <c r="S106" s="6"/>
      <c r="T106" s="6"/>
      <c r="U106" s="131" t="s">
        <v>8</v>
      </c>
      <c r="V106" s="72" t="s">
        <v>189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>
        <v>37</v>
      </c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</row>
    <row r="107" spans="17:58" x14ac:dyDescent="0.25">
      <c r="Q107"/>
      <c r="R107" s="6"/>
      <c r="S107" s="6"/>
      <c r="T107" s="6"/>
      <c r="U107" s="131" t="s">
        <v>9</v>
      </c>
      <c r="V107" s="72" t="s">
        <v>181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>
        <v>1</v>
      </c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</row>
    <row r="108" spans="17:58" x14ac:dyDescent="0.25">
      <c r="Q108"/>
      <c r="R108" s="6"/>
      <c r="S108" s="6"/>
      <c r="T108" s="6"/>
      <c r="U108" s="131" t="s">
        <v>9</v>
      </c>
      <c r="V108" s="72" t="s">
        <v>182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>
        <v>1</v>
      </c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</row>
    <row r="109" spans="17:58" x14ac:dyDescent="0.25">
      <c r="Q109"/>
      <c r="R109" s="6"/>
      <c r="S109" s="6"/>
      <c r="T109" s="6"/>
      <c r="U109" s="131" t="s">
        <v>9</v>
      </c>
      <c r="V109" s="72" t="s">
        <v>183</v>
      </c>
      <c r="W109" s="73">
        <v>22.8</v>
      </c>
      <c r="X109" s="73">
        <v>23.96</v>
      </c>
      <c r="Y109" s="73">
        <v>21.49</v>
      </c>
      <c r="Z109" s="73">
        <v>22.12</v>
      </c>
      <c r="AA109" s="73">
        <v>24.73</v>
      </c>
      <c r="AB109" s="73">
        <v>27.84</v>
      </c>
      <c r="AC109" s="73">
        <v>57.59</v>
      </c>
      <c r="AD109" s="73">
        <v>49.56</v>
      </c>
      <c r="AE109" s="73">
        <v>33.479999999999997</v>
      </c>
      <c r="AF109" s="73">
        <v>43.96</v>
      </c>
      <c r="AG109" s="73">
        <v>39.01</v>
      </c>
      <c r="AH109" s="73">
        <v>31.92</v>
      </c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</row>
    <row r="110" spans="17:58" x14ac:dyDescent="0.25">
      <c r="Q110"/>
      <c r="R110" s="6"/>
      <c r="S110" s="6"/>
      <c r="T110" s="6"/>
      <c r="U110" s="131" t="s">
        <v>9</v>
      </c>
      <c r="V110" s="72" t="s">
        <v>184</v>
      </c>
      <c r="W110" s="73">
        <v>22.8</v>
      </c>
      <c r="X110" s="73">
        <v>23.96</v>
      </c>
      <c r="Y110" s="73">
        <v>21.49</v>
      </c>
      <c r="Z110" s="73">
        <v>22.12</v>
      </c>
      <c r="AA110" s="73">
        <v>24.73</v>
      </c>
      <c r="AB110" s="73">
        <v>27.84</v>
      </c>
      <c r="AC110" s="73">
        <v>57.59</v>
      </c>
      <c r="AD110" s="73">
        <v>49.56</v>
      </c>
      <c r="AE110" s="73">
        <v>33.479999999999997</v>
      </c>
      <c r="AF110" s="73">
        <v>43.96</v>
      </c>
      <c r="AG110" s="73">
        <v>39.01</v>
      </c>
      <c r="AH110" s="73">
        <v>31.92</v>
      </c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</row>
    <row r="111" spans="17:58" x14ac:dyDescent="0.25">
      <c r="Q111"/>
      <c r="R111" s="6"/>
      <c r="S111" s="6"/>
      <c r="T111" s="6"/>
      <c r="U111" s="131" t="s">
        <v>9</v>
      </c>
      <c r="V111" s="72" t="s">
        <v>187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>
        <v>525</v>
      </c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</row>
    <row r="112" spans="17:58" x14ac:dyDescent="0.25">
      <c r="Q112"/>
      <c r="R112" s="6"/>
      <c r="S112" s="6"/>
      <c r="T112" s="6"/>
      <c r="U112" s="131" t="s">
        <v>9</v>
      </c>
      <c r="V112" s="72" t="s">
        <v>212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>
        <v>9.5</v>
      </c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</row>
    <row r="113" spans="17:58" x14ac:dyDescent="0.25">
      <c r="Q113"/>
      <c r="R113" s="6"/>
      <c r="S113" s="6"/>
      <c r="T113" s="6"/>
      <c r="U113" s="131" t="s">
        <v>9</v>
      </c>
      <c r="V113" s="72" t="s">
        <v>189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>
        <v>37</v>
      </c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</row>
    <row r="114" spans="17:58" x14ac:dyDescent="0.25">
      <c r="Q114"/>
      <c r="R114" s="6"/>
      <c r="S114" s="6"/>
      <c r="T114" s="6"/>
      <c r="U114" s="131" t="s">
        <v>10</v>
      </c>
      <c r="V114" s="72" t="s">
        <v>181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>
        <v>1</v>
      </c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</row>
    <row r="115" spans="17:58" x14ac:dyDescent="0.25">
      <c r="Q115"/>
      <c r="R115" s="6"/>
      <c r="S115" s="6"/>
      <c r="T115" s="6"/>
      <c r="U115" s="131" t="s">
        <v>10</v>
      </c>
      <c r="V115" s="72" t="s">
        <v>182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>
        <v>1</v>
      </c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</row>
    <row r="116" spans="17:58" x14ac:dyDescent="0.25">
      <c r="Q116"/>
      <c r="R116" s="6"/>
      <c r="S116" s="6"/>
      <c r="T116" s="6"/>
      <c r="U116" s="131" t="s">
        <v>10</v>
      </c>
      <c r="V116" s="72" t="s">
        <v>183</v>
      </c>
      <c r="W116" s="73">
        <v>1016</v>
      </c>
      <c r="X116" s="73">
        <v>1240.74</v>
      </c>
      <c r="Y116" s="73">
        <v>783.2</v>
      </c>
      <c r="Z116" s="73">
        <v>577.03</v>
      </c>
      <c r="AA116" s="73">
        <v>314.81</v>
      </c>
      <c r="AB116" s="73">
        <v>84.14</v>
      </c>
      <c r="AC116" s="73">
        <v>329.48</v>
      </c>
      <c r="AD116" s="73">
        <v>582.48</v>
      </c>
      <c r="AE116" s="73">
        <v>237.45</v>
      </c>
      <c r="AF116" s="73">
        <v>406.18</v>
      </c>
      <c r="AG116" s="73">
        <v>337.86</v>
      </c>
      <c r="AH116" s="73">
        <v>232.3</v>
      </c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</row>
    <row r="117" spans="17:58" x14ac:dyDescent="0.25">
      <c r="Q117"/>
      <c r="R117" s="6"/>
      <c r="S117" s="6"/>
      <c r="T117" s="6"/>
      <c r="U117" s="131" t="s">
        <v>10</v>
      </c>
      <c r="V117" s="72" t="s">
        <v>184</v>
      </c>
      <c r="W117" s="73">
        <v>1016</v>
      </c>
      <c r="X117" s="73">
        <v>1240.74</v>
      </c>
      <c r="Y117" s="73">
        <v>783.2</v>
      </c>
      <c r="Z117" s="73">
        <v>577.03</v>
      </c>
      <c r="AA117" s="73">
        <v>314.81</v>
      </c>
      <c r="AB117" s="73">
        <v>84.14</v>
      </c>
      <c r="AC117" s="73">
        <v>329.48</v>
      </c>
      <c r="AD117" s="73">
        <v>582.48</v>
      </c>
      <c r="AE117" s="73">
        <v>237.45</v>
      </c>
      <c r="AF117" s="73">
        <v>406.18</v>
      </c>
      <c r="AG117" s="73">
        <v>337.86</v>
      </c>
      <c r="AH117" s="73">
        <v>232.3</v>
      </c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</row>
    <row r="118" spans="17:58" x14ac:dyDescent="0.25">
      <c r="Q118"/>
      <c r="R118" s="6"/>
      <c r="S118" s="6"/>
      <c r="T118" s="6"/>
      <c r="U118" s="131" t="s">
        <v>10</v>
      </c>
      <c r="V118" s="72" t="s">
        <v>187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>
        <v>525</v>
      </c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</row>
    <row r="119" spans="17:58" x14ac:dyDescent="0.25">
      <c r="Q119"/>
      <c r="R119" s="6"/>
      <c r="S119" s="6"/>
      <c r="T119" s="6"/>
      <c r="U119" s="131" t="s">
        <v>10</v>
      </c>
      <c r="V119" s="72" t="s">
        <v>212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>
        <v>9</v>
      </c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</row>
    <row r="120" spans="17:58" x14ac:dyDescent="0.25">
      <c r="Q120"/>
      <c r="R120" s="6"/>
      <c r="S120" s="6"/>
      <c r="T120" s="6"/>
      <c r="U120" s="131" t="s">
        <v>10</v>
      </c>
      <c r="V120" s="72" t="s">
        <v>189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>
        <v>37</v>
      </c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</row>
    <row r="121" spans="17:58" x14ac:dyDescent="0.25">
      <c r="Q121"/>
      <c r="R121" s="6"/>
      <c r="S121" s="6"/>
      <c r="T121" s="6"/>
      <c r="U121" s="131" t="s">
        <v>11</v>
      </c>
      <c r="V121" s="72" t="s">
        <v>181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>
        <v>1</v>
      </c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</row>
    <row r="122" spans="17:58" x14ac:dyDescent="0.25">
      <c r="Q122"/>
      <c r="R122" s="6"/>
      <c r="S122" s="6"/>
      <c r="T122" s="6"/>
      <c r="U122" s="131" t="s">
        <v>11</v>
      </c>
      <c r="V122" s="72" t="s">
        <v>182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>
        <v>1</v>
      </c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</row>
    <row r="123" spans="17:58" x14ac:dyDescent="0.25">
      <c r="Q123"/>
      <c r="R123" s="6"/>
      <c r="S123" s="6"/>
      <c r="T123" s="6"/>
      <c r="U123" s="131" t="s">
        <v>11</v>
      </c>
      <c r="V123" s="72" t="s">
        <v>183</v>
      </c>
      <c r="W123" s="73">
        <v>13.53</v>
      </c>
      <c r="X123" s="73">
        <v>1.68</v>
      </c>
      <c r="Y123" s="73">
        <v>11.22</v>
      </c>
      <c r="Z123" s="73">
        <v>9.2799999999999994</v>
      </c>
      <c r="AA123" s="73">
        <v>11.42</v>
      </c>
      <c r="AB123" s="73">
        <v>5.75</v>
      </c>
      <c r="AC123" s="73">
        <v>3.48</v>
      </c>
      <c r="AD123" s="73">
        <v>14.44</v>
      </c>
      <c r="AE123" s="73">
        <v>5.71</v>
      </c>
      <c r="AF123" s="73">
        <v>44.54</v>
      </c>
      <c r="AG123" s="73">
        <v>11.77</v>
      </c>
      <c r="AH123" s="73">
        <v>1.37</v>
      </c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</row>
    <row r="124" spans="17:58" x14ac:dyDescent="0.25">
      <c r="Q124"/>
      <c r="R124" s="6"/>
      <c r="S124" s="6"/>
      <c r="T124" s="6"/>
      <c r="U124" s="131" t="s">
        <v>11</v>
      </c>
      <c r="V124" s="72" t="s">
        <v>184</v>
      </c>
      <c r="W124" s="73">
        <v>13.53</v>
      </c>
      <c r="X124" s="73">
        <v>1.68</v>
      </c>
      <c r="Y124" s="73">
        <v>11.22</v>
      </c>
      <c r="Z124" s="73">
        <v>9.2799999999999994</v>
      </c>
      <c r="AA124" s="73">
        <v>11.42</v>
      </c>
      <c r="AB124" s="73">
        <v>5.75</v>
      </c>
      <c r="AC124" s="73">
        <v>3.48</v>
      </c>
      <c r="AD124" s="73">
        <v>14.44</v>
      </c>
      <c r="AE124" s="73">
        <v>5.71</v>
      </c>
      <c r="AF124" s="73">
        <v>44.54</v>
      </c>
      <c r="AG124" s="73">
        <v>11.77</v>
      </c>
      <c r="AH124" s="73">
        <v>1.37</v>
      </c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</row>
    <row r="125" spans="17:58" x14ac:dyDescent="0.25">
      <c r="Q125"/>
      <c r="R125" s="6"/>
      <c r="S125" s="6"/>
      <c r="T125" s="6"/>
      <c r="U125" s="131" t="s">
        <v>11</v>
      </c>
      <c r="V125" s="72" t="s">
        <v>187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>
        <v>785</v>
      </c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</row>
    <row r="126" spans="17:58" x14ac:dyDescent="0.25">
      <c r="Q126"/>
      <c r="R126" s="6"/>
      <c r="S126" s="6"/>
      <c r="T126" s="6"/>
      <c r="U126" s="131" t="s">
        <v>11</v>
      </c>
      <c r="V126" s="72" t="s">
        <v>212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>
        <v>12</v>
      </c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</row>
    <row r="127" spans="17:58" x14ac:dyDescent="0.25">
      <c r="Q127"/>
      <c r="R127" s="6"/>
      <c r="S127" s="6"/>
      <c r="T127" s="6"/>
      <c r="U127" s="131" t="s">
        <v>11</v>
      </c>
      <c r="V127" s="72" t="s">
        <v>189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>
        <v>37</v>
      </c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</row>
    <row r="128" spans="17:58" x14ac:dyDescent="0.25">
      <c r="Q128"/>
      <c r="R128" s="6"/>
      <c r="S128" s="6"/>
      <c r="T128" s="6"/>
      <c r="U128" s="131" t="s">
        <v>12</v>
      </c>
      <c r="V128" s="72" t="s">
        <v>181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</row>
    <row r="129" spans="17:58" x14ac:dyDescent="0.25">
      <c r="Q129"/>
      <c r="R129" s="6"/>
      <c r="S129" s="6"/>
      <c r="T129" s="6"/>
      <c r="U129" s="131" t="s">
        <v>12</v>
      </c>
      <c r="V129" s="72" t="s">
        <v>182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>
        <v>1</v>
      </c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</row>
    <row r="130" spans="17:58" x14ac:dyDescent="0.25">
      <c r="Q130"/>
      <c r="R130" s="6"/>
      <c r="S130" s="6"/>
      <c r="T130" s="6"/>
      <c r="U130" s="131" t="s">
        <v>12</v>
      </c>
      <c r="V130" s="72" t="s">
        <v>183</v>
      </c>
      <c r="W130" s="73">
        <v>6.79</v>
      </c>
      <c r="X130" s="73">
        <v>2.12</v>
      </c>
      <c r="Y130" s="73">
        <v>4.6399999999999997</v>
      </c>
      <c r="Z130" s="73">
        <v>3.35</v>
      </c>
      <c r="AA130" s="73">
        <v>8.83</v>
      </c>
      <c r="AB130" s="73">
        <v>8.82</v>
      </c>
      <c r="AC130" s="73">
        <v>3.03</v>
      </c>
      <c r="AD130" s="73">
        <v>1.72</v>
      </c>
      <c r="AE130" s="73">
        <v>4.71</v>
      </c>
      <c r="AF130" s="73">
        <v>2.21</v>
      </c>
      <c r="AG130" s="73">
        <v>4.29</v>
      </c>
      <c r="AH130" s="73">
        <v>7.27</v>
      </c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</row>
    <row r="131" spans="17:58" x14ac:dyDescent="0.25">
      <c r="Q131"/>
      <c r="R131" s="6"/>
      <c r="S131" s="6"/>
      <c r="T131" s="6"/>
      <c r="U131" s="131" t="s">
        <v>12</v>
      </c>
      <c r="V131" s="72" t="s">
        <v>184</v>
      </c>
      <c r="W131" s="73">
        <v>6.79</v>
      </c>
      <c r="X131" s="73">
        <v>2.12</v>
      </c>
      <c r="Y131" s="73">
        <v>4.6399999999999997</v>
      </c>
      <c r="Z131" s="73">
        <v>3.35</v>
      </c>
      <c r="AA131" s="73">
        <v>8.83</v>
      </c>
      <c r="AB131" s="73">
        <v>8.82</v>
      </c>
      <c r="AC131" s="73">
        <v>3.03</v>
      </c>
      <c r="AD131" s="73">
        <v>1.72</v>
      </c>
      <c r="AE131" s="73">
        <v>4.71</v>
      </c>
      <c r="AF131" s="73">
        <v>2.21</v>
      </c>
      <c r="AG131" s="73">
        <v>4.29</v>
      </c>
      <c r="AH131" s="73">
        <v>7.27</v>
      </c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</row>
    <row r="132" spans="17:58" x14ac:dyDescent="0.25">
      <c r="Q132"/>
      <c r="R132" s="6"/>
      <c r="S132" s="6"/>
      <c r="T132" s="6"/>
      <c r="U132" s="131" t="s">
        <v>12</v>
      </c>
      <c r="V132" s="72" t="s">
        <v>187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>
        <v>1E-14</v>
      </c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</row>
    <row r="133" spans="17:58" x14ac:dyDescent="0.25">
      <c r="Q133"/>
      <c r="R133" s="6"/>
      <c r="S133" s="6"/>
      <c r="T133" s="6"/>
      <c r="U133" s="131" t="s">
        <v>12</v>
      </c>
      <c r="V133" s="72" t="s">
        <v>212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>
        <v>10</v>
      </c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</row>
    <row r="134" spans="17:58" x14ac:dyDescent="0.25">
      <c r="Q134"/>
      <c r="R134" s="6"/>
      <c r="S134" s="6"/>
      <c r="T134" s="6"/>
      <c r="U134" s="131" t="s">
        <v>12</v>
      </c>
      <c r="V134" s="72" t="s">
        <v>189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>
        <v>37</v>
      </c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</row>
    <row r="135" spans="17:58" x14ac:dyDescent="0.25">
      <c r="Q135"/>
      <c r="R135" s="6"/>
      <c r="S135" s="6"/>
      <c r="T135" s="6"/>
      <c r="U135" s="131" t="s">
        <v>13</v>
      </c>
      <c r="V135" s="72" t="s">
        <v>181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>
        <v>1</v>
      </c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</row>
    <row r="136" spans="17:58" x14ac:dyDescent="0.25">
      <c r="Q136"/>
      <c r="R136" s="6"/>
      <c r="S136" s="6"/>
      <c r="T136" s="6"/>
      <c r="U136" s="131" t="s">
        <v>13</v>
      </c>
      <c r="V136" s="72" t="s">
        <v>182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>
        <v>1</v>
      </c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</row>
    <row r="137" spans="17:58" x14ac:dyDescent="0.25">
      <c r="Q137"/>
      <c r="R137" s="6"/>
      <c r="S137" s="6"/>
      <c r="T137" s="6"/>
      <c r="U137" s="131" t="s">
        <v>13</v>
      </c>
      <c r="V137" s="72" t="s">
        <v>183</v>
      </c>
      <c r="W137" s="73">
        <v>1E-14</v>
      </c>
      <c r="X137" s="73">
        <v>4.32</v>
      </c>
      <c r="Y137" s="73">
        <v>1E-14</v>
      </c>
      <c r="Z137" s="73">
        <v>1E-14</v>
      </c>
      <c r="AA137" s="73">
        <v>0.45</v>
      </c>
      <c r="AB137" s="73">
        <v>1E-14</v>
      </c>
      <c r="AC137" s="73">
        <v>2.4700000000000002</v>
      </c>
      <c r="AD137" s="73">
        <v>1E-14</v>
      </c>
      <c r="AE137" s="73">
        <v>1E-14</v>
      </c>
      <c r="AF137" s="73">
        <v>1E-14</v>
      </c>
      <c r="AG137" s="73">
        <v>2.5</v>
      </c>
      <c r="AH137" s="73">
        <v>3.15</v>
      </c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</row>
    <row r="138" spans="17:58" x14ac:dyDescent="0.25">
      <c r="Q138"/>
      <c r="R138" s="6"/>
      <c r="S138" s="6"/>
      <c r="T138" s="6"/>
      <c r="U138" s="131" t="s">
        <v>13</v>
      </c>
      <c r="V138" s="72" t="s">
        <v>184</v>
      </c>
      <c r="W138" s="73">
        <v>1E-14</v>
      </c>
      <c r="X138" s="73">
        <v>4.32</v>
      </c>
      <c r="Y138" s="73">
        <v>1E-14</v>
      </c>
      <c r="Z138" s="73">
        <v>1E-14</v>
      </c>
      <c r="AA138" s="73">
        <v>0.45</v>
      </c>
      <c r="AB138" s="73">
        <v>1E-14</v>
      </c>
      <c r="AC138" s="73">
        <v>2.4700000000000002</v>
      </c>
      <c r="AD138" s="73">
        <v>1E-14</v>
      </c>
      <c r="AE138" s="73">
        <v>1E-14</v>
      </c>
      <c r="AF138" s="73">
        <v>1E-14</v>
      </c>
      <c r="AG138" s="73">
        <v>2.5</v>
      </c>
      <c r="AH138" s="73">
        <v>3.15</v>
      </c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</row>
    <row r="139" spans="17:58" x14ac:dyDescent="0.25">
      <c r="Q139"/>
      <c r="R139" s="6"/>
      <c r="S139" s="6"/>
      <c r="T139" s="6"/>
      <c r="U139" s="131" t="s">
        <v>13</v>
      </c>
      <c r="V139" s="72" t="s">
        <v>187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>
        <v>525</v>
      </c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</row>
    <row r="140" spans="17:58" x14ac:dyDescent="0.25">
      <c r="Q140"/>
      <c r="R140" s="6"/>
      <c r="S140" s="6"/>
      <c r="T140" s="6"/>
      <c r="U140" s="131" t="s">
        <v>13</v>
      </c>
      <c r="V140" s="72" t="s">
        <v>212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>
        <v>11</v>
      </c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</row>
    <row r="141" spans="17:58" x14ac:dyDescent="0.25">
      <c r="Q141"/>
      <c r="R141" s="6"/>
      <c r="S141" s="6"/>
      <c r="T141" s="6"/>
      <c r="U141" s="131" t="s">
        <v>13</v>
      </c>
      <c r="V141" s="72" t="s">
        <v>189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>
        <v>37</v>
      </c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</row>
    <row r="142" spans="17:58" x14ac:dyDescent="0.25">
      <c r="Q142"/>
      <c r="R142" s="6"/>
      <c r="S142" s="6"/>
      <c r="T142" s="6"/>
      <c r="U142" s="131" t="s">
        <v>14</v>
      </c>
      <c r="V142" s="72" t="s">
        <v>181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>
        <v>1</v>
      </c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</row>
    <row r="143" spans="17:58" x14ac:dyDescent="0.25">
      <c r="Q143"/>
      <c r="R143" s="6"/>
      <c r="S143" s="6"/>
      <c r="T143" s="6"/>
      <c r="U143" s="131" t="s">
        <v>14</v>
      </c>
      <c r="V143" s="72" t="s">
        <v>182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>
        <v>1</v>
      </c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</row>
    <row r="144" spans="17:58" x14ac:dyDescent="0.25">
      <c r="Q144"/>
      <c r="R144" s="6"/>
      <c r="S144" s="6"/>
      <c r="T144" s="6"/>
      <c r="U144" s="131" t="s">
        <v>14</v>
      </c>
      <c r="V144" s="72" t="s">
        <v>183</v>
      </c>
      <c r="W144" s="73">
        <v>2283.8949075342898</v>
      </c>
      <c r="X144" s="73">
        <v>2882.6848403178365</v>
      </c>
      <c r="Y144" s="73">
        <v>2752.3072145980932</v>
      </c>
      <c r="Z144" s="73">
        <v>2285.9902369518727</v>
      </c>
      <c r="AA144" s="73">
        <v>1179.0333686952442</v>
      </c>
      <c r="AB144" s="73">
        <v>800.73438421871037</v>
      </c>
      <c r="AC144" s="73">
        <v>1211.9003095257779</v>
      </c>
      <c r="AD144" s="73">
        <v>1334.0027998091882</v>
      </c>
      <c r="AE144" s="73">
        <v>1273.4293747204792</v>
      </c>
      <c r="AF144" s="73">
        <v>2288.552768199052</v>
      </c>
      <c r="AG144" s="73">
        <v>3106.715196424821</v>
      </c>
      <c r="AH144" s="73">
        <v>2833.4445990046361</v>
      </c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</row>
    <row r="145" spans="17:58" x14ac:dyDescent="0.25">
      <c r="Q145"/>
      <c r="R145" s="6"/>
      <c r="S145" s="6"/>
      <c r="T145" s="6"/>
      <c r="U145" s="131" t="s">
        <v>14</v>
      </c>
      <c r="V145" s="72" t="s">
        <v>184</v>
      </c>
      <c r="W145" s="73">
        <v>2283.8949075342898</v>
      </c>
      <c r="X145" s="73">
        <v>2882.6848403178365</v>
      </c>
      <c r="Y145" s="73">
        <v>2752.3072145980932</v>
      </c>
      <c r="Z145" s="73">
        <v>2285.9902369518727</v>
      </c>
      <c r="AA145" s="73">
        <v>1179.0333686952442</v>
      </c>
      <c r="AB145" s="73">
        <v>800.73438421871037</v>
      </c>
      <c r="AC145" s="73">
        <v>1211.9003095257779</v>
      </c>
      <c r="AD145" s="73">
        <v>1334.0027998091882</v>
      </c>
      <c r="AE145" s="73">
        <v>1273.4293747204792</v>
      </c>
      <c r="AF145" s="73">
        <v>2288.552768199052</v>
      </c>
      <c r="AG145" s="73">
        <v>3106.715196424821</v>
      </c>
      <c r="AH145" s="73">
        <v>2833.4445990046361</v>
      </c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</row>
    <row r="146" spans="17:58" x14ac:dyDescent="0.25">
      <c r="Q146"/>
      <c r="R146" s="6"/>
      <c r="S146" s="6"/>
      <c r="T146" s="6"/>
      <c r="U146" s="131" t="s">
        <v>14</v>
      </c>
      <c r="V146" s="72" t="s">
        <v>187</v>
      </c>
      <c r="W146" s="73">
        <v>350</v>
      </c>
      <c r="X146" s="73">
        <v>350</v>
      </c>
      <c r="Y146" s="73">
        <v>350</v>
      </c>
      <c r="Z146" s="73">
        <v>350</v>
      </c>
      <c r="AA146" s="73">
        <v>350</v>
      </c>
      <c r="AB146" s="73">
        <v>350</v>
      </c>
      <c r="AC146" s="73">
        <v>350</v>
      </c>
      <c r="AD146" s="73">
        <v>350</v>
      </c>
      <c r="AE146" s="73">
        <v>350</v>
      </c>
      <c r="AF146" s="73">
        <v>350</v>
      </c>
      <c r="AG146" s="73">
        <v>350</v>
      </c>
      <c r="AH146" s="73">
        <v>350</v>
      </c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</row>
    <row r="147" spans="17:58" x14ac:dyDescent="0.25">
      <c r="Q147"/>
      <c r="R147" s="6"/>
      <c r="S147" s="6"/>
      <c r="T147" s="6"/>
      <c r="U147" s="131" t="s">
        <v>14</v>
      </c>
      <c r="V147" s="72" t="s">
        <v>212</v>
      </c>
      <c r="W147" s="73">
        <v>10.5</v>
      </c>
      <c r="X147" s="73">
        <v>10.5</v>
      </c>
      <c r="Y147" s="73">
        <v>10.5</v>
      </c>
      <c r="Z147" s="73">
        <v>10.5</v>
      </c>
      <c r="AA147" s="73">
        <v>10.5</v>
      </c>
      <c r="AB147" s="73">
        <v>10.5</v>
      </c>
      <c r="AC147" s="73">
        <v>10.5</v>
      </c>
      <c r="AD147" s="73">
        <v>10.5</v>
      </c>
      <c r="AE147" s="73">
        <v>10.5</v>
      </c>
      <c r="AF147" s="73">
        <v>10.5</v>
      </c>
      <c r="AG147" s="73">
        <v>10.5</v>
      </c>
      <c r="AH147" s="73">
        <v>10.5</v>
      </c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</row>
    <row r="148" spans="17:58" x14ac:dyDescent="0.25">
      <c r="Q148"/>
      <c r="R148" s="6"/>
      <c r="S148" s="6"/>
      <c r="T148" s="6"/>
      <c r="U148" s="131" t="s">
        <v>14</v>
      </c>
      <c r="V148" s="72" t="s">
        <v>189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>
        <v>37</v>
      </c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</row>
    <row r="149" spans="17:58" x14ac:dyDescent="0.25">
      <c r="Q149"/>
      <c r="R149" s="6"/>
      <c r="S149" s="6"/>
      <c r="T149" s="6"/>
      <c r="U149" s="131" t="s">
        <v>15</v>
      </c>
      <c r="V149" s="72" t="s">
        <v>181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>
        <v>1</v>
      </c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</row>
    <row r="150" spans="17:58" x14ac:dyDescent="0.25">
      <c r="Q150"/>
      <c r="R150" s="6"/>
      <c r="S150" s="6"/>
      <c r="T150" s="6"/>
      <c r="U150" s="131" t="s">
        <v>15</v>
      </c>
      <c r="V150" s="72" t="s">
        <v>182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>
        <v>1</v>
      </c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</row>
    <row r="151" spans="17:58" x14ac:dyDescent="0.25">
      <c r="Q151"/>
      <c r="R151" s="6"/>
      <c r="S151" s="6"/>
      <c r="T151" s="6"/>
      <c r="U151" s="131" t="s">
        <v>15</v>
      </c>
      <c r="V151" s="72" t="s">
        <v>183</v>
      </c>
      <c r="W151" s="73">
        <v>1E-14</v>
      </c>
      <c r="X151" s="73">
        <v>1E-14</v>
      </c>
      <c r="Y151" s="73">
        <v>1E-14</v>
      </c>
      <c r="Z151" s="73">
        <v>154.09</v>
      </c>
      <c r="AA151" s="73">
        <v>1E-14</v>
      </c>
      <c r="AB151" s="73">
        <v>1E-14</v>
      </c>
      <c r="AC151" s="73">
        <v>1E-14</v>
      </c>
      <c r="AD151" s="73">
        <v>1E-14</v>
      </c>
      <c r="AE151" s="73">
        <v>1E-14</v>
      </c>
      <c r="AF151" s="73">
        <v>1E-14</v>
      </c>
      <c r="AG151" s="73">
        <v>1E-14</v>
      </c>
      <c r="AH151" s="73">
        <v>1E-14</v>
      </c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</row>
    <row r="152" spans="17:58" x14ac:dyDescent="0.25">
      <c r="Q152"/>
      <c r="R152" s="6"/>
      <c r="S152" s="6"/>
      <c r="T152" s="6"/>
      <c r="U152" s="131" t="s">
        <v>15</v>
      </c>
      <c r="V152" s="72" t="s">
        <v>184</v>
      </c>
      <c r="W152" s="73">
        <v>1E-14</v>
      </c>
      <c r="X152" s="73">
        <v>1E-14</v>
      </c>
      <c r="Y152" s="73">
        <v>1E-14</v>
      </c>
      <c r="Z152" s="73">
        <v>154.09</v>
      </c>
      <c r="AA152" s="73">
        <v>1E-14</v>
      </c>
      <c r="AB152" s="73">
        <v>1E-14</v>
      </c>
      <c r="AC152" s="73">
        <v>1E-14</v>
      </c>
      <c r="AD152" s="73">
        <v>1E-14</v>
      </c>
      <c r="AE152" s="73">
        <v>1E-14</v>
      </c>
      <c r="AF152" s="73">
        <v>1E-14</v>
      </c>
      <c r="AG152" s="73">
        <v>1E-14</v>
      </c>
      <c r="AH152" s="73">
        <v>1E-14</v>
      </c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</row>
    <row r="153" spans="17:58" x14ac:dyDescent="0.25">
      <c r="Q153"/>
      <c r="R153" s="6"/>
      <c r="S153" s="6"/>
      <c r="T153" s="6"/>
      <c r="U153" s="131" t="s">
        <v>15</v>
      </c>
      <c r="V153" s="72" t="s">
        <v>187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>
        <v>515</v>
      </c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</row>
    <row r="154" spans="17:58" x14ac:dyDescent="0.25">
      <c r="Q154"/>
      <c r="R154" s="6"/>
      <c r="S154" s="6"/>
      <c r="T154" s="6"/>
      <c r="U154" s="131" t="s">
        <v>15</v>
      </c>
      <c r="V154" s="72" t="s">
        <v>212</v>
      </c>
      <c r="W154" s="73">
        <v>10.5</v>
      </c>
      <c r="X154" s="73">
        <v>10.5</v>
      </c>
      <c r="Y154" s="73">
        <v>10.5</v>
      </c>
      <c r="Z154" s="73">
        <v>10.5</v>
      </c>
      <c r="AA154" s="73">
        <v>10.5</v>
      </c>
      <c r="AB154" s="73">
        <v>10.5</v>
      </c>
      <c r="AC154" s="73">
        <v>10.5</v>
      </c>
      <c r="AD154" s="73">
        <v>10.5</v>
      </c>
      <c r="AE154" s="73">
        <v>10.5</v>
      </c>
      <c r="AF154" s="73">
        <v>10.5</v>
      </c>
      <c r="AG154" s="73">
        <v>10.5</v>
      </c>
      <c r="AH154" s="73">
        <v>10.5</v>
      </c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</row>
    <row r="155" spans="17:58" x14ac:dyDescent="0.25">
      <c r="Q155"/>
      <c r="R155" s="6"/>
      <c r="S155" s="6"/>
      <c r="T155" s="6"/>
      <c r="U155" s="131" t="s">
        <v>15</v>
      </c>
      <c r="V155" s="72" t="s">
        <v>189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>
        <v>37</v>
      </c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</row>
    <row r="156" spans="17:58" x14ac:dyDescent="0.25">
      <c r="Q156"/>
      <c r="R156" s="6"/>
      <c r="S156" s="6"/>
      <c r="T156" s="6"/>
      <c r="U156" s="131" t="s">
        <v>16</v>
      </c>
      <c r="V156" s="72" t="s">
        <v>181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>
        <v>1</v>
      </c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</row>
    <row r="157" spans="17:58" x14ac:dyDescent="0.25">
      <c r="Q157"/>
      <c r="R157" s="6"/>
      <c r="S157" s="6"/>
      <c r="T157" s="6"/>
      <c r="U157" s="131" t="s">
        <v>16</v>
      </c>
      <c r="V157" s="72" t="s">
        <v>182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>
        <v>1</v>
      </c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</row>
    <row r="158" spans="17:58" x14ac:dyDescent="0.25">
      <c r="R158" s="152"/>
      <c r="S158" s="152"/>
      <c r="T158" s="152"/>
      <c r="U158" s="131" t="s">
        <v>16</v>
      </c>
      <c r="V158" s="72" t="s">
        <v>183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>
        <v>1E-14</v>
      </c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</row>
    <row r="159" spans="17:58" x14ac:dyDescent="0.25">
      <c r="R159" s="152"/>
      <c r="S159" s="152"/>
      <c r="T159" s="152"/>
      <c r="U159" s="131" t="s">
        <v>16</v>
      </c>
      <c r="V159" s="72" t="s">
        <v>184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>
        <v>1E-14</v>
      </c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</row>
    <row r="160" spans="17:58" x14ac:dyDescent="0.25">
      <c r="R160" s="152"/>
      <c r="S160" s="152"/>
      <c r="T160" s="152"/>
      <c r="U160" s="131" t="s">
        <v>16</v>
      </c>
      <c r="V160" s="72" t="s">
        <v>187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>
        <v>1E-14</v>
      </c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</row>
    <row r="161" spans="18:58" x14ac:dyDescent="0.25">
      <c r="R161" s="152"/>
      <c r="S161" s="152"/>
      <c r="T161" s="152"/>
      <c r="U161" s="131" t="s">
        <v>16</v>
      </c>
      <c r="V161" s="72" t="s">
        <v>212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>
        <v>13</v>
      </c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</row>
    <row r="162" spans="18:58" x14ac:dyDescent="0.25">
      <c r="R162" s="152"/>
      <c r="S162" s="152"/>
      <c r="T162" s="152"/>
      <c r="U162" s="131" t="s">
        <v>16</v>
      </c>
      <c r="V162" s="72" t="s">
        <v>189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>
        <v>37</v>
      </c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</row>
    <row r="163" spans="18:58" x14ac:dyDescent="0.25">
      <c r="R163" s="152"/>
      <c r="S163" s="152"/>
      <c r="T163" s="152"/>
      <c r="U163" s="131" t="s">
        <v>18</v>
      </c>
      <c r="V163" s="72" t="s">
        <v>181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>
        <v>1</v>
      </c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</row>
    <row r="164" spans="18:58" x14ac:dyDescent="0.25">
      <c r="R164" s="152"/>
      <c r="S164" s="152"/>
      <c r="T164" s="152"/>
      <c r="U164" s="131" t="s">
        <v>18</v>
      </c>
      <c r="V164" s="72" t="s">
        <v>182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>
        <v>1</v>
      </c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</row>
    <row r="165" spans="18:58" x14ac:dyDescent="0.25">
      <c r="R165" s="152"/>
      <c r="S165" s="152"/>
      <c r="T165" s="152"/>
      <c r="U165" s="131" t="s">
        <v>18</v>
      </c>
      <c r="V165" s="72" t="s">
        <v>183</v>
      </c>
      <c r="W165" s="73">
        <v>57.5</v>
      </c>
      <c r="X165" s="73">
        <v>143.63</v>
      </c>
      <c r="Y165" s="73">
        <v>49.69</v>
      </c>
      <c r="Z165" s="73">
        <v>116.49</v>
      </c>
      <c r="AA165" s="73">
        <v>144.72</v>
      </c>
      <c r="AB165" s="73">
        <v>157.86000000000001</v>
      </c>
      <c r="AC165" s="73">
        <v>62.1</v>
      </c>
      <c r="AD165" s="73">
        <v>2.92</v>
      </c>
      <c r="AE165" s="73">
        <v>54.7</v>
      </c>
      <c r="AF165" s="73">
        <v>78.22</v>
      </c>
      <c r="AG165" s="73">
        <v>92.89</v>
      </c>
      <c r="AH165" s="73">
        <v>83.81</v>
      </c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8:58" x14ac:dyDescent="0.25">
      <c r="R166" s="152"/>
      <c r="S166" s="152"/>
      <c r="T166" s="152"/>
      <c r="U166" s="131" t="s">
        <v>18</v>
      </c>
      <c r="V166" s="72" t="s">
        <v>184</v>
      </c>
      <c r="W166" s="73">
        <v>57.5</v>
      </c>
      <c r="X166" s="73">
        <v>143.63</v>
      </c>
      <c r="Y166" s="73">
        <v>49.69</v>
      </c>
      <c r="Z166" s="73">
        <v>116.49</v>
      </c>
      <c r="AA166" s="73">
        <v>144.72</v>
      </c>
      <c r="AB166" s="73">
        <v>157.86000000000001</v>
      </c>
      <c r="AC166" s="73">
        <v>62.1</v>
      </c>
      <c r="AD166" s="73">
        <v>2.92</v>
      </c>
      <c r="AE166" s="73">
        <v>54.7</v>
      </c>
      <c r="AF166" s="73">
        <v>78.22</v>
      </c>
      <c r="AG166" s="73">
        <v>92.89</v>
      </c>
      <c r="AH166" s="73">
        <v>83.81</v>
      </c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8:58" x14ac:dyDescent="0.25">
      <c r="R167" s="152"/>
      <c r="S167" s="152"/>
      <c r="T167" s="152"/>
      <c r="U167" s="131" t="s">
        <v>18</v>
      </c>
      <c r="V167" s="72" t="s">
        <v>187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>
        <v>1E-14</v>
      </c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8:58" x14ac:dyDescent="0.25">
      <c r="R168" s="152"/>
      <c r="S168" s="152"/>
      <c r="T168" s="152"/>
      <c r="U168" s="131" t="s">
        <v>18</v>
      </c>
      <c r="V168" s="72" t="s">
        <v>212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>
        <v>14.5</v>
      </c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8:58" x14ac:dyDescent="0.25">
      <c r="R169" s="152"/>
      <c r="S169" s="152"/>
      <c r="T169" s="152"/>
      <c r="U169" s="131" t="s">
        <v>18</v>
      </c>
      <c r="V169" s="72" t="s">
        <v>189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>
        <v>37</v>
      </c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8:58" x14ac:dyDescent="0.25">
      <c r="R170" s="152"/>
      <c r="S170" s="152"/>
      <c r="T170" s="152"/>
      <c r="U170" s="131" t="s">
        <v>19</v>
      </c>
      <c r="V170" s="72" t="s">
        <v>181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>
        <v>1</v>
      </c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8:58" x14ac:dyDescent="0.25">
      <c r="R171" s="152"/>
      <c r="S171" s="152"/>
      <c r="T171" s="152"/>
      <c r="U171" s="131" t="s">
        <v>19</v>
      </c>
      <c r="V171" s="72" t="s">
        <v>182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>
        <v>1</v>
      </c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8:58" x14ac:dyDescent="0.25">
      <c r="R172" s="152"/>
      <c r="S172" s="152"/>
      <c r="T172" s="152"/>
      <c r="U172" s="131" t="s">
        <v>19</v>
      </c>
      <c r="V172" s="72" t="s">
        <v>183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>
        <v>1E-14</v>
      </c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8:58" x14ac:dyDescent="0.25">
      <c r="R173" s="152"/>
      <c r="S173" s="152"/>
      <c r="T173" s="152"/>
      <c r="U173" s="131" t="s">
        <v>19</v>
      </c>
      <c r="V173" s="72" t="s">
        <v>184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>
        <v>1E-14</v>
      </c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8:58" x14ac:dyDescent="0.25">
      <c r="R174" s="152"/>
      <c r="S174" s="152"/>
      <c r="T174" s="152"/>
      <c r="U174" s="131" t="s">
        <v>19</v>
      </c>
      <c r="V174" s="72" t="s">
        <v>187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>
        <v>1E-14</v>
      </c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8:58" x14ac:dyDescent="0.25">
      <c r="R175" s="152"/>
      <c r="S175" s="152"/>
      <c r="T175" s="152"/>
      <c r="U175" s="131" t="s">
        <v>19</v>
      </c>
      <c r="V175" s="72" t="s">
        <v>212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>
        <v>14.7</v>
      </c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8:58" x14ac:dyDescent="0.25">
      <c r="R176" s="152"/>
      <c r="S176" s="152"/>
      <c r="T176" s="152"/>
      <c r="U176" s="131" t="s">
        <v>19</v>
      </c>
      <c r="V176" s="72" t="s">
        <v>189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>
        <v>37</v>
      </c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18:58" x14ac:dyDescent="0.25">
      <c r="R177" s="152"/>
      <c r="S177" s="152"/>
      <c r="T177" s="152"/>
      <c r="U177" s="131" t="s">
        <v>20</v>
      </c>
      <c r="V177" s="72" t="s">
        <v>181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>
        <v>1</v>
      </c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18:58" x14ac:dyDescent="0.25">
      <c r="R178" s="152"/>
      <c r="S178" s="152"/>
      <c r="T178" s="152"/>
      <c r="U178" s="131" t="s">
        <v>20</v>
      </c>
      <c r="V178" s="72" t="s">
        <v>182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18:58" x14ac:dyDescent="0.25">
      <c r="R179" s="152"/>
      <c r="S179" s="152"/>
      <c r="T179" s="152"/>
      <c r="U179" s="131" t="s">
        <v>20</v>
      </c>
      <c r="V179" s="72" t="s">
        <v>183</v>
      </c>
      <c r="W179" s="73">
        <v>10.62</v>
      </c>
      <c r="X179" s="73">
        <v>9.24</v>
      </c>
      <c r="Y179" s="73">
        <v>15.29</v>
      </c>
      <c r="Z179" s="73">
        <v>9.17</v>
      </c>
      <c r="AA179" s="73">
        <v>12.23</v>
      </c>
      <c r="AB179" s="73">
        <v>12.06</v>
      </c>
      <c r="AC179" s="73">
        <v>10.96</v>
      </c>
      <c r="AD179" s="73">
        <v>10.58</v>
      </c>
      <c r="AE179" s="73">
        <v>0.91</v>
      </c>
      <c r="AF179" s="73">
        <v>1E-14</v>
      </c>
      <c r="AG179" s="73">
        <v>9.4700000000000006</v>
      </c>
      <c r="AH179" s="73">
        <v>13.41</v>
      </c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18:58" x14ac:dyDescent="0.25">
      <c r="R180" s="152"/>
      <c r="S180" s="152"/>
      <c r="T180" s="152"/>
      <c r="U180" s="131" t="s">
        <v>20</v>
      </c>
      <c r="V180" s="72" t="s">
        <v>184</v>
      </c>
      <c r="W180" s="73">
        <v>10.62</v>
      </c>
      <c r="X180" s="73">
        <v>9.24</v>
      </c>
      <c r="Y180" s="73">
        <v>15.29</v>
      </c>
      <c r="Z180" s="73">
        <v>9.17</v>
      </c>
      <c r="AA180" s="73">
        <v>12.23</v>
      </c>
      <c r="AB180" s="73">
        <v>12.06</v>
      </c>
      <c r="AC180" s="73">
        <v>10.96</v>
      </c>
      <c r="AD180" s="73">
        <v>10.58</v>
      </c>
      <c r="AE180" s="73">
        <v>0.91</v>
      </c>
      <c r="AF180" s="73">
        <v>1E-14</v>
      </c>
      <c r="AG180" s="73">
        <v>9.4700000000000006</v>
      </c>
      <c r="AH180" s="73">
        <v>13.41</v>
      </c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18:58" x14ac:dyDescent="0.25">
      <c r="R181" s="152"/>
      <c r="S181" s="152"/>
      <c r="T181" s="152"/>
      <c r="U181" s="131" t="s">
        <v>20</v>
      </c>
      <c r="V181" s="72" t="s">
        <v>187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>
        <v>685</v>
      </c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18:58" x14ac:dyDescent="0.25">
      <c r="R182" s="152"/>
      <c r="S182" s="152"/>
      <c r="T182" s="152"/>
      <c r="U182" s="131" t="s">
        <v>20</v>
      </c>
      <c r="V182" s="72" t="s">
        <v>212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>
        <v>14</v>
      </c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18:58" x14ac:dyDescent="0.25">
      <c r="R183" s="152"/>
      <c r="S183" s="152"/>
      <c r="T183" s="152"/>
      <c r="U183" s="131" t="s">
        <v>20</v>
      </c>
      <c r="V183" s="72" t="s">
        <v>189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>
        <v>37</v>
      </c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18:58" x14ac:dyDescent="0.25">
      <c r="R184" s="152"/>
      <c r="S184" s="152"/>
      <c r="T184" s="152"/>
      <c r="U184" s="131" t="s">
        <v>17</v>
      </c>
      <c r="V184" s="72" t="s">
        <v>181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>
        <v>1</v>
      </c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18:58" x14ac:dyDescent="0.25">
      <c r="R185" s="152"/>
      <c r="S185" s="152"/>
      <c r="T185" s="152"/>
      <c r="U185" s="131" t="s">
        <v>17</v>
      </c>
      <c r="V185" s="72" t="s">
        <v>182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>
        <v>1</v>
      </c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18:58" x14ac:dyDescent="0.25">
      <c r="R186" s="152"/>
      <c r="S186" s="152"/>
      <c r="T186" s="152"/>
      <c r="U186" s="131" t="s">
        <v>17</v>
      </c>
      <c r="V186" s="72" t="s">
        <v>183</v>
      </c>
      <c r="W186" s="73">
        <v>15.19</v>
      </c>
      <c r="X186" s="73">
        <v>5.42</v>
      </c>
      <c r="Y186" s="73">
        <v>32.67</v>
      </c>
      <c r="Z186" s="73">
        <v>48.46</v>
      </c>
      <c r="AA186" s="73">
        <v>9.11</v>
      </c>
      <c r="AB186" s="73">
        <v>2.0499999999999998</v>
      </c>
      <c r="AC186" s="73">
        <v>23.1</v>
      </c>
      <c r="AD186" s="73">
        <v>25.1</v>
      </c>
      <c r="AE186" s="73">
        <v>24.47</v>
      </c>
      <c r="AF186" s="73">
        <v>15.68</v>
      </c>
      <c r="AG186" s="73">
        <v>4.9800000000000004</v>
      </c>
      <c r="AH186" s="73">
        <v>5.97</v>
      </c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18:58" x14ac:dyDescent="0.25">
      <c r="R187" s="152"/>
      <c r="S187" s="152"/>
      <c r="T187" s="152"/>
      <c r="U187" s="131" t="s">
        <v>17</v>
      </c>
      <c r="V187" s="72" t="s">
        <v>184</v>
      </c>
      <c r="W187" s="73">
        <v>15.19</v>
      </c>
      <c r="X187" s="73">
        <v>5.42</v>
      </c>
      <c r="Y187" s="73">
        <v>32.67</v>
      </c>
      <c r="Z187" s="73">
        <v>48.46</v>
      </c>
      <c r="AA187" s="73">
        <v>9.11</v>
      </c>
      <c r="AB187" s="73">
        <v>2.0499999999999998</v>
      </c>
      <c r="AC187" s="73">
        <v>23.1</v>
      </c>
      <c r="AD187" s="73">
        <v>25.1</v>
      </c>
      <c r="AE187" s="73">
        <v>24.47</v>
      </c>
      <c r="AF187" s="73">
        <v>15.68</v>
      </c>
      <c r="AG187" s="73">
        <v>4.9800000000000004</v>
      </c>
      <c r="AH187" s="73">
        <v>5.97</v>
      </c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18:58" x14ac:dyDescent="0.25">
      <c r="R188" s="152"/>
      <c r="S188" s="152"/>
      <c r="T188" s="152"/>
      <c r="U188" s="131" t="s">
        <v>17</v>
      </c>
      <c r="V188" s="72" t="s">
        <v>187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>
        <v>155</v>
      </c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18:58" x14ac:dyDescent="0.25">
      <c r="U189" s="71" t="s">
        <v>17</v>
      </c>
      <c r="V189" s="72" t="s">
        <v>212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>
        <v>9</v>
      </c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18:58" x14ac:dyDescent="0.25">
      <c r="U190" s="71" t="s">
        <v>17</v>
      </c>
      <c r="V190" s="72" t="s">
        <v>189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>
        <v>1E-14</v>
      </c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18:58" x14ac:dyDescent="0.25">
      <c r="U191" s="71" t="s">
        <v>26</v>
      </c>
      <c r="V191" s="72" t="s">
        <v>181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>
        <v>1</v>
      </c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18:58" x14ac:dyDescent="0.25">
      <c r="U192" s="71" t="s">
        <v>26</v>
      </c>
      <c r="V192" s="72" t="s">
        <v>182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>
        <v>1</v>
      </c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1:58" x14ac:dyDescent="0.25">
      <c r="U193" s="71" t="s">
        <v>26</v>
      </c>
      <c r="V193" s="72" t="s">
        <v>183</v>
      </c>
      <c r="W193" s="73">
        <v>942.4850924657103</v>
      </c>
      <c r="X193" s="73">
        <v>1189.5851596821633</v>
      </c>
      <c r="Y193" s="73">
        <v>1135.7827854019067</v>
      </c>
      <c r="Z193" s="73">
        <v>943.34976304812733</v>
      </c>
      <c r="AA193" s="73">
        <v>486.54663130475575</v>
      </c>
      <c r="AB193" s="73">
        <v>330.43561578128975</v>
      </c>
      <c r="AC193" s="73">
        <v>500.10969047422213</v>
      </c>
      <c r="AD193" s="73">
        <v>550.49720019081178</v>
      </c>
      <c r="AE193" s="73">
        <v>525.50062527952082</v>
      </c>
      <c r="AF193" s="73">
        <v>944.40723180094813</v>
      </c>
      <c r="AG193" s="73">
        <v>1282.034803575179</v>
      </c>
      <c r="AH193" s="73">
        <v>1169.2654009953642</v>
      </c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1:58" x14ac:dyDescent="0.25">
      <c r="U194" s="71" t="s">
        <v>26</v>
      </c>
      <c r="V194" s="72" t="s">
        <v>184</v>
      </c>
      <c r="W194" s="73">
        <v>942.4850924657103</v>
      </c>
      <c r="X194" s="73">
        <v>1189.5851596821633</v>
      </c>
      <c r="Y194" s="73">
        <v>1135.7827854019067</v>
      </c>
      <c r="Z194" s="73">
        <v>943.34976304812733</v>
      </c>
      <c r="AA194" s="73">
        <v>486.54663130475575</v>
      </c>
      <c r="AB194" s="73">
        <v>330.43561578128975</v>
      </c>
      <c r="AC194" s="73">
        <v>500.10969047422213</v>
      </c>
      <c r="AD194" s="73">
        <v>550.49720019081178</v>
      </c>
      <c r="AE194" s="73">
        <v>525.50062527952082</v>
      </c>
      <c r="AF194" s="73">
        <v>944.40723180094813</v>
      </c>
      <c r="AG194" s="73">
        <v>1282.034803575179</v>
      </c>
      <c r="AH194" s="73">
        <v>1169.2654009953642</v>
      </c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1:58" x14ac:dyDescent="0.25">
      <c r="U195" s="6" t="s">
        <v>26</v>
      </c>
      <c r="V195" s="6" t="s">
        <v>187</v>
      </c>
      <c r="W195">
        <v>-91</v>
      </c>
      <c r="X195">
        <v>-91</v>
      </c>
      <c r="Y195">
        <v>-91</v>
      </c>
      <c r="Z195">
        <v>-91</v>
      </c>
      <c r="AA195">
        <v>-91</v>
      </c>
      <c r="AB195">
        <v>-91</v>
      </c>
      <c r="AC195">
        <v>-91</v>
      </c>
      <c r="AD195">
        <v>-91</v>
      </c>
      <c r="AE195">
        <v>-91</v>
      </c>
      <c r="AF195">
        <v>-91</v>
      </c>
      <c r="AG195">
        <v>-91</v>
      </c>
      <c r="AH195">
        <v>-91</v>
      </c>
    </row>
    <row r="196" spans="21:58" x14ac:dyDescent="0.25">
      <c r="U196" s="6" t="s">
        <v>26</v>
      </c>
      <c r="V196" s="6" t="s">
        <v>212</v>
      </c>
      <c r="W196">
        <v>14</v>
      </c>
      <c r="X196">
        <v>14</v>
      </c>
      <c r="Y196">
        <v>14</v>
      </c>
      <c r="Z196">
        <v>14</v>
      </c>
      <c r="AA196">
        <v>14</v>
      </c>
      <c r="AB196">
        <v>14</v>
      </c>
      <c r="AC196">
        <v>14</v>
      </c>
      <c r="AD196">
        <v>14</v>
      </c>
      <c r="AE196">
        <v>14</v>
      </c>
      <c r="AF196">
        <v>14</v>
      </c>
      <c r="AG196">
        <v>14</v>
      </c>
      <c r="AH196">
        <v>14</v>
      </c>
    </row>
    <row r="197" spans="21:58" x14ac:dyDescent="0.25">
      <c r="U197" s="6" t="s">
        <v>26</v>
      </c>
      <c r="V197" s="6" t="s">
        <v>189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  <c r="AH197">
        <v>1E-14</v>
      </c>
    </row>
    <row r="198" spans="21:58" x14ac:dyDescent="0.25">
      <c r="U198" s="6" t="s">
        <v>27</v>
      </c>
      <c r="V198" s="6" t="s">
        <v>181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</row>
    <row r="199" spans="21:58" x14ac:dyDescent="0.25">
      <c r="U199" s="6" t="s">
        <v>27</v>
      </c>
      <c r="V199" s="6" t="s">
        <v>182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</row>
    <row r="200" spans="21:58" x14ac:dyDescent="0.25">
      <c r="U200" s="6" t="s">
        <v>27</v>
      </c>
      <c r="V200" s="6" t="s">
        <v>183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  <c r="AH200">
        <v>1E-14</v>
      </c>
    </row>
    <row r="201" spans="21:58" x14ac:dyDescent="0.25">
      <c r="U201" s="6" t="s">
        <v>27</v>
      </c>
      <c r="V201" s="6" t="s">
        <v>184</v>
      </c>
      <c r="W201">
        <v>1E-14</v>
      </c>
      <c r="X201">
        <v>1E-14</v>
      </c>
      <c r="Y201">
        <v>1E-14</v>
      </c>
      <c r="Z201">
        <v>1E-14</v>
      </c>
      <c r="AA201">
        <v>1E-14</v>
      </c>
      <c r="AB201">
        <v>1E-14</v>
      </c>
      <c r="AC201">
        <v>1E-14</v>
      </c>
      <c r="AD201">
        <v>1E-14</v>
      </c>
      <c r="AE201">
        <v>1E-14</v>
      </c>
      <c r="AF201">
        <v>1E-14</v>
      </c>
      <c r="AG201">
        <v>1E-14</v>
      </c>
      <c r="AH201">
        <v>1E-14</v>
      </c>
    </row>
    <row r="202" spans="21:58" x14ac:dyDescent="0.25">
      <c r="U202" s="6" t="s">
        <v>27</v>
      </c>
      <c r="V202" s="6" t="s">
        <v>187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  <c r="AH202">
        <v>450</v>
      </c>
    </row>
    <row r="203" spans="21:58" x14ac:dyDescent="0.25">
      <c r="U203" s="6" t="s">
        <v>27</v>
      </c>
      <c r="V203" s="6" t="s">
        <v>212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  <c r="AH203">
        <v>10.5</v>
      </c>
    </row>
    <row r="204" spans="21:58" x14ac:dyDescent="0.25">
      <c r="U204" s="6" t="s">
        <v>27</v>
      </c>
      <c r="V204" s="6" t="s">
        <v>189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  <c r="AH204">
        <v>37</v>
      </c>
    </row>
    <row r="205" spans="21:58" x14ac:dyDescent="0.25">
      <c r="U205" s="6" t="s">
        <v>59</v>
      </c>
      <c r="V205" s="6" t="s">
        <v>181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  <c r="AH205">
        <v>1E-14</v>
      </c>
    </row>
    <row r="206" spans="21:58" x14ac:dyDescent="0.25">
      <c r="U206" s="6" t="s">
        <v>59</v>
      </c>
      <c r="V206" s="6" t="s">
        <v>182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</row>
    <row r="207" spans="21:58" x14ac:dyDescent="0.25">
      <c r="U207" s="6" t="s">
        <v>59</v>
      </c>
      <c r="V207" s="6" t="s">
        <v>183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  <c r="AH207">
        <v>1E-14</v>
      </c>
    </row>
    <row r="208" spans="21:58" x14ac:dyDescent="0.25">
      <c r="U208" s="6" t="s">
        <v>59</v>
      </c>
      <c r="V208" s="6" t="s">
        <v>184</v>
      </c>
      <c r="W208">
        <v>1E-14</v>
      </c>
      <c r="X208">
        <v>1E-14</v>
      </c>
      <c r="Y208">
        <v>1E-14</v>
      </c>
      <c r="Z208">
        <v>1E-14</v>
      </c>
      <c r="AA208">
        <v>1E-14</v>
      </c>
      <c r="AB208">
        <v>1E-14</v>
      </c>
      <c r="AC208">
        <v>1E-14</v>
      </c>
      <c r="AD208">
        <v>1E-14</v>
      </c>
      <c r="AE208">
        <v>1E-14</v>
      </c>
      <c r="AF208">
        <v>1E-14</v>
      </c>
      <c r="AG208">
        <v>1E-14</v>
      </c>
      <c r="AH208">
        <v>1E-14</v>
      </c>
    </row>
    <row r="209" spans="21:34" x14ac:dyDescent="0.25">
      <c r="U209" s="6" t="s">
        <v>59</v>
      </c>
      <c r="V209" s="6" t="s">
        <v>187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  <c r="AH209">
        <v>500</v>
      </c>
    </row>
    <row r="210" spans="21:34" x14ac:dyDescent="0.25">
      <c r="U210" s="6" t="s">
        <v>59</v>
      </c>
      <c r="V210" s="6" t="s">
        <v>212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  <c r="AH210">
        <v>9.5</v>
      </c>
    </row>
    <row r="211" spans="21:34" x14ac:dyDescent="0.25">
      <c r="U211" s="6" t="s">
        <v>59</v>
      </c>
      <c r="V211" s="6" t="s">
        <v>189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  <c r="AH211">
        <v>37</v>
      </c>
    </row>
    <row r="212" spans="21:34" x14ac:dyDescent="0.25">
      <c r="U212" s="6" t="s">
        <v>60</v>
      </c>
      <c r="V212" s="6" t="s">
        <v>181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  <c r="AH212">
        <v>1E-14</v>
      </c>
    </row>
    <row r="213" spans="21:34" x14ac:dyDescent="0.25">
      <c r="U213" s="6" t="s">
        <v>60</v>
      </c>
      <c r="V213" s="6" t="s">
        <v>182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  <c r="AH213">
        <v>1</v>
      </c>
    </row>
    <row r="214" spans="21:34" x14ac:dyDescent="0.25">
      <c r="U214" s="6" t="s">
        <v>60</v>
      </c>
      <c r="V214" s="6" t="s">
        <v>183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  <c r="AH214">
        <v>1E-14</v>
      </c>
    </row>
    <row r="215" spans="21:34" x14ac:dyDescent="0.25">
      <c r="U215" s="6" t="s">
        <v>60</v>
      </c>
      <c r="V215" s="6" t="s">
        <v>184</v>
      </c>
      <c r="W215">
        <v>1E-14</v>
      </c>
      <c r="X215">
        <v>1E-14</v>
      </c>
      <c r="Y215">
        <v>1E-14</v>
      </c>
      <c r="Z215">
        <v>1E-14</v>
      </c>
      <c r="AA215">
        <v>1E-14</v>
      </c>
      <c r="AB215">
        <v>1E-14</v>
      </c>
      <c r="AC215">
        <v>1E-14</v>
      </c>
      <c r="AD215">
        <v>1E-14</v>
      </c>
      <c r="AE215">
        <v>1E-14</v>
      </c>
      <c r="AF215">
        <v>1E-14</v>
      </c>
      <c r="AG215">
        <v>1E-14</v>
      </c>
      <c r="AH215">
        <v>1E-14</v>
      </c>
    </row>
    <row r="216" spans="21:34" x14ac:dyDescent="0.25">
      <c r="U216" s="6" t="s">
        <v>60</v>
      </c>
      <c r="V216" s="6" t="s">
        <v>187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  <c r="AH216">
        <v>550</v>
      </c>
    </row>
    <row r="217" spans="21:34" x14ac:dyDescent="0.25">
      <c r="U217" s="6" t="s">
        <v>60</v>
      </c>
      <c r="V217" s="6" t="s">
        <v>212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  <c r="AH217">
        <v>8.5</v>
      </c>
    </row>
    <row r="218" spans="21:34" x14ac:dyDescent="0.25">
      <c r="U218" s="6" t="s">
        <v>60</v>
      </c>
      <c r="V218" s="6" t="s">
        <v>189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  <c r="AH218">
        <v>37</v>
      </c>
    </row>
    <row r="219" spans="21:34" x14ac:dyDescent="0.25">
      <c r="U219" s="6" t="s">
        <v>61</v>
      </c>
      <c r="V219" s="6" t="s">
        <v>181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  <c r="AH219">
        <v>1E-14</v>
      </c>
    </row>
    <row r="220" spans="21:34" x14ac:dyDescent="0.25">
      <c r="U220" s="6" t="s">
        <v>61</v>
      </c>
      <c r="V220" s="6" t="s">
        <v>182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  <c r="AH220">
        <v>1</v>
      </c>
    </row>
    <row r="221" spans="21:34" x14ac:dyDescent="0.25">
      <c r="U221" s="6" t="s">
        <v>61</v>
      </c>
      <c r="V221" s="6" t="s">
        <v>183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  <c r="AH221">
        <v>1E-14</v>
      </c>
    </row>
    <row r="222" spans="21:34" x14ac:dyDescent="0.25">
      <c r="U222" s="6" t="s">
        <v>61</v>
      </c>
      <c r="V222" s="6" t="s">
        <v>184</v>
      </c>
      <c r="W222">
        <v>1E-14</v>
      </c>
      <c r="X222">
        <v>1E-14</v>
      </c>
      <c r="Y222">
        <v>1E-14</v>
      </c>
      <c r="Z222">
        <v>1E-14</v>
      </c>
      <c r="AA222">
        <v>1E-14</v>
      </c>
      <c r="AB222">
        <v>1E-14</v>
      </c>
      <c r="AC222">
        <v>1E-14</v>
      </c>
      <c r="AD222">
        <v>1E-14</v>
      </c>
      <c r="AE222">
        <v>1E-14</v>
      </c>
      <c r="AF222">
        <v>1E-14</v>
      </c>
      <c r="AG222">
        <v>1E-14</v>
      </c>
      <c r="AH222">
        <v>1E-14</v>
      </c>
    </row>
    <row r="223" spans="21:34" x14ac:dyDescent="0.25">
      <c r="U223" s="6" t="s">
        <v>61</v>
      </c>
      <c r="V223" s="6" t="s">
        <v>187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  <c r="AH223">
        <v>600</v>
      </c>
    </row>
    <row r="224" spans="21:34" x14ac:dyDescent="0.25">
      <c r="U224" s="6" t="s">
        <v>61</v>
      </c>
      <c r="V224" s="6" t="s">
        <v>212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  <c r="AH224">
        <v>7.5</v>
      </c>
    </row>
    <row r="225" spans="21:34" x14ac:dyDescent="0.25">
      <c r="U225" s="6" t="s">
        <v>61</v>
      </c>
      <c r="V225" s="6" t="s">
        <v>189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  <c r="AH225">
        <v>37</v>
      </c>
    </row>
    <row r="226" spans="21:34" x14ac:dyDescent="0.25">
      <c r="U226" s="6" t="s">
        <v>21</v>
      </c>
      <c r="V226" s="6" t="s">
        <v>181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  <c r="AH226">
        <v>1E-14</v>
      </c>
    </row>
    <row r="227" spans="21:34" x14ac:dyDescent="0.25">
      <c r="U227" s="6" t="s">
        <v>21</v>
      </c>
      <c r="V227" s="6" t="s">
        <v>182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  <c r="AH227">
        <v>1E-14</v>
      </c>
    </row>
    <row r="228" spans="21:34" x14ac:dyDescent="0.25">
      <c r="U228" s="6" t="s">
        <v>21</v>
      </c>
      <c r="V228" s="6" t="s">
        <v>183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  <c r="AH228">
        <v>1E-14</v>
      </c>
    </row>
    <row r="229" spans="21:34" x14ac:dyDescent="0.25">
      <c r="U229" s="6" t="s">
        <v>21</v>
      </c>
      <c r="V229" s="6" t="s">
        <v>184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  <c r="AH229">
        <v>1E-14</v>
      </c>
    </row>
    <row r="230" spans="21:34" x14ac:dyDescent="0.25">
      <c r="U230" s="6" t="s">
        <v>21</v>
      </c>
      <c r="V230" s="6" t="s">
        <v>187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  <c r="AH230">
        <v>-470</v>
      </c>
    </row>
    <row r="231" spans="21:34" x14ac:dyDescent="0.25">
      <c r="U231" s="6" t="s">
        <v>21</v>
      </c>
      <c r="V231" s="6" t="s">
        <v>212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  <c r="AH231">
        <v>9.4</v>
      </c>
    </row>
    <row r="232" spans="21:34" x14ac:dyDescent="0.25">
      <c r="U232" s="6" t="s">
        <v>21</v>
      </c>
      <c r="V232" s="6" t="s">
        <v>189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  <c r="AH232">
        <v>1E-14</v>
      </c>
    </row>
    <row r="233" spans="21:34" x14ac:dyDescent="0.25">
      <c r="U233" s="6" t="s">
        <v>22</v>
      </c>
      <c r="V233" s="6" t="s">
        <v>181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  <c r="AH233">
        <v>1E-14</v>
      </c>
    </row>
    <row r="234" spans="21:34" x14ac:dyDescent="0.25">
      <c r="U234" s="6" t="s">
        <v>22</v>
      </c>
      <c r="V234" s="6" t="s">
        <v>182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  <c r="AH234">
        <v>1E-14</v>
      </c>
    </row>
    <row r="235" spans="21:34" x14ac:dyDescent="0.25">
      <c r="U235" s="6" t="s">
        <v>22</v>
      </c>
      <c r="V235" s="6" t="s">
        <v>183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  <c r="AH235">
        <v>1E-14</v>
      </c>
    </row>
    <row r="236" spans="21:34" x14ac:dyDescent="0.25">
      <c r="U236" s="6" t="s">
        <v>22</v>
      </c>
      <c r="V236" s="6" t="s">
        <v>184</v>
      </c>
      <c r="W236">
        <v>20.833333333333332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1E-14</v>
      </c>
      <c r="AH236">
        <v>29.166666666666668</v>
      </c>
    </row>
    <row r="237" spans="21:34" x14ac:dyDescent="0.25">
      <c r="U237" s="6" t="s">
        <v>22</v>
      </c>
      <c r="V237" s="6" t="s">
        <v>187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  <c r="AH237">
        <v>-189</v>
      </c>
    </row>
    <row r="238" spans="21:34" x14ac:dyDescent="0.25">
      <c r="U238" s="6" t="s">
        <v>22</v>
      </c>
      <c r="V238" s="6" t="s">
        <v>212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  <c r="AH238">
        <v>3.6</v>
      </c>
    </row>
    <row r="239" spans="21:34" x14ac:dyDescent="0.25">
      <c r="U239" s="6" t="s">
        <v>22</v>
      </c>
      <c r="V239" s="6" t="s">
        <v>189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  <c r="AH239">
        <v>1E-14</v>
      </c>
    </row>
    <row r="240" spans="21:34" x14ac:dyDescent="0.25">
      <c r="U240" s="6" t="s">
        <v>25</v>
      </c>
      <c r="V240" s="6" t="s">
        <v>181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  <c r="AH240">
        <v>1E-14</v>
      </c>
    </row>
    <row r="241" spans="21:34" x14ac:dyDescent="0.25">
      <c r="U241" s="6" t="s">
        <v>25</v>
      </c>
      <c r="V241" s="6" t="s">
        <v>182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  <c r="AH241">
        <v>1E-14</v>
      </c>
    </row>
    <row r="242" spans="21:34" x14ac:dyDescent="0.25">
      <c r="U242" s="6" t="s">
        <v>25</v>
      </c>
      <c r="V242" s="6" t="s">
        <v>183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  <c r="AH242">
        <v>1E-14</v>
      </c>
    </row>
    <row r="243" spans="21:34" x14ac:dyDescent="0.25">
      <c r="U243" s="6" t="s">
        <v>25</v>
      </c>
      <c r="V243" s="6" t="s">
        <v>184</v>
      </c>
      <c r="W243">
        <v>1E-14</v>
      </c>
      <c r="X243">
        <v>1E-14</v>
      </c>
      <c r="Y243">
        <v>1E-14</v>
      </c>
      <c r="Z243">
        <v>1E-14</v>
      </c>
      <c r="AA243">
        <v>1E-14</v>
      </c>
      <c r="AB243">
        <v>1E-14</v>
      </c>
      <c r="AC243">
        <v>1E-14</v>
      </c>
      <c r="AD243">
        <v>1E-14</v>
      </c>
      <c r="AE243">
        <v>1E-14</v>
      </c>
      <c r="AF243">
        <v>1E-14</v>
      </c>
      <c r="AG243">
        <v>1E-14</v>
      </c>
      <c r="AH243">
        <v>1E-14</v>
      </c>
    </row>
    <row r="244" spans="21:34" x14ac:dyDescent="0.25">
      <c r="U244" s="6" t="s">
        <v>25</v>
      </c>
      <c r="V244" s="6" t="s">
        <v>187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  <c r="AH244">
        <v>-5000</v>
      </c>
    </row>
    <row r="245" spans="21:34" x14ac:dyDescent="0.25">
      <c r="U245" s="6" t="s">
        <v>25</v>
      </c>
      <c r="V245" s="6" t="s">
        <v>212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  <c r="AH245">
        <v>44</v>
      </c>
    </row>
    <row r="246" spans="21:34" x14ac:dyDescent="0.25">
      <c r="U246" s="6" t="s">
        <v>25</v>
      </c>
      <c r="V246" s="6" t="s">
        <v>189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  <c r="AH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27" priority="13" operator="lessThanOrEqual">
      <formula>0</formula>
    </cfRule>
  </conditionalFormatting>
  <conditionalFormatting sqref="W16:BF16">
    <cfRule type="cellIs" dxfId="126" priority="8" operator="greaterThan">
      <formula>0</formula>
    </cfRule>
  </conditionalFormatting>
  <conditionalFormatting sqref="C30:C35">
    <cfRule type="cellIs" dxfId="125" priority="6" operator="greaterThan">
      <formula>0.0000000000001</formula>
    </cfRule>
  </conditionalFormatting>
  <conditionalFormatting sqref="B44:Q75 L44:R72">
    <cfRule type="expression" dxfId="124" priority="5">
      <formula>$C44&gt;0.0000000000001</formula>
    </cfRule>
  </conditionalFormatting>
  <conditionalFormatting sqref="C3:C8">
    <cfRule type="cellIs" dxfId="123" priority="4" operator="greaterThan">
      <formula>0.0000000000001</formula>
    </cfRule>
  </conditionalFormatting>
  <conditionalFormatting sqref="C4:C7">
    <cfRule type="cellIs" dxfId="122" priority="3" operator="greaterThan">
      <formula>0.000000000001</formula>
    </cfRule>
  </conditionalFormatting>
  <conditionalFormatting sqref="R44:S72">
    <cfRule type="expression" dxfId="121" priority="2">
      <formula>$C44&gt;0.0000000000001</formula>
    </cfRule>
  </conditionalFormatting>
  <conditionalFormatting sqref="C44:J75">
    <cfRule type="cellIs" dxfId="120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AB10" sqref="AB10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>
        <f>Overblik!D6</f>
        <v>21'JAN</v>
      </c>
      <c r="E9" s="2" t="str">
        <f>Overblik!E6</f>
        <v>21'FEB</v>
      </c>
      <c r="F9" s="2" t="str">
        <f>Overblik!F6</f>
        <v>21'MAR</v>
      </c>
      <c r="G9" s="2" t="str">
        <f>Overblik!G6</f>
        <v>21'APR</v>
      </c>
      <c r="H9" s="2" t="str">
        <f>Overblik!H6</f>
        <v>21'MAJ</v>
      </c>
      <c r="I9" s="2" t="str">
        <f>Overblik!I6</f>
        <v>21'JUN</v>
      </c>
      <c r="J9" s="2" t="str">
        <f>Overblik!J6</f>
        <v>21'JUL</v>
      </c>
      <c r="K9" s="2" t="str">
        <f>Overblik!K6</f>
        <v>21'AUG</v>
      </c>
      <c r="L9" s="2" t="str">
        <f>Overblik!L6</f>
        <v>21'SEP</v>
      </c>
      <c r="M9" s="2" t="str">
        <f>Overblik!M6</f>
        <v>21'OKT</v>
      </c>
      <c r="N9" s="2" t="str">
        <f>Overblik!N6</f>
        <v>21'NOV</v>
      </c>
      <c r="O9" s="2" t="str">
        <f>Overblik!O6</f>
        <v>21'DEC</v>
      </c>
      <c r="P9" s="2" t="str">
        <f>Overblik!P6</f>
        <v>22'JAN</v>
      </c>
      <c r="Q9" s="2" t="str">
        <f>Overblik!Q6</f>
        <v>22'FEB</v>
      </c>
      <c r="R9" s="2" t="str">
        <f>Overblik!R6</f>
        <v>22'MAR</v>
      </c>
      <c r="S9" s="2" t="str">
        <f>Overblik!S6</f>
        <v>22'APR</v>
      </c>
      <c r="T9" s="2" t="str">
        <f>Overblik!T6</f>
        <v>22'MAJ</v>
      </c>
      <c r="U9" s="2" t="str">
        <f>Overblik!U6</f>
        <v>22'JUN</v>
      </c>
      <c r="V9" s="2" t="str">
        <f>Overblik!V6</f>
        <v>22'JUL</v>
      </c>
      <c r="W9" s="2" t="str">
        <f>Overblik!W6</f>
        <v>22'AUG</v>
      </c>
      <c r="X9" s="2" t="str">
        <f>Overblik!X6</f>
        <v>22'SEP</v>
      </c>
      <c r="Y9" s="2" t="str">
        <f>Overblik!Y6</f>
        <v>22'OKT</v>
      </c>
      <c r="Z9" s="2" t="str">
        <f>Overblik!Z6</f>
        <v>22'NOV</v>
      </c>
      <c r="AA9" s="2" t="str">
        <f>Overblik!AA6</f>
        <v>22'DEC</v>
      </c>
    </row>
    <row r="10" spans="2:28" s="207" customFormat="1" x14ac:dyDescent="0.25">
      <c r="B10" s="208"/>
      <c r="C10" s="209"/>
      <c r="D10" s="209" t="s">
        <v>229</v>
      </c>
      <c r="E10" s="209" t="s">
        <v>236</v>
      </c>
      <c r="F10" s="209" t="s">
        <v>237</v>
      </c>
      <c r="G10" s="209" t="s">
        <v>238</v>
      </c>
      <c r="H10" s="209" t="s">
        <v>239</v>
      </c>
      <c r="I10" s="209" t="s">
        <v>240</v>
      </c>
      <c r="J10" s="209" t="s">
        <v>241</v>
      </c>
      <c r="K10" s="209" t="s">
        <v>242</v>
      </c>
      <c r="L10" s="209" t="s">
        <v>243</v>
      </c>
      <c r="M10" s="209" t="s">
        <v>244</v>
      </c>
      <c r="N10" s="209" t="s">
        <v>245</v>
      </c>
      <c r="O10" s="209" t="s">
        <v>246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"/>
    </row>
    <row r="11" spans="2:28" x14ac:dyDescent="0.25">
      <c r="B11" s="6" t="s">
        <v>109</v>
      </c>
      <c r="C11" s="6" t="s">
        <v>98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109</v>
      </c>
      <c r="C12" s="6" t="s">
        <v>114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109</v>
      </c>
      <c r="C13" s="6" t="s">
        <v>115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109</v>
      </c>
      <c r="C14" s="6" t="s">
        <v>164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109</v>
      </c>
      <c r="C15" s="6" t="s">
        <v>165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109</v>
      </c>
      <c r="C16" s="6" t="s">
        <v>166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109</v>
      </c>
      <c r="C17" s="6" t="s">
        <v>167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109</v>
      </c>
      <c r="C18" s="6" t="s">
        <v>191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109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109</v>
      </c>
      <c r="C20" s="6" t="s">
        <v>192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109</v>
      </c>
      <c r="C21" s="6" t="s">
        <v>216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109</v>
      </c>
      <c r="C22" s="6" t="s">
        <v>231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109</v>
      </c>
      <c r="C23" s="6" t="s">
        <v>140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109</v>
      </c>
      <c r="C24" s="6" t="s">
        <v>116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109</v>
      </c>
      <c r="C25" s="6" t="s">
        <v>144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109</v>
      </c>
      <c r="C26" s="6" t="s">
        <v>145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110</v>
      </c>
      <c r="C27" s="6" t="s">
        <v>98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110</v>
      </c>
      <c r="C28" s="6" t="s">
        <v>114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110</v>
      </c>
      <c r="C29" s="6" t="s">
        <v>115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110</v>
      </c>
      <c r="C30" s="6" t="s">
        <v>164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110</v>
      </c>
      <c r="C31" s="6" t="s">
        <v>165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110</v>
      </c>
      <c r="C32" s="6" t="s">
        <v>166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110</v>
      </c>
      <c r="C33" s="6" t="s">
        <v>167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110</v>
      </c>
      <c r="C34" s="6" t="s">
        <v>191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110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110</v>
      </c>
      <c r="C36" s="6" t="s">
        <v>192</v>
      </c>
      <c r="D36">
        <v>7.5</v>
      </c>
      <c r="E36">
        <v>7.5</v>
      </c>
      <c r="F36">
        <v>7.5</v>
      </c>
      <c r="G36">
        <v>7.5</v>
      </c>
      <c r="H36">
        <v>7.5</v>
      </c>
      <c r="I36">
        <v>7.5</v>
      </c>
      <c r="J36">
        <v>7.5</v>
      </c>
      <c r="K36">
        <v>7.5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110</v>
      </c>
      <c r="C37" s="6" t="s">
        <v>216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110</v>
      </c>
      <c r="C38" s="6" t="s">
        <v>231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110</v>
      </c>
      <c r="C39" s="6" t="s">
        <v>140</v>
      </c>
      <c r="D39">
        <v>0.18</v>
      </c>
      <c r="E39">
        <v>0.18</v>
      </c>
      <c r="F39">
        <v>0.18</v>
      </c>
      <c r="G39">
        <v>0.18</v>
      </c>
      <c r="H39">
        <v>0.18</v>
      </c>
      <c r="I39">
        <v>0.18</v>
      </c>
      <c r="J39">
        <v>0.18</v>
      </c>
      <c r="K39">
        <v>0.18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110</v>
      </c>
      <c r="C40" s="6" t="s">
        <v>116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110</v>
      </c>
      <c r="C41" s="6" t="s">
        <v>144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110</v>
      </c>
      <c r="C42" s="6" t="s">
        <v>145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111</v>
      </c>
      <c r="C43" s="6" t="s">
        <v>98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111</v>
      </c>
      <c r="C44" s="6" t="s">
        <v>114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111</v>
      </c>
      <c r="C45" s="6" t="s">
        <v>115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111</v>
      </c>
      <c r="C46" s="6" t="s">
        <v>164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111</v>
      </c>
      <c r="C47" s="6" t="s">
        <v>165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111</v>
      </c>
      <c r="C48" s="6" t="s">
        <v>166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111</v>
      </c>
      <c r="C49" s="6" t="s">
        <v>167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111</v>
      </c>
      <c r="C50" s="6" t="s">
        <v>191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111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111</v>
      </c>
      <c r="C52" s="6" t="s">
        <v>192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111</v>
      </c>
      <c r="C53" s="6" t="s">
        <v>216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111</v>
      </c>
      <c r="C54" s="6" t="s">
        <v>231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111</v>
      </c>
      <c r="C55" s="6" t="s">
        <v>140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111</v>
      </c>
      <c r="C56" s="6" t="s">
        <v>116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111</v>
      </c>
      <c r="C57" s="6" t="s">
        <v>144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111</v>
      </c>
      <c r="C58" s="6" t="s">
        <v>145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70</v>
      </c>
      <c r="C59" s="6" t="s">
        <v>98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70</v>
      </c>
      <c r="C60" s="6" t="s">
        <v>114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70</v>
      </c>
      <c r="C61" s="6" t="s">
        <v>115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70</v>
      </c>
      <c r="C62" s="6" t="s">
        <v>164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70</v>
      </c>
      <c r="C63" s="6" t="s">
        <v>165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70</v>
      </c>
      <c r="C64" s="6" t="s">
        <v>166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70</v>
      </c>
      <c r="C65" s="6" t="s">
        <v>167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70</v>
      </c>
      <c r="C66" s="6" t="s">
        <v>191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70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70</v>
      </c>
      <c r="C68" s="6" t="s">
        <v>192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70</v>
      </c>
      <c r="C69" s="6" t="s">
        <v>216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70</v>
      </c>
      <c r="C70" s="6" t="s">
        <v>231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70</v>
      </c>
      <c r="C71" s="6" t="s">
        <v>140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70</v>
      </c>
      <c r="C72" s="6" t="s">
        <v>116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70</v>
      </c>
      <c r="C73" s="6" t="s">
        <v>144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70</v>
      </c>
      <c r="C74" s="6" t="s">
        <v>145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112</v>
      </c>
      <c r="C75" s="6" t="s">
        <v>98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112</v>
      </c>
      <c r="C76" s="6" t="s">
        <v>114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112</v>
      </c>
      <c r="C77" s="6" t="s">
        <v>115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112</v>
      </c>
      <c r="C78" s="6" t="s">
        <v>164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112</v>
      </c>
      <c r="C79" s="6" t="s">
        <v>165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112</v>
      </c>
      <c r="C80" s="6" t="s">
        <v>166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112</v>
      </c>
      <c r="C81" s="6" t="s">
        <v>167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112</v>
      </c>
      <c r="C82" s="6" t="s">
        <v>191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112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112</v>
      </c>
      <c r="C84" s="6" t="s">
        <v>192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112</v>
      </c>
      <c r="C85" s="6" t="s">
        <v>216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112</v>
      </c>
      <c r="C86" s="6" t="s">
        <v>231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112</v>
      </c>
      <c r="C87" s="6" t="s">
        <v>140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112</v>
      </c>
      <c r="C88" s="6" t="s">
        <v>116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112</v>
      </c>
      <c r="C89" s="6" t="s">
        <v>144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112</v>
      </c>
      <c r="C90" s="6" t="s">
        <v>145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113</v>
      </c>
      <c r="C91" s="6" t="s">
        <v>98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113</v>
      </c>
      <c r="C92" s="6" t="s">
        <v>114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113</v>
      </c>
      <c r="C93" s="6" t="s">
        <v>115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113</v>
      </c>
      <c r="C94" s="6" t="s">
        <v>164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113</v>
      </c>
      <c r="C95" s="6" t="s">
        <v>165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113</v>
      </c>
      <c r="C96" s="6" t="s">
        <v>166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113</v>
      </c>
      <c r="C97" s="6" t="s">
        <v>167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113</v>
      </c>
      <c r="C98" s="6" t="s">
        <v>191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113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113</v>
      </c>
      <c r="C100" s="6" t="s">
        <v>192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113</v>
      </c>
      <c r="C101" s="6" t="s">
        <v>216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113</v>
      </c>
      <c r="C102" s="6" t="s">
        <v>231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113</v>
      </c>
      <c r="C103" s="6" t="s">
        <v>140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113</v>
      </c>
      <c r="C104" s="6" t="s">
        <v>116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113</v>
      </c>
      <c r="C105" s="6" t="s">
        <v>144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113</v>
      </c>
      <c r="C106" s="6" t="s">
        <v>145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8:AB34"/>
  <sheetViews>
    <sheetView zoomScale="85" zoomScaleNormal="85" workbookViewId="0">
      <selection activeCell="AB7" sqref="AB7:AB12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8" spans="2:28" x14ac:dyDescent="0.25">
      <c r="AB8" s="16"/>
    </row>
    <row r="9" spans="2:28" s="2" customFormat="1" x14ac:dyDescent="0.25">
      <c r="D9" s="2" t="str">
        <f>Overblik!D6</f>
        <v>21'JAN</v>
      </c>
      <c r="E9" s="2" t="str">
        <f>Overblik!E6</f>
        <v>21'FEB</v>
      </c>
      <c r="F9" s="2" t="str">
        <f>Overblik!F6</f>
        <v>21'MAR</v>
      </c>
      <c r="G9" s="2" t="str">
        <f>Overblik!G6</f>
        <v>21'APR</v>
      </c>
      <c r="H9" s="2" t="str">
        <f>Overblik!H6</f>
        <v>21'MAJ</v>
      </c>
      <c r="I9" s="2" t="str">
        <f>Overblik!I6</f>
        <v>21'JUN</v>
      </c>
      <c r="J9" s="2" t="str">
        <f>Overblik!J6</f>
        <v>21'JUL</v>
      </c>
      <c r="K9" s="2" t="str">
        <f>Overblik!K6</f>
        <v>21'AUG</v>
      </c>
      <c r="L9" s="2" t="str">
        <f>Overblik!L6</f>
        <v>21'SEP</v>
      </c>
      <c r="M9" s="2" t="str">
        <f>Overblik!M6</f>
        <v>21'OKT</v>
      </c>
      <c r="N9" s="2" t="str">
        <f>Overblik!N6</f>
        <v>21'NOV</v>
      </c>
      <c r="O9" s="2" t="str">
        <f>Overblik!O6</f>
        <v>21'DEC</v>
      </c>
      <c r="P9" s="2" t="str">
        <f>Overblik!P6</f>
        <v>22'JAN</v>
      </c>
      <c r="Q9" s="2" t="str">
        <f>Overblik!Q6</f>
        <v>22'FEB</v>
      </c>
      <c r="R9" s="2" t="str">
        <f>Overblik!R6</f>
        <v>22'MAR</v>
      </c>
      <c r="S9" s="2" t="str">
        <f>Overblik!S6</f>
        <v>22'APR</v>
      </c>
      <c r="T9" s="2" t="str">
        <f>Overblik!T6</f>
        <v>22'MAJ</v>
      </c>
      <c r="U9" s="2" t="str">
        <f>Overblik!U6</f>
        <v>22'JUN</v>
      </c>
      <c r="V9" s="2" t="str">
        <f>Overblik!V6</f>
        <v>22'JUL</v>
      </c>
      <c r="W9" s="2" t="str">
        <f>Overblik!W6</f>
        <v>22'AUG</v>
      </c>
      <c r="X9" s="2" t="str">
        <f>Overblik!X6</f>
        <v>22'SEP</v>
      </c>
      <c r="Y9" s="2" t="str">
        <f>Overblik!Y6</f>
        <v>22'OKT</v>
      </c>
      <c r="Z9" s="2" t="str">
        <f>Overblik!Z6</f>
        <v>22'NOV</v>
      </c>
      <c r="AA9" s="2" t="str">
        <f>Overblik!AA6</f>
        <v>22'DEC</v>
      </c>
      <c r="AB9" s="16"/>
    </row>
    <row r="10" spans="2:28" s="207" customFormat="1" x14ac:dyDescent="0.25">
      <c r="B10" s="208"/>
      <c r="C10" s="209"/>
      <c r="D10" s="209" t="s">
        <v>229</v>
      </c>
      <c r="E10" s="209" t="s">
        <v>236</v>
      </c>
      <c r="F10" s="209" t="s">
        <v>237</v>
      </c>
      <c r="G10" s="209" t="s">
        <v>238</v>
      </c>
      <c r="H10" s="209" t="s">
        <v>239</v>
      </c>
      <c r="I10" s="209" t="s">
        <v>240</v>
      </c>
      <c r="J10" s="209" t="s">
        <v>241</v>
      </c>
      <c r="K10" s="209" t="s">
        <v>242</v>
      </c>
      <c r="L10" s="209" t="s">
        <v>243</v>
      </c>
      <c r="M10" s="209" t="s">
        <v>244</v>
      </c>
      <c r="N10" s="209" t="s">
        <v>245</v>
      </c>
      <c r="O10" s="209" t="s">
        <v>246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16"/>
    </row>
    <row r="11" spans="2:28" x14ac:dyDescent="0.25">
      <c r="B11" s="6" t="s">
        <v>96</v>
      </c>
      <c r="C11" s="6" t="s">
        <v>98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  <c r="AB11" s="16"/>
    </row>
    <row r="12" spans="2:28" x14ac:dyDescent="0.25">
      <c r="B12" s="6" t="s">
        <v>96</v>
      </c>
      <c r="C12" s="6" t="s">
        <v>104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AB12" s="16"/>
    </row>
    <row r="13" spans="2:28" x14ac:dyDescent="0.25">
      <c r="B13" s="6" t="s">
        <v>96</v>
      </c>
      <c r="C13" s="6" t="s">
        <v>203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96</v>
      </c>
      <c r="C14" s="6" t="s">
        <v>137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96</v>
      </c>
      <c r="C15" s="6" t="s">
        <v>99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96</v>
      </c>
      <c r="C16" s="6" t="s">
        <v>100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96</v>
      </c>
      <c r="C17" s="6" t="s">
        <v>138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96</v>
      </c>
      <c r="C18" s="6" t="s">
        <v>101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96</v>
      </c>
      <c r="C19" s="6" t="s">
        <v>102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96</v>
      </c>
      <c r="C20" s="6" t="s">
        <v>118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96</v>
      </c>
      <c r="C21" s="6" t="s">
        <v>103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96</v>
      </c>
      <c r="C22" s="6" t="s">
        <v>119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97</v>
      </c>
      <c r="C23" s="6" t="s">
        <v>98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97</v>
      </c>
      <c r="C24" s="6" t="s">
        <v>104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97</v>
      </c>
      <c r="C25" s="6" t="s">
        <v>203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97</v>
      </c>
      <c r="C26" s="6" t="s">
        <v>137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97</v>
      </c>
      <c r="C27" s="6" t="s">
        <v>99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97</v>
      </c>
      <c r="C28" s="6" t="s">
        <v>100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97</v>
      </c>
      <c r="C29" s="6" t="s">
        <v>138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97</v>
      </c>
      <c r="C30" s="6" t="s">
        <v>101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97</v>
      </c>
      <c r="C31" s="6" t="s">
        <v>102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97</v>
      </c>
      <c r="C32" s="6" t="s">
        <v>118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97</v>
      </c>
      <c r="C33" s="6" t="s">
        <v>103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97</v>
      </c>
      <c r="C34" s="6" t="s">
        <v>119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8:AB474"/>
  <sheetViews>
    <sheetView zoomScale="85" zoomScaleNormal="85" workbookViewId="0">
      <selection activeCell="V30" sqref="V30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8" spans="2:28" x14ac:dyDescent="0.25">
      <c r="AB8" s="16"/>
    </row>
    <row r="9" spans="2:28" s="2" customFormat="1" x14ac:dyDescent="0.25">
      <c r="D9" s="2" t="str">
        <f>Overblik!D6</f>
        <v>21'JAN</v>
      </c>
      <c r="E9" s="2" t="str">
        <f>Overblik!E6</f>
        <v>21'FEB</v>
      </c>
      <c r="F9" s="2" t="str">
        <f>Overblik!F6</f>
        <v>21'MAR</v>
      </c>
      <c r="G9" s="2" t="str">
        <f>Overblik!G6</f>
        <v>21'APR</v>
      </c>
      <c r="H9" s="2" t="str">
        <f>Overblik!H6</f>
        <v>21'MAJ</v>
      </c>
      <c r="I9" s="2" t="str">
        <f>Overblik!I6</f>
        <v>21'JUN</v>
      </c>
      <c r="J9" s="2" t="str">
        <f>Overblik!J6</f>
        <v>21'JUL</v>
      </c>
      <c r="K9" s="2" t="str">
        <f>Overblik!K6</f>
        <v>21'AUG</v>
      </c>
      <c r="L9" s="2" t="str">
        <f>Overblik!L6</f>
        <v>21'SEP</v>
      </c>
      <c r="M9" s="2" t="str">
        <f>Overblik!M6</f>
        <v>21'OKT</v>
      </c>
      <c r="N9" s="2" t="str">
        <f>Overblik!N6</f>
        <v>21'NOV</v>
      </c>
      <c r="O9" s="2" t="str">
        <f>Overblik!O6</f>
        <v>21'DEC</v>
      </c>
      <c r="P9" s="2" t="str">
        <f>Overblik!P6</f>
        <v>22'JAN</v>
      </c>
      <c r="Q9" s="2" t="str">
        <f>Overblik!Q6</f>
        <v>22'FEB</v>
      </c>
      <c r="R9" s="2" t="str">
        <f>Overblik!R6</f>
        <v>22'MAR</v>
      </c>
      <c r="S9" s="2" t="str">
        <f>Overblik!S6</f>
        <v>22'APR</v>
      </c>
      <c r="T9" s="2" t="str">
        <f>Overblik!T6</f>
        <v>22'MAJ</v>
      </c>
      <c r="U9" s="2" t="str">
        <f>Overblik!U6</f>
        <v>22'JUN</v>
      </c>
      <c r="V9" s="2" t="str">
        <f>Overblik!V6</f>
        <v>22'JUL</v>
      </c>
      <c r="W9" s="2" t="str">
        <f>Overblik!W6</f>
        <v>22'AUG</v>
      </c>
      <c r="X9" s="2" t="str">
        <f>Overblik!X6</f>
        <v>22'SEP</v>
      </c>
      <c r="Y9" s="2" t="str">
        <f>Overblik!Y6</f>
        <v>22'OKT</v>
      </c>
      <c r="Z9" s="2" t="str">
        <f>Overblik!Z6</f>
        <v>22'NOV</v>
      </c>
      <c r="AA9" s="2" t="str">
        <f>Overblik!AA6</f>
        <v>22'DEC</v>
      </c>
      <c r="AB9" s="16"/>
    </row>
    <row r="10" spans="2:28" s="207" customFormat="1" x14ac:dyDescent="0.25">
      <c r="B10" s="208"/>
      <c r="C10" s="209"/>
      <c r="D10" s="209" t="s">
        <v>229</v>
      </c>
      <c r="E10" s="209" t="s">
        <v>236</v>
      </c>
      <c r="F10" s="209" t="s">
        <v>237</v>
      </c>
      <c r="G10" s="209" t="s">
        <v>238</v>
      </c>
      <c r="H10" s="209" t="s">
        <v>239</v>
      </c>
      <c r="I10" s="209" t="s">
        <v>240</v>
      </c>
      <c r="J10" s="209" t="s">
        <v>241</v>
      </c>
      <c r="K10" s="209" t="s">
        <v>242</v>
      </c>
      <c r="L10" s="209" t="s">
        <v>243</v>
      </c>
      <c r="M10" s="209" t="s">
        <v>244</v>
      </c>
      <c r="N10" s="209" t="s">
        <v>245</v>
      </c>
      <c r="O10" s="209" t="s">
        <v>246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16"/>
    </row>
    <row r="11" spans="2:28" x14ac:dyDescent="0.25">
      <c r="B11" s="6" t="s">
        <v>0</v>
      </c>
      <c r="C11" s="6" t="s">
        <v>181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AB11" s="16"/>
    </row>
    <row r="12" spans="2:28" x14ac:dyDescent="0.25">
      <c r="B12" s="6" t="s">
        <v>0</v>
      </c>
      <c r="C12" s="6" t="s">
        <v>182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AB12" s="16"/>
    </row>
    <row r="13" spans="2:28" x14ac:dyDescent="0.25">
      <c r="B13" s="6" t="s">
        <v>0</v>
      </c>
      <c r="C13" s="6" t="s">
        <v>183</v>
      </c>
      <c r="D13">
        <v>3908.64</v>
      </c>
      <c r="E13">
        <v>973</v>
      </c>
      <c r="F13">
        <v>1702.59</v>
      </c>
      <c r="G13">
        <v>1267.99</v>
      </c>
      <c r="H13">
        <v>105.72</v>
      </c>
      <c r="I13">
        <v>1E-14</v>
      </c>
      <c r="J13">
        <v>182.36</v>
      </c>
      <c r="K13">
        <v>161.74</v>
      </c>
      <c r="L13">
        <v>1474.88</v>
      </c>
      <c r="M13">
        <v>1389.91</v>
      </c>
      <c r="N13">
        <v>187.49</v>
      </c>
      <c r="O13">
        <v>1560.98</v>
      </c>
    </row>
    <row r="14" spans="2:28" x14ac:dyDescent="0.25">
      <c r="B14" s="6" t="s">
        <v>0</v>
      </c>
      <c r="C14" s="6" t="s">
        <v>184</v>
      </c>
      <c r="D14">
        <v>3908.64</v>
      </c>
      <c r="E14">
        <v>973</v>
      </c>
      <c r="F14">
        <v>1702.59</v>
      </c>
      <c r="G14">
        <v>1267.99</v>
      </c>
      <c r="H14">
        <v>105.72</v>
      </c>
      <c r="I14">
        <v>1E-14</v>
      </c>
      <c r="J14">
        <v>182.36</v>
      </c>
      <c r="K14">
        <v>161.74</v>
      </c>
      <c r="L14">
        <v>1474.88</v>
      </c>
      <c r="M14">
        <v>1389.91</v>
      </c>
      <c r="N14">
        <v>187.49</v>
      </c>
      <c r="O14">
        <v>1560.98</v>
      </c>
    </row>
    <row r="15" spans="2:28" x14ac:dyDescent="0.25">
      <c r="B15" s="6" t="s">
        <v>0</v>
      </c>
      <c r="C15" s="6" t="s">
        <v>187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212</v>
      </c>
      <c r="D16">
        <v>10.5</v>
      </c>
      <c r="E16">
        <v>10.5</v>
      </c>
      <c r="F16">
        <v>10.5</v>
      </c>
      <c r="G16">
        <v>10.5</v>
      </c>
      <c r="H16">
        <v>10.5</v>
      </c>
      <c r="I16">
        <v>10.5</v>
      </c>
      <c r="J16">
        <v>10.5</v>
      </c>
      <c r="K16">
        <v>10.5</v>
      </c>
      <c r="L16">
        <v>10.5</v>
      </c>
      <c r="M16">
        <v>10.5</v>
      </c>
      <c r="N16">
        <v>10.5</v>
      </c>
      <c r="O16">
        <v>10.5</v>
      </c>
    </row>
    <row r="17" spans="2:15" x14ac:dyDescent="0.25">
      <c r="B17" s="6" t="s">
        <v>0</v>
      </c>
      <c r="C17" s="6" t="s">
        <v>189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184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187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212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189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182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183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184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187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212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189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182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183</v>
      </c>
      <c r="D34">
        <v>2356.98</v>
      </c>
      <c r="E34">
        <v>2129.9</v>
      </c>
      <c r="F34">
        <v>2515.21</v>
      </c>
      <c r="G34">
        <v>2421.34</v>
      </c>
      <c r="H34">
        <v>2323.06</v>
      </c>
      <c r="I34">
        <v>2443.7399999999998</v>
      </c>
      <c r="J34">
        <v>2591.08</v>
      </c>
      <c r="K34">
        <v>2530.84</v>
      </c>
      <c r="L34">
        <v>2388.4499999999998</v>
      </c>
      <c r="M34">
        <v>2269.38</v>
      </c>
      <c r="N34">
        <v>2350.34</v>
      </c>
      <c r="O34">
        <v>2446.46</v>
      </c>
    </row>
    <row r="35" spans="2:15" x14ac:dyDescent="0.25">
      <c r="B35" s="6" t="s">
        <v>3</v>
      </c>
      <c r="C35" s="6" t="s">
        <v>184</v>
      </c>
      <c r="D35">
        <v>2356.98</v>
      </c>
      <c r="E35">
        <v>2129.9</v>
      </c>
      <c r="F35">
        <v>2515.21</v>
      </c>
      <c r="G35">
        <v>2421.34</v>
      </c>
      <c r="H35">
        <v>2323.06</v>
      </c>
      <c r="I35">
        <v>2443.7399999999998</v>
      </c>
      <c r="J35">
        <v>2591.08</v>
      </c>
      <c r="K35">
        <v>2530.84</v>
      </c>
      <c r="L35">
        <v>2388.4499999999998</v>
      </c>
      <c r="M35">
        <v>2269.38</v>
      </c>
      <c r="N35">
        <v>2350.34</v>
      </c>
      <c r="O35">
        <v>2446.46</v>
      </c>
    </row>
    <row r="36" spans="2:15" x14ac:dyDescent="0.25">
      <c r="B36" s="6" t="s">
        <v>3</v>
      </c>
      <c r="C36" s="6" t="s">
        <v>187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212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189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182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183</v>
      </c>
      <c r="D41">
        <v>437.56</v>
      </c>
      <c r="E41">
        <v>345</v>
      </c>
      <c r="F41">
        <v>540.71</v>
      </c>
      <c r="G41">
        <v>440.19</v>
      </c>
      <c r="H41">
        <v>404.17</v>
      </c>
      <c r="I41">
        <v>104.08</v>
      </c>
      <c r="J41">
        <v>311.55</v>
      </c>
      <c r="K41">
        <v>308.589</v>
      </c>
      <c r="L41">
        <v>384.76</v>
      </c>
      <c r="M41">
        <v>338.54</v>
      </c>
      <c r="N41">
        <v>295.89</v>
      </c>
      <c r="O41">
        <v>321.37</v>
      </c>
    </row>
    <row r="42" spans="2:15" x14ac:dyDescent="0.25">
      <c r="B42" s="6" t="s">
        <v>4</v>
      </c>
      <c r="C42" s="6" t="s">
        <v>184</v>
      </c>
      <c r="D42">
        <v>437.56</v>
      </c>
      <c r="E42">
        <v>345</v>
      </c>
      <c r="F42">
        <v>540.71</v>
      </c>
      <c r="G42">
        <v>440.19</v>
      </c>
      <c r="H42">
        <v>404.17</v>
      </c>
      <c r="I42">
        <v>104.08</v>
      </c>
      <c r="J42">
        <v>311.55</v>
      </c>
      <c r="K42">
        <v>308.589</v>
      </c>
      <c r="L42">
        <v>384.76</v>
      </c>
      <c r="M42">
        <v>338.54</v>
      </c>
      <c r="N42">
        <v>295.89</v>
      </c>
      <c r="O42">
        <v>321.37</v>
      </c>
    </row>
    <row r="43" spans="2:15" x14ac:dyDescent="0.25">
      <c r="B43" s="6" t="s">
        <v>4</v>
      </c>
      <c r="C43" s="6" t="s">
        <v>187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212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189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182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183</v>
      </c>
      <c r="D48">
        <v>1E-14</v>
      </c>
      <c r="E48">
        <v>1E-14</v>
      </c>
      <c r="F48">
        <v>1E-14</v>
      </c>
      <c r="G48">
        <v>33.35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5</v>
      </c>
      <c r="C49" s="6" t="s">
        <v>184</v>
      </c>
      <c r="D49">
        <v>1E-14</v>
      </c>
      <c r="E49">
        <v>1E-14</v>
      </c>
      <c r="F49">
        <v>1E-14</v>
      </c>
      <c r="G49">
        <v>33.35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5</v>
      </c>
      <c r="C50" s="6" t="s">
        <v>187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212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189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182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183</v>
      </c>
      <c r="D55">
        <v>291.66000000000003</v>
      </c>
      <c r="E55">
        <v>260.87</v>
      </c>
      <c r="F55">
        <v>347.07</v>
      </c>
      <c r="G55">
        <v>332.39</v>
      </c>
      <c r="H55">
        <v>330.62</v>
      </c>
      <c r="I55">
        <v>417.61</v>
      </c>
      <c r="J55">
        <v>481.77</v>
      </c>
      <c r="K55">
        <v>404.79</v>
      </c>
      <c r="L55">
        <v>419.89</v>
      </c>
      <c r="M55">
        <v>377.54</v>
      </c>
      <c r="N55">
        <v>311.19</v>
      </c>
      <c r="O55">
        <v>314.38</v>
      </c>
    </row>
    <row r="56" spans="2:15" x14ac:dyDescent="0.25">
      <c r="B56" s="6" t="s">
        <v>6</v>
      </c>
      <c r="C56" s="6" t="s">
        <v>184</v>
      </c>
      <c r="D56">
        <v>291.66000000000003</v>
      </c>
      <c r="E56">
        <v>260.87</v>
      </c>
      <c r="F56">
        <v>347.07</v>
      </c>
      <c r="G56">
        <v>332.39</v>
      </c>
      <c r="H56">
        <v>330.62</v>
      </c>
      <c r="I56">
        <v>417.61</v>
      </c>
      <c r="J56">
        <v>481.77</v>
      </c>
      <c r="K56">
        <v>404.79</v>
      </c>
      <c r="L56">
        <v>419.89</v>
      </c>
      <c r="M56">
        <v>377.54</v>
      </c>
      <c r="N56">
        <v>311.19</v>
      </c>
      <c r="O56">
        <v>314.38</v>
      </c>
    </row>
    <row r="57" spans="2:15" x14ac:dyDescent="0.25">
      <c r="B57" s="6" t="s">
        <v>6</v>
      </c>
      <c r="C57" s="6" t="s">
        <v>187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212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189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182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183</v>
      </c>
      <c r="D62">
        <v>6.15</v>
      </c>
      <c r="E62">
        <v>4.05</v>
      </c>
      <c r="F62">
        <v>6.72</v>
      </c>
      <c r="G62">
        <v>18.61</v>
      </c>
      <c r="H62">
        <v>9.65</v>
      </c>
      <c r="I62">
        <v>6.24</v>
      </c>
      <c r="J62">
        <v>13.02</v>
      </c>
      <c r="K62">
        <v>3.41</v>
      </c>
      <c r="L62">
        <v>14.3</v>
      </c>
      <c r="M62">
        <v>12.24</v>
      </c>
      <c r="N62">
        <v>4.9400000000000004</v>
      </c>
      <c r="O62">
        <v>7.57</v>
      </c>
    </row>
    <row r="63" spans="2:15" x14ac:dyDescent="0.25">
      <c r="B63" s="6" t="s">
        <v>7</v>
      </c>
      <c r="C63" s="6" t="s">
        <v>184</v>
      </c>
      <c r="D63">
        <v>6.15</v>
      </c>
      <c r="E63">
        <v>4.05</v>
      </c>
      <c r="F63">
        <v>6.72</v>
      </c>
      <c r="G63">
        <v>18.61</v>
      </c>
      <c r="H63">
        <v>9.65</v>
      </c>
      <c r="I63">
        <v>6.24</v>
      </c>
      <c r="J63">
        <v>13.02</v>
      </c>
      <c r="K63">
        <v>3.41</v>
      </c>
      <c r="L63">
        <v>14.3</v>
      </c>
      <c r="M63">
        <v>12.24</v>
      </c>
      <c r="N63">
        <v>4.9400000000000004</v>
      </c>
      <c r="O63">
        <v>7.57</v>
      </c>
    </row>
    <row r="64" spans="2:15" x14ac:dyDescent="0.25">
      <c r="B64" s="6" t="s">
        <v>7</v>
      </c>
      <c r="C64" s="6" t="s">
        <v>187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212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189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182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183</v>
      </c>
      <c r="D69">
        <v>257</v>
      </c>
      <c r="E69">
        <v>257.76</v>
      </c>
      <c r="F69">
        <v>307.94</v>
      </c>
      <c r="G69">
        <v>309.31</v>
      </c>
      <c r="H69">
        <v>337.34</v>
      </c>
      <c r="I69">
        <v>441.4</v>
      </c>
      <c r="J69">
        <v>494.33</v>
      </c>
      <c r="K69">
        <v>298.83999999999997</v>
      </c>
      <c r="L69">
        <v>458.61</v>
      </c>
      <c r="M69">
        <v>310.66000000000003</v>
      </c>
      <c r="N69">
        <v>449.82</v>
      </c>
      <c r="O69">
        <v>343.27</v>
      </c>
    </row>
    <row r="70" spans="2:15" x14ac:dyDescent="0.25">
      <c r="B70" s="6" t="s">
        <v>8</v>
      </c>
      <c r="C70" s="6" t="s">
        <v>184</v>
      </c>
      <c r="D70">
        <v>257</v>
      </c>
      <c r="E70">
        <v>257.76</v>
      </c>
      <c r="F70">
        <v>307.94</v>
      </c>
      <c r="G70">
        <v>309.31</v>
      </c>
      <c r="H70">
        <v>337.34</v>
      </c>
      <c r="I70">
        <v>441.4</v>
      </c>
      <c r="J70">
        <v>494.33</v>
      </c>
      <c r="K70">
        <v>298.83999999999997</v>
      </c>
      <c r="L70">
        <v>458.61</v>
      </c>
      <c r="M70">
        <v>310.66000000000003</v>
      </c>
      <c r="N70">
        <v>449.82</v>
      </c>
      <c r="O70">
        <v>343.27</v>
      </c>
    </row>
    <row r="71" spans="2:15" x14ac:dyDescent="0.25">
      <c r="B71" s="6" t="s">
        <v>8</v>
      </c>
      <c r="C71" s="6" t="s">
        <v>187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212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189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182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183</v>
      </c>
      <c r="D76">
        <v>22.8</v>
      </c>
      <c r="E76">
        <v>23.96</v>
      </c>
      <c r="F76">
        <v>21.49</v>
      </c>
      <c r="G76">
        <v>22.12</v>
      </c>
      <c r="H76">
        <v>24.73</v>
      </c>
      <c r="I76">
        <v>27.84</v>
      </c>
      <c r="J76">
        <v>57.59</v>
      </c>
      <c r="K76">
        <v>49.56</v>
      </c>
      <c r="L76">
        <v>33.479999999999997</v>
      </c>
      <c r="M76">
        <v>43.96</v>
      </c>
      <c r="N76">
        <v>39.01</v>
      </c>
      <c r="O76">
        <v>31.92</v>
      </c>
    </row>
    <row r="77" spans="2:15" x14ac:dyDescent="0.25">
      <c r="B77" s="6" t="s">
        <v>9</v>
      </c>
      <c r="C77" s="6" t="s">
        <v>184</v>
      </c>
      <c r="D77">
        <v>22.8</v>
      </c>
      <c r="E77">
        <v>23.96</v>
      </c>
      <c r="F77">
        <v>21.49</v>
      </c>
      <c r="G77">
        <v>22.12</v>
      </c>
      <c r="H77">
        <v>24.73</v>
      </c>
      <c r="I77">
        <v>27.84</v>
      </c>
      <c r="J77">
        <v>57.59</v>
      </c>
      <c r="K77">
        <v>49.56</v>
      </c>
      <c r="L77">
        <v>33.479999999999997</v>
      </c>
      <c r="M77">
        <v>43.96</v>
      </c>
      <c r="N77">
        <v>39.01</v>
      </c>
      <c r="O77">
        <v>31.92</v>
      </c>
    </row>
    <row r="78" spans="2:15" x14ac:dyDescent="0.25">
      <c r="B78" s="6" t="s">
        <v>9</v>
      </c>
      <c r="C78" s="6" t="s">
        <v>187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212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189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182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183</v>
      </c>
      <c r="D83">
        <v>1016</v>
      </c>
      <c r="E83">
        <v>1240.74</v>
      </c>
      <c r="F83">
        <v>783.2</v>
      </c>
      <c r="G83">
        <v>577.03</v>
      </c>
      <c r="H83">
        <v>314.81</v>
      </c>
      <c r="I83">
        <v>84.14</v>
      </c>
      <c r="J83">
        <v>329.48</v>
      </c>
      <c r="K83">
        <v>582.48</v>
      </c>
      <c r="L83">
        <v>237.45</v>
      </c>
      <c r="M83">
        <v>406.18</v>
      </c>
      <c r="N83">
        <v>337.86</v>
      </c>
      <c r="O83">
        <v>232.3</v>
      </c>
    </row>
    <row r="84" spans="2:15" x14ac:dyDescent="0.25">
      <c r="B84" s="6" t="s">
        <v>10</v>
      </c>
      <c r="C84" s="6" t="s">
        <v>184</v>
      </c>
      <c r="D84">
        <v>1016</v>
      </c>
      <c r="E84">
        <v>1240.74</v>
      </c>
      <c r="F84">
        <v>783.2</v>
      </c>
      <c r="G84">
        <v>577.03</v>
      </c>
      <c r="H84">
        <v>314.81</v>
      </c>
      <c r="I84">
        <v>84.14</v>
      </c>
      <c r="J84">
        <v>329.48</v>
      </c>
      <c r="K84">
        <v>582.48</v>
      </c>
      <c r="L84">
        <v>237.45</v>
      </c>
      <c r="M84">
        <v>406.18</v>
      </c>
      <c r="N84">
        <v>337.86</v>
      </c>
      <c r="O84">
        <v>232.3</v>
      </c>
    </row>
    <row r="85" spans="2:15" x14ac:dyDescent="0.25">
      <c r="B85" s="6" t="s">
        <v>10</v>
      </c>
      <c r="C85" s="6" t="s">
        <v>187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212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189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182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183</v>
      </c>
      <c r="D90">
        <v>13.53</v>
      </c>
      <c r="E90">
        <v>1.68</v>
      </c>
      <c r="F90">
        <v>11.22</v>
      </c>
      <c r="G90">
        <v>9.2799999999999994</v>
      </c>
      <c r="H90">
        <v>11.42</v>
      </c>
      <c r="I90">
        <v>5.75</v>
      </c>
      <c r="J90">
        <v>3.48</v>
      </c>
      <c r="K90">
        <v>14.44</v>
      </c>
      <c r="L90">
        <v>5.71</v>
      </c>
      <c r="M90">
        <v>44.54</v>
      </c>
      <c r="N90">
        <v>11.77</v>
      </c>
      <c r="O90">
        <v>1.37</v>
      </c>
    </row>
    <row r="91" spans="2:15" x14ac:dyDescent="0.25">
      <c r="B91" s="6" t="s">
        <v>11</v>
      </c>
      <c r="C91" s="6" t="s">
        <v>184</v>
      </c>
      <c r="D91">
        <v>13.53</v>
      </c>
      <c r="E91">
        <v>1.68</v>
      </c>
      <c r="F91">
        <v>11.22</v>
      </c>
      <c r="G91">
        <v>9.2799999999999994</v>
      </c>
      <c r="H91">
        <v>11.42</v>
      </c>
      <c r="I91">
        <v>5.75</v>
      </c>
      <c r="J91">
        <v>3.48</v>
      </c>
      <c r="K91">
        <v>14.44</v>
      </c>
      <c r="L91">
        <v>5.71</v>
      </c>
      <c r="M91">
        <v>44.54</v>
      </c>
      <c r="N91">
        <v>11.77</v>
      </c>
      <c r="O91">
        <v>1.37</v>
      </c>
    </row>
    <row r="92" spans="2:15" x14ac:dyDescent="0.25">
      <c r="B92" s="6" t="s">
        <v>11</v>
      </c>
      <c r="C92" s="6" t="s">
        <v>187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212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189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182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183</v>
      </c>
      <c r="D97">
        <v>6.79</v>
      </c>
      <c r="E97">
        <v>2.12</v>
      </c>
      <c r="F97">
        <v>4.6399999999999997</v>
      </c>
      <c r="G97">
        <v>3.35</v>
      </c>
      <c r="H97">
        <v>8.83</v>
      </c>
      <c r="I97">
        <v>8.82</v>
      </c>
      <c r="J97">
        <v>3.03</v>
      </c>
      <c r="K97">
        <v>1.72</v>
      </c>
      <c r="L97">
        <v>4.71</v>
      </c>
      <c r="M97">
        <v>2.21</v>
      </c>
      <c r="N97">
        <v>4.29</v>
      </c>
      <c r="O97">
        <v>7.27</v>
      </c>
    </row>
    <row r="98" spans="2:15" x14ac:dyDescent="0.25">
      <c r="B98" s="6" t="s">
        <v>12</v>
      </c>
      <c r="C98" s="6" t="s">
        <v>184</v>
      </c>
      <c r="D98">
        <v>6.79</v>
      </c>
      <c r="E98">
        <v>2.12</v>
      </c>
      <c r="F98">
        <v>4.6399999999999997</v>
      </c>
      <c r="G98">
        <v>3.35</v>
      </c>
      <c r="H98">
        <v>8.83</v>
      </c>
      <c r="I98">
        <v>8.82</v>
      </c>
      <c r="J98">
        <v>3.03</v>
      </c>
      <c r="K98">
        <v>1.72</v>
      </c>
      <c r="L98">
        <v>4.71</v>
      </c>
      <c r="M98">
        <v>2.21</v>
      </c>
      <c r="N98">
        <v>4.29</v>
      </c>
      <c r="O98">
        <v>7.27</v>
      </c>
    </row>
    <row r="99" spans="2:15" x14ac:dyDescent="0.25">
      <c r="B99" s="6" t="s">
        <v>12</v>
      </c>
      <c r="C99" s="6" t="s">
        <v>187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212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189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182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183</v>
      </c>
      <c r="D104">
        <v>1E-14</v>
      </c>
      <c r="E104">
        <v>4.32</v>
      </c>
      <c r="F104">
        <v>1E-14</v>
      </c>
      <c r="G104">
        <v>1E-14</v>
      </c>
      <c r="H104">
        <v>0.45</v>
      </c>
      <c r="I104">
        <v>1E-14</v>
      </c>
      <c r="J104">
        <v>2.4700000000000002</v>
      </c>
      <c r="K104">
        <v>1E-14</v>
      </c>
      <c r="L104">
        <v>1E-14</v>
      </c>
      <c r="M104">
        <v>1E-14</v>
      </c>
      <c r="N104">
        <v>2.5</v>
      </c>
      <c r="O104">
        <v>3.15</v>
      </c>
    </row>
    <row r="105" spans="2:15" x14ac:dyDescent="0.25">
      <c r="B105" s="6" t="s">
        <v>13</v>
      </c>
      <c r="C105" s="6" t="s">
        <v>184</v>
      </c>
      <c r="D105">
        <v>1E-14</v>
      </c>
      <c r="E105">
        <v>4.32</v>
      </c>
      <c r="F105">
        <v>1E-14</v>
      </c>
      <c r="G105">
        <v>1E-14</v>
      </c>
      <c r="H105">
        <v>0.45</v>
      </c>
      <c r="I105">
        <v>1E-14</v>
      </c>
      <c r="J105">
        <v>2.4700000000000002</v>
      </c>
      <c r="K105">
        <v>1E-14</v>
      </c>
      <c r="L105">
        <v>1E-14</v>
      </c>
      <c r="M105">
        <v>1E-14</v>
      </c>
      <c r="N105">
        <v>2.5</v>
      </c>
      <c r="O105">
        <v>3.15</v>
      </c>
    </row>
    <row r="106" spans="2:15" x14ac:dyDescent="0.25">
      <c r="B106" s="6" t="s">
        <v>13</v>
      </c>
      <c r="C106" s="6" t="s">
        <v>187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212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189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182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183</v>
      </c>
      <c r="D111">
        <v>2283.8949075342898</v>
      </c>
      <c r="E111">
        <v>2882.6848403178365</v>
      </c>
      <c r="F111">
        <v>2752.3072145980932</v>
      </c>
      <c r="G111">
        <v>2285.9902369518727</v>
      </c>
      <c r="H111">
        <v>1179.0333686952442</v>
      </c>
      <c r="I111">
        <v>800.73438421871037</v>
      </c>
      <c r="J111">
        <v>1211.9003095257779</v>
      </c>
      <c r="K111">
        <v>1334.0027998091882</v>
      </c>
      <c r="L111">
        <v>1273.4293747204792</v>
      </c>
      <c r="M111">
        <v>2288.552768199052</v>
      </c>
      <c r="N111">
        <v>3106.715196424821</v>
      </c>
      <c r="O111">
        <v>2833.4445990046361</v>
      </c>
    </row>
    <row r="112" spans="2:15" x14ac:dyDescent="0.25">
      <c r="B112" s="6" t="s">
        <v>14</v>
      </c>
      <c r="C112" s="6" t="s">
        <v>184</v>
      </c>
      <c r="D112">
        <v>2283.8949075342898</v>
      </c>
      <c r="E112">
        <v>2882.6848403178365</v>
      </c>
      <c r="F112">
        <v>2752.3072145980932</v>
      </c>
      <c r="G112">
        <v>2285.9902369518727</v>
      </c>
      <c r="H112">
        <v>1179.0333686952442</v>
      </c>
      <c r="I112">
        <v>800.73438421871037</v>
      </c>
      <c r="J112">
        <v>1211.9003095257779</v>
      </c>
      <c r="K112">
        <v>1334.0027998091882</v>
      </c>
      <c r="L112">
        <v>1273.4293747204792</v>
      </c>
      <c r="M112">
        <v>2288.552768199052</v>
      </c>
      <c r="N112">
        <v>3106.715196424821</v>
      </c>
      <c r="O112">
        <v>2833.4445990046361</v>
      </c>
    </row>
    <row r="113" spans="2:15" x14ac:dyDescent="0.25">
      <c r="B113" s="6" t="s">
        <v>14</v>
      </c>
      <c r="C113" s="6" t="s">
        <v>187</v>
      </c>
      <c r="D113">
        <v>350</v>
      </c>
      <c r="E113">
        <v>350</v>
      </c>
      <c r="F113">
        <v>350</v>
      </c>
      <c r="G113">
        <v>350</v>
      </c>
      <c r="H113">
        <v>350</v>
      </c>
      <c r="I113">
        <v>350</v>
      </c>
      <c r="J113">
        <v>350</v>
      </c>
      <c r="K113">
        <v>350</v>
      </c>
      <c r="L113">
        <v>350</v>
      </c>
      <c r="M113">
        <v>350</v>
      </c>
      <c r="N113">
        <v>350</v>
      </c>
      <c r="O113">
        <v>350</v>
      </c>
    </row>
    <row r="114" spans="2:15" x14ac:dyDescent="0.25">
      <c r="B114" s="6" t="s">
        <v>14</v>
      </c>
      <c r="C114" s="6" t="s">
        <v>212</v>
      </c>
      <c r="D114">
        <v>10.5</v>
      </c>
      <c r="E114">
        <v>10.5</v>
      </c>
      <c r="F114">
        <v>10.5</v>
      </c>
      <c r="G114">
        <v>10.5</v>
      </c>
      <c r="H114">
        <v>10.5</v>
      </c>
      <c r="I114">
        <v>10.5</v>
      </c>
      <c r="J114">
        <v>10.5</v>
      </c>
      <c r="K114">
        <v>10.5</v>
      </c>
      <c r="L114">
        <v>10.5</v>
      </c>
      <c r="M114">
        <v>10.5</v>
      </c>
      <c r="N114">
        <v>10.5</v>
      </c>
      <c r="O114">
        <v>10.5</v>
      </c>
    </row>
    <row r="115" spans="2:15" x14ac:dyDescent="0.25">
      <c r="B115" s="6" t="s">
        <v>14</v>
      </c>
      <c r="C115" s="6" t="s">
        <v>189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182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183</v>
      </c>
      <c r="D118">
        <v>1E-14</v>
      </c>
      <c r="E118">
        <v>1E-14</v>
      </c>
      <c r="F118">
        <v>1E-14</v>
      </c>
      <c r="G118">
        <v>154.09</v>
      </c>
      <c r="H118">
        <v>1E-14</v>
      </c>
      <c r="I118">
        <v>1E-14</v>
      </c>
      <c r="J118">
        <v>1E-14</v>
      </c>
      <c r="K118">
        <v>1E-14</v>
      </c>
      <c r="L118">
        <v>1E-14</v>
      </c>
      <c r="M118">
        <v>1E-14</v>
      </c>
      <c r="N118">
        <v>1E-14</v>
      </c>
      <c r="O118">
        <v>1E-14</v>
      </c>
    </row>
    <row r="119" spans="2:15" x14ac:dyDescent="0.25">
      <c r="B119" s="6" t="s">
        <v>15</v>
      </c>
      <c r="C119" s="6" t="s">
        <v>184</v>
      </c>
      <c r="D119">
        <v>1E-14</v>
      </c>
      <c r="E119">
        <v>1E-14</v>
      </c>
      <c r="F119">
        <v>1E-14</v>
      </c>
      <c r="G119">
        <v>154.09</v>
      </c>
      <c r="H119">
        <v>1E-14</v>
      </c>
      <c r="I119">
        <v>1E-14</v>
      </c>
      <c r="J119">
        <v>1E-14</v>
      </c>
      <c r="K119">
        <v>1E-14</v>
      </c>
      <c r="L119">
        <v>1E-14</v>
      </c>
      <c r="M119">
        <v>1E-14</v>
      </c>
      <c r="N119">
        <v>1E-14</v>
      </c>
      <c r="O119">
        <v>1E-14</v>
      </c>
    </row>
    <row r="120" spans="2:15" x14ac:dyDescent="0.25">
      <c r="B120" s="6" t="s">
        <v>15</v>
      </c>
      <c r="C120" s="6" t="s">
        <v>187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212</v>
      </c>
      <c r="D121">
        <v>10.5</v>
      </c>
      <c r="E121">
        <v>10.5</v>
      </c>
      <c r="F121">
        <v>10.5</v>
      </c>
      <c r="G121">
        <v>10.5</v>
      </c>
      <c r="H121">
        <v>10.5</v>
      </c>
      <c r="I121">
        <v>10.5</v>
      </c>
      <c r="J121">
        <v>10.5</v>
      </c>
      <c r="K121">
        <v>10.5</v>
      </c>
      <c r="L121">
        <v>10.5</v>
      </c>
      <c r="M121">
        <v>10.5</v>
      </c>
      <c r="N121">
        <v>10.5</v>
      </c>
      <c r="O121">
        <v>10.5</v>
      </c>
    </row>
    <row r="122" spans="2:15" x14ac:dyDescent="0.25">
      <c r="B122" s="6" t="s">
        <v>15</v>
      </c>
      <c r="C122" s="6" t="s">
        <v>189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182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183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184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187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212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189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182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183</v>
      </c>
      <c r="D132">
        <v>57.5</v>
      </c>
      <c r="E132">
        <v>143.63</v>
      </c>
      <c r="F132">
        <v>49.69</v>
      </c>
      <c r="G132">
        <v>116.49</v>
      </c>
      <c r="H132">
        <v>144.72</v>
      </c>
      <c r="I132">
        <v>157.86000000000001</v>
      </c>
      <c r="J132">
        <v>62.1</v>
      </c>
      <c r="K132">
        <v>2.92</v>
      </c>
      <c r="L132">
        <v>54.7</v>
      </c>
      <c r="M132">
        <v>78.22</v>
      </c>
      <c r="N132">
        <v>92.89</v>
      </c>
      <c r="O132">
        <v>83.81</v>
      </c>
    </row>
    <row r="133" spans="2:15" x14ac:dyDescent="0.25">
      <c r="B133" s="6" t="s">
        <v>18</v>
      </c>
      <c r="C133" s="6" t="s">
        <v>184</v>
      </c>
      <c r="D133">
        <v>57.5</v>
      </c>
      <c r="E133">
        <v>143.63</v>
      </c>
      <c r="F133">
        <v>49.69</v>
      </c>
      <c r="G133">
        <v>116.49</v>
      </c>
      <c r="H133">
        <v>144.72</v>
      </c>
      <c r="I133">
        <v>157.86000000000001</v>
      </c>
      <c r="J133">
        <v>62.1</v>
      </c>
      <c r="K133">
        <v>2.92</v>
      </c>
      <c r="L133">
        <v>54.7</v>
      </c>
      <c r="M133">
        <v>78.22</v>
      </c>
      <c r="N133">
        <v>92.89</v>
      </c>
      <c r="O133">
        <v>83.81</v>
      </c>
    </row>
    <row r="134" spans="2:15" x14ac:dyDescent="0.25">
      <c r="B134" s="6" t="s">
        <v>18</v>
      </c>
      <c r="C134" s="6" t="s">
        <v>187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212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189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182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183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184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187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212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189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182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183</v>
      </c>
      <c r="D146">
        <v>10.62</v>
      </c>
      <c r="E146">
        <v>9.24</v>
      </c>
      <c r="F146">
        <v>15.29</v>
      </c>
      <c r="G146">
        <v>9.17</v>
      </c>
      <c r="H146">
        <v>12.23</v>
      </c>
      <c r="I146">
        <v>12.06</v>
      </c>
      <c r="J146">
        <v>10.96</v>
      </c>
      <c r="K146">
        <v>10.58</v>
      </c>
      <c r="L146">
        <v>0.91</v>
      </c>
      <c r="M146">
        <v>1E-14</v>
      </c>
      <c r="N146">
        <v>9.4700000000000006</v>
      </c>
      <c r="O146">
        <v>13.41</v>
      </c>
    </row>
    <row r="147" spans="2:15" x14ac:dyDescent="0.25">
      <c r="B147" s="6" t="s">
        <v>20</v>
      </c>
      <c r="C147" s="6" t="s">
        <v>184</v>
      </c>
      <c r="D147">
        <v>10.62</v>
      </c>
      <c r="E147">
        <v>9.24</v>
      </c>
      <c r="F147">
        <v>15.29</v>
      </c>
      <c r="G147">
        <v>9.17</v>
      </c>
      <c r="H147">
        <v>12.23</v>
      </c>
      <c r="I147">
        <v>12.06</v>
      </c>
      <c r="J147">
        <v>10.96</v>
      </c>
      <c r="K147">
        <v>10.58</v>
      </c>
      <c r="L147">
        <v>0.91</v>
      </c>
      <c r="M147">
        <v>1E-14</v>
      </c>
      <c r="N147">
        <v>9.4700000000000006</v>
      </c>
      <c r="O147">
        <v>13.41</v>
      </c>
    </row>
    <row r="148" spans="2:15" x14ac:dyDescent="0.25">
      <c r="B148" s="6" t="s">
        <v>20</v>
      </c>
      <c r="C148" s="6" t="s">
        <v>187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212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189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182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183</v>
      </c>
      <c r="D153">
        <v>15.19</v>
      </c>
      <c r="E153">
        <v>5.42</v>
      </c>
      <c r="F153">
        <v>32.67</v>
      </c>
      <c r="G153">
        <v>48.46</v>
      </c>
      <c r="H153">
        <v>9.11</v>
      </c>
      <c r="I153">
        <v>2.0499999999999998</v>
      </c>
      <c r="J153">
        <v>23.1</v>
      </c>
      <c r="K153">
        <v>25.1</v>
      </c>
      <c r="L153">
        <v>24.47</v>
      </c>
      <c r="M153">
        <v>15.68</v>
      </c>
      <c r="N153">
        <v>4.9800000000000004</v>
      </c>
      <c r="O153">
        <v>5.97</v>
      </c>
    </row>
    <row r="154" spans="2:15" x14ac:dyDescent="0.25">
      <c r="B154" s="6" t="s">
        <v>17</v>
      </c>
      <c r="C154" s="6" t="s">
        <v>184</v>
      </c>
      <c r="D154">
        <v>15.19</v>
      </c>
      <c r="E154">
        <v>5.42</v>
      </c>
      <c r="F154">
        <v>32.67</v>
      </c>
      <c r="G154">
        <v>48.46</v>
      </c>
      <c r="H154">
        <v>9.11</v>
      </c>
      <c r="I154">
        <v>2.0499999999999998</v>
      </c>
      <c r="J154">
        <v>23.1</v>
      </c>
      <c r="K154">
        <v>25.1</v>
      </c>
      <c r="L154">
        <v>24.47</v>
      </c>
      <c r="M154">
        <v>15.68</v>
      </c>
      <c r="N154">
        <v>4.9800000000000004</v>
      </c>
      <c r="O154">
        <v>5.97</v>
      </c>
    </row>
    <row r="155" spans="2:15" x14ac:dyDescent="0.25">
      <c r="B155" s="6" t="s">
        <v>17</v>
      </c>
      <c r="C155" s="6" t="s">
        <v>187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212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189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182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183</v>
      </c>
      <c r="D160">
        <v>942.4850924657103</v>
      </c>
      <c r="E160">
        <v>1189.5851596821633</v>
      </c>
      <c r="F160">
        <v>1135.7827854019067</v>
      </c>
      <c r="G160">
        <v>943.34976304812733</v>
      </c>
      <c r="H160">
        <v>486.54663130475575</v>
      </c>
      <c r="I160">
        <v>330.43561578128975</v>
      </c>
      <c r="J160">
        <v>500.10969047422213</v>
      </c>
      <c r="K160">
        <v>550.49720019081178</v>
      </c>
      <c r="L160">
        <v>525.50062527952082</v>
      </c>
      <c r="M160">
        <v>944.40723180094813</v>
      </c>
      <c r="N160">
        <v>1282.034803575179</v>
      </c>
      <c r="O160">
        <v>1169.2654009953642</v>
      </c>
    </row>
    <row r="161" spans="2:15" x14ac:dyDescent="0.25">
      <c r="B161" s="6" t="s">
        <v>26</v>
      </c>
      <c r="C161" s="6" t="s">
        <v>184</v>
      </c>
      <c r="D161">
        <v>942.4850924657103</v>
      </c>
      <c r="E161">
        <v>1189.5851596821633</v>
      </c>
      <c r="F161">
        <v>1135.7827854019067</v>
      </c>
      <c r="G161">
        <v>943.34976304812733</v>
      </c>
      <c r="H161">
        <v>486.54663130475575</v>
      </c>
      <c r="I161">
        <v>330.43561578128975</v>
      </c>
      <c r="J161">
        <v>500.10969047422213</v>
      </c>
      <c r="K161">
        <v>550.49720019081178</v>
      </c>
      <c r="L161">
        <v>525.50062527952082</v>
      </c>
      <c r="M161">
        <v>944.40723180094813</v>
      </c>
      <c r="N161">
        <v>1282.034803575179</v>
      </c>
      <c r="O161">
        <v>1169.2654009953642</v>
      </c>
    </row>
    <row r="162" spans="2:15" x14ac:dyDescent="0.25">
      <c r="B162" s="6" t="s">
        <v>26</v>
      </c>
      <c r="C162" s="6" t="s">
        <v>187</v>
      </c>
      <c r="D162">
        <v>-91</v>
      </c>
      <c r="E162">
        <v>-91</v>
      </c>
      <c r="F162">
        <v>-91</v>
      </c>
      <c r="G162">
        <v>-91</v>
      </c>
      <c r="H162">
        <v>-91</v>
      </c>
      <c r="I162">
        <v>-91</v>
      </c>
      <c r="J162">
        <v>-91</v>
      </c>
      <c r="K162">
        <v>-91</v>
      </c>
      <c r="L162">
        <v>-91</v>
      </c>
      <c r="M162">
        <v>-91</v>
      </c>
      <c r="N162">
        <v>-91</v>
      </c>
      <c r="O162">
        <v>-91</v>
      </c>
    </row>
    <row r="163" spans="2:15" x14ac:dyDescent="0.25">
      <c r="B163" s="6" t="s">
        <v>26</v>
      </c>
      <c r="C163" s="6" t="s">
        <v>212</v>
      </c>
      <c r="D163">
        <v>14</v>
      </c>
      <c r="E163">
        <v>14</v>
      </c>
      <c r="F163">
        <v>14</v>
      </c>
      <c r="G163">
        <v>14</v>
      </c>
      <c r="H163">
        <v>14</v>
      </c>
      <c r="I163">
        <v>14</v>
      </c>
      <c r="J163">
        <v>14</v>
      </c>
      <c r="K163">
        <v>14</v>
      </c>
      <c r="L163">
        <v>14</v>
      </c>
      <c r="M163">
        <v>14</v>
      </c>
      <c r="N163">
        <v>14</v>
      </c>
      <c r="O163">
        <v>14</v>
      </c>
    </row>
    <row r="164" spans="2:15" x14ac:dyDescent="0.25">
      <c r="B164" s="6" t="s">
        <v>26</v>
      </c>
      <c r="C164" s="6" t="s">
        <v>189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182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183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184</v>
      </c>
      <c r="D168">
        <v>1E-14</v>
      </c>
      <c r="E168">
        <v>1E-14</v>
      </c>
      <c r="F168">
        <v>1E-14</v>
      </c>
      <c r="G168">
        <v>1E-14</v>
      </c>
      <c r="H168">
        <v>1E-14</v>
      </c>
      <c r="I168">
        <v>1E-14</v>
      </c>
      <c r="J168">
        <v>1E-14</v>
      </c>
      <c r="K168">
        <v>1E-14</v>
      </c>
      <c r="L168">
        <v>1E-14</v>
      </c>
      <c r="M168">
        <v>1E-14</v>
      </c>
      <c r="N168">
        <v>1E-14</v>
      </c>
      <c r="O168">
        <v>1E-14</v>
      </c>
    </row>
    <row r="169" spans="2:15" x14ac:dyDescent="0.25">
      <c r="B169" s="6" t="s">
        <v>27</v>
      </c>
      <c r="C169" s="6" t="s">
        <v>187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212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189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59</v>
      </c>
      <c r="C172" s="6" t="s">
        <v>181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59</v>
      </c>
      <c r="C173" s="6" t="s">
        <v>182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59</v>
      </c>
      <c r="C174" s="6" t="s">
        <v>183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59</v>
      </c>
      <c r="C175" s="6" t="s">
        <v>184</v>
      </c>
      <c r="D175">
        <v>1E-14</v>
      </c>
      <c r="E175">
        <v>1E-14</v>
      </c>
      <c r="F175">
        <v>1E-14</v>
      </c>
      <c r="G175">
        <v>1E-14</v>
      </c>
      <c r="H175">
        <v>1E-14</v>
      </c>
      <c r="I175">
        <v>1E-14</v>
      </c>
      <c r="J175">
        <v>1E-14</v>
      </c>
      <c r="K175">
        <v>1E-14</v>
      </c>
      <c r="L175">
        <v>1E-14</v>
      </c>
      <c r="M175">
        <v>1E-14</v>
      </c>
      <c r="N175">
        <v>1E-14</v>
      </c>
      <c r="O175">
        <v>1E-14</v>
      </c>
    </row>
    <row r="176" spans="2:15" x14ac:dyDescent="0.25">
      <c r="B176" s="6" t="s">
        <v>59</v>
      </c>
      <c r="C176" s="6" t="s">
        <v>187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59</v>
      </c>
      <c r="C177" s="6" t="s">
        <v>212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59</v>
      </c>
      <c r="C178" s="6" t="s">
        <v>189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60</v>
      </c>
      <c r="C179" s="6" t="s">
        <v>181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60</v>
      </c>
      <c r="C180" s="6" t="s">
        <v>182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60</v>
      </c>
      <c r="C181" s="6" t="s">
        <v>183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60</v>
      </c>
      <c r="C182" s="6" t="s">
        <v>184</v>
      </c>
      <c r="D182">
        <v>1E-14</v>
      </c>
      <c r="E182">
        <v>1E-14</v>
      </c>
      <c r="F182">
        <v>1E-14</v>
      </c>
      <c r="G182">
        <v>1E-14</v>
      </c>
      <c r="H182">
        <v>1E-14</v>
      </c>
      <c r="I182">
        <v>1E-14</v>
      </c>
      <c r="J182">
        <v>1E-14</v>
      </c>
      <c r="K182">
        <v>1E-14</v>
      </c>
      <c r="L182">
        <v>1E-14</v>
      </c>
      <c r="M182">
        <v>1E-14</v>
      </c>
      <c r="N182">
        <v>1E-14</v>
      </c>
      <c r="O182">
        <v>1E-14</v>
      </c>
    </row>
    <row r="183" spans="2:15" x14ac:dyDescent="0.25">
      <c r="B183" s="6" t="s">
        <v>60</v>
      </c>
      <c r="C183" s="6" t="s">
        <v>187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60</v>
      </c>
      <c r="C184" s="6" t="s">
        <v>212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60</v>
      </c>
      <c r="C185" s="6" t="s">
        <v>189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61</v>
      </c>
      <c r="C186" s="6" t="s">
        <v>181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61</v>
      </c>
      <c r="C187" s="6" t="s">
        <v>182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61</v>
      </c>
      <c r="C188" s="6" t="s">
        <v>183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61</v>
      </c>
      <c r="C189" s="6" t="s">
        <v>184</v>
      </c>
      <c r="D189">
        <v>1E-14</v>
      </c>
      <c r="E189">
        <v>1E-14</v>
      </c>
      <c r="F189">
        <v>1E-14</v>
      </c>
      <c r="G189">
        <v>1E-14</v>
      </c>
      <c r="H189">
        <v>1E-14</v>
      </c>
      <c r="I189">
        <v>1E-14</v>
      </c>
      <c r="J189">
        <v>1E-14</v>
      </c>
      <c r="K189">
        <v>1E-14</v>
      </c>
      <c r="L189">
        <v>1E-14</v>
      </c>
      <c r="M189">
        <v>1E-14</v>
      </c>
      <c r="N189">
        <v>1E-14</v>
      </c>
      <c r="O189">
        <v>1E-14</v>
      </c>
    </row>
    <row r="190" spans="2:15" x14ac:dyDescent="0.25">
      <c r="B190" s="6" t="s">
        <v>61</v>
      </c>
      <c r="C190" s="6" t="s">
        <v>187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61</v>
      </c>
      <c r="C191" s="6" t="s">
        <v>212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61</v>
      </c>
      <c r="C192" s="6" t="s">
        <v>189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181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182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183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184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187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212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189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181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182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183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184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187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212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189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181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182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183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184</v>
      </c>
      <c r="D210">
        <v>1E-14</v>
      </c>
      <c r="E210">
        <v>1E-14</v>
      </c>
      <c r="F210">
        <v>1E-14</v>
      </c>
      <c r="G210">
        <v>1E-14</v>
      </c>
      <c r="H210">
        <v>1E-14</v>
      </c>
      <c r="I210">
        <v>1E-14</v>
      </c>
      <c r="J210">
        <v>1E-14</v>
      </c>
      <c r="K210">
        <v>1E-14</v>
      </c>
      <c r="L210">
        <v>1E-14</v>
      </c>
      <c r="M210">
        <v>1E-14</v>
      </c>
      <c r="N210">
        <v>1E-14</v>
      </c>
      <c r="O210">
        <v>1E-14</v>
      </c>
    </row>
    <row r="211" spans="2:15" x14ac:dyDescent="0.25">
      <c r="B211" s="6" t="s">
        <v>25</v>
      </c>
      <c r="C211" s="6" t="s">
        <v>187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212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189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22"/>
  <sheetViews>
    <sheetView tabSelected="1" zoomScale="85" zoomScaleNormal="85" workbookViewId="0">
      <pane xSplit="3" ySplit="6" topLeftCell="D25" activePane="bottomRight" state="frozen"/>
      <selection pane="topRight" activeCell="D1" sqref="D1"/>
      <selection pane="bottomLeft" activeCell="A6" sqref="A6"/>
      <selection pane="bottomRight" activeCell="A54" sqref="A54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8" width="9.7109375" customWidth="1" outlineLevel="1"/>
    <col min="9" max="9" width="11.140625" bestFit="1" customWidth="1" outlineLevel="1"/>
    <col min="10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5" customFormat="1" ht="18.75" x14ac:dyDescent="0.3">
      <c r="A1" s="196" t="s">
        <v>211</v>
      </c>
      <c r="B1" s="194" t="s">
        <v>210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</row>
    <row r="2" spans="1:27" x14ac:dyDescent="0.25">
      <c r="A2" s="62" t="s">
        <v>90</v>
      </c>
      <c r="B2" s="175">
        <v>0</v>
      </c>
      <c r="C2" s="206">
        <v>44634.565786261577</v>
      </c>
      <c r="D2" s="174" t="str">
        <f>IF($B$2&gt;0,"Virtuelle ressourcer er blevet brugt","")</f>
        <v/>
      </c>
      <c r="E2" s="9"/>
    </row>
    <row r="3" spans="1:27" x14ac:dyDescent="0.25">
      <c r="A3" s="63" t="s">
        <v>89</v>
      </c>
      <c r="B3" s="61">
        <v>44197</v>
      </c>
      <c r="C3" s="64">
        <v>44531</v>
      </c>
      <c r="E3" s="80"/>
    </row>
    <row r="4" spans="1:27" x14ac:dyDescent="0.25">
      <c r="A4" s="63" t="s">
        <v>201</v>
      </c>
      <c r="B4" s="69">
        <v>49805530.804581948</v>
      </c>
      <c r="C4" s="70" t="s">
        <v>55</v>
      </c>
      <c r="D4" s="80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202</v>
      </c>
      <c r="B5" s="66">
        <v>51619930.804581948</v>
      </c>
      <c r="C5" s="67" t="s">
        <v>55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95</v>
      </c>
      <c r="B7" s="74" t="s">
        <v>66</v>
      </c>
      <c r="C7" s="74" t="s">
        <v>71</v>
      </c>
      <c r="D7" s="78" t="s">
        <v>229</v>
      </c>
      <c r="E7" s="78" t="s">
        <v>236</v>
      </c>
      <c r="F7" s="78" t="s">
        <v>237</v>
      </c>
      <c r="G7" s="78" t="s">
        <v>238</v>
      </c>
      <c r="H7" s="78" t="s">
        <v>239</v>
      </c>
      <c r="I7" s="78" t="s">
        <v>240</v>
      </c>
      <c r="J7" s="78" t="s">
        <v>241</v>
      </c>
      <c r="K7" s="78" t="s">
        <v>242</v>
      </c>
      <c r="L7" s="78" t="s">
        <v>243</v>
      </c>
      <c r="M7" s="78" t="s">
        <v>244</v>
      </c>
      <c r="N7" s="78" t="s">
        <v>245</v>
      </c>
      <c r="O7" s="78" t="s">
        <v>246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205295</v>
      </c>
      <c r="B8" s="50" t="s">
        <v>56</v>
      </c>
      <c r="C8" s="56" t="s">
        <v>28</v>
      </c>
      <c r="D8" s="10">
        <v>28115</v>
      </c>
      <c r="E8" s="10">
        <v>23902</v>
      </c>
      <c r="F8" s="10">
        <v>27355</v>
      </c>
      <c r="G8" s="10">
        <v>22497</v>
      </c>
      <c r="H8" s="10">
        <v>12760</v>
      </c>
      <c r="I8" s="10">
        <v>6100</v>
      </c>
      <c r="J8" s="10">
        <v>6411</v>
      </c>
      <c r="K8" s="10">
        <v>7774</v>
      </c>
      <c r="L8" s="10">
        <v>8886</v>
      </c>
      <c r="M8" s="10">
        <v>15610</v>
      </c>
      <c r="N8" s="10">
        <v>20410</v>
      </c>
      <c r="O8" s="10">
        <v>25475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/>
      <c r="B9" s="50" t="s">
        <v>29</v>
      </c>
      <c r="C9" s="56" t="s">
        <v>226</v>
      </c>
      <c r="D9" s="12">
        <v>-108.8665597620536</v>
      </c>
      <c r="E9" s="12">
        <v>-160.7644833813242</v>
      </c>
      <c r="F9" s="12">
        <v>-167.19192328513435</v>
      </c>
      <c r="G9" s="12">
        <v>-166.69516947131191</v>
      </c>
      <c r="H9" s="12">
        <v>-163.22369380020893</v>
      </c>
      <c r="I9" s="12">
        <v>-313.54752842541251</v>
      </c>
      <c r="J9" s="12">
        <v>-257.83850455601009</v>
      </c>
      <c r="K9" s="12">
        <v>-257.35038682780737</v>
      </c>
      <c r="L9" s="12">
        <v>-621.33488928741485</v>
      </c>
      <c r="M9" s="12">
        <v>-325.74511158368256</v>
      </c>
      <c r="N9" s="12">
        <v>-341.63044416028674</v>
      </c>
      <c r="O9" s="12">
        <v>-367.05473234528375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/>
      <c r="B10" s="50" t="s">
        <v>29</v>
      </c>
      <c r="C10" s="58" t="s">
        <v>225</v>
      </c>
      <c r="D10" s="12">
        <v>-158.27424124860613</v>
      </c>
      <c r="E10" s="12">
        <v>-160.7644833813242</v>
      </c>
      <c r="F10" s="12">
        <v>-167.19192328513435</v>
      </c>
      <c r="G10" s="12">
        <v>-166.69516947131191</v>
      </c>
      <c r="H10" s="12">
        <v>-163.22369380020893</v>
      </c>
      <c r="I10" s="12">
        <v>-313.54752842541251</v>
      </c>
      <c r="J10" s="12">
        <v>-257.83850455601009</v>
      </c>
      <c r="K10" s="12">
        <v>-257.35038682780737</v>
      </c>
      <c r="L10" s="12">
        <v>-621.33488928741485</v>
      </c>
      <c r="M10" s="12">
        <v>-325.74511158368256</v>
      </c>
      <c r="N10" s="12">
        <v>-341.63044416028674</v>
      </c>
      <c r="O10" s="12">
        <v>-523.72927328282287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3"/>
      <c r="B11" s="50" t="s">
        <v>29</v>
      </c>
      <c r="C11" s="58" t="s">
        <v>224</v>
      </c>
      <c r="D11" s="12">
        <v>-158.27424124860613</v>
      </c>
      <c r="E11" s="12">
        <v>-160.7644833813242</v>
      </c>
      <c r="F11" s="12">
        <v>-167.19192328513435</v>
      </c>
      <c r="G11" s="12">
        <v>-166.69516947131191</v>
      </c>
      <c r="H11" s="12">
        <v>-163.22369380020893</v>
      </c>
      <c r="I11" s="12">
        <v>-313.54752842541251</v>
      </c>
      <c r="J11" s="12">
        <v>-257.83850455601009</v>
      </c>
      <c r="K11" s="12">
        <v>-257.35038682780737</v>
      </c>
      <c r="L11" s="12">
        <v>-621.33488928741485</v>
      </c>
      <c r="M11" s="12">
        <v>-325.74511158368256</v>
      </c>
      <c r="N11" s="12">
        <v>-341.63044416028674</v>
      </c>
      <c r="O11" s="12">
        <v>-523.72927328282287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s="16" customFormat="1" outlineLevel="1" x14ac:dyDescent="0.25">
      <c r="A12" s="14">
        <f>SUM(D12:AA12)</f>
        <v>51619930.804581955</v>
      </c>
      <c r="B12" s="49" t="s">
        <v>55</v>
      </c>
      <c r="C12" s="58" t="s">
        <v>79</v>
      </c>
      <c r="D12" s="14">
        <v>3816783.3277101368</v>
      </c>
      <c r="E12" s="14">
        <v>3842592.6817804109</v>
      </c>
      <c r="F12" s="14">
        <v>4573535.0614648499</v>
      </c>
      <c r="G12" s="14">
        <v>3750141.2275961041</v>
      </c>
      <c r="H12" s="14">
        <v>2082734.3328906661</v>
      </c>
      <c r="I12" s="14">
        <v>1912639.9233950162</v>
      </c>
      <c r="J12" s="14">
        <v>1653002.6527085807</v>
      </c>
      <c r="K12" s="14">
        <v>2000641.9071993744</v>
      </c>
      <c r="L12" s="14">
        <v>5521181.8262079684</v>
      </c>
      <c r="M12" s="14">
        <v>5084881.1918212846</v>
      </c>
      <c r="N12" s="14">
        <v>6972677.3653114522</v>
      </c>
      <c r="O12" s="14">
        <v>10409119.306496104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s="16" customFormat="1" outlineLevel="1" x14ac:dyDescent="0.25">
      <c r="A13" s="81">
        <f t="shared" ref="A13:A59" si="1">SUM(D13:AA13)</f>
        <v>137050768.86082533</v>
      </c>
      <c r="B13" s="49" t="s">
        <v>55</v>
      </c>
      <c r="C13" s="68" t="s">
        <v>87</v>
      </c>
      <c r="D13" s="14">
        <v>14117212.988139212</v>
      </c>
      <c r="E13" s="14">
        <v>12584988.665590849</v>
      </c>
      <c r="F13" s="14">
        <v>14260650.230424114</v>
      </c>
      <c r="G13" s="14">
        <v>12150627.173769511</v>
      </c>
      <c r="H13" s="14">
        <v>7375524.8301059809</v>
      </c>
      <c r="I13" s="14">
        <v>6064292.2144082757</v>
      </c>
      <c r="J13" s="14">
        <v>7010405.8123160843</v>
      </c>
      <c r="K13" s="14">
        <v>7371274.6839813488</v>
      </c>
      <c r="L13" s="14">
        <v>11322645.332963748</v>
      </c>
      <c r="M13" s="14">
        <v>12067228.895603124</v>
      </c>
      <c r="N13" s="14">
        <v>14530697.817778749</v>
      </c>
      <c r="O13" s="14">
        <v>18195220.215744335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outlineLevel="1" x14ac:dyDescent="0.25">
      <c r="A14" s="14">
        <f t="shared" si="1"/>
        <v>40686054.645099953</v>
      </c>
      <c r="B14" s="49" t="s">
        <v>55</v>
      </c>
      <c r="C14" s="60" t="s">
        <v>80</v>
      </c>
      <c r="D14" s="14">
        <v>4985704.7374227485</v>
      </c>
      <c r="E14" s="14">
        <v>3768221.7623292366</v>
      </c>
      <c r="F14" s="14">
        <v>4255745.2308503073</v>
      </c>
      <c r="G14" s="14">
        <v>3734917.9678473887</v>
      </c>
      <c r="H14" s="14">
        <v>2452957.1819980643</v>
      </c>
      <c r="I14" s="14">
        <v>2144003.0284774327</v>
      </c>
      <c r="J14" s="14">
        <v>2781404.03973528</v>
      </c>
      <c r="K14" s="14">
        <v>2768007.6729381206</v>
      </c>
      <c r="L14" s="14">
        <v>3295807.6269564983</v>
      </c>
      <c r="M14" s="14">
        <v>3541306.5601726873</v>
      </c>
      <c r="N14" s="14">
        <v>3192847.8115933063</v>
      </c>
      <c r="O14" s="14">
        <v>3765131.024778882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si="1"/>
        <v>965099.98332819925</v>
      </c>
      <c r="B15" s="49" t="s">
        <v>55</v>
      </c>
      <c r="C15" s="60" t="s">
        <v>81</v>
      </c>
      <c r="D15" s="14">
        <v>202414.70447662674</v>
      </c>
      <c r="E15" s="14">
        <v>168942.5617304476</v>
      </c>
      <c r="F15" s="14">
        <v>187134.46756161016</v>
      </c>
      <c r="G15" s="14">
        <v>161471.92362198708</v>
      </c>
      <c r="H15" s="14">
        <v>103116.34775386458</v>
      </c>
      <c r="I15" s="14">
        <v>1E-14</v>
      </c>
      <c r="J15" s="14">
        <v>1E-14</v>
      </c>
      <c r="K15" s="14">
        <v>1E-14</v>
      </c>
      <c r="L15" s="14">
        <v>1E-14</v>
      </c>
      <c r="M15" s="14">
        <v>1E-14</v>
      </c>
      <c r="N15" s="14">
        <v>142019.97818366296</v>
      </c>
      <c r="O15" s="14">
        <v>1E-14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ref="A16" si="2">SUM(D16:AA16)</f>
        <v>25494966.491587929</v>
      </c>
      <c r="B16" s="49" t="s">
        <v>55</v>
      </c>
      <c r="C16" s="60" t="s">
        <v>82</v>
      </c>
      <c r="D16" s="14">
        <v>1429328.5462398368</v>
      </c>
      <c r="E16" s="14">
        <v>1214302.3415311645</v>
      </c>
      <c r="F16" s="14">
        <v>1310365.5320121951</v>
      </c>
      <c r="G16" s="14">
        <v>1257670.2823001347</v>
      </c>
      <c r="H16" s="14">
        <v>851091.3003540514</v>
      </c>
      <c r="I16" s="14">
        <v>238796.91336986763</v>
      </c>
      <c r="J16" s="14">
        <v>18883.054939675523</v>
      </c>
      <c r="K16" s="14">
        <v>69767.066037362572</v>
      </c>
      <c r="L16" s="14">
        <v>3690669.9004059737</v>
      </c>
      <c r="M16" s="14">
        <v>3539970.3354304377</v>
      </c>
      <c r="N16" s="14">
        <v>4848320.0280017806</v>
      </c>
      <c r="O16" s="14">
        <v>7025801.1909654522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14">
        <f t="shared" si="1"/>
        <v>69904647.740809247</v>
      </c>
      <c r="B17" s="49" t="s">
        <v>55</v>
      </c>
      <c r="C17" s="60" t="s">
        <v>204</v>
      </c>
      <c r="D17" s="14">
        <v>7499765</v>
      </c>
      <c r="E17" s="14">
        <v>7433522</v>
      </c>
      <c r="F17" s="14">
        <v>8507405</v>
      </c>
      <c r="G17" s="14">
        <v>6996567</v>
      </c>
      <c r="H17" s="14">
        <v>3968360</v>
      </c>
      <c r="I17" s="14">
        <v>3681492.2725609755</v>
      </c>
      <c r="J17" s="14">
        <v>4210118.7176411282</v>
      </c>
      <c r="K17" s="14">
        <v>4533499.9450058658</v>
      </c>
      <c r="L17" s="14">
        <v>4336167.8056012765</v>
      </c>
      <c r="M17" s="14">
        <v>4985952</v>
      </c>
      <c r="N17" s="14">
        <v>6347510</v>
      </c>
      <c r="O17" s="14">
        <v>7404288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s="16" customFormat="1" outlineLevel="1" x14ac:dyDescent="0.25">
      <c r="A18" s="81">
        <f t="shared" si="1"/>
        <v>85430838.056243375</v>
      </c>
      <c r="B18" s="49" t="s">
        <v>55</v>
      </c>
      <c r="C18" s="68" t="s">
        <v>86</v>
      </c>
      <c r="D18" s="14">
        <v>10300429.660429075</v>
      </c>
      <c r="E18" s="14">
        <v>8742395.9838104378</v>
      </c>
      <c r="F18" s="14">
        <v>9687115.1689592637</v>
      </c>
      <c r="G18" s="14">
        <v>8400485.9461734071</v>
      </c>
      <c r="H18" s="14">
        <v>5292790.4972153148</v>
      </c>
      <c r="I18" s="14">
        <v>4151652.2910132594</v>
      </c>
      <c r="J18" s="14">
        <v>5357403.1596075036</v>
      </c>
      <c r="K18" s="14">
        <v>5370632.7767819744</v>
      </c>
      <c r="L18" s="14">
        <v>5801463.5067557795</v>
      </c>
      <c r="M18" s="14">
        <v>6982347.7037818395</v>
      </c>
      <c r="N18" s="14">
        <v>7558020.4524672972</v>
      </c>
      <c r="O18" s="14">
        <v>7786100.909248231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11164747.921658989</v>
      </c>
      <c r="B19" s="49" t="s">
        <v>55</v>
      </c>
      <c r="C19" s="60" t="s">
        <v>72</v>
      </c>
      <c r="D19" s="14">
        <v>1186719.5852173914</v>
      </c>
      <c r="E19" s="14">
        <v>1139185.2373913045</v>
      </c>
      <c r="F19" s="14">
        <v>1289554.3678260869</v>
      </c>
      <c r="G19" s="14">
        <v>1108183.0634782608</v>
      </c>
      <c r="H19" s="14">
        <v>636043.49826086953</v>
      </c>
      <c r="I19" s="14">
        <v>580855.77390243905</v>
      </c>
      <c r="J19" s="14">
        <v>748131.57324266143</v>
      </c>
      <c r="K19" s="14">
        <v>796890.23447058501</v>
      </c>
      <c r="L19" s="14">
        <v>747699.72526069637</v>
      </c>
      <c r="M19" s="14">
        <v>787580.03</v>
      </c>
      <c r="N19" s="14">
        <v>1055534.8026086956</v>
      </c>
      <c r="O19" s="14">
        <v>1088370.03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outlineLevel="1" x14ac:dyDescent="0.25">
      <c r="A20" s="14">
        <f t="shared" si="1"/>
        <v>910000.90999999968</v>
      </c>
      <c r="B20" s="49" t="s">
        <v>55</v>
      </c>
      <c r="C20" s="60" t="s">
        <v>73</v>
      </c>
      <c r="D20" s="14">
        <v>1E-14</v>
      </c>
      <c r="E20" s="14">
        <v>110643.56810499872</v>
      </c>
      <c r="F20" s="14">
        <v>146107.40937488785</v>
      </c>
      <c r="G20" s="14">
        <v>93470.371003634442</v>
      </c>
      <c r="H20" s="14">
        <v>13649.107113131609</v>
      </c>
      <c r="I20" s="14">
        <v>45904.527325393326</v>
      </c>
      <c r="J20" s="14">
        <v>1E-14</v>
      </c>
      <c r="K20" s="14">
        <v>40163.849494425274</v>
      </c>
      <c r="L20" s="14">
        <v>47820.107682196533</v>
      </c>
      <c r="M20" s="14">
        <v>61047.016106319003</v>
      </c>
      <c r="N20" s="14">
        <v>104780.18365715313</v>
      </c>
      <c r="O20" s="14">
        <v>246414.7701378598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81">
        <f t="shared" ref="A21:A24" si="3">SUM(D21:AA21)</f>
        <v>36844153.972287916</v>
      </c>
      <c r="B21" s="49" t="s">
        <v>55</v>
      </c>
      <c r="C21" s="210" t="s">
        <v>74</v>
      </c>
      <c r="D21" s="14">
        <v>4797879.4649421806</v>
      </c>
      <c r="E21" s="14">
        <v>3995998.8493041843</v>
      </c>
      <c r="F21" s="14">
        <v>4425827.2694927519</v>
      </c>
      <c r="G21" s="14">
        <v>3819783.3933604811</v>
      </c>
      <c r="H21" s="14">
        <v>2444043.2831458137</v>
      </c>
      <c r="I21" s="14">
        <v>1620003.8916644319</v>
      </c>
      <c r="J21" s="14">
        <v>2178630.0637791725</v>
      </c>
      <c r="K21" s="14">
        <v>2124564.7853312339</v>
      </c>
      <c r="L21" s="14">
        <v>2154580.1760243746</v>
      </c>
      <c r="M21" s="14">
        <v>2939982.4223047891</v>
      </c>
      <c r="N21" s="14">
        <v>3355064.0572598898</v>
      </c>
      <c r="O21" s="14">
        <v>2987796.3156786119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15064066.57691614</v>
      </c>
      <c r="B22" s="49" t="s">
        <v>55</v>
      </c>
      <c r="C22" s="211" t="s">
        <v>220</v>
      </c>
      <c r="D22" s="14">
        <v>2236803.1497</v>
      </c>
      <c r="E22" s="14">
        <v>1845653.6368313897</v>
      </c>
      <c r="F22" s="14">
        <v>2041340.3944840317</v>
      </c>
      <c r="G22" s="14">
        <v>1764602.1485262651</v>
      </c>
      <c r="H22" s="14">
        <v>1137300.7699648861</v>
      </c>
      <c r="I22" s="14">
        <v>411288.57813448762</v>
      </c>
      <c r="J22" s="14">
        <v>590894.42844075314</v>
      </c>
      <c r="K22" s="14">
        <v>581588.47890559048</v>
      </c>
      <c r="L22" s="14">
        <v>659164.34489026852</v>
      </c>
      <c r="M22" s="14">
        <v>1240798.7948111498</v>
      </c>
      <c r="N22" s="14">
        <v>1541185.6767861182</v>
      </c>
      <c r="O22" s="14">
        <v>1013446.1754411987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17314549.423957415</v>
      </c>
      <c r="B23" s="49" t="s">
        <v>55</v>
      </c>
      <c r="C23" s="211" t="s">
        <v>221</v>
      </c>
      <c r="D23" s="14">
        <v>2024147.0447662673</v>
      </c>
      <c r="E23" s="14">
        <v>1689425.617304476</v>
      </c>
      <c r="F23" s="14">
        <v>1871344.6756161016</v>
      </c>
      <c r="G23" s="14">
        <v>1614719.2362198706</v>
      </c>
      <c r="H23" s="14">
        <v>1031163.4775386457</v>
      </c>
      <c r="I23" s="14">
        <v>976632.09067310533</v>
      </c>
      <c r="J23" s="14">
        <v>1286795.6816782379</v>
      </c>
      <c r="K23" s="14">
        <v>1247840.6278105273</v>
      </c>
      <c r="L23" s="14">
        <v>1203000.0428971953</v>
      </c>
      <c r="M23" s="14">
        <v>1367152.888949381</v>
      </c>
      <c r="N23" s="14">
        <v>1420199.7818366296</v>
      </c>
      <c r="O23" s="14">
        <v>1582128.2586669782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s="16" customFormat="1" outlineLevel="1" x14ac:dyDescent="0.25">
      <c r="A24" s="14">
        <f t="shared" si="3"/>
        <v>3901992.8954242878</v>
      </c>
      <c r="B24" s="49" t="s">
        <v>55</v>
      </c>
      <c r="C24" s="211" t="s">
        <v>217</v>
      </c>
      <c r="D24" s="14">
        <v>477265.32552827278</v>
      </c>
      <c r="E24" s="14">
        <v>405533.15802468563</v>
      </c>
      <c r="F24" s="14">
        <v>450782.58250395022</v>
      </c>
      <c r="G24" s="14">
        <v>387547.09090000519</v>
      </c>
      <c r="H24" s="14">
        <v>244295.90414924049</v>
      </c>
      <c r="I24" s="14">
        <v>202835.42902045674</v>
      </c>
      <c r="J24" s="14">
        <v>267252.89558628685</v>
      </c>
      <c r="K24" s="14">
        <v>259162.37189857321</v>
      </c>
      <c r="L24" s="14">
        <v>249849.49004133733</v>
      </c>
      <c r="M24" s="14">
        <v>283942.17783227004</v>
      </c>
      <c r="N24" s="14">
        <v>344936.34150002501</v>
      </c>
      <c r="O24" s="14">
        <v>328590.12843918422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14">
        <f t="shared" si="1"/>
        <v>563545.07599007268</v>
      </c>
      <c r="B25" s="49" t="s">
        <v>55</v>
      </c>
      <c r="C25" s="211" t="s">
        <v>218</v>
      </c>
      <c r="D25" s="14">
        <v>59663.944947641779</v>
      </c>
      <c r="E25" s="14">
        <v>55386.437143633237</v>
      </c>
      <c r="F25" s="14">
        <v>62359.616888667944</v>
      </c>
      <c r="G25" s="14">
        <v>52914.917714340336</v>
      </c>
      <c r="H25" s="14">
        <v>31283.131493041474</v>
      </c>
      <c r="I25" s="14">
        <v>29247.793836382159</v>
      </c>
      <c r="J25" s="14">
        <v>33687.05807389479</v>
      </c>
      <c r="K25" s="14">
        <v>35973.306716542713</v>
      </c>
      <c r="L25" s="14">
        <v>42566.298195573421</v>
      </c>
      <c r="M25" s="14">
        <v>48088.560711988051</v>
      </c>
      <c r="N25" s="14">
        <v>48742.25713711643</v>
      </c>
      <c r="O25" s="14">
        <v>63631.753131250269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si="1"/>
        <v>36511935.252296485</v>
      </c>
      <c r="B26" s="49" t="s">
        <v>55</v>
      </c>
      <c r="C26" s="60" t="s">
        <v>83</v>
      </c>
      <c r="D26" s="14">
        <v>4315830.6102695046</v>
      </c>
      <c r="E26" s="14">
        <v>3496568.3290099502</v>
      </c>
      <c r="F26" s="14">
        <v>3825626.1222655368</v>
      </c>
      <c r="G26" s="14">
        <v>3379049.1183310314</v>
      </c>
      <c r="H26" s="14">
        <v>2199054.6086955001</v>
      </c>
      <c r="I26" s="14">
        <v>1904888.0981209956</v>
      </c>
      <c r="J26" s="14">
        <v>2430641.5225856695</v>
      </c>
      <c r="K26" s="14">
        <v>2409013.90748573</v>
      </c>
      <c r="L26" s="14">
        <v>2851363.4977885121</v>
      </c>
      <c r="M26" s="14">
        <v>3193738.235370731</v>
      </c>
      <c r="N26" s="14">
        <v>3042641.4089415586</v>
      </c>
      <c r="O26" s="14">
        <v>3463519.7934317584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14">
        <f t="shared" ref="A27:A28" si="4">SUM(D27:AA27)</f>
        <v>1.1999999999999997E-13</v>
      </c>
      <c r="B27" s="49" t="s">
        <v>55</v>
      </c>
      <c r="C27" s="60" t="s">
        <v>120</v>
      </c>
      <c r="D27" s="14">
        <v>1E-14</v>
      </c>
      <c r="E27" s="14">
        <v>1E-14</v>
      </c>
      <c r="F27" s="14">
        <v>1E-14</v>
      </c>
      <c r="G27" s="14">
        <v>1E-14</v>
      </c>
      <c r="H27" s="14">
        <v>1E-14</v>
      </c>
      <c r="I27" s="14">
        <v>1E-14</v>
      </c>
      <c r="J27" s="14">
        <v>1E-14</v>
      </c>
      <c r="K27" s="14">
        <v>1E-14</v>
      </c>
      <c r="L27" s="14">
        <v>1E-14</v>
      </c>
      <c r="M27" s="14">
        <v>1E-14</v>
      </c>
      <c r="N27" s="14">
        <v>1E-14</v>
      </c>
      <c r="O27" s="14">
        <v>1E-14</v>
      </c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s="16" customFormat="1" outlineLevel="1" x14ac:dyDescent="0.25">
      <c r="A28" s="7">
        <f t="shared" si="4"/>
        <v>32525.73077980521</v>
      </c>
      <c r="B28" s="50" t="s">
        <v>219</v>
      </c>
      <c r="C28" s="58" t="s">
        <v>134</v>
      </c>
      <c r="D28" s="7">
        <v>3821.9927600392516</v>
      </c>
      <c r="E28" s="7">
        <v>3101.5523662283449</v>
      </c>
      <c r="F28" s="7">
        <v>3406.8919860431402</v>
      </c>
      <c r="G28" s="7">
        <v>3023.8368466501261</v>
      </c>
      <c r="H28" s="7">
        <v>1957.4375359065839</v>
      </c>
      <c r="I28" s="7">
        <v>1703.161170165039</v>
      </c>
      <c r="J28" s="7">
        <v>2155.9460990736093</v>
      </c>
      <c r="K28" s="7">
        <v>2109.182294769656</v>
      </c>
      <c r="L28" s="7">
        <v>2550.6851810188382</v>
      </c>
      <c r="M28" s="7">
        <v>2861.309469934241</v>
      </c>
      <c r="N28" s="7">
        <v>2723.8840981051185</v>
      </c>
      <c r="O28" s="7">
        <v>3109.8509718712653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7">
        <f t="shared" si="1"/>
        <v>38946.064269116243</v>
      </c>
      <c r="B29" s="50" t="s">
        <v>219</v>
      </c>
      <c r="C29" s="58" t="s">
        <v>135</v>
      </c>
      <c r="D29" s="7">
        <v>4603.5526509541378</v>
      </c>
      <c r="E29" s="7">
        <v>3729.67288427728</v>
      </c>
      <c r="F29" s="7">
        <v>4080.6678637499062</v>
      </c>
      <c r="G29" s="7">
        <v>3604.3190595531</v>
      </c>
      <c r="H29" s="7">
        <v>2345.6582492752004</v>
      </c>
      <c r="I29" s="7">
        <v>2031.8806379957289</v>
      </c>
      <c r="J29" s="7">
        <v>2592.6842907580476</v>
      </c>
      <c r="K29" s="7">
        <v>2569.6148346514451</v>
      </c>
      <c r="L29" s="7">
        <v>3041.4543976410787</v>
      </c>
      <c r="M29" s="7">
        <v>3406.6541177287795</v>
      </c>
      <c r="N29" s="7">
        <v>3245.4841695376631</v>
      </c>
      <c r="O29" s="7">
        <v>3694.4211129938744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s="16" customFormat="1" outlineLevel="1" x14ac:dyDescent="0.25">
      <c r="A30" s="7">
        <f t="shared" ref="A30" si="5">SUM(D30:AA30)</f>
        <v>42107.89165832314</v>
      </c>
      <c r="B30" s="50" t="s">
        <v>62</v>
      </c>
      <c r="C30" s="58" t="s">
        <v>169</v>
      </c>
      <c r="D30" s="7">
        <v>4593.292682926829</v>
      </c>
      <c r="E30" s="7">
        <v>4148.7804878048773</v>
      </c>
      <c r="F30" s="7">
        <v>4593.292682926829</v>
      </c>
      <c r="G30" s="7">
        <v>4296.9512195121943</v>
      </c>
      <c r="H30" s="7">
        <v>2518.9024390243894</v>
      </c>
      <c r="I30" s="7">
        <v>528.62378048780465</v>
      </c>
      <c r="J30" s="7">
        <v>42.233182114049264</v>
      </c>
      <c r="K30" s="7">
        <v>148.01320760953621</v>
      </c>
      <c r="L30" s="7">
        <v>4775.7867320141886</v>
      </c>
      <c r="M30" s="7">
        <v>5179.0609756097565</v>
      </c>
      <c r="N30" s="7">
        <v>5548.9939024390242</v>
      </c>
      <c r="O30" s="7">
        <v>5733.9603658536589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7">
        <f t="shared" si="1"/>
        <v>35596.686102767584</v>
      </c>
      <c r="B31" s="50" t="s">
        <v>62</v>
      </c>
      <c r="C31" s="58" t="s">
        <v>168</v>
      </c>
      <c r="D31" s="7">
        <v>3818.292682926829</v>
      </c>
      <c r="E31" s="7">
        <v>3448.7804878048773</v>
      </c>
      <c r="F31" s="7">
        <v>3818.292682926829</v>
      </c>
      <c r="G31" s="7">
        <v>3571.9512195121943</v>
      </c>
      <c r="H31" s="7">
        <v>2093.9024390243894</v>
      </c>
      <c r="I31" s="7">
        <v>439.43211382113799</v>
      </c>
      <c r="J31" s="7">
        <v>31.399848780715928</v>
      </c>
      <c r="K31" s="7">
        <v>111.83265205398065</v>
      </c>
      <c r="L31" s="7">
        <v>4025.7867320141886</v>
      </c>
      <c r="M31" s="7">
        <v>4479.0609756097565</v>
      </c>
      <c r="N31" s="7">
        <v>4798.9939024390242</v>
      </c>
      <c r="O31" s="7">
        <v>4958.9603658536589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s="16" customFormat="1" outlineLevel="1" x14ac:dyDescent="0.25">
      <c r="A32" s="82">
        <f t="shared" ref="A32:A37" si="6">SUM(D32:AA32)</f>
        <v>97113.239000000016</v>
      </c>
      <c r="B32" s="50" t="s">
        <v>57</v>
      </c>
      <c r="C32" s="68" t="s">
        <v>172</v>
      </c>
      <c r="D32" s="10">
        <v>11626.800000000003</v>
      </c>
      <c r="E32" s="10">
        <v>9473.9599999999991</v>
      </c>
      <c r="F32" s="10">
        <v>10226.530000000001</v>
      </c>
      <c r="G32" s="10">
        <v>8992.51</v>
      </c>
      <c r="H32" s="10">
        <v>5702.4399999999987</v>
      </c>
      <c r="I32" s="10">
        <v>4842.76</v>
      </c>
      <c r="J32" s="10">
        <v>6278.33</v>
      </c>
      <c r="K32" s="10">
        <v>6279.509</v>
      </c>
      <c r="L32" s="10">
        <v>7301.25</v>
      </c>
      <c r="M32" s="10">
        <v>8522.02</v>
      </c>
      <c r="N32" s="10">
        <v>8491.19</v>
      </c>
      <c r="O32" s="10">
        <v>9375.94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96662.963291607652</v>
      </c>
      <c r="B33" s="50" t="s">
        <v>57</v>
      </c>
      <c r="C33" s="60" t="s">
        <v>173</v>
      </c>
      <c r="D33" s="10">
        <v>10233.952821207855</v>
      </c>
      <c r="E33" s="10">
        <v>9500.246508341892</v>
      </c>
      <c r="F33" s="10">
        <v>10696.332227901876</v>
      </c>
      <c r="G33" s="10">
        <v>9076.3152168679826</v>
      </c>
      <c r="H33" s="10">
        <v>5365.8887638150027</v>
      </c>
      <c r="I33" s="10">
        <v>5016.7742429471973</v>
      </c>
      <c r="J33" s="10">
        <v>5778.2260847160869</v>
      </c>
      <c r="K33" s="10">
        <v>6170.378510556211</v>
      </c>
      <c r="L33" s="10">
        <v>7301.2518345751987</v>
      </c>
      <c r="M33" s="10">
        <v>8248.4666744404913</v>
      </c>
      <c r="N33" s="10">
        <v>8360.5929909290626</v>
      </c>
      <c r="O33" s="10">
        <v>10914.537415308792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450.36208632643581</v>
      </c>
      <c r="B34" s="50" t="s">
        <v>57</v>
      </c>
      <c r="C34" s="60" t="s">
        <v>174</v>
      </c>
      <c r="D34" s="10">
        <v>450.36208632643581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1E-14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si="6"/>
        <v>1.1999999999999997E-13</v>
      </c>
      <c r="B35" s="50" t="s">
        <v>57</v>
      </c>
      <c r="C35" s="60" t="s">
        <v>175</v>
      </c>
      <c r="D35" s="10">
        <v>1E-14</v>
      </c>
      <c r="E35" s="10">
        <v>1E-14</v>
      </c>
      <c r="F35" s="10">
        <v>1E-14</v>
      </c>
      <c r="G35" s="10">
        <v>1E-14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1E-14</v>
      </c>
      <c r="O35" s="10">
        <v>1E-14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82">
        <f t="shared" si="6"/>
        <v>224773.78694793969</v>
      </c>
      <c r="B36" s="50" t="s">
        <v>56</v>
      </c>
      <c r="C36" s="68" t="s">
        <v>85</v>
      </c>
      <c r="D36" s="10">
        <v>24115</v>
      </c>
      <c r="E36" s="10">
        <v>23902</v>
      </c>
      <c r="F36" s="10">
        <v>27355</v>
      </c>
      <c r="G36" s="10">
        <v>22497</v>
      </c>
      <c r="H36" s="10">
        <v>12760</v>
      </c>
      <c r="I36" s="10">
        <v>11837.595731707317</v>
      </c>
      <c r="J36" s="10">
        <v>13537.359220711023</v>
      </c>
      <c r="K36" s="10">
        <v>14577.170241176416</v>
      </c>
      <c r="L36" s="10">
        <v>13942.661754344939</v>
      </c>
      <c r="M36" s="10">
        <v>16032</v>
      </c>
      <c r="N36" s="10">
        <v>20410</v>
      </c>
      <c r="O36" s="10">
        <v>23808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s="16" customFormat="1" outlineLevel="1" x14ac:dyDescent="0.25">
      <c r="A37" s="166">
        <f t="shared" si="6"/>
        <v>195695</v>
      </c>
      <c r="B37" s="50" t="s">
        <v>56</v>
      </c>
      <c r="C37" s="164" t="s">
        <v>194</v>
      </c>
      <c r="D37" s="10">
        <v>24115</v>
      </c>
      <c r="E37" s="10">
        <v>23902</v>
      </c>
      <c r="F37" s="10">
        <v>27355</v>
      </c>
      <c r="G37" s="10">
        <v>22497</v>
      </c>
      <c r="H37" s="10">
        <v>12760</v>
      </c>
      <c r="I37" s="10">
        <v>6100</v>
      </c>
      <c r="J37" s="10">
        <v>6411</v>
      </c>
      <c r="K37" s="10">
        <v>7774</v>
      </c>
      <c r="L37" s="10">
        <v>8886</v>
      </c>
      <c r="M37" s="10">
        <v>15610</v>
      </c>
      <c r="N37" s="10">
        <v>20410</v>
      </c>
      <c r="O37" s="10">
        <v>19875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outlineLevel="1" x14ac:dyDescent="0.25">
      <c r="A38" s="166">
        <f t="shared" si="1"/>
        <v>192171.0643988793</v>
      </c>
      <c r="B38" s="50" t="s">
        <v>56</v>
      </c>
      <c r="C38" s="164" t="s">
        <v>91</v>
      </c>
      <c r="D38" s="10">
        <v>19452.043478260868</v>
      </c>
      <c r="E38" s="10">
        <v>19321.478260869564</v>
      </c>
      <c r="F38" s="10">
        <v>22128.565217391304</v>
      </c>
      <c r="G38" s="10">
        <v>18145.695652173912</v>
      </c>
      <c r="H38" s="10">
        <v>10283.652173913044</v>
      </c>
      <c r="I38" s="10">
        <v>10440</v>
      </c>
      <c r="J38" s="10">
        <v>10655.756718006278</v>
      </c>
      <c r="K38" s="10">
        <v>11554.689404788976</v>
      </c>
      <c r="L38" s="10">
        <v>13942.661754344939</v>
      </c>
      <c r="M38" s="10">
        <v>16032</v>
      </c>
      <c r="N38" s="10">
        <v>16406.521739130436</v>
      </c>
      <c r="O38" s="10">
        <v>23808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si="1"/>
        <v>7301.6790707995024</v>
      </c>
      <c r="B39" s="50" t="s">
        <v>56</v>
      </c>
      <c r="C39" s="60" t="s">
        <v>171</v>
      </c>
      <c r="D39" s="10">
        <v>1E-14</v>
      </c>
      <c r="E39" s="10">
        <v>1E-14</v>
      </c>
      <c r="F39" s="10">
        <v>1E-14</v>
      </c>
      <c r="G39" s="10">
        <v>1E-14</v>
      </c>
      <c r="H39" s="10">
        <v>1E-14</v>
      </c>
      <c r="I39" s="10">
        <v>1397.5957317073171</v>
      </c>
      <c r="J39" s="10">
        <v>2881.6025027047463</v>
      </c>
      <c r="K39" s="10">
        <v>3022.480836387439</v>
      </c>
      <c r="L39" s="10">
        <v>1E-14</v>
      </c>
      <c r="M39" s="10">
        <v>1E-14</v>
      </c>
      <c r="N39" s="10">
        <v>1E-14</v>
      </c>
      <c r="O39" s="10">
        <v>1E-14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s="16" customFormat="1" outlineLevel="1" x14ac:dyDescent="0.25">
      <c r="A40" s="7">
        <f t="shared" ref="A40:A48" si="7">SUM(D40:AA40)</f>
        <v>25301.043478260868</v>
      </c>
      <c r="B40" s="50" t="s">
        <v>56</v>
      </c>
      <c r="C40" s="60" t="s">
        <v>92</v>
      </c>
      <c r="D40" s="10">
        <v>4662.95652173913</v>
      </c>
      <c r="E40" s="10">
        <v>4580.5217391304341</v>
      </c>
      <c r="F40" s="10">
        <v>5226.434782608696</v>
      </c>
      <c r="G40" s="10">
        <v>4351.304347826087</v>
      </c>
      <c r="H40" s="10">
        <v>2476.3478260869565</v>
      </c>
      <c r="I40" s="10">
        <v>1E-14</v>
      </c>
      <c r="J40" s="10">
        <v>1E-14</v>
      </c>
      <c r="K40" s="10">
        <v>1E-14</v>
      </c>
      <c r="L40" s="10">
        <v>1E-14</v>
      </c>
      <c r="M40" s="10">
        <v>1E-14</v>
      </c>
      <c r="N40" s="10">
        <v>4003.478260869565</v>
      </c>
      <c r="O40" s="10">
        <v>1E-14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/>
      <c r="B41" s="50"/>
      <c r="C41" s="60" t="s">
        <v>93</v>
      </c>
      <c r="D41" s="48">
        <v>0.1933633224855538</v>
      </c>
      <c r="E41" s="48">
        <v>0.19163759263368899</v>
      </c>
      <c r="F41" s="48">
        <v>0.19105957896577211</v>
      </c>
      <c r="G41" s="48">
        <v>0.19341709329359857</v>
      </c>
      <c r="H41" s="48">
        <v>0.19407114624505928</v>
      </c>
      <c r="I41" s="48">
        <v>1E-14</v>
      </c>
      <c r="J41" s="48">
        <v>1E-14</v>
      </c>
      <c r="K41" s="48">
        <v>1E-14</v>
      </c>
      <c r="L41" s="48">
        <v>1E-14</v>
      </c>
      <c r="M41" s="48">
        <v>1E-14</v>
      </c>
      <c r="N41" s="48">
        <v>0.19615278103231579</v>
      </c>
      <c r="O41" s="48">
        <v>1E-14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7" outlineLevel="1" x14ac:dyDescent="0.25">
      <c r="A42" s="7">
        <f t="shared" si="7"/>
        <v>29078.786947939698</v>
      </c>
      <c r="B42" s="50" t="s">
        <v>56</v>
      </c>
      <c r="C42" s="60" t="s">
        <v>84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5737.5957317073171</v>
      </c>
      <c r="J42" s="7">
        <v>7126.3592207110232</v>
      </c>
      <c r="K42" s="7">
        <v>6803.1702411764163</v>
      </c>
      <c r="L42" s="7">
        <v>5056.6617543449393</v>
      </c>
      <c r="M42" s="7">
        <v>422</v>
      </c>
      <c r="N42" s="7">
        <v>1E-14</v>
      </c>
      <c r="O42" s="7">
        <v>3933</v>
      </c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27" s="16" customFormat="1" outlineLevel="1" x14ac:dyDescent="0.25">
      <c r="A43" s="82">
        <f t="shared" si="7"/>
        <v>1.1999999999999997E-13</v>
      </c>
      <c r="B43" s="49" t="s">
        <v>55</v>
      </c>
      <c r="C43" s="167" t="s">
        <v>251</v>
      </c>
      <c r="D43" s="14">
        <v>1E-14</v>
      </c>
      <c r="E43" s="14">
        <v>1E-14</v>
      </c>
      <c r="F43" s="14">
        <v>1E-14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1E-14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81">
        <f t="shared" si="7"/>
        <v>1.1999999999999997E-13</v>
      </c>
      <c r="B44" s="49" t="s">
        <v>55</v>
      </c>
      <c r="C44" s="165" t="s">
        <v>247</v>
      </c>
      <c r="D44" s="14">
        <v>1E-14</v>
      </c>
      <c r="E44" s="14">
        <v>1E-14</v>
      </c>
      <c r="F44" s="14">
        <v>1E-14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1E-14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7"/>
        <v>1.1999999999999997E-13</v>
      </c>
      <c r="B45" s="49" t="s">
        <v>55</v>
      </c>
      <c r="C45" s="59" t="s">
        <v>248</v>
      </c>
      <c r="D45" s="14">
        <v>1E-14</v>
      </c>
      <c r="E45" s="14">
        <v>1E-14</v>
      </c>
      <c r="F45" s="14">
        <v>1E-14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1E-14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14">
        <f t="shared" si="7"/>
        <v>1.1999999999999997E-13</v>
      </c>
      <c r="B46" s="49" t="s">
        <v>55</v>
      </c>
      <c r="C46" s="59" t="s">
        <v>249</v>
      </c>
      <c r="D46" s="14">
        <v>1E-14</v>
      </c>
      <c r="E46" s="14">
        <v>1E-14</v>
      </c>
      <c r="F46" s="14">
        <v>1E-14</v>
      </c>
      <c r="G46" s="14">
        <v>1E-14</v>
      </c>
      <c r="H46" s="14">
        <v>1E-14</v>
      </c>
      <c r="I46" s="14">
        <v>1E-14</v>
      </c>
      <c r="J46" s="14">
        <v>1E-14</v>
      </c>
      <c r="K46" s="14">
        <v>1E-14</v>
      </c>
      <c r="L46" s="14">
        <v>1E-14</v>
      </c>
      <c r="M46" s="14">
        <v>1E-14</v>
      </c>
      <c r="N46" s="14">
        <v>1E-14</v>
      </c>
      <c r="O46" s="14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7"/>
        <v>1.1999999999999997E-13</v>
      </c>
      <c r="B47" s="50" t="s">
        <v>57</v>
      </c>
      <c r="C47" s="57" t="s">
        <v>250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s="16" customFormat="1" outlineLevel="1" x14ac:dyDescent="0.25">
      <c r="A48" s="7">
        <f t="shared" si="7"/>
        <v>1.1999999999999997E-13</v>
      </c>
      <c r="B48" s="50" t="s">
        <v>56</v>
      </c>
      <c r="C48" s="57" t="s">
        <v>252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A49" s="82">
        <f t="shared" si="1"/>
        <v>1814400</v>
      </c>
      <c r="B49" s="49" t="s">
        <v>55</v>
      </c>
      <c r="C49" s="215" t="s">
        <v>88</v>
      </c>
      <c r="D49" s="14">
        <v>756000</v>
      </c>
      <c r="E49" s="14">
        <v>1E-14</v>
      </c>
      <c r="F49" s="14">
        <v>1E-14</v>
      </c>
      <c r="G49" s="14">
        <v>1E-14</v>
      </c>
      <c r="H49" s="14">
        <v>1E-14</v>
      </c>
      <c r="I49" s="14">
        <v>1E-14</v>
      </c>
      <c r="J49" s="14">
        <v>1E-14</v>
      </c>
      <c r="K49" s="14">
        <v>1E-14</v>
      </c>
      <c r="L49" s="14">
        <v>1E-14</v>
      </c>
      <c r="M49" s="14">
        <v>1E-14</v>
      </c>
      <c r="N49" s="14">
        <v>1E-14</v>
      </c>
      <c r="O49" s="14">
        <v>1058400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s="16" customFormat="1" outlineLevel="1" x14ac:dyDescent="0.25">
      <c r="A50" s="81">
        <f t="shared" si="1"/>
        <v>1.1999999999999997E-13</v>
      </c>
      <c r="B50" s="49" t="s">
        <v>55</v>
      </c>
      <c r="C50" s="216" t="s">
        <v>75</v>
      </c>
      <c r="D50" s="14">
        <v>1E-14</v>
      </c>
      <c r="E50" s="14">
        <v>1E-14</v>
      </c>
      <c r="F50" s="14">
        <v>1E-14</v>
      </c>
      <c r="G50" s="14">
        <v>1E-14</v>
      </c>
      <c r="H50" s="14">
        <v>1E-14</v>
      </c>
      <c r="I50" s="14">
        <v>1E-14</v>
      </c>
      <c r="J50" s="14">
        <v>1E-14</v>
      </c>
      <c r="K50" s="14">
        <v>1E-14</v>
      </c>
      <c r="L50" s="14">
        <v>1E-14</v>
      </c>
      <c r="M50" s="14">
        <v>1E-14</v>
      </c>
      <c r="N50" s="14">
        <v>1E-14</v>
      </c>
      <c r="O50" s="14">
        <v>1E-14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s="16" customFormat="1" outlineLevel="1" x14ac:dyDescent="0.25">
      <c r="A51" s="14">
        <f t="shared" si="1"/>
        <v>1814400</v>
      </c>
      <c r="B51" s="49" t="s">
        <v>55</v>
      </c>
      <c r="C51" s="217" t="s">
        <v>76</v>
      </c>
      <c r="D51" s="14">
        <v>756000</v>
      </c>
      <c r="E51" s="14">
        <v>1E-14</v>
      </c>
      <c r="F51" s="14">
        <v>1E-14</v>
      </c>
      <c r="G51" s="14">
        <v>1E-14</v>
      </c>
      <c r="H51" s="14">
        <v>1E-14</v>
      </c>
      <c r="I51" s="14">
        <v>1E-14</v>
      </c>
      <c r="J51" s="14">
        <v>1E-14</v>
      </c>
      <c r="K51" s="14">
        <v>1E-14</v>
      </c>
      <c r="L51" s="14">
        <v>1E-14</v>
      </c>
      <c r="M51" s="14">
        <v>1E-14</v>
      </c>
      <c r="N51" s="14">
        <v>1E-14</v>
      </c>
      <c r="O51" s="14">
        <v>1058400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s="16" customFormat="1" outlineLevel="1" x14ac:dyDescent="0.25">
      <c r="A52" s="14">
        <f t="shared" si="1"/>
        <v>1.1999999999999997E-13</v>
      </c>
      <c r="B52" s="49" t="s">
        <v>55</v>
      </c>
      <c r="C52" s="217" t="s">
        <v>77</v>
      </c>
      <c r="D52" s="14">
        <v>1E-14</v>
      </c>
      <c r="E52" s="14">
        <v>1E-14</v>
      </c>
      <c r="F52" s="14">
        <v>1E-14</v>
      </c>
      <c r="G52" s="14">
        <v>1E-14</v>
      </c>
      <c r="H52" s="14">
        <v>1E-14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1E-14</v>
      </c>
      <c r="N52" s="14">
        <v>1E-14</v>
      </c>
      <c r="O52" s="14">
        <v>1E-14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s="16" customFormat="1" outlineLevel="1" x14ac:dyDescent="0.25">
      <c r="A53" s="7">
        <f t="shared" si="1"/>
        <v>1.1999999999999997E-13</v>
      </c>
      <c r="B53" s="50" t="s">
        <v>57</v>
      </c>
      <c r="C53" s="218" t="s">
        <v>78</v>
      </c>
      <c r="D53" s="7">
        <v>1E-14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1E-14</v>
      </c>
      <c r="O53" s="7">
        <v>1E-14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s="16" customFormat="1" outlineLevel="1" x14ac:dyDescent="0.25">
      <c r="A54" s="7">
        <f t="shared" si="1"/>
        <v>1.1999999999999997E-13</v>
      </c>
      <c r="B54" s="50" t="s">
        <v>56</v>
      </c>
      <c r="C54" s="218" t="s">
        <v>94</v>
      </c>
      <c r="D54" s="7">
        <v>1E-14</v>
      </c>
      <c r="E54" s="7">
        <v>1E-14</v>
      </c>
      <c r="F54" s="7">
        <v>1E-14</v>
      </c>
      <c r="G54" s="7">
        <v>1E-14</v>
      </c>
      <c r="H54" s="7">
        <v>1E-14</v>
      </c>
      <c r="I54" s="7">
        <v>1E-14</v>
      </c>
      <c r="J54" s="7">
        <v>1E-14</v>
      </c>
      <c r="K54" s="7">
        <v>1E-14</v>
      </c>
      <c r="L54" s="7">
        <v>1E-14</v>
      </c>
      <c r="M54" s="7">
        <v>1E-14</v>
      </c>
      <c r="N54" s="7">
        <v>1E-14</v>
      </c>
      <c r="O54" s="7">
        <v>1E-14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s="16" customFormat="1" outlineLevel="1" x14ac:dyDescent="0.25">
      <c r="A55" s="168">
        <f t="shared" si="1"/>
        <v>9600</v>
      </c>
      <c r="B55" s="50" t="s">
        <v>56</v>
      </c>
      <c r="C55" s="214" t="s">
        <v>193</v>
      </c>
      <c r="D55" s="7">
        <v>4000</v>
      </c>
      <c r="E55" s="7">
        <v>1E-14</v>
      </c>
      <c r="F55" s="7">
        <v>1E-14</v>
      </c>
      <c r="G55" s="7">
        <v>1E-14</v>
      </c>
      <c r="H55" s="7">
        <v>1E-14</v>
      </c>
      <c r="I55" s="7">
        <v>1E-14</v>
      </c>
      <c r="J55" s="7">
        <v>1E-14</v>
      </c>
      <c r="K55" s="7">
        <v>1E-14</v>
      </c>
      <c r="L55" s="7">
        <v>1E-14</v>
      </c>
      <c r="M55" s="7">
        <v>1E-14</v>
      </c>
      <c r="N55" s="7">
        <v>1E-14</v>
      </c>
      <c r="O55" s="7">
        <v>5600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s="171" customFormat="1" outlineLevel="1" x14ac:dyDescent="0.25">
      <c r="A56" s="169">
        <f t="shared" si="1"/>
        <v>1.1999999999999997E-13</v>
      </c>
      <c r="B56" s="170" t="s">
        <v>56</v>
      </c>
      <c r="C56" s="172" t="s">
        <v>196</v>
      </c>
      <c r="D56" s="169">
        <v>1E-14</v>
      </c>
      <c r="E56" s="169">
        <v>1E-14</v>
      </c>
      <c r="F56" s="169">
        <v>1E-14</v>
      </c>
      <c r="G56" s="169">
        <v>1E-14</v>
      </c>
      <c r="H56" s="169">
        <v>1E-14</v>
      </c>
      <c r="I56" s="169">
        <v>1E-14</v>
      </c>
      <c r="J56" s="169">
        <v>1E-14</v>
      </c>
      <c r="K56" s="169">
        <v>1E-14</v>
      </c>
      <c r="L56" s="169">
        <v>1E-14</v>
      </c>
      <c r="M56" s="169">
        <v>1E-14</v>
      </c>
      <c r="N56" s="169">
        <v>1E-14</v>
      </c>
      <c r="O56" s="169">
        <v>1E-14</v>
      </c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</row>
    <row r="57" spans="1:27" s="16" customFormat="1" outlineLevel="1" x14ac:dyDescent="0.25">
      <c r="A57" s="7">
        <f t="shared" si="1"/>
        <v>1.1999999999999997E-13</v>
      </c>
      <c r="B57" s="50" t="s">
        <v>56</v>
      </c>
      <c r="C57" s="173" t="s">
        <v>198</v>
      </c>
      <c r="D57" s="7">
        <v>1E-14</v>
      </c>
      <c r="E57" s="7">
        <v>1E-14</v>
      </c>
      <c r="F57" s="7">
        <v>1E-14</v>
      </c>
      <c r="G57" s="7">
        <v>1E-14</v>
      </c>
      <c r="H57" s="7">
        <v>1E-14</v>
      </c>
      <c r="I57" s="7">
        <v>1E-14</v>
      </c>
      <c r="J57" s="7">
        <v>1E-14</v>
      </c>
      <c r="K57" s="7">
        <v>1E-14</v>
      </c>
      <c r="L57" s="7">
        <v>1E-14</v>
      </c>
      <c r="M57" s="7">
        <v>1E-14</v>
      </c>
      <c r="N57" s="7">
        <v>1E-14</v>
      </c>
      <c r="O57" s="7">
        <v>1E-14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s="16" customFormat="1" outlineLevel="1" x14ac:dyDescent="0.25">
      <c r="A58" s="7">
        <f t="shared" si="1"/>
        <v>1.1999999999999997E-13</v>
      </c>
      <c r="B58" s="50" t="s">
        <v>57</v>
      </c>
      <c r="C58" s="173" t="s">
        <v>197</v>
      </c>
      <c r="D58" s="7">
        <v>1E-14</v>
      </c>
      <c r="E58" s="7">
        <v>1E-14</v>
      </c>
      <c r="F58" s="7">
        <v>1E-14</v>
      </c>
      <c r="G58" s="7">
        <v>1E-14</v>
      </c>
      <c r="H58" s="7">
        <v>1E-14</v>
      </c>
      <c r="I58" s="7">
        <v>1E-14</v>
      </c>
      <c r="J58" s="7">
        <v>1E-14</v>
      </c>
      <c r="K58" s="7">
        <v>1E-14</v>
      </c>
      <c r="L58" s="7">
        <v>1E-14</v>
      </c>
      <c r="M58" s="7">
        <v>1E-14</v>
      </c>
      <c r="N58" s="7">
        <v>1E-14</v>
      </c>
      <c r="O58" s="7">
        <v>1E-14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s="16" customFormat="1" outlineLevel="1" x14ac:dyDescent="0.25">
      <c r="A59" s="7">
        <f t="shared" si="1"/>
        <v>1.1999999999999997E-13</v>
      </c>
      <c r="B59" s="50" t="s">
        <v>57</v>
      </c>
      <c r="C59" s="173" t="s">
        <v>199</v>
      </c>
      <c r="D59" s="7">
        <v>1E-14</v>
      </c>
      <c r="E59" s="7">
        <v>1E-14</v>
      </c>
      <c r="F59" s="7">
        <v>1E-14</v>
      </c>
      <c r="G59" s="7">
        <v>1E-14</v>
      </c>
      <c r="H59" s="7">
        <v>1E-14</v>
      </c>
      <c r="I59" s="7">
        <v>1E-14</v>
      </c>
      <c r="J59" s="7">
        <v>1E-14</v>
      </c>
      <c r="K59" s="7">
        <v>1E-14</v>
      </c>
      <c r="L59" s="7">
        <v>1E-14</v>
      </c>
      <c r="M59" s="7">
        <v>1E-14</v>
      </c>
      <c r="N59" s="7">
        <v>1E-14</v>
      </c>
      <c r="O59" s="7">
        <v>1E-14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outlineLevel="1" x14ac:dyDescent="0.25">
      <c r="B60" s="51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s="75" customFormat="1" ht="18.75" x14ac:dyDescent="0.3">
      <c r="A61" s="77" t="s">
        <v>213</v>
      </c>
      <c r="B61" s="74" t="s">
        <v>66</v>
      </c>
      <c r="C61" s="76"/>
      <c r="D61" s="78" t="s">
        <v>229</v>
      </c>
      <c r="E61" s="78" t="s">
        <v>236</v>
      </c>
      <c r="F61" s="78" t="s">
        <v>237</v>
      </c>
      <c r="G61" s="78" t="s">
        <v>238</v>
      </c>
      <c r="H61" s="78" t="s">
        <v>239</v>
      </c>
      <c r="I61" s="78" t="s">
        <v>240</v>
      </c>
      <c r="J61" s="78" t="s">
        <v>241</v>
      </c>
      <c r="K61" s="78" t="s">
        <v>242</v>
      </c>
      <c r="L61" s="78" t="s">
        <v>243</v>
      </c>
      <c r="M61" s="78" t="s">
        <v>244</v>
      </c>
      <c r="N61" s="78" t="s">
        <v>245</v>
      </c>
      <c r="O61" s="78" t="s">
        <v>246</v>
      </c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</row>
    <row r="62" spans="1:27" outlineLevel="1" x14ac:dyDescent="0.25">
      <c r="A62" s="13">
        <f t="shared" ref="A62:A98" si="8">SUM(D62:O62)</f>
        <v>30887</v>
      </c>
      <c r="B62" s="50" t="s">
        <v>56</v>
      </c>
      <c r="C62" s="5" t="s">
        <v>109</v>
      </c>
      <c r="D62" s="13">
        <v>3283</v>
      </c>
      <c r="E62" s="13">
        <v>5086</v>
      </c>
      <c r="F62" s="13">
        <v>6523</v>
      </c>
      <c r="G62" s="13">
        <v>3009</v>
      </c>
      <c r="H62" s="13">
        <v>1336.0000000000018</v>
      </c>
      <c r="I62" s="13">
        <v>3420</v>
      </c>
      <c r="J62" s="13">
        <v>1E-14</v>
      </c>
      <c r="K62" s="13">
        <v>1E-14</v>
      </c>
      <c r="L62" s="13">
        <v>1E-14</v>
      </c>
      <c r="M62" s="13">
        <v>912</v>
      </c>
      <c r="N62" s="13">
        <v>250</v>
      </c>
      <c r="O62" s="13">
        <v>7068</v>
      </c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outlineLevel="1" x14ac:dyDescent="0.25">
      <c r="A63" s="13">
        <f t="shared" si="8"/>
        <v>193886.78694793969</v>
      </c>
      <c r="B63" s="50" t="s">
        <v>56</v>
      </c>
      <c r="C63" s="5" t="s">
        <v>110</v>
      </c>
      <c r="D63" s="13">
        <v>20832</v>
      </c>
      <c r="E63" s="13">
        <v>18816</v>
      </c>
      <c r="F63" s="13">
        <v>20832</v>
      </c>
      <c r="G63" s="13">
        <v>19488</v>
      </c>
      <c r="H63" s="13">
        <v>11423.999999999998</v>
      </c>
      <c r="I63" s="13">
        <v>8417.5957317073171</v>
      </c>
      <c r="J63" s="13">
        <v>13537.359220711023</v>
      </c>
      <c r="K63" s="13">
        <v>14577.170241176416</v>
      </c>
      <c r="L63" s="13">
        <v>13942.661754344939</v>
      </c>
      <c r="M63" s="13">
        <v>15120</v>
      </c>
      <c r="N63" s="13">
        <v>20160</v>
      </c>
      <c r="O63" s="13">
        <v>16740</v>
      </c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1:27" outlineLevel="1" x14ac:dyDescent="0.25">
      <c r="A64" s="13">
        <f t="shared" si="8"/>
        <v>1.1999999999999997E-13</v>
      </c>
      <c r="B64" s="50" t="s">
        <v>56</v>
      </c>
      <c r="C64" s="5" t="s">
        <v>111</v>
      </c>
      <c r="D64" s="13">
        <v>1E-14</v>
      </c>
      <c r="E64" s="13">
        <v>1E-14</v>
      </c>
      <c r="F64" s="13">
        <v>1E-14</v>
      </c>
      <c r="G64" s="13">
        <v>1E-14</v>
      </c>
      <c r="H64" s="13">
        <v>1E-14</v>
      </c>
      <c r="I64" s="13">
        <v>1E-14</v>
      </c>
      <c r="J64" s="13">
        <v>1E-14</v>
      </c>
      <c r="K64" s="13">
        <v>1E-14</v>
      </c>
      <c r="L64" s="13">
        <v>1E-14</v>
      </c>
      <c r="M64" s="13">
        <v>1E-14</v>
      </c>
      <c r="N64" s="13">
        <v>1E-14</v>
      </c>
      <c r="O64" s="13">
        <v>1E-14</v>
      </c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outlineLevel="1" x14ac:dyDescent="0.25">
      <c r="A65" s="13">
        <f t="shared" si="8"/>
        <v>9600</v>
      </c>
      <c r="B65" s="50" t="s">
        <v>56</v>
      </c>
      <c r="C65" s="5" t="s">
        <v>70</v>
      </c>
      <c r="D65" s="197">
        <v>4000</v>
      </c>
      <c r="E65" s="13">
        <v>1E-14</v>
      </c>
      <c r="F65" s="13">
        <v>1E-14</v>
      </c>
      <c r="G65" s="13">
        <v>1E-14</v>
      </c>
      <c r="H65" s="13">
        <v>1E-14</v>
      </c>
      <c r="I65" s="13">
        <v>1E-14</v>
      </c>
      <c r="J65" s="13">
        <v>1E-14</v>
      </c>
      <c r="K65" s="13">
        <v>1E-14</v>
      </c>
      <c r="L65" s="13">
        <v>1E-14</v>
      </c>
      <c r="M65" s="13">
        <v>1E-14</v>
      </c>
      <c r="N65" s="13">
        <v>1E-14</v>
      </c>
      <c r="O65" s="13">
        <v>5600</v>
      </c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1:27" outlineLevel="1" x14ac:dyDescent="0.25">
      <c r="A66" s="13">
        <f t="shared" si="8"/>
        <v>-29078.786947939698</v>
      </c>
      <c r="B66" s="50" t="s">
        <v>56</v>
      </c>
      <c r="C66" s="5" t="s">
        <v>112</v>
      </c>
      <c r="D66" s="13">
        <v>-1E-14</v>
      </c>
      <c r="E66" s="13">
        <v>-1E-14</v>
      </c>
      <c r="F66" s="13">
        <v>-1E-14</v>
      </c>
      <c r="G66" s="13">
        <v>-1E-14</v>
      </c>
      <c r="H66" s="13">
        <v>-1E-14</v>
      </c>
      <c r="I66" s="13">
        <v>-5737.5957317073171</v>
      </c>
      <c r="J66" s="13">
        <v>-7126.3592207110232</v>
      </c>
      <c r="K66" s="13">
        <v>-6803.1702411764163</v>
      </c>
      <c r="L66" s="13">
        <v>-5056.6617543449393</v>
      </c>
      <c r="M66" s="13">
        <v>-422</v>
      </c>
      <c r="N66" s="13">
        <v>-1E-14</v>
      </c>
      <c r="O66" s="13">
        <v>-3933</v>
      </c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outlineLevel="1" x14ac:dyDescent="0.25">
      <c r="A67" s="13">
        <f t="shared" si="8"/>
        <v>1.1999999999999997E-13</v>
      </c>
      <c r="B67" s="50" t="s">
        <v>56</v>
      </c>
      <c r="C67" s="5" t="s">
        <v>113</v>
      </c>
      <c r="D67" s="13">
        <v>1E-14</v>
      </c>
      <c r="E67" s="13">
        <v>1E-14</v>
      </c>
      <c r="F67" s="13">
        <v>1E-14</v>
      </c>
      <c r="G67" s="13">
        <v>1E-14</v>
      </c>
      <c r="H67" s="13">
        <v>1E-14</v>
      </c>
      <c r="I67" s="13">
        <v>1E-14</v>
      </c>
      <c r="J67" s="13">
        <v>1E-14</v>
      </c>
      <c r="K67" s="13">
        <v>1E-14</v>
      </c>
      <c r="L67" s="13">
        <v>1E-14</v>
      </c>
      <c r="M67" s="13">
        <v>1E-14</v>
      </c>
      <c r="N67" s="13">
        <v>1E-14</v>
      </c>
      <c r="O67" s="13">
        <v>1E-14</v>
      </c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1:27" outlineLevel="1" x14ac:dyDescent="0.25">
      <c r="A68" s="4"/>
      <c r="B68" s="27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</row>
    <row r="69" spans="1:27" s="75" customFormat="1" ht="18.75" x14ac:dyDescent="0.3">
      <c r="A69" s="77" t="s">
        <v>214</v>
      </c>
      <c r="B69" s="74" t="s">
        <v>66</v>
      </c>
      <c r="C69" s="76"/>
      <c r="D69" s="78" t="s">
        <v>229</v>
      </c>
      <c r="E69" s="78" t="s">
        <v>236</v>
      </c>
      <c r="F69" s="78" t="s">
        <v>237</v>
      </c>
      <c r="G69" s="78" t="s">
        <v>238</v>
      </c>
      <c r="H69" s="78" t="s">
        <v>239</v>
      </c>
      <c r="I69" s="78" t="s">
        <v>240</v>
      </c>
      <c r="J69" s="78" t="s">
        <v>241</v>
      </c>
      <c r="K69" s="78" t="s">
        <v>242</v>
      </c>
      <c r="L69" s="78" t="s">
        <v>243</v>
      </c>
      <c r="M69" s="78" t="s">
        <v>244</v>
      </c>
      <c r="N69" s="78" t="s">
        <v>245</v>
      </c>
      <c r="O69" s="78" t="s">
        <v>246</v>
      </c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</row>
    <row r="70" spans="1:27" outlineLevel="1" x14ac:dyDescent="0.25">
      <c r="A70" s="199">
        <f t="shared" si="8"/>
        <v>12915.309006659998</v>
      </c>
      <c r="B70" s="52" t="s">
        <v>57</v>
      </c>
      <c r="C70" s="8" t="s">
        <v>0</v>
      </c>
      <c r="D70" s="199">
        <v>3908.64</v>
      </c>
      <c r="E70" s="199">
        <v>973.00097299999993</v>
      </c>
      <c r="F70" s="199">
        <v>1702.5917025899998</v>
      </c>
      <c r="G70" s="199">
        <v>1267.9912679899999</v>
      </c>
      <c r="H70" s="199">
        <v>105.72010571999999</v>
      </c>
      <c r="I70" s="199">
        <v>1E-14</v>
      </c>
      <c r="J70" s="199">
        <v>182.36018236000001</v>
      </c>
      <c r="K70" s="199">
        <v>161.74016173999999</v>
      </c>
      <c r="L70" s="199">
        <v>1474.88147488</v>
      </c>
      <c r="M70" s="199">
        <v>1389.91138991</v>
      </c>
      <c r="N70" s="199">
        <v>187.49018748999998</v>
      </c>
      <c r="O70" s="199">
        <v>1560.9815609799998</v>
      </c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</row>
    <row r="71" spans="1:27" outlineLevel="1" x14ac:dyDescent="0.25">
      <c r="A71" s="199">
        <f t="shared" si="8"/>
        <v>-1.1999999999999997E-13</v>
      </c>
      <c r="B71" s="52" t="s">
        <v>57</v>
      </c>
      <c r="C71" s="8" t="s">
        <v>1</v>
      </c>
      <c r="D71" s="199">
        <v>-1E-14</v>
      </c>
      <c r="E71" s="199">
        <v>-1E-14</v>
      </c>
      <c r="F71" s="199">
        <v>-1E-14</v>
      </c>
      <c r="G71" s="199">
        <v>-1E-14</v>
      </c>
      <c r="H71" s="199">
        <v>-1E-14</v>
      </c>
      <c r="I71" s="199">
        <v>-1E-14</v>
      </c>
      <c r="J71" s="199">
        <v>-1E-14</v>
      </c>
      <c r="K71" s="199">
        <v>-1E-14</v>
      </c>
      <c r="L71" s="199">
        <v>-1E-14</v>
      </c>
      <c r="M71" s="199">
        <v>-1E-14</v>
      </c>
      <c r="N71" s="199">
        <v>-1E-14</v>
      </c>
      <c r="O71" s="199">
        <v>-1E-14</v>
      </c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</row>
    <row r="72" spans="1:27" outlineLevel="1" x14ac:dyDescent="0.25">
      <c r="A72" s="199">
        <f t="shared" si="8"/>
        <v>-1.1999999999999997E-13</v>
      </c>
      <c r="B72" s="52" t="s">
        <v>57</v>
      </c>
      <c r="C72" s="8" t="s">
        <v>2</v>
      </c>
      <c r="D72" s="199">
        <v>-1E-14</v>
      </c>
      <c r="E72" s="199">
        <v>-1E-14</v>
      </c>
      <c r="F72" s="199">
        <v>-1E-14</v>
      </c>
      <c r="G72" s="199">
        <v>-1E-14</v>
      </c>
      <c r="H72" s="199">
        <v>-1E-14</v>
      </c>
      <c r="I72" s="199">
        <v>-1E-14</v>
      </c>
      <c r="J72" s="199">
        <v>-1E-14</v>
      </c>
      <c r="K72" s="199">
        <v>-1E-14</v>
      </c>
      <c r="L72" s="199">
        <v>-1E-14</v>
      </c>
      <c r="M72" s="199">
        <v>-1E-14</v>
      </c>
      <c r="N72" s="199">
        <v>-1E-14</v>
      </c>
      <c r="O72" s="199">
        <v>-1E-14</v>
      </c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</row>
    <row r="73" spans="1:27" outlineLevel="1" x14ac:dyDescent="0.25">
      <c r="A73" s="199">
        <f t="shared" si="8"/>
        <v>28766.806409799996</v>
      </c>
      <c r="B73" s="52" t="s">
        <v>57</v>
      </c>
      <c r="C73" s="8" t="s">
        <v>3</v>
      </c>
      <c r="D73" s="199">
        <v>2356.98</v>
      </c>
      <c r="E73" s="199">
        <v>2129.9021299000001</v>
      </c>
      <c r="F73" s="199">
        <v>2515.2125152099998</v>
      </c>
      <c r="G73" s="199">
        <v>2421.3424213399999</v>
      </c>
      <c r="H73" s="199">
        <v>2323.0623230599999</v>
      </c>
      <c r="I73" s="199">
        <v>2443.7424437399995</v>
      </c>
      <c r="J73" s="199">
        <v>2591.0825910799999</v>
      </c>
      <c r="K73" s="199">
        <v>2530.8425308400001</v>
      </c>
      <c r="L73" s="199">
        <v>2388.4523884499995</v>
      </c>
      <c r="M73" s="199">
        <v>2269.3822693799998</v>
      </c>
      <c r="N73" s="199">
        <v>2350.3423503399999</v>
      </c>
      <c r="O73" s="199">
        <v>2446.4624464599997</v>
      </c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</row>
    <row r="74" spans="1:27" outlineLevel="1" x14ac:dyDescent="0.25">
      <c r="A74" s="199">
        <f t="shared" si="8"/>
        <v>4232.4127948490004</v>
      </c>
      <c r="B74" s="52" t="s">
        <v>57</v>
      </c>
      <c r="C74" s="8" t="s">
        <v>4</v>
      </c>
      <c r="D74" s="199">
        <v>437.56</v>
      </c>
      <c r="E74" s="199">
        <v>345.00034499999998</v>
      </c>
      <c r="F74" s="199">
        <v>540.71054071000003</v>
      </c>
      <c r="G74" s="199">
        <v>440.19044018999995</v>
      </c>
      <c r="H74" s="199">
        <v>404.17040416999998</v>
      </c>
      <c r="I74" s="199">
        <v>104.08010407999998</v>
      </c>
      <c r="J74" s="199">
        <v>311.55031155</v>
      </c>
      <c r="K74" s="199">
        <v>308.58930858899998</v>
      </c>
      <c r="L74" s="199">
        <v>384.76038475999997</v>
      </c>
      <c r="M74" s="199">
        <v>338.54033853999999</v>
      </c>
      <c r="N74" s="199">
        <v>295.89029588999995</v>
      </c>
      <c r="O74" s="199">
        <v>321.37032137</v>
      </c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</row>
    <row r="75" spans="1:27" outlineLevel="1" x14ac:dyDescent="0.25">
      <c r="A75" s="199">
        <f t="shared" si="8"/>
        <v>33.350033350000082</v>
      </c>
      <c r="B75" s="52" t="s">
        <v>57</v>
      </c>
      <c r="C75" s="8" t="s">
        <v>5</v>
      </c>
      <c r="D75" s="199">
        <v>1E-14</v>
      </c>
      <c r="E75" s="199">
        <v>1E-14</v>
      </c>
      <c r="F75" s="199">
        <v>1E-14</v>
      </c>
      <c r="G75" s="199">
        <v>33.350033349999997</v>
      </c>
      <c r="H75" s="199">
        <v>1E-14</v>
      </c>
      <c r="I75" s="199">
        <v>1E-14</v>
      </c>
      <c r="J75" s="199">
        <v>1E-14</v>
      </c>
      <c r="K75" s="199">
        <v>1E-14</v>
      </c>
      <c r="L75" s="199">
        <v>1E-14</v>
      </c>
      <c r="M75" s="199">
        <v>1E-14</v>
      </c>
      <c r="N75" s="199">
        <v>1E-14</v>
      </c>
      <c r="O75" s="199">
        <v>1E-14</v>
      </c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</row>
    <row r="76" spans="1:27" outlineLevel="1" x14ac:dyDescent="0.25">
      <c r="A76" s="199">
        <f t="shared" si="8"/>
        <v>3998.1239981200001</v>
      </c>
      <c r="B76" s="52" t="s">
        <v>57</v>
      </c>
      <c r="C76" s="8" t="s">
        <v>6</v>
      </c>
      <c r="D76" s="199">
        <v>1E-14</v>
      </c>
      <c r="E76" s="199">
        <v>260.87026086999998</v>
      </c>
      <c r="F76" s="199">
        <v>347.07034706999997</v>
      </c>
      <c r="G76" s="199">
        <v>332.39033238999997</v>
      </c>
      <c r="H76" s="199">
        <v>330.62033062</v>
      </c>
      <c r="I76" s="199">
        <v>417.61041760999996</v>
      </c>
      <c r="J76" s="199">
        <v>481.77048176999995</v>
      </c>
      <c r="K76" s="199">
        <v>404.79040478999997</v>
      </c>
      <c r="L76" s="199">
        <v>419.89041988999998</v>
      </c>
      <c r="M76" s="199">
        <v>377.54037754000001</v>
      </c>
      <c r="N76" s="199">
        <v>311.19031118999999</v>
      </c>
      <c r="O76" s="199">
        <v>314.38031437999996</v>
      </c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</row>
    <row r="77" spans="1:27" outlineLevel="1" x14ac:dyDescent="0.25">
      <c r="A77" s="199">
        <f t="shared" si="8"/>
        <v>106.90010074999999</v>
      </c>
      <c r="B77" s="52" t="s">
        <v>57</v>
      </c>
      <c r="C77" s="8" t="s">
        <v>7</v>
      </c>
      <c r="D77" s="199">
        <v>6.15</v>
      </c>
      <c r="E77" s="199">
        <v>4.0500040499999992</v>
      </c>
      <c r="F77" s="199">
        <v>6.7200067199999989</v>
      </c>
      <c r="G77" s="199">
        <v>18.610018609999997</v>
      </c>
      <c r="H77" s="199">
        <v>9.6500096499999994</v>
      </c>
      <c r="I77" s="199">
        <v>6.2400062399999996</v>
      </c>
      <c r="J77" s="199">
        <v>13.020013019999999</v>
      </c>
      <c r="K77" s="199">
        <v>3.4100034099999998</v>
      </c>
      <c r="L77" s="199">
        <v>14.300014299999999</v>
      </c>
      <c r="M77" s="199">
        <v>12.240012239999999</v>
      </c>
      <c r="N77" s="199">
        <v>4.9400049399999997</v>
      </c>
      <c r="O77" s="199">
        <v>7.5700075699999996</v>
      </c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</row>
    <row r="78" spans="1:27" outlineLevel="1" x14ac:dyDescent="0.25">
      <c r="A78" s="199">
        <f t="shared" si="8"/>
        <v>4266.2840092799988</v>
      </c>
      <c r="B78" s="52" t="s">
        <v>57</v>
      </c>
      <c r="C78" s="8" t="s">
        <v>8</v>
      </c>
      <c r="D78" s="199">
        <v>257</v>
      </c>
      <c r="E78" s="199">
        <v>257.76025775999994</v>
      </c>
      <c r="F78" s="199">
        <v>307.94030793999997</v>
      </c>
      <c r="G78" s="199">
        <v>309.31030930999998</v>
      </c>
      <c r="H78" s="199">
        <v>337.34033733999996</v>
      </c>
      <c r="I78" s="199">
        <v>441.40044139999992</v>
      </c>
      <c r="J78" s="199">
        <v>494.33049432999996</v>
      </c>
      <c r="K78" s="199">
        <v>298.84029883999995</v>
      </c>
      <c r="L78" s="199">
        <v>458.61045860999997</v>
      </c>
      <c r="M78" s="199">
        <v>310.66031065999999</v>
      </c>
      <c r="N78" s="199">
        <v>449.82044981999996</v>
      </c>
      <c r="O78" s="199">
        <v>343.27034326999996</v>
      </c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</row>
    <row r="79" spans="1:27" outlineLevel="1" x14ac:dyDescent="0.25">
      <c r="A79" s="199">
        <f t="shared" si="8"/>
        <v>398.46037565999995</v>
      </c>
      <c r="B79" s="52" t="s">
        <v>57</v>
      </c>
      <c r="C79" s="8" t="s">
        <v>9</v>
      </c>
      <c r="D79" s="199">
        <v>22.8</v>
      </c>
      <c r="E79" s="199">
        <v>23.960023959999997</v>
      </c>
      <c r="F79" s="199">
        <v>21.490021489999997</v>
      </c>
      <c r="G79" s="199">
        <v>22.120022119999998</v>
      </c>
      <c r="H79" s="199">
        <v>24.730024729999997</v>
      </c>
      <c r="I79" s="199">
        <v>27.840027839999998</v>
      </c>
      <c r="J79" s="199">
        <v>57.590057590000001</v>
      </c>
      <c r="K79" s="199">
        <v>49.560049559999996</v>
      </c>
      <c r="L79" s="199">
        <v>33.480033479999996</v>
      </c>
      <c r="M79" s="199">
        <v>43.96004396</v>
      </c>
      <c r="N79" s="199">
        <v>39.010039009999993</v>
      </c>
      <c r="O79" s="199">
        <v>31.92003192</v>
      </c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  <c r="AA79" s="199"/>
    </row>
    <row r="80" spans="1:27" outlineLevel="1" x14ac:dyDescent="0.25">
      <c r="A80" s="199">
        <f t="shared" si="8"/>
        <v>6141.6751256699999</v>
      </c>
      <c r="B80" s="52" t="s">
        <v>57</v>
      </c>
      <c r="C80" s="8" t="s">
        <v>10</v>
      </c>
      <c r="D80" s="199">
        <v>1016</v>
      </c>
      <c r="E80" s="199">
        <v>1240.74124074</v>
      </c>
      <c r="F80" s="199">
        <v>783.20078319999993</v>
      </c>
      <c r="G80" s="199">
        <v>577.0305770299999</v>
      </c>
      <c r="H80" s="199">
        <v>314.81031480999997</v>
      </c>
      <c r="I80" s="199">
        <v>84.140084139999999</v>
      </c>
      <c r="J80" s="199">
        <v>329.48032947999997</v>
      </c>
      <c r="K80" s="199">
        <v>582.48058247999995</v>
      </c>
      <c r="L80" s="199">
        <v>237.45023744999997</v>
      </c>
      <c r="M80" s="199">
        <v>406.18040617999998</v>
      </c>
      <c r="N80" s="199">
        <v>337.86033785999996</v>
      </c>
      <c r="O80" s="199">
        <v>232.3002323</v>
      </c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</row>
    <row r="81" spans="1:27" outlineLevel="1" x14ac:dyDescent="0.25">
      <c r="A81" s="199">
        <f t="shared" si="8"/>
        <v>134.19012066000002</v>
      </c>
      <c r="B81" s="52" t="s">
        <v>57</v>
      </c>
      <c r="C81" s="8" t="s">
        <v>11</v>
      </c>
      <c r="D81" s="199">
        <v>13.53</v>
      </c>
      <c r="E81" s="199">
        <v>1.6800016799999997</v>
      </c>
      <c r="F81" s="199">
        <v>11.22001122</v>
      </c>
      <c r="G81" s="199">
        <v>9.280009279999998</v>
      </c>
      <c r="H81" s="199">
        <v>11.42001142</v>
      </c>
      <c r="I81" s="199">
        <v>5.7500057499999997</v>
      </c>
      <c r="J81" s="199">
        <v>3.4800034799999997</v>
      </c>
      <c r="K81" s="199">
        <v>14.440014439999999</v>
      </c>
      <c r="L81" s="199">
        <v>5.7100057099999999</v>
      </c>
      <c r="M81" s="199">
        <v>44.540044539999997</v>
      </c>
      <c r="N81" s="199">
        <v>11.770011769999998</v>
      </c>
      <c r="O81" s="199">
        <v>1.37000137</v>
      </c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</row>
    <row r="82" spans="1:27" outlineLevel="1" x14ac:dyDescent="0.25">
      <c r="A82" s="199">
        <f t="shared" si="8"/>
        <v>50.990000000000009</v>
      </c>
      <c r="B82" s="52" t="s">
        <v>57</v>
      </c>
      <c r="C82" s="8" t="s">
        <v>12</v>
      </c>
      <c r="D82" s="199">
        <v>1E-14</v>
      </c>
      <c r="E82" s="199">
        <v>2.12</v>
      </c>
      <c r="F82" s="199">
        <v>4.6399999999999997</v>
      </c>
      <c r="G82" s="199">
        <v>3.35</v>
      </c>
      <c r="H82" s="199">
        <v>8.83</v>
      </c>
      <c r="I82" s="199">
        <v>8.82</v>
      </c>
      <c r="J82" s="199">
        <v>3.03</v>
      </c>
      <c r="K82" s="199">
        <v>1.72</v>
      </c>
      <c r="L82" s="199">
        <v>4.71</v>
      </c>
      <c r="M82" s="199">
        <v>2.21</v>
      </c>
      <c r="N82" s="199">
        <v>4.2900000000000018</v>
      </c>
      <c r="O82" s="199">
        <v>7.27</v>
      </c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</row>
    <row r="83" spans="1:27" outlineLevel="1" x14ac:dyDescent="0.25">
      <c r="A83" s="199">
        <f t="shared" si="8"/>
        <v>12.890012890000069</v>
      </c>
      <c r="B83" s="52" t="s">
        <v>57</v>
      </c>
      <c r="C83" s="8" t="s">
        <v>13</v>
      </c>
      <c r="D83" s="199">
        <v>1E-14</v>
      </c>
      <c r="E83" s="199">
        <v>4.3200043199999998</v>
      </c>
      <c r="F83" s="199">
        <v>1E-14</v>
      </c>
      <c r="G83" s="199">
        <v>1E-14</v>
      </c>
      <c r="H83" s="199">
        <v>0.45000045</v>
      </c>
      <c r="I83" s="199">
        <v>1E-14</v>
      </c>
      <c r="J83" s="199">
        <v>2.4700024699999998</v>
      </c>
      <c r="K83" s="199">
        <v>1E-14</v>
      </c>
      <c r="L83" s="199">
        <v>1E-14</v>
      </c>
      <c r="M83" s="199">
        <v>1E-14</v>
      </c>
      <c r="N83" s="199">
        <v>2.5000024999999999</v>
      </c>
      <c r="O83" s="199">
        <v>3.1500031499999999</v>
      </c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  <c r="AA83" s="199"/>
    </row>
    <row r="84" spans="1:27" outlineLevel="1" x14ac:dyDescent="0.25">
      <c r="A84" s="199">
        <f t="shared" si="8"/>
        <v>24148.919862468654</v>
      </c>
      <c r="B84" s="52" t="s">
        <v>57</v>
      </c>
      <c r="C84" s="8" t="s">
        <v>14</v>
      </c>
      <c r="D84" s="199">
        <v>2200.102821207854</v>
      </c>
      <c r="E84" s="199">
        <v>2882.6877230026766</v>
      </c>
      <c r="F84" s="199">
        <v>2752.3099669053076</v>
      </c>
      <c r="G84" s="199">
        <v>2285.9925229421096</v>
      </c>
      <c r="H84" s="199">
        <v>1179.0345477286128</v>
      </c>
      <c r="I84" s="199">
        <v>800.73518495309452</v>
      </c>
      <c r="J84" s="199">
        <v>1211.9015214260874</v>
      </c>
      <c r="K84" s="199">
        <v>1334.0041338119879</v>
      </c>
      <c r="L84" s="199">
        <v>1273.4306481498538</v>
      </c>
      <c r="M84" s="199">
        <v>2288.5550567518198</v>
      </c>
      <c r="N84" s="199">
        <v>3106.7183031400173</v>
      </c>
      <c r="O84" s="199">
        <v>2833.4474324492348</v>
      </c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</row>
    <row r="85" spans="1:27" outlineLevel="1" x14ac:dyDescent="0.25">
      <c r="A85" s="199">
        <f t="shared" si="8"/>
        <v>154.09015409000003</v>
      </c>
      <c r="B85" s="52" t="s">
        <v>57</v>
      </c>
      <c r="C85" s="8" t="s">
        <v>15</v>
      </c>
      <c r="D85" s="199">
        <v>1E-14</v>
      </c>
      <c r="E85" s="199">
        <v>1E-14</v>
      </c>
      <c r="F85" s="199">
        <v>1E-14</v>
      </c>
      <c r="G85" s="199">
        <v>154.09015409</v>
      </c>
      <c r="H85" s="199">
        <v>1E-14</v>
      </c>
      <c r="I85" s="199">
        <v>1E-14</v>
      </c>
      <c r="J85" s="199">
        <v>1E-14</v>
      </c>
      <c r="K85" s="199">
        <v>1E-14</v>
      </c>
      <c r="L85" s="199">
        <v>1E-14</v>
      </c>
      <c r="M85" s="199">
        <v>1E-14</v>
      </c>
      <c r="N85" s="199">
        <v>1E-14</v>
      </c>
      <c r="O85" s="199">
        <v>1E-14</v>
      </c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  <c r="AA85" s="199"/>
    </row>
    <row r="86" spans="1:27" outlineLevel="1" x14ac:dyDescent="0.25">
      <c r="A86" s="199">
        <f t="shared" si="8"/>
        <v>-1.1999999999999997E-13</v>
      </c>
      <c r="B86" s="52" t="s">
        <v>57</v>
      </c>
      <c r="C86" s="8" t="s">
        <v>16</v>
      </c>
      <c r="D86" s="199">
        <v>-1E-14</v>
      </c>
      <c r="E86" s="199">
        <v>-1E-14</v>
      </c>
      <c r="F86" s="199">
        <v>-1E-14</v>
      </c>
      <c r="G86" s="199">
        <v>-1E-14</v>
      </c>
      <c r="H86" s="199">
        <v>-1E-14</v>
      </c>
      <c r="I86" s="199">
        <v>-1E-14</v>
      </c>
      <c r="J86" s="199">
        <v>-1E-14</v>
      </c>
      <c r="K86" s="199">
        <v>-1E-14</v>
      </c>
      <c r="L86" s="199">
        <v>-1E-14</v>
      </c>
      <c r="M86" s="199">
        <v>-1E-14</v>
      </c>
      <c r="N86" s="199">
        <v>-1E-14</v>
      </c>
      <c r="O86" s="199">
        <v>-1E-14</v>
      </c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</row>
    <row r="87" spans="1:27" outlineLevel="1" x14ac:dyDescent="0.25">
      <c r="A87" s="199">
        <f t="shared" si="8"/>
        <v>987.03098702999989</v>
      </c>
      <c r="B87" s="52" t="s">
        <v>57</v>
      </c>
      <c r="C87" s="8" t="s">
        <v>18</v>
      </c>
      <c r="D87" s="199">
        <v>1E-14</v>
      </c>
      <c r="E87" s="199">
        <v>143.63014362999999</v>
      </c>
      <c r="F87" s="199">
        <v>49.690049689999995</v>
      </c>
      <c r="G87" s="199">
        <v>116.49011648999999</v>
      </c>
      <c r="H87" s="199">
        <v>144.72014471999998</v>
      </c>
      <c r="I87" s="199">
        <v>157.86015785999999</v>
      </c>
      <c r="J87" s="199">
        <v>62.100062099999995</v>
      </c>
      <c r="K87" s="199">
        <v>2.9200029199999995</v>
      </c>
      <c r="L87" s="199">
        <v>54.700054699999995</v>
      </c>
      <c r="M87" s="199">
        <v>78.220078219999991</v>
      </c>
      <c r="N87" s="199">
        <v>92.890092889999991</v>
      </c>
      <c r="O87" s="199">
        <v>83.810083809999995</v>
      </c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  <c r="AA87" s="199"/>
    </row>
    <row r="88" spans="1:27" outlineLevel="1" x14ac:dyDescent="0.25">
      <c r="A88" s="199">
        <f t="shared" si="8"/>
        <v>-1.1999999999999997E-13</v>
      </c>
      <c r="B88" s="52" t="s">
        <v>57</v>
      </c>
      <c r="C88" s="8" t="s">
        <v>19</v>
      </c>
      <c r="D88" s="199">
        <v>-1E-14</v>
      </c>
      <c r="E88" s="199">
        <v>-1E-14</v>
      </c>
      <c r="F88" s="199">
        <v>-1E-14</v>
      </c>
      <c r="G88" s="199">
        <v>-1E-14</v>
      </c>
      <c r="H88" s="199">
        <v>-1E-14</v>
      </c>
      <c r="I88" s="199">
        <v>-1E-14</v>
      </c>
      <c r="J88" s="199">
        <v>-1E-14</v>
      </c>
      <c r="K88" s="199">
        <v>-1E-14</v>
      </c>
      <c r="L88" s="199">
        <v>-1E-14</v>
      </c>
      <c r="M88" s="199">
        <v>-1E-14</v>
      </c>
      <c r="N88" s="199">
        <v>-1E-14</v>
      </c>
      <c r="O88" s="199">
        <v>-1E-14</v>
      </c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</row>
    <row r="89" spans="1:27" outlineLevel="1" x14ac:dyDescent="0.25">
      <c r="A89" s="199">
        <f t="shared" si="8"/>
        <v>103.32010332</v>
      </c>
      <c r="B89" s="52" t="s">
        <v>57</v>
      </c>
      <c r="C89" s="8" t="s">
        <v>20</v>
      </c>
      <c r="D89" s="199">
        <v>1E-14</v>
      </c>
      <c r="E89" s="199">
        <v>9.2400092399999991</v>
      </c>
      <c r="F89" s="199">
        <v>15.290015289999998</v>
      </c>
      <c r="G89" s="199">
        <v>9.1700091699999984</v>
      </c>
      <c r="H89" s="199">
        <v>12.23001223</v>
      </c>
      <c r="I89" s="199">
        <v>12.06001206</v>
      </c>
      <c r="J89" s="199">
        <v>10.96001096</v>
      </c>
      <c r="K89" s="199">
        <v>10.58001058</v>
      </c>
      <c r="L89" s="199">
        <v>0.91000090999999994</v>
      </c>
      <c r="M89" s="199">
        <v>1E-14</v>
      </c>
      <c r="N89" s="199">
        <v>9.470009469999999</v>
      </c>
      <c r="O89" s="199">
        <v>13.410013409999999</v>
      </c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  <c r="AA89" s="199"/>
    </row>
    <row r="90" spans="1:27" outlineLevel="1" x14ac:dyDescent="0.25">
      <c r="A90" s="199">
        <f t="shared" si="8"/>
        <v>212.20019700999998</v>
      </c>
      <c r="B90" s="52" t="s">
        <v>57</v>
      </c>
      <c r="C90" s="8" t="s">
        <v>17</v>
      </c>
      <c r="D90" s="199">
        <v>15.19</v>
      </c>
      <c r="E90" s="199">
        <v>5.4200054199999999</v>
      </c>
      <c r="F90" s="199">
        <v>32.670032669999998</v>
      </c>
      <c r="G90" s="199">
        <v>48.460048459999996</v>
      </c>
      <c r="H90" s="199">
        <v>9.1100091099999982</v>
      </c>
      <c r="I90" s="199">
        <v>2.0500020499999998</v>
      </c>
      <c r="J90" s="199">
        <v>23.100023099999998</v>
      </c>
      <c r="K90" s="199">
        <v>25.1000251</v>
      </c>
      <c r="L90" s="199">
        <v>24.470024469999998</v>
      </c>
      <c r="M90" s="199">
        <v>15.680015679999999</v>
      </c>
      <c r="N90" s="199">
        <v>4.9800049800000004</v>
      </c>
      <c r="O90" s="199">
        <v>5.970005969999999</v>
      </c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  <c r="AA90" s="199"/>
    </row>
    <row r="91" spans="1:27" outlineLevel="1" x14ac:dyDescent="0.25">
      <c r="A91" s="199">
        <f t="shared" si="8"/>
        <v>10000.009999999995</v>
      </c>
      <c r="B91" s="52" t="s">
        <v>57</v>
      </c>
      <c r="C91" s="8" t="s">
        <v>26</v>
      </c>
      <c r="D91" s="199">
        <v>1E-14</v>
      </c>
      <c r="E91" s="199">
        <v>1215.8633857692166</v>
      </c>
      <c r="F91" s="199">
        <v>1605.5759271965696</v>
      </c>
      <c r="G91" s="199">
        <v>1027.146934105873</v>
      </c>
      <c r="H91" s="199">
        <v>149.9901880563913</v>
      </c>
      <c r="I91" s="199">
        <v>504.44535522410246</v>
      </c>
      <c r="J91" s="199">
        <v>1E-14</v>
      </c>
      <c r="K91" s="199">
        <v>441.36098345522282</v>
      </c>
      <c r="L91" s="199">
        <v>525.49568881534651</v>
      </c>
      <c r="M91" s="199">
        <v>670.84633083867038</v>
      </c>
      <c r="N91" s="199">
        <v>1151.4305896390454</v>
      </c>
      <c r="O91" s="199">
        <v>2707.8546168995581</v>
      </c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</row>
    <row r="92" spans="1:27" outlineLevel="1" x14ac:dyDescent="0.25">
      <c r="A92" s="199">
        <f t="shared" si="8"/>
        <v>-1.1999999999999997E-13</v>
      </c>
      <c r="B92" s="52" t="s">
        <v>57</v>
      </c>
      <c r="C92" s="8" t="s">
        <v>27</v>
      </c>
      <c r="D92" s="199">
        <v>-1E-14</v>
      </c>
      <c r="E92" s="199">
        <v>-1E-14</v>
      </c>
      <c r="F92" s="199">
        <v>-1E-14</v>
      </c>
      <c r="G92" s="199">
        <v>-1E-14</v>
      </c>
      <c r="H92" s="199">
        <v>-1E-14</v>
      </c>
      <c r="I92" s="199">
        <v>-1E-14</v>
      </c>
      <c r="J92" s="199">
        <v>-1E-14</v>
      </c>
      <c r="K92" s="199">
        <v>-1E-14</v>
      </c>
      <c r="L92" s="199">
        <v>-1E-14</v>
      </c>
      <c r="M92" s="199">
        <v>-1E-14</v>
      </c>
      <c r="N92" s="199">
        <v>-1E-14</v>
      </c>
      <c r="O92" s="199">
        <v>-1E-14</v>
      </c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</row>
    <row r="93" spans="1:27" s="16" customFormat="1" outlineLevel="1" x14ac:dyDescent="0.25">
      <c r="A93" s="199">
        <f t="shared" si="8"/>
        <v>-1.1999999999999997E-13</v>
      </c>
      <c r="B93" s="52" t="s">
        <v>57</v>
      </c>
      <c r="C93" s="8" t="s">
        <v>59</v>
      </c>
      <c r="D93" s="199">
        <v>-1E-14</v>
      </c>
      <c r="E93" s="199">
        <v>-1E-14</v>
      </c>
      <c r="F93" s="199">
        <v>-1E-14</v>
      </c>
      <c r="G93" s="199">
        <v>-1E-14</v>
      </c>
      <c r="H93" s="199">
        <v>-1E-14</v>
      </c>
      <c r="I93" s="199">
        <v>-1E-14</v>
      </c>
      <c r="J93" s="199">
        <v>-1E-14</v>
      </c>
      <c r="K93" s="199">
        <v>-1E-14</v>
      </c>
      <c r="L93" s="199">
        <v>-1E-14</v>
      </c>
      <c r="M93" s="199">
        <v>-1E-14</v>
      </c>
      <c r="N93" s="199">
        <v>-1E-14</v>
      </c>
      <c r="O93" s="199">
        <v>-1E-14</v>
      </c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  <c r="AA93" s="199"/>
    </row>
    <row r="94" spans="1:27" s="16" customFormat="1" outlineLevel="1" x14ac:dyDescent="0.25">
      <c r="A94" s="199">
        <f t="shared" si="8"/>
        <v>-1.1999999999999997E-13</v>
      </c>
      <c r="B94" s="52" t="s">
        <v>57</v>
      </c>
      <c r="C94" s="8" t="s">
        <v>60</v>
      </c>
      <c r="D94" s="199">
        <v>-1E-14</v>
      </c>
      <c r="E94" s="199">
        <v>-1E-14</v>
      </c>
      <c r="F94" s="199">
        <v>-1E-14</v>
      </c>
      <c r="G94" s="199">
        <v>-1E-14</v>
      </c>
      <c r="H94" s="199">
        <v>-1E-14</v>
      </c>
      <c r="I94" s="199">
        <v>-1E-14</v>
      </c>
      <c r="J94" s="199">
        <v>-1E-14</v>
      </c>
      <c r="K94" s="199">
        <v>-1E-14</v>
      </c>
      <c r="L94" s="199">
        <v>-1E-14</v>
      </c>
      <c r="M94" s="199">
        <v>-1E-14</v>
      </c>
      <c r="N94" s="199">
        <v>-1E-14</v>
      </c>
      <c r="O94" s="199">
        <v>-1E-14</v>
      </c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</row>
    <row r="95" spans="1:27" s="16" customFormat="1" outlineLevel="1" x14ac:dyDescent="0.25">
      <c r="A95" s="199">
        <f t="shared" si="8"/>
        <v>-1.1999999999999997E-13</v>
      </c>
      <c r="B95" s="52" t="s">
        <v>57</v>
      </c>
      <c r="C95" s="8" t="s">
        <v>61</v>
      </c>
      <c r="D95" s="199">
        <v>-1E-14</v>
      </c>
      <c r="E95" s="199">
        <v>-1E-14</v>
      </c>
      <c r="F95" s="199">
        <v>-1E-14</v>
      </c>
      <c r="G95" s="199">
        <v>-1E-14</v>
      </c>
      <c r="H95" s="199">
        <v>-1E-14</v>
      </c>
      <c r="I95" s="199">
        <v>-1E-14</v>
      </c>
      <c r="J95" s="199">
        <v>-1E-14</v>
      </c>
      <c r="K95" s="199">
        <v>-1E-14</v>
      </c>
      <c r="L95" s="199">
        <v>-1E-14</v>
      </c>
      <c r="M95" s="199">
        <v>-1E-14</v>
      </c>
      <c r="N95" s="199">
        <v>-1E-14</v>
      </c>
      <c r="O95" s="199">
        <v>-1E-14</v>
      </c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  <c r="AA95" s="199"/>
    </row>
    <row r="96" spans="1:27" outlineLevel="1" x14ac:dyDescent="0.25">
      <c r="A96" s="199">
        <f t="shared" si="8"/>
        <v>1.1999999999999997E-13</v>
      </c>
      <c r="B96" s="52" t="s">
        <v>57</v>
      </c>
      <c r="C96" s="8" t="s">
        <v>21</v>
      </c>
      <c r="D96" s="199">
        <v>1E-14</v>
      </c>
      <c r="E96" s="199">
        <v>1E-14</v>
      </c>
      <c r="F96" s="199">
        <v>1E-14</v>
      </c>
      <c r="G96" s="199">
        <v>1E-14</v>
      </c>
      <c r="H96" s="199">
        <v>1E-14</v>
      </c>
      <c r="I96" s="199">
        <v>1E-14</v>
      </c>
      <c r="J96" s="199">
        <v>1E-14</v>
      </c>
      <c r="K96" s="199">
        <v>1E-14</v>
      </c>
      <c r="L96" s="199">
        <v>1E-14</v>
      </c>
      <c r="M96" s="199">
        <v>1E-14</v>
      </c>
      <c r="N96" s="199">
        <v>1E-14</v>
      </c>
      <c r="O96" s="199">
        <v>1E-14</v>
      </c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  <c r="AA96" s="199"/>
    </row>
    <row r="97" spans="1:27" outlineLevel="1" x14ac:dyDescent="0.25">
      <c r="A97" s="199">
        <f t="shared" si="8"/>
        <v>9600</v>
      </c>
      <c r="B97" s="52" t="s">
        <v>57</v>
      </c>
      <c r="C97" s="8" t="s">
        <v>22</v>
      </c>
      <c r="D97" s="199">
        <v>4000</v>
      </c>
      <c r="E97" s="199">
        <v>1E-14</v>
      </c>
      <c r="F97" s="199">
        <v>1E-14</v>
      </c>
      <c r="G97" s="199">
        <v>1E-14</v>
      </c>
      <c r="H97" s="199">
        <v>1E-14</v>
      </c>
      <c r="I97" s="199">
        <v>1E-14</v>
      </c>
      <c r="J97" s="199">
        <v>1E-14</v>
      </c>
      <c r="K97" s="199">
        <v>1E-14</v>
      </c>
      <c r="L97" s="199">
        <v>1E-14</v>
      </c>
      <c r="M97" s="199">
        <v>1E-14</v>
      </c>
      <c r="N97" s="199">
        <v>1E-14</v>
      </c>
      <c r="O97" s="199">
        <v>5600</v>
      </c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  <c r="AA97" s="199"/>
    </row>
    <row r="98" spans="1:27" outlineLevel="1" x14ac:dyDescent="0.25">
      <c r="A98" s="199">
        <f t="shared" si="8"/>
        <v>1.1999999999999997E-13</v>
      </c>
      <c r="B98" s="52" t="s">
        <v>57</v>
      </c>
      <c r="C98" s="8" t="s">
        <v>25</v>
      </c>
      <c r="D98" s="199">
        <v>1E-14</v>
      </c>
      <c r="E98" s="199">
        <v>1E-14</v>
      </c>
      <c r="F98" s="199">
        <v>1E-14</v>
      </c>
      <c r="G98" s="199">
        <v>1E-14</v>
      </c>
      <c r="H98" s="199">
        <v>1E-14</v>
      </c>
      <c r="I98" s="199">
        <v>1E-14</v>
      </c>
      <c r="J98" s="199">
        <v>1E-14</v>
      </c>
      <c r="K98" s="199">
        <v>1E-14</v>
      </c>
      <c r="L98" s="199">
        <v>1E-14</v>
      </c>
      <c r="M98" s="199">
        <v>1E-14</v>
      </c>
      <c r="N98" s="199">
        <v>1E-14</v>
      </c>
      <c r="O98" s="199">
        <v>1E-14</v>
      </c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  <c r="AA98" s="199"/>
    </row>
    <row r="99" spans="1:27" outlineLevel="1" x14ac:dyDescent="0.25">
      <c r="A99" s="200"/>
      <c r="B99" s="52"/>
      <c r="C99" s="8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</row>
    <row r="100" spans="1:27" outlineLevel="1" x14ac:dyDescent="0.25">
      <c r="A100" s="7"/>
      <c r="B100" s="50"/>
      <c r="C100" s="198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</row>
    <row r="101" spans="1:27" s="75" customFormat="1" ht="18.75" x14ac:dyDescent="0.3">
      <c r="A101" s="77" t="s">
        <v>215</v>
      </c>
      <c r="B101" s="74" t="s">
        <v>66</v>
      </c>
      <c r="C101" s="76"/>
      <c r="D101" s="78" t="s">
        <v>229</v>
      </c>
      <c r="E101" s="78" t="s">
        <v>236</v>
      </c>
      <c r="F101" s="78" t="s">
        <v>237</v>
      </c>
      <c r="G101" s="78" t="s">
        <v>238</v>
      </c>
      <c r="H101" s="78" t="s">
        <v>239</v>
      </c>
      <c r="I101" s="78" t="s">
        <v>240</v>
      </c>
      <c r="J101" s="78" t="s">
        <v>241</v>
      </c>
      <c r="K101" s="78" t="s">
        <v>242</v>
      </c>
      <c r="L101" s="78" t="s">
        <v>243</v>
      </c>
      <c r="M101" s="78" t="s">
        <v>244</v>
      </c>
      <c r="N101" s="78" t="s">
        <v>245</v>
      </c>
      <c r="O101" s="78" t="s">
        <v>246</v>
      </c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</row>
    <row r="102" spans="1:27" outlineLevel="1" x14ac:dyDescent="0.25">
      <c r="A102" s="201">
        <f t="shared" ref="A102:A130" si="9">SUM(D102:O102)</f>
        <v>6780537.2284964994</v>
      </c>
      <c r="B102" s="205" t="s">
        <v>55</v>
      </c>
      <c r="C102" s="202" t="s">
        <v>0</v>
      </c>
      <c r="D102" s="201">
        <v>2052036</v>
      </c>
      <c r="E102" s="201">
        <v>510825.51082499995</v>
      </c>
      <c r="F102" s="201">
        <v>893860.64385974989</v>
      </c>
      <c r="G102" s="201">
        <v>665695.41569474991</v>
      </c>
      <c r="H102" s="201">
        <v>55503.055502999996</v>
      </c>
      <c r="I102" s="201">
        <v>1E-14</v>
      </c>
      <c r="J102" s="201">
        <v>95739.095739000011</v>
      </c>
      <c r="K102" s="201">
        <v>84913.584913499988</v>
      </c>
      <c r="L102" s="201">
        <v>774312.77431200002</v>
      </c>
      <c r="M102" s="201">
        <v>729703.47970274999</v>
      </c>
      <c r="N102" s="201">
        <v>98432.348432249986</v>
      </c>
      <c r="O102" s="201">
        <v>819515.31951449986</v>
      </c>
      <c r="P102" s="201"/>
      <c r="Q102" s="201"/>
      <c r="R102" s="201"/>
      <c r="S102" s="201"/>
      <c r="T102" s="201"/>
      <c r="U102" s="201"/>
      <c r="V102" s="201"/>
      <c r="W102" s="201"/>
      <c r="X102" s="201"/>
      <c r="Y102" s="201"/>
      <c r="Z102" s="201"/>
      <c r="AA102" s="201"/>
    </row>
    <row r="103" spans="1:27" outlineLevel="1" x14ac:dyDescent="0.25">
      <c r="A103" s="201">
        <f t="shared" si="9"/>
        <v>-1.1999999999999997E-13</v>
      </c>
      <c r="B103" s="205" t="s">
        <v>55</v>
      </c>
      <c r="C103" s="202" t="s">
        <v>1</v>
      </c>
      <c r="D103" s="201">
        <v>-1E-14</v>
      </c>
      <c r="E103" s="201">
        <v>-1E-14</v>
      </c>
      <c r="F103" s="201">
        <v>-1E-14</v>
      </c>
      <c r="G103" s="201">
        <v>-1E-14</v>
      </c>
      <c r="H103" s="201">
        <v>-1E-14</v>
      </c>
      <c r="I103" s="201">
        <v>-1E-14</v>
      </c>
      <c r="J103" s="201">
        <v>-1E-14</v>
      </c>
      <c r="K103" s="201">
        <v>-1E-14</v>
      </c>
      <c r="L103" s="201">
        <v>-1E-14</v>
      </c>
      <c r="M103" s="201">
        <v>-1E-14</v>
      </c>
      <c r="N103" s="201">
        <v>-1E-14</v>
      </c>
      <c r="O103" s="201">
        <v>-1E-14</v>
      </c>
      <c r="P103" s="201"/>
      <c r="Q103" s="201"/>
      <c r="R103" s="201"/>
      <c r="S103" s="201"/>
      <c r="T103" s="201"/>
      <c r="U103" s="201"/>
      <c r="V103" s="201"/>
      <c r="W103" s="201"/>
      <c r="X103" s="201"/>
      <c r="Y103" s="201"/>
      <c r="Z103" s="201"/>
      <c r="AA103" s="201"/>
    </row>
    <row r="104" spans="1:27" outlineLevel="1" x14ac:dyDescent="0.25">
      <c r="A104" s="201">
        <f t="shared" si="9"/>
        <v>-1.1999999999999997E-13</v>
      </c>
      <c r="B104" s="205" t="s">
        <v>55</v>
      </c>
      <c r="C104" s="202" t="s">
        <v>2</v>
      </c>
      <c r="D104" s="201">
        <v>-1E-14</v>
      </c>
      <c r="E104" s="201">
        <v>-1E-14</v>
      </c>
      <c r="F104" s="201">
        <v>-1E-14</v>
      </c>
      <c r="G104" s="201">
        <v>-1E-14</v>
      </c>
      <c r="H104" s="201">
        <v>-1E-14</v>
      </c>
      <c r="I104" s="201">
        <v>-1E-14</v>
      </c>
      <c r="J104" s="201">
        <v>-1E-14</v>
      </c>
      <c r="K104" s="201">
        <v>-1E-14</v>
      </c>
      <c r="L104" s="201">
        <v>-1E-14</v>
      </c>
      <c r="M104" s="201">
        <v>-1E-14</v>
      </c>
      <c r="N104" s="201">
        <v>-1E-14</v>
      </c>
      <c r="O104" s="201">
        <v>-1E-14</v>
      </c>
      <c r="P104" s="201"/>
      <c r="Q104" s="201"/>
      <c r="R104" s="201"/>
      <c r="S104" s="201"/>
      <c r="T104" s="201"/>
      <c r="U104" s="201"/>
      <c r="V104" s="201"/>
      <c r="W104" s="201"/>
      <c r="X104" s="201"/>
      <c r="Y104" s="201"/>
      <c r="Z104" s="201"/>
      <c r="AA104" s="201"/>
    </row>
    <row r="105" spans="1:27" outlineLevel="1" x14ac:dyDescent="0.25">
      <c r="A105" s="201">
        <f t="shared" si="9"/>
        <v>15102573.365145</v>
      </c>
      <c r="B105" s="205" t="s">
        <v>55</v>
      </c>
      <c r="C105" s="202" t="s">
        <v>3</v>
      </c>
      <c r="D105" s="201">
        <v>1237414.5</v>
      </c>
      <c r="E105" s="201">
        <v>1118198.6181975</v>
      </c>
      <c r="F105" s="201">
        <v>1320486.5704852499</v>
      </c>
      <c r="G105" s="201">
        <v>1271204.7712035</v>
      </c>
      <c r="H105" s="201">
        <v>1219607.7196064999</v>
      </c>
      <c r="I105" s="201">
        <v>1282964.7829634997</v>
      </c>
      <c r="J105" s="201">
        <v>1360318.360317</v>
      </c>
      <c r="K105" s="201">
        <v>1328692.3286910001</v>
      </c>
      <c r="L105" s="201">
        <v>1253937.5039362498</v>
      </c>
      <c r="M105" s="201">
        <v>1191425.6914245</v>
      </c>
      <c r="N105" s="201">
        <v>1233929.7339285</v>
      </c>
      <c r="O105" s="201">
        <v>1284392.7843914998</v>
      </c>
      <c r="P105" s="201"/>
      <c r="Q105" s="201"/>
      <c r="R105" s="201"/>
      <c r="S105" s="201"/>
      <c r="T105" s="201"/>
      <c r="U105" s="201"/>
      <c r="V105" s="201"/>
      <c r="W105" s="201"/>
      <c r="X105" s="201"/>
      <c r="Y105" s="201"/>
      <c r="Z105" s="201"/>
      <c r="AA105" s="201"/>
    </row>
    <row r="106" spans="1:27" outlineLevel="1" x14ac:dyDescent="0.25">
      <c r="A106" s="201">
        <f t="shared" si="9"/>
        <v>2222016.7172957249</v>
      </c>
      <c r="B106" s="205" t="s">
        <v>55</v>
      </c>
      <c r="C106" s="202" t="s">
        <v>4</v>
      </c>
      <c r="D106" s="201">
        <v>229719</v>
      </c>
      <c r="E106" s="201">
        <v>181125.181125</v>
      </c>
      <c r="F106" s="201">
        <v>283873.03387275001</v>
      </c>
      <c r="G106" s="201">
        <v>231099.98109974997</v>
      </c>
      <c r="H106" s="201">
        <v>212189.46218924999</v>
      </c>
      <c r="I106" s="201">
        <v>54642.054641999988</v>
      </c>
      <c r="J106" s="201">
        <v>163563.91356375001</v>
      </c>
      <c r="K106" s="201">
        <v>162009.387009225</v>
      </c>
      <c r="L106" s="201">
        <v>201999.20199899998</v>
      </c>
      <c r="M106" s="201">
        <v>177733.67773349999</v>
      </c>
      <c r="N106" s="201">
        <v>155342.40534224999</v>
      </c>
      <c r="O106" s="201">
        <v>168719.41871925001</v>
      </c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1"/>
      <c r="AA106" s="201"/>
    </row>
    <row r="107" spans="1:27" outlineLevel="1" x14ac:dyDescent="0.25">
      <c r="A107" s="201">
        <f t="shared" si="9"/>
        <v>5169.2551692499992</v>
      </c>
      <c r="B107" s="205" t="s">
        <v>55</v>
      </c>
      <c r="C107" s="202" t="s">
        <v>5</v>
      </c>
      <c r="D107" s="201">
        <v>1E-14</v>
      </c>
      <c r="E107" s="201">
        <v>1E-14</v>
      </c>
      <c r="F107" s="201">
        <v>1E-14</v>
      </c>
      <c r="G107" s="201">
        <v>5169.2551692499992</v>
      </c>
      <c r="H107" s="201">
        <v>1E-14</v>
      </c>
      <c r="I107" s="201">
        <v>1E-14</v>
      </c>
      <c r="J107" s="201">
        <v>1E-14</v>
      </c>
      <c r="K107" s="201">
        <v>1E-14</v>
      </c>
      <c r="L107" s="201">
        <v>1E-14</v>
      </c>
      <c r="M107" s="201">
        <v>1E-14</v>
      </c>
      <c r="N107" s="201">
        <v>1E-14</v>
      </c>
      <c r="O107" s="201">
        <v>1E-14</v>
      </c>
      <c r="P107" s="201"/>
      <c r="Q107" s="201"/>
      <c r="R107" s="201"/>
      <c r="S107" s="201"/>
      <c r="T107" s="201"/>
      <c r="U107" s="201"/>
      <c r="V107" s="201"/>
      <c r="W107" s="201"/>
      <c r="X107" s="201"/>
      <c r="Y107" s="201"/>
      <c r="Z107" s="201"/>
      <c r="AA107" s="201"/>
    </row>
    <row r="108" spans="1:27" outlineLevel="1" x14ac:dyDescent="0.25">
      <c r="A108" s="201">
        <f t="shared" si="9"/>
        <v>2099015.0990129998</v>
      </c>
      <c r="B108" s="205" t="s">
        <v>55</v>
      </c>
      <c r="C108" s="202" t="s">
        <v>6</v>
      </c>
      <c r="D108" s="201">
        <v>1E-14</v>
      </c>
      <c r="E108" s="201">
        <v>136956.88695674998</v>
      </c>
      <c r="F108" s="201">
        <v>182211.93221174998</v>
      </c>
      <c r="G108" s="201">
        <v>174504.92450474997</v>
      </c>
      <c r="H108" s="201">
        <v>173575.6735755</v>
      </c>
      <c r="I108" s="201">
        <v>219245.46924524999</v>
      </c>
      <c r="J108" s="201">
        <v>252929.50292924998</v>
      </c>
      <c r="K108" s="201">
        <v>212514.96251474999</v>
      </c>
      <c r="L108" s="201">
        <v>220442.47044224999</v>
      </c>
      <c r="M108" s="201">
        <v>198208.69820849999</v>
      </c>
      <c r="N108" s="201">
        <v>163374.91337475</v>
      </c>
      <c r="O108" s="201">
        <v>165049.66504949998</v>
      </c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1"/>
      <c r="AA108" s="201"/>
    </row>
    <row r="109" spans="1:27" outlineLevel="1" x14ac:dyDescent="0.25">
      <c r="A109" s="201">
        <f t="shared" si="9"/>
        <v>56122.552893749991</v>
      </c>
      <c r="B109" s="205" t="s">
        <v>55</v>
      </c>
      <c r="C109" s="202" t="s">
        <v>7</v>
      </c>
      <c r="D109" s="201">
        <v>3228.75</v>
      </c>
      <c r="E109" s="201">
        <v>2126.2521262499995</v>
      </c>
      <c r="F109" s="201">
        <v>3528.0035279999993</v>
      </c>
      <c r="G109" s="201">
        <v>9770.2597702499988</v>
      </c>
      <c r="H109" s="201">
        <v>5066.2550662499998</v>
      </c>
      <c r="I109" s="201">
        <v>3276.0032759999999</v>
      </c>
      <c r="J109" s="201">
        <v>6835.5068354999994</v>
      </c>
      <c r="K109" s="201">
        <v>1790.2517902499999</v>
      </c>
      <c r="L109" s="201">
        <v>7507.5075074999995</v>
      </c>
      <c r="M109" s="201">
        <v>6426.006425999999</v>
      </c>
      <c r="N109" s="201">
        <v>2593.5025934999999</v>
      </c>
      <c r="O109" s="201">
        <v>3974.2539742499998</v>
      </c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</row>
    <row r="110" spans="1:27" outlineLevel="1" x14ac:dyDescent="0.25">
      <c r="A110" s="201">
        <f t="shared" si="9"/>
        <v>2239799.1048719999</v>
      </c>
      <c r="B110" s="205" t="s">
        <v>55</v>
      </c>
      <c r="C110" s="202" t="s">
        <v>8</v>
      </c>
      <c r="D110" s="201">
        <v>134925</v>
      </c>
      <c r="E110" s="201">
        <v>135324.13532399997</v>
      </c>
      <c r="F110" s="201">
        <v>161668.66166849999</v>
      </c>
      <c r="G110" s="201">
        <v>162387.91238775</v>
      </c>
      <c r="H110" s="201">
        <v>177103.67710349997</v>
      </c>
      <c r="I110" s="201">
        <v>231735.23173499995</v>
      </c>
      <c r="J110" s="201">
        <v>259523.50952324999</v>
      </c>
      <c r="K110" s="201">
        <v>156891.15689099996</v>
      </c>
      <c r="L110" s="201">
        <v>240770.49077024998</v>
      </c>
      <c r="M110" s="201">
        <v>163096.66309650001</v>
      </c>
      <c r="N110" s="201">
        <v>236155.7361555</v>
      </c>
      <c r="O110" s="201">
        <v>180216.93021674998</v>
      </c>
      <c r="P110" s="201"/>
      <c r="Q110" s="201"/>
      <c r="R110" s="201"/>
      <c r="S110" s="201"/>
      <c r="T110" s="201"/>
      <c r="U110" s="201"/>
      <c r="V110" s="201"/>
      <c r="W110" s="201"/>
      <c r="X110" s="201"/>
      <c r="Y110" s="201"/>
      <c r="Z110" s="201"/>
      <c r="AA110" s="201"/>
    </row>
    <row r="111" spans="1:27" outlineLevel="1" x14ac:dyDescent="0.25">
      <c r="A111" s="201">
        <f t="shared" si="9"/>
        <v>209191.69722150001</v>
      </c>
      <c r="B111" s="205" t="s">
        <v>55</v>
      </c>
      <c r="C111" s="202" t="s">
        <v>9</v>
      </c>
      <c r="D111" s="201">
        <v>11970</v>
      </c>
      <c r="E111" s="201">
        <v>12579.012578999998</v>
      </c>
      <c r="F111" s="201">
        <v>11282.261282249998</v>
      </c>
      <c r="G111" s="201">
        <v>11613.011612999999</v>
      </c>
      <c r="H111" s="201">
        <v>12983.262983249999</v>
      </c>
      <c r="I111" s="201">
        <v>14616.014615999999</v>
      </c>
      <c r="J111" s="201">
        <v>30234.78023475</v>
      </c>
      <c r="K111" s="201">
        <v>26019.026018999997</v>
      </c>
      <c r="L111" s="201">
        <v>17577.017576999999</v>
      </c>
      <c r="M111" s="201">
        <v>23079.023078999999</v>
      </c>
      <c r="N111" s="201">
        <v>20480.270480249997</v>
      </c>
      <c r="O111" s="201">
        <v>16758.016758000002</v>
      </c>
      <c r="P111" s="201"/>
      <c r="Q111" s="201"/>
      <c r="R111" s="201"/>
      <c r="S111" s="201"/>
      <c r="T111" s="201"/>
      <c r="U111" s="201"/>
      <c r="V111" s="201"/>
      <c r="W111" s="201"/>
      <c r="X111" s="201"/>
      <c r="Y111" s="201"/>
      <c r="Z111" s="201"/>
      <c r="AA111" s="201"/>
    </row>
    <row r="112" spans="1:27" outlineLevel="1" x14ac:dyDescent="0.25">
      <c r="A112" s="201">
        <f t="shared" si="9"/>
        <v>3224379.4409767496</v>
      </c>
      <c r="B112" s="205" t="s">
        <v>55</v>
      </c>
      <c r="C112" s="202" t="s">
        <v>10</v>
      </c>
      <c r="D112" s="201">
        <v>533400</v>
      </c>
      <c r="E112" s="201">
        <v>651389.1513885</v>
      </c>
      <c r="F112" s="201">
        <v>411180.41117999994</v>
      </c>
      <c r="G112" s="201">
        <v>302941.05294074997</v>
      </c>
      <c r="H112" s="201">
        <v>165275.41527524998</v>
      </c>
      <c r="I112" s="201">
        <v>44173.544173499999</v>
      </c>
      <c r="J112" s="201">
        <v>172977.17297699998</v>
      </c>
      <c r="K112" s="201">
        <v>305802.30580199999</v>
      </c>
      <c r="L112" s="201">
        <v>124661.37466124998</v>
      </c>
      <c r="M112" s="201">
        <v>213244.71324449999</v>
      </c>
      <c r="N112" s="201">
        <v>177376.67737649998</v>
      </c>
      <c r="O112" s="201">
        <v>121957.6219575</v>
      </c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</row>
    <row r="113" spans="1:27" outlineLevel="1" x14ac:dyDescent="0.25">
      <c r="A113" s="201">
        <f t="shared" si="9"/>
        <v>105339.24471809997</v>
      </c>
      <c r="B113" s="205" t="s">
        <v>55</v>
      </c>
      <c r="C113" s="202" t="s">
        <v>11</v>
      </c>
      <c r="D113" s="201">
        <v>10621.05</v>
      </c>
      <c r="E113" s="201">
        <v>1318.8013187999998</v>
      </c>
      <c r="F113" s="201">
        <v>8807.7088077000008</v>
      </c>
      <c r="G113" s="201">
        <v>7284.8072847999983</v>
      </c>
      <c r="H113" s="201">
        <v>8964.7089646999993</v>
      </c>
      <c r="I113" s="201">
        <v>4513.7545137500001</v>
      </c>
      <c r="J113" s="201">
        <v>2731.8027317999999</v>
      </c>
      <c r="K113" s="201">
        <v>11335.411335399998</v>
      </c>
      <c r="L113" s="201">
        <v>4482.3544823499997</v>
      </c>
      <c r="M113" s="201">
        <v>34963.934963899999</v>
      </c>
      <c r="N113" s="201">
        <v>9239.4592394499978</v>
      </c>
      <c r="O113" s="201">
        <v>1075.45107545</v>
      </c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</row>
    <row r="114" spans="1:27" outlineLevel="1" x14ac:dyDescent="0.25">
      <c r="A114" s="201">
        <f t="shared" si="9"/>
        <v>1.1999999999999997E-13</v>
      </c>
      <c r="B114" s="205" t="s">
        <v>55</v>
      </c>
      <c r="C114" s="202" t="s">
        <v>12</v>
      </c>
      <c r="D114" s="201">
        <v>1E-14</v>
      </c>
      <c r="E114" s="201">
        <v>1E-14</v>
      </c>
      <c r="F114" s="201">
        <v>1E-14</v>
      </c>
      <c r="G114" s="201">
        <v>1E-14</v>
      </c>
      <c r="H114" s="201">
        <v>1E-14</v>
      </c>
      <c r="I114" s="201">
        <v>1E-14</v>
      </c>
      <c r="J114" s="201">
        <v>1E-14</v>
      </c>
      <c r="K114" s="201">
        <v>1E-14</v>
      </c>
      <c r="L114" s="201">
        <v>1E-14</v>
      </c>
      <c r="M114" s="201">
        <v>1E-14</v>
      </c>
      <c r="N114" s="201">
        <v>1E-14</v>
      </c>
      <c r="O114" s="201">
        <v>1E-14</v>
      </c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</row>
    <row r="115" spans="1:27" outlineLevel="1" x14ac:dyDescent="0.25">
      <c r="A115" s="201">
        <f t="shared" si="9"/>
        <v>6767.256767249999</v>
      </c>
      <c r="B115" s="205" t="s">
        <v>55</v>
      </c>
      <c r="C115" s="202" t="s">
        <v>13</v>
      </c>
      <c r="D115" s="201">
        <v>1E-14</v>
      </c>
      <c r="E115" s="201">
        <v>2268.0022679999997</v>
      </c>
      <c r="F115" s="201">
        <v>1E-14</v>
      </c>
      <c r="G115" s="201">
        <v>1E-14</v>
      </c>
      <c r="H115" s="201">
        <v>236.25023625</v>
      </c>
      <c r="I115" s="201">
        <v>1E-14</v>
      </c>
      <c r="J115" s="201">
        <v>1296.7512967499999</v>
      </c>
      <c r="K115" s="201">
        <v>1E-14</v>
      </c>
      <c r="L115" s="201">
        <v>1E-14</v>
      </c>
      <c r="M115" s="201">
        <v>1E-14</v>
      </c>
      <c r="N115" s="201">
        <v>1312.5013125</v>
      </c>
      <c r="O115" s="201">
        <v>1653.7516537499998</v>
      </c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</row>
    <row r="116" spans="1:27" outlineLevel="1" x14ac:dyDescent="0.25">
      <c r="A116" s="201">
        <f t="shared" si="9"/>
        <v>8452121.9518640302</v>
      </c>
      <c r="B116" s="205" t="s">
        <v>55</v>
      </c>
      <c r="C116" s="202" t="s">
        <v>14</v>
      </c>
      <c r="D116" s="201">
        <v>770035.98742274893</v>
      </c>
      <c r="E116" s="201">
        <v>1008940.7030509368</v>
      </c>
      <c r="F116" s="201">
        <v>963308.48841685767</v>
      </c>
      <c r="G116" s="201">
        <v>800097.38302973832</v>
      </c>
      <c r="H116" s="201">
        <v>412662.09170501446</v>
      </c>
      <c r="I116" s="201">
        <v>280257.31473358307</v>
      </c>
      <c r="J116" s="201">
        <v>424165.53249913058</v>
      </c>
      <c r="K116" s="201">
        <v>466901.44683419575</v>
      </c>
      <c r="L116" s="201">
        <v>445700.72685244883</v>
      </c>
      <c r="M116" s="201">
        <v>800994.26986313693</v>
      </c>
      <c r="N116" s="201">
        <v>1087351.4060990061</v>
      </c>
      <c r="O116" s="201">
        <v>991706.6013572322</v>
      </c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</row>
    <row r="117" spans="1:27" outlineLevel="1" x14ac:dyDescent="0.25">
      <c r="A117" s="201">
        <f t="shared" si="9"/>
        <v>79356.429356349996</v>
      </c>
      <c r="B117" s="205" t="s">
        <v>55</v>
      </c>
      <c r="C117" s="202" t="s">
        <v>15</v>
      </c>
      <c r="D117" s="201">
        <v>1E-14</v>
      </c>
      <c r="E117" s="201">
        <v>1E-14</v>
      </c>
      <c r="F117" s="201">
        <v>1E-14</v>
      </c>
      <c r="G117" s="201">
        <v>79356.429356349996</v>
      </c>
      <c r="H117" s="201">
        <v>1E-14</v>
      </c>
      <c r="I117" s="201">
        <v>1E-14</v>
      </c>
      <c r="J117" s="201">
        <v>1E-14</v>
      </c>
      <c r="K117" s="201">
        <v>1E-14</v>
      </c>
      <c r="L117" s="201">
        <v>1E-14</v>
      </c>
      <c r="M117" s="201">
        <v>1E-14</v>
      </c>
      <c r="N117" s="201">
        <v>1E-14</v>
      </c>
      <c r="O117" s="201">
        <v>1E-14</v>
      </c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</row>
    <row r="118" spans="1:27" outlineLevel="1" x14ac:dyDescent="0.25">
      <c r="A118" s="201">
        <f t="shared" si="9"/>
        <v>-1.1999999999999997E-13</v>
      </c>
      <c r="B118" s="205" t="s">
        <v>55</v>
      </c>
      <c r="C118" s="202" t="s">
        <v>16</v>
      </c>
      <c r="D118" s="201">
        <v>-1E-14</v>
      </c>
      <c r="E118" s="201">
        <v>-1E-14</v>
      </c>
      <c r="F118" s="201">
        <v>-1E-14</v>
      </c>
      <c r="G118" s="201">
        <v>-1E-14</v>
      </c>
      <c r="H118" s="201">
        <v>-1E-14</v>
      </c>
      <c r="I118" s="201">
        <v>-1E-14</v>
      </c>
      <c r="J118" s="201">
        <v>-1E-14</v>
      </c>
      <c r="K118" s="201">
        <v>-1E-14</v>
      </c>
      <c r="L118" s="201">
        <v>-1E-14</v>
      </c>
      <c r="M118" s="201">
        <v>-1E-14</v>
      </c>
      <c r="N118" s="201">
        <v>-1E-14</v>
      </c>
      <c r="O118" s="201">
        <v>-1E-14</v>
      </c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</row>
    <row r="119" spans="1:27" outlineLevel="1" x14ac:dyDescent="0.25">
      <c r="A119" s="201">
        <f t="shared" si="9"/>
        <v>1.1999999999999997E-13</v>
      </c>
      <c r="B119" s="205" t="s">
        <v>55</v>
      </c>
      <c r="C119" s="202" t="s">
        <v>18</v>
      </c>
      <c r="D119" s="201">
        <v>1E-14</v>
      </c>
      <c r="E119" s="201">
        <v>1E-14</v>
      </c>
      <c r="F119" s="201">
        <v>1E-14</v>
      </c>
      <c r="G119" s="201">
        <v>1E-14</v>
      </c>
      <c r="H119" s="201">
        <v>1E-14</v>
      </c>
      <c r="I119" s="201">
        <v>1E-14</v>
      </c>
      <c r="J119" s="201">
        <v>1E-14</v>
      </c>
      <c r="K119" s="201">
        <v>1E-14</v>
      </c>
      <c r="L119" s="201">
        <v>1E-14</v>
      </c>
      <c r="M119" s="201">
        <v>1E-14</v>
      </c>
      <c r="N119" s="201">
        <v>1E-14</v>
      </c>
      <c r="O119" s="201">
        <v>1E-14</v>
      </c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</row>
    <row r="120" spans="1:27" outlineLevel="1" x14ac:dyDescent="0.25">
      <c r="A120" s="201">
        <f t="shared" si="9"/>
        <v>-1.1999999999999997E-13</v>
      </c>
      <c r="B120" s="205" t="s">
        <v>55</v>
      </c>
      <c r="C120" s="202" t="s">
        <v>19</v>
      </c>
      <c r="D120" s="201">
        <v>-1E-14</v>
      </c>
      <c r="E120" s="201">
        <v>-1E-14</v>
      </c>
      <c r="F120" s="201">
        <v>-1E-14</v>
      </c>
      <c r="G120" s="201">
        <v>-1E-14</v>
      </c>
      <c r="H120" s="201">
        <v>-1E-14</v>
      </c>
      <c r="I120" s="201">
        <v>-1E-14</v>
      </c>
      <c r="J120" s="201">
        <v>-1E-14</v>
      </c>
      <c r="K120" s="201">
        <v>-1E-14</v>
      </c>
      <c r="L120" s="201">
        <v>-1E-14</v>
      </c>
      <c r="M120" s="201">
        <v>-1E-14</v>
      </c>
      <c r="N120" s="201">
        <v>-1E-14</v>
      </c>
      <c r="O120" s="201">
        <v>-1E-14</v>
      </c>
      <c r="P120" s="201"/>
      <c r="Q120" s="201"/>
      <c r="R120" s="201"/>
      <c r="S120" s="201"/>
      <c r="T120" s="201"/>
      <c r="U120" s="201"/>
      <c r="V120" s="201"/>
      <c r="W120" s="201"/>
      <c r="X120" s="201"/>
      <c r="Y120" s="201"/>
      <c r="Z120" s="201"/>
      <c r="AA120" s="201"/>
    </row>
    <row r="121" spans="1:27" outlineLevel="1" x14ac:dyDescent="0.25">
      <c r="A121" s="201">
        <f t="shared" si="9"/>
        <v>70774.270774199991</v>
      </c>
      <c r="B121" s="205" t="s">
        <v>55</v>
      </c>
      <c r="C121" s="202" t="s">
        <v>20</v>
      </c>
      <c r="D121" s="201">
        <v>1E-14</v>
      </c>
      <c r="E121" s="201">
        <v>6329.4063293999998</v>
      </c>
      <c r="F121" s="201">
        <v>10473.660473649998</v>
      </c>
      <c r="G121" s="201">
        <v>6281.4562814499986</v>
      </c>
      <c r="H121" s="201">
        <v>8377.5583775499999</v>
      </c>
      <c r="I121" s="201">
        <v>8261.1082611000002</v>
      </c>
      <c r="J121" s="201">
        <v>7507.6075075999997</v>
      </c>
      <c r="K121" s="201">
        <v>7247.3072473000002</v>
      </c>
      <c r="L121" s="201">
        <v>623.35062334999998</v>
      </c>
      <c r="M121" s="201">
        <v>1E-14</v>
      </c>
      <c r="N121" s="201">
        <v>6486.9564869499991</v>
      </c>
      <c r="O121" s="201">
        <v>9185.8591858500004</v>
      </c>
      <c r="P121" s="201"/>
      <c r="Q121" s="201"/>
      <c r="R121" s="201"/>
      <c r="S121" s="201"/>
      <c r="T121" s="201"/>
      <c r="U121" s="201"/>
      <c r="V121" s="201"/>
      <c r="W121" s="201"/>
      <c r="X121" s="201"/>
      <c r="Y121" s="201"/>
      <c r="Z121" s="201"/>
      <c r="AA121" s="201"/>
    </row>
    <row r="122" spans="1:27" outlineLevel="1" x14ac:dyDescent="0.25">
      <c r="A122" s="201">
        <f t="shared" si="9"/>
        <v>32891.030536550003</v>
      </c>
      <c r="B122" s="205" t="s">
        <v>55</v>
      </c>
      <c r="C122" s="202" t="s">
        <v>17</v>
      </c>
      <c r="D122" s="201">
        <v>2354.4499999999998</v>
      </c>
      <c r="E122" s="201">
        <v>840.10084010000003</v>
      </c>
      <c r="F122" s="201">
        <v>5063.8550638500001</v>
      </c>
      <c r="G122" s="201">
        <v>7511.3075112999995</v>
      </c>
      <c r="H122" s="201">
        <v>1412.0514120499997</v>
      </c>
      <c r="I122" s="201">
        <v>317.75031774999997</v>
      </c>
      <c r="J122" s="201">
        <v>3580.5035804999998</v>
      </c>
      <c r="K122" s="201">
        <v>3890.5038905000001</v>
      </c>
      <c r="L122" s="201">
        <v>3792.85379285</v>
      </c>
      <c r="M122" s="201">
        <v>2430.4024304</v>
      </c>
      <c r="N122" s="201">
        <v>771.90077190000011</v>
      </c>
      <c r="O122" s="201">
        <v>925.3509253499999</v>
      </c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201"/>
      <c r="AA122" s="201"/>
    </row>
    <row r="123" spans="1:27" outlineLevel="1" x14ac:dyDescent="0.25">
      <c r="A123" s="201">
        <f t="shared" si="9"/>
        <v>-910000.90999999968</v>
      </c>
      <c r="B123" s="205" t="s">
        <v>55</v>
      </c>
      <c r="C123" s="202" t="s">
        <v>26</v>
      </c>
      <c r="D123" s="201">
        <v>1E-14</v>
      </c>
      <c r="E123" s="201">
        <v>-110643.56810499872</v>
      </c>
      <c r="F123" s="201">
        <v>-146107.40937488785</v>
      </c>
      <c r="G123" s="201">
        <v>-93470.371003634442</v>
      </c>
      <c r="H123" s="201">
        <v>-13649.107113131609</v>
      </c>
      <c r="I123" s="201">
        <v>-45904.527325393326</v>
      </c>
      <c r="J123" s="201">
        <v>1E-14</v>
      </c>
      <c r="K123" s="201">
        <v>-40163.849494425274</v>
      </c>
      <c r="L123" s="201">
        <v>-47820.107682196533</v>
      </c>
      <c r="M123" s="201">
        <v>-61047.016106319003</v>
      </c>
      <c r="N123" s="201">
        <v>-104780.18365715313</v>
      </c>
      <c r="O123" s="201">
        <v>-246414.7701378598</v>
      </c>
      <c r="P123" s="201"/>
      <c r="Q123" s="201"/>
      <c r="R123" s="201"/>
      <c r="S123" s="201"/>
      <c r="T123" s="201"/>
      <c r="U123" s="201"/>
      <c r="V123" s="201"/>
      <c r="W123" s="201"/>
      <c r="X123" s="201"/>
      <c r="Y123" s="201"/>
      <c r="Z123" s="201"/>
      <c r="AA123" s="201"/>
    </row>
    <row r="124" spans="1:27" outlineLevel="1" x14ac:dyDescent="0.25">
      <c r="A124" s="201">
        <f t="shared" si="9"/>
        <v>-1.1999999999999997E-13</v>
      </c>
      <c r="B124" s="205" t="s">
        <v>55</v>
      </c>
      <c r="C124" s="202" t="s">
        <v>27</v>
      </c>
      <c r="D124" s="201">
        <v>-1E-14</v>
      </c>
      <c r="E124" s="201">
        <v>-1E-14</v>
      </c>
      <c r="F124" s="201">
        <v>-1E-14</v>
      </c>
      <c r="G124" s="201">
        <v>-1E-14</v>
      </c>
      <c r="H124" s="201">
        <v>-1E-14</v>
      </c>
      <c r="I124" s="201">
        <v>-1E-14</v>
      </c>
      <c r="J124" s="201">
        <v>-1E-14</v>
      </c>
      <c r="K124" s="201">
        <v>-1E-14</v>
      </c>
      <c r="L124" s="201">
        <v>-1E-14</v>
      </c>
      <c r="M124" s="201">
        <v>-1E-14</v>
      </c>
      <c r="N124" s="201">
        <v>-1E-14</v>
      </c>
      <c r="O124" s="201">
        <v>-1E-14</v>
      </c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201"/>
      <c r="AA124" s="201"/>
    </row>
    <row r="125" spans="1:27" outlineLevel="1" x14ac:dyDescent="0.25">
      <c r="A125" s="201">
        <f t="shared" si="9"/>
        <v>-1.1999999999999997E-13</v>
      </c>
      <c r="B125" s="205" t="s">
        <v>55</v>
      </c>
      <c r="C125" s="202" t="s">
        <v>59</v>
      </c>
      <c r="D125" s="201">
        <v>-1E-14</v>
      </c>
      <c r="E125" s="201">
        <v>-1E-14</v>
      </c>
      <c r="F125" s="201">
        <v>-1E-14</v>
      </c>
      <c r="G125" s="201">
        <v>-1E-14</v>
      </c>
      <c r="H125" s="201">
        <v>-1E-14</v>
      </c>
      <c r="I125" s="201">
        <v>-1E-14</v>
      </c>
      <c r="J125" s="201">
        <v>-1E-14</v>
      </c>
      <c r="K125" s="201">
        <v>-1E-14</v>
      </c>
      <c r="L125" s="201">
        <v>-1E-14</v>
      </c>
      <c r="M125" s="201">
        <v>-1E-14</v>
      </c>
      <c r="N125" s="201">
        <v>-1E-14</v>
      </c>
      <c r="O125" s="201">
        <v>-1E-14</v>
      </c>
      <c r="P125" s="201"/>
      <c r="Q125" s="201"/>
      <c r="R125" s="201"/>
      <c r="S125" s="201"/>
      <c r="T125" s="201"/>
      <c r="U125" s="201"/>
      <c r="V125" s="201"/>
      <c r="W125" s="201"/>
      <c r="X125" s="201"/>
      <c r="Y125" s="201"/>
      <c r="Z125" s="201"/>
      <c r="AA125" s="201"/>
    </row>
    <row r="126" spans="1:27" outlineLevel="1" x14ac:dyDescent="0.25">
      <c r="A126" s="201">
        <f t="shared" si="9"/>
        <v>-1.1999999999999997E-13</v>
      </c>
      <c r="B126" s="205" t="s">
        <v>55</v>
      </c>
      <c r="C126" s="202" t="s">
        <v>60</v>
      </c>
      <c r="D126" s="201">
        <v>-1E-14</v>
      </c>
      <c r="E126" s="201">
        <v>-1E-14</v>
      </c>
      <c r="F126" s="201">
        <v>-1E-14</v>
      </c>
      <c r="G126" s="201">
        <v>-1E-14</v>
      </c>
      <c r="H126" s="201">
        <v>-1E-14</v>
      </c>
      <c r="I126" s="201">
        <v>-1E-14</v>
      </c>
      <c r="J126" s="201">
        <v>-1E-14</v>
      </c>
      <c r="K126" s="201">
        <v>-1E-14</v>
      </c>
      <c r="L126" s="201">
        <v>-1E-14</v>
      </c>
      <c r="M126" s="201">
        <v>-1E-14</v>
      </c>
      <c r="N126" s="201">
        <v>-1E-14</v>
      </c>
      <c r="O126" s="201">
        <v>-1E-14</v>
      </c>
      <c r="P126" s="201"/>
      <c r="Q126" s="201"/>
      <c r="R126" s="201"/>
      <c r="S126" s="201"/>
      <c r="T126" s="201"/>
      <c r="U126" s="201"/>
      <c r="V126" s="201"/>
      <c r="W126" s="201"/>
      <c r="X126" s="201"/>
      <c r="Y126" s="201"/>
      <c r="Z126" s="201"/>
      <c r="AA126" s="201"/>
    </row>
    <row r="127" spans="1:27" outlineLevel="1" x14ac:dyDescent="0.25">
      <c r="A127" s="201">
        <f t="shared" si="9"/>
        <v>-1.1999999999999997E-13</v>
      </c>
      <c r="B127" s="205" t="s">
        <v>55</v>
      </c>
      <c r="C127" s="202" t="s">
        <v>61</v>
      </c>
      <c r="D127" s="201">
        <v>-1E-14</v>
      </c>
      <c r="E127" s="201">
        <v>-1E-14</v>
      </c>
      <c r="F127" s="201">
        <v>-1E-14</v>
      </c>
      <c r="G127" s="201">
        <v>-1E-14</v>
      </c>
      <c r="H127" s="201">
        <v>-1E-14</v>
      </c>
      <c r="I127" s="201">
        <v>-1E-14</v>
      </c>
      <c r="J127" s="201">
        <v>-1E-14</v>
      </c>
      <c r="K127" s="201">
        <v>-1E-14</v>
      </c>
      <c r="L127" s="201">
        <v>-1E-14</v>
      </c>
      <c r="M127" s="201">
        <v>-1E-14</v>
      </c>
      <c r="N127" s="201">
        <v>-1E-14</v>
      </c>
      <c r="O127" s="201">
        <v>-1E-14</v>
      </c>
      <c r="P127" s="201"/>
      <c r="Q127" s="201"/>
      <c r="R127" s="201"/>
      <c r="S127" s="201"/>
      <c r="T127" s="201"/>
      <c r="U127" s="201"/>
      <c r="V127" s="201"/>
      <c r="W127" s="201"/>
      <c r="X127" s="201"/>
      <c r="Y127" s="201"/>
      <c r="Z127" s="201"/>
      <c r="AA127" s="201"/>
    </row>
    <row r="128" spans="1:27" outlineLevel="1" x14ac:dyDescent="0.25">
      <c r="A128" s="201">
        <f t="shared" si="9"/>
        <v>1.1999999999999997E-13</v>
      </c>
      <c r="B128" s="205" t="s">
        <v>55</v>
      </c>
      <c r="C128" s="202" t="s">
        <v>21</v>
      </c>
      <c r="D128" s="201">
        <v>1E-14</v>
      </c>
      <c r="E128" s="201">
        <v>1E-14</v>
      </c>
      <c r="F128" s="201">
        <v>1E-14</v>
      </c>
      <c r="G128" s="201">
        <v>1E-14</v>
      </c>
      <c r="H128" s="201">
        <v>1E-14</v>
      </c>
      <c r="I128" s="201">
        <v>1E-14</v>
      </c>
      <c r="J128" s="201">
        <v>1E-14</v>
      </c>
      <c r="K128" s="201">
        <v>1E-14</v>
      </c>
      <c r="L128" s="201">
        <v>1E-14</v>
      </c>
      <c r="M128" s="201">
        <v>1E-14</v>
      </c>
      <c r="N128" s="201">
        <v>1E-14</v>
      </c>
      <c r="O128" s="201">
        <v>1E-14</v>
      </c>
      <c r="P128" s="201"/>
      <c r="Q128" s="201"/>
      <c r="R128" s="201"/>
      <c r="S128" s="201"/>
      <c r="T128" s="201"/>
      <c r="U128" s="201"/>
      <c r="V128" s="201"/>
      <c r="W128" s="201"/>
      <c r="X128" s="201"/>
      <c r="Y128" s="201"/>
      <c r="Z128" s="201"/>
      <c r="AA128" s="201"/>
    </row>
    <row r="129" spans="1:27" s="16" customFormat="1" outlineLevel="1" x14ac:dyDescent="0.25">
      <c r="A129" s="201">
        <f t="shared" si="9"/>
        <v>-1814400</v>
      </c>
      <c r="B129" s="205" t="s">
        <v>55</v>
      </c>
      <c r="C129" s="202" t="s">
        <v>22</v>
      </c>
      <c r="D129" s="201">
        <v>-756000</v>
      </c>
      <c r="E129" s="201">
        <v>1E-14</v>
      </c>
      <c r="F129" s="201">
        <v>1E-14</v>
      </c>
      <c r="G129" s="201">
        <v>1E-14</v>
      </c>
      <c r="H129" s="201">
        <v>1E-14</v>
      </c>
      <c r="I129" s="201">
        <v>1E-14</v>
      </c>
      <c r="J129" s="201">
        <v>1E-14</v>
      </c>
      <c r="K129" s="201">
        <v>1E-14</v>
      </c>
      <c r="L129" s="201">
        <v>1E-14</v>
      </c>
      <c r="M129" s="201">
        <v>1E-14</v>
      </c>
      <c r="N129" s="201">
        <v>1E-14</v>
      </c>
      <c r="O129" s="201">
        <v>-1058400</v>
      </c>
      <c r="P129" s="201"/>
      <c r="Q129" s="201"/>
      <c r="R129" s="201"/>
      <c r="S129" s="201"/>
      <c r="T129" s="201"/>
      <c r="U129" s="201"/>
      <c r="V129" s="201"/>
      <c r="W129" s="201"/>
      <c r="X129" s="201"/>
      <c r="Y129" s="201"/>
      <c r="Z129" s="201"/>
      <c r="AA129" s="201"/>
    </row>
    <row r="130" spans="1:27" s="16" customFormat="1" outlineLevel="1" x14ac:dyDescent="0.25">
      <c r="A130" s="201">
        <f t="shared" si="9"/>
        <v>1.1999999999999997E-13</v>
      </c>
      <c r="B130" s="205" t="s">
        <v>55</v>
      </c>
      <c r="C130" s="202" t="s">
        <v>25</v>
      </c>
      <c r="D130" s="201">
        <v>1E-14</v>
      </c>
      <c r="E130" s="201">
        <v>1E-14</v>
      </c>
      <c r="F130" s="201">
        <v>1E-14</v>
      </c>
      <c r="G130" s="201">
        <v>1E-14</v>
      </c>
      <c r="H130" s="201">
        <v>1E-14</v>
      </c>
      <c r="I130" s="201">
        <v>1E-14</v>
      </c>
      <c r="J130" s="201">
        <v>1E-14</v>
      </c>
      <c r="K130" s="201">
        <v>1E-14</v>
      </c>
      <c r="L130" s="201">
        <v>1E-14</v>
      </c>
      <c r="M130" s="201">
        <v>1E-14</v>
      </c>
      <c r="N130" s="201">
        <v>1E-14</v>
      </c>
      <c r="O130" s="201">
        <v>1E-14</v>
      </c>
      <c r="P130" s="201"/>
      <c r="Q130" s="201"/>
      <c r="R130" s="201"/>
      <c r="S130" s="201"/>
      <c r="T130" s="201"/>
      <c r="U130" s="201"/>
      <c r="V130" s="201"/>
      <c r="W130" s="201"/>
      <c r="X130" s="201"/>
      <c r="Y130" s="201"/>
      <c r="Z130" s="201"/>
      <c r="AA130" s="201"/>
    </row>
    <row r="131" spans="1:27" s="16" customFormat="1" outlineLevel="1" x14ac:dyDescent="0.25">
      <c r="A131" s="201"/>
      <c r="B131" s="203"/>
      <c r="C131" s="204"/>
      <c r="D131" s="201"/>
      <c r="E131" s="201"/>
      <c r="F131" s="201"/>
      <c r="G131" s="201"/>
      <c r="H131" s="201"/>
      <c r="I131" s="201"/>
      <c r="J131" s="201"/>
      <c r="K131" s="201"/>
      <c r="L131" s="201"/>
      <c r="M131" s="201"/>
      <c r="N131" s="201"/>
      <c r="O131" s="201"/>
      <c r="P131" s="201"/>
      <c r="Q131" s="201"/>
      <c r="R131" s="201"/>
      <c r="S131" s="201"/>
      <c r="T131" s="201"/>
      <c r="U131" s="201"/>
      <c r="V131" s="201"/>
      <c r="W131" s="201"/>
      <c r="X131" s="201"/>
      <c r="Y131" s="201"/>
      <c r="Z131" s="201"/>
      <c r="AA131" s="201"/>
    </row>
    <row r="132" spans="1:27" s="16" customFormat="1" outlineLevel="1" x14ac:dyDescent="0.25">
      <c r="B132" s="51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</row>
    <row r="133" spans="1:27" s="75" customFormat="1" ht="18.75" x14ac:dyDescent="0.3">
      <c r="A133" s="77" t="s">
        <v>234</v>
      </c>
      <c r="B133" s="74" t="s">
        <v>235</v>
      </c>
      <c r="C133" s="76"/>
      <c r="D133" s="78" t="s">
        <v>229</v>
      </c>
      <c r="E133" s="78" t="s">
        <v>236</v>
      </c>
      <c r="F133" s="78" t="s">
        <v>237</v>
      </c>
      <c r="G133" s="78" t="s">
        <v>238</v>
      </c>
      <c r="H133" s="78" t="s">
        <v>239</v>
      </c>
      <c r="I133" s="78" t="s">
        <v>240</v>
      </c>
      <c r="J133" s="78" t="s">
        <v>241</v>
      </c>
      <c r="K133" s="78" t="s">
        <v>242</v>
      </c>
      <c r="L133" s="78" t="s">
        <v>243</v>
      </c>
      <c r="M133" s="78" t="s">
        <v>244</v>
      </c>
      <c r="N133" s="78" t="s">
        <v>245</v>
      </c>
      <c r="O133" s="78" t="s">
        <v>246</v>
      </c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outlineLevel="1" x14ac:dyDescent="0.25">
      <c r="B134" s="56" t="s">
        <v>232</v>
      </c>
      <c r="C134" s="5" t="s">
        <v>109</v>
      </c>
      <c r="D134" s="212">
        <v>0.46448783248443692</v>
      </c>
      <c r="E134" s="88">
        <v>0.82618583495776465</v>
      </c>
      <c r="F134" s="88">
        <v>0.92289190718732317</v>
      </c>
      <c r="G134" s="88">
        <v>0.43991228070175437</v>
      </c>
      <c r="H134" s="88">
        <v>0.26634768740031933</v>
      </c>
      <c r="I134" s="88">
        <v>1</v>
      </c>
      <c r="J134" s="88">
        <v>1E-14</v>
      </c>
      <c r="K134" s="88">
        <v>1E-14</v>
      </c>
      <c r="L134" s="88">
        <v>1E-14</v>
      </c>
      <c r="M134" s="88">
        <v>1</v>
      </c>
      <c r="N134" s="88">
        <v>5.7710064635272389E-2</v>
      </c>
      <c r="O134" s="88">
        <v>1</v>
      </c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</row>
    <row r="135" spans="1:27" outlineLevel="1" x14ac:dyDescent="0.25">
      <c r="B135" s="56" t="s">
        <v>232</v>
      </c>
      <c r="C135" s="5" t="s">
        <v>110</v>
      </c>
      <c r="D135" s="212">
        <v>1.2444444444444445</v>
      </c>
      <c r="E135" s="88">
        <v>1.2444444444444445</v>
      </c>
      <c r="F135" s="88">
        <v>1.2444444444444445</v>
      </c>
      <c r="G135" s="88">
        <v>1.2444444444444445</v>
      </c>
      <c r="H135" s="88">
        <v>1.2444444444444442</v>
      </c>
      <c r="I135" s="88">
        <v>1.1990877110694185</v>
      </c>
      <c r="J135" s="88">
        <v>0.83563945806858164</v>
      </c>
      <c r="K135" s="88">
        <v>0.87079870018975003</v>
      </c>
      <c r="L135" s="88">
        <v>0.86065813298425553</v>
      </c>
      <c r="M135" s="88">
        <v>1.0000000000000002</v>
      </c>
      <c r="N135" s="88">
        <v>1.2444444444444445</v>
      </c>
      <c r="O135" s="88">
        <v>1</v>
      </c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</row>
    <row r="136" spans="1:27" outlineLevel="1" x14ac:dyDescent="0.25">
      <c r="B136" s="56" t="s">
        <v>232</v>
      </c>
      <c r="C136" s="5" t="s">
        <v>111</v>
      </c>
      <c r="D136" s="212">
        <v>1E-14</v>
      </c>
      <c r="E136" s="88">
        <v>1E-14</v>
      </c>
      <c r="F136" s="88">
        <v>1E-14</v>
      </c>
      <c r="G136" s="88">
        <v>1E-14</v>
      </c>
      <c r="H136" s="88">
        <v>1E-14</v>
      </c>
      <c r="I136" s="88">
        <v>1E-14</v>
      </c>
      <c r="J136" s="88">
        <v>1E-14</v>
      </c>
      <c r="K136" s="88">
        <v>1E-14</v>
      </c>
      <c r="L136" s="88">
        <v>1E-14</v>
      </c>
      <c r="M136" s="88">
        <v>1E-14</v>
      </c>
      <c r="N136" s="88">
        <v>1E-14</v>
      </c>
      <c r="O136" s="88">
        <v>1E-14</v>
      </c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</row>
    <row r="137" spans="1:27" outlineLevel="1" x14ac:dyDescent="0.25">
      <c r="B137" s="56" t="s">
        <v>232</v>
      </c>
      <c r="C137" s="5" t="s">
        <v>70</v>
      </c>
      <c r="D137" s="212">
        <v>1.0000000000000002</v>
      </c>
      <c r="E137" s="88">
        <v>1E-14</v>
      </c>
      <c r="F137" s="88">
        <v>1E-14</v>
      </c>
      <c r="G137" s="88">
        <v>1E-14</v>
      </c>
      <c r="H137" s="88">
        <v>1E-14</v>
      </c>
      <c r="I137" s="88">
        <v>1E-14</v>
      </c>
      <c r="J137" s="88">
        <v>1E-14</v>
      </c>
      <c r="K137" s="88">
        <v>1E-14</v>
      </c>
      <c r="L137" s="88">
        <v>1E-14</v>
      </c>
      <c r="M137" s="88">
        <v>1E-14</v>
      </c>
      <c r="N137" s="88">
        <v>1E-14</v>
      </c>
      <c r="O137" s="88">
        <v>1</v>
      </c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</row>
    <row r="138" spans="1:27" outlineLevel="1" x14ac:dyDescent="0.25">
      <c r="B138" s="56" t="s">
        <v>232</v>
      </c>
      <c r="C138" s="5" t="s">
        <v>112</v>
      </c>
      <c r="D138" s="212">
        <v>1E-14</v>
      </c>
      <c r="E138" s="88">
        <v>1E-14</v>
      </c>
      <c r="F138" s="88">
        <v>1E-14</v>
      </c>
      <c r="G138" s="88">
        <v>1E-14</v>
      </c>
      <c r="H138" s="88">
        <v>1E-14</v>
      </c>
      <c r="I138" s="88">
        <v>0.53125886404697376</v>
      </c>
      <c r="J138" s="88">
        <v>0.63856265418557556</v>
      </c>
      <c r="K138" s="88">
        <v>0.60960306820577204</v>
      </c>
      <c r="L138" s="88">
        <v>0.46820942169860547</v>
      </c>
      <c r="M138" s="88">
        <v>3.7813620071684588E-2</v>
      </c>
      <c r="N138" s="88">
        <v>1E-14</v>
      </c>
      <c r="O138" s="88">
        <v>0.35241935483870968</v>
      </c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</row>
    <row r="139" spans="1:27" outlineLevel="1" x14ac:dyDescent="0.25">
      <c r="B139" s="56" t="s">
        <v>232</v>
      </c>
      <c r="C139" s="5" t="s">
        <v>113</v>
      </c>
      <c r="D139" s="212">
        <v>1E-14</v>
      </c>
      <c r="E139" s="88">
        <v>1E-14</v>
      </c>
      <c r="F139" s="88">
        <v>1E-14</v>
      </c>
      <c r="G139" s="88">
        <v>1E-14</v>
      </c>
      <c r="H139" s="88">
        <v>1E-14</v>
      </c>
      <c r="I139" s="88">
        <v>1E-14</v>
      </c>
      <c r="J139" s="88">
        <v>1E-14</v>
      </c>
      <c r="K139" s="88">
        <v>1E-14</v>
      </c>
      <c r="L139" s="88">
        <v>1E-14</v>
      </c>
      <c r="M139" s="88">
        <v>1E-14</v>
      </c>
      <c r="N139" s="88">
        <v>1E-14</v>
      </c>
      <c r="O139" s="88">
        <v>1E-14</v>
      </c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</row>
    <row r="140" spans="1:27" s="16" customFormat="1" outlineLevel="1" x14ac:dyDescent="0.25">
      <c r="B140" s="56" t="s">
        <v>233</v>
      </c>
      <c r="C140" s="5" t="s">
        <v>109</v>
      </c>
      <c r="D140" s="212">
        <v>0.38370733987844785</v>
      </c>
      <c r="E140" s="88">
        <v>0.6825013419216317</v>
      </c>
      <c r="F140" s="88">
        <v>0.76238896680691914</v>
      </c>
      <c r="G140" s="88">
        <v>0.36340579710144927</v>
      </c>
      <c r="H140" s="88">
        <v>0.22002635046113334</v>
      </c>
      <c r="I140" s="88">
        <v>0.82608695652173914</v>
      </c>
      <c r="J140" s="88">
        <v>1E-14</v>
      </c>
      <c r="K140" s="88">
        <v>1E-14</v>
      </c>
      <c r="L140" s="88">
        <v>1E-14</v>
      </c>
      <c r="M140" s="88">
        <v>0.82608695652173914</v>
      </c>
      <c r="N140" s="88">
        <v>4.7673531655225018E-2</v>
      </c>
      <c r="O140" s="88">
        <v>0.82608695652173914</v>
      </c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</row>
    <row r="141" spans="1:27" s="16" customFormat="1" outlineLevel="1" x14ac:dyDescent="0.25">
      <c r="B141" s="56" t="s">
        <v>233</v>
      </c>
      <c r="C141" s="5" t="s">
        <v>110</v>
      </c>
      <c r="D141" s="212">
        <v>1</v>
      </c>
      <c r="E141" s="88">
        <v>1</v>
      </c>
      <c r="F141" s="88">
        <v>1</v>
      </c>
      <c r="G141" s="88">
        <v>1</v>
      </c>
      <c r="H141" s="88">
        <v>0.99999999999999989</v>
      </c>
      <c r="I141" s="88">
        <v>0.96355262496649696</v>
      </c>
      <c r="J141" s="88">
        <v>0.67149599309082453</v>
      </c>
      <c r="K141" s="88">
        <v>0.69974895550962057</v>
      </c>
      <c r="L141" s="88">
        <v>0.69160028543377672</v>
      </c>
      <c r="M141" s="88">
        <v>0.8035714285714286</v>
      </c>
      <c r="N141" s="88">
        <v>1</v>
      </c>
      <c r="O141" s="88">
        <v>0.8035714285714286</v>
      </c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</row>
    <row r="142" spans="1:27" s="16" customFormat="1" outlineLevel="1" x14ac:dyDescent="0.25">
      <c r="B142" s="56" t="s">
        <v>233</v>
      </c>
      <c r="C142" s="5" t="s">
        <v>111</v>
      </c>
      <c r="D142" s="212">
        <v>1E-14</v>
      </c>
      <c r="E142" s="88">
        <v>1E-14</v>
      </c>
      <c r="F142" s="88">
        <v>1E-14</v>
      </c>
      <c r="G142" s="88">
        <v>1E-14</v>
      </c>
      <c r="H142" s="88">
        <v>1E-14</v>
      </c>
      <c r="I142" s="88">
        <v>1E-14</v>
      </c>
      <c r="J142" s="88">
        <v>1E-14</v>
      </c>
      <c r="K142" s="88">
        <v>1E-14</v>
      </c>
      <c r="L142" s="88">
        <v>1E-14</v>
      </c>
      <c r="M142" s="88">
        <v>1E-14</v>
      </c>
      <c r="N142" s="88">
        <v>1E-14</v>
      </c>
      <c r="O142" s="88">
        <v>1E-14</v>
      </c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</row>
    <row r="143" spans="1:27" s="16" customFormat="1" outlineLevel="1" x14ac:dyDescent="0.25">
      <c r="B143" s="56" t="s">
        <v>233</v>
      </c>
      <c r="C143" s="5" t="s">
        <v>70</v>
      </c>
      <c r="D143" s="212">
        <v>1.0000000000000002</v>
      </c>
      <c r="E143" s="88">
        <v>1E-14</v>
      </c>
      <c r="F143" s="88">
        <v>1E-14</v>
      </c>
      <c r="G143" s="88">
        <v>1E-14</v>
      </c>
      <c r="H143" s="88">
        <v>1E-14</v>
      </c>
      <c r="I143" s="88">
        <v>1E-14</v>
      </c>
      <c r="J143" s="88">
        <v>1E-14</v>
      </c>
      <c r="K143" s="88">
        <v>1E-14</v>
      </c>
      <c r="L143" s="88">
        <v>1E-14</v>
      </c>
      <c r="M143" s="88">
        <v>1E-14</v>
      </c>
      <c r="N143" s="88">
        <v>1E-14</v>
      </c>
      <c r="O143" s="88">
        <v>1</v>
      </c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</row>
    <row r="144" spans="1:27" s="16" customFormat="1" outlineLevel="1" x14ac:dyDescent="0.25">
      <c r="B144" s="56" t="s">
        <v>233</v>
      </c>
      <c r="C144" s="5" t="s">
        <v>112</v>
      </c>
      <c r="D144" s="212">
        <v>1E-14</v>
      </c>
      <c r="E144" s="88">
        <v>1E-14</v>
      </c>
      <c r="F144" s="88">
        <v>1E-14</v>
      </c>
      <c r="G144" s="88">
        <v>1E-14</v>
      </c>
      <c r="H144" s="88">
        <v>1E-14</v>
      </c>
      <c r="I144" s="88">
        <v>0.53125886404697376</v>
      </c>
      <c r="J144" s="88">
        <v>0.63856265418557556</v>
      </c>
      <c r="K144" s="88">
        <v>0.60960306820577204</v>
      </c>
      <c r="L144" s="88">
        <v>0.46820942169860547</v>
      </c>
      <c r="M144" s="88">
        <v>3.7813620071684588E-2</v>
      </c>
      <c r="N144" s="88">
        <v>1E-14</v>
      </c>
      <c r="O144" s="88">
        <v>0.35241935483870968</v>
      </c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</row>
    <row r="145" spans="1:27" s="16" customFormat="1" outlineLevel="1" x14ac:dyDescent="0.25">
      <c r="B145" s="56" t="s">
        <v>233</v>
      </c>
      <c r="C145" s="5" t="s">
        <v>113</v>
      </c>
      <c r="D145" s="212">
        <v>1E-14</v>
      </c>
      <c r="E145" s="88">
        <v>1E-14</v>
      </c>
      <c r="F145" s="88">
        <v>1E-14</v>
      </c>
      <c r="G145" s="88">
        <v>1E-14</v>
      </c>
      <c r="H145" s="88">
        <v>1E-14</v>
      </c>
      <c r="I145" s="88">
        <v>1E-14</v>
      </c>
      <c r="J145" s="88">
        <v>1E-14</v>
      </c>
      <c r="K145" s="88">
        <v>1E-14</v>
      </c>
      <c r="L145" s="88">
        <v>1E-14</v>
      </c>
      <c r="M145" s="88">
        <v>1E-14</v>
      </c>
      <c r="N145" s="88">
        <v>1E-14</v>
      </c>
      <c r="O145" s="88">
        <v>1E-14</v>
      </c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</row>
    <row r="147" spans="1:27" s="75" customFormat="1" ht="18.75" x14ac:dyDescent="0.3">
      <c r="A147" s="77" t="s">
        <v>230</v>
      </c>
      <c r="B147" s="74"/>
      <c r="C147" s="76"/>
      <c r="D147" s="78" t="s">
        <v>229</v>
      </c>
      <c r="E147" s="78" t="s">
        <v>236</v>
      </c>
      <c r="F147" s="78" t="s">
        <v>237</v>
      </c>
      <c r="G147" s="78" t="s">
        <v>238</v>
      </c>
      <c r="H147" s="78" t="s">
        <v>239</v>
      </c>
      <c r="I147" s="78" t="s">
        <v>240</v>
      </c>
      <c r="J147" s="78" t="s">
        <v>241</v>
      </c>
      <c r="K147" s="78" t="s">
        <v>242</v>
      </c>
      <c r="L147" s="78" t="s">
        <v>243</v>
      </c>
      <c r="M147" s="78" t="s">
        <v>244</v>
      </c>
      <c r="N147" s="78" t="s">
        <v>245</v>
      </c>
      <c r="O147" s="78" t="s">
        <v>246</v>
      </c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</row>
    <row r="148" spans="1:27" s="16" customFormat="1" outlineLevel="1" x14ac:dyDescent="0.25">
      <c r="B148" s="26"/>
      <c r="C148" s="5" t="s">
        <v>109</v>
      </c>
      <c r="D148" s="88">
        <v>0.11677040725591321</v>
      </c>
      <c r="E148" s="88">
        <v>0.21278554095891558</v>
      </c>
      <c r="F148" s="88">
        <v>0.23845732041674284</v>
      </c>
      <c r="G148" s="88">
        <v>0.13375116682224297</v>
      </c>
      <c r="H148" s="88">
        <v>0.10470219435736691</v>
      </c>
      <c r="I148" s="88">
        <v>0.56065573770491806</v>
      </c>
      <c r="J148" s="88">
        <v>1E-14</v>
      </c>
      <c r="K148" s="88">
        <v>1E-14</v>
      </c>
      <c r="L148" s="88">
        <v>1E-14</v>
      </c>
      <c r="M148" s="88">
        <v>5.8424087123638696E-2</v>
      </c>
      <c r="N148" s="88">
        <v>1.2248897599216071E-2</v>
      </c>
      <c r="O148" s="88">
        <v>0.2774484789008832</v>
      </c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</row>
    <row r="149" spans="1:27" s="16" customFormat="1" outlineLevel="1" x14ac:dyDescent="0.25">
      <c r="B149" s="26"/>
      <c r="C149" s="5" t="s">
        <v>110</v>
      </c>
      <c r="D149" s="88">
        <v>0.74095678463453674</v>
      </c>
      <c r="E149" s="88">
        <v>0.78721445904108445</v>
      </c>
      <c r="F149" s="88">
        <v>0.76154267958325716</v>
      </c>
      <c r="G149" s="88">
        <v>0.86624883317775703</v>
      </c>
      <c r="H149" s="88">
        <v>0.89529780564263306</v>
      </c>
      <c r="I149" s="88">
        <v>1.3799337265093963</v>
      </c>
      <c r="J149" s="88">
        <v>2.1115830947919236</v>
      </c>
      <c r="K149" s="88">
        <v>1.8751183742187312</v>
      </c>
      <c r="L149" s="88">
        <v>1.5690593916660971</v>
      </c>
      <c r="M149" s="88">
        <v>0.96860986547085204</v>
      </c>
      <c r="N149" s="88">
        <v>0.9877511024007839</v>
      </c>
      <c r="O149" s="88">
        <v>0.65711481844946029</v>
      </c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</row>
    <row r="150" spans="1:27" s="16" customFormat="1" outlineLevel="1" x14ac:dyDescent="0.25">
      <c r="B150" s="26"/>
      <c r="C150" s="5" t="s">
        <v>111</v>
      </c>
      <c r="D150" s="88">
        <v>1E-14</v>
      </c>
      <c r="E150" s="88">
        <v>1E-14</v>
      </c>
      <c r="F150" s="88">
        <v>1E-14</v>
      </c>
      <c r="G150" s="88">
        <v>1E-14</v>
      </c>
      <c r="H150" s="88">
        <v>1E-14</v>
      </c>
      <c r="I150" s="88">
        <v>1E-14</v>
      </c>
      <c r="J150" s="88">
        <v>1E-14</v>
      </c>
      <c r="K150" s="88">
        <v>1E-14</v>
      </c>
      <c r="L150" s="88">
        <v>1E-14</v>
      </c>
      <c r="M150" s="88">
        <v>1E-14</v>
      </c>
      <c r="N150" s="88">
        <v>1E-14</v>
      </c>
      <c r="O150" s="88">
        <v>1E-14</v>
      </c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</row>
    <row r="151" spans="1:27" s="16" customFormat="1" outlineLevel="1" x14ac:dyDescent="0.25">
      <c r="B151" s="26"/>
      <c r="C151" s="5" t="s">
        <v>70</v>
      </c>
      <c r="D151" s="88">
        <v>0.14227280810955006</v>
      </c>
      <c r="E151" s="88">
        <v>1E-14</v>
      </c>
      <c r="F151" s="88">
        <v>1E-14</v>
      </c>
      <c r="G151" s="88">
        <v>1E-14</v>
      </c>
      <c r="H151" s="88">
        <v>1E-14</v>
      </c>
      <c r="I151" s="88">
        <v>1E-14</v>
      </c>
      <c r="J151" s="88">
        <v>1E-14</v>
      </c>
      <c r="K151" s="88">
        <v>1E-14</v>
      </c>
      <c r="L151" s="88">
        <v>1E-14</v>
      </c>
      <c r="M151" s="88">
        <v>1E-14</v>
      </c>
      <c r="N151" s="88">
        <v>1E-14</v>
      </c>
      <c r="O151" s="88">
        <v>0.2198233562315996</v>
      </c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</row>
    <row r="152" spans="1:27" s="16" customFormat="1" outlineLevel="1" x14ac:dyDescent="0.25">
      <c r="B152" s="26"/>
      <c r="C152" s="5" t="s">
        <v>112</v>
      </c>
      <c r="D152" s="88">
        <v>-1E-14</v>
      </c>
      <c r="E152" s="88">
        <v>-1E-14</v>
      </c>
      <c r="F152" s="88">
        <v>-1E-14</v>
      </c>
      <c r="G152" s="88">
        <v>-1E-14</v>
      </c>
      <c r="H152" s="88">
        <v>-1E-14</v>
      </c>
      <c r="I152" s="88">
        <v>-0.94058946421431433</v>
      </c>
      <c r="J152" s="88">
        <v>-1.1115830947919239</v>
      </c>
      <c r="K152" s="88">
        <v>-0.87511837421873118</v>
      </c>
      <c r="L152" s="88">
        <v>-0.5690593916660972</v>
      </c>
      <c r="M152" s="88">
        <v>-2.703395259449071E-2</v>
      </c>
      <c r="N152" s="88">
        <v>-1E-14</v>
      </c>
      <c r="O152" s="88">
        <v>-0.15438665358194309</v>
      </c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</row>
    <row r="153" spans="1:27" s="16" customFormat="1" outlineLevel="1" x14ac:dyDescent="0.25">
      <c r="B153" s="26"/>
      <c r="C153" s="5" t="s">
        <v>113</v>
      </c>
      <c r="D153" s="88">
        <v>1E-14</v>
      </c>
      <c r="E153" s="88">
        <v>1E-14</v>
      </c>
      <c r="F153" s="88">
        <v>1E-14</v>
      </c>
      <c r="G153" s="88">
        <v>1E-14</v>
      </c>
      <c r="H153" s="88">
        <v>1E-14</v>
      </c>
      <c r="I153" s="88">
        <v>1E-14</v>
      </c>
      <c r="J153" s="88">
        <v>1E-14</v>
      </c>
      <c r="K153" s="88">
        <v>1E-14</v>
      </c>
      <c r="L153" s="88">
        <v>1E-14</v>
      </c>
      <c r="M153" s="88">
        <v>1E-14</v>
      </c>
      <c r="N153" s="88">
        <v>1E-14</v>
      </c>
      <c r="O153" s="88">
        <v>1E-14</v>
      </c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</row>
    <row r="154" spans="1:27" x14ac:dyDescent="0.25"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</row>
    <row r="155" spans="1:27" s="75" customFormat="1" ht="18.75" x14ac:dyDescent="0.3">
      <c r="A155" s="77" t="s">
        <v>122</v>
      </c>
      <c r="B155" s="74"/>
      <c r="C155" s="107" t="s">
        <v>121</v>
      </c>
      <c r="D155" s="78" t="s">
        <v>229</v>
      </c>
      <c r="E155" s="78" t="s">
        <v>236</v>
      </c>
      <c r="F155" s="78" t="s">
        <v>237</v>
      </c>
      <c r="G155" s="78" t="s">
        <v>238</v>
      </c>
      <c r="H155" s="78" t="s">
        <v>239</v>
      </c>
      <c r="I155" s="78" t="s">
        <v>240</v>
      </c>
      <c r="J155" s="78" t="s">
        <v>241</v>
      </c>
      <c r="K155" s="78" t="s">
        <v>242</v>
      </c>
      <c r="L155" s="78" t="s">
        <v>243</v>
      </c>
      <c r="M155" s="78" t="s">
        <v>244</v>
      </c>
      <c r="N155" s="78" t="s">
        <v>245</v>
      </c>
      <c r="O155" s="78" t="s">
        <v>246</v>
      </c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</row>
    <row r="156" spans="1:27" s="16" customFormat="1" x14ac:dyDescent="0.25">
      <c r="A156" s="106">
        <f>MAX(D156:AA156)</f>
        <v>1E-14</v>
      </c>
      <c r="B156" s="95"/>
      <c r="C156" s="100" t="s">
        <v>96</v>
      </c>
      <c r="D156" s="93">
        <v>1E-14</v>
      </c>
      <c r="E156" s="91">
        <v>1E-14</v>
      </c>
      <c r="F156" s="91">
        <v>1E-14</v>
      </c>
      <c r="G156" s="91">
        <v>1E-14</v>
      </c>
      <c r="H156" s="91">
        <v>1E-14</v>
      </c>
      <c r="I156" s="91">
        <v>1E-14</v>
      </c>
      <c r="J156" s="91">
        <v>1E-14</v>
      </c>
      <c r="K156" s="91">
        <v>1E-14</v>
      </c>
      <c r="L156" s="91">
        <v>1E-14</v>
      </c>
      <c r="M156" s="91">
        <v>1E-14</v>
      </c>
      <c r="N156" s="91">
        <v>1E-14</v>
      </c>
      <c r="O156" s="91">
        <v>1E-14</v>
      </c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s="16" customFormat="1" x14ac:dyDescent="0.25">
      <c r="A157" s="106">
        <f t="shared" ref="A157:A161" si="10">MAX(D157:AA157)</f>
        <v>1E-14</v>
      </c>
      <c r="B157" s="96"/>
      <c r="C157" s="101" t="s">
        <v>97</v>
      </c>
      <c r="D157" s="94">
        <v>1E-14</v>
      </c>
      <c r="E157" s="92">
        <v>1E-14</v>
      </c>
      <c r="F157" s="92">
        <v>1E-14</v>
      </c>
      <c r="G157" s="92">
        <v>1E-14</v>
      </c>
      <c r="H157" s="92">
        <v>1E-14</v>
      </c>
      <c r="I157" s="92">
        <v>1E-14</v>
      </c>
      <c r="J157" s="92">
        <v>1E-14</v>
      </c>
      <c r="K157" s="92">
        <v>1E-14</v>
      </c>
      <c r="L157" s="92">
        <v>1E-14</v>
      </c>
      <c r="M157" s="92">
        <v>1E-14</v>
      </c>
      <c r="N157" s="92">
        <v>1E-14</v>
      </c>
      <c r="O157" s="92">
        <v>1E-14</v>
      </c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s="16" customFormat="1" x14ac:dyDescent="0.25">
      <c r="A158" s="106">
        <f t="shared" si="10"/>
        <v>0</v>
      </c>
      <c r="B158" s="96"/>
      <c r="C158" s="101"/>
      <c r="D158" s="94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s="16" customFormat="1" x14ac:dyDescent="0.25">
      <c r="A159" s="106">
        <f t="shared" si="10"/>
        <v>0</v>
      </c>
      <c r="B159" s="96"/>
      <c r="C159" s="101"/>
      <c r="D159" s="94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s="16" customFormat="1" x14ac:dyDescent="0.25">
      <c r="A160" s="106">
        <f t="shared" si="10"/>
        <v>0</v>
      </c>
      <c r="B160" s="96"/>
      <c r="C160" s="101"/>
      <c r="D160" s="94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s="16" customFormat="1" x14ac:dyDescent="0.25">
      <c r="A161" s="106">
        <f t="shared" si="10"/>
        <v>0</v>
      </c>
      <c r="B161" s="96"/>
      <c r="C161" s="101"/>
      <c r="D161" s="94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s="16" customFormat="1" x14ac:dyDescent="0.25">
      <c r="A162" s="106"/>
      <c r="B162" s="97"/>
      <c r="C162" s="108"/>
      <c r="D162" s="93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s="75" customFormat="1" ht="18.75" x14ac:dyDescent="0.3">
      <c r="A163" s="77" t="s">
        <v>123</v>
      </c>
      <c r="B163" s="76" t="s">
        <v>121</v>
      </c>
      <c r="C163" s="107" t="s">
        <v>124</v>
      </c>
      <c r="D163" s="78" t="s">
        <v>229</v>
      </c>
      <c r="E163" s="78" t="s">
        <v>236</v>
      </c>
      <c r="F163" s="78" t="s">
        <v>237</v>
      </c>
      <c r="G163" s="78" t="s">
        <v>238</v>
      </c>
      <c r="H163" s="78" t="s">
        <v>239</v>
      </c>
      <c r="I163" s="78" t="s">
        <v>240</v>
      </c>
      <c r="J163" s="78" t="s">
        <v>241</v>
      </c>
      <c r="K163" s="78" t="s">
        <v>242</v>
      </c>
      <c r="L163" s="78" t="s">
        <v>243</v>
      </c>
      <c r="M163" s="78" t="s">
        <v>244</v>
      </c>
      <c r="N163" s="78" t="s">
        <v>245</v>
      </c>
      <c r="O163" s="78" t="s">
        <v>246</v>
      </c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</row>
    <row r="164" spans="1:27" x14ac:dyDescent="0.25">
      <c r="A164" s="106">
        <f>MAX(D164:AA164)</f>
        <v>1E-14</v>
      </c>
      <c r="B164" s="95" t="s">
        <v>96</v>
      </c>
      <c r="C164" s="100" t="s">
        <v>10</v>
      </c>
      <c r="D164" s="91">
        <v>1E-14</v>
      </c>
      <c r="E164" s="91">
        <v>1E-14</v>
      </c>
      <c r="F164" s="91">
        <v>1E-14</v>
      </c>
      <c r="G164" s="91">
        <v>1E-14</v>
      </c>
      <c r="H164" s="91">
        <v>1E-14</v>
      </c>
      <c r="I164" s="91">
        <v>1E-14</v>
      </c>
      <c r="J164" s="91">
        <v>1E-14</v>
      </c>
      <c r="K164" s="91">
        <v>1E-14</v>
      </c>
      <c r="L164" s="91">
        <v>1E-14</v>
      </c>
      <c r="M164" s="91">
        <v>1E-14</v>
      </c>
      <c r="N164" s="91">
        <v>1E-14</v>
      </c>
      <c r="O164" s="91">
        <v>1E-14</v>
      </c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ref="A165:A221" si="11">MAX(D165:AA165)</f>
        <v>1E-14</v>
      </c>
      <c r="B165" s="96" t="s">
        <v>96</v>
      </c>
      <c r="C165" s="101" t="s">
        <v>18</v>
      </c>
      <c r="D165" s="92">
        <v>1E-14</v>
      </c>
      <c r="E165" s="92">
        <v>1E-14</v>
      </c>
      <c r="F165" s="92">
        <v>1E-14</v>
      </c>
      <c r="G165" s="92">
        <v>1E-14</v>
      </c>
      <c r="H165" s="92">
        <v>1E-14</v>
      </c>
      <c r="I165" s="92">
        <v>1E-14</v>
      </c>
      <c r="J165" s="92">
        <v>1E-14</v>
      </c>
      <c r="K165" s="92">
        <v>1E-14</v>
      </c>
      <c r="L165" s="92">
        <v>1E-14</v>
      </c>
      <c r="M165" s="92">
        <v>1E-14</v>
      </c>
      <c r="N165" s="92">
        <v>1E-14</v>
      </c>
      <c r="O165" s="92">
        <v>1E-14</v>
      </c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1E-14</v>
      </c>
      <c r="B166" s="96" t="s">
        <v>96</v>
      </c>
      <c r="C166" s="101" t="s">
        <v>17</v>
      </c>
      <c r="D166" s="92">
        <v>1E-14</v>
      </c>
      <c r="E166" s="92">
        <v>1E-14</v>
      </c>
      <c r="F166" s="92">
        <v>1E-14</v>
      </c>
      <c r="G166" s="92">
        <v>1E-14</v>
      </c>
      <c r="H166" s="92">
        <v>1E-14</v>
      </c>
      <c r="I166" s="92">
        <v>1E-14</v>
      </c>
      <c r="J166" s="92">
        <v>1E-14</v>
      </c>
      <c r="K166" s="92">
        <v>1E-14</v>
      </c>
      <c r="L166" s="92">
        <v>1E-14</v>
      </c>
      <c r="M166" s="92">
        <v>1E-14</v>
      </c>
      <c r="N166" s="92">
        <v>1E-14</v>
      </c>
      <c r="O166" s="92">
        <v>1E-14</v>
      </c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1E-14</v>
      </c>
      <c r="B167" s="96" t="s">
        <v>96</v>
      </c>
      <c r="C167" s="101" t="s">
        <v>26</v>
      </c>
      <c r="D167" s="92">
        <v>1E-14</v>
      </c>
      <c r="E167" s="92">
        <v>1E-14</v>
      </c>
      <c r="F167" s="92">
        <v>1E-14</v>
      </c>
      <c r="G167" s="92">
        <v>1E-14</v>
      </c>
      <c r="H167" s="92">
        <v>1E-14</v>
      </c>
      <c r="I167" s="92">
        <v>1E-14</v>
      </c>
      <c r="J167" s="92">
        <v>1E-14</v>
      </c>
      <c r="K167" s="92">
        <v>1E-14</v>
      </c>
      <c r="L167" s="92">
        <v>1E-14</v>
      </c>
      <c r="M167" s="92">
        <v>1E-14</v>
      </c>
      <c r="N167" s="92">
        <v>1E-14</v>
      </c>
      <c r="O167" s="92">
        <v>1E-14</v>
      </c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1E-14</v>
      </c>
      <c r="B168" s="96" t="s">
        <v>97</v>
      </c>
      <c r="C168" s="101" t="s">
        <v>10</v>
      </c>
      <c r="D168" s="92">
        <v>1E-14</v>
      </c>
      <c r="E168" s="92">
        <v>1E-14</v>
      </c>
      <c r="F168" s="92">
        <v>1E-14</v>
      </c>
      <c r="G168" s="92">
        <v>1E-14</v>
      </c>
      <c r="H168" s="92">
        <v>1E-14</v>
      </c>
      <c r="I168" s="92">
        <v>1E-14</v>
      </c>
      <c r="J168" s="92">
        <v>1E-14</v>
      </c>
      <c r="K168" s="92">
        <v>1E-14</v>
      </c>
      <c r="L168" s="92">
        <v>1E-14</v>
      </c>
      <c r="M168" s="92">
        <v>1E-14</v>
      </c>
      <c r="N168" s="92">
        <v>1E-14</v>
      </c>
      <c r="O168" s="92">
        <v>1E-14</v>
      </c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1E-14</v>
      </c>
      <c r="B169" s="96" t="s">
        <v>97</v>
      </c>
      <c r="C169" s="101" t="s">
        <v>18</v>
      </c>
      <c r="D169" s="92">
        <v>1E-14</v>
      </c>
      <c r="E169" s="92">
        <v>1E-14</v>
      </c>
      <c r="F169" s="92">
        <v>1E-14</v>
      </c>
      <c r="G169" s="92">
        <v>1E-14</v>
      </c>
      <c r="H169" s="92">
        <v>1E-14</v>
      </c>
      <c r="I169" s="92">
        <v>1E-14</v>
      </c>
      <c r="J169" s="92">
        <v>1E-14</v>
      </c>
      <c r="K169" s="92">
        <v>1E-14</v>
      </c>
      <c r="L169" s="92">
        <v>1E-14</v>
      </c>
      <c r="M169" s="92">
        <v>1E-14</v>
      </c>
      <c r="N169" s="92">
        <v>1E-14</v>
      </c>
      <c r="O169" s="92">
        <v>1E-14</v>
      </c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1E-14</v>
      </c>
      <c r="B170" s="98" t="s">
        <v>97</v>
      </c>
      <c r="C170" s="102" t="s">
        <v>17</v>
      </c>
      <c r="D170" s="92">
        <v>1E-14</v>
      </c>
      <c r="E170" s="92">
        <v>1E-14</v>
      </c>
      <c r="F170" s="92">
        <v>1E-14</v>
      </c>
      <c r="G170" s="92">
        <v>1E-14</v>
      </c>
      <c r="H170" s="92">
        <v>1E-14</v>
      </c>
      <c r="I170" s="92">
        <v>1E-14</v>
      </c>
      <c r="J170" s="92">
        <v>1E-14</v>
      </c>
      <c r="K170" s="92">
        <v>1E-14</v>
      </c>
      <c r="L170" s="92">
        <v>1E-14</v>
      </c>
      <c r="M170" s="92">
        <v>1E-14</v>
      </c>
      <c r="N170" s="92">
        <v>1E-14</v>
      </c>
      <c r="O170" s="92">
        <v>1E-14</v>
      </c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1E-14</v>
      </c>
      <c r="B171" s="104" t="s">
        <v>97</v>
      </c>
      <c r="C171" s="105" t="s">
        <v>26</v>
      </c>
      <c r="D171" s="92">
        <v>1E-14</v>
      </c>
      <c r="E171" s="92">
        <v>1E-14</v>
      </c>
      <c r="F171" s="92">
        <v>1E-14</v>
      </c>
      <c r="G171" s="92">
        <v>1E-14</v>
      </c>
      <c r="H171" s="92">
        <v>1E-14</v>
      </c>
      <c r="I171" s="92">
        <v>1E-14</v>
      </c>
      <c r="J171" s="92">
        <v>1E-14</v>
      </c>
      <c r="K171" s="92">
        <v>1E-14</v>
      </c>
      <c r="L171" s="92">
        <v>1E-14</v>
      </c>
      <c r="M171" s="92">
        <v>1E-14</v>
      </c>
      <c r="N171" s="92">
        <v>1E-14</v>
      </c>
      <c r="O171" s="92">
        <v>1E-14</v>
      </c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8"/>
      <c r="C198" s="10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8"/>
      <c r="C199" s="10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8"/>
      <c r="C200" s="10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8"/>
      <c r="C201" s="10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8"/>
      <c r="C202" s="10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>
        <f t="shared" si="11"/>
        <v>0</v>
      </c>
      <c r="B203" s="98"/>
      <c r="C203" s="10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</row>
    <row r="204" spans="1:27" x14ac:dyDescent="0.25">
      <c r="A204" s="106">
        <f t="shared" si="11"/>
        <v>0</v>
      </c>
      <c r="B204" s="98"/>
      <c r="C204" s="10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</row>
    <row r="205" spans="1:27" x14ac:dyDescent="0.25">
      <c r="A205" s="106">
        <f t="shared" si="11"/>
        <v>0</v>
      </c>
      <c r="B205" s="98"/>
      <c r="C205" s="10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</row>
    <row r="206" spans="1:27" x14ac:dyDescent="0.25">
      <c r="A206" s="106">
        <f t="shared" si="11"/>
        <v>0</v>
      </c>
      <c r="B206" s="98"/>
      <c r="C206" s="10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</row>
    <row r="207" spans="1:27" x14ac:dyDescent="0.25">
      <c r="A207" s="106">
        <f t="shared" si="11"/>
        <v>0</v>
      </c>
      <c r="B207" s="98"/>
      <c r="C207" s="10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</row>
    <row r="208" spans="1:27" x14ac:dyDescent="0.25">
      <c r="A208" s="106">
        <f t="shared" si="11"/>
        <v>0</v>
      </c>
      <c r="B208" s="98"/>
      <c r="C208" s="10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</row>
    <row r="209" spans="1:27" x14ac:dyDescent="0.25">
      <c r="A209" s="106">
        <f t="shared" si="11"/>
        <v>0</v>
      </c>
      <c r="B209" s="98"/>
      <c r="C209" s="10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</row>
    <row r="210" spans="1:27" x14ac:dyDescent="0.25">
      <c r="A210" s="106">
        <f t="shared" si="11"/>
        <v>0</v>
      </c>
      <c r="B210" s="98"/>
      <c r="C210" s="10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</row>
    <row r="211" spans="1:27" x14ac:dyDescent="0.25">
      <c r="A211" s="106">
        <f t="shared" si="11"/>
        <v>0</v>
      </c>
      <c r="B211" s="98"/>
      <c r="C211" s="10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</row>
    <row r="212" spans="1:27" x14ac:dyDescent="0.25">
      <c r="A212" s="106">
        <f t="shared" si="11"/>
        <v>0</v>
      </c>
      <c r="B212" s="98"/>
      <c r="C212" s="10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</row>
    <row r="213" spans="1:27" x14ac:dyDescent="0.25">
      <c r="A213" s="106">
        <f t="shared" si="11"/>
        <v>0</v>
      </c>
      <c r="B213" s="98"/>
      <c r="C213" s="10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</row>
    <row r="214" spans="1:27" x14ac:dyDescent="0.25">
      <c r="A214" s="106">
        <f t="shared" si="11"/>
        <v>0</v>
      </c>
      <c r="B214" s="98"/>
      <c r="C214" s="10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</row>
    <row r="215" spans="1:27" x14ac:dyDescent="0.25">
      <c r="A215" s="106">
        <f t="shared" si="11"/>
        <v>0</v>
      </c>
      <c r="B215" s="98"/>
      <c r="C215" s="10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</row>
    <row r="216" spans="1:27" x14ac:dyDescent="0.25">
      <c r="A216" s="106">
        <f t="shared" si="11"/>
        <v>0</v>
      </c>
      <c r="B216" s="98"/>
      <c r="C216" s="10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</row>
    <row r="217" spans="1:27" x14ac:dyDescent="0.25">
      <c r="A217" s="106">
        <f t="shared" si="11"/>
        <v>0</v>
      </c>
      <c r="B217" s="99"/>
      <c r="C217" s="103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</row>
    <row r="218" spans="1:27" x14ac:dyDescent="0.25">
      <c r="A218" s="106">
        <f t="shared" si="11"/>
        <v>0</v>
      </c>
      <c r="B218" s="99"/>
      <c r="C218" s="103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</row>
    <row r="219" spans="1:27" x14ac:dyDescent="0.25">
      <c r="A219" s="106">
        <f t="shared" si="11"/>
        <v>0</v>
      </c>
      <c r="B219" s="99"/>
      <c r="C219" s="103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</row>
    <row r="220" spans="1:27" x14ac:dyDescent="0.25">
      <c r="A220" s="106">
        <f t="shared" si="11"/>
        <v>0</v>
      </c>
      <c r="B220" s="99"/>
      <c r="C220" s="103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</row>
    <row r="221" spans="1:27" x14ac:dyDescent="0.25">
      <c r="A221" s="106">
        <f t="shared" si="11"/>
        <v>0</v>
      </c>
      <c r="B221" s="99"/>
      <c r="C221" s="103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</row>
    <row r="222" spans="1:27" x14ac:dyDescent="0.25">
      <c r="A222" s="106"/>
    </row>
  </sheetData>
  <phoneticPr fontId="8" type="noConversion"/>
  <conditionalFormatting sqref="D62:AA68">
    <cfRule type="cellIs" dxfId="119" priority="24" operator="between">
      <formula>-0.00000000001</formula>
      <formula>0.00000000001</formula>
    </cfRule>
    <cfRule type="colorScale" priority="15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34:AA145">
    <cfRule type="cellIs" dxfId="118" priority="159" operator="lessThan">
      <formula>0.0000000000001</formula>
    </cfRule>
  </conditionalFormatting>
  <conditionalFormatting sqref="D70:AA100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102:A132">
    <cfRule type="colorScale" priority="151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70:A98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62:A67">
    <cfRule type="colorScale" priority="14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17" priority="147" operator="between">
      <formula>-0.0000000000001</formula>
      <formula>0.0000000000001</formula>
    </cfRule>
  </conditionalFormatting>
  <conditionalFormatting sqref="A8:AA59">
    <cfRule type="cellIs" dxfId="116" priority="146" operator="between">
      <formula>-0.0000000000001</formula>
      <formula>0.0000000000001</formula>
    </cfRule>
  </conditionalFormatting>
  <conditionalFormatting sqref="A17 C17:O17">
    <cfRule type="cellIs" dxfId="115" priority="145" operator="between">
      <formula>-0.0000000000001</formula>
      <formula>0.0000000000001</formula>
    </cfRule>
  </conditionalFormatting>
  <conditionalFormatting sqref="P17:AA17">
    <cfRule type="cellIs" dxfId="114" priority="144" operator="between">
      <formula>-0.0000000000001</formula>
      <formula>0.0000000000001</formula>
    </cfRule>
  </conditionalFormatting>
  <conditionalFormatting sqref="C8:O8 A8">
    <cfRule type="cellIs" dxfId="113" priority="143" operator="between">
      <formula>-0.0000000000001</formula>
      <formula>0.0000000000001</formula>
    </cfRule>
  </conditionalFormatting>
  <conditionalFormatting sqref="P8:AA8">
    <cfRule type="cellIs" dxfId="112" priority="142" operator="between">
      <formula>-0.0000000000001</formula>
      <formula>0.0000000000001</formula>
    </cfRule>
  </conditionalFormatting>
  <conditionalFormatting sqref="C14">
    <cfRule type="cellIs" dxfId="111" priority="141" operator="between">
      <formula>-0.0000000000001</formula>
      <formula>0.0000000000001</formula>
    </cfRule>
  </conditionalFormatting>
  <conditionalFormatting sqref="C15">
    <cfRule type="cellIs" dxfId="110" priority="139" operator="between">
      <formula>-0.0000000000001</formula>
      <formula>0.0000000000001</formula>
    </cfRule>
  </conditionalFormatting>
  <conditionalFormatting sqref="A15 C15:O15">
    <cfRule type="cellIs" dxfId="109" priority="138" operator="between">
      <formula>-0.0000000000001</formula>
      <formula>0.0000000000001</formula>
    </cfRule>
  </conditionalFormatting>
  <conditionalFormatting sqref="P15:AA15">
    <cfRule type="cellIs" dxfId="108" priority="137" operator="between">
      <formula>-0.0000000000001</formula>
      <formula>0.0000000000001</formula>
    </cfRule>
  </conditionalFormatting>
  <conditionalFormatting sqref="C25:O26 A25:A26">
    <cfRule type="cellIs" dxfId="107" priority="136" operator="between">
      <formula>-0.0000000000001</formula>
      <formula>0.0000000000001</formula>
    </cfRule>
  </conditionalFormatting>
  <conditionalFormatting sqref="P25:AA26">
    <cfRule type="cellIs" dxfId="106" priority="135" operator="between">
      <formula>-0.0000000000001</formula>
      <formula>0.0000000000001</formula>
    </cfRule>
  </conditionalFormatting>
  <conditionalFormatting sqref="C51:O52 A51:A52 A54 C54:AA54 D50:O51 D53:O53">
    <cfRule type="cellIs" dxfId="105" priority="134" operator="between">
      <formula>-0.0000000000001</formula>
      <formula>0.0000000000001</formula>
    </cfRule>
  </conditionalFormatting>
  <conditionalFormatting sqref="P51:AA52">
    <cfRule type="cellIs" dxfId="104" priority="133" operator="between">
      <formula>-0.0000000000001</formula>
      <formula>0.0000000000001</formula>
    </cfRule>
  </conditionalFormatting>
  <conditionalFormatting sqref="C53:O53">
    <cfRule type="cellIs" dxfId="103" priority="132" operator="between">
      <formula>-0.0000000000001</formula>
      <formula>0.0000000000001</formula>
    </cfRule>
  </conditionalFormatting>
  <conditionalFormatting sqref="P53:AA53">
    <cfRule type="cellIs" dxfId="102" priority="131" operator="between">
      <formula>-0.0000000000001</formula>
      <formula>0.0000000000001</formula>
    </cfRule>
  </conditionalFormatting>
  <conditionalFormatting sqref="C12:O12">
    <cfRule type="cellIs" dxfId="101" priority="130" operator="between">
      <formula>-0.0000000000001</formula>
      <formula>0.0000000000001</formula>
    </cfRule>
  </conditionalFormatting>
  <conditionalFormatting sqref="P12:AA12">
    <cfRule type="cellIs" dxfId="100" priority="129" operator="between">
      <formula>-0.0000000000001</formula>
      <formula>0.0000000000001</formula>
    </cfRule>
  </conditionalFormatting>
  <conditionalFormatting sqref="C12">
    <cfRule type="cellIs" dxfId="99" priority="128" operator="between">
      <formula>-0.0000000000001</formula>
      <formula>0.0000000000001</formula>
    </cfRule>
  </conditionalFormatting>
  <conditionalFormatting sqref="A70:AA100">
    <cfRule type="cellIs" dxfId="98" priority="127" operator="between">
      <formula>-0.00000000001</formula>
      <formula>0.00000000001</formula>
    </cfRule>
  </conditionalFormatting>
  <conditionalFormatting sqref="P13:AA13">
    <cfRule type="cellIs" dxfId="97" priority="124" operator="between">
      <formula>-0.0000000000001</formula>
      <formula>0.0000000000001</formula>
    </cfRule>
  </conditionalFormatting>
  <conditionalFormatting sqref="C13">
    <cfRule type="cellIs" dxfId="96" priority="123" operator="between">
      <formula>-0.0000000000001</formula>
      <formula>0.0000000000001</formula>
    </cfRule>
  </conditionalFormatting>
  <conditionalFormatting sqref="C18:O18 A18">
    <cfRule type="cellIs" dxfId="95" priority="122" operator="between">
      <formula>-0.0000000000001</formula>
      <formula>0.0000000000001</formula>
    </cfRule>
  </conditionalFormatting>
  <conditionalFormatting sqref="P18:AA18">
    <cfRule type="cellIs" dxfId="94" priority="121" operator="between">
      <formula>-0.0000000000001</formula>
      <formula>0.0000000000001</formula>
    </cfRule>
  </conditionalFormatting>
  <conditionalFormatting sqref="C18">
    <cfRule type="cellIs" dxfId="93" priority="120" operator="between">
      <formula>-0.0000000000001</formula>
      <formula>0.0000000000001</formula>
    </cfRule>
  </conditionalFormatting>
  <conditionalFormatting sqref="C50:O50 A50">
    <cfRule type="cellIs" dxfId="92" priority="119" operator="between">
      <formula>-0.0000000000001</formula>
      <formula>0.0000000000001</formula>
    </cfRule>
  </conditionalFormatting>
  <conditionalFormatting sqref="P50:AA50">
    <cfRule type="cellIs" dxfId="91" priority="118" operator="between">
      <formula>-0.0000000000001</formula>
      <formula>0.0000000000001</formula>
    </cfRule>
  </conditionalFormatting>
  <conditionalFormatting sqref="D10:O11">
    <cfRule type="cellIs" dxfId="90" priority="117" operator="between">
      <formula>-0.0000000000001</formula>
      <formula>0.0000000000001</formula>
    </cfRule>
  </conditionalFormatting>
  <conditionalFormatting sqref="P10:AA11">
    <cfRule type="cellIs" dxfId="89" priority="116" operator="between">
      <formula>-0.0000000000001</formula>
      <formula>0.0000000000001</formula>
    </cfRule>
  </conditionalFormatting>
  <conditionalFormatting sqref="C39:AA39 A39">
    <cfRule type="cellIs" dxfId="88" priority="113" operator="between">
      <formula>-0.0000000000001</formula>
      <formula>0.0000000000001</formula>
    </cfRule>
  </conditionalFormatting>
  <conditionalFormatting sqref="P39:AA39">
    <cfRule type="cellIs" dxfId="87" priority="112" operator="between">
      <formula>-0.0000000000001</formula>
      <formula>0.0000000000001</formula>
    </cfRule>
  </conditionalFormatting>
  <conditionalFormatting sqref="B5">
    <cfRule type="cellIs" dxfId="86" priority="111" operator="between">
      <formula>-0.0000000000001</formula>
      <formula>0.0000000000001</formula>
    </cfRule>
  </conditionalFormatting>
  <conditionalFormatting sqref="C10:C11">
    <cfRule type="cellIs" dxfId="85" priority="110" operator="between">
      <formula>-0.0000000000001</formula>
      <formula>0.0000000000001</formula>
    </cfRule>
  </conditionalFormatting>
  <conditionalFormatting sqref="A12">
    <cfRule type="cellIs" dxfId="84" priority="109" operator="between">
      <formula>-0.0000000000001</formula>
      <formula>0.0000000000001</formula>
    </cfRule>
  </conditionalFormatting>
  <conditionalFormatting sqref="B171:B221">
    <cfRule type="containsText" dxfId="83" priority="107" operator="containsText" text="sto2">
      <formula>NOT(ISERROR(SEARCH("sto2",B171)))</formula>
    </cfRule>
    <cfRule type="containsText" dxfId="82" priority="108" operator="containsText" text="sto1">
      <formula>NOT(ISERROR(SEARCH("sto1",B171)))</formula>
    </cfRule>
  </conditionalFormatting>
  <conditionalFormatting sqref="A27 D27:AA27">
    <cfRule type="cellIs" dxfId="81" priority="106" operator="between">
      <formula>-0.0000000000001</formula>
      <formula>0.0000000000001</formula>
    </cfRule>
  </conditionalFormatting>
  <conditionalFormatting sqref="D27:AA27 A27">
    <cfRule type="cellIs" dxfId="80" priority="105" operator="between">
      <formula>-0.0000000000001</formula>
      <formula>0.0000000000001</formula>
    </cfRule>
  </conditionalFormatting>
  <conditionalFormatting sqref="C27:O27 A27">
    <cfRule type="cellIs" dxfId="79" priority="104" operator="between">
      <formula>-0.0000000000001</formula>
      <formula>0.0000000000001</formula>
    </cfRule>
  </conditionalFormatting>
  <conditionalFormatting sqref="P27:AA27">
    <cfRule type="cellIs" dxfId="78" priority="103" operator="between">
      <formula>-0.0000000000001</formula>
      <formula>0.0000000000001</formula>
    </cfRule>
  </conditionalFormatting>
  <conditionalFormatting sqref="D164:AA221">
    <cfRule type="colorScale" priority="100">
      <colorScale>
        <cfvo type="min"/>
        <cfvo type="max"/>
        <color rgb="FFFCFCFF"/>
        <color theme="9" tint="0.39997558519241921"/>
      </colorScale>
    </cfRule>
  </conditionalFormatting>
  <conditionalFormatting sqref="B157:B159 B161:B162">
    <cfRule type="containsText" dxfId="77" priority="98" operator="containsText" text="sto2">
      <formula>NOT(ISERROR(SEARCH("sto2",B157)))</formula>
    </cfRule>
    <cfRule type="containsText" dxfId="76" priority="99" operator="containsText" text="sto1">
      <formula>NOT(ISERROR(SEARCH("sto1",B157)))</formula>
    </cfRule>
  </conditionalFormatting>
  <conditionalFormatting sqref="B156">
    <cfRule type="containsText" dxfId="75" priority="96" operator="containsText" text="sto2">
      <formula>NOT(ISERROR(SEARCH("sto2",B156)))</formula>
    </cfRule>
    <cfRule type="containsText" dxfId="74" priority="97" operator="containsText" text="sto1">
      <formula>NOT(ISERROR(SEARCH("sto1",B156)))</formula>
    </cfRule>
  </conditionalFormatting>
  <conditionalFormatting sqref="D156:AA159 D161:AA162">
    <cfRule type="colorScale" priority="95">
      <colorScale>
        <cfvo type="min"/>
        <cfvo type="max"/>
        <color rgb="FFFCFCFF"/>
        <color rgb="FF63BE7B"/>
      </colorScale>
    </cfRule>
  </conditionalFormatting>
  <conditionalFormatting sqref="B160">
    <cfRule type="containsText" dxfId="73" priority="93" operator="containsText" text="sto2">
      <formula>NOT(ISERROR(SEARCH("sto2",B160)))</formula>
    </cfRule>
    <cfRule type="containsText" dxfId="72" priority="94" operator="containsText" text="sto1">
      <formula>NOT(ISERROR(SEARCH("sto1",B160)))</formula>
    </cfRule>
  </conditionalFormatting>
  <conditionalFormatting sqref="D160:AA160">
    <cfRule type="colorScale" priority="92">
      <colorScale>
        <cfvo type="min"/>
        <cfvo type="max"/>
        <color rgb="FFFCFCFF"/>
        <color theme="9" tint="0.39997558519241921"/>
      </colorScale>
    </cfRule>
  </conditionalFormatting>
  <conditionalFormatting sqref="B165:B167 B169:B170">
    <cfRule type="containsText" dxfId="71" priority="87" operator="containsText" text="sto2">
      <formula>NOT(ISERROR(SEARCH("sto2",B165)))</formula>
    </cfRule>
    <cfRule type="containsText" dxfId="70" priority="88" operator="containsText" text="sto1">
      <formula>NOT(ISERROR(SEARCH("sto1",B165)))</formula>
    </cfRule>
  </conditionalFormatting>
  <conditionalFormatting sqref="B164">
    <cfRule type="containsText" dxfId="69" priority="85" operator="containsText" text="sto2">
      <formula>NOT(ISERROR(SEARCH("sto2",B164)))</formula>
    </cfRule>
    <cfRule type="containsText" dxfId="68" priority="86" operator="containsText" text="sto1">
      <formula>NOT(ISERROR(SEARCH("sto1",B164)))</formula>
    </cfRule>
  </conditionalFormatting>
  <conditionalFormatting sqref="B168">
    <cfRule type="containsText" dxfId="67" priority="83" operator="containsText" text="sto2">
      <formula>NOT(ISERROR(SEARCH("sto2",B168)))</formula>
    </cfRule>
    <cfRule type="containsText" dxfId="66" priority="84" operator="containsText" text="sto1">
      <formula>NOT(ISERROR(SEARCH("sto1",B168)))</formula>
    </cfRule>
  </conditionalFormatting>
  <conditionalFormatting sqref="E28:AA28 A28">
    <cfRule type="cellIs" dxfId="65" priority="81" operator="between">
      <formula>-0.0000000000001</formula>
      <formula>0.0000000000001</formula>
    </cfRule>
  </conditionalFormatting>
  <conditionalFormatting sqref="A28 E28:AA28">
    <cfRule type="cellIs" dxfId="64" priority="80" operator="between">
      <formula>-0.0000000000001</formula>
      <formula>0.0000000000001</formula>
    </cfRule>
  </conditionalFormatting>
  <conditionalFormatting sqref="D30:AA30 A30">
    <cfRule type="cellIs" dxfId="63" priority="79" operator="between">
      <formula>-0.0000000000001</formula>
      <formula>0.0000000000001</formula>
    </cfRule>
  </conditionalFormatting>
  <conditionalFormatting sqref="A30 D30:AA30">
    <cfRule type="cellIs" dxfId="62" priority="78" operator="between">
      <formula>-0.0000000000001</formula>
      <formula>0.0000000000001</formula>
    </cfRule>
  </conditionalFormatting>
  <conditionalFormatting sqref="A40 D40:AA40">
    <cfRule type="cellIs" dxfId="61" priority="77" operator="between">
      <formula>-0.0000000000001</formula>
      <formula>0.0000000000001</formula>
    </cfRule>
  </conditionalFormatting>
  <conditionalFormatting sqref="D40:AA40 A40">
    <cfRule type="cellIs" dxfId="60" priority="76" operator="between">
      <formula>-0.0000000000001</formula>
      <formula>0.0000000000001</formula>
    </cfRule>
  </conditionalFormatting>
  <conditionalFormatting sqref="A32:A33 D32:AA34 D36:AA36 A36">
    <cfRule type="cellIs" dxfId="59" priority="73" operator="between">
      <formula>-0.0000000000001</formula>
      <formula>0.0000000000001</formula>
    </cfRule>
  </conditionalFormatting>
  <conditionalFormatting sqref="D32:AA34 A32:A33 A36 D36:AA36">
    <cfRule type="cellIs" dxfId="58" priority="72" operator="between">
      <formula>-0.0000000000001</formula>
      <formula>0.0000000000001</formula>
    </cfRule>
  </conditionalFormatting>
  <conditionalFormatting sqref="C33:AA34 A33">
    <cfRule type="cellIs" dxfId="57" priority="71" operator="between">
      <formula>-0.0000000000001</formula>
      <formula>0.0000000000001</formula>
    </cfRule>
  </conditionalFormatting>
  <conditionalFormatting sqref="P33:AA34">
    <cfRule type="cellIs" dxfId="56" priority="70" operator="between">
      <formula>-0.0000000000001</formula>
      <formula>0.0000000000001</formula>
    </cfRule>
  </conditionalFormatting>
  <conditionalFormatting sqref="A35 D35:AA35">
    <cfRule type="cellIs" dxfId="55" priority="69" operator="between">
      <formula>-0.0000000000001</formula>
      <formula>0.0000000000001</formula>
    </cfRule>
  </conditionalFormatting>
  <conditionalFormatting sqref="D35:AA35 A35">
    <cfRule type="cellIs" dxfId="54" priority="68" operator="between">
      <formula>-0.0000000000001</formula>
      <formula>0.0000000000001</formula>
    </cfRule>
  </conditionalFormatting>
  <conditionalFormatting sqref="D52:O52">
    <cfRule type="cellIs" dxfId="53" priority="67" operator="between">
      <formula>-0.0000000000001</formula>
      <formula>0.0000000000001</formula>
    </cfRule>
  </conditionalFormatting>
  <conditionalFormatting sqref="D49:O49">
    <cfRule type="cellIs" dxfId="52" priority="66" operator="between">
      <formula>-0.0000000000001</formula>
      <formula>0.0000000000001</formula>
    </cfRule>
  </conditionalFormatting>
  <conditionalFormatting sqref="A34">
    <cfRule type="cellIs" dxfId="51" priority="65" operator="between">
      <formula>-0.0000000000001</formula>
      <formula>0.0000000000001</formula>
    </cfRule>
  </conditionalFormatting>
  <conditionalFormatting sqref="A34">
    <cfRule type="cellIs" dxfId="50" priority="64" operator="between">
      <formula>-0.0000000000001</formula>
      <formula>0.0000000000001</formula>
    </cfRule>
  </conditionalFormatting>
  <conditionalFormatting sqref="A42">
    <cfRule type="cellIs" dxfId="49" priority="63" operator="between">
      <formula>-0.0000000000001</formula>
      <formula>0.0000000000001</formula>
    </cfRule>
  </conditionalFormatting>
  <conditionalFormatting sqref="A42">
    <cfRule type="cellIs" dxfId="48" priority="62" operator="between">
      <formula>-0.0000000000001</formula>
      <formula>0.0000000000001</formula>
    </cfRule>
  </conditionalFormatting>
  <conditionalFormatting sqref="A53">
    <cfRule type="cellIs" dxfId="47" priority="61" operator="between">
      <formula>-0.0000000000001</formula>
      <formula>0.0000000000001</formula>
    </cfRule>
  </conditionalFormatting>
  <conditionalFormatting sqref="A53">
    <cfRule type="cellIs" dxfId="46" priority="60" operator="between">
      <formula>-0.0000000000001</formula>
      <formula>0.0000000000001</formula>
    </cfRule>
  </conditionalFormatting>
  <conditionalFormatting sqref="D29">
    <cfRule type="cellIs" dxfId="45" priority="59" operator="between">
      <formula>-0.0000000000001</formula>
      <formula>0.0000000000001</formula>
    </cfRule>
  </conditionalFormatting>
  <conditionalFormatting sqref="D29">
    <cfRule type="cellIs" dxfId="44" priority="58" operator="between">
      <formula>-0.0000000000001</formula>
      <formula>0.0000000000001</formula>
    </cfRule>
  </conditionalFormatting>
  <conditionalFormatting sqref="D28">
    <cfRule type="cellIs" dxfId="43" priority="57" operator="between">
      <formula>-0.0000000000001</formula>
      <formula>0.0000000000001</formula>
    </cfRule>
  </conditionalFormatting>
  <conditionalFormatting sqref="D28">
    <cfRule type="cellIs" dxfId="42" priority="56" operator="between">
      <formula>-0.0000000000001</formula>
      <formula>0.0000000000001</formula>
    </cfRule>
  </conditionalFormatting>
  <conditionalFormatting sqref="D55:AA55">
    <cfRule type="cellIs" dxfId="41" priority="55" operator="between">
      <formula>-0.0000000000001</formula>
      <formula>0.0000000000001</formula>
    </cfRule>
  </conditionalFormatting>
  <conditionalFormatting sqref="D55:AA55">
    <cfRule type="cellIs" dxfId="40" priority="54" operator="between">
      <formula>-0.0000000000001</formula>
      <formula>0.0000000000001</formula>
    </cfRule>
  </conditionalFormatting>
  <conditionalFormatting sqref="C55:AA55">
    <cfRule type="cellIs" dxfId="39" priority="53" operator="between">
      <formula>-0.0000000000001</formula>
      <formula>0.0000000000001</formula>
    </cfRule>
  </conditionalFormatting>
  <conditionalFormatting sqref="D55:AA55">
    <cfRule type="cellIs" dxfId="38" priority="52" operator="between">
      <formula>-0.0000000000001</formula>
      <formula>0.0000000000001</formula>
    </cfRule>
  </conditionalFormatting>
  <conditionalFormatting sqref="P55:AA55">
    <cfRule type="cellIs" dxfId="37" priority="51" operator="between">
      <formula>-0.0000000000001</formula>
      <formula>0.0000000000001</formula>
    </cfRule>
  </conditionalFormatting>
  <conditionalFormatting sqref="D37:AA37 A37">
    <cfRule type="cellIs" dxfId="36" priority="50" operator="between">
      <formula>-0.0000000000001</formula>
      <formula>0.0000000000001</formula>
    </cfRule>
  </conditionalFormatting>
  <conditionalFormatting sqref="A37 D37:AA37">
    <cfRule type="cellIs" dxfId="35" priority="49" operator="between">
      <formula>-0.0000000000001</formula>
      <formula>0.0000000000001</formula>
    </cfRule>
  </conditionalFormatting>
  <conditionalFormatting sqref="A56:A59">
    <cfRule type="cellIs" dxfId="34" priority="35" operator="greaterThan">
      <formula>0.00000000001</formula>
    </cfRule>
    <cfRule type="cellIs" dxfId="33" priority="38" operator="between">
      <formula>-0.0000000000001</formula>
      <formula>0.0000000000001</formula>
    </cfRule>
  </conditionalFormatting>
  <conditionalFormatting sqref="A56:A59">
    <cfRule type="cellIs" dxfId="32" priority="37" operator="between">
      <formula>-0.0000000000001</formula>
      <formula>0.0000000000001</formula>
    </cfRule>
  </conditionalFormatting>
  <conditionalFormatting sqref="A56:A59">
    <cfRule type="cellIs" dxfId="31" priority="36" operator="between">
      <formula>-0.0000000000001</formula>
      <formula>0.0000000000001</formula>
    </cfRule>
  </conditionalFormatting>
  <conditionalFormatting sqref="D56:AA59">
    <cfRule type="cellIs" dxfId="30" priority="31" operator="greaterThan">
      <formula>0.0000000000001</formula>
    </cfRule>
    <cfRule type="cellIs" dxfId="29" priority="34" operator="between">
      <formula>-0.0000000000001</formula>
      <formula>0.0000000000001</formula>
    </cfRule>
  </conditionalFormatting>
  <conditionalFormatting sqref="D56:AA59">
    <cfRule type="cellIs" dxfId="28" priority="33" operator="between">
      <formula>-0.0000000000001</formula>
      <formula>0.0000000000001</formula>
    </cfRule>
  </conditionalFormatting>
  <conditionalFormatting sqref="D56:AA59">
    <cfRule type="cellIs" dxfId="27" priority="32" operator="between">
      <formula>-0.0000000000001</formula>
      <formula>0.0000000000001</formula>
    </cfRule>
  </conditionalFormatting>
  <conditionalFormatting sqref="B2">
    <cfRule type="cellIs" dxfId="26" priority="30" operator="greaterThan">
      <formula>0</formula>
    </cfRule>
  </conditionalFormatting>
  <conditionalFormatting sqref="A16 D16:AA16">
    <cfRule type="cellIs" dxfId="25" priority="29" operator="between">
      <formula>-0.0000000000001</formula>
      <formula>0.0000000000001</formula>
    </cfRule>
  </conditionalFormatting>
  <conditionalFormatting sqref="D16:AA16 A16">
    <cfRule type="cellIs" dxfId="24" priority="28" operator="between">
      <formula>-0.0000000000001</formula>
      <formula>0.0000000000001</formula>
    </cfRule>
  </conditionalFormatting>
  <conditionalFormatting sqref="A16 C16:O16">
    <cfRule type="cellIs" dxfId="23" priority="27" operator="between">
      <formula>-0.0000000000001</formula>
      <formula>0.0000000000001</formula>
    </cfRule>
  </conditionalFormatting>
  <conditionalFormatting sqref="P16:AA16">
    <cfRule type="cellIs" dxfId="22" priority="26" operator="between">
      <formula>-0.0000000000001</formula>
      <formula>0.0000000000001</formula>
    </cfRule>
  </conditionalFormatting>
  <conditionalFormatting sqref="D102:AA131">
    <cfRule type="colorScale" priority="23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102:AA131">
    <cfRule type="cellIs" dxfId="21" priority="22" operator="between">
      <formula>-0.00000000001</formula>
      <formula>0.00000000001</formula>
    </cfRule>
  </conditionalFormatting>
  <conditionalFormatting sqref="C21:O22 A21:A22">
    <cfRule type="cellIs" dxfId="20" priority="21" operator="between">
      <formula>-0.0000000000001</formula>
      <formula>0.0000000000001</formula>
    </cfRule>
  </conditionalFormatting>
  <conditionalFormatting sqref="P21:AA22">
    <cfRule type="cellIs" dxfId="19" priority="20" operator="between">
      <formula>-0.0000000000001</formula>
      <formula>0.0000000000001</formula>
    </cfRule>
  </conditionalFormatting>
  <conditionalFormatting sqref="D23:AA23 A23:A24 D24:O24">
    <cfRule type="cellIs" dxfId="18" priority="19" operator="between">
      <formula>-0.0000000000001</formula>
      <formula>0.0000000000001</formula>
    </cfRule>
  </conditionalFormatting>
  <conditionalFormatting sqref="D23:AA23 A23:A24 D24:O24">
    <cfRule type="cellIs" dxfId="17" priority="18" operator="between">
      <formula>-0.0000000000001</formula>
      <formula>0.0000000000001</formula>
    </cfRule>
  </conditionalFormatting>
  <conditionalFormatting sqref="C23:O23 A23:A24 D24:O24">
    <cfRule type="cellIs" dxfId="16" priority="17" operator="between">
      <formula>-0.0000000000001</formula>
      <formula>0.0000000000001</formula>
    </cfRule>
  </conditionalFormatting>
  <conditionalFormatting sqref="P23:AA23">
    <cfRule type="cellIs" dxfId="15" priority="16" operator="between">
      <formula>-0.0000000000001</formula>
      <formula>0.0000000000001</formula>
    </cfRule>
  </conditionalFormatting>
  <conditionalFormatting sqref="E24:AA24 A24">
    <cfRule type="cellIs" dxfId="14" priority="15" operator="between">
      <formula>-0.0000000000001</formula>
      <formula>0.0000000000001</formula>
    </cfRule>
  </conditionalFormatting>
  <conditionalFormatting sqref="A24 E24:AA24">
    <cfRule type="cellIs" dxfId="13" priority="14" operator="between">
      <formula>-0.0000000000001</formula>
      <formula>0.0000000000001</formula>
    </cfRule>
  </conditionalFormatting>
  <conditionalFormatting sqref="D24">
    <cfRule type="cellIs" dxfId="12" priority="13" operator="between">
      <formula>-0.0000000000001</formula>
      <formula>0.0000000000001</formula>
    </cfRule>
  </conditionalFormatting>
  <conditionalFormatting sqref="D24">
    <cfRule type="cellIs" dxfId="11" priority="12" operator="between">
      <formula>-0.0000000000001</formula>
      <formula>0.0000000000001</formula>
    </cfRule>
  </conditionalFormatting>
  <conditionalFormatting sqref="D148:AA153">
    <cfRule type="cellIs" dxfId="10" priority="11" operator="lessThan">
      <formula>0.0000000000001</formula>
    </cfRule>
  </conditionalFormatting>
  <conditionalFormatting sqref="C45:O46 A45:A46 A48 C48:AA48 D44:O44 D47:O47">
    <cfRule type="cellIs" dxfId="9" priority="10" operator="between">
      <formula>-0.0000000000001</formula>
      <formula>0.0000000000001</formula>
    </cfRule>
  </conditionalFormatting>
  <conditionalFormatting sqref="P45:AA46">
    <cfRule type="cellIs" dxfId="8" priority="9" operator="between">
      <formula>-0.0000000000001</formula>
      <formula>0.0000000000001</formula>
    </cfRule>
  </conditionalFormatting>
  <conditionalFormatting sqref="C47:O47">
    <cfRule type="cellIs" dxfId="7" priority="8" operator="between">
      <formula>-0.0000000000001</formula>
      <formula>0.0000000000001</formula>
    </cfRule>
  </conditionalFormatting>
  <conditionalFormatting sqref="P47:AA47">
    <cfRule type="cellIs" dxfId="6" priority="7" operator="between">
      <formula>-0.0000000000001</formula>
      <formula>0.0000000000001</formula>
    </cfRule>
  </conditionalFormatting>
  <conditionalFormatting sqref="C44:O44 A44">
    <cfRule type="cellIs" dxfId="5" priority="6" operator="between">
      <formula>-0.0000000000001</formula>
      <formula>0.0000000000001</formula>
    </cfRule>
  </conditionalFormatting>
  <conditionalFormatting sqref="P44:AA44">
    <cfRule type="cellIs" dxfId="4" priority="5" operator="between">
      <formula>-0.0000000000001</formula>
      <formula>0.0000000000001</formula>
    </cfRule>
  </conditionalFormatting>
  <conditionalFormatting sqref="D46:O46">
    <cfRule type="cellIs" dxfId="3" priority="4" operator="between">
      <formula>-0.0000000000001</formula>
      <formula>0.0000000000001</formula>
    </cfRule>
  </conditionalFormatting>
  <conditionalFormatting sqref="D43:O43">
    <cfRule type="cellIs" dxfId="2" priority="3" operator="between">
      <formula>-0.0000000000001</formula>
      <formula>0.0000000000001</formula>
    </cfRule>
  </conditionalFormatting>
  <conditionalFormatting sqref="A47">
    <cfRule type="cellIs" dxfId="1" priority="2" operator="between">
      <formula>-0.0000000000001</formula>
      <formula>0.0000000000001</formula>
    </cfRule>
  </conditionalFormatting>
  <conditionalFormatting sqref="A47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Lister</vt:lpstr>
      <vt:lpstr>Inputs</vt:lpstr>
      <vt:lpstr>DataU</vt:lpstr>
      <vt:lpstr>DataSto</vt:lpstr>
      <vt:lpstr>DataFuel</vt:lpstr>
      <vt:lpstr>Overblik</vt:lpstr>
      <vt:lpstr>cVarme</vt:lpstr>
      <vt:lpstr>cVarmeAndel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2022-03-15T13:34:45Z</dcterms:modified>
</cp:coreProperties>
</file>