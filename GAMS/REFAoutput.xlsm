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DC88C74-66D6-4F43-9F0E-461B8F97C799}" xr6:coauthVersionLast="47" xr6:coauthVersionMax="47" xr10:uidLastSave="{00000000-0000-0000-0000-000000000000}"/>
  <bookViews>
    <workbookView xWindow="28680" yWindow="-120" windowWidth="29040" windowHeight="17790" xr2:uid="{82C3324D-31D0-4A40-8A1A-11BE9452E5B5}"/>
  </bookViews>
  <sheets>
    <sheet name="Inputs" sheetId="6" r:id="rId1"/>
    <sheet name="Overblik" sheetId="4" r:id="rId2"/>
    <sheet name="cVarme" sheetId="8" r:id="rId3"/>
    <sheet name="cBrændsler" sheetId="9" r:id="rId4"/>
    <sheet name="cKapacUdnyttelse" sheetId="10" r:id="rId5"/>
    <sheet name="Lister" sheetId="7" r:id="rId6"/>
  </sheets>
  <definedNames>
    <definedName name="_xlpm.mo" hidden="1" xlm="1">#NAME?</definedName>
    <definedName name="lookupFuelName">Lister!$B$3:$C$31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A9" i="4"/>
  <c r="A53" i="4"/>
  <c r="A54" i="4"/>
  <c r="A55" i="4"/>
  <c r="P5" i="4"/>
  <c r="Q5" i="4"/>
  <c r="R5" i="4"/>
  <c r="S5" i="4"/>
  <c r="T5" i="4"/>
  <c r="U5" i="4"/>
  <c r="V5" i="4"/>
  <c r="W5" i="4"/>
  <c r="X5" i="4"/>
  <c r="Y5" i="4"/>
  <c r="Z5" i="4"/>
  <c r="AA5" i="4"/>
  <c r="E5" i="4"/>
  <c r="F5" i="4"/>
  <c r="G5" i="4"/>
  <c r="H5" i="4"/>
  <c r="I5" i="4"/>
  <c r="J5" i="4"/>
  <c r="K5" i="4"/>
  <c r="L5" i="4"/>
  <c r="M5" i="4"/>
  <c r="N5" i="4"/>
  <c r="O5" i="4"/>
  <c r="D5" i="4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R2" i="6"/>
  <c r="R21" i="6"/>
  <c r="A16" i="4" l="1"/>
  <c r="A19" i="4"/>
  <c r="A79" i="4"/>
  <c r="A80" i="4"/>
  <c r="A81" i="4"/>
  <c r="A45" i="4"/>
  <c r="A46" i="4"/>
  <c r="A47" i="4"/>
  <c r="A48" i="4"/>
  <c r="A49" i="4"/>
  <c r="A50" i="4"/>
  <c r="A87" i="4"/>
  <c r="A86" i="4"/>
  <c r="A85" i="4"/>
  <c r="A84" i="4"/>
  <c r="A83" i="4"/>
  <c r="A82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44" i="4"/>
  <c r="A51" i="4"/>
  <c r="A52" i="4"/>
  <c r="A56" i="4"/>
  <c r="A57" i="4"/>
  <c r="A58" i="4"/>
  <c r="A59" i="4"/>
  <c r="A15" i="4"/>
  <c r="A8" i="4"/>
  <c r="A10" i="4"/>
  <c r="A11" i="4"/>
  <c r="A12" i="4"/>
  <c r="A13" i="4"/>
  <c r="A18" i="4"/>
  <c r="A22" i="4"/>
  <c r="A23" i="4"/>
  <c r="A24" i="4"/>
  <c r="A25" i="4"/>
  <c r="A26" i="4"/>
  <c r="A27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7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<sst xmlns="http://schemas.openxmlformats.org/spreadsheetml/2006/main" count="664" uniqueCount="193">
  <si>
    <t>jan</t>
  </si>
  <si>
    <t>SUM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</si>
  <si>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</si>
  <si>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</si>
  <si>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</si>
  <si>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</si>
  <si>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</si>
  <si>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</si>
  <si>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</si>
  <si>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</si>
  <si>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</si>
  <si>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</si>
  <si>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</si>
  <si>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</si>
  <si>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</si>
  <si>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</si>
  <si>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</si>
  <si>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</si>
  <si>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</si>
  <si>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</si>
  <si>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</si>
  <si>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</si>
  <si>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</si>
  <si>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</si>
  <si>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</si>
  <si>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on/off</t>
  </si>
  <si>
    <t>MWq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</si>
  <si>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</si>
  <si>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</si>
  <si>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</si>
  <si>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</si>
  <si>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</si>
  <si>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</si>
  <si>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</si>
  <si>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</si>
  <si>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</si>
  <si>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</si>
  <si>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</si>
  <si>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</si>
  <si>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</si>
  <si>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</si>
  <si>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</si>
  <si>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</si>
  <si>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</si>
  <si>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</si>
  <si>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</si>
  <si>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</si>
  <si>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</si>
  <si>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pris</t>
  </si>
  <si>
    <t>brandv</t>
  </si>
  <si>
    <t>max</t>
  </si>
  <si>
    <t>Varmepris</t>
  </si>
  <si>
    <t>AnlaegsOmk</t>
  </si>
  <si>
    <t>BraendselOmk</t>
  </si>
  <si>
    <t>RGKvarme</t>
  </si>
  <si>
    <t>RGKandel</t>
  </si>
  <si>
    <t>RGKrabat</t>
  </si>
  <si>
    <t>Overblik</t>
  </si>
  <si>
    <t>DataFuel</t>
  </si>
  <si>
    <t>SUM eller middel</t>
  </si>
  <si>
    <t>Tidsstempel</t>
  </si>
  <si>
    <t>Anlægsdata</t>
  </si>
  <si>
    <t>ton/h</t>
  </si>
  <si>
    <t>kapTon</t>
  </si>
  <si>
    <t>kapNom</t>
  </si>
  <si>
    <t>DataU</t>
  </si>
  <si>
    <t>PeakFuel</t>
  </si>
  <si>
    <t>ns</t>
  </si>
  <si>
    <t>NyAff1</t>
  </si>
  <si>
    <t>NyAff2</t>
  </si>
  <si>
    <t>bortskaffes</t>
  </si>
  <si>
    <t>Kapacitetsudnyttelse</t>
  </si>
  <si>
    <t>Bortkoeling</t>
  </si>
  <si>
    <t>FJV-behov</t>
  </si>
  <si>
    <t>VarmeProd</t>
  </si>
  <si>
    <t>minLhv</t>
  </si>
  <si>
    <t>minTonnage</t>
  </si>
  <si>
    <t>maxTonnage</t>
  </si>
  <si>
    <t>co2andel</t>
  </si>
  <si>
    <t>prisbv</t>
  </si>
  <si>
    <t>min</t>
  </si>
  <si>
    <t>lagerbar</t>
  </si>
  <si>
    <t>minlast</t>
  </si>
  <si>
    <t>kapMin</t>
  </si>
  <si>
    <t>fri</t>
  </si>
  <si>
    <t>CO2-emission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</si>
  <si>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</si>
  <si>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</si>
  <si>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</si>
  <si>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</si>
  <si>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</si>
  <si>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</si>
  <si>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</si>
  <si>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</si>
  <si>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</si>
  <si>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</si>
  <si>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</si>
  <si>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</si>
  <si>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</si>
  <si>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</si>
  <si>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</si>
  <si>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</si>
  <si>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</si>
  <si>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</si>
  <si>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</si>
  <si>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</si>
  <si>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</si>
  <si>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</si>
  <si>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</si>
  <si>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</si>
  <si>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</si>
  <si>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</si>
  <si>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</si>
  <si>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</si>
  <si>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</si>
  <si>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Varmemaengder</t>
  </si>
  <si>
    <t>Braendselsforbrug</t>
  </si>
  <si>
    <t>NPV</t>
  </si>
  <si>
    <t>Braendselsindkomst</t>
  </si>
  <si>
    <t>ukind</t>
  </si>
  <si>
    <t>prioritet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</si>
  <si>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</si>
  <si>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</si>
  <si>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</si>
  <si>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</si>
  <si>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</si>
  <si>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</si>
  <si>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</si>
  <si>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</si>
  <si>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</si>
  <si>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</si>
  <si>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</si>
  <si>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affco2</t>
  </si>
  <si>
    <t>auxco2</t>
  </si>
  <si>
    <t>Aux</t>
  </si>
  <si>
    <t>NSprod</t>
  </si>
  <si>
    <t>Elpris</t>
  </si>
  <si>
    <t>Schedule</t>
  </si>
  <si>
    <t>FirstYear</t>
  </si>
  <si>
    <t>last year</t>
  </si>
  <si>
    <t>FirstPeriod</t>
  </si>
  <si>
    <t>LastPeriod</t>
  </si>
  <si>
    <t>Aar</t>
  </si>
  <si>
    <t>Maaned</t>
  </si>
  <si>
    <t>Dato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</si>
  <si>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</si>
  <si>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</si>
  <si>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</si>
  <si>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</si>
  <si>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</si>
  <si>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</si>
  <si>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</si>
  <si>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</si>
  <si>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</si>
  <si>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</si>
  <si>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</si>
  <si>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</si>
  <si>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</si>
  <si>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</si>
  <si>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</si>
  <si>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</si>
  <si>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</si>
  <si>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</si>
  <si>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</si>
  <si>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</si>
  <si>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</si>
  <si>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</si>
  <si>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</si>
  <si>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</si>
  <si>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</si>
  <si>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</si>
  <si>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</si>
  <si>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</si>
  <si>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</si>
  <si>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</si>
  <si>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</si>
  <si>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</si>
  <si>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</si>
  <si>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</si>
  <si>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</si>
  <si>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</si>
  <si>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FuelBounds</t>
  </si>
  <si>
    <t>NyAff3</t>
  </si>
  <si>
    <t>NyAff4</t>
  </si>
  <si>
    <t>NyAff5</t>
  </si>
  <si>
    <t>IndkomstElsalg</t>
  </si>
  <si>
    <t>IndkomstAffald</t>
  </si>
  <si>
    <t>MWhe</t>
  </si>
  <si>
    <t>ElProd</t>
  </si>
  <si>
    <t>Ny affaldsfraktion 3</t>
  </si>
  <si>
    <t>Ny affaldsfraktion 4</t>
  </si>
  <si>
    <t>Ny affaldsfraktion 5</t>
  </si>
  <si>
    <t>mo0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</si>
</sst>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6" formatCode="yyyy/mm/dd\ hh:mm;@"/>
    <numFmt numFmtId="167" formatCode="0\ %"/>
    <numFmt numFmtId="168" formatCode="_-* #,##0_-;\-#,##0_-;_-* &quot;-&quot;??_-;_-@_-"/>
    <numFmt numFmtId="169" formatCode="_-#,##0_-;\-#,##0_-;_-* &quot;-&quot;??_-;_-@_-"/>
    <numFmt numFmtId="170" formatCode="0.0\ %"/>
    <numFmt numFmtId="171" formatCode="_-#,##0.00_-;\-#,##0.00_-;_-* &quot;-&quot;??_-;_-@_-"/>
    <numFmt numFmtId="172" formatCode="0.000"/>
    <numFmt numFmtId="173" formatCode="0.0"/>
    <numFmt numFmtId="174" formatCode="yyyy\ mmm\ dd\ hh:mm;@"/>
    <numFmt numFmtId="175" formatCode="_-#,##0,\ ;\-#,##0,\ ;_-* &quot;-&quot;??\ _k_r_._-;_-@_-"/>
    <numFmt numFmtId="176" formatCode="_-#,##0,_-;\-#,##0,_-;_-* &quot;-&quot;??_-;_-@_-"/>
    <numFmt numFmtId="179" formatCode="yy\'mmm"/>
    <numFmt numFmtId="180" formatCode="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7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/>
    <xf numFmtId="0" fontId="2" fillId="2" borderId="0" xfId="0" applyFont="1" applyFill="1"/>
    <xf numFmtId="0" fontId="0" fillId="0" borderId="0" xfId="0" applyAlignment="1">
      <alignment horizontal="right" indent="1"/>
    </xf>
    <xf numFmtId="43" fontId="0" fillId="0" borderId="0" xfId="1" applyFont="1"/>
    <xf numFmtId="0" fontId="6" fillId="0" borderId="0" xfId="0" applyFont="1"/>
    <xf numFmtId="3" fontId="7" fillId="0" borderId="0" xfId="0" applyNumberFormat="1" applyFont="1"/>
    <xf numFmtId="0" fontId="8" fillId="0" borderId="0" xfId="0" applyFont="1"/>
    <xf numFmtId="3" fontId="9" fillId="0" borderId="0" xfId="0" applyNumberFormat="1" applyFont="1"/>
    <xf numFmtId="0" fontId="2" fillId="0" borderId="0" xfId="0" quotePrefix="1" applyFont="1" applyAlignment="1">
      <alignment horizontal="right" indent="1"/>
    </xf>
    <xf numFmtId="0" fontId="0" fillId="0" borderId="0" xfId="0" quotePrefix="1" applyAlignment="1">
      <alignment horizontal="right" indent="1"/>
    </xf>
    <xf numFmtId="0" fontId="0" fillId="0" borderId="0" xfId="0" quotePrefix="1"/>
    <xf numFmtId="0" fontId="2" fillId="2" borderId="0" xfId="0" quotePrefix="1" applyFont="1" applyFill="1" applyAlignment="1">
      <alignment horizontal="center"/>
    </xf>
    <xf numFmtId="164" fontId="0" fillId="0" borderId="0" xfId="1" applyNumberFormat="1" applyFont="1"/>
    <xf numFmtId="43" fontId="10" fillId="0" borderId="0" xfId="1" applyFont="1"/>
    <xf numFmtId="164" fontId="0" fillId="0" borderId="0" xfId="0" quotePrefix="1" applyNumberFormat="1" applyAlignment="1">
      <alignment horizontal="right" indent="1"/>
    </xf>
    <xf numFmtId="166" fontId="0" fillId="0" borderId="0" xfId="0" applyNumberFormat="1" applyAlignment="1"/>
    <xf numFmtId="0" fontId="11" fillId="0" borderId="0" xfId="0" applyFont="1" applyAlignment="1">
      <alignment horizontal="center"/>
    </xf>
    <xf numFmtId="0" fontId="0" fillId="0" borderId="0" xfId="0" applyNumberFormat="1" applyFill="1"/>
    <xf numFmtId="9" fontId="0" fillId="0" borderId="0" xfId="2" applyFont="1" applyFill="1"/>
    <xf numFmtId="167" fontId="0" fillId="0" borderId="0" xfId="2" applyNumberFormat="1" applyFont="1"/>
    <xf numFmtId="169" fontId="0" fillId="0" borderId="0" xfId="1" applyNumberFormat="1" applyFont="1"/>
    <xf numFmtId="170" fontId="0" fillId="0" borderId="0" xfId="2" applyNumberFormat="1" applyFont="1"/>
    <xf numFmtId="164" fontId="0" fillId="0" borderId="1" xfId="1" applyNumberFormat="1" applyFont="1" applyBorder="1"/>
    <xf numFmtId="171" fontId="0" fillId="0" borderId="0" xfId="1" applyNumberFormat="1" applyFont="1"/>
    <xf numFmtId="172" fontId="0" fillId="0" borderId="0" xfId="0" applyNumberFormat="1"/>
    <xf numFmtId="173" fontId="0" fillId="0" borderId="0" xfId="0" applyNumberFormat="1"/>
    <xf numFmtId="0" fontId="0" fillId="0" borderId="1" xfId="0" applyBorder="1" applyAlignment="1">
      <alignment horizontal="center"/>
    </xf>
    <xf numFmtId="0" fontId="0" fillId="2" borderId="0" xfId="0" applyFill="1"/>
    <xf numFmtId="0" fontId="12" fillId="2" borderId="0" xfId="0" quotePrefix="1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168" fontId="0" fillId="0" borderId="1" xfId="1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/>
    <xf numFmtId="43" fontId="2" fillId="2" borderId="2" xfId="1" quotePrefix="1" applyFont="1" applyFill="1" applyBorder="1" applyAlignment="1">
      <alignment horizontal="center"/>
    </xf>
    <xf numFmtId="0" fontId="2" fillId="2" borderId="2" xfId="0" quotePrefix="1" applyFont="1" applyFill="1" applyBorder="1" applyAlignment="1">
      <alignment horizontal="center"/>
    </xf>
    <xf numFmtId="175" fontId="0" fillId="0" borderId="1" xfId="1" applyNumberFormat="1" applyFont="1" applyBorder="1"/>
    <xf numFmtId="176" fontId="0" fillId="0" borderId="0" xfId="1" applyNumberFormat="1" applyFont="1"/>
    <xf numFmtId="0" fontId="2" fillId="2" borderId="0" xfId="0" applyFont="1" applyFill="1" applyAlignment="1">
      <alignment horizontal="left" indent="1"/>
    </xf>
    <xf numFmtId="174" fontId="0" fillId="0" borderId="0" xfId="0" applyNumberFormat="1" applyAlignment="1">
      <alignment horizontal="left" indent="1"/>
    </xf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14" fillId="0" borderId="0" xfId="0" applyFont="1"/>
    <xf numFmtId="0" fontId="14" fillId="0" borderId="0" xfId="3" applyFont="1" applyFill="1"/>
    <xf numFmtId="0" fontId="14" fillId="0" borderId="0" xfId="0" applyFont="1" applyFill="1"/>
    <xf numFmtId="164" fontId="0" fillId="0" borderId="0" xfId="1" applyNumberFormat="1" applyFont="1" applyBorder="1"/>
    <xf numFmtId="175" fontId="0" fillId="0" borderId="0" xfId="1" applyNumberFormat="1" applyFont="1" applyBorder="1"/>
    <xf numFmtId="0" fontId="2" fillId="2" borderId="0" xfId="0" quotePrefix="1" applyFont="1" applyFill="1"/>
    <xf numFmtId="2" fontId="0" fillId="0" borderId="0" xfId="0" applyNumberFormat="1" applyFill="1" applyAlignment="1"/>
    <xf numFmtId="17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0" fontId="6" fillId="0" borderId="0" xfId="0" quotePrefix="1" applyFont="1" applyBorder="1"/>
    <xf numFmtId="0" fontId="6" fillId="0" borderId="0" xfId="0" quotePrefix="1" applyFont="1" applyBorder="1" applyAlignment="1">
      <alignment horizontal="center"/>
    </xf>
    <xf numFmtId="164" fontId="6" fillId="0" borderId="0" xfId="1" applyNumberFormat="1" applyFont="1" applyBorder="1"/>
    <xf numFmtId="0" fontId="8" fillId="0" borderId="0" xfId="0" applyFont="1" applyBorder="1"/>
    <xf numFmtId="2" fontId="14" fillId="0" borderId="0" xfId="0" applyNumberFormat="1" applyFont="1"/>
    <xf numFmtId="0" fontId="16" fillId="2" borderId="0" xfId="0" applyFont="1" applyFill="1" applyBorder="1" applyAlignment="1">
      <alignment horizontal="center"/>
    </xf>
    <xf numFmtId="164" fontId="10" fillId="0" borderId="0" xfId="1" applyNumberFormat="1" applyFont="1"/>
    <xf numFmtId="0" fontId="2" fillId="0" borderId="0" xfId="0" quotePrefix="1" applyFont="1" applyFill="1" applyBorder="1" applyAlignment="1">
      <alignment horizontal="lef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1F4FF"/>
      <color rgb="FFFEE2E3"/>
      <color rgb="FFFBABAD"/>
      <color rgb="FF00FF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microsoft.com/office/2017/10/relationships/person" Target="persons/perso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Overblik!$C$22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Overblik!$D$22:$AA$22</c:f>
              <c:numCache>
                <c:formatCode>_-* #,##0_-;\-#,##0_-;_-* "-"??_-;_-@_-</c:formatCode>
                <c:ptCount val="24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  <c:pt idx="12">
                  <c:v>6007.1587364254392</c:v>
                </c:pt>
                <c:pt idx="13">
                  <c:v>5395.8205789473677</c:v>
                </c:pt>
                <c:pt idx="14">
                  <c:v>6007.1587364254392</c:v>
                </c:pt>
                <c:pt idx="15">
                  <c:v>4788</c:v>
                </c:pt>
                <c:pt idx="16">
                  <c:v>4947.5999999999995</c:v>
                </c:pt>
                <c:pt idx="17">
                  <c:v>4887.1349179067756</c:v>
                </c:pt>
                <c:pt idx="18">
                  <c:v>1974.1388888888891</c:v>
                </c:pt>
                <c:pt idx="19">
                  <c:v>1974.1388888888891</c:v>
                </c:pt>
                <c:pt idx="20">
                  <c:v>4887.1349179067756</c:v>
                </c:pt>
                <c:pt idx="21">
                  <c:v>4947.5999999999995</c:v>
                </c:pt>
                <c:pt idx="22">
                  <c:v>5722.3966597678354</c:v>
                </c:pt>
                <c:pt idx="23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Overblik!$C$23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Overblik!$D$23:$AA$23</c:f>
              <c:numCache>
                <c:formatCode>_-* #,##0_-;\-#,##0_-;_-* "-"??_-;_-@_-</c:formatCode>
                <c:ptCount val="24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  <c:pt idx="12">
                  <c:v>18396.042917309675</c:v>
                </c:pt>
                <c:pt idx="13">
                  <c:v>16662.599939876545</c:v>
                </c:pt>
                <c:pt idx="14">
                  <c:v>18395.950360853909</c:v>
                </c:pt>
                <c:pt idx="15">
                  <c:v>15212</c:v>
                </c:pt>
                <c:pt idx="16">
                  <c:v>11717.999999999998</c:v>
                </c:pt>
                <c:pt idx="17">
                  <c:v>11339.999999999998</c:v>
                </c:pt>
                <c:pt idx="18">
                  <c:v>12956.646253849234</c:v>
                </c:pt>
                <c:pt idx="19">
                  <c:v>12956.646253849234</c:v>
                </c:pt>
                <c:pt idx="20">
                  <c:v>11339.999999999998</c:v>
                </c:pt>
                <c:pt idx="21">
                  <c:v>14752.400000000001</c:v>
                </c:pt>
                <c:pt idx="22">
                  <c:v>17650.091675563344</c:v>
                </c:pt>
                <c:pt idx="23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Overblik!$C$24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Overblik!$D$24:$AA$24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  <c:pt idx="12">
                  <c:v>1E-14</c:v>
                </c:pt>
                <c:pt idx="13">
                  <c:v>7056</c:v>
                </c:pt>
                <c:pt idx="14">
                  <c:v>5096.8909027206537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4127.5116646688184</c:v>
                </c:pt>
                <c:pt idx="23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Overblik!$C$25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Overblik!$D$25:$AA$25</c:f>
              <c:numCache>
                <c:formatCode>_-* #,##0_-;\-#,##0_-;_-* "-"??_-;_-@_-</c:formatCode>
                <c:ptCount val="24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10896.798346264888</c:v>
                </c:pt>
                <c:pt idx="13">
                  <c:v>2885.5794811760861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Overblik!$C$26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Overblik!$D$26:$AA$26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Overblik!$C$27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Overblik!$D$27:$AA$27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  <c:pt idx="12">
                  <c:v>-1E-14</c:v>
                </c:pt>
                <c:pt idx="13">
                  <c:v>-1E-14</c:v>
                </c:pt>
                <c:pt idx="14">
                  <c:v>-1E-14</c:v>
                </c:pt>
                <c:pt idx="15">
                  <c:v>-1E-14</c:v>
                </c:pt>
                <c:pt idx="16">
                  <c:v>-3665.5999999999976</c:v>
                </c:pt>
                <c:pt idx="17">
                  <c:v>-8727.1349179067729</c:v>
                </c:pt>
                <c:pt idx="18">
                  <c:v>-7430.7851427381229</c:v>
                </c:pt>
                <c:pt idx="19">
                  <c:v>-7930.7851427381229</c:v>
                </c:pt>
                <c:pt idx="20">
                  <c:v>-8227.1349179067729</c:v>
                </c:pt>
                <c:pt idx="21">
                  <c:v>-1E-14</c:v>
                </c:pt>
                <c:pt idx="22">
                  <c:v>-1E-14</c:v>
                </c:pt>
                <c:pt idx="23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Overblik!$C$13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Overblik!$D$21:$O$21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Overblik!$D$13:$AA$13</c:f>
              <c:numCache>
                <c:formatCode>_-#,##0_-;\-#,##0_-;_-* "-"??_-;_-@_-</c:formatCode>
                <c:ptCount val="24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  <c:pt idx="12">
                  <c:v>35300</c:v>
                </c:pt>
                <c:pt idx="13">
                  <c:v>32000</c:v>
                </c:pt>
                <c:pt idx="14">
                  <c:v>29500</c:v>
                </c:pt>
                <c:pt idx="15">
                  <c:v>20000</c:v>
                </c:pt>
                <c:pt idx="16">
                  <c:v>13000</c:v>
                </c:pt>
                <c:pt idx="17">
                  <c:v>7500</c:v>
                </c:pt>
                <c:pt idx="18">
                  <c:v>7500</c:v>
                </c:pt>
                <c:pt idx="19">
                  <c:v>7000</c:v>
                </c:pt>
                <c:pt idx="20">
                  <c:v>8000</c:v>
                </c:pt>
                <c:pt idx="21">
                  <c:v>19700</c:v>
                </c:pt>
                <c:pt idx="22">
                  <c:v>27500</c:v>
                </c:pt>
                <c:pt idx="23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Overblik!$C$29</c:f>
              <c:strCache>
                <c:ptCount val="1"/>
                <c:pt idx="0">
                  <c:v>Braendselsforbrug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Overblik!$D$29:$AA$29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Overblik!$C$30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Overblik!$D$30:$AA$30</c:f>
              <c:numCache>
                <c:formatCode>_-* #,##0_-;\-* #,##0_-;_-* "-"??_-;_-@_-</c:formatCode>
                <c:ptCount val="24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  <c:pt idx="12">
                  <c:v>2811.7131287083421</c:v>
                </c:pt>
                <c:pt idx="13">
                  <c:v>1777.5390037083337</c:v>
                </c:pt>
                <c:pt idx="14">
                  <c:v>2812.1621287083417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1691.5857388749826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Overblik!$C$31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Overblik!$D$31:$AA$31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Overblik!$C$32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Overblik!$D$32:$AA$32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Overblik!$C$33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Overblik!$D$33:$AA$33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  <c:pt idx="12">
                  <c:v>2405.9905749999998</c:v>
                </c:pt>
                <c:pt idx="13">
                  <c:v>2404.7877000000008</c:v>
                </c:pt>
                <c:pt idx="14">
                  <c:v>2405.9905749999998</c:v>
                </c:pt>
                <c:pt idx="15">
                  <c:v>2405.75</c:v>
                </c:pt>
                <c:pt idx="16">
                  <c:v>2405.75</c:v>
                </c:pt>
                <c:pt idx="17">
                  <c:v>2405.75</c:v>
                </c:pt>
                <c:pt idx="18">
                  <c:v>2405.75</c:v>
                </c:pt>
                <c:pt idx="19">
                  <c:v>2405.75</c:v>
                </c:pt>
                <c:pt idx="20">
                  <c:v>2405.75</c:v>
                </c:pt>
                <c:pt idx="21">
                  <c:v>2405.75</c:v>
                </c:pt>
                <c:pt idx="22">
                  <c:v>2405.9905749999998</c:v>
                </c:pt>
                <c:pt idx="23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Overblik!$C$34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Overblik!$D$34:$AA$34</c:f>
              <c:numCache>
                <c:formatCode>_-* #,##0_-;\-* #,##0_-;_-* "-"??_-;_-@_-</c:formatCode>
                <c:ptCount val="24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  <c:pt idx="12">
                  <c:v>291.69583333333333</c:v>
                </c:pt>
                <c:pt idx="13">
                  <c:v>291.6375000000001</c:v>
                </c:pt>
                <c:pt idx="14">
                  <c:v>291.66666666666669</c:v>
                </c:pt>
                <c:pt idx="15">
                  <c:v>291.66666666666669</c:v>
                </c:pt>
                <c:pt idx="16">
                  <c:v>291.66666666666669</c:v>
                </c:pt>
                <c:pt idx="17">
                  <c:v>291.66666666666669</c:v>
                </c:pt>
                <c:pt idx="18">
                  <c:v>291.66666666666669</c:v>
                </c:pt>
                <c:pt idx="19">
                  <c:v>291.66666666666669</c:v>
                </c:pt>
                <c:pt idx="20">
                  <c:v>291.66666666666669</c:v>
                </c:pt>
                <c:pt idx="21">
                  <c:v>291.66666666666669</c:v>
                </c:pt>
                <c:pt idx="22">
                  <c:v>291.66666666666669</c:v>
                </c:pt>
                <c:pt idx="23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Overblik!$C$35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Overblik!$D$35:$AA$35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Overblik!$C$36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Overblik!$D$36:$AA$36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Overblik!$C$37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Overblik!$D$37:$AA$37</c:f>
              <c:numCache>
                <c:formatCode>_-* #,##0_-;\-* #,##0_-;_-* "-"??_-;_-@_-</c:formatCode>
                <c:ptCount val="24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  <c:pt idx="12">
                  <c:v>650.06499999999994</c:v>
                </c:pt>
                <c:pt idx="13">
                  <c:v>649.54500000000189</c:v>
                </c:pt>
                <c:pt idx="14">
                  <c:v>650.06499999999994</c:v>
                </c:pt>
                <c:pt idx="15">
                  <c:v>650.06499999999994</c:v>
                </c:pt>
                <c:pt idx="16">
                  <c:v>650.06499999999994</c:v>
                </c:pt>
                <c:pt idx="17">
                  <c:v>650</c:v>
                </c:pt>
                <c:pt idx="18">
                  <c:v>650</c:v>
                </c:pt>
                <c:pt idx="19">
                  <c:v>650</c:v>
                </c:pt>
                <c:pt idx="20">
                  <c:v>650</c:v>
                </c:pt>
                <c:pt idx="21">
                  <c:v>650.06499999999994</c:v>
                </c:pt>
                <c:pt idx="22">
                  <c:v>650.06499999999994</c:v>
                </c:pt>
                <c:pt idx="23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Overblik!$C$38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Overblik!$D$38:$AA$38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Overblik!$C$39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Overblik!$D$39:$AA$39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Overblik!$C$40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Overblik!$D$40:$AA$40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2154.090866577109</c:v>
                </c:pt>
                <c:pt idx="16">
                  <c:v>245.70194350018937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863.06867138100085</c:v>
                </c:pt>
                <c:pt idx="22">
                  <c:v>774.97638983335946</c:v>
                </c:pt>
                <c:pt idx="23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Overblik!$C$41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Overblik!$D$41:$AA$41</c:f>
              <c:numCache>
                <c:formatCode>_-* #,##0_-;\-* #,##0_-;_-* "-"??_-;_-@_-</c:formatCode>
                <c:ptCount val="24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  <c:pt idx="12">
                  <c:v>41.670833333333327</c:v>
                </c:pt>
                <c:pt idx="13">
                  <c:v>41.662499999999959</c:v>
                </c:pt>
                <c:pt idx="14">
                  <c:v>41.666666666666664</c:v>
                </c:pt>
                <c:pt idx="15">
                  <c:v>41.666666666666664</c:v>
                </c:pt>
                <c:pt idx="16">
                  <c:v>41.666666666666664</c:v>
                </c:pt>
                <c:pt idx="17">
                  <c:v>41.666666666666664</c:v>
                </c:pt>
                <c:pt idx="18">
                  <c:v>41.666666666666664</c:v>
                </c:pt>
                <c:pt idx="19">
                  <c:v>41.666666666666664</c:v>
                </c:pt>
                <c:pt idx="20">
                  <c:v>41.666666666666664</c:v>
                </c:pt>
                <c:pt idx="21">
                  <c:v>41.666666666666664</c:v>
                </c:pt>
                <c:pt idx="22">
                  <c:v>41.666666666666664</c:v>
                </c:pt>
                <c:pt idx="23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Overblik!$C$42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Overblik!$D$42:$AA$42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Overblik!$C$43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Overblik!$D$43:$AA$43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Overblik!$C$44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Overblik!$C$45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Overblik!$C$46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Overblik!$C$47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Overblik!$C$48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Overblik!$C$49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Overblik!$C$50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  <c:pt idx="12">
                  <c:v>10</c:v>
                </c:pt>
                <c:pt idx="13">
                  <c:v>9.9969999999999857</c:v>
                </c:pt>
                <c:pt idx="14">
                  <c:v>10.000999999999999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10.000999999999999</c:v>
                </c:pt>
                <c:pt idx="23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Overblik!$C$51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  <c:pt idx="12">
                  <c:v>4167.0833333333339</c:v>
                </c:pt>
                <c:pt idx="13">
                  <c:v>4166.2500000000045</c:v>
                </c:pt>
                <c:pt idx="14">
                  <c:v>4166.666666666667</c:v>
                </c:pt>
                <c:pt idx="15">
                  <c:v>4166.666666666667</c:v>
                </c:pt>
                <c:pt idx="16">
                  <c:v>4166.666666666667</c:v>
                </c:pt>
                <c:pt idx="17">
                  <c:v>4166.666666666667</c:v>
                </c:pt>
                <c:pt idx="18">
                  <c:v>4166.666666666667</c:v>
                </c:pt>
                <c:pt idx="19">
                  <c:v>4166.666666666667</c:v>
                </c:pt>
                <c:pt idx="20">
                  <c:v>4166.666666666667</c:v>
                </c:pt>
                <c:pt idx="21">
                  <c:v>4166.666666666667</c:v>
                </c:pt>
                <c:pt idx="22">
                  <c:v>4166.666666666667</c:v>
                </c:pt>
                <c:pt idx="23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Overblik!$C$52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  <c:pt idx="12">
                  <c:v>335.38129629165815</c:v>
                </c:pt>
                <c:pt idx="13">
                  <c:v>335.38129629165883</c:v>
                </c:pt>
                <c:pt idx="14">
                  <c:v>335.3812962916586</c:v>
                </c:pt>
                <c:pt idx="15">
                  <c:v>335.3812962916586</c:v>
                </c:pt>
                <c:pt idx="16">
                  <c:v>335.38129629165837</c:v>
                </c:pt>
                <c:pt idx="17">
                  <c:v>335.38129629165837</c:v>
                </c:pt>
                <c:pt idx="18">
                  <c:v>335.38129629165746</c:v>
                </c:pt>
                <c:pt idx="19">
                  <c:v>335.38129629165837</c:v>
                </c:pt>
                <c:pt idx="20">
                  <c:v>335.38129629165837</c:v>
                </c:pt>
                <c:pt idx="21">
                  <c:v>335.38129629165837</c:v>
                </c:pt>
                <c:pt idx="22">
                  <c:v>335.38129629165837</c:v>
                </c:pt>
                <c:pt idx="23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Overblik!$C$53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Overblik!$C$54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Overblik!$C$55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Overblik!$C$56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  <c:pt idx="12">
                  <c:v>1E-14</c:v>
                </c:pt>
                <c:pt idx="13">
                  <c:v>3179.1739674593241</c:v>
                </c:pt>
                <c:pt idx="14">
                  <c:v>2296.4714955937861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1859.7048802012198</c:v>
                </c:pt>
                <c:pt idx="23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Overblik!$C$57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Overblik!$C$58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891.55622833076347</c:v>
                </c:pt>
                <c:pt idx="13">
                  <c:v>236.09286664167976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751428127154928E-2"/>
          <c:y val="8.4089603751647493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Overblik!$C$90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Overblik!$D$90:$AA$90</c:f>
              <c:numCache>
                <c:formatCode>0\ %</c:formatCode>
                <c:ptCount val="24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  <c:pt idx="12">
                  <c:v>0.70209896405159411</c:v>
                </c:pt>
                <c:pt idx="13">
                  <c:v>0.69821694862155381</c:v>
                </c:pt>
                <c:pt idx="14">
                  <c:v>0.70209896405159411</c:v>
                </c:pt>
                <c:pt idx="15">
                  <c:v>0.57826086956521738</c:v>
                </c:pt>
                <c:pt idx="16">
                  <c:v>0.57826086956521727</c:v>
                </c:pt>
                <c:pt idx="17">
                  <c:v>0.59023368573753332</c:v>
                </c:pt>
                <c:pt idx="18">
                  <c:v>0.71526771336553951</c:v>
                </c:pt>
                <c:pt idx="19">
                  <c:v>0.71526771336553951</c:v>
                </c:pt>
                <c:pt idx="20">
                  <c:v>0.59023368573753332</c:v>
                </c:pt>
                <c:pt idx="21">
                  <c:v>0.57826086956521727</c:v>
                </c:pt>
                <c:pt idx="22">
                  <c:v>0.69111070770142935</c:v>
                </c:pt>
                <c:pt idx="23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Overblik!$C$91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Overblik!$D$91:$AA$91</c:f>
              <c:numCache>
                <c:formatCode>0\ %</c:formatCode>
                <c:ptCount val="24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  <c:pt idx="12">
                  <c:v>0.89912233222432425</c:v>
                </c:pt>
                <c:pt idx="13">
                  <c:v>0.90165584090241047</c:v>
                </c:pt>
                <c:pt idx="14">
                  <c:v>0.89911780844838263</c:v>
                </c:pt>
                <c:pt idx="15">
                  <c:v>0.76828282828282823</c:v>
                </c:pt>
                <c:pt idx="16">
                  <c:v>0.57272727272727264</c:v>
                </c:pt>
                <c:pt idx="17">
                  <c:v>0.57272727272727264</c:v>
                </c:pt>
                <c:pt idx="18">
                  <c:v>0.6332671678323184</c:v>
                </c:pt>
                <c:pt idx="19">
                  <c:v>0.6332671678323184</c:v>
                </c:pt>
                <c:pt idx="20">
                  <c:v>0.57272727272727264</c:v>
                </c:pt>
                <c:pt idx="21">
                  <c:v>0.72103616813294236</c:v>
                </c:pt>
                <c:pt idx="22">
                  <c:v>0.89141877149309823</c:v>
                </c:pt>
                <c:pt idx="23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Overblik!$C$92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Overblik!$D$92:$AA$92</c:f>
              <c:numCache>
                <c:formatCode>0\ %</c:formatCode>
                <c:ptCount val="24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  <c:pt idx="12">
                  <c:v>1E-14</c:v>
                </c:pt>
                <c:pt idx="13">
                  <c:v>1</c:v>
                </c:pt>
                <c:pt idx="14">
                  <c:v>0.6524437919509285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0.54596715141121932</c:v>
                </c:pt>
                <c:pt idx="23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Overblik!$C$93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Overblik!$D$93:$AA$93</c:f>
              <c:numCache>
                <c:formatCode>0\ %</c:formatCode>
                <c:ptCount val="24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0.14646234336377537</c:v>
                </c:pt>
                <c:pt idx="13">
                  <c:v>4.2940170850834618E-2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Overblik!$C$94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Overblik!$D$94:$AA$94</c:f>
              <c:numCache>
                <c:formatCode>0\ %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Overblik!$C$95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</c:numCache>
            </c:numRef>
          </c:xVal>
          <c:yVal>
            <c:numRef>
              <c:f>Overblik!$D$95:$AA$95</c:f>
              <c:numCache>
                <c:formatCode>0\ %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0.32845878136200696</c:v>
                </c:pt>
                <c:pt idx="17">
                  <c:v>0.80806804795433085</c:v>
                </c:pt>
                <c:pt idx="18">
                  <c:v>0.66584096261094294</c:v>
                </c:pt>
                <c:pt idx="19">
                  <c:v>0.71064382999445541</c:v>
                </c:pt>
                <c:pt idx="20">
                  <c:v>0.76177175165803457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  <c:min val="4453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719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719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719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/>
  </sheetPr>
  <dimension ref="A1:BA80"/>
  <sheetViews>
    <sheetView tabSelected="1" zoomScale="85" zoomScaleNormal="85" workbookViewId="0">
      <selection activeCell="Q3" sqref="Q3"/>
    </sheetView>
  </sheetViews>
  <sheetFormatPr defaultRowHeight="15" outlineLevelCol="1" x14ac:dyDescent="0.25"/>
  <cols>
    <col min="1" max="1" width="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8.42578125" customWidth="1" outlineLevel="1"/>
    <col min="7" max="7" width="8.7109375" customWidth="1" outlineLevel="1"/>
    <col min="8" max="8" width="7.85546875" customWidth="1" outlineLevel="1"/>
    <col min="9" max="10" width="8" customWidth="1" outlineLevel="1"/>
    <col min="11" max="12" width="10.28515625" customWidth="1" outlineLevel="1"/>
    <col min="13" max="14" width="10.28515625" style="47" customWidth="1" outlineLevel="1"/>
    <col min="15" max="15" width="4" style="60" customWidth="1"/>
    <col min="16" max="16" width="16.42578125" style="47" bestFit="1" customWidth="1"/>
    <col min="17" max="17" width="9" style="47" bestFit="1" customWidth="1"/>
    <col min="18" max="18" width="9.7109375" customWidth="1"/>
    <col min="19" max="29" width="9.7109375" customWidth="1" outlineLevel="1"/>
    <col min="30" max="30" width="9.7109375" customWidth="1"/>
    <col min="31" max="41" width="9.7109375" customWidth="1" outlineLevel="1"/>
    <col min="42" max="42" width="9.7109375" customWidth="1"/>
    <col min="43" max="43" width="9.7109375" customWidth="1" outlineLevel="1"/>
    <col min="44" max="53" width="9.140625" customWidth="1" outlineLevel="1"/>
  </cols>
  <sheetData>
    <row r="1" spans="2:53" x14ac:dyDescent="0.25">
      <c r="P1"/>
      <c r="Q1"/>
      <c r="R1" s="47"/>
    </row>
    <row r="2" spans="2:53" x14ac:dyDescent="0.25">
      <c r="B2" s="48" t="s">
        <v>137</v>
      </c>
      <c r="C2" s="48" t="s">
        <v>138</v>
      </c>
      <c r="D2" s="48" t="s">
        <v>139</v>
      </c>
      <c r="E2" s="48" t="s">
        <v>140</v>
      </c>
      <c r="F2" s="48" t="s">
        <v>141</v>
      </c>
      <c r="P2"/>
      <c r="Q2"/>
      <c r="R2" s="57">
        <f>_xlfn.LET(_xlpm.mo,MID(R$3,3,4),DATE(YEAR($E$5),_xlpm.mo,1))</f>
        <v>44621</v>
      </c>
      <c r="S2" s="57">
        <f t="shared" ref="S2:BA2" si="0">_xlfn.LET(_xlpm.mo,MID(S$3,3,4),DATE(YEAR($E$5),_xlpm.mo,1))</f>
        <v>44652</v>
      </c>
      <c r="T2" s="57">
        <f t="shared" si="0"/>
        <v>44682</v>
      </c>
      <c r="U2" s="57">
        <f t="shared" si="0"/>
        <v>44713</v>
      </c>
      <c r="V2" s="57">
        <f t="shared" si="0"/>
        <v>44743</v>
      </c>
      <c r="W2" s="57">
        <f t="shared" si="0"/>
        <v>44774</v>
      </c>
      <c r="X2" s="57">
        <f t="shared" si="0"/>
        <v>44805</v>
      </c>
      <c r="Y2" s="57">
        <f t="shared" si="0"/>
        <v>44835</v>
      </c>
      <c r="Z2" s="57">
        <f t="shared" si="0"/>
        <v>44866</v>
      </c>
      <c r="AA2" s="57">
        <f t="shared" si="0"/>
        <v>44896</v>
      </c>
      <c r="AB2" s="57">
        <f t="shared" si="0"/>
        <v>44927</v>
      </c>
      <c r="AC2" s="57">
        <f t="shared" si="0"/>
        <v>44958</v>
      </c>
      <c r="AD2" s="57">
        <f t="shared" si="0"/>
        <v>44927</v>
      </c>
      <c r="AE2" s="57">
        <f t="shared" si="0"/>
        <v>44958</v>
      </c>
      <c r="AF2" s="57">
        <f t="shared" si="0"/>
        <v>44986</v>
      </c>
      <c r="AG2" s="57">
        <f t="shared" si="0"/>
        <v>45017</v>
      </c>
      <c r="AH2" s="57">
        <f t="shared" si="0"/>
        <v>45047</v>
      </c>
      <c r="AI2" s="57">
        <f t="shared" si="0"/>
        <v>45078</v>
      </c>
      <c r="AJ2" s="57">
        <f t="shared" si="0"/>
        <v>45108</v>
      </c>
      <c r="AK2" s="57">
        <f t="shared" si="0"/>
        <v>45139</v>
      </c>
      <c r="AL2" s="57">
        <f t="shared" si="0"/>
        <v>45170</v>
      </c>
      <c r="AM2" s="57">
        <f t="shared" si="0"/>
        <v>45200</v>
      </c>
      <c r="AN2" s="57">
        <f t="shared" si="0"/>
        <v>45231</v>
      </c>
      <c r="AO2" s="57">
        <f t="shared" si="0"/>
        <v>45261</v>
      </c>
      <c r="AP2" s="57">
        <f t="shared" si="0"/>
        <v>45292</v>
      </c>
      <c r="AQ2" s="57">
        <f t="shared" si="0"/>
        <v>45323</v>
      </c>
      <c r="AR2" s="57">
        <f t="shared" si="0"/>
        <v>45352</v>
      </c>
      <c r="AS2" s="57">
        <f t="shared" si="0"/>
        <v>45383</v>
      </c>
      <c r="AT2" s="57">
        <f t="shared" si="0"/>
        <v>45413</v>
      </c>
      <c r="AU2" s="57">
        <f t="shared" si="0"/>
        <v>45444</v>
      </c>
      <c r="AV2" s="57">
        <f t="shared" si="0"/>
        <v>45474</v>
      </c>
      <c r="AW2" s="57">
        <f t="shared" si="0"/>
        <v>45505</v>
      </c>
      <c r="AX2" s="57">
        <f t="shared" si="0"/>
        <v>45536</v>
      </c>
      <c r="AY2" s="57">
        <f t="shared" si="0"/>
        <v>45566</v>
      </c>
      <c r="AZ2" s="57">
        <f t="shared" si="0"/>
        <v>45597</v>
      </c>
      <c r="BA2" s="57">
        <f t="shared" si="0"/>
        <v>45627</v>
      </c>
    </row>
    <row r="3" spans="2:53" x14ac:dyDescent="0.25">
      <c r="B3" s="48" t="s">
        <v>142</v>
      </c>
      <c r="C3" s="58">
        <v>2022</v>
      </c>
      <c r="D3" s="58">
        <v>2024</v>
      </c>
      <c r="E3" s="58">
        <v>2022</v>
      </c>
      <c r="F3" s="58">
        <v>2022</v>
      </c>
      <c r="P3" s="61" t="s">
        <v>36</v>
      </c>
      <c r="Q3" s="68" t="s">
        <v>192</v>
      </c>
      <c r="R3" s="16" t="s">
        <v>147</v>
      </c>
      <c r="S3" s="16" t="s">
        <v>148</v>
      </c>
      <c r="T3" s="16" t="s">
        <v>149</v>
      </c>
      <c r="U3" s="16" t="s">
        <v>150</v>
      </c>
      <c r="V3" s="16" t="s">
        <v>151</v>
      </c>
      <c r="W3" s="16" t="s">
        <v>152</v>
      </c>
      <c r="X3" s="16" t="s">
        <v>153</v>
      </c>
      <c r="Y3" s="16" t="s">
        <v>154</v>
      </c>
      <c r="Z3" s="16" t="s">
        <v>155</v>
      </c>
      <c r="AA3" s="16" t="s">
        <v>156</v>
      </c>
      <c r="AB3" s="16" t="s">
        <v>157</v>
      </c>
      <c r="AC3" s="16" t="s">
        <v>158</v>
      </c>
      <c r="AD3" s="16" t="s">
        <v>157</v>
      </c>
      <c r="AE3" s="16" t="s">
        <v>158</v>
      </c>
      <c r="AF3" s="16" t="s">
        <v>159</v>
      </c>
      <c r="AG3" s="16" t="s">
        <v>160</v>
      </c>
      <c r="AH3" s="16" t="s">
        <v>161</v>
      </c>
      <c r="AI3" s="16" t="s">
        <v>162</v>
      </c>
      <c r="AJ3" s="16" t="s">
        <v>163</v>
      </c>
      <c r="AK3" s="16" t="s">
        <v>164</v>
      </c>
      <c r="AL3" s="16" t="s">
        <v>165</v>
      </c>
      <c r="AM3" s="16" t="s">
        <v>166</v>
      </c>
      <c r="AN3" s="16" t="s">
        <v>167</v>
      </c>
      <c r="AO3" s="16" t="s">
        <v>168</v>
      </c>
      <c r="AP3" s="16" t="s">
        <v>169</v>
      </c>
      <c r="AQ3" s="16" t="s">
        <v>170</v>
      </c>
      <c r="AR3" s="16" t="s">
        <v>171</v>
      </c>
      <c r="AS3" s="16" t="s">
        <v>172</v>
      </c>
      <c r="AT3" s="16" t="s">
        <v>173</v>
      </c>
      <c r="AU3" s="16" t="s">
        <v>174</v>
      </c>
      <c r="AV3" s="16" t="s">
        <v>175</v>
      </c>
      <c r="AW3" s="16" t="s">
        <v>176</v>
      </c>
      <c r="AX3" s="16" t="s">
        <v>177</v>
      </c>
      <c r="AY3" s="16" t="s">
        <v>178</v>
      </c>
      <c r="AZ3" s="16" t="s">
        <v>179</v>
      </c>
      <c r="BA3" s="16" t="s">
        <v>180</v>
      </c>
    </row>
    <row r="4" spans="2:53" x14ac:dyDescent="0.25">
      <c r="B4" s="48" t="s">
        <v>143</v>
      </c>
      <c r="C4" s="58"/>
      <c r="D4" s="58"/>
      <c r="E4" s="59">
        <v>1</v>
      </c>
      <c r="F4" s="59">
        <v>12</v>
      </c>
      <c r="P4" s="62" t="s">
        <v>27</v>
      </c>
      <c r="Q4" s="70"/>
      <c r="R4" s="3">
        <v>1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</row>
    <row r="5" spans="2:53" x14ac:dyDescent="0.25">
      <c r="B5" s="48" t="s">
        <v>144</v>
      </c>
      <c r="C5" s="57">
        <v>44562</v>
      </c>
      <c r="D5" s="57">
        <v>45292</v>
      </c>
      <c r="E5" s="57">
        <v>44562</v>
      </c>
      <c r="F5" s="57">
        <v>44896</v>
      </c>
      <c r="P5" s="62" t="s">
        <v>37</v>
      </c>
      <c r="Q5" s="70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</row>
    <row r="6" spans="2:53" x14ac:dyDescent="0.25">
      <c r="P6" s="62" t="s">
        <v>31</v>
      </c>
      <c r="Q6" s="70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</row>
    <row r="7" spans="2:53" x14ac:dyDescent="0.25">
      <c r="P7" s="62" t="s">
        <v>32</v>
      </c>
      <c r="Q7" s="70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</row>
    <row r="8" spans="2:53" x14ac:dyDescent="0.25">
      <c r="B8" s="2" t="s">
        <v>61</v>
      </c>
      <c r="C8" s="3" t="s">
        <v>25</v>
      </c>
      <c r="F8" s="4" t="s">
        <v>45</v>
      </c>
      <c r="G8" s="4" t="s">
        <v>62</v>
      </c>
      <c r="H8" s="21" t="s">
        <v>26</v>
      </c>
      <c r="I8" s="21" t="s">
        <v>26</v>
      </c>
      <c r="J8" s="4"/>
      <c r="K8" s="4" t="s">
        <v>26</v>
      </c>
      <c r="L8" s="4"/>
      <c r="M8" s="49" t="s">
        <v>86</v>
      </c>
      <c r="N8" s="49" t="s">
        <v>86</v>
      </c>
      <c r="P8" s="62" t="s">
        <v>33</v>
      </c>
      <c r="Q8" s="70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</row>
    <row r="9" spans="2:53" x14ac:dyDescent="0.25">
      <c r="B9" s="6" t="s">
        <v>65</v>
      </c>
      <c r="C9" s="16" t="s">
        <v>27</v>
      </c>
      <c r="D9" s="16" t="s">
        <v>119</v>
      </c>
      <c r="E9" s="16" t="s">
        <v>120</v>
      </c>
      <c r="F9" s="33" t="s">
        <v>75</v>
      </c>
      <c r="G9" s="33" t="s">
        <v>63</v>
      </c>
      <c r="H9" s="16" t="s">
        <v>64</v>
      </c>
      <c r="I9" s="16" t="s">
        <v>28</v>
      </c>
      <c r="J9" s="16" t="s">
        <v>82</v>
      </c>
      <c r="K9" s="16" t="s">
        <v>83</v>
      </c>
      <c r="L9" s="16" t="s">
        <v>29</v>
      </c>
      <c r="M9" s="16" t="s">
        <v>30</v>
      </c>
      <c r="N9" s="16" t="s">
        <v>134</v>
      </c>
      <c r="P9" s="62" t="s">
        <v>34</v>
      </c>
      <c r="Q9" s="70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</row>
    <row r="10" spans="2:53" x14ac:dyDescent="0.25">
      <c r="B10" s="13" t="s">
        <v>31</v>
      </c>
      <c r="C10" s="3">
        <v>1</v>
      </c>
      <c r="D10" s="3">
        <v>1</v>
      </c>
      <c r="E10" s="3"/>
      <c r="F10" s="5">
        <v>8</v>
      </c>
      <c r="G10" s="5">
        <v>4.2750000000000004</v>
      </c>
      <c r="H10" s="56">
        <v>9.5</v>
      </c>
      <c r="I10" s="22">
        <v>2</v>
      </c>
      <c r="J10" s="23"/>
      <c r="K10" s="5"/>
      <c r="L10" s="5">
        <v>0.6</v>
      </c>
      <c r="M10" s="5">
        <v>50</v>
      </c>
      <c r="N10" s="5">
        <v>50</v>
      </c>
      <c r="P10" s="62" t="s">
        <v>67</v>
      </c>
      <c r="Q10" s="70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</row>
    <row r="11" spans="2:53" x14ac:dyDescent="0.25">
      <c r="B11" s="13" t="s">
        <v>32</v>
      </c>
      <c r="C11" s="3">
        <v>1</v>
      </c>
      <c r="D11" s="3">
        <v>1</v>
      </c>
      <c r="E11" s="3">
        <v>10</v>
      </c>
      <c r="F11" s="5">
        <v>8</v>
      </c>
      <c r="G11" s="5">
        <v>10.125</v>
      </c>
      <c r="H11" s="56">
        <v>22.5</v>
      </c>
      <c r="I11" s="22">
        <v>5</v>
      </c>
      <c r="J11" s="23"/>
      <c r="K11" s="5"/>
      <c r="L11" s="5">
        <v>0.65</v>
      </c>
      <c r="M11" s="5">
        <v>40</v>
      </c>
      <c r="N11" s="5">
        <v>40</v>
      </c>
      <c r="P11" s="62" t="s">
        <v>35</v>
      </c>
      <c r="Q11" s="70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</row>
    <row r="12" spans="2:53" x14ac:dyDescent="0.25">
      <c r="B12" s="13" t="s">
        <v>33</v>
      </c>
      <c r="C12" s="3">
        <v>1</v>
      </c>
      <c r="D12" s="3">
        <v>2</v>
      </c>
      <c r="E12" s="3"/>
      <c r="H12" s="56">
        <v>10.5</v>
      </c>
      <c r="I12" s="22"/>
      <c r="J12" s="23"/>
      <c r="K12" s="5"/>
      <c r="L12" s="5">
        <v>0.85</v>
      </c>
      <c r="M12" s="5">
        <v>25</v>
      </c>
      <c r="N12" s="5">
        <v>25</v>
      </c>
      <c r="P12" s="62" t="s">
        <v>38</v>
      </c>
      <c r="Q12" s="70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 x14ac:dyDescent="0.25">
      <c r="B13" s="13" t="s">
        <v>34</v>
      </c>
      <c r="C13" s="3">
        <v>1</v>
      </c>
      <c r="D13" s="3">
        <v>4</v>
      </c>
      <c r="E13" s="3"/>
      <c r="H13" s="56">
        <v>100</v>
      </c>
      <c r="I13" s="22"/>
      <c r="J13" s="23"/>
      <c r="K13" s="5"/>
      <c r="L13" s="5">
        <v>1</v>
      </c>
      <c r="M13" s="5"/>
      <c r="N13" s="5"/>
      <c r="P13" s="62" t="s">
        <v>135</v>
      </c>
      <c r="Q13" s="70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x14ac:dyDescent="0.25">
      <c r="B14" s="13" t="s">
        <v>67</v>
      </c>
      <c r="C14" s="3">
        <v>1</v>
      </c>
      <c r="D14" s="3">
        <v>3</v>
      </c>
      <c r="E14" s="3">
        <v>9</v>
      </c>
      <c r="H14" s="56">
        <v>8</v>
      </c>
      <c r="I14" s="22"/>
      <c r="J14" s="23"/>
      <c r="K14" s="5"/>
      <c r="L14" s="5">
        <v>1</v>
      </c>
      <c r="M14" s="5"/>
      <c r="N14" s="5"/>
      <c r="P14" s="62" t="s">
        <v>39</v>
      </c>
      <c r="Q14" s="70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 x14ac:dyDescent="0.25">
      <c r="B15" s="13" t="s">
        <v>35</v>
      </c>
      <c r="C15" s="3">
        <v>1</v>
      </c>
      <c r="D15" s="3">
        <v>5</v>
      </c>
      <c r="E15" s="3"/>
      <c r="H15" s="56">
        <v>15</v>
      </c>
      <c r="I15" s="22"/>
      <c r="J15" s="23"/>
      <c r="K15" s="5"/>
      <c r="L15" s="5">
        <v>1</v>
      </c>
      <c r="M15" s="5">
        <v>10</v>
      </c>
      <c r="N15" s="5">
        <v>10</v>
      </c>
      <c r="P15" s="62" t="s">
        <v>136</v>
      </c>
      <c r="Q15" s="70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 x14ac:dyDescent="0.25">
      <c r="M16"/>
      <c r="N16"/>
      <c r="P16" s="62" t="s">
        <v>40</v>
      </c>
      <c r="Q16" s="7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P17" s="62" t="s">
        <v>41</v>
      </c>
      <c r="Q17" s="70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P18" s="62" t="s">
        <v>42</v>
      </c>
      <c r="Q18" s="70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M19"/>
      <c r="N19"/>
      <c r="P19" s="62" t="s">
        <v>132</v>
      </c>
      <c r="Q19" s="70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</row>
    <row r="20" spans="1:53" x14ac:dyDescent="0.25">
      <c r="K20" s="47"/>
      <c r="L20" s="47"/>
      <c r="M20" s="9"/>
      <c r="N20" s="10"/>
      <c r="P20" s="62" t="s">
        <v>133</v>
      </c>
      <c r="Q20" s="70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</row>
    <row r="21" spans="1:53" x14ac:dyDescent="0.25">
      <c r="C21" s="34" t="s">
        <v>25</v>
      </c>
      <c r="D21" s="35"/>
      <c r="E21" s="34" t="s">
        <v>25</v>
      </c>
      <c r="F21" s="34" t="s">
        <v>25</v>
      </c>
      <c r="G21" s="34" t="s">
        <v>25</v>
      </c>
      <c r="H21" s="3" t="s">
        <v>43</v>
      </c>
      <c r="I21" s="3" t="s">
        <v>43</v>
      </c>
      <c r="J21" s="3" t="s">
        <v>44</v>
      </c>
      <c r="K21" s="3" t="s">
        <v>45</v>
      </c>
      <c r="M21" s="3" t="s">
        <v>46</v>
      </c>
      <c r="N21" s="10"/>
      <c r="P21"/>
      <c r="Q21"/>
      <c r="R21" s="57">
        <f>_xlfn.LET(_xlpm.mo,MID(R$22,3,4),DATE(YEAR($E$5),_xlpm.mo,1))</f>
        <v>44562</v>
      </c>
      <c r="S21" s="57">
        <f t="shared" ref="S21:BA21" si="1">_xlfn.LET(_xlpm.mo,MID(S$22,3,4),DATE(YEAR($E$5),_xlpm.mo,1))</f>
        <v>44593</v>
      </c>
      <c r="T21" s="57">
        <f t="shared" si="1"/>
        <v>44621</v>
      </c>
      <c r="U21" s="57">
        <f t="shared" si="1"/>
        <v>44652</v>
      </c>
      <c r="V21" s="57">
        <f t="shared" si="1"/>
        <v>44682</v>
      </c>
      <c r="W21" s="57">
        <f t="shared" si="1"/>
        <v>44713</v>
      </c>
      <c r="X21" s="57">
        <f t="shared" si="1"/>
        <v>44743</v>
      </c>
      <c r="Y21" s="57">
        <f t="shared" si="1"/>
        <v>44774</v>
      </c>
      <c r="Z21" s="57">
        <f t="shared" si="1"/>
        <v>44805</v>
      </c>
      <c r="AA21" s="57">
        <f t="shared" si="1"/>
        <v>44835</v>
      </c>
      <c r="AB21" s="57">
        <f t="shared" si="1"/>
        <v>44866</v>
      </c>
      <c r="AC21" s="57">
        <f t="shared" si="1"/>
        <v>44896</v>
      </c>
      <c r="AD21" s="57">
        <f t="shared" si="1"/>
        <v>44927</v>
      </c>
      <c r="AE21" s="57">
        <f t="shared" si="1"/>
        <v>44958</v>
      </c>
      <c r="AF21" s="57">
        <f t="shared" si="1"/>
        <v>44986</v>
      </c>
      <c r="AG21" s="57">
        <f t="shared" si="1"/>
        <v>45017</v>
      </c>
      <c r="AH21" s="57">
        <f t="shared" si="1"/>
        <v>45047</v>
      </c>
      <c r="AI21" s="57">
        <f t="shared" si="1"/>
        <v>45078</v>
      </c>
      <c r="AJ21" s="57">
        <f t="shared" si="1"/>
        <v>45108</v>
      </c>
      <c r="AK21" s="57">
        <f t="shared" si="1"/>
        <v>45139</v>
      </c>
      <c r="AL21" s="57">
        <f t="shared" si="1"/>
        <v>45170</v>
      </c>
      <c r="AM21" s="57">
        <f t="shared" si="1"/>
        <v>45200</v>
      </c>
      <c r="AN21" s="57">
        <f t="shared" si="1"/>
        <v>45231</v>
      </c>
      <c r="AO21" s="57">
        <f t="shared" si="1"/>
        <v>45261</v>
      </c>
      <c r="AP21" s="57">
        <f t="shared" si="1"/>
        <v>45292</v>
      </c>
      <c r="AQ21" s="57">
        <f t="shared" si="1"/>
        <v>45323</v>
      </c>
      <c r="AR21" s="57">
        <f t="shared" si="1"/>
        <v>45352</v>
      </c>
      <c r="AS21" s="57">
        <f t="shared" si="1"/>
        <v>45383</v>
      </c>
      <c r="AT21" s="57">
        <f t="shared" si="1"/>
        <v>45413</v>
      </c>
      <c r="AU21" s="57">
        <f t="shared" si="1"/>
        <v>45444</v>
      </c>
      <c r="AV21" s="57">
        <f t="shared" si="1"/>
        <v>45474</v>
      </c>
      <c r="AW21" s="57">
        <f t="shared" si="1"/>
        <v>45505</v>
      </c>
      <c r="AX21" s="57">
        <f t="shared" si="1"/>
        <v>45536</v>
      </c>
      <c r="AY21" s="57">
        <f t="shared" si="1"/>
        <v>45566</v>
      </c>
      <c r="AZ21" s="57">
        <f t="shared" si="1"/>
        <v>45597</v>
      </c>
      <c r="BA21" s="57">
        <f t="shared" si="1"/>
        <v>45627</v>
      </c>
    </row>
    <row r="22" spans="1:53" x14ac:dyDescent="0.25">
      <c r="B22" s="55" t="s">
        <v>58</v>
      </c>
      <c r="C22" s="16" t="s">
        <v>27</v>
      </c>
      <c r="D22" s="16" t="s">
        <v>47</v>
      </c>
      <c r="E22" s="16" t="s">
        <v>81</v>
      </c>
      <c r="F22" s="16" t="s">
        <v>84</v>
      </c>
      <c r="G22" s="16" t="s">
        <v>70</v>
      </c>
      <c r="H22" s="16" t="s">
        <v>76</v>
      </c>
      <c r="I22" s="16" t="s">
        <v>77</v>
      </c>
      <c r="J22" s="16" t="s">
        <v>48</v>
      </c>
      <c r="K22" s="16" t="s">
        <v>49</v>
      </c>
      <c r="L22" s="16" t="s">
        <v>78</v>
      </c>
      <c r="M22" s="16" t="s">
        <v>79</v>
      </c>
      <c r="N22" s="10"/>
      <c r="P22" s="6" t="s">
        <v>181</v>
      </c>
      <c r="Q22" s="32"/>
      <c r="R22" s="16" t="s">
        <v>145</v>
      </c>
      <c r="S22" s="16" t="s">
        <v>146</v>
      </c>
      <c r="T22" s="16" t="s">
        <v>147</v>
      </c>
      <c r="U22" s="16" t="s">
        <v>148</v>
      </c>
      <c r="V22" s="16" t="s">
        <v>149</v>
      </c>
      <c r="W22" s="16" t="s">
        <v>150</v>
      </c>
      <c r="X22" s="16" t="s">
        <v>151</v>
      </c>
      <c r="Y22" s="16" t="s">
        <v>152</v>
      </c>
      <c r="Z22" s="16" t="s">
        <v>153</v>
      </c>
      <c r="AA22" s="16" t="s">
        <v>154</v>
      </c>
      <c r="AB22" s="16" t="s">
        <v>155</v>
      </c>
      <c r="AC22" s="16" t="s">
        <v>156</v>
      </c>
      <c r="AD22" s="16" t="s">
        <v>157</v>
      </c>
      <c r="AE22" s="16" t="s">
        <v>158</v>
      </c>
      <c r="AF22" s="16" t="s">
        <v>159</v>
      </c>
      <c r="AG22" s="16" t="s">
        <v>160</v>
      </c>
      <c r="AH22" s="16" t="s">
        <v>161</v>
      </c>
      <c r="AI22" s="16" t="s">
        <v>162</v>
      </c>
      <c r="AJ22" s="16" t="s">
        <v>163</v>
      </c>
      <c r="AK22" s="16" t="s">
        <v>164</v>
      </c>
      <c r="AL22" s="16" t="s">
        <v>165</v>
      </c>
      <c r="AM22" s="16" t="s">
        <v>166</v>
      </c>
      <c r="AN22" s="16" t="s">
        <v>167</v>
      </c>
      <c r="AO22" s="16" t="s">
        <v>168</v>
      </c>
      <c r="AP22" s="16" t="s">
        <v>169</v>
      </c>
      <c r="AQ22" s="16" t="s">
        <v>170</v>
      </c>
      <c r="AR22" s="16" t="s">
        <v>171</v>
      </c>
      <c r="AS22" s="16" t="s">
        <v>172</v>
      </c>
      <c r="AT22" s="16" t="s">
        <v>173</v>
      </c>
      <c r="AU22" s="16" t="s">
        <v>174</v>
      </c>
      <c r="AV22" s="16" t="s">
        <v>175</v>
      </c>
      <c r="AW22" s="16" t="s">
        <v>176</v>
      </c>
      <c r="AX22" s="16" t="s">
        <v>177</v>
      </c>
      <c r="AY22" s="16" t="s">
        <v>178</v>
      </c>
      <c r="AZ22" s="16" t="s">
        <v>179</v>
      </c>
      <c r="BA22" s="16" t="s">
        <v>180</v>
      </c>
    </row>
    <row r="23" spans="1:53" x14ac:dyDescent="0.25">
      <c r="B23" s="15" t="s">
        <v>2</v>
      </c>
      <c r="C23" s="31">
        <v>1</v>
      </c>
      <c r="D23" s="31">
        <v>1</v>
      </c>
      <c r="E23" s="31">
        <v>1</v>
      </c>
      <c r="F23" s="31"/>
      <c r="G23" s="31">
        <v>1</v>
      </c>
      <c r="H23" s="46">
        <v>9093</v>
      </c>
      <c r="I23" s="46">
        <v>9093</v>
      </c>
      <c r="J23" s="1">
        <v>525</v>
      </c>
      <c r="K23" s="30">
        <v>10.5</v>
      </c>
      <c r="L23" s="29">
        <v>0.38849999999999996</v>
      </c>
      <c r="M23" s="5">
        <v>50</v>
      </c>
      <c r="N23" s="10"/>
      <c r="P23" s="63" t="s">
        <v>2</v>
      </c>
      <c r="Q23" s="64" t="s">
        <v>80</v>
      </c>
      <c r="R23" s="65">
        <v>1E-14</v>
      </c>
      <c r="S23" s="65">
        <v>1E-14</v>
      </c>
      <c r="T23" s="65">
        <v>1E-14</v>
      </c>
      <c r="U23" s="65">
        <v>1E-14</v>
      </c>
      <c r="V23" s="65">
        <v>1E-14</v>
      </c>
      <c r="W23" s="65">
        <v>1E-14</v>
      </c>
      <c r="X23" s="65">
        <v>1E-14</v>
      </c>
      <c r="Y23" s="65">
        <v>1E-14</v>
      </c>
      <c r="Z23" s="65">
        <v>1E-14</v>
      </c>
      <c r="AA23" s="65">
        <v>1E-14</v>
      </c>
      <c r="AB23" s="65">
        <v>1E-14</v>
      </c>
      <c r="AC23" s="65">
        <v>1E-14</v>
      </c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</row>
    <row r="24" spans="1:53" x14ac:dyDescent="0.25">
      <c r="B24" s="15" t="s">
        <v>3</v>
      </c>
      <c r="C24" s="31">
        <v>1</v>
      </c>
      <c r="D24" s="31">
        <v>1</v>
      </c>
      <c r="E24" s="31">
        <v>1</v>
      </c>
      <c r="F24" s="31"/>
      <c r="G24" s="31">
        <v>1</v>
      </c>
      <c r="H24" s="46"/>
      <c r="I24" s="46"/>
      <c r="J24" s="1"/>
      <c r="K24" s="30">
        <v>10.5</v>
      </c>
      <c r="L24" s="29">
        <v>0.38849999999999996</v>
      </c>
      <c r="M24" s="5"/>
      <c r="N24" s="10"/>
      <c r="P24" s="63" t="s">
        <v>2</v>
      </c>
      <c r="Q24" s="64" t="s">
        <v>50</v>
      </c>
      <c r="R24" s="65">
        <v>9093</v>
      </c>
      <c r="S24" s="65">
        <v>9093</v>
      </c>
      <c r="T24" s="65">
        <v>9093</v>
      </c>
      <c r="U24" s="65">
        <v>9093</v>
      </c>
      <c r="V24" s="65">
        <v>9093</v>
      </c>
      <c r="W24" s="65">
        <v>9093</v>
      </c>
      <c r="X24" s="65">
        <v>9093</v>
      </c>
      <c r="Y24" s="65">
        <v>9093</v>
      </c>
      <c r="Z24" s="65">
        <v>9093</v>
      </c>
      <c r="AA24" s="65">
        <v>9093</v>
      </c>
      <c r="AB24" s="65">
        <v>9093</v>
      </c>
      <c r="AC24" s="65">
        <v>9093</v>
      </c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</row>
    <row r="25" spans="1:53" x14ac:dyDescent="0.25">
      <c r="B25" s="15" t="s">
        <v>4</v>
      </c>
      <c r="C25" s="31"/>
      <c r="D25" s="31">
        <v>1</v>
      </c>
      <c r="E25" s="31">
        <v>1</v>
      </c>
      <c r="F25" s="31"/>
      <c r="G25" s="31">
        <v>1</v>
      </c>
      <c r="H25" s="46"/>
      <c r="I25" s="46"/>
      <c r="J25" s="1"/>
      <c r="K25" s="30">
        <v>10.5</v>
      </c>
      <c r="L25" s="29">
        <v>0.38849999999999996</v>
      </c>
      <c r="M25" s="5"/>
      <c r="N25" s="10"/>
      <c r="P25" s="63" t="s">
        <v>3</v>
      </c>
      <c r="Q25" s="64" t="s">
        <v>80</v>
      </c>
      <c r="R25" s="65">
        <v>1E-14</v>
      </c>
      <c r="S25" s="65">
        <v>1E-14</v>
      </c>
      <c r="T25" s="65">
        <v>1E-14</v>
      </c>
      <c r="U25" s="65">
        <v>1E-14</v>
      </c>
      <c r="V25" s="65">
        <v>1E-14</v>
      </c>
      <c r="W25" s="65">
        <v>1E-14</v>
      </c>
      <c r="X25" s="65">
        <v>1E-14</v>
      </c>
      <c r="Y25" s="65">
        <v>1E-14</v>
      </c>
      <c r="Z25" s="65">
        <v>1E-14</v>
      </c>
      <c r="AA25" s="65">
        <v>1E-14</v>
      </c>
      <c r="AB25" s="65">
        <v>1E-14</v>
      </c>
      <c r="AC25" s="65">
        <v>1E-14</v>
      </c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</row>
    <row r="26" spans="1:53" x14ac:dyDescent="0.25">
      <c r="B26" s="15" t="s">
        <v>5</v>
      </c>
      <c r="C26" s="31">
        <v>1</v>
      </c>
      <c r="D26" s="31">
        <v>1</v>
      </c>
      <c r="E26" s="31"/>
      <c r="F26" s="31"/>
      <c r="G26" s="31">
        <v>1</v>
      </c>
      <c r="H26" s="46">
        <v>28869</v>
      </c>
      <c r="I26" s="46">
        <v>28869</v>
      </c>
      <c r="J26" s="1">
        <v>525</v>
      </c>
      <c r="K26" s="30">
        <v>9.4</v>
      </c>
      <c r="L26" s="29">
        <v>0.3478</v>
      </c>
      <c r="M26" s="5">
        <v>55.851063829787229</v>
      </c>
      <c r="N26" s="10"/>
      <c r="P26" s="63" t="s">
        <v>3</v>
      </c>
      <c r="Q26" s="64" t="s">
        <v>50</v>
      </c>
      <c r="R26" s="65">
        <v>1E-14</v>
      </c>
      <c r="S26" s="65">
        <v>1E-14</v>
      </c>
      <c r="T26" s="65">
        <v>1E-14</v>
      </c>
      <c r="U26" s="65">
        <v>1E-14</v>
      </c>
      <c r="V26" s="65">
        <v>1E-14</v>
      </c>
      <c r="W26" s="65">
        <v>1E-14</v>
      </c>
      <c r="X26" s="65">
        <v>1E-14</v>
      </c>
      <c r="Y26" s="65">
        <v>1E-14</v>
      </c>
      <c r="Z26" s="65">
        <v>1E-14</v>
      </c>
      <c r="AA26" s="65">
        <v>1E-14</v>
      </c>
      <c r="AB26" s="65">
        <v>1E-14</v>
      </c>
      <c r="AC26" s="65">
        <v>1E-14</v>
      </c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</row>
    <row r="27" spans="1:53" x14ac:dyDescent="0.25">
      <c r="B27" s="15" t="s">
        <v>6</v>
      </c>
      <c r="C27" s="31">
        <v>1</v>
      </c>
      <c r="D27" s="31">
        <v>1</v>
      </c>
      <c r="E27" s="31"/>
      <c r="F27" s="31"/>
      <c r="G27" s="31">
        <v>1</v>
      </c>
      <c r="H27" s="46">
        <v>3500</v>
      </c>
      <c r="I27" s="46">
        <v>3500</v>
      </c>
      <c r="J27" s="1">
        <v>525</v>
      </c>
      <c r="K27" s="30">
        <v>10.5</v>
      </c>
      <c r="L27" s="29">
        <v>0.38849999999999996</v>
      </c>
      <c r="M27" s="5">
        <v>50</v>
      </c>
      <c r="N27" s="10"/>
      <c r="P27" s="63" t="s">
        <v>4</v>
      </c>
      <c r="Q27" s="64" t="s">
        <v>80</v>
      </c>
      <c r="R27" s="65">
        <v>1E-14</v>
      </c>
      <c r="S27" s="65">
        <v>1E-14</v>
      </c>
      <c r="T27" s="65">
        <v>1E-14</v>
      </c>
      <c r="U27" s="65">
        <v>1E-14</v>
      </c>
      <c r="V27" s="65">
        <v>1E-14</v>
      </c>
      <c r="W27" s="65">
        <v>1E-14</v>
      </c>
      <c r="X27" s="65">
        <v>1E-14</v>
      </c>
      <c r="Y27" s="65">
        <v>1E-14</v>
      </c>
      <c r="Z27" s="65">
        <v>1E-14</v>
      </c>
      <c r="AA27" s="65">
        <v>1E-14</v>
      </c>
      <c r="AB27" s="65">
        <v>1E-14</v>
      </c>
      <c r="AC27" s="65">
        <v>1E-14</v>
      </c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</row>
    <row r="28" spans="1:53" x14ac:dyDescent="0.25">
      <c r="B28" s="15" t="s">
        <v>7</v>
      </c>
      <c r="C28" s="31"/>
      <c r="D28" s="31">
        <v>1</v>
      </c>
      <c r="E28" s="31"/>
      <c r="F28" s="31"/>
      <c r="G28" s="31">
        <v>1</v>
      </c>
      <c r="H28" s="46"/>
      <c r="I28" s="46"/>
      <c r="J28" s="1">
        <v>155</v>
      </c>
      <c r="K28" s="30">
        <v>14.5</v>
      </c>
      <c r="L28" s="29">
        <v>0.53649999999999998</v>
      </c>
      <c r="M28" s="5">
        <v>10.689655172413794</v>
      </c>
      <c r="N28" s="10"/>
      <c r="P28" s="63" t="s">
        <v>4</v>
      </c>
      <c r="Q28" s="64" t="s">
        <v>50</v>
      </c>
      <c r="R28" s="65">
        <v>1E-14</v>
      </c>
      <c r="S28" s="65">
        <v>1E-14</v>
      </c>
      <c r="T28" s="65">
        <v>1E-14</v>
      </c>
      <c r="U28" s="65">
        <v>1E-14</v>
      </c>
      <c r="V28" s="65">
        <v>1E-14</v>
      </c>
      <c r="W28" s="65">
        <v>1E-14</v>
      </c>
      <c r="X28" s="65">
        <v>1E-14</v>
      </c>
      <c r="Y28" s="65">
        <v>1E-14</v>
      </c>
      <c r="Z28" s="65">
        <v>1E-14</v>
      </c>
      <c r="AA28" s="65">
        <v>1E-14</v>
      </c>
      <c r="AB28" s="65">
        <v>1E-14</v>
      </c>
      <c r="AC28" s="65">
        <v>1E-14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</row>
    <row r="29" spans="1:53" x14ac:dyDescent="0.25">
      <c r="B29" s="15" t="s">
        <v>8</v>
      </c>
      <c r="C29" s="31"/>
      <c r="D29" s="31">
        <v>1</v>
      </c>
      <c r="E29" s="31"/>
      <c r="F29" s="31"/>
      <c r="G29" s="31">
        <v>1</v>
      </c>
      <c r="H29" s="46"/>
      <c r="I29" s="46"/>
      <c r="J29" s="1">
        <v>525</v>
      </c>
      <c r="K29" s="30">
        <v>12</v>
      </c>
      <c r="L29" s="29">
        <v>0.44399999999999995</v>
      </c>
      <c r="M29" s="5">
        <v>43.75</v>
      </c>
      <c r="N29" s="10"/>
      <c r="P29" s="63" t="s">
        <v>5</v>
      </c>
      <c r="Q29" s="64" t="s">
        <v>80</v>
      </c>
      <c r="R29" s="65">
        <v>2405.75</v>
      </c>
      <c r="S29" s="65">
        <v>1E-14</v>
      </c>
      <c r="T29" s="65">
        <v>2405.75</v>
      </c>
      <c r="U29" s="65">
        <v>2405.75</v>
      </c>
      <c r="V29" s="65">
        <v>2405.75</v>
      </c>
      <c r="W29" s="65">
        <v>2405.75</v>
      </c>
      <c r="X29" s="65">
        <v>2405.75</v>
      </c>
      <c r="Y29" s="65">
        <v>2405.75</v>
      </c>
      <c r="Z29" s="65">
        <v>2405.75</v>
      </c>
      <c r="AA29" s="65">
        <v>2405.75</v>
      </c>
      <c r="AB29" s="65">
        <v>2405.75</v>
      </c>
      <c r="AC29" s="65">
        <v>2405.75</v>
      </c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</row>
    <row r="30" spans="1:53" x14ac:dyDescent="0.25">
      <c r="B30" s="15" t="s">
        <v>9</v>
      </c>
      <c r="C30" s="31">
        <v>1</v>
      </c>
      <c r="D30" s="31">
        <v>1</v>
      </c>
      <c r="E30" s="31"/>
      <c r="F30" s="31"/>
      <c r="G30" s="31">
        <v>1</v>
      </c>
      <c r="H30" s="46">
        <v>7800</v>
      </c>
      <c r="I30" s="46">
        <v>7800</v>
      </c>
      <c r="J30" s="1">
        <v>525</v>
      </c>
      <c r="K30" s="30">
        <v>9</v>
      </c>
      <c r="L30" s="29">
        <v>0.33299999999999996</v>
      </c>
      <c r="M30" s="5">
        <v>58.333333333333336</v>
      </c>
      <c r="N30" s="10"/>
      <c r="P30" s="63" t="s">
        <v>5</v>
      </c>
      <c r="Q30" s="64" t="s">
        <v>50</v>
      </c>
      <c r="R30" s="65">
        <v>2405.75</v>
      </c>
      <c r="S30" s="65">
        <v>2405.75</v>
      </c>
      <c r="T30" s="65">
        <v>2405.75</v>
      </c>
      <c r="U30" s="65">
        <v>2405.75</v>
      </c>
      <c r="V30" s="65">
        <v>2405.75</v>
      </c>
      <c r="W30" s="65">
        <v>2405.75</v>
      </c>
      <c r="X30" s="65">
        <v>2405.75</v>
      </c>
      <c r="Y30" s="65">
        <v>2405.75</v>
      </c>
      <c r="Z30" s="65">
        <v>2405.75</v>
      </c>
      <c r="AA30" s="65">
        <v>2405.75</v>
      </c>
      <c r="AB30" s="65">
        <v>2405.75</v>
      </c>
      <c r="AC30" s="65">
        <v>2405.75</v>
      </c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</row>
    <row r="31" spans="1:53" x14ac:dyDescent="0.25">
      <c r="B31" s="15" t="s">
        <v>10</v>
      </c>
      <c r="C31" s="31"/>
      <c r="D31" s="31">
        <v>1</v>
      </c>
      <c r="E31" s="31"/>
      <c r="F31" s="31"/>
      <c r="G31" s="31">
        <v>1</v>
      </c>
      <c r="H31" s="46"/>
      <c r="I31" s="46"/>
      <c r="J31" s="1">
        <v>525</v>
      </c>
      <c r="K31" s="30">
        <v>11</v>
      </c>
      <c r="L31" s="29">
        <v>0.40699999999999997</v>
      </c>
      <c r="M31" s="5">
        <v>47.727272727272727</v>
      </c>
      <c r="N31" s="10"/>
      <c r="P31" s="63" t="s">
        <v>6</v>
      </c>
      <c r="Q31" s="64" t="s">
        <v>80</v>
      </c>
      <c r="R31" s="65">
        <v>291.66666666666669</v>
      </c>
      <c r="S31" s="65">
        <v>1E-14</v>
      </c>
      <c r="T31" s="65">
        <v>291.66666666666669</v>
      </c>
      <c r="U31" s="65">
        <v>291.66666666666669</v>
      </c>
      <c r="V31" s="65">
        <v>291.66666666666669</v>
      </c>
      <c r="W31" s="65">
        <v>291.66666666666669</v>
      </c>
      <c r="X31" s="65">
        <v>291.66666666666669</v>
      </c>
      <c r="Y31" s="65">
        <v>291.66666666666669</v>
      </c>
      <c r="Z31" s="65">
        <v>291.66666666666669</v>
      </c>
      <c r="AA31" s="65">
        <v>291.66666666666669</v>
      </c>
      <c r="AB31" s="65">
        <v>291.66666666666669</v>
      </c>
      <c r="AC31" s="65">
        <v>291.66666666666669</v>
      </c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</row>
    <row r="32" spans="1:53" x14ac:dyDescent="0.25">
      <c r="B32" s="15" t="s">
        <v>11</v>
      </c>
      <c r="C32" s="31"/>
      <c r="D32" s="31">
        <v>1</v>
      </c>
      <c r="E32" s="31"/>
      <c r="F32" s="31"/>
      <c r="G32" s="31">
        <v>1</v>
      </c>
      <c r="H32" s="46"/>
      <c r="I32" s="46"/>
      <c r="J32" s="1">
        <v>525</v>
      </c>
      <c r="K32" s="30">
        <v>9.5</v>
      </c>
      <c r="L32" s="29">
        <v>0.35149999999999998</v>
      </c>
      <c r="M32" s="5">
        <v>55.263157894736842</v>
      </c>
      <c r="N32" s="10"/>
      <c r="P32" s="63" t="s">
        <v>6</v>
      </c>
      <c r="Q32" s="64" t="s">
        <v>50</v>
      </c>
      <c r="R32" s="65">
        <v>291.66666666666669</v>
      </c>
      <c r="S32" s="65">
        <v>291.66666666666669</v>
      </c>
      <c r="T32" s="65">
        <v>291.66666666666669</v>
      </c>
      <c r="U32" s="65">
        <v>291.66666666666669</v>
      </c>
      <c r="V32" s="65">
        <v>291.66666666666669</v>
      </c>
      <c r="W32" s="65">
        <v>291.66666666666669</v>
      </c>
      <c r="X32" s="65">
        <v>291.66666666666669</v>
      </c>
      <c r="Y32" s="65">
        <v>291.66666666666669</v>
      </c>
      <c r="Z32" s="65">
        <v>291.66666666666669</v>
      </c>
      <c r="AA32" s="65">
        <v>291.66666666666669</v>
      </c>
      <c r="AB32" s="65">
        <v>291.66666666666669</v>
      </c>
      <c r="AC32" s="65">
        <v>291.66666666666669</v>
      </c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</row>
    <row r="33" spans="2:53" x14ac:dyDescent="0.25">
      <c r="B33" s="15" t="s">
        <v>12</v>
      </c>
      <c r="C33" s="31">
        <v>1</v>
      </c>
      <c r="D33" s="31">
        <v>1</v>
      </c>
      <c r="E33" s="31">
        <v>1</v>
      </c>
      <c r="F33" s="31"/>
      <c r="G33" s="31">
        <v>1</v>
      </c>
      <c r="H33" s="46">
        <v>5200</v>
      </c>
      <c r="I33" s="46">
        <v>5200</v>
      </c>
      <c r="J33" s="1">
        <v>525</v>
      </c>
      <c r="K33" s="30">
        <v>9</v>
      </c>
      <c r="L33" s="29">
        <v>0.33299999999999996</v>
      </c>
      <c r="M33" s="5">
        <v>58.333333333333336</v>
      </c>
      <c r="N33" s="10"/>
      <c r="P33" s="63" t="s">
        <v>7</v>
      </c>
      <c r="Q33" s="64" t="s">
        <v>80</v>
      </c>
      <c r="R33" s="65">
        <v>1E-14</v>
      </c>
      <c r="S33" s="65">
        <v>1E-14</v>
      </c>
      <c r="T33" s="65">
        <v>1E-14</v>
      </c>
      <c r="U33" s="65">
        <v>1E-14</v>
      </c>
      <c r="V33" s="65">
        <v>1E-14</v>
      </c>
      <c r="W33" s="65">
        <v>1E-14</v>
      </c>
      <c r="X33" s="65">
        <v>1E-14</v>
      </c>
      <c r="Y33" s="65">
        <v>1E-14</v>
      </c>
      <c r="Z33" s="65">
        <v>1E-14</v>
      </c>
      <c r="AA33" s="65">
        <v>1E-14</v>
      </c>
      <c r="AB33" s="65">
        <v>1E-14</v>
      </c>
      <c r="AC33" s="65">
        <v>1E-14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</row>
    <row r="34" spans="2:53" x14ac:dyDescent="0.25">
      <c r="B34" s="15" t="s">
        <v>13</v>
      </c>
      <c r="C34" s="31">
        <v>1</v>
      </c>
      <c r="D34" s="31">
        <v>1</v>
      </c>
      <c r="E34" s="31"/>
      <c r="F34" s="31"/>
      <c r="G34" s="31">
        <v>1</v>
      </c>
      <c r="H34" s="46">
        <v>500</v>
      </c>
      <c r="I34" s="46">
        <v>500</v>
      </c>
      <c r="J34" s="1">
        <v>785</v>
      </c>
      <c r="K34" s="30">
        <v>12</v>
      </c>
      <c r="L34" s="29">
        <v>0.44399999999999995</v>
      </c>
      <c r="M34" s="5">
        <v>65.416666666666671</v>
      </c>
      <c r="N34" s="10"/>
      <c r="P34" s="63" t="s">
        <v>7</v>
      </c>
      <c r="Q34" s="64" t="s">
        <v>50</v>
      </c>
      <c r="R34" s="65">
        <v>1E-14</v>
      </c>
      <c r="S34" s="65">
        <v>1E-14</v>
      </c>
      <c r="T34" s="65">
        <v>1E-14</v>
      </c>
      <c r="U34" s="65">
        <v>1E-14</v>
      </c>
      <c r="V34" s="65">
        <v>1E-14</v>
      </c>
      <c r="W34" s="65">
        <v>1E-14</v>
      </c>
      <c r="X34" s="65">
        <v>1E-14</v>
      </c>
      <c r="Y34" s="65">
        <v>1E-14</v>
      </c>
      <c r="Z34" s="65">
        <v>1E-14</v>
      </c>
      <c r="AA34" s="65">
        <v>1E-14</v>
      </c>
      <c r="AB34" s="65">
        <v>1E-14</v>
      </c>
      <c r="AC34" s="65">
        <v>1E-14</v>
      </c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</row>
    <row r="35" spans="2:53" x14ac:dyDescent="0.25">
      <c r="B35" s="15" t="s">
        <v>14</v>
      </c>
      <c r="C35" s="31"/>
      <c r="D35" s="31">
        <v>1</v>
      </c>
      <c r="E35" s="31"/>
      <c r="F35" s="31"/>
      <c r="G35" s="31">
        <v>1</v>
      </c>
      <c r="H35" s="46"/>
      <c r="I35" s="46"/>
      <c r="J35" s="1"/>
      <c r="K35" s="30">
        <v>10</v>
      </c>
      <c r="L35" s="29">
        <v>0.37</v>
      </c>
      <c r="M35" s="5"/>
      <c r="N35" s="10"/>
      <c r="P35" s="63" t="s">
        <v>8</v>
      </c>
      <c r="Q35" s="64" t="s">
        <v>80</v>
      </c>
      <c r="R35" s="65">
        <v>1E-14</v>
      </c>
      <c r="S35" s="65">
        <v>1E-14</v>
      </c>
      <c r="T35" s="65">
        <v>1E-14</v>
      </c>
      <c r="U35" s="65">
        <v>1E-14</v>
      </c>
      <c r="V35" s="65">
        <v>1E-14</v>
      </c>
      <c r="W35" s="65">
        <v>1E-14</v>
      </c>
      <c r="X35" s="65">
        <v>1E-14</v>
      </c>
      <c r="Y35" s="65">
        <v>1E-14</v>
      </c>
      <c r="Z35" s="65">
        <v>1E-14</v>
      </c>
      <c r="AA35" s="65">
        <v>1E-14</v>
      </c>
      <c r="AB35" s="65">
        <v>1E-14</v>
      </c>
      <c r="AC35" s="65">
        <v>1E-14</v>
      </c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</row>
    <row r="36" spans="2:53" x14ac:dyDescent="0.25">
      <c r="B36" s="15" t="s">
        <v>15</v>
      </c>
      <c r="C36" s="31"/>
      <c r="D36" s="31">
        <v>1</v>
      </c>
      <c r="E36" s="31"/>
      <c r="F36" s="31"/>
      <c r="G36" s="31">
        <v>1</v>
      </c>
      <c r="H36" s="46"/>
      <c r="I36" s="46"/>
      <c r="J36" s="1">
        <v>525</v>
      </c>
      <c r="K36" s="30">
        <v>11</v>
      </c>
      <c r="L36" s="29">
        <v>0.40699999999999997</v>
      </c>
      <c r="M36" s="5">
        <v>47.727272727272727</v>
      </c>
      <c r="N36" s="10"/>
      <c r="P36" s="63" t="s">
        <v>8</v>
      </c>
      <c r="Q36" s="64" t="s">
        <v>50</v>
      </c>
      <c r="R36" s="65">
        <v>1E-14</v>
      </c>
      <c r="S36" s="65">
        <v>1E-14</v>
      </c>
      <c r="T36" s="65">
        <v>1E-14</v>
      </c>
      <c r="U36" s="65">
        <v>1E-14</v>
      </c>
      <c r="V36" s="65">
        <v>1E-14</v>
      </c>
      <c r="W36" s="65">
        <v>1E-14</v>
      </c>
      <c r="X36" s="65">
        <v>1E-14</v>
      </c>
      <c r="Y36" s="65">
        <v>1E-14</v>
      </c>
      <c r="Z36" s="65">
        <v>1E-14</v>
      </c>
      <c r="AA36" s="65">
        <v>1E-14</v>
      </c>
      <c r="AB36" s="65">
        <v>1E-14</v>
      </c>
      <c r="AC36" s="65">
        <v>1E-14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</row>
    <row r="37" spans="2:53" x14ac:dyDescent="0.25">
      <c r="B37" s="15" t="s">
        <v>16</v>
      </c>
      <c r="C37" s="31"/>
      <c r="D37" s="31">
        <v>1</v>
      </c>
      <c r="E37" s="31"/>
      <c r="F37" s="31"/>
      <c r="G37" s="31">
        <v>1</v>
      </c>
      <c r="H37" s="46">
        <v>40000</v>
      </c>
      <c r="I37" s="46">
        <v>40000</v>
      </c>
      <c r="J37" s="1">
        <v>400</v>
      </c>
      <c r="K37" s="30">
        <v>10.5</v>
      </c>
      <c r="L37" s="29">
        <v>0.38849999999999996</v>
      </c>
      <c r="M37" s="5">
        <v>38.095238095238095</v>
      </c>
      <c r="N37" s="10"/>
      <c r="P37" s="63" t="s">
        <v>9</v>
      </c>
      <c r="Q37" s="64" t="s">
        <v>80</v>
      </c>
      <c r="R37" s="65">
        <v>650</v>
      </c>
      <c r="S37" s="65">
        <v>1E-14</v>
      </c>
      <c r="T37" s="65">
        <v>650</v>
      </c>
      <c r="U37" s="65">
        <v>650</v>
      </c>
      <c r="V37" s="65">
        <v>650</v>
      </c>
      <c r="W37" s="65">
        <v>650</v>
      </c>
      <c r="X37" s="65">
        <v>650</v>
      </c>
      <c r="Y37" s="65">
        <v>650</v>
      </c>
      <c r="Z37" s="65">
        <v>650</v>
      </c>
      <c r="AA37" s="65">
        <v>650</v>
      </c>
      <c r="AB37" s="65">
        <v>650</v>
      </c>
      <c r="AC37" s="65">
        <v>650</v>
      </c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</row>
    <row r="38" spans="2:53" x14ac:dyDescent="0.25">
      <c r="B38" s="15" t="s">
        <v>17</v>
      </c>
      <c r="C38" s="31"/>
      <c r="D38" s="31">
        <v>1</v>
      </c>
      <c r="E38" s="31"/>
      <c r="F38" s="31"/>
      <c r="G38" s="31">
        <v>1</v>
      </c>
      <c r="H38" s="46">
        <v>2000</v>
      </c>
      <c r="I38" s="46">
        <v>2000</v>
      </c>
      <c r="J38" s="1">
        <v>515</v>
      </c>
      <c r="K38" s="30">
        <v>10.5</v>
      </c>
      <c r="L38" s="29">
        <v>0.38849999999999996</v>
      </c>
      <c r="M38" s="5">
        <v>49.047619047619051</v>
      </c>
      <c r="N38" s="10"/>
      <c r="P38" s="63" t="s">
        <v>9</v>
      </c>
      <c r="Q38" s="64" t="s">
        <v>50</v>
      </c>
      <c r="R38" s="65">
        <v>650</v>
      </c>
      <c r="S38" s="65">
        <v>650</v>
      </c>
      <c r="T38" s="65">
        <v>650</v>
      </c>
      <c r="U38" s="65">
        <v>650</v>
      </c>
      <c r="V38" s="65">
        <v>650</v>
      </c>
      <c r="W38" s="65">
        <v>650</v>
      </c>
      <c r="X38" s="65">
        <v>650</v>
      </c>
      <c r="Y38" s="65">
        <v>650</v>
      </c>
      <c r="Z38" s="65">
        <v>650</v>
      </c>
      <c r="AA38" s="65">
        <v>650</v>
      </c>
      <c r="AB38" s="65">
        <v>650</v>
      </c>
      <c r="AC38" s="65">
        <v>650</v>
      </c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</row>
    <row r="39" spans="2:53" x14ac:dyDescent="0.25">
      <c r="B39" s="15" t="s">
        <v>18</v>
      </c>
      <c r="C39" s="31"/>
      <c r="D39" s="31">
        <v>1</v>
      </c>
      <c r="E39" s="31">
        <v>1</v>
      </c>
      <c r="F39" s="31"/>
      <c r="G39" s="31">
        <v>1</v>
      </c>
      <c r="H39" s="46"/>
      <c r="I39" s="46"/>
      <c r="J39" s="1"/>
      <c r="K39" s="30">
        <v>13</v>
      </c>
      <c r="L39" s="29"/>
      <c r="M39" s="5"/>
      <c r="N39" s="10"/>
      <c r="P39" s="63" t="s">
        <v>10</v>
      </c>
      <c r="Q39" s="64" t="s">
        <v>80</v>
      </c>
      <c r="R39" s="65">
        <v>1E-14</v>
      </c>
      <c r="S39" s="65">
        <v>1E-14</v>
      </c>
      <c r="T39" s="65">
        <v>1E-14</v>
      </c>
      <c r="U39" s="65">
        <v>1E-14</v>
      </c>
      <c r="V39" s="65">
        <v>1E-14</v>
      </c>
      <c r="W39" s="65">
        <v>1E-14</v>
      </c>
      <c r="X39" s="65">
        <v>1E-14</v>
      </c>
      <c r="Y39" s="65">
        <v>1E-14</v>
      </c>
      <c r="Z39" s="65">
        <v>1E-14</v>
      </c>
      <c r="AA39" s="65">
        <v>1E-14</v>
      </c>
      <c r="AB39" s="65">
        <v>1E-14</v>
      </c>
      <c r="AC39" s="65">
        <v>1E-14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</row>
    <row r="40" spans="2:53" x14ac:dyDescent="0.25">
      <c r="B40" s="15" t="s">
        <v>19</v>
      </c>
      <c r="C40" s="31">
        <v>1</v>
      </c>
      <c r="D40" s="31">
        <v>1</v>
      </c>
      <c r="E40" s="31">
        <v>1</v>
      </c>
      <c r="F40" s="31"/>
      <c r="G40" s="31">
        <v>1</v>
      </c>
      <c r="H40" s="46">
        <v>150</v>
      </c>
      <c r="I40" s="46">
        <v>150</v>
      </c>
      <c r="J40" s="1">
        <v>155</v>
      </c>
      <c r="K40" s="30">
        <v>14.5</v>
      </c>
      <c r="L40" s="29"/>
      <c r="M40" s="5">
        <v>10.689655172413794</v>
      </c>
      <c r="N40" s="12"/>
      <c r="P40" s="63" t="s">
        <v>10</v>
      </c>
      <c r="Q40" s="64" t="s">
        <v>50</v>
      </c>
      <c r="R40" s="65">
        <v>1E-14</v>
      </c>
      <c r="S40" s="65">
        <v>1E-14</v>
      </c>
      <c r="T40" s="65">
        <v>1E-14</v>
      </c>
      <c r="U40" s="65">
        <v>1E-14</v>
      </c>
      <c r="V40" s="65">
        <v>1E-14</v>
      </c>
      <c r="W40" s="65">
        <v>1E-14</v>
      </c>
      <c r="X40" s="65">
        <v>1E-14</v>
      </c>
      <c r="Y40" s="65">
        <v>1E-14</v>
      </c>
      <c r="Z40" s="65">
        <v>1E-14</v>
      </c>
      <c r="AA40" s="65">
        <v>1E-14</v>
      </c>
      <c r="AB40" s="65">
        <v>1E-14</v>
      </c>
      <c r="AC40" s="65">
        <v>1E-14</v>
      </c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</row>
    <row r="41" spans="2:53" x14ac:dyDescent="0.25">
      <c r="B41" s="15" t="s">
        <v>20</v>
      </c>
      <c r="C41" s="31">
        <v>1</v>
      </c>
      <c r="D41" s="31">
        <v>1</v>
      </c>
      <c r="E41" s="31">
        <v>1</v>
      </c>
      <c r="F41" s="31"/>
      <c r="G41" s="31">
        <v>1</v>
      </c>
      <c r="H41" s="46">
        <v>1500</v>
      </c>
      <c r="I41" s="46">
        <v>1500</v>
      </c>
      <c r="J41" s="1"/>
      <c r="K41" s="30">
        <v>14.5</v>
      </c>
      <c r="L41" s="29"/>
      <c r="M41" s="5"/>
      <c r="N41" s="12"/>
      <c r="P41" s="63" t="s">
        <v>11</v>
      </c>
      <c r="Q41" s="64" t="s">
        <v>80</v>
      </c>
      <c r="R41" s="65">
        <v>1E-14</v>
      </c>
      <c r="S41" s="65">
        <v>1E-14</v>
      </c>
      <c r="T41" s="65">
        <v>1E-14</v>
      </c>
      <c r="U41" s="65">
        <v>1E-14</v>
      </c>
      <c r="V41" s="65">
        <v>1E-14</v>
      </c>
      <c r="W41" s="65">
        <v>1E-14</v>
      </c>
      <c r="X41" s="65">
        <v>1E-14</v>
      </c>
      <c r="Y41" s="65">
        <v>1E-14</v>
      </c>
      <c r="Z41" s="65">
        <v>1E-14</v>
      </c>
      <c r="AA41" s="65">
        <v>1E-14</v>
      </c>
      <c r="AB41" s="65">
        <v>1E-14</v>
      </c>
      <c r="AC41" s="65">
        <v>1E-14</v>
      </c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</row>
    <row r="42" spans="2:53" x14ac:dyDescent="0.25">
      <c r="B42" s="15" t="s">
        <v>21</v>
      </c>
      <c r="C42" s="31"/>
      <c r="D42" s="31">
        <v>1</v>
      </c>
      <c r="E42" s="31"/>
      <c r="F42" s="31"/>
      <c r="G42" s="31">
        <v>1</v>
      </c>
      <c r="H42" s="46"/>
      <c r="I42" s="46"/>
      <c r="J42" s="1"/>
      <c r="K42" s="30">
        <v>14.7</v>
      </c>
      <c r="L42" s="29"/>
      <c r="M42" s="5"/>
      <c r="N42" s="12"/>
      <c r="P42" s="63" t="s">
        <v>11</v>
      </c>
      <c r="Q42" s="64" t="s">
        <v>50</v>
      </c>
      <c r="R42" s="65">
        <v>1E-14</v>
      </c>
      <c r="S42" s="65">
        <v>1E-14</v>
      </c>
      <c r="T42" s="65">
        <v>1E-14</v>
      </c>
      <c r="U42" s="65">
        <v>1E-14</v>
      </c>
      <c r="V42" s="65">
        <v>1E-14</v>
      </c>
      <c r="W42" s="65">
        <v>1E-14</v>
      </c>
      <c r="X42" s="65">
        <v>1E-14</v>
      </c>
      <c r="Y42" s="65">
        <v>1E-14</v>
      </c>
      <c r="Z42" s="65">
        <v>1E-14</v>
      </c>
      <c r="AA42" s="65">
        <v>1E-14</v>
      </c>
      <c r="AB42" s="65">
        <v>1E-14</v>
      </c>
      <c r="AC42" s="65">
        <v>1E-14</v>
      </c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</row>
    <row r="43" spans="2:53" x14ac:dyDescent="0.25">
      <c r="B43" s="15" t="s">
        <v>22</v>
      </c>
      <c r="C43" s="31">
        <v>1</v>
      </c>
      <c r="D43" s="31">
        <v>1</v>
      </c>
      <c r="E43" s="31"/>
      <c r="F43" s="31"/>
      <c r="G43" s="31">
        <v>1</v>
      </c>
      <c r="H43" s="46">
        <v>120</v>
      </c>
      <c r="I43" s="46">
        <v>120</v>
      </c>
      <c r="J43" s="1">
        <v>685</v>
      </c>
      <c r="K43" s="30">
        <v>14</v>
      </c>
      <c r="L43" s="29"/>
      <c r="M43" s="5">
        <v>48.928571428571431</v>
      </c>
      <c r="N43" s="12"/>
      <c r="P43" s="63" t="s">
        <v>12</v>
      </c>
      <c r="Q43" s="64" t="s">
        <v>80</v>
      </c>
      <c r="R43" s="65">
        <v>1E-14</v>
      </c>
      <c r="S43" s="65">
        <v>1E-14</v>
      </c>
      <c r="T43" s="65">
        <v>1E-14</v>
      </c>
      <c r="U43" s="65">
        <v>1E-14</v>
      </c>
      <c r="V43" s="65">
        <v>1E-14</v>
      </c>
      <c r="W43" s="65">
        <v>1E-14</v>
      </c>
      <c r="X43" s="65">
        <v>1E-14</v>
      </c>
      <c r="Y43" s="65">
        <v>1E-14</v>
      </c>
      <c r="Z43" s="65">
        <v>1E-14</v>
      </c>
      <c r="AA43" s="65">
        <v>1E-14</v>
      </c>
      <c r="AB43" s="65">
        <v>1E-14</v>
      </c>
      <c r="AC43" s="65">
        <v>1E-14</v>
      </c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</row>
    <row r="44" spans="2:53" x14ac:dyDescent="0.25">
      <c r="B44" s="15" t="s">
        <v>68</v>
      </c>
      <c r="C44" s="31">
        <v>1</v>
      </c>
      <c r="D44" s="31">
        <v>1</v>
      </c>
      <c r="E44" s="31"/>
      <c r="F44" s="31"/>
      <c r="G44" s="31">
        <v>1</v>
      </c>
      <c r="H44" s="46">
        <v>50000</v>
      </c>
      <c r="I44" s="46">
        <v>50000</v>
      </c>
      <c r="J44" s="1">
        <v>400</v>
      </c>
      <c r="K44" s="30">
        <v>11.5</v>
      </c>
      <c r="L44" s="29">
        <v>0.42549999999999999</v>
      </c>
      <c r="M44" s="5">
        <v>34.782608695652172</v>
      </c>
      <c r="N44" s="12"/>
      <c r="P44" s="63" t="s">
        <v>12</v>
      </c>
      <c r="Q44" s="64" t="s">
        <v>50</v>
      </c>
      <c r="R44" s="65">
        <v>5200</v>
      </c>
      <c r="S44" s="65">
        <v>5200</v>
      </c>
      <c r="T44" s="65">
        <v>5200</v>
      </c>
      <c r="U44" s="65">
        <v>5200</v>
      </c>
      <c r="V44" s="65">
        <v>5200</v>
      </c>
      <c r="W44" s="65">
        <v>5200</v>
      </c>
      <c r="X44" s="65">
        <v>5200</v>
      </c>
      <c r="Y44" s="65">
        <v>5200</v>
      </c>
      <c r="Z44" s="65">
        <v>5200</v>
      </c>
      <c r="AA44" s="65">
        <v>5200</v>
      </c>
      <c r="AB44" s="65">
        <v>5200</v>
      </c>
      <c r="AC44" s="65">
        <v>5200</v>
      </c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</row>
    <row r="45" spans="2:53" x14ac:dyDescent="0.25">
      <c r="B45" s="15" t="s">
        <v>69</v>
      </c>
      <c r="C45" s="31">
        <v>1</v>
      </c>
      <c r="D45" s="31">
        <v>1</v>
      </c>
      <c r="E45" s="31"/>
      <c r="F45" s="31">
        <v>1</v>
      </c>
      <c r="G45" s="31">
        <v>1</v>
      </c>
      <c r="H45" s="46"/>
      <c r="I45" s="46">
        <v>40000</v>
      </c>
      <c r="J45" s="1">
        <v>450</v>
      </c>
      <c r="K45" s="30">
        <v>10.5</v>
      </c>
      <c r="L45" s="29">
        <v>0.38849999999999996</v>
      </c>
      <c r="M45" s="5">
        <v>42.857142857142854</v>
      </c>
      <c r="N45" s="12"/>
      <c r="P45" s="63" t="s">
        <v>13</v>
      </c>
      <c r="Q45" s="64" t="s">
        <v>80</v>
      </c>
      <c r="R45" s="65">
        <v>41.666666666666664</v>
      </c>
      <c r="S45" s="65">
        <v>1E-14</v>
      </c>
      <c r="T45" s="65">
        <v>41.666666666666664</v>
      </c>
      <c r="U45" s="65">
        <v>41.666666666666664</v>
      </c>
      <c r="V45" s="65">
        <v>41.666666666666664</v>
      </c>
      <c r="W45" s="65">
        <v>41.666666666666664</v>
      </c>
      <c r="X45" s="65">
        <v>41.666666666666664</v>
      </c>
      <c r="Y45" s="65">
        <v>41.666666666666664</v>
      </c>
      <c r="Z45" s="65">
        <v>41.666666666666664</v>
      </c>
      <c r="AA45" s="65">
        <v>41.666666666666664</v>
      </c>
      <c r="AB45" s="65">
        <v>41.666666666666664</v>
      </c>
      <c r="AC45" s="65">
        <v>41.666666666666664</v>
      </c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</row>
    <row r="46" spans="2:53" x14ac:dyDescent="0.25">
      <c r="B46" s="15" t="s">
        <v>23</v>
      </c>
      <c r="C46" s="31">
        <v>1</v>
      </c>
      <c r="D46" s="31">
        <v>2</v>
      </c>
      <c r="E46" s="31">
        <v>1</v>
      </c>
      <c r="F46" s="31">
        <v>1</v>
      </c>
      <c r="G46" s="31"/>
      <c r="H46" s="46"/>
      <c r="I46" s="46">
        <v>50000</v>
      </c>
      <c r="J46" s="1">
        <v>470</v>
      </c>
      <c r="K46" s="30">
        <v>9.4</v>
      </c>
      <c r="L46" s="29"/>
      <c r="M46" s="5">
        <v>50</v>
      </c>
      <c r="N46" s="12"/>
      <c r="P46" s="63" t="s">
        <v>13</v>
      </c>
      <c r="Q46" s="64" t="s">
        <v>50</v>
      </c>
      <c r="R46" s="65">
        <v>41.666666666666664</v>
      </c>
      <c r="S46" s="65">
        <v>41.666666666666664</v>
      </c>
      <c r="T46" s="65">
        <v>41.666666666666664</v>
      </c>
      <c r="U46" s="65">
        <v>41.666666666666664</v>
      </c>
      <c r="V46" s="65">
        <v>41.666666666666664</v>
      </c>
      <c r="W46" s="65">
        <v>41.666666666666664</v>
      </c>
      <c r="X46" s="65">
        <v>41.666666666666664</v>
      </c>
      <c r="Y46" s="65">
        <v>41.666666666666664</v>
      </c>
      <c r="Z46" s="65">
        <v>41.666666666666664</v>
      </c>
      <c r="AA46" s="65">
        <v>41.666666666666664</v>
      </c>
      <c r="AB46" s="65">
        <v>41.666666666666664</v>
      </c>
      <c r="AC46" s="65">
        <v>41.666666666666664</v>
      </c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</row>
    <row r="47" spans="2:53" x14ac:dyDescent="0.25">
      <c r="B47" s="15" t="s">
        <v>24</v>
      </c>
      <c r="C47" s="31">
        <v>1</v>
      </c>
      <c r="D47" s="31">
        <v>3</v>
      </c>
      <c r="E47" s="31"/>
      <c r="F47" s="31">
        <v>1</v>
      </c>
      <c r="G47" s="31"/>
      <c r="H47" s="46"/>
      <c r="I47" s="46">
        <v>11000</v>
      </c>
      <c r="J47" s="1">
        <v>50</v>
      </c>
      <c r="K47" s="30">
        <v>3.6</v>
      </c>
      <c r="L47" s="29"/>
      <c r="M47" s="5">
        <v>13.888888888888889</v>
      </c>
      <c r="N47" s="12"/>
      <c r="P47" s="63" t="s">
        <v>14</v>
      </c>
      <c r="Q47" s="64" t="s">
        <v>80</v>
      </c>
      <c r="R47" s="65">
        <v>1E-14</v>
      </c>
      <c r="S47" s="65">
        <v>1E-14</v>
      </c>
      <c r="T47" s="65">
        <v>1E-14</v>
      </c>
      <c r="U47" s="65">
        <v>1E-14</v>
      </c>
      <c r="V47" s="65">
        <v>1E-14</v>
      </c>
      <c r="W47" s="65">
        <v>1E-14</v>
      </c>
      <c r="X47" s="65">
        <v>1E-14</v>
      </c>
      <c r="Y47" s="65">
        <v>1E-14</v>
      </c>
      <c r="Z47" s="65">
        <v>1E-14</v>
      </c>
      <c r="AA47" s="65">
        <v>1E-14</v>
      </c>
      <c r="AB47" s="65">
        <v>1E-14</v>
      </c>
      <c r="AC47" s="65">
        <v>1E-14</v>
      </c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</row>
    <row r="48" spans="2:53" x14ac:dyDescent="0.25">
      <c r="B48" s="15" t="s">
        <v>66</v>
      </c>
      <c r="C48" s="31">
        <v>1</v>
      </c>
      <c r="D48" s="31">
        <v>4</v>
      </c>
      <c r="E48" s="31">
        <v>1</v>
      </c>
      <c r="F48" s="31">
        <v>1</v>
      </c>
      <c r="G48" s="31"/>
      <c r="H48" s="46"/>
      <c r="I48" s="46">
        <v>20000</v>
      </c>
      <c r="J48" s="1">
        <v>5000</v>
      </c>
      <c r="K48" s="30">
        <v>44</v>
      </c>
      <c r="L48" s="29">
        <v>1.9549999999999998</v>
      </c>
      <c r="M48" s="5">
        <v>113.63636363636364</v>
      </c>
      <c r="N48" s="12"/>
      <c r="P48" s="63" t="s">
        <v>14</v>
      </c>
      <c r="Q48" s="64" t="s">
        <v>50</v>
      </c>
      <c r="R48" s="65">
        <v>1E-14</v>
      </c>
      <c r="S48" s="65">
        <v>1E-14</v>
      </c>
      <c r="T48" s="65">
        <v>1E-14</v>
      </c>
      <c r="U48" s="65">
        <v>1E-14</v>
      </c>
      <c r="V48" s="65">
        <v>1E-14</v>
      </c>
      <c r="W48" s="65">
        <v>1E-14</v>
      </c>
      <c r="X48" s="65">
        <v>1E-14</v>
      </c>
      <c r="Y48" s="65">
        <v>1E-14</v>
      </c>
      <c r="Z48" s="65">
        <v>1E-14</v>
      </c>
      <c r="AA48" s="65">
        <v>1E-14</v>
      </c>
      <c r="AB48" s="65">
        <v>1E-14</v>
      </c>
      <c r="AC48" s="65">
        <v>1E-14</v>
      </c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</row>
    <row r="49" spans="12:53" x14ac:dyDescent="0.25">
      <c r="L49" s="47"/>
      <c r="N49" s="11"/>
      <c r="P49" s="64" t="s">
        <v>80</v>
      </c>
      <c r="Q49" s="65">
        <v>1E-14</v>
      </c>
      <c r="R49" s="65">
        <v>1E-14</v>
      </c>
      <c r="S49" s="65">
        <v>1E-14</v>
      </c>
      <c r="T49" s="65">
        <v>1E-14</v>
      </c>
      <c r="U49" s="65">
        <v>1E-14</v>
      </c>
      <c r="V49" s="65">
        <v>1E-14</v>
      </c>
      <c r="W49" s="65">
        <v>1E-14</v>
      </c>
      <c r="X49" s="65">
        <v>1E-14</v>
      </c>
      <c r="Y49" s="65">
        <v>1E-14</v>
      </c>
      <c r="Z49" s="65">
        <v>1E-14</v>
      </c>
      <c r="AA49" s="65">
        <v>1E-14</v>
      </c>
      <c r="AB49" s="65">
        <v>1E-14</v>
      </c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</row>
    <row r="50" spans="12:53" x14ac:dyDescent="0.25">
      <c r="L50" s="47"/>
      <c r="N50" s="11"/>
      <c r="P50" s="63" t="s">
        <v>15</v>
      </c>
      <c r="Q50" s="64" t="s">
        <v>50</v>
      </c>
      <c r="R50" s="65">
        <v>1E-14</v>
      </c>
      <c r="S50" s="65">
        <v>1E-14</v>
      </c>
      <c r="T50" s="65">
        <v>1E-14</v>
      </c>
      <c r="U50" s="65">
        <v>1E-14</v>
      </c>
      <c r="V50" s="65">
        <v>1E-14</v>
      </c>
      <c r="W50" s="65">
        <v>1E-14</v>
      </c>
      <c r="X50" s="65">
        <v>1E-14</v>
      </c>
      <c r="Y50" s="65">
        <v>1E-14</v>
      </c>
      <c r="Z50" s="65">
        <v>1E-14</v>
      </c>
      <c r="AA50" s="65">
        <v>1E-14</v>
      </c>
      <c r="AB50" s="65">
        <v>1E-14</v>
      </c>
      <c r="AC50" s="65">
        <v>1E-14</v>
      </c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</row>
    <row r="51" spans="12:53" x14ac:dyDescent="0.25">
      <c r="L51" s="47"/>
      <c r="N51" s="11"/>
      <c r="P51" s="63" t="s">
        <v>16</v>
      </c>
      <c r="Q51" s="64" t="s">
        <v>80</v>
      </c>
      <c r="R51" s="65">
        <v>3333.3333333333335</v>
      </c>
      <c r="S51" s="65">
        <v>1E-14</v>
      </c>
      <c r="T51" s="65">
        <v>3333.3333333333335</v>
      </c>
      <c r="U51" s="65">
        <v>3333.3333333333335</v>
      </c>
      <c r="V51" s="65">
        <v>3333.3333333333335</v>
      </c>
      <c r="W51" s="65">
        <v>3333.3333333333335</v>
      </c>
      <c r="X51" s="65">
        <v>3333.3333333333335</v>
      </c>
      <c r="Y51" s="65">
        <v>3333.3333333333335</v>
      </c>
      <c r="Z51" s="65">
        <v>3333.3333333333335</v>
      </c>
      <c r="AA51" s="65">
        <v>3333.3333333333335</v>
      </c>
      <c r="AB51" s="65">
        <v>3333.3333333333335</v>
      </c>
      <c r="AC51" s="65">
        <v>3333.3333333333335</v>
      </c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</row>
    <row r="52" spans="12:53" x14ac:dyDescent="0.25">
      <c r="P52" s="63" t="s">
        <v>16</v>
      </c>
      <c r="Q52" s="64" t="s">
        <v>50</v>
      </c>
      <c r="R52" s="65">
        <v>3333.3333333333335</v>
      </c>
      <c r="S52" s="65">
        <v>3333.3333333333335</v>
      </c>
      <c r="T52" s="65">
        <v>3333.3333333333335</v>
      </c>
      <c r="U52" s="65">
        <v>3333.3333333333335</v>
      </c>
      <c r="V52" s="65">
        <v>3333.3333333333335</v>
      </c>
      <c r="W52" s="65">
        <v>3333.3333333333335</v>
      </c>
      <c r="X52" s="65">
        <v>3333.3333333333335</v>
      </c>
      <c r="Y52" s="65">
        <v>3333.3333333333335</v>
      </c>
      <c r="Z52" s="65">
        <v>3333.3333333333335</v>
      </c>
      <c r="AA52" s="65">
        <v>3333.3333333333335</v>
      </c>
      <c r="AB52" s="65">
        <v>3333.3333333333335</v>
      </c>
      <c r="AC52" s="65">
        <v>3333.3333333333335</v>
      </c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</row>
    <row r="53" spans="12:53" x14ac:dyDescent="0.25">
      <c r="P53" s="63" t="s">
        <v>17</v>
      </c>
      <c r="Q53" s="64" t="s">
        <v>80</v>
      </c>
      <c r="R53" s="65">
        <v>166.66666666666666</v>
      </c>
      <c r="S53" s="65">
        <v>1E-14</v>
      </c>
      <c r="T53" s="65">
        <v>166.66666666666666</v>
      </c>
      <c r="U53" s="65">
        <v>166.66666666666666</v>
      </c>
      <c r="V53" s="65">
        <v>166.66666666666666</v>
      </c>
      <c r="W53" s="65">
        <v>166.66666666666666</v>
      </c>
      <c r="X53" s="65">
        <v>166.66666666666666</v>
      </c>
      <c r="Y53" s="65">
        <v>166.66666666666666</v>
      </c>
      <c r="Z53" s="65">
        <v>166.66666666666666</v>
      </c>
      <c r="AA53" s="65">
        <v>166.66666666666666</v>
      </c>
      <c r="AB53" s="65">
        <v>166.66666666666666</v>
      </c>
      <c r="AC53" s="65">
        <v>166.66666666666666</v>
      </c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</row>
    <row r="54" spans="12:53" x14ac:dyDescent="0.25">
      <c r="P54" s="63" t="s">
        <v>17</v>
      </c>
      <c r="Q54" s="64" t="s">
        <v>50</v>
      </c>
      <c r="R54" s="65">
        <v>166.66666666666666</v>
      </c>
      <c r="S54" s="65">
        <v>166.66666666666666</v>
      </c>
      <c r="T54" s="65">
        <v>166.66666666666666</v>
      </c>
      <c r="U54" s="65">
        <v>166.66666666666666</v>
      </c>
      <c r="V54" s="65">
        <v>166.66666666666666</v>
      </c>
      <c r="W54" s="65">
        <v>166.66666666666666</v>
      </c>
      <c r="X54" s="65">
        <v>166.66666666666666</v>
      </c>
      <c r="Y54" s="65">
        <v>166.66666666666666</v>
      </c>
      <c r="Z54" s="65">
        <v>166.66666666666666</v>
      </c>
      <c r="AA54" s="65">
        <v>166.66666666666666</v>
      </c>
      <c r="AB54" s="65">
        <v>166.66666666666666</v>
      </c>
      <c r="AC54" s="65">
        <v>166.66666666666666</v>
      </c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</row>
    <row r="55" spans="12:53" x14ac:dyDescent="0.25">
      <c r="P55" s="63" t="s">
        <v>18</v>
      </c>
      <c r="Q55" s="64" t="s">
        <v>80</v>
      </c>
      <c r="R55" s="65">
        <v>1E-14</v>
      </c>
      <c r="S55" s="65">
        <v>1E-14</v>
      </c>
      <c r="T55" s="65">
        <v>1E-14</v>
      </c>
      <c r="U55" s="65">
        <v>1E-14</v>
      </c>
      <c r="V55" s="65">
        <v>1E-14</v>
      </c>
      <c r="W55" s="65">
        <v>1E-14</v>
      </c>
      <c r="X55" s="65">
        <v>1E-14</v>
      </c>
      <c r="Y55" s="65">
        <v>1E-14</v>
      </c>
      <c r="Z55" s="65">
        <v>1E-14</v>
      </c>
      <c r="AA55" s="65">
        <v>1E-14</v>
      </c>
      <c r="AB55" s="65">
        <v>1E-14</v>
      </c>
      <c r="AC55" s="65">
        <v>1E-14</v>
      </c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</row>
    <row r="56" spans="12:53" x14ac:dyDescent="0.25">
      <c r="P56" s="63" t="s">
        <v>18</v>
      </c>
      <c r="Q56" s="64" t="s">
        <v>50</v>
      </c>
      <c r="R56" s="65">
        <v>1E-14</v>
      </c>
      <c r="S56" s="65">
        <v>1E-14</v>
      </c>
      <c r="T56" s="65">
        <v>1E-14</v>
      </c>
      <c r="U56" s="65">
        <v>1E-14</v>
      </c>
      <c r="V56" s="65">
        <v>1E-14</v>
      </c>
      <c r="W56" s="65">
        <v>1E-14</v>
      </c>
      <c r="X56" s="65">
        <v>1E-14</v>
      </c>
      <c r="Y56" s="65">
        <v>1E-14</v>
      </c>
      <c r="Z56" s="65">
        <v>1E-14</v>
      </c>
      <c r="AA56" s="65">
        <v>1E-14</v>
      </c>
      <c r="AB56" s="65">
        <v>1E-14</v>
      </c>
      <c r="AC56" s="65">
        <v>1E-14</v>
      </c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</row>
    <row r="57" spans="12:53" x14ac:dyDescent="0.25">
      <c r="P57" s="63" t="s">
        <v>19</v>
      </c>
      <c r="Q57" s="64" t="s">
        <v>80</v>
      </c>
      <c r="R57" s="65">
        <v>1E-14</v>
      </c>
      <c r="S57" s="65">
        <v>1E-14</v>
      </c>
      <c r="T57" s="65">
        <v>1E-14</v>
      </c>
      <c r="U57" s="65">
        <v>1E-14</v>
      </c>
      <c r="V57" s="65">
        <v>1E-14</v>
      </c>
      <c r="W57" s="65">
        <v>1E-14</v>
      </c>
      <c r="X57" s="65">
        <v>1E-14</v>
      </c>
      <c r="Y57" s="65">
        <v>1E-14</v>
      </c>
      <c r="Z57" s="65">
        <v>1E-14</v>
      </c>
      <c r="AA57" s="65">
        <v>1E-14</v>
      </c>
      <c r="AB57" s="65">
        <v>1E-14</v>
      </c>
      <c r="AC57" s="65">
        <v>1E-14</v>
      </c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</row>
    <row r="58" spans="12:53" x14ac:dyDescent="0.25">
      <c r="P58" s="63" t="s">
        <v>19</v>
      </c>
      <c r="Q58" s="64" t="s">
        <v>50</v>
      </c>
      <c r="R58" s="65">
        <v>150</v>
      </c>
      <c r="S58" s="65">
        <v>150</v>
      </c>
      <c r="T58" s="65">
        <v>150</v>
      </c>
      <c r="U58" s="65">
        <v>150</v>
      </c>
      <c r="V58" s="65">
        <v>150</v>
      </c>
      <c r="W58" s="65">
        <v>150</v>
      </c>
      <c r="X58" s="65">
        <v>150</v>
      </c>
      <c r="Y58" s="65">
        <v>150</v>
      </c>
      <c r="Z58" s="65">
        <v>150</v>
      </c>
      <c r="AA58" s="65">
        <v>150</v>
      </c>
      <c r="AB58" s="65">
        <v>150</v>
      </c>
      <c r="AC58" s="65">
        <v>150</v>
      </c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</row>
    <row r="59" spans="12:53" x14ac:dyDescent="0.25">
      <c r="P59" s="63" t="s">
        <v>20</v>
      </c>
      <c r="Q59" s="64" t="s">
        <v>80</v>
      </c>
      <c r="R59" s="65">
        <v>1E-14</v>
      </c>
      <c r="S59" s="65">
        <v>1E-14</v>
      </c>
      <c r="T59" s="65">
        <v>1E-14</v>
      </c>
      <c r="U59" s="65">
        <v>1E-14</v>
      </c>
      <c r="V59" s="65">
        <v>1E-14</v>
      </c>
      <c r="W59" s="65">
        <v>1E-14</v>
      </c>
      <c r="X59" s="65">
        <v>1E-14</v>
      </c>
      <c r="Y59" s="65">
        <v>1E-14</v>
      </c>
      <c r="Z59" s="65">
        <v>1E-14</v>
      </c>
      <c r="AA59" s="65">
        <v>1E-14</v>
      </c>
      <c r="AB59" s="65">
        <v>1E-14</v>
      </c>
      <c r="AC59" s="65">
        <v>1E-14</v>
      </c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</row>
    <row r="60" spans="12:53" x14ac:dyDescent="0.25">
      <c r="P60" s="63" t="s">
        <v>20</v>
      </c>
      <c r="Q60" s="64" t="s">
        <v>50</v>
      </c>
      <c r="R60" s="65">
        <v>1500</v>
      </c>
      <c r="S60" s="65">
        <v>1500</v>
      </c>
      <c r="T60" s="65">
        <v>1500</v>
      </c>
      <c r="U60" s="65">
        <v>1500</v>
      </c>
      <c r="V60" s="65">
        <v>1500</v>
      </c>
      <c r="W60" s="65">
        <v>1500</v>
      </c>
      <c r="X60" s="65">
        <v>1500</v>
      </c>
      <c r="Y60" s="65">
        <v>1500</v>
      </c>
      <c r="Z60" s="65">
        <v>1500</v>
      </c>
      <c r="AA60" s="65">
        <v>1500</v>
      </c>
      <c r="AB60" s="65">
        <v>1500</v>
      </c>
      <c r="AC60" s="65">
        <v>1500</v>
      </c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</row>
    <row r="61" spans="12:53" x14ac:dyDescent="0.25">
      <c r="P61" s="63" t="s">
        <v>21</v>
      </c>
      <c r="Q61" s="64" t="s">
        <v>80</v>
      </c>
      <c r="R61" s="65">
        <v>1E-14</v>
      </c>
      <c r="S61" s="65">
        <v>1E-14</v>
      </c>
      <c r="T61" s="65">
        <v>1E-14</v>
      </c>
      <c r="U61" s="65">
        <v>1E-14</v>
      </c>
      <c r="V61" s="65">
        <v>1E-14</v>
      </c>
      <c r="W61" s="65">
        <v>1E-14</v>
      </c>
      <c r="X61" s="65">
        <v>1E-14</v>
      </c>
      <c r="Y61" s="65">
        <v>1E-14</v>
      </c>
      <c r="Z61" s="65">
        <v>1E-14</v>
      </c>
      <c r="AA61" s="65">
        <v>1E-14</v>
      </c>
      <c r="AB61" s="65">
        <v>1E-14</v>
      </c>
      <c r="AC61" s="65">
        <v>1E-14</v>
      </c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</row>
    <row r="62" spans="12:53" x14ac:dyDescent="0.25">
      <c r="P62" s="63" t="s">
        <v>21</v>
      </c>
      <c r="Q62" s="64" t="s">
        <v>50</v>
      </c>
      <c r="R62" s="65">
        <v>1E-14</v>
      </c>
      <c r="S62" s="65">
        <v>1E-14</v>
      </c>
      <c r="T62" s="65">
        <v>1E-14</v>
      </c>
      <c r="U62" s="65">
        <v>1E-14</v>
      </c>
      <c r="V62" s="65">
        <v>1E-14</v>
      </c>
      <c r="W62" s="65">
        <v>1E-14</v>
      </c>
      <c r="X62" s="65">
        <v>1E-14</v>
      </c>
      <c r="Y62" s="65">
        <v>1E-14</v>
      </c>
      <c r="Z62" s="65">
        <v>1E-14</v>
      </c>
      <c r="AA62" s="65">
        <v>1E-14</v>
      </c>
      <c r="AB62" s="65">
        <v>1E-14</v>
      </c>
      <c r="AC62" s="65">
        <v>1E-14</v>
      </c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</row>
    <row r="63" spans="12:53" x14ac:dyDescent="0.25">
      <c r="P63" s="63" t="s">
        <v>22</v>
      </c>
      <c r="Q63" s="64" t="s">
        <v>80</v>
      </c>
      <c r="R63" s="65">
        <v>10</v>
      </c>
      <c r="S63" s="65">
        <v>1E-14</v>
      </c>
      <c r="T63" s="65">
        <v>10</v>
      </c>
      <c r="U63" s="65">
        <v>10</v>
      </c>
      <c r="V63" s="65">
        <v>10</v>
      </c>
      <c r="W63" s="65">
        <v>10</v>
      </c>
      <c r="X63" s="65">
        <v>10</v>
      </c>
      <c r="Y63" s="65">
        <v>10</v>
      </c>
      <c r="Z63" s="65">
        <v>10</v>
      </c>
      <c r="AA63" s="65">
        <v>10</v>
      </c>
      <c r="AB63" s="65">
        <v>10</v>
      </c>
      <c r="AC63" s="65">
        <v>10</v>
      </c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</row>
    <row r="64" spans="12:53" x14ac:dyDescent="0.25">
      <c r="P64" s="63" t="s">
        <v>22</v>
      </c>
      <c r="Q64" s="64" t="s">
        <v>50</v>
      </c>
      <c r="R64" s="65">
        <v>10</v>
      </c>
      <c r="S64" s="65">
        <v>10</v>
      </c>
      <c r="T64" s="65">
        <v>10</v>
      </c>
      <c r="U64" s="65">
        <v>10</v>
      </c>
      <c r="V64" s="65">
        <v>10</v>
      </c>
      <c r="W64" s="65">
        <v>10</v>
      </c>
      <c r="X64" s="65">
        <v>10</v>
      </c>
      <c r="Y64" s="65">
        <v>10</v>
      </c>
      <c r="Z64" s="65">
        <v>10</v>
      </c>
      <c r="AA64" s="65">
        <v>10</v>
      </c>
      <c r="AB64" s="65">
        <v>10</v>
      </c>
      <c r="AC64" s="65">
        <v>10</v>
      </c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</row>
    <row r="65" spans="16:53" x14ac:dyDescent="0.25">
      <c r="P65" s="63" t="s">
        <v>68</v>
      </c>
      <c r="Q65" s="64" t="s">
        <v>80</v>
      </c>
      <c r="R65" s="65">
        <v>4166.666666666667</v>
      </c>
      <c r="S65" s="65">
        <v>1E-14</v>
      </c>
      <c r="T65" s="65">
        <v>4166.666666666667</v>
      </c>
      <c r="U65" s="65">
        <v>4166.666666666667</v>
      </c>
      <c r="V65" s="65">
        <v>4166.666666666667</v>
      </c>
      <c r="W65" s="65">
        <v>4166.666666666667</v>
      </c>
      <c r="X65" s="65">
        <v>4166.666666666667</v>
      </c>
      <c r="Y65" s="65">
        <v>4166.666666666667</v>
      </c>
      <c r="Z65" s="65">
        <v>4166.666666666667</v>
      </c>
      <c r="AA65" s="65">
        <v>4166.666666666667</v>
      </c>
      <c r="AB65" s="65">
        <v>4166.666666666667</v>
      </c>
      <c r="AC65" s="65">
        <v>4166.666666666667</v>
      </c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</row>
    <row r="66" spans="16:53" x14ac:dyDescent="0.25">
      <c r="P66" s="63" t="s">
        <v>68</v>
      </c>
      <c r="Q66" s="64" t="s">
        <v>50</v>
      </c>
      <c r="R66" s="65">
        <v>4166.666666666667</v>
      </c>
      <c r="S66" s="65">
        <v>4166.666666666667</v>
      </c>
      <c r="T66" s="65">
        <v>4166.666666666667</v>
      </c>
      <c r="U66" s="65">
        <v>4166.666666666667</v>
      </c>
      <c r="V66" s="65">
        <v>4166.666666666667</v>
      </c>
      <c r="W66" s="65">
        <v>4166.666666666667</v>
      </c>
      <c r="X66" s="65">
        <v>4166.666666666667</v>
      </c>
      <c r="Y66" s="65">
        <v>4166.666666666667</v>
      </c>
      <c r="Z66" s="65">
        <v>4166.666666666667</v>
      </c>
      <c r="AA66" s="65">
        <v>4166.666666666667</v>
      </c>
      <c r="AB66" s="65">
        <v>4166.666666666667</v>
      </c>
      <c r="AC66" s="65">
        <v>4166.666666666667</v>
      </c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</row>
    <row r="67" spans="16:53" x14ac:dyDescent="0.25">
      <c r="P67" s="63" t="s">
        <v>69</v>
      </c>
      <c r="Q67" s="64" t="s">
        <v>80</v>
      </c>
      <c r="R67" s="65">
        <v>1E-14</v>
      </c>
      <c r="S67" s="65">
        <v>1E-14</v>
      </c>
      <c r="T67" s="65">
        <v>1E-14</v>
      </c>
      <c r="U67" s="65">
        <v>1E-14</v>
      </c>
      <c r="V67" s="65">
        <v>1E-14</v>
      </c>
      <c r="W67" s="65">
        <v>1E-14</v>
      </c>
      <c r="X67" s="65">
        <v>1E-14</v>
      </c>
      <c r="Y67" s="65">
        <v>1E-14</v>
      </c>
      <c r="Z67" s="65">
        <v>1E-14</v>
      </c>
      <c r="AA67" s="65">
        <v>1E-14</v>
      </c>
      <c r="AB67" s="65">
        <v>1E-14</v>
      </c>
      <c r="AC67" s="65">
        <v>1E-14</v>
      </c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</row>
    <row r="68" spans="16:53" x14ac:dyDescent="0.25">
      <c r="P68" s="63" t="s">
        <v>69</v>
      </c>
      <c r="Q68" s="64" t="s">
        <v>50</v>
      </c>
      <c r="R68" s="65">
        <v>3333.3333333333335</v>
      </c>
      <c r="S68" s="65">
        <v>3333.3333333333335</v>
      </c>
      <c r="T68" s="65">
        <v>3333.3333333333335</v>
      </c>
      <c r="U68" s="65">
        <v>3333.3333333333335</v>
      </c>
      <c r="V68" s="65">
        <v>3333.3333333333335</v>
      </c>
      <c r="W68" s="65">
        <v>3333.3333333333335</v>
      </c>
      <c r="X68" s="65">
        <v>3333.3333333333335</v>
      </c>
      <c r="Y68" s="65">
        <v>3333.3333333333335</v>
      </c>
      <c r="Z68" s="65">
        <v>3333.3333333333335</v>
      </c>
      <c r="AA68" s="65">
        <v>3333.3333333333335</v>
      </c>
      <c r="AB68" s="65">
        <v>3333.3333333333335</v>
      </c>
      <c r="AC68" s="65">
        <v>3333.3333333333335</v>
      </c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</row>
    <row r="69" spans="16:53" x14ac:dyDescent="0.25">
      <c r="P69" s="63" t="s">
        <v>68</v>
      </c>
      <c r="Q69" s="64" t="s">
        <v>80</v>
      </c>
      <c r="R69" s="65">
        <v>1E-14</v>
      </c>
      <c r="S69" s="65">
        <v>1E-14</v>
      </c>
      <c r="T69" s="65">
        <v>1E-14</v>
      </c>
      <c r="U69" s="65">
        <v>1E-14</v>
      </c>
      <c r="V69" s="65">
        <v>1E-14</v>
      </c>
      <c r="W69" s="65">
        <v>1E-14</v>
      </c>
      <c r="X69" s="65">
        <v>1E-14</v>
      </c>
      <c r="Y69" s="65">
        <v>1E-14</v>
      </c>
      <c r="Z69" s="65">
        <v>1E-14</v>
      </c>
      <c r="AA69" s="65">
        <v>1E-14</v>
      </c>
      <c r="AB69" s="65">
        <v>1E-14</v>
      </c>
      <c r="AC69" s="65">
        <v>1E-14</v>
      </c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</row>
    <row r="70" spans="16:53" x14ac:dyDescent="0.25">
      <c r="P70" s="63" t="s">
        <v>68</v>
      </c>
      <c r="Q70" s="64" t="s">
        <v>50</v>
      </c>
      <c r="R70" s="65">
        <v>1E-14</v>
      </c>
      <c r="S70" s="65">
        <v>1E-14</v>
      </c>
      <c r="T70" s="65">
        <v>1E-14</v>
      </c>
      <c r="U70" s="65">
        <v>1E-14</v>
      </c>
      <c r="V70" s="65">
        <v>1E-14</v>
      </c>
      <c r="W70" s="65">
        <v>1E-14</v>
      </c>
      <c r="X70" s="65">
        <v>1E-14</v>
      </c>
      <c r="Y70" s="65">
        <v>1E-14</v>
      </c>
      <c r="Z70" s="65">
        <v>1E-14</v>
      </c>
      <c r="AA70" s="65">
        <v>1E-14</v>
      </c>
      <c r="AB70" s="65">
        <v>1E-14</v>
      </c>
      <c r="AC70" s="65">
        <v>1E-14</v>
      </c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</row>
    <row r="71" spans="16:53" x14ac:dyDescent="0.25">
      <c r="P71" s="63" t="s">
        <v>68</v>
      </c>
      <c r="Q71" s="64" t="s">
        <v>80</v>
      </c>
      <c r="R71" s="65">
        <v>1E-14</v>
      </c>
      <c r="S71" s="65">
        <v>1E-14</v>
      </c>
      <c r="T71" s="65">
        <v>1E-14</v>
      </c>
      <c r="U71" s="65">
        <v>1E-14</v>
      </c>
      <c r="V71" s="65">
        <v>1E-14</v>
      </c>
      <c r="W71" s="65">
        <v>1E-14</v>
      </c>
      <c r="X71" s="65">
        <v>1E-14</v>
      </c>
      <c r="Y71" s="65">
        <v>1E-14</v>
      </c>
      <c r="Z71" s="65">
        <v>1E-14</v>
      </c>
      <c r="AA71" s="65">
        <v>1E-14</v>
      </c>
      <c r="AB71" s="65">
        <v>1E-14</v>
      </c>
      <c r="AC71" s="65">
        <v>1E-14</v>
      </c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</row>
    <row r="72" spans="16:53" x14ac:dyDescent="0.25">
      <c r="P72" s="63" t="s">
        <v>68</v>
      </c>
      <c r="Q72" s="64" t="s">
        <v>50</v>
      </c>
      <c r="R72" s="65">
        <v>4000</v>
      </c>
      <c r="S72" s="65">
        <v>1E-14</v>
      </c>
      <c r="T72" s="65">
        <v>1E-14</v>
      </c>
      <c r="U72" s="65">
        <v>1E-14</v>
      </c>
      <c r="V72" s="65">
        <v>1E-14</v>
      </c>
      <c r="W72" s="65">
        <v>1E-14</v>
      </c>
      <c r="X72" s="65">
        <v>1E-14</v>
      </c>
      <c r="Y72" s="65">
        <v>1E-14</v>
      </c>
      <c r="Z72" s="65">
        <v>1E-14</v>
      </c>
      <c r="AA72" s="65">
        <v>1E-14</v>
      </c>
      <c r="AB72" s="65">
        <v>1500</v>
      </c>
      <c r="AC72" s="65">
        <v>5600</v>
      </c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</row>
    <row r="73" spans="16:53" x14ac:dyDescent="0.25">
      <c r="P73" s="63" t="s">
        <v>68</v>
      </c>
      <c r="Q73" s="64" t="s">
        <v>80</v>
      </c>
      <c r="R73" s="65">
        <v>1E-14</v>
      </c>
      <c r="S73" s="65">
        <v>1E-14</v>
      </c>
      <c r="T73" s="65">
        <v>1E-14</v>
      </c>
      <c r="U73" s="65">
        <v>1E-14</v>
      </c>
      <c r="V73" s="65">
        <v>1E-14</v>
      </c>
      <c r="W73" s="65">
        <v>1E-14</v>
      </c>
      <c r="X73" s="65">
        <v>1E-14</v>
      </c>
      <c r="Y73" s="65">
        <v>1E-14</v>
      </c>
      <c r="Z73" s="65">
        <v>1E-14</v>
      </c>
      <c r="AA73" s="65">
        <v>1E-14</v>
      </c>
      <c r="AB73" s="65">
        <v>1E-14</v>
      </c>
      <c r="AC73" s="65">
        <v>1E-14</v>
      </c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</row>
    <row r="74" spans="16:53" x14ac:dyDescent="0.25">
      <c r="P74" s="63" t="s">
        <v>68</v>
      </c>
      <c r="Q74" s="64" t="s">
        <v>50</v>
      </c>
      <c r="R74" s="65">
        <v>1E-14</v>
      </c>
      <c r="S74" s="65">
        <v>1E-14</v>
      </c>
      <c r="T74" s="65">
        <v>1E-14</v>
      </c>
      <c r="U74" s="65">
        <v>1E-14</v>
      </c>
      <c r="V74" s="65">
        <v>1E-14</v>
      </c>
      <c r="W74" s="65">
        <v>1E-14</v>
      </c>
      <c r="X74" s="65">
        <v>1E-14</v>
      </c>
      <c r="Y74" s="65">
        <v>1E-14</v>
      </c>
      <c r="Z74" s="65">
        <v>1E-14</v>
      </c>
      <c r="AA74" s="65">
        <v>1E-14</v>
      </c>
      <c r="AB74" s="65">
        <v>1E-14</v>
      </c>
      <c r="AC74" s="65">
        <v>1E-14</v>
      </c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</row>
    <row r="75" spans="16:53" x14ac:dyDescent="0.25">
      <c r="P75" s="63" t="s">
        <v>23</v>
      </c>
      <c r="Q75" s="64" t="s">
        <v>80</v>
      </c>
      <c r="R75" s="65">
        <v>1E-14</v>
      </c>
      <c r="S75" s="65">
        <v>1E-14</v>
      </c>
      <c r="T75" s="65">
        <v>1E-14</v>
      </c>
      <c r="U75" s="65">
        <v>1E-14</v>
      </c>
      <c r="V75" s="65">
        <v>1E-14</v>
      </c>
      <c r="W75" s="65">
        <v>1E-14</v>
      </c>
      <c r="X75" s="65">
        <v>1E-14</v>
      </c>
      <c r="Y75" s="65">
        <v>1E-14</v>
      </c>
      <c r="Z75" s="65">
        <v>1E-14</v>
      </c>
      <c r="AA75" s="65">
        <v>1E-14</v>
      </c>
      <c r="AB75" s="65">
        <v>1E-14</v>
      </c>
      <c r="AC75" s="65">
        <v>1E-14</v>
      </c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</row>
    <row r="76" spans="16:53" x14ac:dyDescent="0.25">
      <c r="P76" s="63" t="s">
        <v>23</v>
      </c>
      <c r="Q76" s="64" t="s">
        <v>50</v>
      </c>
      <c r="R76" s="65">
        <v>1E-14</v>
      </c>
      <c r="S76" s="65">
        <v>1E-14</v>
      </c>
      <c r="T76" s="65">
        <v>1E-14</v>
      </c>
      <c r="U76" s="65">
        <v>1E-14</v>
      </c>
      <c r="V76" s="65">
        <v>1E-14</v>
      </c>
      <c r="W76" s="65">
        <v>1E-14</v>
      </c>
      <c r="X76" s="65">
        <v>1E-14</v>
      </c>
      <c r="Y76" s="65">
        <v>1E-14</v>
      </c>
      <c r="Z76" s="65">
        <v>1E-14</v>
      </c>
      <c r="AA76" s="65">
        <v>1E-14</v>
      </c>
      <c r="AB76" s="65">
        <v>1E-14</v>
      </c>
      <c r="AC76" s="65">
        <v>1E-14</v>
      </c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</row>
    <row r="77" spans="16:53" x14ac:dyDescent="0.25">
      <c r="P77" s="63" t="s">
        <v>24</v>
      </c>
      <c r="Q77" s="64" t="s">
        <v>80</v>
      </c>
      <c r="R77" s="65">
        <v>1E-14</v>
      </c>
      <c r="S77" s="65">
        <v>1E-14</v>
      </c>
      <c r="T77" s="65">
        <v>1E-14</v>
      </c>
      <c r="U77" s="65">
        <v>1E-14</v>
      </c>
      <c r="V77" s="65">
        <v>1E-14</v>
      </c>
      <c r="W77" s="65">
        <v>1E-14</v>
      </c>
      <c r="X77" s="65">
        <v>1E-14</v>
      </c>
      <c r="Y77" s="65">
        <v>1E-14</v>
      </c>
      <c r="Z77" s="65">
        <v>1E-14</v>
      </c>
      <c r="AA77" s="65">
        <v>1E-14</v>
      </c>
      <c r="AB77" s="65">
        <v>1E-14</v>
      </c>
      <c r="AC77" s="65">
        <v>1E-14</v>
      </c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</row>
    <row r="78" spans="16:53" x14ac:dyDescent="0.25">
      <c r="P78" s="63" t="s">
        <v>24</v>
      </c>
      <c r="Q78" s="64" t="s">
        <v>50</v>
      </c>
      <c r="R78" s="65">
        <v>4000</v>
      </c>
      <c r="S78" s="65">
        <v>1E-14</v>
      </c>
      <c r="T78" s="65">
        <v>1E-14</v>
      </c>
      <c r="U78" s="65">
        <v>1E-14</v>
      </c>
      <c r="V78" s="65">
        <v>1E-14</v>
      </c>
      <c r="W78" s="65">
        <v>1E-14</v>
      </c>
      <c r="X78" s="65">
        <v>1E-14</v>
      </c>
      <c r="Y78" s="65">
        <v>1E-14</v>
      </c>
      <c r="Z78" s="65">
        <v>1E-14</v>
      </c>
      <c r="AA78" s="65">
        <v>1E-14</v>
      </c>
      <c r="AB78" s="65">
        <v>1500</v>
      </c>
      <c r="AC78" s="65">
        <v>5600</v>
      </c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</row>
    <row r="79" spans="16:53" x14ac:dyDescent="0.25">
      <c r="P79" s="63" t="s">
        <v>66</v>
      </c>
      <c r="Q79" s="64" t="s">
        <v>80</v>
      </c>
      <c r="R79" s="65">
        <v>1E-14</v>
      </c>
      <c r="S79" s="65">
        <v>1E-14</v>
      </c>
      <c r="T79" s="65">
        <v>1E-14</v>
      </c>
      <c r="U79" s="65">
        <v>1E-14</v>
      </c>
      <c r="V79" s="65">
        <v>1E-14</v>
      </c>
      <c r="W79" s="65">
        <v>1E-14</v>
      </c>
      <c r="X79" s="65">
        <v>1E-14</v>
      </c>
      <c r="Y79" s="65">
        <v>1E-14</v>
      </c>
      <c r="Z79" s="65">
        <v>1E-14</v>
      </c>
      <c r="AA79" s="65">
        <v>1E-14</v>
      </c>
      <c r="AB79" s="65">
        <v>1E-14</v>
      </c>
      <c r="AC79" s="65">
        <v>1E-14</v>
      </c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</row>
    <row r="80" spans="16:53" x14ac:dyDescent="0.25">
      <c r="P80" s="63" t="s">
        <v>66</v>
      </c>
      <c r="Q80" s="64" t="s">
        <v>50</v>
      </c>
      <c r="R80" s="65">
        <v>1E-14</v>
      </c>
      <c r="S80" s="65">
        <v>1E-14</v>
      </c>
      <c r="T80" s="65">
        <v>1E-14</v>
      </c>
      <c r="U80" s="65">
        <v>1E-14</v>
      </c>
      <c r="V80" s="65">
        <v>1E-14</v>
      </c>
      <c r="W80" s="65">
        <v>1E-14</v>
      </c>
      <c r="X80" s="65">
        <v>1E-14</v>
      </c>
      <c r="Y80" s="65">
        <v>1E-14</v>
      </c>
      <c r="Z80" s="65">
        <v>1E-14</v>
      </c>
      <c r="AA80" s="65">
        <v>1E-14</v>
      </c>
      <c r="AB80" s="65">
        <v>1E-14</v>
      </c>
      <c r="AC80" s="65">
        <v>1E-14</v>
      </c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</row>
  </sheetData>
  <phoneticPr fontId="15" type="noConversion"/>
  <conditionalFormatting sqref="C10:C15">
    <cfRule type="colorScale" priority="15">
      <colorScale>
        <cfvo type="min"/>
        <cfvo type="max"/>
        <color theme="7" tint="0.79998168889431442"/>
        <color theme="9" tint="0.59999389629810485"/>
      </colorScale>
    </cfRule>
  </conditionalFormatting>
  <conditionalFormatting sqref="C23:C48">
    <cfRule type="colorScale" priority="12">
      <colorScale>
        <cfvo type="min"/>
        <cfvo type="max"/>
        <color theme="7" tint="0.79998168889431442"/>
        <color theme="9" tint="0.59999389629810485"/>
      </colorScale>
    </cfRule>
  </conditionalFormatting>
  <conditionalFormatting sqref="H23:I4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ellIs" dxfId="11" priority="6" operator="lessThanOrEqual">
      <formula>0</formula>
    </cfRule>
  </conditionalFormatting>
  <conditionalFormatting sqref="E23:E48">
    <cfRule type="colorScale" priority="5">
      <colorScale>
        <cfvo type="min"/>
        <cfvo type="max"/>
        <color theme="7" tint="0.79998168889431442"/>
        <color theme="9" tint="0.59999389629810485"/>
      </colorScale>
    </cfRule>
  </conditionalFormatting>
  <conditionalFormatting sqref="F23:F48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G23:G48">
    <cfRule type="colorScale" priority="3">
      <colorScale>
        <cfvo type="min"/>
        <cfvo type="max"/>
        <color theme="7" tint="0.79998168889431442"/>
        <color theme="9" tint="0.59999389629810485"/>
      </colorScale>
    </cfRule>
  </conditionalFormatting>
  <conditionalFormatting sqref="B23:B48">
    <cfRule type="expression" dxfId="10" priority="39">
      <formula>$C23=0</formula>
    </cfRule>
  </conditionalFormatting>
  <conditionalFormatting sqref="R4:BA4">
    <cfRule type="cellIs" dxfId="9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95"/>
  <sheetViews>
    <sheetView zoomScale="85" zoomScaleNormal="85" workbookViewId="0">
      <pane xSplit="3" ySplit="5" topLeftCell="F57" activePane="bottomRight" state="frozen"/>
      <selection pane="topRight" activeCell="D1" sqref="D1"/>
      <selection pane="bottomLeft" activeCell="A6" sqref="A6"/>
      <selection pane="bottomRight" activeCell="O98" sqref="O98"/>
    </sheetView>
  </sheetViews>
  <sheetFormatPr defaultRowHeight="15" x14ac:dyDescent="0.25"/>
  <cols>
    <col min="1" max="1" width="18.140625" bestFit="1" customWidth="1"/>
    <col min="2" max="2" width="12.7109375" bestFit="1" customWidth="1"/>
    <col min="3" max="3" width="21.42578125" bestFit="1" customWidth="1"/>
    <col min="4" max="15" width="9.7109375" customWidth="1"/>
    <col min="16" max="16" width="9.7109375" style="47" customWidth="1"/>
    <col min="17" max="29" width="9.7109375" customWidth="1"/>
  </cols>
  <sheetData>
    <row r="1" spans="1:27" x14ac:dyDescent="0.25">
      <c r="A1" s="43" t="s">
        <v>60</v>
      </c>
      <c r="C1" s="44">
        <v>44521.465421678244</v>
      </c>
      <c r="D1" s="20"/>
      <c r="E1" s="20"/>
    </row>
    <row r="3" spans="1:27" x14ac:dyDescent="0.25">
      <c r="A3" s="43" t="s">
        <v>117</v>
      </c>
    </row>
    <row r="4" spans="1:27" x14ac:dyDescent="0.25">
      <c r="A4" s="42">
        <v>-57700178.241019867</v>
      </c>
      <c r="B4" s="47" t="s">
        <v>112</v>
      </c>
      <c r="C4" s="47"/>
    </row>
    <row r="5" spans="1:27" x14ac:dyDescent="0.25">
      <c r="D5" s="57">
        <f>_xlfn.LET(_xlpm.mo,MID(D$6,3,4),DATE(YEAR(Inputs!$E$5),_xlpm.mo,1))</f>
        <v>44562</v>
      </c>
      <c r="E5" s="57">
        <f>_xlfn.LET(_xlpm.mo,MID(E$6,3,4),DATE(YEAR(Inputs!$E$5),_xlpm.mo,1))</f>
        <v>44593</v>
      </c>
      <c r="F5" s="57">
        <f>_xlfn.LET(_xlpm.mo,MID(F$6,3,4),DATE(YEAR(Inputs!$E$5),_xlpm.mo,1))</f>
        <v>44621</v>
      </c>
      <c r="G5" s="57">
        <f>_xlfn.LET(_xlpm.mo,MID(G$6,3,4),DATE(YEAR(Inputs!$E$5),_xlpm.mo,1))</f>
        <v>44652</v>
      </c>
      <c r="H5" s="57">
        <f>_xlfn.LET(_xlpm.mo,MID(H$6,3,4),DATE(YEAR(Inputs!$E$5),_xlpm.mo,1))</f>
        <v>44682</v>
      </c>
      <c r="I5" s="57">
        <f>_xlfn.LET(_xlpm.mo,MID(I$6,3,4),DATE(YEAR(Inputs!$E$5),_xlpm.mo,1))</f>
        <v>44713</v>
      </c>
      <c r="J5" s="57">
        <f>_xlfn.LET(_xlpm.mo,MID(J$6,3,4),DATE(YEAR(Inputs!$E$5),_xlpm.mo,1))</f>
        <v>44743</v>
      </c>
      <c r="K5" s="57">
        <f>_xlfn.LET(_xlpm.mo,MID(K$6,3,4),DATE(YEAR(Inputs!$E$5),_xlpm.mo,1))</f>
        <v>44774</v>
      </c>
      <c r="L5" s="57">
        <f>_xlfn.LET(_xlpm.mo,MID(L$6,3,4),DATE(YEAR(Inputs!$E$5),_xlpm.mo,1))</f>
        <v>44805</v>
      </c>
      <c r="M5" s="57">
        <f>_xlfn.LET(_xlpm.mo,MID(M$6,3,4),DATE(YEAR(Inputs!$E$5),_xlpm.mo,1))</f>
        <v>44835</v>
      </c>
      <c r="N5" s="57">
        <f>_xlfn.LET(_xlpm.mo,MID(N$6,3,4),DATE(YEAR(Inputs!$E$5),_xlpm.mo,1))</f>
        <v>44866</v>
      </c>
      <c r="O5" s="57">
        <f>_xlfn.LET(_xlpm.mo,MID(O$6,3,4),DATE(YEAR(Inputs!$E$5),_xlpm.mo,1))</f>
        <v>44896</v>
      </c>
      <c r="P5" s="57">
        <f>_xlfn.LET(_xlpm.mo,MID(P$6,3,4),DATE(YEAR(Inputs!$E$5),_xlpm.mo,1))</f>
        <v>44927</v>
      </c>
      <c r="Q5" s="57">
        <f>_xlfn.LET(_xlpm.mo,MID(Q$6,3,4),DATE(YEAR(Inputs!$E$5),_xlpm.mo,1))</f>
        <v>44958</v>
      </c>
      <c r="R5" s="57">
        <f>_xlfn.LET(_xlpm.mo,MID(R$6,3,4),DATE(YEAR(Inputs!$E$5),_xlpm.mo,1))</f>
        <v>44986</v>
      </c>
      <c r="S5" s="57">
        <f>_xlfn.LET(_xlpm.mo,MID(S$6,3,4),DATE(YEAR(Inputs!$E$5),_xlpm.mo,1))</f>
        <v>45017</v>
      </c>
      <c r="T5" s="57">
        <f>_xlfn.LET(_xlpm.mo,MID(T$6,3,4),DATE(YEAR(Inputs!$E$5),_xlpm.mo,1))</f>
        <v>45047</v>
      </c>
      <c r="U5" s="57">
        <f>_xlfn.LET(_xlpm.mo,MID(U$6,3,4),DATE(YEAR(Inputs!$E$5),_xlpm.mo,1))</f>
        <v>45078</v>
      </c>
      <c r="V5" s="57">
        <f>_xlfn.LET(_xlpm.mo,MID(V$6,3,4),DATE(YEAR(Inputs!$E$5),_xlpm.mo,1))</f>
        <v>45108</v>
      </c>
      <c r="W5" s="57">
        <f>_xlfn.LET(_xlpm.mo,MID(W$6,3,4),DATE(YEAR(Inputs!$E$5),_xlpm.mo,1))</f>
        <v>45139</v>
      </c>
      <c r="X5" s="57">
        <f>_xlfn.LET(_xlpm.mo,MID(X$6,3,4),DATE(YEAR(Inputs!$E$5),_xlpm.mo,1))</f>
        <v>45170</v>
      </c>
      <c r="Y5" s="57">
        <f>_xlfn.LET(_xlpm.mo,MID(Y$6,3,4),DATE(YEAR(Inputs!$E$5),_xlpm.mo,1))</f>
        <v>45200</v>
      </c>
      <c r="Z5" s="57">
        <f>_xlfn.LET(_xlpm.mo,MID(Z$6,3,4),DATE(YEAR(Inputs!$E$5),_xlpm.mo,1))</f>
        <v>45231</v>
      </c>
      <c r="AA5" s="57">
        <f>_xlfn.LET(_xlpm.mo,MID(AA$6,3,4),DATE(YEAR(Inputs!$E$5),_xlpm.mo,1))</f>
        <v>45261</v>
      </c>
    </row>
    <row r="6" spans="1:27" x14ac:dyDescent="0.25">
      <c r="A6" s="45" t="s">
        <v>59</v>
      </c>
      <c r="B6" s="37"/>
      <c r="C6" s="45" t="s">
        <v>57</v>
      </c>
      <c r="D6" s="40" t="s">
        <v>145</v>
      </c>
      <c r="E6" s="40" t="s">
        <v>146</v>
      </c>
      <c r="F6" s="40" t="s">
        <v>147</v>
      </c>
      <c r="G6" s="40" t="s">
        <v>148</v>
      </c>
      <c r="H6" s="40" t="s">
        <v>149</v>
      </c>
      <c r="I6" s="40" t="s">
        <v>150</v>
      </c>
      <c r="J6" s="40" t="s">
        <v>151</v>
      </c>
      <c r="K6" s="40" t="s">
        <v>152</v>
      </c>
      <c r="L6" s="40" t="s">
        <v>153</v>
      </c>
      <c r="M6" s="40" t="s">
        <v>154</v>
      </c>
      <c r="N6" s="40" t="s">
        <v>155</v>
      </c>
      <c r="O6" s="40" t="s">
        <v>156</v>
      </c>
      <c r="P6" s="40" t="s">
        <v>157</v>
      </c>
      <c r="Q6" s="40" t="s">
        <v>158</v>
      </c>
      <c r="R6" s="40" t="s">
        <v>159</v>
      </c>
      <c r="S6" s="40" t="s">
        <v>160</v>
      </c>
      <c r="T6" s="40" t="s">
        <v>161</v>
      </c>
      <c r="U6" s="40" t="s">
        <v>162</v>
      </c>
      <c r="V6" s="40" t="s">
        <v>163</v>
      </c>
      <c r="W6" s="40" t="s">
        <v>164</v>
      </c>
      <c r="X6" s="40" t="s">
        <v>165</v>
      </c>
      <c r="Y6" s="40" t="s">
        <v>166</v>
      </c>
      <c r="Z6" s="40" t="s">
        <v>167</v>
      </c>
      <c r="AA6" s="40" t="s">
        <v>168</v>
      </c>
    </row>
    <row r="7" spans="1:27" x14ac:dyDescent="0.25">
      <c r="A7" s="69">
        <f>(SUM(A10:A11)-SUM(A8:A9))/A13</f>
        <v>20.0379810990549</v>
      </c>
      <c r="B7" s="18" t="s">
        <v>86</v>
      </c>
      <c r="C7" s="14" t="s">
        <v>51</v>
      </c>
      <c r="D7" s="28">
        <v>248.69814944957898</v>
      </c>
      <c r="E7" s="28">
        <v>256.23001215146189</v>
      </c>
      <c r="F7" s="28">
        <v>209.69936718896827</v>
      </c>
      <c r="G7" s="28">
        <v>143.97630596505891</v>
      </c>
      <c r="H7" s="28">
        <v>-1481.314428784332</v>
      </c>
      <c r="I7" s="28">
        <v>-80.563878856965232</v>
      </c>
      <c r="J7" s="28">
        <v>-100.41242987829122</v>
      </c>
      <c r="K7" s="28">
        <v>-93.520487743528903</v>
      </c>
      <c r="L7" s="28">
        <v>-103.26597469171678</v>
      </c>
      <c r="M7" s="28">
        <v>194.46744737997128</v>
      </c>
      <c r="N7" s="28">
        <v>242.67725284515367</v>
      </c>
      <c r="O7" s="28">
        <v>283.78796503322184</v>
      </c>
      <c r="P7" s="28">
        <v>248.69814944957898</v>
      </c>
      <c r="Q7" s="28">
        <v>256.23001215146189</v>
      </c>
      <c r="R7" s="28">
        <v>209.69936718896827</v>
      </c>
      <c r="S7" s="28">
        <v>143.97630596505891</v>
      </c>
      <c r="T7" s="28">
        <v>-1481.314428784332</v>
      </c>
      <c r="U7" s="28">
        <v>-80.563878856965232</v>
      </c>
      <c r="V7" s="28">
        <v>-100.41242987829122</v>
      </c>
      <c r="W7" s="28">
        <v>-93.520487743528903</v>
      </c>
      <c r="X7" s="28">
        <v>-103.26597469171678</v>
      </c>
      <c r="Y7" s="28">
        <v>194.46744737997128</v>
      </c>
      <c r="Z7" s="28">
        <v>242.67725284515367</v>
      </c>
      <c r="AA7" s="28">
        <v>283.78796503322184</v>
      </c>
    </row>
    <row r="8" spans="1:27" x14ac:dyDescent="0.25">
      <c r="A8" s="42">
        <f t="shared" ref="A8:A59" si="0">SUM(D8:O8)</f>
        <v>52891062.777246669</v>
      </c>
      <c r="B8" s="42" t="s">
        <v>112</v>
      </c>
      <c r="C8" s="14" t="s">
        <v>186</v>
      </c>
      <c r="D8" s="42">
        <v>5323841.9465547586</v>
      </c>
      <c r="E8" s="42">
        <v>4757254.2545277048</v>
      </c>
      <c r="F8" s="42">
        <v>5323892.2235661708</v>
      </c>
      <c r="G8" s="42">
        <v>4936272.1632842282</v>
      </c>
      <c r="H8" s="42">
        <v>3902557.8026688457</v>
      </c>
      <c r="I8" s="42">
        <v>3769347.2004480772</v>
      </c>
      <c r="J8" s="42">
        <v>3614540.3333312459</v>
      </c>
      <c r="K8" s="42">
        <v>3614540.3333312464</v>
      </c>
      <c r="L8" s="42">
        <v>3769347.2004480772</v>
      </c>
      <c r="M8" s="42">
        <v>4255623.5108062718</v>
      </c>
      <c r="N8" s="42">
        <v>5132620.1014971845</v>
      </c>
      <c r="O8" s="42">
        <v>4491225.7067828588</v>
      </c>
      <c r="P8" s="42">
        <v>5323841.9465547586</v>
      </c>
      <c r="Q8" s="42">
        <v>4757254.2545277048</v>
      </c>
      <c r="R8" s="42">
        <v>5323892.2235661708</v>
      </c>
      <c r="S8" s="42">
        <v>4936272.1632842282</v>
      </c>
      <c r="T8" s="42">
        <v>3902557.8026688457</v>
      </c>
      <c r="U8" s="42">
        <v>3769347.2004480772</v>
      </c>
      <c r="V8" s="42">
        <v>3614540.3333312459</v>
      </c>
      <c r="W8" s="42">
        <v>3614540.3333312464</v>
      </c>
      <c r="X8" s="42">
        <v>3769347.2004480772</v>
      </c>
      <c r="Y8" s="42">
        <v>4255623.5108062718</v>
      </c>
      <c r="Z8" s="42">
        <v>5132620.1014971845</v>
      </c>
      <c r="AA8" s="42">
        <v>4491225.7067828588</v>
      </c>
    </row>
    <row r="9" spans="1:27" s="47" customFormat="1" x14ac:dyDescent="0.25">
      <c r="A9" s="42">
        <f t="shared" ref="A9" si="1">SUM(D9:O9)</f>
        <v>52891062.777246669</v>
      </c>
      <c r="B9" s="42" t="s">
        <v>112</v>
      </c>
      <c r="C9" s="14" t="s">
        <v>185</v>
      </c>
      <c r="D9" s="42">
        <v>5323841.9465547586</v>
      </c>
      <c r="E9" s="42">
        <v>4757254.2545277048</v>
      </c>
      <c r="F9" s="42">
        <v>5323892.2235661708</v>
      </c>
      <c r="G9" s="42">
        <v>4936272.1632842282</v>
      </c>
      <c r="H9" s="42">
        <v>3902557.8026688457</v>
      </c>
      <c r="I9" s="42">
        <v>3769347.2004480772</v>
      </c>
      <c r="J9" s="42">
        <v>3614540.3333312459</v>
      </c>
      <c r="K9" s="42">
        <v>3614540.3333312464</v>
      </c>
      <c r="L9" s="42">
        <v>3769347.2004480772</v>
      </c>
      <c r="M9" s="42">
        <v>4255623.5108062718</v>
      </c>
      <c r="N9" s="42">
        <v>5132620.1014971845</v>
      </c>
      <c r="O9" s="42">
        <v>4491225.7067828588</v>
      </c>
      <c r="P9" s="42">
        <v>5323841.9465547586</v>
      </c>
      <c r="Q9" s="42">
        <v>4757254.2545277048</v>
      </c>
      <c r="R9" s="42">
        <v>5323892.2235661708</v>
      </c>
      <c r="S9" s="42">
        <v>4936272.1632842282</v>
      </c>
      <c r="T9" s="42">
        <v>3902557.8026688457</v>
      </c>
      <c r="U9" s="42">
        <v>3769347.2004480772</v>
      </c>
      <c r="V9" s="42">
        <v>3614540.3333312459</v>
      </c>
      <c r="W9" s="42">
        <v>3614540.3333312464</v>
      </c>
      <c r="X9" s="42">
        <v>3769347.2004480772</v>
      </c>
      <c r="Y9" s="42">
        <v>4255623.5108062718</v>
      </c>
      <c r="Z9" s="42">
        <v>5132620.1014971845</v>
      </c>
      <c r="AA9" s="42">
        <v>4491225.7067828588</v>
      </c>
    </row>
    <row r="10" spans="1:27" x14ac:dyDescent="0.25">
      <c r="A10" s="42">
        <f t="shared" si="0"/>
        <v>11784734.032626823</v>
      </c>
      <c r="B10" s="42" t="s">
        <v>112</v>
      </c>
      <c r="C10" s="14" t="s">
        <v>52</v>
      </c>
      <c r="D10" s="42">
        <v>1036199.653513659</v>
      </c>
      <c r="E10" s="42">
        <v>1112695.0265424303</v>
      </c>
      <c r="F10" s="42">
        <v>1163618.2238234447</v>
      </c>
      <c r="G10" s="42">
        <v>847880</v>
      </c>
      <c r="H10" s="42">
        <v>826067.99999999977</v>
      </c>
      <c r="I10" s="42">
        <v>959770.79343254189</v>
      </c>
      <c r="J10" s="42">
        <v>839896.34888055758</v>
      </c>
      <c r="K10" s="42">
        <v>854896.34888055758</v>
      </c>
      <c r="L10" s="42">
        <v>944770.79343254189</v>
      </c>
      <c r="M10" s="42">
        <v>837476</v>
      </c>
      <c r="N10" s="42">
        <v>1095311.291627646</v>
      </c>
      <c r="O10" s="42">
        <v>1266151.5524934444</v>
      </c>
      <c r="P10" s="42">
        <v>1036199.653513659</v>
      </c>
      <c r="Q10" s="42">
        <v>1112695.0265424303</v>
      </c>
      <c r="R10" s="42">
        <v>1163618.2238234447</v>
      </c>
      <c r="S10" s="42">
        <v>847880</v>
      </c>
      <c r="T10" s="42">
        <v>826067.99999999977</v>
      </c>
      <c r="U10" s="42">
        <v>959770.79343254189</v>
      </c>
      <c r="V10" s="42">
        <v>839896.34888055758</v>
      </c>
      <c r="W10" s="42">
        <v>854896.34888055758</v>
      </c>
      <c r="X10" s="42">
        <v>944770.79343254189</v>
      </c>
      <c r="Y10" s="42">
        <v>837476</v>
      </c>
      <c r="Z10" s="42">
        <v>1095311.291627646</v>
      </c>
      <c r="AA10" s="42">
        <v>1266151.5524934444</v>
      </c>
    </row>
    <row r="11" spans="1:27" x14ac:dyDescent="0.25">
      <c r="A11" s="42">
        <f t="shared" si="0"/>
        <v>98806506.985639691</v>
      </c>
      <c r="B11" s="42" t="s">
        <v>112</v>
      </c>
      <c r="C11" s="14" t="s">
        <v>53</v>
      </c>
      <c r="D11" s="42">
        <v>13066686.968611237</v>
      </c>
      <c r="E11" s="42">
        <v>11843919.616832055</v>
      </c>
      <c r="F11" s="42">
        <v>10346405.33181729</v>
      </c>
      <c r="G11" s="42">
        <v>6967918.2825854067</v>
      </c>
      <c r="H11" s="42">
        <v>5539026.9090799065</v>
      </c>
      <c r="I11" s="42">
        <v>5017714.6767668258</v>
      </c>
      <c r="J11" s="42">
        <v>5006123.5287068645</v>
      </c>
      <c r="K11" s="42">
        <v>5071764.1491979938</v>
      </c>
      <c r="L11" s="42">
        <v>5396781.0343534015</v>
      </c>
      <c r="M11" s="42">
        <v>7249156.2241917057</v>
      </c>
      <c r="N11" s="42">
        <v>10710933.263111265</v>
      </c>
      <c r="O11" s="42">
        <v>12590077.000385735</v>
      </c>
      <c r="P11" s="42">
        <v>13066686.968611237</v>
      </c>
      <c r="Q11" s="42">
        <v>11843919.616832055</v>
      </c>
      <c r="R11" s="42">
        <v>10346405.33181729</v>
      </c>
      <c r="S11" s="42">
        <v>6967918.2825854067</v>
      </c>
      <c r="T11" s="42">
        <v>5539026.9090799065</v>
      </c>
      <c r="U11" s="42">
        <v>5017714.6767668258</v>
      </c>
      <c r="V11" s="42">
        <v>5006123.5287068645</v>
      </c>
      <c r="W11" s="42">
        <v>5071764.1491979938</v>
      </c>
      <c r="X11" s="42">
        <v>5396781.0343534015</v>
      </c>
      <c r="Y11" s="42">
        <v>7249156.2241917057</v>
      </c>
      <c r="Z11" s="42">
        <v>10710933.263111265</v>
      </c>
      <c r="AA11" s="42">
        <v>12590077.000385735</v>
      </c>
    </row>
    <row r="12" spans="1:27" x14ac:dyDescent="0.25">
      <c r="A12" s="17">
        <f t="shared" si="0"/>
        <v>44527.120283982847</v>
      </c>
      <c r="B12" s="17" t="s">
        <v>114</v>
      </c>
      <c r="C12" s="14" t="s">
        <v>85</v>
      </c>
      <c r="D12" s="25">
        <v>5923.8334170674761</v>
      </c>
      <c r="E12" s="25">
        <v>4239.6534316444831</v>
      </c>
      <c r="F12" s="25">
        <v>4180.824954264167</v>
      </c>
      <c r="G12" s="25">
        <v>3805.528553846153</v>
      </c>
      <c r="H12" s="25">
        <v>3170.035042461539</v>
      </c>
      <c r="I12" s="25">
        <v>3088.1946502759765</v>
      </c>
      <c r="J12" s="25">
        <v>3088.1946502759752</v>
      </c>
      <c r="K12" s="25">
        <v>3088.1946502759756</v>
      </c>
      <c r="L12" s="25">
        <v>3088.1946502759761</v>
      </c>
      <c r="M12" s="25">
        <v>3375.6181628458489</v>
      </c>
      <c r="N12" s="25">
        <v>4003.5481646284152</v>
      </c>
      <c r="O12" s="25">
        <v>3475.2999561208535</v>
      </c>
      <c r="P12" s="25">
        <v>5923.8334170674761</v>
      </c>
      <c r="Q12" s="25">
        <v>4239.6534316444831</v>
      </c>
      <c r="R12" s="25">
        <v>4180.824954264167</v>
      </c>
      <c r="S12" s="25">
        <v>3805.528553846153</v>
      </c>
      <c r="T12" s="25">
        <v>3170.035042461539</v>
      </c>
      <c r="U12" s="25">
        <v>3088.1946502759765</v>
      </c>
      <c r="V12" s="25">
        <v>3088.1946502759752</v>
      </c>
      <c r="W12" s="25">
        <v>3088.1946502759756</v>
      </c>
      <c r="X12" s="25">
        <v>3088.1946502759761</v>
      </c>
      <c r="Y12" s="25">
        <v>3375.6181628458489</v>
      </c>
      <c r="Z12" s="25">
        <v>4003.5481646284152</v>
      </c>
      <c r="AA12" s="25">
        <v>3475.2999561208535</v>
      </c>
    </row>
    <row r="13" spans="1:27" x14ac:dyDescent="0.25">
      <c r="A13" s="17">
        <f t="shared" si="0"/>
        <v>240000</v>
      </c>
      <c r="B13" s="17" t="s">
        <v>113</v>
      </c>
      <c r="C13" s="14" t="s">
        <v>73</v>
      </c>
      <c r="D13" s="25">
        <v>35300</v>
      </c>
      <c r="E13" s="25">
        <v>32000</v>
      </c>
      <c r="F13" s="25">
        <v>29500</v>
      </c>
      <c r="G13" s="25">
        <v>20000</v>
      </c>
      <c r="H13" s="25">
        <v>13000</v>
      </c>
      <c r="I13" s="25">
        <v>7500</v>
      </c>
      <c r="J13" s="25">
        <v>7500</v>
      </c>
      <c r="K13" s="25">
        <v>7000</v>
      </c>
      <c r="L13" s="25">
        <v>8000</v>
      </c>
      <c r="M13" s="25">
        <v>19700</v>
      </c>
      <c r="N13" s="25">
        <v>27500</v>
      </c>
      <c r="O13" s="25">
        <v>33000</v>
      </c>
      <c r="P13" s="25">
        <v>35300</v>
      </c>
      <c r="Q13" s="25">
        <v>32000</v>
      </c>
      <c r="R13" s="25">
        <v>29500</v>
      </c>
      <c r="S13" s="25">
        <v>20000</v>
      </c>
      <c r="T13" s="25">
        <v>13000</v>
      </c>
      <c r="U13" s="25">
        <v>7500</v>
      </c>
      <c r="V13" s="25">
        <v>7500</v>
      </c>
      <c r="W13" s="25">
        <v>7000</v>
      </c>
      <c r="X13" s="25">
        <v>8000</v>
      </c>
      <c r="Y13" s="25">
        <v>19700</v>
      </c>
      <c r="Z13" s="25">
        <v>27500</v>
      </c>
      <c r="AA13" s="25">
        <v>33000</v>
      </c>
    </row>
    <row r="14" spans="1:27" s="47" customFormat="1" x14ac:dyDescent="0.25">
      <c r="A14" s="25">
        <f>AVERAGE(D14:O14)</f>
        <v>22998.453343440819</v>
      </c>
      <c r="B14" s="17" t="s">
        <v>187</v>
      </c>
      <c r="C14" s="14" t="s">
        <v>188</v>
      </c>
      <c r="D14" s="25">
        <v>35300</v>
      </c>
      <c r="E14" s="25">
        <v>32000</v>
      </c>
      <c r="F14" s="25">
        <v>29500</v>
      </c>
      <c r="G14" s="25">
        <v>20000</v>
      </c>
      <c r="H14" s="25">
        <v>16665.599999999999</v>
      </c>
      <c r="I14" s="25">
        <v>16227.134917906773</v>
      </c>
      <c r="J14" s="25">
        <v>14930.785142738123</v>
      </c>
      <c r="K14" s="25">
        <v>14930.785142738123</v>
      </c>
      <c r="L14" s="25">
        <v>16227.134917906773</v>
      </c>
      <c r="M14" s="25">
        <v>19700</v>
      </c>
      <c r="N14" s="25">
        <v>27500</v>
      </c>
      <c r="O14" s="25">
        <v>33000</v>
      </c>
      <c r="P14" s="25">
        <v>35300</v>
      </c>
      <c r="Q14" s="25">
        <v>32000</v>
      </c>
      <c r="R14" s="25">
        <v>29500</v>
      </c>
      <c r="S14" s="25">
        <v>20000</v>
      </c>
      <c r="T14" s="25">
        <v>16665.599999999999</v>
      </c>
      <c r="U14" s="25">
        <v>16227.134917906773</v>
      </c>
      <c r="V14" s="25">
        <v>14930.785142738123</v>
      </c>
      <c r="W14" s="25">
        <v>14930.785142738123</v>
      </c>
      <c r="X14" s="25">
        <v>16227.134917906773</v>
      </c>
      <c r="Y14" s="25">
        <v>19700</v>
      </c>
      <c r="Z14" s="25">
        <v>27500</v>
      </c>
      <c r="AA14" s="25">
        <v>33000</v>
      </c>
    </row>
    <row r="15" spans="1:27" x14ac:dyDescent="0.25">
      <c r="A15" s="25">
        <f>AVERAGE(D15:O15)</f>
        <v>22998.453343440819</v>
      </c>
      <c r="B15" s="17" t="s">
        <v>113</v>
      </c>
      <c r="C15" s="14" t="s">
        <v>74</v>
      </c>
      <c r="D15" s="25">
        <v>35300</v>
      </c>
      <c r="E15" s="25">
        <v>32000</v>
      </c>
      <c r="F15" s="25">
        <v>29500</v>
      </c>
      <c r="G15" s="25">
        <v>20000</v>
      </c>
      <c r="H15" s="25">
        <v>16665.599999999999</v>
      </c>
      <c r="I15" s="25">
        <v>16227.134917906773</v>
      </c>
      <c r="J15" s="25">
        <v>14930.785142738123</v>
      </c>
      <c r="K15" s="25">
        <v>14930.785142738123</v>
      </c>
      <c r="L15" s="25">
        <v>16227.134917906773</v>
      </c>
      <c r="M15" s="25">
        <v>19700</v>
      </c>
      <c r="N15" s="25">
        <v>27500</v>
      </c>
      <c r="O15" s="25">
        <v>33000</v>
      </c>
      <c r="P15" s="25">
        <v>35300</v>
      </c>
      <c r="Q15" s="25">
        <v>32000</v>
      </c>
      <c r="R15" s="25">
        <v>29500</v>
      </c>
      <c r="S15" s="25">
        <v>20000</v>
      </c>
      <c r="T15" s="25">
        <v>16665.599999999999</v>
      </c>
      <c r="U15" s="25">
        <v>16227.134917906773</v>
      </c>
      <c r="V15" s="25">
        <v>14930.785142738123</v>
      </c>
      <c r="W15" s="25">
        <v>14930.785142738123</v>
      </c>
      <c r="X15" s="25">
        <v>16227.134917906773</v>
      </c>
      <c r="Y15" s="25">
        <v>19700</v>
      </c>
      <c r="Z15" s="25">
        <v>27500</v>
      </c>
      <c r="AA15" s="25">
        <v>33000</v>
      </c>
    </row>
    <row r="16" spans="1:27" x14ac:dyDescent="0.25">
      <c r="A16" s="25">
        <f>AVERAGE(D16:O16)</f>
        <v>2628.8211545461631</v>
      </c>
      <c r="B16" s="17" t="s">
        <v>113</v>
      </c>
      <c r="C16" s="14" t="s">
        <v>54</v>
      </c>
      <c r="D16" s="25">
        <v>4389.4583343832583</v>
      </c>
      <c r="E16" s="25">
        <v>3967.9672043794671</v>
      </c>
      <c r="F16" s="25">
        <v>4389.4415059367557</v>
      </c>
      <c r="G16" s="25">
        <v>1803.2000000000003</v>
      </c>
      <c r="H16" s="25">
        <v>1583.232</v>
      </c>
      <c r="I16" s="25">
        <v>1539.0994442534738</v>
      </c>
      <c r="J16" s="25">
        <v>1E-14</v>
      </c>
      <c r="K16" s="25">
        <v>1E-14</v>
      </c>
      <c r="L16" s="25">
        <v>1539.0994442534738</v>
      </c>
      <c r="M16" s="25">
        <v>3542.7067193675903</v>
      </c>
      <c r="N16" s="25">
        <v>4204.3069964652113</v>
      </c>
      <c r="O16" s="25">
        <v>4587.3422055147348</v>
      </c>
      <c r="P16" s="25">
        <v>4389.4583343832583</v>
      </c>
      <c r="Q16" s="25">
        <v>3967.9672043794671</v>
      </c>
      <c r="R16" s="25">
        <v>4389.4415059367557</v>
      </c>
      <c r="S16" s="25">
        <v>1803.2000000000003</v>
      </c>
      <c r="T16" s="25">
        <v>1583.232</v>
      </c>
      <c r="U16" s="25">
        <v>1539.0994442534738</v>
      </c>
      <c r="V16" s="25">
        <v>1E-14</v>
      </c>
      <c r="W16" s="25">
        <v>1E-14</v>
      </c>
      <c r="X16" s="25">
        <v>1539.0994442534738</v>
      </c>
      <c r="Y16" s="25">
        <v>3542.7067193675903</v>
      </c>
      <c r="Z16" s="25">
        <v>4204.3069964652113</v>
      </c>
      <c r="AA16" s="25">
        <v>4587.3422055147348</v>
      </c>
    </row>
    <row r="17" spans="1:27" x14ac:dyDescent="0.25">
      <c r="A17" s="17"/>
      <c r="B17" s="17"/>
      <c r="C17" s="14" t="s">
        <v>55</v>
      </c>
      <c r="D17" s="26">
        <v>0.17987223138450009</v>
      </c>
      <c r="E17" s="26">
        <v>0.17988446638748851</v>
      </c>
      <c r="F17" s="26">
        <v>0.17987222400387193</v>
      </c>
      <c r="G17" s="26">
        <v>9.0160000000000018E-2</v>
      </c>
      <c r="H17" s="26">
        <v>9.5000000000000001E-2</v>
      </c>
      <c r="I17" s="26">
        <v>9.4847269837823642E-2</v>
      </c>
      <c r="J17" s="26">
        <v>1E-14</v>
      </c>
      <c r="K17" s="26">
        <v>1E-14</v>
      </c>
      <c r="L17" s="26">
        <v>9.4847269837823642E-2</v>
      </c>
      <c r="M17" s="26">
        <v>0.17983282839429393</v>
      </c>
      <c r="N17" s="26">
        <v>0.17988272947856143</v>
      </c>
      <c r="O17" s="26">
        <v>0.17999259156624522</v>
      </c>
      <c r="P17" s="26">
        <v>0.17987223138450009</v>
      </c>
      <c r="Q17" s="26">
        <v>0.17988446638748851</v>
      </c>
      <c r="R17" s="26">
        <v>0.17987222400387193</v>
      </c>
      <c r="S17" s="26">
        <v>9.0160000000000018E-2</v>
      </c>
      <c r="T17" s="26">
        <v>9.5000000000000001E-2</v>
      </c>
      <c r="U17" s="26">
        <v>9.4847269837823642E-2</v>
      </c>
      <c r="V17" s="26">
        <v>1E-14</v>
      </c>
      <c r="W17" s="26">
        <v>1E-14</v>
      </c>
      <c r="X17" s="26">
        <v>9.4847269837823642E-2</v>
      </c>
      <c r="Y17" s="26">
        <v>0.17983282839429393</v>
      </c>
      <c r="Z17" s="26">
        <v>0.17988272947856143</v>
      </c>
      <c r="AA17" s="26">
        <v>0.17999259156624522</v>
      </c>
    </row>
    <row r="18" spans="1:27" x14ac:dyDescent="0.25">
      <c r="A18" s="42">
        <f t="shared" si="0"/>
        <v>1989503.7772717127</v>
      </c>
      <c r="B18" s="42" t="s">
        <v>112</v>
      </c>
      <c r="C18" s="14" t="s">
        <v>56</v>
      </c>
      <c r="D18" s="42">
        <v>232806.54377663299</v>
      </c>
      <c r="E18" s="42">
        <v>210437.33174958016</v>
      </c>
      <c r="F18" s="42">
        <v>232805.660788045</v>
      </c>
      <c r="G18" s="42">
        <v>190800</v>
      </c>
      <c r="H18" s="42">
        <v>158989.82400000002</v>
      </c>
      <c r="I18" s="42">
        <v>154806.86711683063</v>
      </c>
      <c r="J18" s="42">
        <v>1E-14</v>
      </c>
      <c r="K18" s="42">
        <v>1E-14</v>
      </c>
      <c r="L18" s="42">
        <v>154806.86711683063</v>
      </c>
      <c r="M18" s="42">
        <v>187938.00000000003</v>
      </c>
      <c r="N18" s="42">
        <v>222973.53871905949</v>
      </c>
      <c r="O18" s="42">
        <v>243139.14400473406</v>
      </c>
      <c r="P18" s="42">
        <v>232806.54377663299</v>
      </c>
      <c r="Q18" s="42">
        <v>210437.33174958016</v>
      </c>
      <c r="R18" s="42">
        <v>232805.660788045</v>
      </c>
      <c r="S18" s="42">
        <v>190800</v>
      </c>
      <c r="T18" s="42">
        <v>158989.82400000002</v>
      </c>
      <c r="U18" s="42">
        <v>154806.86711683063</v>
      </c>
      <c r="V18" s="42">
        <v>1E-14</v>
      </c>
      <c r="W18" s="42">
        <v>1E-14</v>
      </c>
      <c r="X18" s="42">
        <v>154806.86711683063</v>
      </c>
      <c r="Y18" s="42">
        <v>187938.00000000003</v>
      </c>
      <c r="Z18" s="42">
        <v>222973.53871905949</v>
      </c>
      <c r="AA18" s="42">
        <v>243139.14400473406</v>
      </c>
    </row>
    <row r="19" spans="1:27" x14ac:dyDescent="0.25">
      <c r="A19" s="17">
        <f t="shared" si="0"/>
        <v>35981.440121289794</v>
      </c>
      <c r="B19" s="17" t="s">
        <v>113</v>
      </c>
      <c r="C19" s="14" t="s">
        <v>72</v>
      </c>
      <c r="D19" s="17">
        <v>1E-14</v>
      </c>
      <c r="E19" s="17">
        <v>1E-14</v>
      </c>
      <c r="F19" s="17">
        <v>1E-14</v>
      </c>
      <c r="G19" s="17">
        <v>1E-14</v>
      </c>
      <c r="H19" s="17">
        <v>3665.5999999999976</v>
      </c>
      <c r="I19" s="17">
        <v>8727.1349179067729</v>
      </c>
      <c r="J19" s="17">
        <v>7430.7851427381229</v>
      </c>
      <c r="K19" s="17">
        <v>7930.7851427381229</v>
      </c>
      <c r="L19" s="17">
        <v>8227.1349179067729</v>
      </c>
      <c r="M19" s="17">
        <v>1E-14</v>
      </c>
      <c r="N19" s="17">
        <v>1E-14</v>
      </c>
      <c r="O19" s="17">
        <v>1E-14</v>
      </c>
      <c r="P19" s="17">
        <v>1E-14</v>
      </c>
      <c r="Q19" s="17">
        <v>1E-14</v>
      </c>
      <c r="R19" s="17">
        <v>1E-14</v>
      </c>
      <c r="S19" s="17">
        <v>1E-14</v>
      </c>
      <c r="T19" s="17">
        <v>3665.5999999999976</v>
      </c>
      <c r="U19" s="17">
        <v>8727.1349179067729</v>
      </c>
      <c r="V19" s="17">
        <v>7430.7851427381229</v>
      </c>
      <c r="W19" s="17">
        <v>7930.7851427381229</v>
      </c>
      <c r="X19" s="17">
        <v>8227.1349179067729</v>
      </c>
      <c r="Y19" s="17">
        <v>1E-14</v>
      </c>
      <c r="Z19" s="17">
        <v>1E-14</v>
      </c>
      <c r="AA19" s="17">
        <v>1E-14</v>
      </c>
    </row>
    <row r="20" spans="1:27" x14ac:dyDescent="0.25">
      <c r="B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</row>
    <row r="21" spans="1:27" x14ac:dyDescent="0.25">
      <c r="A21" s="37" t="s">
        <v>1</v>
      </c>
      <c r="B21" s="38"/>
      <c r="C21" s="45" t="s">
        <v>115</v>
      </c>
      <c r="D21" s="39" t="s">
        <v>0</v>
      </c>
      <c r="E21" s="39" t="s">
        <v>121</v>
      </c>
      <c r="F21" s="39" t="s">
        <v>122</v>
      </c>
      <c r="G21" s="39" t="s">
        <v>123</v>
      </c>
      <c r="H21" s="39" t="s">
        <v>124</v>
      </c>
      <c r="I21" s="39" t="s">
        <v>125</v>
      </c>
      <c r="J21" s="39" t="s">
        <v>126</v>
      </c>
      <c r="K21" s="39" t="s">
        <v>127</v>
      </c>
      <c r="L21" s="39" t="s">
        <v>128</v>
      </c>
      <c r="M21" s="39" t="s">
        <v>129</v>
      </c>
      <c r="N21" s="39" t="s">
        <v>130</v>
      </c>
      <c r="O21" s="39" t="s">
        <v>131</v>
      </c>
      <c r="P21" s="39" t="s">
        <v>0</v>
      </c>
      <c r="Q21" s="39" t="s">
        <v>121</v>
      </c>
      <c r="R21" s="39" t="s">
        <v>122</v>
      </c>
      <c r="S21" s="39" t="s">
        <v>123</v>
      </c>
      <c r="T21" s="39" t="s">
        <v>124</v>
      </c>
      <c r="U21" s="39" t="s">
        <v>125</v>
      </c>
      <c r="V21" s="39" t="s">
        <v>126</v>
      </c>
      <c r="W21" s="39" t="s">
        <v>127</v>
      </c>
      <c r="X21" s="39" t="s">
        <v>128</v>
      </c>
      <c r="Y21" s="39" t="s">
        <v>129</v>
      </c>
      <c r="Z21" s="39" t="s">
        <v>130</v>
      </c>
      <c r="AA21" s="39" t="s">
        <v>131</v>
      </c>
    </row>
    <row r="22" spans="1:27" x14ac:dyDescent="0.25">
      <c r="A22" s="36">
        <f t="shared" si="0"/>
        <v>57424.012416524813</v>
      </c>
      <c r="B22" s="17" t="s">
        <v>113</v>
      </c>
      <c r="C22" s="14" t="s">
        <v>31</v>
      </c>
      <c r="D22" s="36">
        <v>6007.1587364254392</v>
      </c>
      <c r="E22" s="36">
        <v>5395.8205789473677</v>
      </c>
      <c r="F22" s="36">
        <v>6007.1587364254392</v>
      </c>
      <c r="G22" s="36">
        <v>4788</v>
      </c>
      <c r="H22" s="36">
        <v>4947.5999999999995</v>
      </c>
      <c r="I22" s="36">
        <v>4887.1349179067756</v>
      </c>
      <c r="J22" s="36">
        <v>1974.1388888888891</v>
      </c>
      <c r="K22" s="36">
        <v>1974.1388888888891</v>
      </c>
      <c r="L22" s="36">
        <v>4887.1349179067756</v>
      </c>
      <c r="M22" s="36">
        <v>4947.5999999999995</v>
      </c>
      <c r="N22" s="36">
        <v>5722.3966597678354</v>
      </c>
      <c r="O22" s="36">
        <v>5885.7300913673971</v>
      </c>
      <c r="P22" s="36">
        <v>6007.1587364254392</v>
      </c>
      <c r="Q22" s="36">
        <v>5395.8205789473677</v>
      </c>
      <c r="R22" s="36">
        <v>6007.1587364254392</v>
      </c>
      <c r="S22" s="36">
        <v>4788</v>
      </c>
      <c r="T22" s="36">
        <v>4947.5999999999995</v>
      </c>
      <c r="U22" s="36">
        <v>4887.1349179067756</v>
      </c>
      <c r="V22" s="36">
        <v>1974.1388888888891</v>
      </c>
      <c r="W22" s="36">
        <v>1974.1388888888891</v>
      </c>
      <c r="X22" s="36">
        <v>4887.1349179067756</v>
      </c>
      <c r="Y22" s="36">
        <v>4947.5999999999995</v>
      </c>
      <c r="Z22" s="36">
        <v>5722.3966597678354</v>
      </c>
      <c r="AA22" s="36">
        <v>5885.7300913673971</v>
      </c>
    </row>
    <row r="23" spans="1:27" x14ac:dyDescent="0.25">
      <c r="A23" s="36">
        <f t="shared" si="0"/>
        <v>180980.9307485859</v>
      </c>
      <c r="B23" s="17" t="s">
        <v>113</v>
      </c>
      <c r="C23" s="14" t="s">
        <v>32</v>
      </c>
      <c r="D23" s="36">
        <v>18396.042917309675</v>
      </c>
      <c r="E23" s="36">
        <v>16662.599939876545</v>
      </c>
      <c r="F23" s="36">
        <v>18395.950360853909</v>
      </c>
      <c r="G23" s="36">
        <v>15212</v>
      </c>
      <c r="H23" s="36">
        <v>11717.999999999998</v>
      </c>
      <c r="I23" s="36">
        <v>11339.999999999998</v>
      </c>
      <c r="J23" s="36">
        <v>12956.646253849234</v>
      </c>
      <c r="K23" s="36">
        <v>12956.646253849234</v>
      </c>
      <c r="L23" s="36">
        <v>11339.999999999998</v>
      </c>
      <c r="M23" s="36">
        <v>14752.400000000001</v>
      </c>
      <c r="N23" s="36">
        <v>17650.091675563344</v>
      </c>
      <c r="O23" s="36">
        <v>19600.553347283967</v>
      </c>
      <c r="P23" s="36">
        <v>18396.042917309675</v>
      </c>
      <c r="Q23" s="36">
        <v>16662.599939876545</v>
      </c>
      <c r="R23" s="36">
        <v>18395.950360853909</v>
      </c>
      <c r="S23" s="36">
        <v>15212</v>
      </c>
      <c r="T23" s="36">
        <v>11717.999999999998</v>
      </c>
      <c r="U23" s="36">
        <v>11339.999999999998</v>
      </c>
      <c r="V23" s="36">
        <v>12956.646253849234</v>
      </c>
      <c r="W23" s="36">
        <v>12956.646253849234</v>
      </c>
      <c r="X23" s="36">
        <v>11339.999999999998</v>
      </c>
      <c r="Y23" s="36">
        <v>14752.400000000001</v>
      </c>
      <c r="Z23" s="36">
        <v>17650.091675563344</v>
      </c>
      <c r="AA23" s="36">
        <v>19600.553347283967</v>
      </c>
    </row>
    <row r="24" spans="1:27" x14ac:dyDescent="0.25">
      <c r="A24" s="36">
        <f t="shared" si="0"/>
        <v>23794.119128738108</v>
      </c>
      <c r="B24" s="17" t="s">
        <v>113</v>
      </c>
      <c r="C24" s="14" t="s">
        <v>33</v>
      </c>
      <c r="D24" s="36">
        <v>1E-14</v>
      </c>
      <c r="E24" s="36">
        <v>7056</v>
      </c>
      <c r="F24" s="36">
        <v>5096.8909027206537</v>
      </c>
      <c r="G24" s="36">
        <v>1E-14</v>
      </c>
      <c r="H24" s="36">
        <v>1E-14</v>
      </c>
      <c r="I24" s="36">
        <v>1E-14</v>
      </c>
      <c r="J24" s="36">
        <v>1E-14</v>
      </c>
      <c r="K24" s="36">
        <v>1E-14</v>
      </c>
      <c r="L24" s="36">
        <v>1E-14</v>
      </c>
      <c r="M24" s="36">
        <v>1E-14</v>
      </c>
      <c r="N24" s="36">
        <v>4127.5116646688184</v>
      </c>
      <c r="O24" s="36">
        <v>7513.7165613486359</v>
      </c>
      <c r="P24" s="36">
        <v>1E-14</v>
      </c>
      <c r="Q24" s="36">
        <v>7056</v>
      </c>
      <c r="R24" s="36">
        <v>5096.8909027206537</v>
      </c>
      <c r="S24" s="36">
        <v>1E-14</v>
      </c>
      <c r="T24" s="36">
        <v>1E-14</v>
      </c>
      <c r="U24" s="36">
        <v>1E-14</v>
      </c>
      <c r="V24" s="36">
        <v>1E-14</v>
      </c>
      <c r="W24" s="36">
        <v>1E-14</v>
      </c>
      <c r="X24" s="36">
        <v>1E-14</v>
      </c>
      <c r="Y24" s="36">
        <v>1E-14</v>
      </c>
      <c r="Z24" s="36">
        <v>4127.5116646688184</v>
      </c>
      <c r="AA24" s="36">
        <v>7513.7165613486359</v>
      </c>
    </row>
    <row r="25" spans="1:27" x14ac:dyDescent="0.25">
      <c r="A25" s="36">
        <f t="shared" si="0"/>
        <v>13782.377827440974</v>
      </c>
      <c r="B25" s="17" t="s">
        <v>113</v>
      </c>
      <c r="C25" s="14" t="s">
        <v>34</v>
      </c>
      <c r="D25" s="36">
        <v>10896.798346264888</v>
      </c>
      <c r="E25" s="36">
        <v>2885.5794811760861</v>
      </c>
      <c r="F25" s="36">
        <v>1E-14</v>
      </c>
      <c r="G25" s="36">
        <v>1E-14</v>
      </c>
      <c r="H25" s="36">
        <v>1E-14</v>
      </c>
      <c r="I25" s="36">
        <v>1E-14</v>
      </c>
      <c r="J25" s="36">
        <v>1E-14</v>
      </c>
      <c r="K25" s="36">
        <v>1E-14</v>
      </c>
      <c r="L25" s="36">
        <v>1E-14</v>
      </c>
      <c r="M25" s="36">
        <v>1E-14</v>
      </c>
      <c r="N25" s="36">
        <v>1E-14</v>
      </c>
      <c r="O25" s="36">
        <v>1E-14</v>
      </c>
      <c r="P25" s="36">
        <v>10896.798346264888</v>
      </c>
      <c r="Q25" s="36">
        <v>2885.5794811760861</v>
      </c>
      <c r="R25" s="36">
        <v>1E-14</v>
      </c>
      <c r="S25" s="36">
        <v>1E-14</v>
      </c>
      <c r="T25" s="36">
        <v>1E-14</v>
      </c>
      <c r="U25" s="36">
        <v>1E-14</v>
      </c>
      <c r="V25" s="36">
        <v>1E-14</v>
      </c>
      <c r="W25" s="36">
        <v>1E-14</v>
      </c>
      <c r="X25" s="36">
        <v>1E-14</v>
      </c>
      <c r="Y25" s="36">
        <v>1E-14</v>
      </c>
      <c r="Z25" s="36">
        <v>1E-14</v>
      </c>
      <c r="AA25" s="36">
        <v>1E-14</v>
      </c>
    </row>
    <row r="26" spans="1:27" x14ac:dyDescent="0.25">
      <c r="A26" s="36">
        <f t="shared" si="0"/>
        <v>1.1999999999999997E-13</v>
      </c>
      <c r="B26" s="17" t="s">
        <v>113</v>
      </c>
      <c r="C26" s="14" t="s">
        <v>67</v>
      </c>
      <c r="D26" s="36">
        <v>1E-14</v>
      </c>
      <c r="E26" s="36">
        <v>1E-14</v>
      </c>
      <c r="F26" s="36">
        <v>1E-14</v>
      </c>
      <c r="G26" s="36">
        <v>1E-14</v>
      </c>
      <c r="H26" s="36">
        <v>1E-14</v>
      </c>
      <c r="I26" s="36">
        <v>1E-14</v>
      </c>
      <c r="J26" s="36">
        <v>1E-14</v>
      </c>
      <c r="K26" s="36">
        <v>1E-14</v>
      </c>
      <c r="L26" s="36">
        <v>1E-14</v>
      </c>
      <c r="M26" s="36">
        <v>1E-14</v>
      </c>
      <c r="N26" s="36">
        <v>1E-14</v>
      </c>
      <c r="O26" s="36">
        <v>1E-14</v>
      </c>
      <c r="P26" s="36">
        <v>1E-14</v>
      </c>
      <c r="Q26" s="36">
        <v>1E-14</v>
      </c>
      <c r="R26" s="36">
        <v>1E-14</v>
      </c>
      <c r="S26" s="36">
        <v>1E-14</v>
      </c>
      <c r="T26" s="36">
        <v>1E-14</v>
      </c>
      <c r="U26" s="36">
        <v>1E-14</v>
      </c>
      <c r="V26" s="36">
        <v>1E-14</v>
      </c>
      <c r="W26" s="36">
        <v>1E-14</v>
      </c>
      <c r="X26" s="36">
        <v>1E-14</v>
      </c>
      <c r="Y26" s="36">
        <v>1E-14</v>
      </c>
      <c r="Z26" s="36">
        <v>1E-14</v>
      </c>
      <c r="AA26" s="36">
        <v>1E-14</v>
      </c>
    </row>
    <row r="27" spans="1:27" x14ac:dyDescent="0.25">
      <c r="A27" s="36">
        <f t="shared" si="0"/>
        <v>-35981.440121289794</v>
      </c>
      <c r="B27" s="17" t="s">
        <v>113</v>
      </c>
      <c r="C27" s="14" t="s">
        <v>35</v>
      </c>
      <c r="D27" s="36">
        <v>-1E-14</v>
      </c>
      <c r="E27" s="36">
        <v>-1E-14</v>
      </c>
      <c r="F27" s="36">
        <v>-1E-14</v>
      </c>
      <c r="G27" s="36">
        <v>-1E-14</v>
      </c>
      <c r="H27" s="36">
        <v>-3665.5999999999976</v>
      </c>
      <c r="I27" s="36">
        <v>-8727.1349179067729</v>
      </c>
      <c r="J27" s="36">
        <v>-7430.7851427381229</v>
      </c>
      <c r="K27" s="36">
        <v>-7930.7851427381229</v>
      </c>
      <c r="L27" s="36">
        <v>-8227.1349179067729</v>
      </c>
      <c r="M27" s="36">
        <v>-1E-14</v>
      </c>
      <c r="N27" s="36">
        <v>-1E-14</v>
      </c>
      <c r="O27" s="36">
        <v>-1E-14</v>
      </c>
      <c r="P27" s="36">
        <v>-1E-14</v>
      </c>
      <c r="Q27" s="36">
        <v>-1E-14</v>
      </c>
      <c r="R27" s="36">
        <v>-1E-14</v>
      </c>
      <c r="S27" s="36">
        <v>-1E-14</v>
      </c>
      <c r="T27" s="36">
        <v>-3665.5999999999976</v>
      </c>
      <c r="U27" s="36">
        <v>-8727.1349179067729</v>
      </c>
      <c r="V27" s="36">
        <v>-7430.7851427381229</v>
      </c>
      <c r="W27" s="36">
        <v>-7930.7851427381229</v>
      </c>
      <c r="X27" s="36">
        <v>-8227.1349179067729</v>
      </c>
      <c r="Y27" s="36">
        <v>-1E-14</v>
      </c>
      <c r="Z27" s="36">
        <v>-1E-14</v>
      </c>
      <c r="AA27" s="36">
        <v>-1E-14</v>
      </c>
    </row>
    <row r="28" spans="1:27" x14ac:dyDescent="0.25">
      <c r="A28" s="8"/>
      <c r="B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x14ac:dyDescent="0.25">
      <c r="A29" s="37" t="s">
        <v>1</v>
      </c>
      <c r="B29" s="37"/>
      <c r="C29" s="45" t="s">
        <v>116</v>
      </c>
      <c r="D29" s="39" t="s">
        <v>0</v>
      </c>
      <c r="E29" s="39" t="s">
        <v>121</v>
      </c>
      <c r="F29" s="39" t="s">
        <v>122</v>
      </c>
      <c r="G29" s="39" t="s">
        <v>123</v>
      </c>
      <c r="H29" s="39" t="s">
        <v>124</v>
      </c>
      <c r="I29" s="39" t="s">
        <v>125</v>
      </c>
      <c r="J29" s="39" t="s">
        <v>126</v>
      </c>
      <c r="K29" s="39" t="s">
        <v>127</v>
      </c>
      <c r="L29" s="39" t="s">
        <v>128</v>
      </c>
      <c r="M29" s="39" t="s">
        <v>129</v>
      </c>
      <c r="N29" s="39" t="s">
        <v>130</v>
      </c>
      <c r="O29" s="39" t="s">
        <v>131</v>
      </c>
      <c r="P29" s="39" t="s">
        <v>0</v>
      </c>
      <c r="Q29" s="39" t="s">
        <v>121</v>
      </c>
      <c r="R29" s="39" t="s">
        <v>122</v>
      </c>
      <c r="S29" s="39" t="s">
        <v>123</v>
      </c>
      <c r="T29" s="39" t="s">
        <v>124</v>
      </c>
      <c r="U29" s="39" t="s">
        <v>125</v>
      </c>
      <c r="V29" s="39" t="s">
        <v>126</v>
      </c>
      <c r="W29" s="39" t="s">
        <v>127</v>
      </c>
      <c r="X29" s="39" t="s">
        <v>128</v>
      </c>
      <c r="Y29" s="39" t="s">
        <v>129</v>
      </c>
      <c r="Z29" s="39" t="s">
        <v>130</v>
      </c>
      <c r="AA29" s="39" t="s">
        <v>131</v>
      </c>
    </row>
    <row r="30" spans="1:27" x14ac:dyDescent="0.25">
      <c r="A30" s="27">
        <f t="shared" si="0"/>
        <v>9093</v>
      </c>
      <c r="B30" s="53" t="s">
        <v>114</v>
      </c>
      <c r="C30" s="19" t="s">
        <v>2</v>
      </c>
      <c r="D30" s="27">
        <v>2811.7131287083421</v>
      </c>
      <c r="E30" s="27">
        <v>1777.5390037083337</v>
      </c>
      <c r="F30" s="27">
        <v>2812.1621287083417</v>
      </c>
      <c r="G30" s="27">
        <v>1E-14</v>
      </c>
      <c r="H30" s="27">
        <v>1E-14</v>
      </c>
      <c r="I30" s="27">
        <v>1E-14</v>
      </c>
      <c r="J30" s="27">
        <v>1E-14</v>
      </c>
      <c r="K30" s="27">
        <v>1E-14</v>
      </c>
      <c r="L30" s="27">
        <v>1E-14</v>
      </c>
      <c r="M30" s="27">
        <v>1E-14</v>
      </c>
      <c r="N30" s="27">
        <v>1691.5857388749826</v>
      </c>
      <c r="O30" s="27">
        <v>1E-14</v>
      </c>
      <c r="P30" s="27">
        <v>2811.7131287083421</v>
      </c>
      <c r="Q30" s="27">
        <v>1777.5390037083337</v>
      </c>
      <c r="R30" s="27">
        <v>2812.1621287083417</v>
      </c>
      <c r="S30" s="27">
        <v>1E-14</v>
      </c>
      <c r="T30" s="27">
        <v>1E-14</v>
      </c>
      <c r="U30" s="27">
        <v>1E-14</v>
      </c>
      <c r="V30" s="27">
        <v>1E-14</v>
      </c>
      <c r="W30" s="27">
        <v>1E-14</v>
      </c>
      <c r="X30" s="27">
        <v>1E-14</v>
      </c>
      <c r="Y30" s="27">
        <v>1E-14</v>
      </c>
      <c r="Z30" s="27">
        <v>1691.5857388749826</v>
      </c>
      <c r="AA30" s="27">
        <v>1E-14</v>
      </c>
    </row>
    <row r="31" spans="1:27" x14ac:dyDescent="0.25">
      <c r="A31" s="27">
        <f t="shared" si="0"/>
        <v>1.1999999999999997E-13</v>
      </c>
      <c r="B31" s="53" t="s">
        <v>114</v>
      </c>
      <c r="C31" s="19" t="s">
        <v>3</v>
      </c>
      <c r="D31" s="27">
        <v>1E-14</v>
      </c>
      <c r="E31" s="27">
        <v>1E-14</v>
      </c>
      <c r="F31" s="27">
        <v>1E-14</v>
      </c>
      <c r="G31" s="27">
        <v>1E-14</v>
      </c>
      <c r="H31" s="27">
        <v>1E-14</v>
      </c>
      <c r="I31" s="27">
        <v>1E-14</v>
      </c>
      <c r="J31" s="27">
        <v>1E-14</v>
      </c>
      <c r="K31" s="27">
        <v>1E-14</v>
      </c>
      <c r="L31" s="27">
        <v>1E-14</v>
      </c>
      <c r="M31" s="27">
        <v>1E-14</v>
      </c>
      <c r="N31" s="27">
        <v>1E-14</v>
      </c>
      <c r="O31" s="27">
        <v>1E-14</v>
      </c>
      <c r="P31" s="27">
        <v>1E-14</v>
      </c>
      <c r="Q31" s="27">
        <v>1E-14</v>
      </c>
      <c r="R31" s="27">
        <v>1E-14</v>
      </c>
      <c r="S31" s="27">
        <v>1E-14</v>
      </c>
      <c r="T31" s="27">
        <v>1E-14</v>
      </c>
      <c r="U31" s="27">
        <v>1E-14</v>
      </c>
      <c r="V31" s="27">
        <v>1E-14</v>
      </c>
      <c r="W31" s="27">
        <v>1E-14</v>
      </c>
      <c r="X31" s="27">
        <v>1E-14</v>
      </c>
      <c r="Y31" s="27">
        <v>1E-14</v>
      </c>
      <c r="Z31" s="27">
        <v>1E-14</v>
      </c>
      <c r="AA31" s="27">
        <v>1E-14</v>
      </c>
    </row>
    <row r="32" spans="1:27" x14ac:dyDescent="0.25">
      <c r="A32" s="27">
        <f t="shared" si="0"/>
        <v>1.1999999999999997E-13</v>
      </c>
      <c r="B32" s="53" t="s">
        <v>114</v>
      </c>
      <c r="C32" s="19" t="s">
        <v>4</v>
      </c>
      <c r="D32" s="27">
        <v>1E-14</v>
      </c>
      <c r="E32" s="27">
        <v>1E-14</v>
      </c>
      <c r="F32" s="27">
        <v>1E-14</v>
      </c>
      <c r="G32" s="27">
        <v>1E-14</v>
      </c>
      <c r="H32" s="27">
        <v>1E-14</v>
      </c>
      <c r="I32" s="27">
        <v>1E-14</v>
      </c>
      <c r="J32" s="27">
        <v>1E-14</v>
      </c>
      <c r="K32" s="27">
        <v>1E-14</v>
      </c>
      <c r="L32" s="27">
        <v>1E-14</v>
      </c>
      <c r="M32" s="27">
        <v>1E-14</v>
      </c>
      <c r="N32" s="27">
        <v>1E-14</v>
      </c>
      <c r="O32" s="27">
        <v>1E-14</v>
      </c>
      <c r="P32" s="27">
        <v>1E-14</v>
      </c>
      <c r="Q32" s="27">
        <v>1E-14</v>
      </c>
      <c r="R32" s="27">
        <v>1E-14</v>
      </c>
      <c r="S32" s="27">
        <v>1E-14</v>
      </c>
      <c r="T32" s="27">
        <v>1E-14</v>
      </c>
      <c r="U32" s="27">
        <v>1E-14</v>
      </c>
      <c r="V32" s="27">
        <v>1E-14</v>
      </c>
      <c r="W32" s="27">
        <v>1E-14</v>
      </c>
      <c r="X32" s="27">
        <v>1E-14</v>
      </c>
      <c r="Y32" s="27">
        <v>1E-14</v>
      </c>
      <c r="Z32" s="27">
        <v>1E-14</v>
      </c>
      <c r="AA32" s="27">
        <v>1E-14</v>
      </c>
    </row>
    <row r="33" spans="1:27" x14ac:dyDescent="0.25">
      <c r="A33" s="27">
        <f t="shared" si="0"/>
        <v>28869</v>
      </c>
      <c r="B33" s="53" t="s">
        <v>114</v>
      </c>
      <c r="C33" s="19" t="s">
        <v>5</v>
      </c>
      <c r="D33" s="27">
        <v>2405.9905749999998</v>
      </c>
      <c r="E33" s="27">
        <v>2404.7877000000008</v>
      </c>
      <c r="F33" s="27">
        <v>2405.9905749999998</v>
      </c>
      <c r="G33" s="27">
        <v>2405.75</v>
      </c>
      <c r="H33" s="27">
        <v>2405.75</v>
      </c>
      <c r="I33" s="27">
        <v>2405.75</v>
      </c>
      <c r="J33" s="27">
        <v>2405.75</v>
      </c>
      <c r="K33" s="27">
        <v>2405.75</v>
      </c>
      <c r="L33" s="27">
        <v>2405.75</v>
      </c>
      <c r="M33" s="27">
        <v>2405.75</v>
      </c>
      <c r="N33" s="27">
        <v>2405.9905749999998</v>
      </c>
      <c r="O33" s="27">
        <v>2405.9905749999998</v>
      </c>
      <c r="P33" s="27">
        <v>2405.9905749999998</v>
      </c>
      <c r="Q33" s="27">
        <v>2404.7877000000008</v>
      </c>
      <c r="R33" s="27">
        <v>2405.9905749999998</v>
      </c>
      <c r="S33" s="27">
        <v>2405.75</v>
      </c>
      <c r="T33" s="27">
        <v>2405.75</v>
      </c>
      <c r="U33" s="27">
        <v>2405.75</v>
      </c>
      <c r="V33" s="27">
        <v>2405.75</v>
      </c>
      <c r="W33" s="27">
        <v>2405.75</v>
      </c>
      <c r="X33" s="27">
        <v>2405.75</v>
      </c>
      <c r="Y33" s="27">
        <v>2405.75</v>
      </c>
      <c r="Z33" s="27">
        <v>2405.9905749999998</v>
      </c>
      <c r="AA33" s="27">
        <v>2405.9905749999998</v>
      </c>
    </row>
    <row r="34" spans="1:27" x14ac:dyDescent="0.25">
      <c r="A34" s="27">
        <f t="shared" si="0"/>
        <v>3500</v>
      </c>
      <c r="B34" s="53" t="s">
        <v>114</v>
      </c>
      <c r="C34" s="19" t="s">
        <v>6</v>
      </c>
      <c r="D34" s="27">
        <v>291.69583333333333</v>
      </c>
      <c r="E34" s="27">
        <v>291.6375000000001</v>
      </c>
      <c r="F34" s="27">
        <v>291.66666666666669</v>
      </c>
      <c r="G34" s="27">
        <v>291.66666666666669</v>
      </c>
      <c r="H34" s="27">
        <v>291.66666666666669</v>
      </c>
      <c r="I34" s="27">
        <v>291.66666666666669</v>
      </c>
      <c r="J34" s="27">
        <v>291.66666666666669</v>
      </c>
      <c r="K34" s="27">
        <v>291.66666666666669</v>
      </c>
      <c r="L34" s="27">
        <v>291.66666666666669</v>
      </c>
      <c r="M34" s="27">
        <v>291.66666666666669</v>
      </c>
      <c r="N34" s="27">
        <v>291.66666666666669</v>
      </c>
      <c r="O34" s="27">
        <v>291.66666666666669</v>
      </c>
      <c r="P34" s="27">
        <v>291.69583333333333</v>
      </c>
      <c r="Q34" s="27">
        <v>291.6375000000001</v>
      </c>
      <c r="R34" s="27">
        <v>291.66666666666669</v>
      </c>
      <c r="S34" s="27">
        <v>291.66666666666669</v>
      </c>
      <c r="T34" s="27">
        <v>291.66666666666669</v>
      </c>
      <c r="U34" s="27">
        <v>291.66666666666669</v>
      </c>
      <c r="V34" s="27">
        <v>291.66666666666669</v>
      </c>
      <c r="W34" s="27">
        <v>291.66666666666669</v>
      </c>
      <c r="X34" s="27">
        <v>291.66666666666669</v>
      </c>
      <c r="Y34" s="27">
        <v>291.66666666666669</v>
      </c>
      <c r="Z34" s="27">
        <v>291.66666666666669</v>
      </c>
      <c r="AA34" s="27">
        <v>291.66666666666669</v>
      </c>
    </row>
    <row r="35" spans="1:27" x14ac:dyDescent="0.25">
      <c r="A35" s="27">
        <f t="shared" si="0"/>
        <v>1.1999999999999997E-13</v>
      </c>
      <c r="B35" s="53" t="s">
        <v>114</v>
      </c>
      <c r="C35" s="19" t="s">
        <v>7</v>
      </c>
      <c r="D35" s="27">
        <v>1E-14</v>
      </c>
      <c r="E35" s="27">
        <v>1E-14</v>
      </c>
      <c r="F35" s="27">
        <v>1E-14</v>
      </c>
      <c r="G35" s="27">
        <v>1E-14</v>
      </c>
      <c r="H35" s="27">
        <v>1E-14</v>
      </c>
      <c r="I35" s="27">
        <v>1E-14</v>
      </c>
      <c r="J35" s="27">
        <v>1E-14</v>
      </c>
      <c r="K35" s="27">
        <v>1E-14</v>
      </c>
      <c r="L35" s="27">
        <v>1E-14</v>
      </c>
      <c r="M35" s="27">
        <v>1E-14</v>
      </c>
      <c r="N35" s="27">
        <v>1E-14</v>
      </c>
      <c r="O35" s="27">
        <v>1E-14</v>
      </c>
      <c r="P35" s="27">
        <v>1E-14</v>
      </c>
      <c r="Q35" s="27">
        <v>1E-14</v>
      </c>
      <c r="R35" s="27">
        <v>1E-14</v>
      </c>
      <c r="S35" s="27">
        <v>1E-14</v>
      </c>
      <c r="T35" s="27">
        <v>1E-14</v>
      </c>
      <c r="U35" s="27">
        <v>1E-14</v>
      </c>
      <c r="V35" s="27">
        <v>1E-14</v>
      </c>
      <c r="W35" s="27">
        <v>1E-14</v>
      </c>
      <c r="X35" s="27">
        <v>1E-14</v>
      </c>
      <c r="Y35" s="27">
        <v>1E-14</v>
      </c>
      <c r="Z35" s="27">
        <v>1E-14</v>
      </c>
      <c r="AA35" s="27">
        <v>1E-14</v>
      </c>
    </row>
    <row r="36" spans="1:27" x14ac:dyDescent="0.25">
      <c r="A36" s="27">
        <f t="shared" si="0"/>
        <v>1.1999999999999997E-13</v>
      </c>
      <c r="B36" s="53" t="s">
        <v>114</v>
      </c>
      <c r="C36" s="19" t="s">
        <v>8</v>
      </c>
      <c r="D36" s="27">
        <v>1E-14</v>
      </c>
      <c r="E36" s="27">
        <v>1E-14</v>
      </c>
      <c r="F36" s="27">
        <v>1E-14</v>
      </c>
      <c r="G36" s="27">
        <v>1E-14</v>
      </c>
      <c r="H36" s="27">
        <v>1E-14</v>
      </c>
      <c r="I36" s="27">
        <v>1E-14</v>
      </c>
      <c r="J36" s="27">
        <v>1E-14</v>
      </c>
      <c r="K36" s="27">
        <v>1E-14</v>
      </c>
      <c r="L36" s="27">
        <v>1E-14</v>
      </c>
      <c r="M36" s="27">
        <v>1E-14</v>
      </c>
      <c r="N36" s="27">
        <v>1E-14</v>
      </c>
      <c r="O36" s="27">
        <v>1E-14</v>
      </c>
      <c r="P36" s="27">
        <v>1E-14</v>
      </c>
      <c r="Q36" s="27">
        <v>1E-14</v>
      </c>
      <c r="R36" s="27">
        <v>1E-14</v>
      </c>
      <c r="S36" s="27">
        <v>1E-14</v>
      </c>
      <c r="T36" s="27">
        <v>1E-14</v>
      </c>
      <c r="U36" s="27">
        <v>1E-14</v>
      </c>
      <c r="V36" s="27">
        <v>1E-14</v>
      </c>
      <c r="W36" s="27">
        <v>1E-14</v>
      </c>
      <c r="X36" s="27">
        <v>1E-14</v>
      </c>
      <c r="Y36" s="27">
        <v>1E-14</v>
      </c>
      <c r="Z36" s="27">
        <v>1E-14</v>
      </c>
      <c r="AA36" s="27">
        <v>1E-14</v>
      </c>
    </row>
    <row r="37" spans="1:27" x14ac:dyDescent="0.25">
      <c r="A37" s="27">
        <f t="shared" si="0"/>
        <v>7800.0000000000009</v>
      </c>
      <c r="B37" s="53" t="s">
        <v>114</v>
      </c>
      <c r="C37" s="19" t="s">
        <v>9</v>
      </c>
      <c r="D37" s="27">
        <v>650.06499999999994</v>
      </c>
      <c r="E37" s="27">
        <v>649.54500000000189</v>
      </c>
      <c r="F37" s="27">
        <v>650.06499999999994</v>
      </c>
      <c r="G37" s="27">
        <v>650.06499999999994</v>
      </c>
      <c r="H37" s="27">
        <v>650.06499999999994</v>
      </c>
      <c r="I37" s="27">
        <v>650</v>
      </c>
      <c r="J37" s="27">
        <v>650</v>
      </c>
      <c r="K37" s="27">
        <v>650</v>
      </c>
      <c r="L37" s="27">
        <v>650</v>
      </c>
      <c r="M37" s="27">
        <v>650.06499999999994</v>
      </c>
      <c r="N37" s="27">
        <v>650.06499999999994</v>
      </c>
      <c r="O37" s="27">
        <v>650.06499999999994</v>
      </c>
      <c r="P37" s="27">
        <v>650.06499999999994</v>
      </c>
      <c r="Q37" s="27">
        <v>649.54500000000189</v>
      </c>
      <c r="R37" s="27">
        <v>650.06499999999994</v>
      </c>
      <c r="S37" s="27">
        <v>650.06499999999994</v>
      </c>
      <c r="T37" s="27">
        <v>650.06499999999994</v>
      </c>
      <c r="U37" s="27">
        <v>650</v>
      </c>
      <c r="V37" s="27">
        <v>650</v>
      </c>
      <c r="W37" s="27">
        <v>650</v>
      </c>
      <c r="X37" s="27">
        <v>650</v>
      </c>
      <c r="Y37" s="27">
        <v>650.06499999999994</v>
      </c>
      <c r="Z37" s="27">
        <v>650.06499999999994</v>
      </c>
      <c r="AA37" s="27">
        <v>650.06499999999994</v>
      </c>
    </row>
    <row r="38" spans="1:27" x14ac:dyDescent="0.25">
      <c r="A38" s="27">
        <f t="shared" si="0"/>
        <v>1.1999999999999997E-13</v>
      </c>
      <c r="B38" s="53" t="s">
        <v>114</v>
      </c>
      <c r="C38" s="19" t="s">
        <v>10</v>
      </c>
      <c r="D38" s="27">
        <v>1E-14</v>
      </c>
      <c r="E38" s="27">
        <v>1E-14</v>
      </c>
      <c r="F38" s="27">
        <v>1E-14</v>
      </c>
      <c r="G38" s="27">
        <v>1E-14</v>
      </c>
      <c r="H38" s="27">
        <v>1E-14</v>
      </c>
      <c r="I38" s="27">
        <v>1E-14</v>
      </c>
      <c r="J38" s="27">
        <v>1E-14</v>
      </c>
      <c r="K38" s="27">
        <v>1E-14</v>
      </c>
      <c r="L38" s="27">
        <v>1E-14</v>
      </c>
      <c r="M38" s="27">
        <v>1E-14</v>
      </c>
      <c r="N38" s="27">
        <v>1E-14</v>
      </c>
      <c r="O38" s="27">
        <v>1E-14</v>
      </c>
      <c r="P38" s="27">
        <v>1E-14</v>
      </c>
      <c r="Q38" s="27">
        <v>1E-14</v>
      </c>
      <c r="R38" s="27">
        <v>1E-14</v>
      </c>
      <c r="S38" s="27">
        <v>1E-14</v>
      </c>
      <c r="T38" s="27">
        <v>1E-14</v>
      </c>
      <c r="U38" s="27">
        <v>1E-14</v>
      </c>
      <c r="V38" s="27">
        <v>1E-14</v>
      </c>
      <c r="W38" s="27">
        <v>1E-14</v>
      </c>
      <c r="X38" s="27">
        <v>1E-14</v>
      </c>
      <c r="Y38" s="27">
        <v>1E-14</v>
      </c>
      <c r="Z38" s="27">
        <v>1E-14</v>
      </c>
      <c r="AA38" s="27">
        <v>1E-14</v>
      </c>
    </row>
    <row r="39" spans="1:27" x14ac:dyDescent="0.25">
      <c r="A39" s="27">
        <f t="shared" si="0"/>
        <v>1.1999999999999997E-13</v>
      </c>
      <c r="B39" s="53" t="s">
        <v>114</v>
      </c>
      <c r="C39" s="19" t="s">
        <v>11</v>
      </c>
      <c r="D39" s="27">
        <v>1E-14</v>
      </c>
      <c r="E39" s="27">
        <v>1E-14</v>
      </c>
      <c r="F39" s="27">
        <v>1E-14</v>
      </c>
      <c r="G39" s="27">
        <v>1E-14</v>
      </c>
      <c r="H39" s="27">
        <v>1E-14</v>
      </c>
      <c r="I39" s="27">
        <v>1E-14</v>
      </c>
      <c r="J39" s="27">
        <v>1E-14</v>
      </c>
      <c r="K39" s="27">
        <v>1E-14</v>
      </c>
      <c r="L39" s="27">
        <v>1E-14</v>
      </c>
      <c r="M39" s="27">
        <v>1E-14</v>
      </c>
      <c r="N39" s="27">
        <v>1E-14</v>
      </c>
      <c r="O39" s="27">
        <v>1E-14</v>
      </c>
      <c r="P39" s="27">
        <v>1E-14</v>
      </c>
      <c r="Q39" s="27">
        <v>1E-14</v>
      </c>
      <c r="R39" s="27">
        <v>1E-14</v>
      </c>
      <c r="S39" s="27">
        <v>1E-14</v>
      </c>
      <c r="T39" s="27">
        <v>1E-14</v>
      </c>
      <c r="U39" s="27">
        <v>1E-14</v>
      </c>
      <c r="V39" s="27">
        <v>1E-14</v>
      </c>
      <c r="W39" s="27">
        <v>1E-14</v>
      </c>
      <c r="X39" s="27">
        <v>1E-14</v>
      </c>
      <c r="Y39" s="27">
        <v>1E-14</v>
      </c>
      <c r="Z39" s="27">
        <v>1E-14</v>
      </c>
      <c r="AA39" s="27">
        <v>1E-14</v>
      </c>
    </row>
    <row r="40" spans="1:27" x14ac:dyDescent="0.25">
      <c r="A40" s="27">
        <f t="shared" si="0"/>
        <v>5200</v>
      </c>
      <c r="B40" s="53" t="s">
        <v>114</v>
      </c>
      <c r="C40" s="19" t="s">
        <v>12</v>
      </c>
      <c r="D40" s="27">
        <v>1E-14</v>
      </c>
      <c r="E40" s="27">
        <v>1E-14</v>
      </c>
      <c r="F40" s="27">
        <v>1E-14</v>
      </c>
      <c r="G40" s="27">
        <v>2154.090866577109</v>
      </c>
      <c r="H40" s="27">
        <v>245.70194350018937</v>
      </c>
      <c r="I40" s="27">
        <v>1E-14</v>
      </c>
      <c r="J40" s="27">
        <v>1E-14</v>
      </c>
      <c r="K40" s="27">
        <v>1E-14</v>
      </c>
      <c r="L40" s="27">
        <v>1E-14</v>
      </c>
      <c r="M40" s="27">
        <v>863.06867138100085</v>
      </c>
      <c r="N40" s="27">
        <v>774.97638983335946</v>
      </c>
      <c r="O40" s="27">
        <v>1162.1621287083412</v>
      </c>
      <c r="P40" s="27">
        <v>1E-14</v>
      </c>
      <c r="Q40" s="27">
        <v>1E-14</v>
      </c>
      <c r="R40" s="27">
        <v>1E-14</v>
      </c>
      <c r="S40" s="27">
        <v>2154.090866577109</v>
      </c>
      <c r="T40" s="27">
        <v>245.70194350018937</v>
      </c>
      <c r="U40" s="27">
        <v>1E-14</v>
      </c>
      <c r="V40" s="27">
        <v>1E-14</v>
      </c>
      <c r="W40" s="27">
        <v>1E-14</v>
      </c>
      <c r="X40" s="27">
        <v>1E-14</v>
      </c>
      <c r="Y40" s="27">
        <v>863.06867138100085</v>
      </c>
      <c r="Z40" s="27">
        <v>774.97638983335946</v>
      </c>
      <c r="AA40" s="27">
        <v>1162.1621287083412</v>
      </c>
    </row>
    <row r="41" spans="1:27" x14ac:dyDescent="0.25">
      <c r="A41" s="27">
        <f t="shared" si="0"/>
        <v>500</v>
      </c>
      <c r="B41" s="53" t="s">
        <v>114</v>
      </c>
      <c r="C41" s="19" t="s">
        <v>13</v>
      </c>
      <c r="D41" s="27">
        <v>41.670833333333327</v>
      </c>
      <c r="E41" s="27">
        <v>41.662499999999959</v>
      </c>
      <c r="F41" s="27">
        <v>41.666666666666664</v>
      </c>
      <c r="G41" s="27">
        <v>41.666666666666664</v>
      </c>
      <c r="H41" s="27">
        <v>41.666666666666664</v>
      </c>
      <c r="I41" s="27">
        <v>41.666666666666664</v>
      </c>
      <c r="J41" s="27">
        <v>41.666666666666664</v>
      </c>
      <c r="K41" s="27">
        <v>41.666666666666664</v>
      </c>
      <c r="L41" s="27">
        <v>41.666666666666664</v>
      </c>
      <c r="M41" s="27">
        <v>41.666666666666664</v>
      </c>
      <c r="N41" s="27">
        <v>41.666666666666664</v>
      </c>
      <c r="O41" s="27">
        <v>41.666666666666664</v>
      </c>
      <c r="P41" s="27">
        <v>41.670833333333327</v>
      </c>
      <c r="Q41" s="27">
        <v>41.662499999999959</v>
      </c>
      <c r="R41" s="27">
        <v>41.666666666666664</v>
      </c>
      <c r="S41" s="27">
        <v>41.666666666666664</v>
      </c>
      <c r="T41" s="27">
        <v>41.666666666666664</v>
      </c>
      <c r="U41" s="27">
        <v>41.666666666666664</v>
      </c>
      <c r="V41" s="27">
        <v>41.666666666666664</v>
      </c>
      <c r="W41" s="27">
        <v>41.666666666666664</v>
      </c>
      <c r="X41" s="27">
        <v>41.666666666666664</v>
      </c>
      <c r="Y41" s="27">
        <v>41.666666666666664</v>
      </c>
      <c r="Z41" s="27">
        <v>41.666666666666664</v>
      </c>
      <c r="AA41" s="27">
        <v>41.666666666666664</v>
      </c>
    </row>
    <row r="42" spans="1:27" x14ac:dyDescent="0.25">
      <c r="A42" s="27">
        <f t="shared" si="0"/>
        <v>1.1999999999999997E-13</v>
      </c>
      <c r="B42" s="53" t="s">
        <v>114</v>
      </c>
      <c r="C42" s="19" t="s">
        <v>14</v>
      </c>
      <c r="D42" s="27">
        <v>1E-14</v>
      </c>
      <c r="E42" s="27">
        <v>1E-14</v>
      </c>
      <c r="F42" s="27">
        <v>1E-14</v>
      </c>
      <c r="G42" s="27">
        <v>1E-14</v>
      </c>
      <c r="H42" s="27">
        <v>1E-14</v>
      </c>
      <c r="I42" s="27">
        <v>1E-14</v>
      </c>
      <c r="J42" s="27">
        <v>1E-14</v>
      </c>
      <c r="K42" s="27">
        <v>1E-14</v>
      </c>
      <c r="L42" s="27">
        <v>1E-14</v>
      </c>
      <c r="M42" s="27">
        <v>1E-14</v>
      </c>
      <c r="N42" s="27">
        <v>1E-14</v>
      </c>
      <c r="O42" s="27">
        <v>1E-14</v>
      </c>
      <c r="P42" s="27">
        <v>1E-14</v>
      </c>
      <c r="Q42" s="27">
        <v>1E-14</v>
      </c>
      <c r="R42" s="27">
        <v>1E-14</v>
      </c>
      <c r="S42" s="27">
        <v>1E-14</v>
      </c>
      <c r="T42" s="27">
        <v>1E-14</v>
      </c>
      <c r="U42" s="27">
        <v>1E-14</v>
      </c>
      <c r="V42" s="27">
        <v>1E-14</v>
      </c>
      <c r="W42" s="27">
        <v>1E-14</v>
      </c>
      <c r="X42" s="27">
        <v>1E-14</v>
      </c>
      <c r="Y42" s="27">
        <v>1E-14</v>
      </c>
      <c r="Z42" s="27">
        <v>1E-14</v>
      </c>
      <c r="AA42" s="27">
        <v>1E-14</v>
      </c>
    </row>
    <row r="43" spans="1:27" x14ac:dyDescent="0.25">
      <c r="A43" s="27">
        <f t="shared" si="0"/>
        <v>1.1999999999999997E-13</v>
      </c>
      <c r="B43" s="53" t="s">
        <v>114</v>
      </c>
      <c r="C43" s="19" t="s">
        <v>15</v>
      </c>
      <c r="D43" s="27">
        <v>1E-14</v>
      </c>
      <c r="E43" s="27">
        <v>1E-14</v>
      </c>
      <c r="F43" s="27">
        <v>1E-14</v>
      </c>
      <c r="G43" s="27">
        <v>1E-14</v>
      </c>
      <c r="H43" s="27">
        <v>1E-14</v>
      </c>
      <c r="I43" s="27">
        <v>1E-14</v>
      </c>
      <c r="J43" s="27">
        <v>1E-14</v>
      </c>
      <c r="K43" s="27">
        <v>1E-14</v>
      </c>
      <c r="L43" s="27">
        <v>1E-14</v>
      </c>
      <c r="M43" s="27">
        <v>1E-14</v>
      </c>
      <c r="N43" s="27">
        <v>1E-14</v>
      </c>
      <c r="O43" s="27">
        <v>1E-14</v>
      </c>
      <c r="P43" s="27">
        <v>1E-14</v>
      </c>
      <c r="Q43" s="27">
        <v>1E-14</v>
      </c>
      <c r="R43" s="27">
        <v>1E-14</v>
      </c>
      <c r="S43" s="27">
        <v>1E-14</v>
      </c>
      <c r="T43" s="27">
        <v>1E-14</v>
      </c>
      <c r="U43" s="27">
        <v>1E-14</v>
      </c>
      <c r="V43" s="27">
        <v>1E-14</v>
      </c>
      <c r="W43" s="27">
        <v>1E-14</v>
      </c>
      <c r="X43" s="27">
        <v>1E-14</v>
      </c>
      <c r="Y43" s="27">
        <v>1E-14</v>
      </c>
      <c r="Z43" s="27">
        <v>1E-14</v>
      </c>
      <c r="AA43" s="27">
        <v>1E-14</v>
      </c>
    </row>
    <row r="44" spans="1:27" x14ac:dyDescent="0.25">
      <c r="A44" s="27">
        <f t="shared" si="0"/>
        <v>1.1999999999999997E-13</v>
      </c>
      <c r="B44" s="53" t="s">
        <v>114</v>
      </c>
      <c r="C44" s="19" t="s">
        <v>16</v>
      </c>
      <c r="D44" s="27">
        <v>1E-14</v>
      </c>
      <c r="E44" s="27">
        <v>1E-14</v>
      </c>
      <c r="F44" s="27">
        <v>1E-14</v>
      </c>
      <c r="G44" s="27">
        <v>1E-14</v>
      </c>
      <c r="H44" s="27">
        <v>1E-14</v>
      </c>
      <c r="I44" s="27">
        <v>1E-14</v>
      </c>
      <c r="J44" s="27">
        <v>1E-14</v>
      </c>
      <c r="K44" s="27">
        <v>1E-14</v>
      </c>
      <c r="L44" s="27">
        <v>1E-14</v>
      </c>
      <c r="M44" s="27">
        <v>1E-14</v>
      </c>
      <c r="N44" s="27">
        <v>1E-14</v>
      </c>
      <c r="O44" s="27">
        <v>1E-14</v>
      </c>
      <c r="P44" s="27">
        <v>1E-14</v>
      </c>
      <c r="Q44" s="27">
        <v>1E-14</v>
      </c>
      <c r="R44" s="27">
        <v>1E-14</v>
      </c>
      <c r="S44" s="27">
        <v>1E-14</v>
      </c>
      <c r="T44" s="27">
        <v>1E-14</v>
      </c>
      <c r="U44" s="27">
        <v>1E-14</v>
      </c>
      <c r="V44" s="27">
        <v>1E-14</v>
      </c>
      <c r="W44" s="27">
        <v>1E-14</v>
      </c>
      <c r="X44" s="27">
        <v>1E-14</v>
      </c>
      <c r="Y44" s="27">
        <v>1E-14</v>
      </c>
      <c r="Z44" s="27">
        <v>1E-14</v>
      </c>
      <c r="AA44" s="27">
        <v>1E-14</v>
      </c>
    </row>
    <row r="45" spans="1:27" x14ac:dyDescent="0.25">
      <c r="A45" s="27">
        <f t="shared" si="0"/>
        <v>1.1999999999999997E-13</v>
      </c>
      <c r="B45" s="53" t="s">
        <v>114</v>
      </c>
      <c r="C45" s="19" t="s">
        <v>17</v>
      </c>
      <c r="D45" s="27">
        <v>1E-14</v>
      </c>
      <c r="E45" s="27">
        <v>1E-14</v>
      </c>
      <c r="F45" s="27">
        <v>1E-14</v>
      </c>
      <c r="G45" s="27">
        <v>1E-14</v>
      </c>
      <c r="H45" s="27">
        <v>1E-14</v>
      </c>
      <c r="I45" s="27">
        <v>1E-14</v>
      </c>
      <c r="J45" s="27">
        <v>1E-14</v>
      </c>
      <c r="K45" s="27">
        <v>1E-14</v>
      </c>
      <c r="L45" s="27">
        <v>1E-14</v>
      </c>
      <c r="M45" s="27">
        <v>1E-14</v>
      </c>
      <c r="N45" s="27">
        <v>1E-14</v>
      </c>
      <c r="O45" s="27">
        <v>1E-14</v>
      </c>
      <c r="P45" s="27">
        <v>1E-14</v>
      </c>
      <c r="Q45" s="27">
        <v>1E-14</v>
      </c>
      <c r="R45" s="27">
        <v>1E-14</v>
      </c>
      <c r="S45" s="27">
        <v>1E-14</v>
      </c>
      <c r="T45" s="27">
        <v>1E-14</v>
      </c>
      <c r="U45" s="27">
        <v>1E-14</v>
      </c>
      <c r="V45" s="27">
        <v>1E-14</v>
      </c>
      <c r="W45" s="27">
        <v>1E-14</v>
      </c>
      <c r="X45" s="27">
        <v>1E-14</v>
      </c>
      <c r="Y45" s="27">
        <v>1E-14</v>
      </c>
      <c r="Z45" s="27">
        <v>1E-14</v>
      </c>
      <c r="AA45" s="27">
        <v>1E-14</v>
      </c>
    </row>
    <row r="46" spans="1:27" x14ac:dyDescent="0.25">
      <c r="A46" s="27">
        <f t="shared" si="0"/>
        <v>1.1999999999999997E-13</v>
      </c>
      <c r="B46" s="53" t="s">
        <v>114</v>
      </c>
      <c r="C46" s="19" t="s">
        <v>18</v>
      </c>
      <c r="D46" s="27">
        <v>1E-14</v>
      </c>
      <c r="E46" s="27">
        <v>1E-14</v>
      </c>
      <c r="F46" s="27">
        <v>1E-14</v>
      </c>
      <c r="G46" s="27">
        <v>1E-14</v>
      </c>
      <c r="H46" s="27">
        <v>1E-14</v>
      </c>
      <c r="I46" s="27">
        <v>1E-14</v>
      </c>
      <c r="J46" s="27">
        <v>1E-14</v>
      </c>
      <c r="K46" s="27">
        <v>1E-14</v>
      </c>
      <c r="L46" s="27">
        <v>1E-14</v>
      </c>
      <c r="M46" s="27">
        <v>1E-14</v>
      </c>
      <c r="N46" s="27">
        <v>1E-14</v>
      </c>
      <c r="O46" s="27">
        <v>1E-14</v>
      </c>
      <c r="P46" s="27">
        <v>1E-14</v>
      </c>
      <c r="Q46" s="27">
        <v>1E-14</v>
      </c>
      <c r="R46" s="27">
        <v>1E-14</v>
      </c>
      <c r="S46" s="27">
        <v>1E-14</v>
      </c>
      <c r="T46" s="27">
        <v>1E-14</v>
      </c>
      <c r="U46" s="27">
        <v>1E-14</v>
      </c>
      <c r="V46" s="27">
        <v>1E-14</v>
      </c>
      <c r="W46" s="27">
        <v>1E-14</v>
      </c>
      <c r="X46" s="27">
        <v>1E-14</v>
      </c>
      <c r="Y46" s="27">
        <v>1E-14</v>
      </c>
      <c r="Z46" s="27">
        <v>1E-14</v>
      </c>
      <c r="AA46" s="27">
        <v>1E-14</v>
      </c>
    </row>
    <row r="47" spans="1:27" x14ac:dyDescent="0.25">
      <c r="A47" s="27">
        <f t="shared" si="0"/>
        <v>150.00000000000011</v>
      </c>
      <c r="B47" s="53" t="s">
        <v>114</v>
      </c>
      <c r="C47" s="19" t="s">
        <v>19</v>
      </c>
      <c r="D47" s="27">
        <v>1E-14</v>
      </c>
      <c r="E47" s="27">
        <v>1E-14</v>
      </c>
      <c r="F47" s="27">
        <v>1E-14</v>
      </c>
      <c r="G47" s="27">
        <v>1E-14</v>
      </c>
      <c r="H47" s="27">
        <v>1E-14</v>
      </c>
      <c r="I47" s="27">
        <v>1E-14</v>
      </c>
      <c r="J47" s="27">
        <v>1E-14</v>
      </c>
      <c r="K47" s="27">
        <v>1E-14</v>
      </c>
      <c r="L47" s="27">
        <v>1E-14</v>
      </c>
      <c r="M47" s="27">
        <v>1E-14</v>
      </c>
      <c r="N47" s="27">
        <v>1E-14</v>
      </c>
      <c r="O47" s="27">
        <v>150</v>
      </c>
      <c r="P47" s="27">
        <v>1E-14</v>
      </c>
      <c r="Q47" s="27">
        <v>1E-14</v>
      </c>
      <c r="R47" s="27">
        <v>1E-14</v>
      </c>
      <c r="S47" s="27">
        <v>1E-14</v>
      </c>
      <c r="T47" s="27">
        <v>1E-14</v>
      </c>
      <c r="U47" s="27">
        <v>1E-14</v>
      </c>
      <c r="V47" s="27">
        <v>1E-14</v>
      </c>
      <c r="W47" s="27">
        <v>1E-14</v>
      </c>
      <c r="X47" s="27">
        <v>1E-14</v>
      </c>
      <c r="Y47" s="27">
        <v>1E-14</v>
      </c>
      <c r="Z47" s="27">
        <v>1E-14</v>
      </c>
      <c r="AA47" s="27">
        <v>150</v>
      </c>
    </row>
    <row r="48" spans="1:27" x14ac:dyDescent="0.25">
      <c r="A48" s="27">
        <f t="shared" si="0"/>
        <v>1500</v>
      </c>
      <c r="B48" s="53" t="s">
        <v>114</v>
      </c>
      <c r="C48" s="19" t="s">
        <v>20</v>
      </c>
      <c r="D48" s="27">
        <v>1E-14</v>
      </c>
      <c r="E48" s="27">
        <v>1E-14</v>
      </c>
      <c r="F48" s="27">
        <v>1E-14</v>
      </c>
      <c r="G48" s="27">
        <v>1E-14</v>
      </c>
      <c r="H48" s="27">
        <v>1E-14</v>
      </c>
      <c r="I48" s="27">
        <v>1E-14</v>
      </c>
      <c r="J48" s="27">
        <v>1E-14</v>
      </c>
      <c r="K48" s="27">
        <v>1E-14</v>
      </c>
      <c r="L48" s="27">
        <v>1E-14</v>
      </c>
      <c r="M48" s="27">
        <v>1E-14</v>
      </c>
      <c r="N48" s="27">
        <v>1E-14</v>
      </c>
      <c r="O48" s="27">
        <v>1500</v>
      </c>
      <c r="P48" s="27">
        <v>1E-14</v>
      </c>
      <c r="Q48" s="27">
        <v>1E-14</v>
      </c>
      <c r="R48" s="27">
        <v>1E-14</v>
      </c>
      <c r="S48" s="27">
        <v>1E-14</v>
      </c>
      <c r="T48" s="27">
        <v>1E-14</v>
      </c>
      <c r="U48" s="27">
        <v>1E-14</v>
      </c>
      <c r="V48" s="27">
        <v>1E-14</v>
      </c>
      <c r="W48" s="27">
        <v>1E-14</v>
      </c>
      <c r="X48" s="27">
        <v>1E-14</v>
      </c>
      <c r="Y48" s="27">
        <v>1E-14</v>
      </c>
      <c r="Z48" s="27">
        <v>1E-14</v>
      </c>
      <c r="AA48" s="27">
        <v>1500</v>
      </c>
    </row>
    <row r="49" spans="1:27" x14ac:dyDescent="0.25">
      <c r="A49" s="27">
        <f t="shared" si="0"/>
        <v>1.1999999999999997E-13</v>
      </c>
      <c r="B49" s="53" t="s">
        <v>114</v>
      </c>
      <c r="C49" s="19" t="s">
        <v>21</v>
      </c>
      <c r="D49" s="27">
        <v>1E-14</v>
      </c>
      <c r="E49" s="27">
        <v>1E-14</v>
      </c>
      <c r="F49" s="27">
        <v>1E-14</v>
      </c>
      <c r="G49" s="27">
        <v>1E-14</v>
      </c>
      <c r="H49" s="27">
        <v>1E-14</v>
      </c>
      <c r="I49" s="27">
        <v>1E-14</v>
      </c>
      <c r="J49" s="27">
        <v>1E-14</v>
      </c>
      <c r="K49" s="27">
        <v>1E-14</v>
      </c>
      <c r="L49" s="27">
        <v>1E-14</v>
      </c>
      <c r="M49" s="27">
        <v>1E-14</v>
      </c>
      <c r="N49" s="27">
        <v>1E-14</v>
      </c>
      <c r="O49" s="27">
        <v>1E-14</v>
      </c>
      <c r="P49" s="27">
        <v>1E-14</v>
      </c>
      <c r="Q49" s="27">
        <v>1E-14</v>
      </c>
      <c r="R49" s="27">
        <v>1E-14</v>
      </c>
      <c r="S49" s="27">
        <v>1E-14</v>
      </c>
      <c r="T49" s="27">
        <v>1E-14</v>
      </c>
      <c r="U49" s="27">
        <v>1E-14</v>
      </c>
      <c r="V49" s="27">
        <v>1E-14</v>
      </c>
      <c r="W49" s="27">
        <v>1E-14</v>
      </c>
      <c r="X49" s="27">
        <v>1E-14</v>
      </c>
      <c r="Y49" s="27">
        <v>1E-14</v>
      </c>
      <c r="Z49" s="27">
        <v>1E-14</v>
      </c>
      <c r="AA49" s="27">
        <v>1E-14</v>
      </c>
    </row>
    <row r="50" spans="1:27" x14ac:dyDescent="0.25">
      <c r="A50" s="27">
        <f t="shared" si="0"/>
        <v>120</v>
      </c>
      <c r="B50" s="53" t="s">
        <v>114</v>
      </c>
      <c r="C50" s="19" t="s">
        <v>22</v>
      </c>
      <c r="D50" s="27">
        <v>10</v>
      </c>
      <c r="E50" s="27">
        <v>9.9969999999999857</v>
      </c>
      <c r="F50" s="27">
        <v>10.000999999999999</v>
      </c>
      <c r="G50" s="27">
        <v>10</v>
      </c>
      <c r="H50" s="27">
        <v>10</v>
      </c>
      <c r="I50" s="27">
        <v>10</v>
      </c>
      <c r="J50" s="27">
        <v>10</v>
      </c>
      <c r="K50" s="27">
        <v>10</v>
      </c>
      <c r="L50" s="27">
        <v>10</v>
      </c>
      <c r="M50" s="27">
        <v>10</v>
      </c>
      <c r="N50" s="27">
        <v>10.000999999999999</v>
      </c>
      <c r="O50" s="27">
        <v>10.000999999999999</v>
      </c>
      <c r="P50" s="27">
        <v>10</v>
      </c>
      <c r="Q50" s="27">
        <v>9.9969999999999857</v>
      </c>
      <c r="R50" s="27">
        <v>10.000999999999999</v>
      </c>
      <c r="S50" s="27">
        <v>10</v>
      </c>
      <c r="T50" s="27">
        <v>10</v>
      </c>
      <c r="U50" s="27">
        <v>10</v>
      </c>
      <c r="V50" s="27">
        <v>10</v>
      </c>
      <c r="W50" s="27">
        <v>10</v>
      </c>
      <c r="X50" s="27">
        <v>10</v>
      </c>
      <c r="Y50" s="27">
        <v>10</v>
      </c>
      <c r="Z50" s="27">
        <v>10.000999999999999</v>
      </c>
      <c r="AA50" s="27">
        <v>10.000999999999999</v>
      </c>
    </row>
    <row r="51" spans="1:27" x14ac:dyDescent="0.25">
      <c r="A51" s="27">
        <f t="shared" si="0"/>
        <v>50000</v>
      </c>
      <c r="B51" s="53" t="s">
        <v>114</v>
      </c>
      <c r="C51" s="19" t="s">
        <v>68</v>
      </c>
      <c r="D51" s="27">
        <v>4167.0833333333339</v>
      </c>
      <c r="E51" s="27">
        <v>4166.2500000000045</v>
      </c>
      <c r="F51" s="27">
        <v>4166.666666666667</v>
      </c>
      <c r="G51" s="27">
        <v>4166.666666666667</v>
      </c>
      <c r="H51" s="27">
        <v>4166.666666666667</v>
      </c>
      <c r="I51" s="27">
        <v>4166.666666666667</v>
      </c>
      <c r="J51" s="27">
        <v>4166.666666666667</v>
      </c>
      <c r="K51" s="27">
        <v>4166.666666666667</v>
      </c>
      <c r="L51" s="27">
        <v>4166.666666666667</v>
      </c>
      <c r="M51" s="27">
        <v>4166.666666666667</v>
      </c>
      <c r="N51" s="27">
        <v>4166.666666666667</v>
      </c>
      <c r="O51" s="27">
        <v>4166.666666666667</v>
      </c>
      <c r="P51" s="27">
        <v>4167.0833333333339</v>
      </c>
      <c r="Q51" s="27">
        <v>4166.2500000000045</v>
      </c>
      <c r="R51" s="27">
        <v>4166.666666666667</v>
      </c>
      <c r="S51" s="27">
        <v>4166.666666666667</v>
      </c>
      <c r="T51" s="27">
        <v>4166.666666666667</v>
      </c>
      <c r="U51" s="27">
        <v>4166.666666666667</v>
      </c>
      <c r="V51" s="27">
        <v>4166.666666666667</v>
      </c>
      <c r="W51" s="27">
        <v>4166.666666666667</v>
      </c>
      <c r="X51" s="27">
        <v>4166.666666666667</v>
      </c>
      <c r="Y51" s="27">
        <v>4166.666666666667</v>
      </c>
      <c r="Z51" s="27">
        <v>4166.666666666667</v>
      </c>
      <c r="AA51" s="27">
        <v>4166.666666666667</v>
      </c>
    </row>
    <row r="52" spans="1:27" x14ac:dyDescent="0.25">
      <c r="A52" s="27">
        <f t="shared" si="0"/>
        <v>4024.5755554999</v>
      </c>
      <c r="B52" s="53" t="s">
        <v>114</v>
      </c>
      <c r="C52" s="19" t="s">
        <v>69</v>
      </c>
      <c r="D52" s="27">
        <v>335.38129629165815</v>
      </c>
      <c r="E52" s="27">
        <v>335.38129629165883</v>
      </c>
      <c r="F52" s="27">
        <v>335.3812962916586</v>
      </c>
      <c r="G52" s="27">
        <v>335.3812962916586</v>
      </c>
      <c r="H52" s="27">
        <v>335.38129629165837</v>
      </c>
      <c r="I52" s="27">
        <v>335.38129629165837</v>
      </c>
      <c r="J52" s="27">
        <v>335.38129629165746</v>
      </c>
      <c r="K52" s="27">
        <v>335.38129629165837</v>
      </c>
      <c r="L52" s="27">
        <v>335.38129629165837</v>
      </c>
      <c r="M52" s="27">
        <v>335.38129629165837</v>
      </c>
      <c r="N52" s="27">
        <v>335.38129629165837</v>
      </c>
      <c r="O52" s="27">
        <v>335.3812962916586</v>
      </c>
      <c r="P52" s="27">
        <v>335.38129629165815</v>
      </c>
      <c r="Q52" s="27">
        <v>335.38129629165883</v>
      </c>
      <c r="R52" s="27">
        <v>335.3812962916586</v>
      </c>
      <c r="S52" s="27">
        <v>335.3812962916586</v>
      </c>
      <c r="T52" s="27">
        <v>335.38129629165837</v>
      </c>
      <c r="U52" s="27">
        <v>335.38129629165837</v>
      </c>
      <c r="V52" s="27">
        <v>335.38129629165746</v>
      </c>
      <c r="W52" s="27">
        <v>335.38129629165837</v>
      </c>
      <c r="X52" s="27">
        <v>335.38129629165837</v>
      </c>
      <c r="Y52" s="27">
        <v>335.38129629165837</v>
      </c>
      <c r="Z52" s="27">
        <v>335.38129629165837</v>
      </c>
      <c r="AA52" s="27">
        <v>335.3812962916586</v>
      </c>
    </row>
    <row r="53" spans="1:27" s="47" customFormat="1" x14ac:dyDescent="0.25">
      <c r="A53" s="27">
        <f t="shared" si="0"/>
        <v>1.1999999999999997E-13</v>
      </c>
      <c r="B53" s="53" t="s">
        <v>114</v>
      </c>
      <c r="C53" s="19" t="s">
        <v>182</v>
      </c>
      <c r="D53" s="27">
        <v>1E-14</v>
      </c>
      <c r="E53" s="27">
        <v>1E-14</v>
      </c>
      <c r="F53" s="27">
        <v>1E-14</v>
      </c>
      <c r="G53" s="27">
        <v>1E-14</v>
      </c>
      <c r="H53" s="27">
        <v>1E-14</v>
      </c>
      <c r="I53" s="27">
        <v>1E-14</v>
      </c>
      <c r="J53" s="27">
        <v>1E-14</v>
      </c>
      <c r="K53" s="27">
        <v>1E-14</v>
      </c>
      <c r="L53" s="27">
        <v>1E-14</v>
      </c>
      <c r="M53" s="27">
        <v>1E-14</v>
      </c>
      <c r="N53" s="27">
        <v>1E-14</v>
      </c>
      <c r="O53" s="27">
        <v>1E-14</v>
      </c>
      <c r="P53" s="27">
        <v>1E-14</v>
      </c>
      <c r="Q53" s="27">
        <v>1E-14</v>
      </c>
      <c r="R53" s="27">
        <v>1E-14</v>
      </c>
      <c r="S53" s="27">
        <v>1E-14</v>
      </c>
      <c r="T53" s="27">
        <v>1E-14</v>
      </c>
      <c r="U53" s="27">
        <v>1E-14</v>
      </c>
      <c r="V53" s="27">
        <v>1E-14</v>
      </c>
      <c r="W53" s="27">
        <v>1E-14</v>
      </c>
      <c r="X53" s="27">
        <v>1E-14</v>
      </c>
      <c r="Y53" s="27">
        <v>1E-14</v>
      </c>
      <c r="Z53" s="27">
        <v>1E-14</v>
      </c>
      <c r="AA53" s="27">
        <v>1E-14</v>
      </c>
    </row>
    <row r="54" spans="1:27" s="47" customFormat="1" x14ac:dyDescent="0.25">
      <c r="A54" s="27">
        <f t="shared" si="0"/>
        <v>1.1999999999999997E-13</v>
      </c>
      <c r="B54" s="53" t="s">
        <v>114</v>
      </c>
      <c r="C54" s="19" t="s">
        <v>183</v>
      </c>
      <c r="D54" s="27">
        <v>1E-14</v>
      </c>
      <c r="E54" s="27">
        <v>1E-14</v>
      </c>
      <c r="F54" s="27">
        <v>1E-14</v>
      </c>
      <c r="G54" s="27">
        <v>1E-14</v>
      </c>
      <c r="H54" s="27">
        <v>1E-14</v>
      </c>
      <c r="I54" s="27">
        <v>1E-14</v>
      </c>
      <c r="J54" s="27">
        <v>1E-14</v>
      </c>
      <c r="K54" s="27">
        <v>1E-14</v>
      </c>
      <c r="L54" s="27">
        <v>1E-14</v>
      </c>
      <c r="M54" s="27">
        <v>1E-14</v>
      </c>
      <c r="N54" s="27">
        <v>1E-14</v>
      </c>
      <c r="O54" s="27">
        <v>1E-14</v>
      </c>
      <c r="P54" s="27">
        <v>1E-14</v>
      </c>
      <c r="Q54" s="27">
        <v>1E-14</v>
      </c>
      <c r="R54" s="27">
        <v>1E-14</v>
      </c>
      <c r="S54" s="27">
        <v>1E-14</v>
      </c>
      <c r="T54" s="27">
        <v>1E-14</v>
      </c>
      <c r="U54" s="27">
        <v>1E-14</v>
      </c>
      <c r="V54" s="27">
        <v>1E-14</v>
      </c>
      <c r="W54" s="27">
        <v>1E-14</v>
      </c>
      <c r="X54" s="27">
        <v>1E-14</v>
      </c>
      <c r="Y54" s="27">
        <v>1E-14</v>
      </c>
      <c r="Z54" s="27">
        <v>1E-14</v>
      </c>
      <c r="AA54" s="27">
        <v>1E-14</v>
      </c>
    </row>
    <row r="55" spans="1:27" s="47" customFormat="1" x14ac:dyDescent="0.25">
      <c r="A55" s="27">
        <f t="shared" si="0"/>
        <v>1.1999999999999997E-13</v>
      </c>
      <c r="B55" s="53" t="s">
        <v>114</v>
      </c>
      <c r="C55" s="19" t="s">
        <v>184</v>
      </c>
      <c r="D55" s="27">
        <v>1E-14</v>
      </c>
      <c r="E55" s="27">
        <v>1E-14</v>
      </c>
      <c r="F55" s="27">
        <v>1E-14</v>
      </c>
      <c r="G55" s="27">
        <v>1E-14</v>
      </c>
      <c r="H55" s="27">
        <v>1E-14</v>
      </c>
      <c r="I55" s="27">
        <v>1E-14</v>
      </c>
      <c r="J55" s="27">
        <v>1E-14</v>
      </c>
      <c r="K55" s="27">
        <v>1E-14</v>
      </c>
      <c r="L55" s="27">
        <v>1E-14</v>
      </c>
      <c r="M55" s="27">
        <v>1E-14</v>
      </c>
      <c r="N55" s="27">
        <v>1E-14</v>
      </c>
      <c r="O55" s="27">
        <v>1E-14</v>
      </c>
      <c r="P55" s="27">
        <v>1E-14</v>
      </c>
      <c r="Q55" s="27">
        <v>1E-14</v>
      </c>
      <c r="R55" s="27">
        <v>1E-14</v>
      </c>
      <c r="S55" s="27">
        <v>1E-14</v>
      </c>
      <c r="T55" s="27">
        <v>1E-14</v>
      </c>
      <c r="U55" s="27">
        <v>1E-14</v>
      </c>
      <c r="V55" s="27">
        <v>1E-14</v>
      </c>
      <c r="W55" s="27">
        <v>1E-14</v>
      </c>
      <c r="X55" s="27">
        <v>1E-14</v>
      </c>
      <c r="Y55" s="27">
        <v>1E-14</v>
      </c>
      <c r="Z55" s="27">
        <v>1E-14</v>
      </c>
      <c r="AA55" s="27">
        <v>1E-14</v>
      </c>
    </row>
    <row r="56" spans="1:27" x14ac:dyDescent="0.25">
      <c r="A56" s="27">
        <f t="shared" si="0"/>
        <v>10720.754551121048</v>
      </c>
      <c r="B56" s="53" t="s">
        <v>114</v>
      </c>
      <c r="C56" s="19" t="s">
        <v>23</v>
      </c>
      <c r="D56" s="27">
        <v>1E-14</v>
      </c>
      <c r="E56" s="27">
        <v>3179.1739674593241</v>
      </c>
      <c r="F56" s="27">
        <v>2296.4714955937861</v>
      </c>
      <c r="G56" s="27">
        <v>1E-14</v>
      </c>
      <c r="H56" s="27">
        <v>1E-14</v>
      </c>
      <c r="I56" s="27">
        <v>1E-14</v>
      </c>
      <c r="J56" s="27">
        <v>1E-14</v>
      </c>
      <c r="K56" s="27">
        <v>1E-14</v>
      </c>
      <c r="L56" s="27">
        <v>1E-14</v>
      </c>
      <c r="M56" s="27">
        <v>1E-14</v>
      </c>
      <c r="N56" s="27">
        <v>1859.7048802012198</v>
      </c>
      <c r="O56" s="27">
        <v>3385.4042078667194</v>
      </c>
      <c r="P56" s="27">
        <v>1E-14</v>
      </c>
      <c r="Q56" s="27">
        <v>3179.1739674593241</v>
      </c>
      <c r="R56" s="27">
        <v>2296.4714955937861</v>
      </c>
      <c r="S56" s="27">
        <v>1E-14</v>
      </c>
      <c r="T56" s="27">
        <v>1E-14</v>
      </c>
      <c r="U56" s="27">
        <v>1E-14</v>
      </c>
      <c r="V56" s="27">
        <v>1E-14</v>
      </c>
      <c r="W56" s="27">
        <v>1E-14</v>
      </c>
      <c r="X56" s="27">
        <v>1E-14</v>
      </c>
      <c r="Y56" s="27">
        <v>1E-14</v>
      </c>
      <c r="Z56" s="27">
        <v>1859.7048802012198</v>
      </c>
      <c r="AA56" s="27">
        <v>3385.4042078667194</v>
      </c>
    </row>
    <row r="57" spans="1:27" x14ac:dyDescent="0.25">
      <c r="A57" s="27">
        <f t="shared" si="0"/>
        <v>1.1999999999999997E-13</v>
      </c>
      <c r="B57" s="53" t="s">
        <v>114</v>
      </c>
      <c r="C57" s="19" t="s">
        <v>24</v>
      </c>
      <c r="D57" s="27">
        <v>1E-14</v>
      </c>
      <c r="E57" s="27">
        <v>1E-14</v>
      </c>
      <c r="F57" s="27">
        <v>1E-14</v>
      </c>
      <c r="G57" s="27">
        <v>1E-14</v>
      </c>
      <c r="H57" s="27">
        <v>1E-14</v>
      </c>
      <c r="I57" s="27">
        <v>1E-14</v>
      </c>
      <c r="J57" s="27">
        <v>1E-14</v>
      </c>
      <c r="K57" s="27">
        <v>1E-14</v>
      </c>
      <c r="L57" s="27">
        <v>1E-14</v>
      </c>
      <c r="M57" s="27">
        <v>1E-14</v>
      </c>
      <c r="N57" s="27">
        <v>1E-14</v>
      </c>
      <c r="O57" s="27">
        <v>1E-14</v>
      </c>
      <c r="P57" s="27">
        <v>1E-14</v>
      </c>
      <c r="Q57" s="27">
        <v>1E-14</v>
      </c>
      <c r="R57" s="27">
        <v>1E-14</v>
      </c>
      <c r="S57" s="27">
        <v>1E-14</v>
      </c>
      <c r="T57" s="27">
        <v>1E-14</v>
      </c>
      <c r="U57" s="27">
        <v>1E-14</v>
      </c>
      <c r="V57" s="27">
        <v>1E-14</v>
      </c>
      <c r="W57" s="27">
        <v>1E-14</v>
      </c>
      <c r="X57" s="27">
        <v>1E-14</v>
      </c>
      <c r="Y57" s="27">
        <v>1E-14</v>
      </c>
      <c r="Z57" s="27">
        <v>1E-14</v>
      </c>
      <c r="AA57" s="27">
        <v>1E-14</v>
      </c>
    </row>
    <row r="58" spans="1:27" x14ac:dyDescent="0.25">
      <c r="A58" s="27">
        <f t="shared" si="0"/>
        <v>1127.6490949724432</v>
      </c>
      <c r="B58" s="53" t="s">
        <v>114</v>
      </c>
      <c r="C58" s="19" t="s">
        <v>66</v>
      </c>
      <c r="D58" s="27">
        <v>891.55622833076347</v>
      </c>
      <c r="E58" s="27">
        <v>236.09286664167976</v>
      </c>
      <c r="F58" s="27">
        <v>1E-14</v>
      </c>
      <c r="G58" s="27">
        <v>1E-14</v>
      </c>
      <c r="H58" s="27">
        <v>1E-14</v>
      </c>
      <c r="I58" s="27">
        <v>1E-14</v>
      </c>
      <c r="J58" s="27">
        <v>1E-14</v>
      </c>
      <c r="K58" s="27">
        <v>1E-14</v>
      </c>
      <c r="L58" s="27">
        <v>1E-14</v>
      </c>
      <c r="M58" s="27">
        <v>1E-14</v>
      </c>
      <c r="N58" s="27">
        <v>1E-14</v>
      </c>
      <c r="O58" s="27">
        <v>1E-14</v>
      </c>
      <c r="P58" s="27">
        <v>891.55622833076347</v>
      </c>
      <c r="Q58" s="27">
        <v>236.09286664167976</v>
      </c>
      <c r="R58" s="27">
        <v>1E-14</v>
      </c>
      <c r="S58" s="27">
        <v>1E-14</v>
      </c>
      <c r="T58" s="27">
        <v>1E-14</v>
      </c>
      <c r="U58" s="27">
        <v>1E-14</v>
      </c>
      <c r="V58" s="27">
        <v>1E-14</v>
      </c>
      <c r="W58" s="27">
        <v>1E-14</v>
      </c>
      <c r="X58" s="27">
        <v>1E-14</v>
      </c>
      <c r="Y58" s="27">
        <v>1E-14</v>
      </c>
      <c r="Z58" s="27">
        <v>1E-14</v>
      </c>
      <c r="AA58" s="27">
        <v>1E-14</v>
      </c>
    </row>
    <row r="59" spans="1:27" x14ac:dyDescent="0.25">
      <c r="A59" s="17">
        <f t="shared" si="0"/>
        <v>0</v>
      </c>
      <c r="B59" s="53" t="s">
        <v>114</v>
      </c>
      <c r="C59" s="19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</row>
    <row r="60" spans="1:27" x14ac:dyDescent="0.25">
      <c r="A60" s="17"/>
      <c r="B60" s="17"/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</row>
    <row r="61" spans="1:27" x14ac:dyDescent="0.25">
      <c r="A61" s="37" t="s">
        <v>1</v>
      </c>
      <c r="B61" s="37"/>
      <c r="C61" s="45" t="s">
        <v>118</v>
      </c>
      <c r="D61" s="39" t="s">
        <v>0</v>
      </c>
      <c r="E61" s="39" t="s">
        <v>121</v>
      </c>
      <c r="F61" s="39" t="s">
        <v>122</v>
      </c>
      <c r="G61" s="39" t="s">
        <v>123</v>
      </c>
      <c r="H61" s="39" t="s">
        <v>124</v>
      </c>
      <c r="I61" s="39" t="s">
        <v>125</v>
      </c>
      <c r="J61" s="39" t="s">
        <v>126</v>
      </c>
      <c r="K61" s="39" t="s">
        <v>127</v>
      </c>
      <c r="L61" s="39" t="s">
        <v>128</v>
      </c>
      <c r="M61" s="39" t="s">
        <v>129</v>
      </c>
      <c r="N61" s="39" t="s">
        <v>130</v>
      </c>
      <c r="O61" s="39" t="s">
        <v>131</v>
      </c>
      <c r="P61" s="39" t="s">
        <v>0</v>
      </c>
      <c r="Q61" s="39" t="s">
        <v>121</v>
      </c>
      <c r="R61" s="39" t="s">
        <v>122</v>
      </c>
      <c r="S61" s="39" t="s">
        <v>123</v>
      </c>
      <c r="T61" s="39" t="s">
        <v>124</v>
      </c>
      <c r="U61" s="39" t="s">
        <v>125</v>
      </c>
      <c r="V61" s="39" t="s">
        <v>126</v>
      </c>
      <c r="W61" s="39" t="s">
        <v>127</v>
      </c>
      <c r="X61" s="39" t="s">
        <v>128</v>
      </c>
      <c r="Y61" s="39" t="s">
        <v>129</v>
      </c>
      <c r="Z61" s="39" t="s">
        <v>130</v>
      </c>
      <c r="AA61" s="39" t="s">
        <v>131</v>
      </c>
    </row>
    <row r="62" spans="1:27" x14ac:dyDescent="0.25">
      <c r="A62" s="41">
        <f t="shared" ref="A62:A87" si="2">SUM(D62:O62)</f>
        <v>4773825</v>
      </c>
      <c r="B62" s="54" t="s">
        <v>112</v>
      </c>
      <c r="C62" s="19" t="s">
        <v>2</v>
      </c>
      <c r="D62" s="41">
        <v>1476149.3925718796</v>
      </c>
      <c r="E62" s="41">
        <v>933207.97694687522</v>
      </c>
      <c r="F62" s="41">
        <v>1476385.1175718794</v>
      </c>
      <c r="G62" s="41">
        <v>1E-14</v>
      </c>
      <c r="H62" s="41">
        <v>1E-14</v>
      </c>
      <c r="I62" s="41">
        <v>1E-14</v>
      </c>
      <c r="J62" s="41">
        <v>1E-14</v>
      </c>
      <c r="K62" s="41">
        <v>1E-14</v>
      </c>
      <c r="L62" s="41">
        <v>1E-14</v>
      </c>
      <c r="M62" s="41">
        <v>1E-14</v>
      </c>
      <c r="N62" s="41">
        <v>888082.51290936582</v>
      </c>
      <c r="O62" s="41">
        <v>1E-14</v>
      </c>
      <c r="P62" s="41">
        <v>1E-14</v>
      </c>
      <c r="Q62" s="41">
        <v>1E-14</v>
      </c>
      <c r="R62" s="41">
        <v>1E-14</v>
      </c>
      <c r="S62" s="41">
        <v>1E-14</v>
      </c>
      <c r="T62" s="41">
        <v>1E-14</v>
      </c>
      <c r="U62" s="41">
        <v>1E-14</v>
      </c>
      <c r="V62" s="41">
        <v>1E-14</v>
      </c>
      <c r="W62" s="41">
        <v>1E-14</v>
      </c>
      <c r="X62" s="41">
        <v>1E-14</v>
      </c>
      <c r="Y62" s="41">
        <v>1E-14</v>
      </c>
      <c r="Z62" s="41">
        <v>1E-14</v>
      </c>
      <c r="AA62" s="41">
        <v>1E-14</v>
      </c>
    </row>
    <row r="63" spans="1:27" x14ac:dyDescent="0.25">
      <c r="A63" s="41">
        <f t="shared" si="2"/>
        <v>1.1999999999999997E-13</v>
      </c>
      <c r="B63" s="54" t="s">
        <v>112</v>
      </c>
      <c r="C63" s="19" t="s">
        <v>3</v>
      </c>
      <c r="D63" s="41">
        <v>1E-14</v>
      </c>
      <c r="E63" s="41">
        <v>1E-14</v>
      </c>
      <c r="F63" s="41">
        <v>1E-14</v>
      </c>
      <c r="G63" s="41">
        <v>1E-14</v>
      </c>
      <c r="H63" s="41">
        <v>1E-14</v>
      </c>
      <c r="I63" s="41">
        <v>1E-14</v>
      </c>
      <c r="J63" s="41">
        <v>1E-14</v>
      </c>
      <c r="K63" s="41">
        <v>1E-14</v>
      </c>
      <c r="L63" s="41">
        <v>1E-14</v>
      </c>
      <c r="M63" s="41">
        <v>1E-14</v>
      </c>
      <c r="N63" s="41">
        <v>1E-14</v>
      </c>
      <c r="O63" s="41">
        <v>1E-14</v>
      </c>
      <c r="P63" s="41">
        <v>1E-14</v>
      </c>
      <c r="Q63" s="41">
        <v>1E-14</v>
      </c>
      <c r="R63" s="41">
        <v>1E-14</v>
      </c>
      <c r="S63" s="41">
        <v>1E-14</v>
      </c>
      <c r="T63" s="41">
        <v>1E-14</v>
      </c>
      <c r="U63" s="41">
        <v>1E-14</v>
      </c>
      <c r="V63" s="41">
        <v>1E-14</v>
      </c>
      <c r="W63" s="41">
        <v>1E-14</v>
      </c>
      <c r="X63" s="41">
        <v>1E-14</v>
      </c>
      <c r="Y63" s="41">
        <v>1E-14</v>
      </c>
      <c r="Z63" s="41">
        <v>1E-14</v>
      </c>
      <c r="AA63" s="41">
        <v>1E-14</v>
      </c>
    </row>
    <row r="64" spans="1:27" x14ac:dyDescent="0.25">
      <c r="A64" s="41">
        <f t="shared" si="2"/>
        <v>1.1999999999999997E-13</v>
      </c>
      <c r="B64" s="54" t="s">
        <v>112</v>
      </c>
      <c r="C64" s="19" t="s">
        <v>4</v>
      </c>
      <c r="D64" s="41">
        <v>1E-14</v>
      </c>
      <c r="E64" s="41">
        <v>1E-14</v>
      </c>
      <c r="F64" s="41">
        <v>1E-14</v>
      </c>
      <c r="G64" s="41">
        <v>1E-14</v>
      </c>
      <c r="H64" s="41">
        <v>1E-14</v>
      </c>
      <c r="I64" s="41">
        <v>1E-14</v>
      </c>
      <c r="J64" s="41">
        <v>1E-14</v>
      </c>
      <c r="K64" s="41">
        <v>1E-14</v>
      </c>
      <c r="L64" s="41">
        <v>1E-14</v>
      </c>
      <c r="M64" s="41">
        <v>1E-14</v>
      </c>
      <c r="N64" s="41">
        <v>1E-14</v>
      </c>
      <c r="O64" s="41">
        <v>1E-14</v>
      </c>
      <c r="P64" s="41">
        <v>1E-14</v>
      </c>
      <c r="Q64" s="41">
        <v>1E-14</v>
      </c>
      <c r="R64" s="41">
        <v>1E-14</v>
      </c>
      <c r="S64" s="41">
        <v>1E-14</v>
      </c>
      <c r="T64" s="41">
        <v>1E-14</v>
      </c>
      <c r="U64" s="41">
        <v>1E-14</v>
      </c>
      <c r="V64" s="41">
        <v>1E-14</v>
      </c>
      <c r="W64" s="41">
        <v>1E-14</v>
      </c>
      <c r="X64" s="41">
        <v>1E-14</v>
      </c>
      <c r="Y64" s="41">
        <v>1E-14</v>
      </c>
      <c r="Z64" s="41">
        <v>1E-14</v>
      </c>
      <c r="AA64" s="41">
        <v>1E-14</v>
      </c>
    </row>
    <row r="65" spans="1:27" x14ac:dyDescent="0.25">
      <c r="A65" s="41">
        <f t="shared" si="2"/>
        <v>15156225</v>
      </c>
      <c r="B65" s="54" t="s">
        <v>112</v>
      </c>
      <c r="C65" s="19" t="s">
        <v>5</v>
      </c>
      <c r="D65" s="41">
        <v>1263145.0518749999</v>
      </c>
      <c r="E65" s="41">
        <v>1262513.5425000004</v>
      </c>
      <c r="F65" s="41">
        <v>1263145.0518749999</v>
      </c>
      <c r="G65" s="41">
        <v>1263018.75</v>
      </c>
      <c r="H65" s="41">
        <v>1263018.75</v>
      </c>
      <c r="I65" s="41">
        <v>1263018.75</v>
      </c>
      <c r="J65" s="41">
        <v>1263018.75</v>
      </c>
      <c r="K65" s="41">
        <v>1263018.75</v>
      </c>
      <c r="L65" s="41">
        <v>1263018.75</v>
      </c>
      <c r="M65" s="41">
        <v>1263018.75</v>
      </c>
      <c r="N65" s="41">
        <v>1263145.0518749999</v>
      </c>
      <c r="O65" s="41">
        <v>1263145.0518749999</v>
      </c>
      <c r="P65" s="41">
        <v>1263145.0518749999</v>
      </c>
      <c r="Q65" s="41">
        <v>1263145.0518749999</v>
      </c>
      <c r="R65" s="41">
        <v>1263145.0518749999</v>
      </c>
      <c r="S65" s="41">
        <v>1263145.0518749999</v>
      </c>
      <c r="T65" s="41">
        <v>1263145.0518749999</v>
      </c>
      <c r="U65" s="41">
        <v>1263145.0518749999</v>
      </c>
      <c r="V65" s="41">
        <v>1263145.0518749999</v>
      </c>
      <c r="W65" s="41">
        <v>1263145.0518749999</v>
      </c>
      <c r="X65" s="41">
        <v>1263145.0518749999</v>
      </c>
      <c r="Y65" s="41">
        <v>1263145.0518749999</v>
      </c>
      <c r="Z65" s="41">
        <v>1263145.0518749999</v>
      </c>
      <c r="AA65" s="41">
        <v>1263145.0518749999</v>
      </c>
    </row>
    <row r="66" spans="1:27" x14ac:dyDescent="0.25">
      <c r="A66" s="41">
        <f t="shared" si="2"/>
        <v>1837500</v>
      </c>
      <c r="B66" s="54" t="s">
        <v>112</v>
      </c>
      <c r="C66" s="19" t="s">
        <v>6</v>
      </c>
      <c r="D66" s="41">
        <v>153140.3125</v>
      </c>
      <c r="E66" s="41">
        <v>153109.68750000006</v>
      </c>
      <c r="F66" s="41">
        <v>153125</v>
      </c>
      <c r="G66" s="41">
        <v>153125</v>
      </c>
      <c r="H66" s="41">
        <v>153125</v>
      </c>
      <c r="I66" s="41">
        <v>153125</v>
      </c>
      <c r="J66" s="41">
        <v>153125</v>
      </c>
      <c r="K66" s="41">
        <v>153125</v>
      </c>
      <c r="L66" s="41">
        <v>153125</v>
      </c>
      <c r="M66" s="41">
        <v>153125</v>
      </c>
      <c r="N66" s="41">
        <v>153125</v>
      </c>
      <c r="O66" s="41">
        <v>153125</v>
      </c>
      <c r="P66" s="41">
        <v>153125</v>
      </c>
      <c r="Q66" s="41">
        <v>153125</v>
      </c>
      <c r="R66" s="41">
        <v>153125</v>
      </c>
      <c r="S66" s="41">
        <v>153125</v>
      </c>
      <c r="T66" s="41">
        <v>153125</v>
      </c>
      <c r="U66" s="41">
        <v>153125</v>
      </c>
      <c r="V66" s="41">
        <v>153125</v>
      </c>
      <c r="W66" s="41">
        <v>153125</v>
      </c>
      <c r="X66" s="41">
        <v>153125</v>
      </c>
      <c r="Y66" s="41">
        <v>153125</v>
      </c>
      <c r="Z66" s="41">
        <v>153125</v>
      </c>
      <c r="AA66" s="41">
        <v>153125</v>
      </c>
    </row>
    <row r="67" spans="1:27" x14ac:dyDescent="0.25">
      <c r="A67" s="41">
        <f t="shared" si="2"/>
        <v>1.1999999999999997E-13</v>
      </c>
      <c r="B67" s="54" t="s">
        <v>112</v>
      </c>
      <c r="C67" s="19" t="s">
        <v>7</v>
      </c>
      <c r="D67" s="41">
        <v>1E-14</v>
      </c>
      <c r="E67" s="41">
        <v>1E-14</v>
      </c>
      <c r="F67" s="41">
        <v>1E-14</v>
      </c>
      <c r="G67" s="41">
        <v>1E-14</v>
      </c>
      <c r="H67" s="41">
        <v>1E-14</v>
      </c>
      <c r="I67" s="41">
        <v>1E-14</v>
      </c>
      <c r="J67" s="41">
        <v>1E-14</v>
      </c>
      <c r="K67" s="41">
        <v>1E-14</v>
      </c>
      <c r="L67" s="41">
        <v>1E-14</v>
      </c>
      <c r="M67" s="41">
        <v>1E-14</v>
      </c>
      <c r="N67" s="41">
        <v>1E-14</v>
      </c>
      <c r="O67" s="41">
        <v>1E-14</v>
      </c>
      <c r="P67" s="41">
        <v>1E-14</v>
      </c>
      <c r="Q67" s="41">
        <v>1E-14</v>
      </c>
      <c r="R67" s="41">
        <v>1E-14</v>
      </c>
      <c r="S67" s="41">
        <v>1E-14</v>
      </c>
      <c r="T67" s="41">
        <v>1E-14</v>
      </c>
      <c r="U67" s="41">
        <v>1E-14</v>
      </c>
      <c r="V67" s="41">
        <v>1E-14</v>
      </c>
      <c r="W67" s="41">
        <v>1E-14</v>
      </c>
      <c r="X67" s="41">
        <v>1E-14</v>
      </c>
      <c r="Y67" s="41">
        <v>1E-14</v>
      </c>
      <c r="Z67" s="41">
        <v>1E-14</v>
      </c>
      <c r="AA67" s="41">
        <v>1E-14</v>
      </c>
    </row>
    <row r="68" spans="1:27" x14ac:dyDescent="0.25">
      <c r="A68" s="41">
        <f t="shared" si="2"/>
        <v>1.1999999999999997E-13</v>
      </c>
      <c r="B68" s="54" t="s">
        <v>112</v>
      </c>
      <c r="C68" s="19" t="s">
        <v>8</v>
      </c>
      <c r="D68" s="41">
        <v>1E-14</v>
      </c>
      <c r="E68" s="41">
        <v>1E-14</v>
      </c>
      <c r="F68" s="41">
        <v>1E-14</v>
      </c>
      <c r="G68" s="41">
        <v>1E-14</v>
      </c>
      <c r="H68" s="41">
        <v>1E-14</v>
      </c>
      <c r="I68" s="41">
        <v>1E-14</v>
      </c>
      <c r="J68" s="41">
        <v>1E-14</v>
      </c>
      <c r="K68" s="41">
        <v>1E-14</v>
      </c>
      <c r="L68" s="41">
        <v>1E-14</v>
      </c>
      <c r="M68" s="41">
        <v>1E-14</v>
      </c>
      <c r="N68" s="41">
        <v>1E-14</v>
      </c>
      <c r="O68" s="41">
        <v>1E-14</v>
      </c>
      <c r="P68" s="41">
        <v>1E-14</v>
      </c>
      <c r="Q68" s="41">
        <v>1E-14</v>
      </c>
      <c r="R68" s="41">
        <v>1E-14</v>
      </c>
      <c r="S68" s="41">
        <v>1E-14</v>
      </c>
      <c r="T68" s="41">
        <v>1E-14</v>
      </c>
      <c r="U68" s="41">
        <v>1E-14</v>
      </c>
      <c r="V68" s="41">
        <v>1E-14</v>
      </c>
      <c r="W68" s="41">
        <v>1E-14</v>
      </c>
      <c r="X68" s="41">
        <v>1E-14</v>
      </c>
      <c r="Y68" s="41">
        <v>1E-14</v>
      </c>
      <c r="Z68" s="41">
        <v>1E-14</v>
      </c>
      <c r="AA68" s="41">
        <v>1E-14</v>
      </c>
    </row>
    <row r="69" spans="1:27" x14ac:dyDescent="0.25">
      <c r="A69" s="41">
        <f t="shared" si="2"/>
        <v>4095000.0000000009</v>
      </c>
      <c r="B69" s="54" t="s">
        <v>112</v>
      </c>
      <c r="C69" s="19" t="s">
        <v>9</v>
      </c>
      <c r="D69" s="41">
        <v>341284.12499999994</v>
      </c>
      <c r="E69" s="41">
        <v>341011.12500000099</v>
      </c>
      <c r="F69" s="41">
        <v>341284.12499999994</v>
      </c>
      <c r="G69" s="41">
        <v>341284.12499999994</v>
      </c>
      <c r="H69" s="41">
        <v>341284.12499999994</v>
      </c>
      <c r="I69" s="41">
        <v>341250</v>
      </c>
      <c r="J69" s="41">
        <v>341250</v>
      </c>
      <c r="K69" s="41">
        <v>341250</v>
      </c>
      <c r="L69" s="41">
        <v>341250</v>
      </c>
      <c r="M69" s="41">
        <v>341284.12499999994</v>
      </c>
      <c r="N69" s="41">
        <v>341284.12499999994</v>
      </c>
      <c r="O69" s="41">
        <v>341284.12499999994</v>
      </c>
      <c r="P69" s="41">
        <v>341284.12499999994</v>
      </c>
      <c r="Q69" s="41">
        <v>341284.12499999994</v>
      </c>
      <c r="R69" s="41">
        <v>341284.12499999994</v>
      </c>
      <c r="S69" s="41">
        <v>341284.12499999994</v>
      </c>
      <c r="T69" s="41">
        <v>341284.12499999994</v>
      </c>
      <c r="U69" s="41">
        <v>341284.12499999994</v>
      </c>
      <c r="V69" s="41">
        <v>341284.12499999994</v>
      </c>
      <c r="W69" s="41">
        <v>341284.12499999994</v>
      </c>
      <c r="X69" s="41">
        <v>341284.12499999994</v>
      </c>
      <c r="Y69" s="41">
        <v>341284.12499999994</v>
      </c>
      <c r="Z69" s="41">
        <v>341284.12499999994</v>
      </c>
      <c r="AA69" s="41">
        <v>341284.12499999994</v>
      </c>
    </row>
    <row r="70" spans="1:27" x14ac:dyDescent="0.25">
      <c r="A70" s="41">
        <f t="shared" si="2"/>
        <v>1.1999999999999997E-13</v>
      </c>
      <c r="B70" s="54" t="s">
        <v>112</v>
      </c>
      <c r="C70" s="19" t="s">
        <v>10</v>
      </c>
      <c r="D70" s="41">
        <v>1E-14</v>
      </c>
      <c r="E70" s="41">
        <v>1E-14</v>
      </c>
      <c r="F70" s="41">
        <v>1E-14</v>
      </c>
      <c r="G70" s="41">
        <v>1E-14</v>
      </c>
      <c r="H70" s="41">
        <v>1E-14</v>
      </c>
      <c r="I70" s="41">
        <v>1E-14</v>
      </c>
      <c r="J70" s="41">
        <v>1E-14</v>
      </c>
      <c r="K70" s="41">
        <v>1E-14</v>
      </c>
      <c r="L70" s="41">
        <v>1E-14</v>
      </c>
      <c r="M70" s="41">
        <v>1E-14</v>
      </c>
      <c r="N70" s="41">
        <v>1E-14</v>
      </c>
      <c r="O70" s="41">
        <v>1E-14</v>
      </c>
      <c r="P70" s="41">
        <v>1E-14</v>
      </c>
      <c r="Q70" s="41">
        <v>1E-14</v>
      </c>
      <c r="R70" s="41">
        <v>1E-14</v>
      </c>
      <c r="S70" s="41">
        <v>1E-14</v>
      </c>
      <c r="T70" s="41">
        <v>1E-14</v>
      </c>
      <c r="U70" s="41">
        <v>1E-14</v>
      </c>
      <c r="V70" s="41">
        <v>1E-14</v>
      </c>
      <c r="W70" s="41">
        <v>1E-14</v>
      </c>
      <c r="X70" s="41">
        <v>1E-14</v>
      </c>
      <c r="Y70" s="41">
        <v>1E-14</v>
      </c>
      <c r="Z70" s="41">
        <v>1E-14</v>
      </c>
      <c r="AA70" s="41">
        <v>1E-14</v>
      </c>
    </row>
    <row r="71" spans="1:27" x14ac:dyDescent="0.25">
      <c r="A71" s="41">
        <f t="shared" si="2"/>
        <v>1.1999999999999997E-13</v>
      </c>
      <c r="B71" s="54" t="s">
        <v>112</v>
      </c>
      <c r="C71" s="19" t="s">
        <v>11</v>
      </c>
      <c r="D71" s="41">
        <v>1E-14</v>
      </c>
      <c r="E71" s="41">
        <v>1E-14</v>
      </c>
      <c r="F71" s="41">
        <v>1E-14</v>
      </c>
      <c r="G71" s="41">
        <v>1E-14</v>
      </c>
      <c r="H71" s="41">
        <v>1E-14</v>
      </c>
      <c r="I71" s="41">
        <v>1E-14</v>
      </c>
      <c r="J71" s="41">
        <v>1E-14</v>
      </c>
      <c r="K71" s="41">
        <v>1E-14</v>
      </c>
      <c r="L71" s="41">
        <v>1E-14</v>
      </c>
      <c r="M71" s="41">
        <v>1E-14</v>
      </c>
      <c r="N71" s="41">
        <v>1E-14</v>
      </c>
      <c r="O71" s="41">
        <v>1E-14</v>
      </c>
      <c r="P71" s="41">
        <v>1E-14</v>
      </c>
      <c r="Q71" s="41">
        <v>1E-14</v>
      </c>
      <c r="R71" s="41">
        <v>1E-14</v>
      </c>
      <c r="S71" s="41">
        <v>1E-14</v>
      </c>
      <c r="T71" s="41">
        <v>1E-14</v>
      </c>
      <c r="U71" s="41">
        <v>1E-14</v>
      </c>
      <c r="V71" s="41">
        <v>1E-14</v>
      </c>
      <c r="W71" s="41">
        <v>1E-14</v>
      </c>
      <c r="X71" s="41">
        <v>1E-14</v>
      </c>
      <c r="Y71" s="41">
        <v>1E-14</v>
      </c>
      <c r="Z71" s="41">
        <v>1E-14</v>
      </c>
      <c r="AA71" s="41">
        <v>1E-14</v>
      </c>
    </row>
    <row r="72" spans="1:27" x14ac:dyDescent="0.25">
      <c r="A72" s="41">
        <f t="shared" si="2"/>
        <v>2730000</v>
      </c>
      <c r="B72" s="54" t="s">
        <v>112</v>
      </c>
      <c r="C72" s="19" t="s">
        <v>12</v>
      </c>
      <c r="D72" s="41">
        <v>1E-14</v>
      </c>
      <c r="E72" s="41">
        <v>1E-14</v>
      </c>
      <c r="F72" s="41">
        <v>1E-14</v>
      </c>
      <c r="G72" s="41">
        <v>1130897.7049529823</v>
      </c>
      <c r="H72" s="41">
        <v>128993.52033759942</v>
      </c>
      <c r="I72" s="41">
        <v>1E-14</v>
      </c>
      <c r="J72" s="41">
        <v>1E-14</v>
      </c>
      <c r="K72" s="41">
        <v>1E-14</v>
      </c>
      <c r="L72" s="41">
        <v>1E-14</v>
      </c>
      <c r="M72" s="41">
        <v>453111.05247502547</v>
      </c>
      <c r="N72" s="41">
        <v>406862.60466251371</v>
      </c>
      <c r="O72" s="41">
        <v>610135.11757187918</v>
      </c>
      <c r="P72" s="41">
        <v>610135.11757187918</v>
      </c>
      <c r="Q72" s="41">
        <v>610135.11757187918</v>
      </c>
      <c r="R72" s="41">
        <v>610135.11757187918</v>
      </c>
      <c r="S72" s="41">
        <v>610135.11757187918</v>
      </c>
      <c r="T72" s="41">
        <v>610135.11757187918</v>
      </c>
      <c r="U72" s="41">
        <v>610135.11757187918</v>
      </c>
      <c r="V72" s="41">
        <v>610135.11757187918</v>
      </c>
      <c r="W72" s="41">
        <v>610135.11757187918</v>
      </c>
      <c r="X72" s="41">
        <v>610135.11757187918</v>
      </c>
      <c r="Y72" s="41">
        <v>610135.11757187918</v>
      </c>
      <c r="Z72" s="41">
        <v>610135.11757187918</v>
      </c>
      <c r="AA72" s="41">
        <v>610135.11757187918</v>
      </c>
    </row>
    <row r="73" spans="1:27" x14ac:dyDescent="0.25">
      <c r="A73" s="41">
        <f t="shared" si="2"/>
        <v>392499.99999999994</v>
      </c>
      <c r="B73" s="54" t="s">
        <v>112</v>
      </c>
      <c r="C73" s="19" t="s">
        <v>13</v>
      </c>
      <c r="D73" s="41">
        <v>32711.604166666661</v>
      </c>
      <c r="E73" s="41">
        <v>32705.062499999967</v>
      </c>
      <c r="F73" s="41">
        <v>32708.333333333332</v>
      </c>
      <c r="G73" s="41">
        <v>32708.333333333332</v>
      </c>
      <c r="H73" s="41">
        <v>32708.333333333332</v>
      </c>
      <c r="I73" s="41">
        <v>32708.333333333332</v>
      </c>
      <c r="J73" s="41">
        <v>32708.333333333332</v>
      </c>
      <c r="K73" s="41">
        <v>32708.333333333332</v>
      </c>
      <c r="L73" s="41">
        <v>32708.333333333332</v>
      </c>
      <c r="M73" s="41">
        <v>32708.333333333332</v>
      </c>
      <c r="N73" s="41">
        <v>32708.333333333332</v>
      </c>
      <c r="O73" s="41">
        <v>32708.333333333332</v>
      </c>
      <c r="P73" s="41">
        <v>32708.333333333332</v>
      </c>
      <c r="Q73" s="41">
        <v>32708.333333333332</v>
      </c>
      <c r="R73" s="41">
        <v>32708.333333333332</v>
      </c>
      <c r="S73" s="41">
        <v>32708.333333333332</v>
      </c>
      <c r="T73" s="41">
        <v>32708.333333333332</v>
      </c>
      <c r="U73" s="41">
        <v>32708.333333333332</v>
      </c>
      <c r="V73" s="41">
        <v>32708.333333333332</v>
      </c>
      <c r="W73" s="41">
        <v>32708.333333333332</v>
      </c>
      <c r="X73" s="41">
        <v>32708.333333333332</v>
      </c>
      <c r="Y73" s="41">
        <v>32708.333333333332</v>
      </c>
      <c r="Z73" s="41">
        <v>32708.333333333332</v>
      </c>
      <c r="AA73" s="41">
        <v>32708.333333333332</v>
      </c>
    </row>
    <row r="74" spans="1:27" x14ac:dyDescent="0.25">
      <c r="A74" s="41">
        <f t="shared" si="2"/>
        <v>1.1999999999999997E-13</v>
      </c>
      <c r="B74" s="54" t="s">
        <v>112</v>
      </c>
      <c r="C74" s="19" t="s">
        <v>14</v>
      </c>
      <c r="D74" s="41">
        <v>1E-14</v>
      </c>
      <c r="E74" s="41">
        <v>1E-14</v>
      </c>
      <c r="F74" s="41">
        <v>1E-14</v>
      </c>
      <c r="G74" s="41">
        <v>1E-14</v>
      </c>
      <c r="H74" s="41">
        <v>1E-14</v>
      </c>
      <c r="I74" s="41">
        <v>1E-14</v>
      </c>
      <c r="J74" s="41">
        <v>1E-14</v>
      </c>
      <c r="K74" s="41">
        <v>1E-14</v>
      </c>
      <c r="L74" s="41">
        <v>1E-14</v>
      </c>
      <c r="M74" s="41">
        <v>1E-14</v>
      </c>
      <c r="N74" s="41">
        <v>1E-14</v>
      </c>
      <c r="O74" s="41">
        <v>1E-14</v>
      </c>
      <c r="P74" s="41">
        <v>1E-14</v>
      </c>
      <c r="Q74" s="41">
        <v>1E-14</v>
      </c>
      <c r="R74" s="41">
        <v>1E-14</v>
      </c>
      <c r="S74" s="41">
        <v>1E-14</v>
      </c>
      <c r="T74" s="41">
        <v>1E-14</v>
      </c>
      <c r="U74" s="41">
        <v>1E-14</v>
      </c>
      <c r="V74" s="41">
        <v>1E-14</v>
      </c>
      <c r="W74" s="41">
        <v>1E-14</v>
      </c>
      <c r="X74" s="41">
        <v>1E-14</v>
      </c>
      <c r="Y74" s="41">
        <v>1E-14</v>
      </c>
      <c r="Z74" s="41">
        <v>1E-14</v>
      </c>
      <c r="AA74" s="41">
        <v>1E-14</v>
      </c>
    </row>
    <row r="75" spans="1:27" x14ac:dyDescent="0.25">
      <c r="A75" s="41">
        <f t="shared" si="2"/>
        <v>1.1999999999999997E-13</v>
      </c>
      <c r="B75" s="54" t="s">
        <v>112</v>
      </c>
      <c r="C75" s="19" t="s">
        <v>15</v>
      </c>
      <c r="D75" s="41">
        <v>1E-14</v>
      </c>
      <c r="E75" s="41">
        <v>1E-14</v>
      </c>
      <c r="F75" s="41">
        <v>1E-14</v>
      </c>
      <c r="G75" s="41">
        <v>1E-14</v>
      </c>
      <c r="H75" s="41">
        <v>1E-14</v>
      </c>
      <c r="I75" s="41">
        <v>1E-14</v>
      </c>
      <c r="J75" s="41">
        <v>1E-14</v>
      </c>
      <c r="K75" s="41">
        <v>1E-14</v>
      </c>
      <c r="L75" s="41">
        <v>1E-14</v>
      </c>
      <c r="M75" s="41">
        <v>1E-14</v>
      </c>
      <c r="N75" s="41">
        <v>1E-14</v>
      </c>
      <c r="O75" s="41">
        <v>1E-14</v>
      </c>
      <c r="P75" s="41">
        <v>1E-14</v>
      </c>
      <c r="Q75" s="41">
        <v>1E-14</v>
      </c>
      <c r="R75" s="41">
        <v>1E-14</v>
      </c>
      <c r="S75" s="41">
        <v>1E-14</v>
      </c>
      <c r="T75" s="41">
        <v>1E-14</v>
      </c>
      <c r="U75" s="41">
        <v>1E-14</v>
      </c>
      <c r="V75" s="41">
        <v>1E-14</v>
      </c>
      <c r="W75" s="41">
        <v>1E-14</v>
      </c>
      <c r="X75" s="41">
        <v>1E-14</v>
      </c>
      <c r="Y75" s="41">
        <v>1E-14</v>
      </c>
      <c r="Z75" s="41">
        <v>1E-14</v>
      </c>
      <c r="AA75" s="41">
        <v>1E-14</v>
      </c>
    </row>
    <row r="76" spans="1:27" x14ac:dyDescent="0.25">
      <c r="A76" s="41">
        <f t="shared" si="2"/>
        <v>1.1999999999999997E-13</v>
      </c>
      <c r="B76" s="54" t="s">
        <v>112</v>
      </c>
      <c r="C76" s="19" t="s">
        <v>16</v>
      </c>
      <c r="D76" s="41">
        <v>1E-14</v>
      </c>
      <c r="E76" s="41">
        <v>1E-14</v>
      </c>
      <c r="F76" s="41">
        <v>1E-14</v>
      </c>
      <c r="G76" s="41">
        <v>1E-14</v>
      </c>
      <c r="H76" s="41">
        <v>1E-14</v>
      </c>
      <c r="I76" s="41">
        <v>1E-14</v>
      </c>
      <c r="J76" s="41">
        <v>1E-14</v>
      </c>
      <c r="K76" s="41">
        <v>1E-14</v>
      </c>
      <c r="L76" s="41">
        <v>1E-14</v>
      </c>
      <c r="M76" s="41">
        <v>1E-14</v>
      </c>
      <c r="N76" s="41">
        <v>1E-14</v>
      </c>
      <c r="O76" s="41">
        <v>1E-14</v>
      </c>
      <c r="P76" s="41">
        <v>1E-14</v>
      </c>
      <c r="Q76" s="41">
        <v>1E-14</v>
      </c>
      <c r="R76" s="41">
        <v>1E-14</v>
      </c>
      <c r="S76" s="41">
        <v>1E-14</v>
      </c>
      <c r="T76" s="41">
        <v>1E-14</v>
      </c>
      <c r="U76" s="41">
        <v>1E-14</v>
      </c>
      <c r="V76" s="41">
        <v>1E-14</v>
      </c>
      <c r="W76" s="41">
        <v>1E-14</v>
      </c>
      <c r="X76" s="41">
        <v>1E-14</v>
      </c>
      <c r="Y76" s="41">
        <v>1E-14</v>
      </c>
      <c r="Z76" s="41">
        <v>1E-14</v>
      </c>
      <c r="AA76" s="41">
        <v>1E-14</v>
      </c>
    </row>
    <row r="77" spans="1:27" x14ac:dyDescent="0.25">
      <c r="A77" s="41">
        <f t="shared" si="2"/>
        <v>1.1999999999999997E-13</v>
      </c>
      <c r="B77" s="54" t="s">
        <v>112</v>
      </c>
      <c r="C77" s="19" t="s">
        <v>17</v>
      </c>
      <c r="D77" s="41">
        <v>1E-14</v>
      </c>
      <c r="E77" s="41">
        <v>1E-14</v>
      </c>
      <c r="F77" s="41">
        <v>1E-14</v>
      </c>
      <c r="G77" s="41">
        <v>1E-14</v>
      </c>
      <c r="H77" s="41">
        <v>1E-14</v>
      </c>
      <c r="I77" s="41">
        <v>1E-14</v>
      </c>
      <c r="J77" s="41">
        <v>1E-14</v>
      </c>
      <c r="K77" s="41">
        <v>1E-14</v>
      </c>
      <c r="L77" s="41">
        <v>1E-14</v>
      </c>
      <c r="M77" s="41">
        <v>1E-14</v>
      </c>
      <c r="N77" s="41">
        <v>1E-14</v>
      </c>
      <c r="O77" s="41">
        <v>1E-14</v>
      </c>
      <c r="P77" s="41">
        <v>1E-14</v>
      </c>
      <c r="Q77" s="41">
        <v>1E-14</v>
      </c>
      <c r="R77" s="41">
        <v>1E-14</v>
      </c>
      <c r="S77" s="41">
        <v>1E-14</v>
      </c>
      <c r="T77" s="41">
        <v>1E-14</v>
      </c>
      <c r="U77" s="41">
        <v>1E-14</v>
      </c>
      <c r="V77" s="41">
        <v>1E-14</v>
      </c>
      <c r="W77" s="41">
        <v>1E-14</v>
      </c>
      <c r="X77" s="41">
        <v>1E-14</v>
      </c>
      <c r="Y77" s="41">
        <v>1E-14</v>
      </c>
      <c r="Z77" s="41">
        <v>1E-14</v>
      </c>
      <c r="AA77" s="41">
        <v>1E-14</v>
      </c>
    </row>
    <row r="78" spans="1:27" x14ac:dyDescent="0.25">
      <c r="A78" s="41">
        <f t="shared" si="2"/>
        <v>1.1999999999999997E-13</v>
      </c>
      <c r="B78" s="54" t="s">
        <v>112</v>
      </c>
      <c r="C78" s="19" t="s">
        <v>18</v>
      </c>
      <c r="D78" s="41">
        <v>1E-14</v>
      </c>
      <c r="E78" s="41">
        <v>1E-14</v>
      </c>
      <c r="F78" s="41">
        <v>1E-14</v>
      </c>
      <c r="G78" s="41">
        <v>1E-14</v>
      </c>
      <c r="H78" s="41">
        <v>1E-14</v>
      </c>
      <c r="I78" s="41">
        <v>1E-14</v>
      </c>
      <c r="J78" s="41">
        <v>1E-14</v>
      </c>
      <c r="K78" s="41">
        <v>1E-14</v>
      </c>
      <c r="L78" s="41">
        <v>1E-14</v>
      </c>
      <c r="M78" s="41">
        <v>1E-14</v>
      </c>
      <c r="N78" s="41">
        <v>1E-14</v>
      </c>
      <c r="O78" s="41">
        <v>1E-14</v>
      </c>
      <c r="P78" s="41">
        <v>1E-14</v>
      </c>
      <c r="Q78" s="41">
        <v>1E-14</v>
      </c>
      <c r="R78" s="41">
        <v>1E-14</v>
      </c>
      <c r="S78" s="41">
        <v>1E-14</v>
      </c>
      <c r="T78" s="41">
        <v>1E-14</v>
      </c>
      <c r="U78" s="41">
        <v>1E-14</v>
      </c>
      <c r="V78" s="41">
        <v>1E-14</v>
      </c>
      <c r="W78" s="41">
        <v>1E-14</v>
      </c>
      <c r="X78" s="41">
        <v>1E-14</v>
      </c>
      <c r="Y78" s="41">
        <v>1E-14</v>
      </c>
      <c r="Z78" s="41">
        <v>1E-14</v>
      </c>
      <c r="AA78" s="41">
        <v>1E-14</v>
      </c>
    </row>
    <row r="79" spans="1:27" x14ac:dyDescent="0.25">
      <c r="A79" s="41">
        <f t="shared" si="2"/>
        <v>23250</v>
      </c>
      <c r="B79" s="54" t="s">
        <v>112</v>
      </c>
      <c r="C79" s="19" t="s">
        <v>19</v>
      </c>
      <c r="D79" s="41">
        <v>1E-14</v>
      </c>
      <c r="E79" s="41">
        <v>1E-14</v>
      </c>
      <c r="F79" s="41">
        <v>1E-14</v>
      </c>
      <c r="G79" s="41">
        <v>1E-14</v>
      </c>
      <c r="H79" s="41">
        <v>1E-14</v>
      </c>
      <c r="I79" s="41">
        <v>1E-14</v>
      </c>
      <c r="J79" s="41">
        <v>1E-14</v>
      </c>
      <c r="K79" s="41">
        <v>1E-14</v>
      </c>
      <c r="L79" s="41">
        <v>1E-14</v>
      </c>
      <c r="M79" s="41">
        <v>1E-14</v>
      </c>
      <c r="N79" s="41">
        <v>1E-14</v>
      </c>
      <c r="O79" s="41">
        <v>23250</v>
      </c>
      <c r="P79" s="41">
        <v>23250</v>
      </c>
      <c r="Q79" s="41">
        <v>23250</v>
      </c>
      <c r="R79" s="41">
        <v>23250</v>
      </c>
      <c r="S79" s="41">
        <v>23250</v>
      </c>
      <c r="T79" s="41">
        <v>23250</v>
      </c>
      <c r="U79" s="41">
        <v>23250</v>
      </c>
      <c r="V79" s="41">
        <v>23250</v>
      </c>
      <c r="W79" s="41">
        <v>23250</v>
      </c>
      <c r="X79" s="41">
        <v>23250</v>
      </c>
      <c r="Y79" s="41">
        <v>23250</v>
      </c>
      <c r="Z79" s="41">
        <v>23250</v>
      </c>
      <c r="AA79" s="41">
        <v>23250</v>
      </c>
    </row>
    <row r="80" spans="1:27" x14ac:dyDescent="0.25">
      <c r="A80" s="41">
        <f t="shared" si="2"/>
        <v>1.1999999999999997E-13</v>
      </c>
      <c r="B80" s="54" t="s">
        <v>112</v>
      </c>
      <c r="C80" s="19" t="s">
        <v>20</v>
      </c>
      <c r="D80" s="41">
        <v>1E-14</v>
      </c>
      <c r="E80" s="41">
        <v>1E-14</v>
      </c>
      <c r="F80" s="41">
        <v>1E-14</v>
      </c>
      <c r="G80" s="41">
        <v>1E-14</v>
      </c>
      <c r="H80" s="41">
        <v>1E-14</v>
      </c>
      <c r="I80" s="41">
        <v>1E-14</v>
      </c>
      <c r="J80" s="41">
        <v>1E-14</v>
      </c>
      <c r="K80" s="41">
        <v>1E-14</v>
      </c>
      <c r="L80" s="41">
        <v>1E-14</v>
      </c>
      <c r="M80" s="41">
        <v>1E-14</v>
      </c>
      <c r="N80" s="41">
        <v>1E-14</v>
      </c>
      <c r="O80" s="41">
        <v>1E-14</v>
      </c>
      <c r="P80" s="41">
        <v>1E-14</v>
      </c>
      <c r="Q80" s="41">
        <v>1E-14</v>
      </c>
      <c r="R80" s="41">
        <v>1E-14</v>
      </c>
      <c r="S80" s="41">
        <v>1E-14</v>
      </c>
      <c r="T80" s="41">
        <v>1E-14</v>
      </c>
      <c r="U80" s="41">
        <v>1E-14</v>
      </c>
      <c r="V80" s="41">
        <v>1E-14</v>
      </c>
      <c r="W80" s="41">
        <v>1E-14</v>
      </c>
      <c r="X80" s="41">
        <v>1E-14</v>
      </c>
      <c r="Y80" s="41">
        <v>1E-14</v>
      </c>
      <c r="Z80" s="41">
        <v>1E-14</v>
      </c>
      <c r="AA80" s="41">
        <v>1E-14</v>
      </c>
    </row>
    <row r="81" spans="1:27" x14ac:dyDescent="0.25">
      <c r="A81" s="41">
        <f t="shared" si="2"/>
        <v>1.1999999999999997E-13</v>
      </c>
      <c r="B81" s="54" t="s">
        <v>112</v>
      </c>
      <c r="C81" s="19" t="s">
        <v>21</v>
      </c>
      <c r="D81" s="41">
        <v>1E-14</v>
      </c>
      <c r="E81" s="41">
        <v>1E-14</v>
      </c>
      <c r="F81" s="41">
        <v>1E-14</v>
      </c>
      <c r="G81" s="41">
        <v>1E-14</v>
      </c>
      <c r="H81" s="41">
        <v>1E-14</v>
      </c>
      <c r="I81" s="41">
        <v>1E-14</v>
      </c>
      <c r="J81" s="41">
        <v>1E-14</v>
      </c>
      <c r="K81" s="41">
        <v>1E-14</v>
      </c>
      <c r="L81" s="41">
        <v>1E-14</v>
      </c>
      <c r="M81" s="41">
        <v>1E-14</v>
      </c>
      <c r="N81" s="41">
        <v>1E-14</v>
      </c>
      <c r="O81" s="41">
        <v>1E-14</v>
      </c>
      <c r="P81" s="41">
        <v>1E-14</v>
      </c>
      <c r="Q81" s="41">
        <v>1E-14</v>
      </c>
      <c r="R81" s="41">
        <v>1E-14</v>
      </c>
      <c r="S81" s="41">
        <v>1E-14</v>
      </c>
      <c r="T81" s="41">
        <v>1E-14</v>
      </c>
      <c r="U81" s="41">
        <v>1E-14</v>
      </c>
      <c r="V81" s="41">
        <v>1E-14</v>
      </c>
      <c r="W81" s="41">
        <v>1E-14</v>
      </c>
      <c r="X81" s="41">
        <v>1E-14</v>
      </c>
      <c r="Y81" s="41">
        <v>1E-14</v>
      </c>
      <c r="Z81" s="41">
        <v>1E-14</v>
      </c>
      <c r="AA81" s="41">
        <v>1E-14</v>
      </c>
    </row>
    <row r="82" spans="1:27" x14ac:dyDescent="0.25">
      <c r="A82" s="41">
        <f t="shared" si="2"/>
        <v>82199.999999999985</v>
      </c>
      <c r="B82" s="54" t="s">
        <v>112</v>
      </c>
      <c r="C82" s="19" t="s">
        <v>22</v>
      </c>
      <c r="D82" s="41">
        <v>6850</v>
      </c>
      <c r="E82" s="41">
        <v>6847.9449999999906</v>
      </c>
      <c r="F82" s="41">
        <v>6850.6849999999995</v>
      </c>
      <c r="G82" s="41">
        <v>6850</v>
      </c>
      <c r="H82" s="41">
        <v>6850</v>
      </c>
      <c r="I82" s="41">
        <v>6850</v>
      </c>
      <c r="J82" s="41">
        <v>6850</v>
      </c>
      <c r="K82" s="41">
        <v>6850</v>
      </c>
      <c r="L82" s="41">
        <v>6850</v>
      </c>
      <c r="M82" s="41">
        <v>6850</v>
      </c>
      <c r="N82" s="41">
        <v>6850.6849999999995</v>
      </c>
      <c r="O82" s="41">
        <v>6850.6849999999995</v>
      </c>
      <c r="P82" s="41">
        <v>6850.6849999999995</v>
      </c>
      <c r="Q82" s="41">
        <v>6850.6849999999995</v>
      </c>
      <c r="R82" s="41">
        <v>6850.6849999999995</v>
      </c>
      <c r="S82" s="41">
        <v>6850.6849999999995</v>
      </c>
      <c r="T82" s="41">
        <v>6850.6849999999995</v>
      </c>
      <c r="U82" s="41">
        <v>6850.6849999999995</v>
      </c>
      <c r="V82" s="41">
        <v>6850.6849999999995</v>
      </c>
      <c r="W82" s="41">
        <v>6850.6849999999995</v>
      </c>
      <c r="X82" s="41">
        <v>6850.6849999999995</v>
      </c>
      <c r="Y82" s="41">
        <v>6850.6849999999995</v>
      </c>
      <c r="Z82" s="41">
        <v>6850.6849999999995</v>
      </c>
      <c r="AA82" s="41">
        <v>6850.6849999999995</v>
      </c>
    </row>
    <row r="83" spans="1:27" x14ac:dyDescent="0.25">
      <c r="A83" s="41">
        <f t="shared" si="2"/>
        <v>20000000.000000004</v>
      </c>
      <c r="B83" s="54" t="s">
        <v>112</v>
      </c>
      <c r="C83" s="19" t="s">
        <v>68</v>
      </c>
      <c r="D83" s="41">
        <v>1666833.3333333335</v>
      </c>
      <c r="E83" s="41">
        <v>1666500.0000000019</v>
      </c>
      <c r="F83" s="41">
        <v>1666666.6666666667</v>
      </c>
      <c r="G83" s="41">
        <v>1666666.6666666667</v>
      </c>
      <c r="H83" s="41">
        <v>1666666.6666666667</v>
      </c>
      <c r="I83" s="41">
        <v>1666666.6666666667</v>
      </c>
      <c r="J83" s="41">
        <v>1666666.666666667</v>
      </c>
      <c r="K83" s="41">
        <v>1666666.666666667</v>
      </c>
      <c r="L83" s="41">
        <v>1666666.6666666667</v>
      </c>
      <c r="M83" s="41">
        <v>1666666.6666666665</v>
      </c>
      <c r="N83" s="41">
        <v>1666666.6666666667</v>
      </c>
      <c r="O83" s="41">
        <v>1666666.6666666667</v>
      </c>
      <c r="P83" s="41">
        <v>1666666.6666666667</v>
      </c>
      <c r="Q83" s="41">
        <v>1666666.6666666667</v>
      </c>
      <c r="R83" s="41">
        <v>1666666.6666666667</v>
      </c>
      <c r="S83" s="41">
        <v>1666666.6666666667</v>
      </c>
      <c r="T83" s="41">
        <v>1666666.6666666667</v>
      </c>
      <c r="U83" s="41">
        <v>1666666.6666666667</v>
      </c>
      <c r="V83" s="41">
        <v>1666666.6666666667</v>
      </c>
      <c r="W83" s="41">
        <v>1666666.6666666667</v>
      </c>
      <c r="X83" s="41">
        <v>1666666.6666666667</v>
      </c>
      <c r="Y83" s="41">
        <v>1666666.6666666667</v>
      </c>
      <c r="Z83" s="41">
        <v>1666666.6666666667</v>
      </c>
      <c r="AA83" s="41">
        <v>1666666.6666666667</v>
      </c>
    </row>
    <row r="84" spans="1:27" x14ac:dyDescent="0.25">
      <c r="A84" s="41">
        <f t="shared" si="2"/>
        <v>1811058.9999749558</v>
      </c>
      <c r="B84" s="54" t="s">
        <v>112</v>
      </c>
      <c r="C84" s="19" t="s">
        <v>69</v>
      </c>
      <c r="D84" s="41">
        <v>150921.58333124616</v>
      </c>
      <c r="E84" s="41">
        <v>150921.58333124648</v>
      </c>
      <c r="F84" s="41">
        <v>150921.58333124637</v>
      </c>
      <c r="G84" s="41">
        <v>150921.58333124637</v>
      </c>
      <c r="H84" s="41">
        <v>150921.58333124628</v>
      </c>
      <c r="I84" s="41">
        <v>150921.58333124628</v>
      </c>
      <c r="J84" s="41">
        <v>150921.58333124587</v>
      </c>
      <c r="K84" s="41">
        <v>150921.58333124628</v>
      </c>
      <c r="L84" s="41">
        <v>150921.58333124628</v>
      </c>
      <c r="M84" s="41">
        <v>150921.58333124628</v>
      </c>
      <c r="N84" s="41">
        <v>150921.58333124628</v>
      </c>
      <c r="O84" s="41">
        <v>150921.58333124637</v>
      </c>
      <c r="P84" s="41">
        <v>150921.58333124637</v>
      </c>
      <c r="Q84" s="41">
        <v>150921.58333124637</v>
      </c>
      <c r="R84" s="41">
        <v>150921.58333124637</v>
      </c>
      <c r="S84" s="41">
        <v>150921.58333124637</v>
      </c>
      <c r="T84" s="41">
        <v>150921.58333124637</v>
      </c>
      <c r="U84" s="41">
        <v>150921.58333124637</v>
      </c>
      <c r="V84" s="41">
        <v>150921.58333124637</v>
      </c>
      <c r="W84" s="41">
        <v>150921.58333124637</v>
      </c>
      <c r="X84" s="41">
        <v>150921.58333124637</v>
      </c>
      <c r="Y84" s="41">
        <v>150921.58333124637</v>
      </c>
      <c r="Z84" s="41">
        <v>150921.58333124637</v>
      </c>
      <c r="AA84" s="41">
        <v>150921.58333124637</v>
      </c>
    </row>
    <row r="85" spans="1:27" x14ac:dyDescent="0.25">
      <c r="A85" s="41">
        <f t="shared" si="2"/>
        <v>-5038754.6390268933</v>
      </c>
      <c r="B85" s="54" t="s">
        <v>112</v>
      </c>
      <c r="C85" s="19" t="s">
        <v>23</v>
      </c>
      <c r="D85" s="41">
        <v>1E-14</v>
      </c>
      <c r="E85" s="41">
        <v>-1494211.7647058822</v>
      </c>
      <c r="F85" s="41">
        <v>-1079341.6029290794</v>
      </c>
      <c r="G85" s="41">
        <v>1E-14</v>
      </c>
      <c r="H85" s="41">
        <v>1E-14</v>
      </c>
      <c r="I85" s="41">
        <v>1E-14</v>
      </c>
      <c r="J85" s="41">
        <v>1E-14</v>
      </c>
      <c r="K85" s="41">
        <v>1E-14</v>
      </c>
      <c r="L85" s="41">
        <v>1E-14</v>
      </c>
      <c r="M85" s="41">
        <v>1E-14</v>
      </c>
      <c r="N85" s="41">
        <v>-874061.29369457334</v>
      </c>
      <c r="O85" s="41">
        <v>-1591139.977697358</v>
      </c>
      <c r="P85" s="41">
        <v>-1591139.977697358</v>
      </c>
      <c r="Q85" s="41">
        <v>-1591139.977697358</v>
      </c>
      <c r="R85" s="41">
        <v>-1591139.977697358</v>
      </c>
      <c r="S85" s="41">
        <v>-1591139.977697358</v>
      </c>
      <c r="T85" s="41">
        <v>-1591139.977697358</v>
      </c>
      <c r="U85" s="41">
        <v>-1591139.977697358</v>
      </c>
      <c r="V85" s="41">
        <v>-1591139.977697358</v>
      </c>
      <c r="W85" s="41">
        <v>-1591139.977697358</v>
      </c>
      <c r="X85" s="41">
        <v>-1591139.977697358</v>
      </c>
      <c r="Y85" s="41">
        <v>-1591139.977697358</v>
      </c>
      <c r="Z85" s="41">
        <v>-1591139.977697358</v>
      </c>
      <c r="AA85" s="41">
        <v>-1591139.977697358</v>
      </c>
    </row>
    <row r="86" spans="1:27" x14ac:dyDescent="0.25">
      <c r="A86" s="41">
        <f t="shared" si="2"/>
        <v>1.1999999999999997E-13</v>
      </c>
      <c r="B86" s="54" t="s">
        <v>112</v>
      </c>
      <c r="C86" s="19" t="s">
        <v>24</v>
      </c>
      <c r="D86" s="41">
        <v>1E-14</v>
      </c>
      <c r="E86" s="41">
        <v>1E-14</v>
      </c>
      <c r="F86" s="41">
        <v>1E-14</v>
      </c>
      <c r="G86" s="41">
        <v>1E-14</v>
      </c>
      <c r="H86" s="41">
        <v>1E-14</v>
      </c>
      <c r="I86" s="41">
        <v>1E-14</v>
      </c>
      <c r="J86" s="41">
        <v>1E-14</v>
      </c>
      <c r="K86" s="41">
        <v>1E-14</v>
      </c>
      <c r="L86" s="41">
        <v>1E-14</v>
      </c>
      <c r="M86" s="41">
        <v>1E-14</v>
      </c>
      <c r="N86" s="41">
        <v>1E-14</v>
      </c>
      <c r="O86" s="41">
        <v>1E-14</v>
      </c>
      <c r="P86" s="41">
        <v>1E-14</v>
      </c>
      <c r="Q86" s="41">
        <v>1E-14</v>
      </c>
      <c r="R86" s="41">
        <v>1E-14</v>
      </c>
      <c r="S86" s="41">
        <v>1E-14</v>
      </c>
      <c r="T86" s="41">
        <v>1E-14</v>
      </c>
      <c r="U86" s="41">
        <v>1E-14</v>
      </c>
      <c r="V86" s="41">
        <v>1E-14</v>
      </c>
      <c r="W86" s="41">
        <v>1E-14</v>
      </c>
      <c r="X86" s="41">
        <v>1E-14</v>
      </c>
      <c r="Y86" s="41">
        <v>1E-14</v>
      </c>
      <c r="Z86" s="41">
        <v>1E-14</v>
      </c>
      <c r="AA86" s="41">
        <v>1E-14</v>
      </c>
    </row>
    <row r="87" spans="1:27" x14ac:dyDescent="0.25">
      <c r="A87" s="41">
        <f t="shared" si="2"/>
        <v>-5638245.474862216</v>
      </c>
      <c r="B87" s="54" t="s">
        <v>112</v>
      </c>
      <c r="C87" s="19" t="s">
        <v>66</v>
      </c>
      <c r="D87" s="41">
        <v>-4457781.1416538171</v>
      </c>
      <c r="E87" s="41">
        <v>-1180464.3332083989</v>
      </c>
      <c r="F87" s="41">
        <v>1E-14</v>
      </c>
      <c r="G87" s="41">
        <v>1E-14</v>
      </c>
      <c r="H87" s="41">
        <v>1E-14</v>
      </c>
      <c r="I87" s="41">
        <v>1E-14</v>
      </c>
      <c r="J87" s="41">
        <v>1E-14</v>
      </c>
      <c r="K87" s="41">
        <v>1E-14</v>
      </c>
      <c r="L87" s="41">
        <v>1E-14</v>
      </c>
      <c r="M87" s="41">
        <v>1E-14</v>
      </c>
      <c r="N87" s="41">
        <v>1E-14</v>
      </c>
      <c r="O87" s="41">
        <v>1E-14</v>
      </c>
      <c r="P87" s="41">
        <v>1E-14</v>
      </c>
      <c r="Q87" s="41">
        <v>1E-14</v>
      </c>
      <c r="R87" s="41">
        <v>1E-14</v>
      </c>
      <c r="S87" s="41">
        <v>1E-14</v>
      </c>
      <c r="T87" s="41">
        <v>1E-14</v>
      </c>
      <c r="U87" s="41">
        <v>1E-14</v>
      </c>
      <c r="V87" s="41">
        <v>1E-14</v>
      </c>
      <c r="W87" s="41">
        <v>1E-14</v>
      </c>
      <c r="X87" s="41">
        <v>1E-14</v>
      </c>
      <c r="Y87" s="41">
        <v>1E-14</v>
      </c>
      <c r="Z87" s="41">
        <v>1E-14</v>
      </c>
      <c r="AA87" s="41">
        <v>1E-14</v>
      </c>
    </row>
    <row r="88" spans="1:27" x14ac:dyDescent="0.25">
      <c r="B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</row>
    <row r="89" spans="1:27" x14ac:dyDescent="0.25">
      <c r="A89" s="38"/>
      <c r="B89" s="38"/>
      <c r="C89" s="45" t="s">
        <v>71</v>
      </c>
      <c r="D89" s="39" t="s">
        <v>0</v>
      </c>
      <c r="E89" s="39" t="s">
        <v>121</v>
      </c>
      <c r="F89" s="39" t="s">
        <v>122</v>
      </c>
      <c r="G89" s="39" t="s">
        <v>123</v>
      </c>
      <c r="H89" s="39" t="s">
        <v>124</v>
      </c>
      <c r="I89" s="39" t="s">
        <v>125</v>
      </c>
      <c r="J89" s="39" t="s">
        <v>126</v>
      </c>
      <c r="K89" s="39" t="s">
        <v>127</v>
      </c>
      <c r="L89" s="39" t="s">
        <v>128</v>
      </c>
      <c r="M89" s="39" t="s">
        <v>129</v>
      </c>
      <c r="N89" s="39" t="s">
        <v>130</v>
      </c>
      <c r="O89" s="39" t="s">
        <v>131</v>
      </c>
      <c r="P89" s="39" t="s">
        <v>0</v>
      </c>
      <c r="Q89" s="39" t="s">
        <v>121</v>
      </c>
      <c r="R89" s="39" t="s">
        <v>122</v>
      </c>
      <c r="S89" s="39" t="s">
        <v>123</v>
      </c>
      <c r="T89" s="39" t="s">
        <v>124</v>
      </c>
      <c r="U89" s="39" t="s">
        <v>125</v>
      </c>
      <c r="V89" s="39" t="s">
        <v>126</v>
      </c>
      <c r="W89" s="39" t="s">
        <v>127</v>
      </c>
      <c r="X89" s="39" t="s">
        <v>128</v>
      </c>
      <c r="Y89" s="39" t="s">
        <v>129</v>
      </c>
      <c r="Z89" s="39" t="s">
        <v>130</v>
      </c>
      <c r="AA89" s="39" t="s">
        <v>131</v>
      </c>
    </row>
    <row r="90" spans="1:27" x14ac:dyDescent="0.25">
      <c r="B90" s="47"/>
      <c r="C90" s="14" t="s">
        <v>31</v>
      </c>
      <c r="D90" s="24">
        <v>0.70209896405159411</v>
      </c>
      <c r="E90" s="24">
        <v>0.69821694862155381</v>
      </c>
      <c r="F90" s="24">
        <v>0.70209896405159411</v>
      </c>
      <c r="G90" s="24">
        <v>0.57826086956521738</v>
      </c>
      <c r="H90" s="24">
        <v>0.57826086956521727</v>
      </c>
      <c r="I90" s="24">
        <v>0.59023368573753332</v>
      </c>
      <c r="J90" s="24">
        <v>0.71526771336553951</v>
      </c>
      <c r="K90" s="24">
        <v>0.71526771336553951</v>
      </c>
      <c r="L90" s="24">
        <v>0.59023368573753332</v>
      </c>
      <c r="M90" s="24">
        <v>0.57826086956521727</v>
      </c>
      <c r="N90" s="24">
        <v>0.69111070770142935</v>
      </c>
      <c r="O90" s="24">
        <v>0.6879067427965635</v>
      </c>
      <c r="P90" s="24">
        <v>0.70209896405159411</v>
      </c>
      <c r="Q90" s="24">
        <v>0.69821694862155381</v>
      </c>
      <c r="R90" s="24">
        <v>0.70209896405159411</v>
      </c>
      <c r="S90" s="24">
        <v>0.57826086956521738</v>
      </c>
      <c r="T90" s="24">
        <v>0.57826086956521727</v>
      </c>
      <c r="U90" s="24">
        <v>0.59023368573753332</v>
      </c>
      <c r="V90" s="24">
        <v>0.71526771336553951</v>
      </c>
      <c r="W90" s="24">
        <v>0.71526771336553951</v>
      </c>
      <c r="X90" s="24">
        <v>0.59023368573753332</v>
      </c>
      <c r="Y90" s="24">
        <v>0.57826086956521727</v>
      </c>
      <c r="Z90" s="24">
        <v>0.69111070770142935</v>
      </c>
      <c r="AA90" s="24">
        <v>0.6879067427965635</v>
      </c>
    </row>
    <row r="91" spans="1:27" x14ac:dyDescent="0.25">
      <c r="B91" s="47"/>
      <c r="C91" s="14" t="s">
        <v>32</v>
      </c>
      <c r="D91" s="24">
        <v>0.89912233222432425</v>
      </c>
      <c r="E91" s="24">
        <v>0.90165584090241047</v>
      </c>
      <c r="F91" s="24">
        <v>0.89911780844838263</v>
      </c>
      <c r="G91" s="24">
        <v>0.76828282828282823</v>
      </c>
      <c r="H91" s="24">
        <v>0.57272727272727264</v>
      </c>
      <c r="I91" s="24">
        <v>0.57272727272727264</v>
      </c>
      <c r="J91" s="24">
        <v>0.6332671678323184</v>
      </c>
      <c r="K91" s="24">
        <v>0.6332671678323184</v>
      </c>
      <c r="L91" s="24">
        <v>0.57272727272727264</v>
      </c>
      <c r="M91" s="24">
        <v>0.72103616813294236</v>
      </c>
      <c r="N91" s="24">
        <v>0.89141877149309823</v>
      </c>
      <c r="O91" s="24">
        <v>0.95799380974017434</v>
      </c>
      <c r="P91" s="24">
        <v>0.89912233222432425</v>
      </c>
      <c r="Q91" s="24">
        <v>0.90165584090241047</v>
      </c>
      <c r="R91" s="24">
        <v>0.89911780844838263</v>
      </c>
      <c r="S91" s="24">
        <v>0.76828282828282823</v>
      </c>
      <c r="T91" s="24">
        <v>0.57272727272727264</v>
      </c>
      <c r="U91" s="24">
        <v>0.57272727272727264</v>
      </c>
      <c r="V91" s="24">
        <v>0.6332671678323184</v>
      </c>
      <c r="W91" s="24">
        <v>0.6332671678323184</v>
      </c>
      <c r="X91" s="24">
        <v>0.57272727272727264</v>
      </c>
      <c r="Y91" s="24">
        <v>0.72103616813294236</v>
      </c>
      <c r="Z91" s="24">
        <v>0.89141877149309823</v>
      </c>
      <c r="AA91" s="24">
        <v>0.95799380974017434</v>
      </c>
    </row>
    <row r="92" spans="1:27" x14ac:dyDescent="0.25">
      <c r="B92" s="47"/>
      <c r="C92" s="14" t="s">
        <v>33</v>
      </c>
      <c r="D92" s="24">
        <v>1E-14</v>
      </c>
      <c r="E92" s="24">
        <v>1</v>
      </c>
      <c r="F92" s="24">
        <v>0.6524437919509285</v>
      </c>
      <c r="G92" s="24">
        <v>1E-14</v>
      </c>
      <c r="H92" s="24">
        <v>1E-14</v>
      </c>
      <c r="I92" s="24">
        <v>1E-14</v>
      </c>
      <c r="J92" s="24">
        <v>1E-14</v>
      </c>
      <c r="K92" s="24">
        <v>1E-14</v>
      </c>
      <c r="L92" s="24">
        <v>1E-14</v>
      </c>
      <c r="M92" s="24">
        <v>1E-14</v>
      </c>
      <c r="N92" s="24">
        <v>0.54596715141121932</v>
      </c>
      <c r="O92" s="24">
        <v>0.96181727615829948</v>
      </c>
      <c r="P92" s="24">
        <v>1E-14</v>
      </c>
      <c r="Q92" s="24">
        <v>1</v>
      </c>
      <c r="R92" s="24">
        <v>0.6524437919509285</v>
      </c>
      <c r="S92" s="24">
        <v>1E-14</v>
      </c>
      <c r="T92" s="24">
        <v>1E-14</v>
      </c>
      <c r="U92" s="24">
        <v>1E-14</v>
      </c>
      <c r="V92" s="24">
        <v>1E-14</v>
      </c>
      <c r="W92" s="24">
        <v>1E-14</v>
      </c>
      <c r="X92" s="24">
        <v>1E-14</v>
      </c>
      <c r="Y92" s="24">
        <v>1E-14</v>
      </c>
      <c r="Z92" s="24">
        <v>0.54596715141121932</v>
      </c>
      <c r="AA92" s="24">
        <v>0.96181727615829948</v>
      </c>
    </row>
    <row r="93" spans="1:27" x14ac:dyDescent="0.25">
      <c r="B93" s="47"/>
      <c r="C93" s="14" t="s">
        <v>34</v>
      </c>
      <c r="D93" s="24">
        <v>0.14646234336377537</v>
      </c>
      <c r="E93" s="24">
        <v>4.2940170850834618E-2</v>
      </c>
      <c r="F93" s="24">
        <v>1E-14</v>
      </c>
      <c r="G93" s="24">
        <v>1E-14</v>
      </c>
      <c r="H93" s="24">
        <v>1E-14</v>
      </c>
      <c r="I93" s="24">
        <v>1E-14</v>
      </c>
      <c r="J93" s="24">
        <v>1E-14</v>
      </c>
      <c r="K93" s="24">
        <v>1E-14</v>
      </c>
      <c r="L93" s="24">
        <v>1E-14</v>
      </c>
      <c r="M93" s="24">
        <v>1E-14</v>
      </c>
      <c r="N93" s="24">
        <v>1E-14</v>
      </c>
      <c r="O93" s="24">
        <v>1E-14</v>
      </c>
      <c r="P93" s="24">
        <v>0.14646234336377537</v>
      </c>
      <c r="Q93" s="24">
        <v>4.2940170850834618E-2</v>
      </c>
      <c r="R93" s="24">
        <v>1E-14</v>
      </c>
      <c r="S93" s="24">
        <v>1E-14</v>
      </c>
      <c r="T93" s="24">
        <v>1E-14</v>
      </c>
      <c r="U93" s="24">
        <v>1E-14</v>
      </c>
      <c r="V93" s="24">
        <v>1E-14</v>
      </c>
      <c r="W93" s="24">
        <v>1E-14</v>
      </c>
      <c r="X93" s="24">
        <v>1E-14</v>
      </c>
      <c r="Y93" s="24">
        <v>1E-14</v>
      </c>
      <c r="Z93" s="24">
        <v>1E-14</v>
      </c>
      <c r="AA93" s="24">
        <v>1E-14</v>
      </c>
    </row>
    <row r="94" spans="1:27" x14ac:dyDescent="0.25">
      <c r="B94" s="47"/>
      <c r="C94" s="14" t="s">
        <v>67</v>
      </c>
      <c r="D94" s="24">
        <v>1E-14</v>
      </c>
      <c r="E94" s="24">
        <v>1E-14</v>
      </c>
      <c r="F94" s="24">
        <v>1E-14</v>
      </c>
      <c r="G94" s="24">
        <v>1E-14</v>
      </c>
      <c r="H94" s="24">
        <v>1E-14</v>
      </c>
      <c r="I94" s="24">
        <v>1E-14</v>
      </c>
      <c r="J94" s="24">
        <v>1E-14</v>
      </c>
      <c r="K94" s="24">
        <v>1E-14</v>
      </c>
      <c r="L94" s="24">
        <v>1E-14</v>
      </c>
      <c r="M94" s="24">
        <v>1E-14</v>
      </c>
      <c r="N94" s="24">
        <v>1E-14</v>
      </c>
      <c r="O94" s="24">
        <v>1E-14</v>
      </c>
      <c r="P94" s="24">
        <v>1E-14</v>
      </c>
      <c r="Q94" s="24">
        <v>1E-14</v>
      </c>
      <c r="R94" s="24">
        <v>1E-14</v>
      </c>
      <c r="S94" s="24">
        <v>1E-14</v>
      </c>
      <c r="T94" s="24">
        <v>1E-14</v>
      </c>
      <c r="U94" s="24">
        <v>1E-14</v>
      </c>
      <c r="V94" s="24">
        <v>1E-14</v>
      </c>
      <c r="W94" s="24">
        <v>1E-14</v>
      </c>
      <c r="X94" s="24">
        <v>1E-14</v>
      </c>
      <c r="Y94" s="24">
        <v>1E-14</v>
      </c>
      <c r="Z94" s="24">
        <v>1E-14</v>
      </c>
      <c r="AA94" s="24">
        <v>1E-14</v>
      </c>
    </row>
    <row r="95" spans="1:27" x14ac:dyDescent="0.25">
      <c r="B95" s="47"/>
      <c r="C95" s="14" t="s">
        <v>35</v>
      </c>
      <c r="D95" s="24">
        <v>1E-14</v>
      </c>
      <c r="E95" s="24">
        <v>1E-14</v>
      </c>
      <c r="F95" s="24">
        <v>1E-14</v>
      </c>
      <c r="G95" s="24">
        <v>1E-14</v>
      </c>
      <c r="H95" s="24">
        <v>0.32845878136200696</v>
      </c>
      <c r="I95" s="24">
        <v>0.80806804795433085</v>
      </c>
      <c r="J95" s="24">
        <v>0.66584096261094294</v>
      </c>
      <c r="K95" s="24">
        <v>0.71064382999445541</v>
      </c>
      <c r="L95" s="24">
        <v>0.76177175165803457</v>
      </c>
      <c r="M95" s="24">
        <v>1E-14</v>
      </c>
      <c r="N95" s="24">
        <v>1E-14</v>
      </c>
      <c r="O95" s="24">
        <v>1E-14</v>
      </c>
      <c r="P95" s="24">
        <v>1E-14</v>
      </c>
      <c r="Q95" s="24">
        <v>1E-14</v>
      </c>
      <c r="R95" s="24">
        <v>1E-14</v>
      </c>
      <c r="S95" s="24">
        <v>1E-14</v>
      </c>
      <c r="T95" s="24">
        <v>0.32845878136200696</v>
      </c>
      <c r="U95" s="24">
        <v>0.80806804795433085</v>
      </c>
      <c r="V95" s="24">
        <v>0.66584096261094294</v>
      </c>
      <c r="W95" s="24">
        <v>0.71064382999445541</v>
      </c>
      <c r="X95" s="24">
        <v>0.76177175165803457</v>
      </c>
      <c r="Y95" s="24">
        <v>1E-14</v>
      </c>
      <c r="Z95" s="24">
        <v>1E-14</v>
      </c>
      <c r="AA95" s="24">
        <v>1E-14</v>
      </c>
    </row>
  </sheetData>
  <phoneticPr fontId="15" type="noConversion"/>
  <conditionalFormatting sqref="D22:AA27">
    <cfRule type="colorScale" priority="1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2:A87">
    <cfRule type="cellIs" dxfId="8" priority="19" operator="lessThan">
      <formula>0.0000000000012</formula>
    </cfRule>
  </conditionalFormatting>
  <conditionalFormatting sqref="D90:AA95">
    <cfRule type="cellIs" dxfId="7" priority="18" operator="lessThan">
      <formula>0.0000000000001</formula>
    </cfRule>
  </conditionalFormatting>
  <conditionalFormatting sqref="D62:AA87">
    <cfRule type="colorScale" priority="11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30:AA60">
    <cfRule type="colorScale" priority="31">
      <colorScale>
        <cfvo type="min"/>
        <cfvo type="max"/>
        <color rgb="FFFCFCFF"/>
        <color rgb="FF63BE7B"/>
      </colorScale>
    </cfRule>
  </conditionalFormatting>
  <conditionalFormatting sqref="A30:A58 A7:A8 A62:A87 C62:AA87 C7:O8 C30:AA58 C10:O13 A10:A13 A15:A18 C15:O18">
    <cfRule type="cellIs" dxfId="6" priority="16" operator="between">
      <formula>-0.0000000000001</formula>
      <formula>0.0000000000001</formula>
    </cfRule>
  </conditionalFormatting>
  <conditionalFormatting sqref="A62:A87">
    <cfRule type="colorScale" priority="1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30:A58">
    <cfRule type="colorScale" priority="9">
      <colorScale>
        <cfvo type="min"/>
        <cfvo type="max"/>
        <color rgb="FFFCFCFF"/>
        <color rgb="FF63BE7B"/>
      </colorScale>
    </cfRule>
  </conditionalFormatting>
  <conditionalFormatting sqref="A22:A27">
    <cfRule type="colorScale" priority="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5" priority="6" operator="between">
      <formula>-0.0000000000001</formula>
      <formula>0.0000000000001</formula>
    </cfRule>
  </conditionalFormatting>
  <conditionalFormatting sqref="P7:AA8 P10:AA13 P15:AA18">
    <cfRule type="cellIs" dxfId="4" priority="5" operator="between">
      <formula>-0.0000000000001</formula>
      <formula>0.0000000000001</formula>
    </cfRule>
  </conditionalFormatting>
  <conditionalFormatting sqref="A9 C9:O9">
    <cfRule type="cellIs" dxfId="3" priority="4" operator="between">
      <formula>-0.0000000000001</formula>
      <formula>0.0000000000001</formula>
    </cfRule>
  </conditionalFormatting>
  <conditionalFormatting sqref="P9:AA9">
    <cfRule type="cellIs" dxfId="2" priority="3" operator="between">
      <formula>-0.0000000000001</formula>
      <formula>0.0000000000001</formula>
    </cfRule>
  </conditionalFormatting>
  <conditionalFormatting sqref="C14:O14 A14">
    <cfRule type="cellIs" dxfId="1" priority="2" operator="between">
      <formula>-0.0000000000001</formula>
      <formula>0.0000000000001</formula>
    </cfRule>
  </conditionalFormatting>
  <conditionalFormatting sqref="P14:AA1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/>
  </sheetViews>
  <sheetFormatPr defaultRowHeight="15" x14ac:dyDescent="0.25"/>
  <cols>
    <col min="2" max="2" width="15.85546875" style="47" bestFit="1" customWidth="1"/>
    <col min="3" max="3" width="32.85546875" bestFit="1" customWidth="1"/>
    <col min="4" max="4" width="14.5703125" bestFit="1" customWidth="1"/>
  </cols>
  <sheetData>
    <row r="2" spans="2:4" x14ac:dyDescent="0.25">
      <c r="B2" s="48" t="s">
        <v>111</v>
      </c>
    </row>
    <row r="3" spans="2:4" x14ac:dyDescent="0.25">
      <c r="B3" s="50" t="s">
        <v>2</v>
      </c>
      <c r="C3" s="50" t="s">
        <v>87</v>
      </c>
      <c r="D3" s="50" t="s">
        <v>2</v>
      </c>
    </row>
    <row r="4" spans="2:4" x14ac:dyDescent="0.25">
      <c r="B4" s="51" t="s">
        <v>3</v>
      </c>
      <c r="C4" s="50" t="s">
        <v>88</v>
      </c>
      <c r="D4" s="51" t="s">
        <v>3</v>
      </c>
    </row>
    <row r="5" spans="2:4" x14ac:dyDescent="0.25">
      <c r="B5" s="51" t="s">
        <v>4</v>
      </c>
      <c r="C5" s="50" t="s">
        <v>89</v>
      </c>
      <c r="D5" s="51" t="s">
        <v>4</v>
      </c>
    </row>
    <row r="6" spans="2:4" x14ac:dyDescent="0.25">
      <c r="B6" s="52" t="s">
        <v>5</v>
      </c>
      <c r="C6" s="50" t="s">
        <v>90</v>
      </c>
      <c r="D6" s="52" t="s">
        <v>5</v>
      </c>
    </row>
    <row r="7" spans="2:4" x14ac:dyDescent="0.25">
      <c r="B7" s="52" t="s">
        <v>6</v>
      </c>
      <c r="C7" s="50" t="s">
        <v>91</v>
      </c>
      <c r="D7" s="52" t="s">
        <v>6</v>
      </c>
    </row>
    <row r="8" spans="2:4" x14ac:dyDescent="0.25">
      <c r="B8" s="52" t="s">
        <v>7</v>
      </c>
      <c r="C8" s="50" t="s">
        <v>92</v>
      </c>
      <c r="D8" s="52" t="s">
        <v>7</v>
      </c>
    </row>
    <row r="9" spans="2:4" x14ac:dyDescent="0.25">
      <c r="B9" s="52" t="s">
        <v>8</v>
      </c>
      <c r="C9" s="50" t="s">
        <v>93</v>
      </c>
      <c r="D9" s="52" t="s">
        <v>8</v>
      </c>
    </row>
    <row r="10" spans="2:4" x14ac:dyDescent="0.25">
      <c r="B10" s="52" t="s">
        <v>9</v>
      </c>
      <c r="C10" s="50" t="s">
        <v>94</v>
      </c>
      <c r="D10" s="52" t="s">
        <v>9</v>
      </c>
    </row>
    <row r="11" spans="2:4" x14ac:dyDescent="0.25">
      <c r="B11" s="52" t="s">
        <v>10</v>
      </c>
      <c r="C11" s="50" t="s">
        <v>95</v>
      </c>
      <c r="D11" s="52" t="s">
        <v>10</v>
      </c>
    </row>
    <row r="12" spans="2:4" x14ac:dyDescent="0.25">
      <c r="B12" s="52" t="s">
        <v>11</v>
      </c>
      <c r="C12" s="50" t="s">
        <v>96</v>
      </c>
      <c r="D12" s="52" t="s">
        <v>11</v>
      </c>
    </row>
    <row r="13" spans="2:4" x14ac:dyDescent="0.25">
      <c r="B13" s="52" t="s">
        <v>12</v>
      </c>
      <c r="C13" s="50" t="s">
        <v>97</v>
      </c>
      <c r="D13" s="52" t="s">
        <v>12</v>
      </c>
    </row>
    <row r="14" spans="2:4" x14ac:dyDescent="0.25">
      <c r="B14" s="52" t="s">
        <v>13</v>
      </c>
      <c r="C14" s="50" t="s">
        <v>98</v>
      </c>
      <c r="D14" s="52" t="s">
        <v>13</v>
      </c>
    </row>
    <row r="15" spans="2:4" x14ac:dyDescent="0.25">
      <c r="B15" s="51" t="s">
        <v>14</v>
      </c>
      <c r="C15" s="50" t="s">
        <v>99</v>
      </c>
      <c r="D15" s="51" t="s">
        <v>14</v>
      </c>
    </row>
    <row r="16" spans="2:4" x14ac:dyDescent="0.25">
      <c r="B16" s="52" t="s">
        <v>15</v>
      </c>
      <c r="C16" s="50" t="s">
        <v>100</v>
      </c>
      <c r="D16" s="52" t="s">
        <v>15</v>
      </c>
    </row>
    <row r="17" spans="2:4" x14ac:dyDescent="0.25">
      <c r="B17" s="52" t="s">
        <v>16</v>
      </c>
      <c r="C17" s="50" t="s">
        <v>101</v>
      </c>
      <c r="D17" s="52" t="s">
        <v>16</v>
      </c>
    </row>
    <row r="18" spans="2:4" x14ac:dyDescent="0.25">
      <c r="B18" s="52" t="s">
        <v>17</v>
      </c>
      <c r="C18" s="50" t="s">
        <v>102</v>
      </c>
      <c r="D18" s="52" t="s">
        <v>17</v>
      </c>
    </row>
    <row r="19" spans="2:4" x14ac:dyDescent="0.25">
      <c r="B19" s="51" t="s">
        <v>18</v>
      </c>
      <c r="C19" s="50" t="s">
        <v>103</v>
      </c>
      <c r="D19" s="51" t="s">
        <v>18</v>
      </c>
    </row>
    <row r="20" spans="2:4" x14ac:dyDescent="0.25">
      <c r="B20" s="51" t="s">
        <v>20</v>
      </c>
      <c r="C20" s="50" t="s">
        <v>104</v>
      </c>
      <c r="D20" s="51" t="s">
        <v>20</v>
      </c>
    </row>
    <row r="21" spans="2:4" x14ac:dyDescent="0.25">
      <c r="B21" s="52" t="s">
        <v>21</v>
      </c>
      <c r="C21" s="50" t="s">
        <v>105</v>
      </c>
      <c r="D21" s="52" t="s">
        <v>21</v>
      </c>
    </row>
    <row r="22" spans="2:4" x14ac:dyDescent="0.25">
      <c r="B22" s="50" t="s">
        <v>22</v>
      </c>
      <c r="C22" s="50" t="s">
        <v>106</v>
      </c>
      <c r="D22" s="50" t="s">
        <v>22</v>
      </c>
    </row>
    <row r="23" spans="2:4" x14ac:dyDescent="0.25">
      <c r="B23" s="50" t="s">
        <v>19</v>
      </c>
      <c r="C23" s="50" t="s">
        <v>107</v>
      </c>
      <c r="D23" s="50" t="s">
        <v>19</v>
      </c>
    </row>
    <row r="24" spans="2:4" x14ac:dyDescent="0.25">
      <c r="B24" s="50" t="s">
        <v>68</v>
      </c>
      <c r="C24" s="50" t="s">
        <v>108</v>
      </c>
      <c r="D24" s="50" t="s">
        <v>68</v>
      </c>
    </row>
    <row r="25" spans="2:4" x14ac:dyDescent="0.25">
      <c r="B25" s="50" t="s">
        <v>69</v>
      </c>
      <c r="C25" s="50" t="s">
        <v>109</v>
      </c>
      <c r="D25" s="50" t="s">
        <v>69</v>
      </c>
    </row>
    <row r="26" spans="2:4" s="47" customFormat="1" x14ac:dyDescent="0.25">
      <c r="B26" s="50" t="s">
        <v>182</v>
      </c>
      <c r="C26" s="50" t="s">
        <v>189</v>
      </c>
      <c r="D26" s="50" t="s">
        <v>182</v>
      </c>
    </row>
    <row r="27" spans="2:4" s="47" customFormat="1" x14ac:dyDescent="0.25">
      <c r="B27" s="50" t="s">
        <v>183</v>
      </c>
      <c r="C27" s="50" t="s">
        <v>190</v>
      </c>
      <c r="D27" s="50" t="s">
        <v>183</v>
      </c>
    </row>
    <row r="28" spans="2:4" s="47" customFormat="1" x14ac:dyDescent="0.25">
      <c r="B28" s="50" t="s">
        <v>184</v>
      </c>
      <c r="C28" s="50" t="s">
        <v>191</v>
      </c>
      <c r="D28" s="50" t="s">
        <v>184</v>
      </c>
    </row>
    <row r="29" spans="2:4" x14ac:dyDescent="0.25">
      <c r="B29" s="50" t="s">
        <v>23</v>
      </c>
      <c r="C29" s="50" t="s">
        <v>23</v>
      </c>
      <c r="D29" s="50" t="s">
        <v>23</v>
      </c>
    </row>
    <row r="30" spans="2:4" x14ac:dyDescent="0.25">
      <c r="B30" s="50" t="s">
        <v>24</v>
      </c>
      <c r="C30" s="50" t="s">
        <v>110</v>
      </c>
      <c r="D30" s="50" t="s">
        <v>24</v>
      </c>
    </row>
    <row r="31" spans="2:4" x14ac:dyDescent="0.25">
      <c r="B31" s="50" t="s">
        <v>66</v>
      </c>
      <c r="C31" s="50" t="s">
        <v>66</v>
      </c>
      <c r="D31" s="50" t="s">
        <v>66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Inputs</vt:lpstr>
      <vt:lpstr>Overblik</vt:lpstr>
      <vt:lpstr>Lister</vt:lpstr>
      <vt:lpstr>cVarme</vt:lpstr>
      <vt:lpstr>cBrændsler</vt:lpstr>
      <vt:lpstr>cKapacUdnyttelse</vt:lpstr>
      <vt:lpstr>lookupFuelName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2021-11-29T15:26:10Z</dcterms:modified>
</cp:coreProperties>
</file>