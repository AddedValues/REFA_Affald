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220DDA2-79EC-482C-86E2-ECB509FFC187}" xr6:coauthVersionLast="47" xr6:coauthVersionMax="47" xr10:uidLastSave="{00000000-0000-0000-0000-000000000000}"/>
  <bookViews>
    <workbookView xWindow="2685" yWindow="660" windowWidth="20745" windowHeight="13185" xr2:uid="{82C3324D-31D0-4A40-8A1A-11BE9452E5B5}"/>
  </bookViews>
  <sheets>
    <sheet name="Overblik" sheetId="4" r:id="rId1"/>
    <sheet name="Inputs" sheetId="6" r:id="rId2"/>
    <sheet name="DUMP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3" i="4" l="1"/>
  <c r="A74" i="4"/>
  <c r="A75" i="4"/>
  <c r="A42" i="4"/>
  <c r="A43" i="4"/>
  <c r="A44" i="4"/>
  <c r="A45" i="4"/>
  <c r="A46" i="4"/>
  <c r="A47" i="4"/>
  <c r="A81" i="4"/>
  <c r="A80" i="4"/>
  <c r="A79" i="4"/>
  <c r="A78" i="4"/>
  <c r="A77" i="4"/>
  <c r="A76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41" i="4"/>
  <c r="A48" i="4"/>
  <c r="A49" i="4"/>
  <c r="A50" i="4"/>
  <c r="A51" i="4"/>
  <c r="A52" i="4"/>
  <c r="A53" i="4"/>
  <c r="A15" i="4"/>
  <c r="A13" i="4"/>
  <c r="A8" i="4"/>
  <c r="A9" i="4"/>
  <c r="A10" i="4"/>
  <c r="A11" i="4"/>
  <c r="A12" i="4"/>
  <c r="A16" i="4"/>
  <c r="A19" i="4"/>
  <c r="A20" i="4"/>
  <c r="A21" i="4"/>
  <c r="A22" i="4"/>
  <c r="A23" i="4"/>
  <c r="A24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7" i="4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H15" i="1"/>
  <c r="D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4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tc={FBF1AC24-3947-4E14-802B-0907425F5130}</author>
  </authors>
  <commentList>
    <comment ref="F3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4" authorId="1" shapeId="0" xr:uid="{FBF1AC24-3947-4E14-802B-0907425F5130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</commentList>
</comments>
</file>

<file path=xl/sharedStrings.xml><?xml version="1.0" encoding="utf-8"?>
<sst xmlns="http://schemas.openxmlformats.org/spreadsheetml/2006/main" count="422" uniqueCount="106">
  <si>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</si>
  <si>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</si>
  <si>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</si>
  <si>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</si>
  <si>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</si>
  <si>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</si>
  <si>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</si>
  <si>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</si>
  <si>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</si>
  <si>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</si>
  <si>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</si>
  <si>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</si>
  <si>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</si>
  <si>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IncomeTotal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</si>
  <si>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</si>
  <si>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</si>
  <si>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</si>
  <si>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</si>
  <si>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</si>
  <si>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</si>
  <si>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</si>
  <si>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</si>
  <si>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</si>
  <si>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</si>
  <si>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</si>
  <si>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</si>
  <si>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</si>
  <si>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</si>
  <si>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</si>
  <si>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</si>
  <si>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</si>
  <si>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</si>
  <si>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</si>
  <si>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</si>
  <si>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</si>
  <si>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</si>
  <si>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</si>
  <si>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IncomeF</t>
  </si>
  <si>
    <t>on/off</t>
  </si>
  <si>
    <t>MWq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</si>
  <si>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</si>
  <si>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</si>
  <si>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</si>
  <si>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</si>
  <si>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</si>
  <si>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</si>
  <si>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</si>
  <si>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</si>
  <si>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</si>
  <si>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</si>
  <si>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ndage</t>
  </si>
  <si>
    <t>varmebehov</t>
  </si>
  <si>
    <t>ELprod</t>
  </si>
  <si>
    <t>ets</t>
  </si>
  <si>
    <t>afv</t>
  </si>
  <si>
    <t>atl</t>
  </si>
  <si>
    <t>ton/år</t>
  </si>
  <si>
    <t>DKK/ton</t>
  </si>
  <si>
    <t>GJ/ton</t>
  </si>
  <si>
    <t>DKK/GJ</t>
  </si>
  <si>
    <t>fkind</t>
  </si>
  <si>
    <t>pris</t>
  </si>
  <si>
    <t>brandv</t>
  </si>
  <si>
    <t>FuelBounds</t>
  </si>
  <si>
    <t>max</t>
  </si>
  <si>
    <t>Varmepris</t>
  </si>
  <si>
    <t>Indkomst</t>
  </si>
  <si>
    <t>AnlaegsOmk</t>
  </si>
  <si>
    <t>BraendselOmk</t>
  </si>
  <si>
    <t>RGKvarme</t>
  </si>
  <si>
    <t>RGKandel</t>
  </si>
  <si>
    <t>RGKrabat</t>
  </si>
  <si>
    <t>Overblik</t>
  </si>
  <si>
    <t>AvailDaysU</t>
  </si>
  <si>
    <t>DataFuel</t>
  </si>
  <si>
    <t>NPV [DKK]</t>
  </si>
  <si>
    <t>Varmemaengder [MWhq]</t>
  </si>
  <si>
    <t>Braendselsforbrug [ton]</t>
  </si>
  <si>
    <t>SUM eller middel</t>
  </si>
  <si>
    <t>Tidsstempel</t>
  </si>
  <si>
    <t>Anlægsdata</t>
  </si>
  <si>
    <t>ton/h</t>
  </si>
  <si>
    <t>kapTon</t>
  </si>
  <si>
    <t>kapNom</t>
  </si>
  <si>
    <t>DataU</t>
  </si>
  <si>
    <t>PeakFuel</t>
  </si>
  <si>
    <t>ns</t>
  </si>
  <si>
    <t>NyAff1</t>
  </si>
  <si>
    <t>NyAff2</t>
  </si>
  <si>
    <t>bortskaffes</t>
  </si>
  <si>
    <t>Kapacitetsudnyttelse</t>
  </si>
  <si>
    <t>Braendselsindkomst [DKK]</t>
  </si>
  <si>
    <t>Bortkoeling</t>
  </si>
  <si>
    <t>FJV-behov</t>
  </si>
  <si>
    <t>VarmeProd</t>
  </si>
  <si>
    <t>minLhv</t>
  </si>
  <si>
    <t>minTonnage</t>
  </si>
  <si>
    <t>maxTonnage</t>
  </si>
  <si>
    <t>co2andel</t>
  </si>
  <si>
    <t>prisbv</t>
  </si>
  <si>
    <t>min</t>
  </si>
  <si>
    <t>lagerbar</t>
  </si>
  <si>
    <t>minlast</t>
  </si>
  <si>
    <t>kapMin</t>
  </si>
  <si>
    <t>aux</t>
  </si>
  <si>
    <t>fri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</si>
</sst>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_-* #,##0.00\ _k_r_._-;\-* #,##0.00\ _k_r_._-;_-* &quot;-&quot;??\ _k_r_._-;_-@_-"/>
    <numFmt numFmtId="167" formatCode="yyyy/mm/dd\ hh:mm;@"/>
    <numFmt numFmtId="168" formatCode="0\ %"/>
    <numFmt numFmtId="169" formatCode="_-* #,##0_-;\-#,##0_-;_-* &quot;-&quot;??_-;_-@_-"/>
    <numFmt numFmtId="170" formatCode="_-#,##0_-;\-#,##0_-;_-* &quot;-&quot;??_-;_-@_-"/>
    <numFmt numFmtId="171" formatCode="0.0\ %"/>
    <numFmt numFmtId="172" formatCode="_-#,##0.00_-;\-#,##0.00_-;_-* &quot;-&quot;??_-;_-@_-"/>
    <numFmt numFmtId="173" formatCode="0.000"/>
    <numFmt numFmtId="174" formatCode="0.0"/>
    <numFmt numFmtId="175" formatCode="_-#,##0\ ;\-#,##0\ ;_-* &quot;-&quot;??\ _k_r_._-;_-@_-"/>
    <numFmt numFmtId="176" formatCode="yyyy\ mmm\ dd\ hh:mm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2" borderId="1" applyNumberFormat="0" applyFont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3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2" fillId="3" borderId="0" xfId="0" applyFont="1" applyFill="1"/>
    <xf numFmtId="0" fontId="0" fillId="0" borderId="0" xfId="0" applyAlignment="1">
      <alignment horizontal="right" indent="1"/>
    </xf>
    <xf numFmtId="1" fontId="0" fillId="0" borderId="0" xfId="0" applyNumberFormat="1"/>
    <xf numFmtId="3" fontId="2" fillId="0" borderId="0" xfId="0" applyNumberFormat="1" applyFont="1" applyAlignment="1">
      <alignment horizontal="right" indent="1"/>
    </xf>
    <xf numFmtId="43" fontId="0" fillId="0" borderId="0" xfId="1" applyFont="1"/>
    <xf numFmtId="0" fontId="6" fillId="0" borderId="0" xfId="0" applyFont="1"/>
    <xf numFmtId="165" fontId="6" fillId="0" borderId="0" xfId="1" applyNumberFormat="1" applyFont="1"/>
    <xf numFmtId="3" fontId="7" fillId="0" borderId="0" xfId="0" applyNumberFormat="1" applyFont="1"/>
    <xf numFmtId="0" fontId="7" fillId="0" borderId="0" xfId="0" applyFont="1"/>
    <xf numFmtId="165" fontId="7" fillId="0" borderId="0" xfId="1" applyNumberFormat="1" applyFont="1"/>
    <xf numFmtId="0" fontId="8" fillId="0" borderId="0" xfId="0" applyFont="1"/>
    <xf numFmtId="165" fontId="8" fillId="0" borderId="0" xfId="1" applyNumberFormat="1" applyFont="1"/>
    <xf numFmtId="3" fontId="9" fillId="0" borderId="0" xfId="0" applyNumberFormat="1" applyFont="1"/>
    <xf numFmtId="0" fontId="9" fillId="0" borderId="0" xfId="0" applyFont="1"/>
    <xf numFmtId="165" fontId="9" fillId="0" borderId="0" xfId="1" applyNumberFormat="1" applyFont="1"/>
    <xf numFmtId="0" fontId="2" fillId="0" borderId="0" xfId="0" quotePrefix="1" applyFont="1" applyAlignment="1">
      <alignment horizontal="right" indent="1"/>
    </xf>
    <xf numFmtId="0" fontId="2" fillId="0" borderId="0" xfId="0" quotePrefix="1" applyFont="1" applyAlignment="1">
      <alignment horizontal="center"/>
    </xf>
    <xf numFmtId="0" fontId="0" fillId="0" borderId="0" xfId="0" quotePrefix="1" applyAlignment="1">
      <alignment horizontal="right" indent="1"/>
    </xf>
    <xf numFmtId="0" fontId="0" fillId="0" borderId="0" xfId="0" quotePrefix="1"/>
    <xf numFmtId="0" fontId="6" fillId="0" borderId="0" xfId="0" quotePrefix="1" applyFont="1"/>
    <xf numFmtId="0" fontId="2" fillId="3" borderId="0" xfId="0" quotePrefix="1" applyFont="1" applyFill="1" applyAlignment="1">
      <alignment horizontal="center"/>
    </xf>
    <xf numFmtId="165" fontId="0" fillId="0" borderId="0" xfId="1" applyNumberFormat="1" applyFont="1"/>
    <xf numFmtId="166" fontId="0" fillId="0" borderId="0" xfId="0" applyNumberFormat="1"/>
    <xf numFmtId="43" fontId="10" fillId="0" borderId="0" xfId="1" applyFont="1"/>
    <xf numFmtId="165" fontId="0" fillId="0" borderId="0" xfId="0" quotePrefix="1" applyNumberFormat="1" applyAlignment="1">
      <alignment horizontal="right" indent="1"/>
    </xf>
    <xf numFmtId="167" fontId="0" fillId="0" borderId="0" xfId="0" applyNumberFormat="1" applyAlignment="1"/>
    <xf numFmtId="3" fontId="0" fillId="0" borderId="0" xfId="1" applyNumberFormat="1" applyFont="1"/>
    <xf numFmtId="0" fontId="11" fillId="0" borderId="0" xfId="0" applyFont="1" applyAlignment="1">
      <alignment horizontal="center"/>
    </xf>
    <xf numFmtId="9" fontId="0" fillId="0" borderId="0" xfId="0" applyNumberFormat="1" applyFill="1" applyAlignment="1">
      <alignment horizontal="center"/>
    </xf>
    <xf numFmtId="0" fontId="0" fillId="0" borderId="0" xfId="0" applyNumberFormat="1" applyFill="1"/>
    <xf numFmtId="9" fontId="0" fillId="0" borderId="0" xfId="3" applyFont="1" applyFill="1"/>
    <xf numFmtId="0" fontId="7" fillId="0" borderId="0" xfId="0" quotePrefix="1" applyFont="1"/>
    <xf numFmtId="0" fontId="8" fillId="0" borderId="0" xfId="0" quotePrefix="1" applyFont="1"/>
    <xf numFmtId="168" fontId="0" fillId="0" borderId="0" xfId="3" applyNumberFormat="1" applyFont="1"/>
    <xf numFmtId="170" fontId="0" fillId="0" borderId="0" xfId="1" applyNumberFormat="1" applyFont="1"/>
    <xf numFmtId="171" fontId="0" fillId="0" borderId="0" xfId="3" applyNumberFormat="1" applyFont="1"/>
    <xf numFmtId="165" fontId="0" fillId="0" borderId="2" xfId="1" applyNumberFormat="1" applyFont="1" applyBorder="1"/>
    <xf numFmtId="172" fontId="0" fillId="0" borderId="0" xfId="1" applyNumberFormat="1" applyFont="1"/>
    <xf numFmtId="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0" fontId="0" fillId="0" borderId="2" xfId="0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0" fontId="0" fillId="3" borderId="0" xfId="0" applyFill="1"/>
    <xf numFmtId="0" fontId="12" fillId="3" borderId="0" xfId="0" quotePrefix="1" applyFont="1" applyFill="1" applyAlignment="1">
      <alignment horizontal="center"/>
    </xf>
    <xf numFmtId="0" fontId="2" fillId="3" borderId="1" xfId="2" quotePrefix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9" fillId="0" borderId="0" xfId="0" quotePrefix="1" applyFont="1"/>
    <xf numFmtId="175" fontId="0" fillId="0" borderId="2" xfId="1" applyNumberFormat="1" applyFont="1" applyBorder="1"/>
    <xf numFmtId="169" fontId="0" fillId="0" borderId="2" xfId="1" applyNumberFormat="1" applyFont="1" applyBorder="1"/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/>
    <xf numFmtId="43" fontId="2" fillId="3" borderId="3" xfId="1" quotePrefix="1" applyFont="1" applyFill="1" applyBorder="1" applyAlignment="1">
      <alignment horizontal="center"/>
    </xf>
    <xf numFmtId="0" fontId="2" fillId="3" borderId="3" xfId="0" quotePrefix="1" applyFont="1" applyFill="1" applyBorder="1" applyAlignment="1">
      <alignment horizontal="center"/>
    </xf>
    <xf numFmtId="176" fontId="0" fillId="0" borderId="0" xfId="0" applyNumberFormat="1" applyAlignment="1">
      <alignment horizontal="left"/>
    </xf>
  </cellXfs>
  <cellStyles count="4">
    <cellStyle name="Comma" xfId="1" builtinId="3"/>
    <cellStyle name="Normal" xfId="0" builtinId="0"/>
    <cellStyle name="Note" xfId="2" builtinId="10"/>
    <cellStyle name="Percent" xfId="3" builtinId="5"/>
  </cellStyles>
  <dxfs count="9"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Overblik!$B$27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Overblik!$C$27:$N$27</c:f>
              <c:numCache>
                <c:formatCode>_-* #,##0_-;\-* #,##0_-;_-* "-"??_-;_-@_-</c:formatCode>
                <c:ptCount val="12"/>
                <c:pt idx="0">
                  <c:v>2319.21565082917</c:v>
                </c:pt>
                <c:pt idx="1">
                  <c:v>1166.6574341625019</c:v>
                </c:pt>
                <c:pt idx="2">
                  <c:v>2318.9142424958391</c:v>
                </c:pt>
                <c:pt idx="3">
                  <c:v>1835.7846877922029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1452.4279847202858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8-41B3-87AB-B39392CB958D}"/>
            </c:ext>
          </c:extLst>
        </c:ser>
        <c:ser>
          <c:idx val="1"/>
          <c:order val="1"/>
          <c:tx>
            <c:strRef>
              <c:f>Overblik!$B$28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Overblik!$C$28:$N$28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68-41B3-87AB-B39392CB958D}"/>
            </c:ext>
          </c:extLst>
        </c:ser>
        <c:ser>
          <c:idx val="2"/>
          <c:order val="2"/>
          <c:tx>
            <c:strRef>
              <c:f>Overblik!$B$29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Overblik!$C$29:$N$29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68-41B3-87AB-B39392CB958D}"/>
            </c:ext>
          </c:extLst>
        </c:ser>
        <c:ser>
          <c:idx val="3"/>
          <c:order val="3"/>
          <c:tx>
            <c:strRef>
              <c:f>Overblik!$B$30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Overblik!$C$30:$N$30</c:f>
              <c:numCache>
                <c:formatCode>_-* #,##0_-;\-* #,##0_-;_-* "-"??_-;_-@_-</c:formatCode>
                <c:ptCount val="12"/>
                <c:pt idx="0">
                  <c:v>2405.75</c:v>
                </c:pt>
                <c:pt idx="1">
                  <c:v>2404.3065500000012</c:v>
                </c:pt>
                <c:pt idx="2">
                  <c:v>2405.9905749999998</c:v>
                </c:pt>
                <c:pt idx="3">
                  <c:v>2405.9905749999998</c:v>
                </c:pt>
                <c:pt idx="4">
                  <c:v>2405.9905749999998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2405.9905749999998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68-41B3-87AB-B39392CB958D}"/>
            </c:ext>
          </c:extLst>
        </c:ser>
        <c:ser>
          <c:idx val="4"/>
          <c:order val="4"/>
          <c:tx>
            <c:strRef>
              <c:f>Overblik!$B$31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Overblik!$C$31:$N$31</c:f>
              <c:numCache>
                <c:formatCode>_-* #,##0_-;\-* #,##0_-;_-* "-"??_-;_-@_-</c:formatCode>
                <c:ptCount val="12"/>
                <c:pt idx="0">
                  <c:v>291.66666666666669</c:v>
                </c:pt>
                <c:pt idx="1">
                  <c:v>291.6666666666668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68-41B3-87AB-B39392CB958D}"/>
            </c:ext>
          </c:extLst>
        </c:ser>
        <c:ser>
          <c:idx val="5"/>
          <c:order val="5"/>
          <c:tx>
            <c:strRef>
              <c:f>Overblik!$B$32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Overblik!$C$32:$N$32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68-41B3-87AB-B39392CB958D}"/>
            </c:ext>
          </c:extLst>
        </c:ser>
        <c:ser>
          <c:idx val="6"/>
          <c:order val="6"/>
          <c:tx>
            <c:strRef>
              <c:f>Overblik!$B$33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Overblik!$C$33:$N$33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68-41B3-87AB-B39392CB958D}"/>
            </c:ext>
          </c:extLst>
        </c:ser>
        <c:ser>
          <c:idx val="7"/>
          <c:order val="7"/>
          <c:tx>
            <c:strRef>
              <c:f>Overblik!$B$34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Overblik!$C$34:$N$34</c:f>
              <c:numCache>
                <c:formatCode>_-* #,##0_-;\-* #,##0_-;_-* "-"??_-;_-@_-</c:formatCode>
                <c:ptCount val="12"/>
                <c:pt idx="0">
                  <c:v>650</c:v>
                </c:pt>
                <c:pt idx="1">
                  <c:v>649.61000000000195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68-41B3-87AB-B39392CB958D}"/>
            </c:ext>
          </c:extLst>
        </c:ser>
        <c:ser>
          <c:idx val="8"/>
          <c:order val="8"/>
          <c:tx>
            <c:strRef>
              <c:f>Overblik!$B$35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Overblik!$C$35:$N$35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68-41B3-87AB-B39392CB958D}"/>
            </c:ext>
          </c:extLst>
        </c:ser>
        <c:ser>
          <c:idx val="9"/>
          <c:order val="9"/>
          <c:tx>
            <c:strRef>
              <c:f>Overblik!$B$36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Overblik!$C$36:$N$36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68-41B3-87AB-B39392CB958D}"/>
            </c:ext>
          </c:extLst>
        </c:ser>
        <c:ser>
          <c:idx val="10"/>
          <c:order val="10"/>
          <c:tx>
            <c:strRef>
              <c:f>Overblik!$B$37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Overblik!$C$37:$N$37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148.32955470363515</c:v>
                </c:pt>
                <c:pt idx="4">
                  <c:v>83.200818666332907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2117.8691263586416</c:v>
                </c:pt>
                <c:pt idx="10">
                  <c:v>531.68625777555235</c:v>
                </c:pt>
                <c:pt idx="11">
                  <c:v>2318.9142424958382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68-41B3-87AB-B39392CB958D}"/>
            </c:ext>
          </c:extLst>
        </c:ser>
        <c:ser>
          <c:idx val="11"/>
          <c:order val="11"/>
          <c:tx>
            <c:strRef>
              <c:f>Overblik!$B$38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Overblik!$C$38:$N$38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68-41B3-87AB-B39392CB958D}"/>
            </c:ext>
          </c:extLst>
        </c:ser>
        <c:ser>
          <c:idx val="12"/>
          <c:order val="12"/>
          <c:tx>
            <c:strRef>
              <c:f>Overblik!$B$39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Overblik!$C$39:$N$39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68-41B3-87AB-B39392CB958D}"/>
            </c:ext>
          </c:extLst>
        </c:ser>
        <c:ser>
          <c:idx val="13"/>
          <c:order val="13"/>
          <c:tx>
            <c:strRef>
              <c:f>Overblik!$B$40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Overblik!$C$40:$N$40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68-41B3-87AB-B39392CB958D}"/>
            </c:ext>
          </c:extLst>
        </c:ser>
        <c:ser>
          <c:idx val="14"/>
          <c:order val="14"/>
          <c:tx>
            <c:strRef>
              <c:f>Overblik!$B$41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Overblik!$C$41:$N$41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68-41B3-87AB-B39392CB958D}"/>
            </c:ext>
          </c:extLst>
        </c:ser>
        <c:ser>
          <c:idx val="15"/>
          <c:order val="15"/>
          <c:tx>
            <c:strRef>
              <c:f>Overblik!$B$42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Overblik!$C$42:$N$42</c:f>
              <c:numCache>
                <c:formatCode>_-* #,##0_-;\-* #,##0_-;_-* "-"??_-;_-@_-</c:formatCode>
                <c:ptCount val="12"/>
                <c:pt idx="0">
                  <c:v>166.66666666666666</c:v>
                </c:pt>
                <c:pt idx="1">
                  <c:v>166.66666666666652</c:v>
                </c:pt>
                <c:pt idx="2">
                  <c:v>166.66666666666666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166.66666666666666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9-411F-AA82-9E8F36AB707B}"/>
            </c:ext>
          </c:extLst>
        </c:ser>
        <c:ser>
          <c:idx val="16"/>
          <c:order val="16"/>
          <c:tx>
            <c:strRef>
              <c:f>Overblik!$B$43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Overblik!$C$43:$N$43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9-411F-AA82-9E8F36AB707B}"/>
            </c:ext>
          </c:extLst>
        </c:ser>
        <c:ser>
          <c:idx val="17"/>
          <c:order val="17"/>
          <c:tx>
            <c:strRef>
              <c:f>Overblik!$B$44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Overblik!$C$44:$N$44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150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F9-411F-AA82-9E8F36AB707B}"/>
            </c:ext>
          </c:extLst>
        </c:ser>
        <c:ser>
          <c:idx val="18"/>
          <c:order val="18"/>
          <c:tx>
            <c:strRef>
              <c:f>Overblik!$B$45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Overblik!$C$45:$N$45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F9-411F-AA82-9E8F36AB707B}"/>
            </c:ext>
          </c:extLst>
        </c:ser>
        <c:ser>
          <c:idx val="19"/>
          <c:order val="19"/>
          <c:tx>
            <c:strRef>
              <c:f>Overblik!$B$46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Overblik!$C$46:$N$46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F9-411F-AA82-9E8F36AB707B}"/>
            </c:ext>
          </c:extLst>
        </c:ser>
        <c:ser>
          <c:idx val="20"/>
          <c:order val="20"/>
          <c:tx>
            <c:strRef>
              <c:f>Overblik!$B$47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Overblik!$C$47:$N$47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F9-411F-AA82-9E8F36AB707B}"/>
            </c:ext>
          </c:extLst>
        </c:ser>
        <c:ser>
          <c:idx val="21"/>
          <c:order val="21"/>
          <c:tx>
            <c:strRef>
              <c:f>Overblik!$B$48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wdUpDiag">
              <a:fgClr>
                <a:schemeClr val="accent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Overblik!$C$48:$N$48</c:f>
              <c:numCache>
                <c:formatCode>_-* #,##0_-;\-* #,##0_-;_-* "-"??_-;_-@_-</c:formatCode>
                <c:ptCount val="12"/>
                <c:pt idx="0">
                  <c:v>1160.49684917083</c:v>
                </c:pt>
                <c:pt idx="1">
                  <c:v>1160.4968491708287</c:v>
                </c:pt>
                <c:pt idx="2">
                  <c:v>1160.4968491708287</c:v>
                </c:pt>
                <c:pt idx="3">
                  <c:v>1160.4968491708289</c:v>
                </c:pt>
                <c:pt idx="4">
                  <c:v>1160.4968491708289</c:v>
                </c:pt>
                <c:pt idx="5">
                  <c:v>1160.4968491708289</c:v>
                </c:pt>
                <c:pt idx="6">
                  <c:v>1160.4968491708325</c:v>
                </c:pt>
                <c:pt idx="7">
                  <c:v>1160.4968491708289</c:v>
                </c:pt>
                <c:pt idx="8">
                  <c:v>1160.4968491708289</c:v>
                </c:pt>
                <c:pt idx="9">
                  <c:v>1160.4968491708289</c:v>
                </c:pt>
                <c:pt idx="10">
                  <c:v>1160.4968491708289</c:v>
                </c:pt>
                <c:pt idx="11">
                  <c:v>1160.4968491708287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F9-411F-AA82-9E8F36AB707B}"/>
            </c:ext>
          </c:extLst>
        </c:ser>
        <c:ser>
          <c:idx val="22"/>
          <c:order val="22"/>
          <c:tx>
            <c:strRef>
              <c:f>Overblik!$B$49</c:f>
              <c:strCache>
                <c:ptCount val="1"/>
                <c:pt idx="0">
                  <c:v> NyAff2 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Overblik!$C$49:$N$49</c:f>
              <c:numCache>
                <c:formatCode>_-* #,##0_-;\-* #,##0_-;_-* "-"??_-;_-@_-</c:formatCode>
                <c:ptCount val="12"/>
                <c:pt idx="0">
                  <c:v>3333.3333333333335</c:v>
                </c:pt>
                <c:pt idx="1">
                  <c:v>3333.3333333333321</c:v>
                </c:pt>
                <c:pt idx="2">
                  <c:v>3333.3333333333335</c:v>
                </c:pt>
                <c:pt idx="3">
                  <c:v>3333.3333333333335</c:v>
                </c:pt>
                <c:pt idx="4">
                  <c:v>3333.3333333333335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3333.3333333333335</c:v>
                </c:pt>
                <c:pt idx="10">
                  <c:v>3333.3333333333335</c:v>
                </c:pt>
                <c:pt idx="11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F9-411F-AA82-9E8F36AB707B}"/>
            </c:ext>
          </c:extLst>
        </c:ser>
        <c:ser>
          <c:idx val="23"/>
          <c:order val="23"/>
          <c:tx>
            <c:strRef>
              <c:f>Overblik!$B$50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Overblik!$C$50:$N$50</c:f>
              <c:numCache>
                <c:formatCode>_-* #,##0_-;\-* #,##0_-;_-* "-"??_-;_-@_-</c:formatCode>
                <c:ptCount val="12"/>
                <c:pt idx="0">
                  <c:v>3519.7997496871085</c:v>
                </c:pt>
                <c:pt idx="1">
                  <c:v>3179.1739674593241</c:v>
                </c:pt>
                <c:pt idx="2">
                  <c:v>2873.403142028445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1717.9602125514589</c:v>
                </c:pt>
                <c:pt idx="11">
                  <c:v>2267.0279345510417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F9-411F-AA82-9E8F36AB707B}"/>
            </c:ext>
          </c:extLst>
        </c:ser>
        <c:ser>
          <c:idx val="24"/>
          <c:order val="24"/>
          <c:tx>
            <c:strRef>
              <c:f>Overblik!$B$51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Overblik!$C$51:$N$51</c:f>
              <c:numCache>
                <c:formatCode>_-* #,##0_-;\-* 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F9-411F-AA82-9E8F36AB707B}"/>
            </c:ext>
          </c:extLst>
        </c:ser>
        <c:ser>
          <c:idx val="25"/>
          <c:order val="25"/>
          <c:tx>
            <c:strRef>
              <c:f>Overblik!$B$52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Overblik!$C$26:$N$26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Overblik!$C$52:$N$52</c:f>
              <c:numCache>
                <c:formatCode>_-* #,##0_-;\-* #,##0_-;_-* "-"??_-;_-@_-</c:formatCode>
                <c:ptCount val="12"/>
                <c:pt idx="0">
                  <c:v>29.886338870060516</c:v>
                </c:pt>
                <c:pt idx="1">
                  <c:v>325.28941513323196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F9-411F-AA82-9E8F36AB7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Overblik!$B$19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Overblik!$C$19:$N$19</c:f>
              <c:numCache>
                <c:formatCode>_-* #,##0_-;\-#,##0_-;_-* "-"??_-;_-@_-</c:formatCode>
                <c:ptCount val="12"/>
                <c:pt idx="0">
                  <c:v>5716.7570370370368</c:v>
                </c:pt>
                <c:pt idx="1">
                  <c:v>5158.4288148148144</c:v>
                </c:pt>
                <c:pt idx="2">
                  <c:v>5716.7517407407395</c:v>
                </c:pt>
                <c:pt idx="3">
                  <c:v>4536</c:v>
                </c:pt>
                <c:pt idx="4">
                  <c:v>4687.2</c:v>
                </c:pt>
                <c:pt idx="5">
                  <c:v>4879.2125678596376</c:v>
                </c:pt>
                <c:pt idx="6">
                  <c:v>1870.6388888888891</c:v>
                </c:pt>
                <c:pt idx="7">
                  <c:v>1870.6388888888891</c:v>
                </c:pt>
                <c:pt idx="8">
                  <c:v>4879.2125678596367</c:v>
                </c:pt>
                <c:pt idx="9">
                  <c:v>4687.2</c:v>
                </c:pt>
                <c:pt idx="10">
                  <c:v>5487.3091567738438</c:v>
                </c:pt>
                <c:pt idx="11">
                  <c:v>5527.8031728336719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C22-B6FE-A8E1943FDEC6}"/>
            </c:ext>
          </c:extLst>
        </c:ser>
        <c:ser>
          <c:idx val="1"/>
          <c:order val="1"/>
          <c:tx>
            <c:strRef>
              <c:f>Overblik!$B$20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Overblik!$C$20:$N$20</c:f>
              <c:numCache>
                <c:formatCode>_-* #,##0_-;\-#,##0_-;_-* "-"??_-;_-@_-</c:formatCode>
                <c:ptCount val="12"/>
                <c:pt idx="0">
                  <c:v>17405.965487884445</c:v>
                </c:pt>
                <c:pt idx="1">
                  <c:v>15809.811666890128</c:v>
                </c:pt>
                <c:pt idx="2">
                  <c:v>17405.889619035017</c:v>
                </c:pt>
                <c:pt idx="3">
                  <c:v>15464</c:v>
                </c:pt>
                <c:pt idx="4">
                  <c:v>11457.599999999999</c:v>
                </c:pt>
                <c:pt idx="5">
                  <c:v>11087.999999999998</c:v>
                </c:pt>
                <c:pt idx="6">
                  <c:v>12826.383272468143</c:v>
                </c:pt>
                <c:pt idx="7">
                  <c:v>12826.383272468134</c:v>
                </c:pt>
                <c:pt idx="8">
                  <c:v>11087.999999999998</c:v>
                </c:pt>
                <c:pt idx="9">
                  <c:v>15012.8</c:v>
                </c:pt>
                <c:pt idx="10">
                  <c:v>16699.773593702223</c:v>
                </c:pt>
                <c:pt idx="11">
                  <c:v>16840.654272426655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8-4C22-B6FE-A8E1943FDEC6}"/>
            </c:ext>
          </c:extLst>
        </c:ser>
        <c:ser>
          <c:idx val="2"/>
          <c:order val="2"/>
          <c:tx>
            <c:strRef>
              <c:f>Overblik!$B$21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Overblik!$C$21:$N$21</c:f>
              <c:numCache>
                <c:formatCode>_-* #,##0_-;\-#,##0_-;_-* "-"??_-;_-@_-</c:formatCode>
                <c:ptCount val="12"/>
                <c:pt idx="0">
                  <c:v>7812</c:v>
                </c:pt>
                <c:pt idx="1">
                  <c:v>7056</c:v>
                </c:pt>
                <c:pt idx="2">
                  <c:v>6377.3586402242436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3812.9172495239327</c:v>
                </c:pt>
                <c:pt idx="11">
                  <c:v>5031.5425547396735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C8-4C22-B6FE-A8E1943FDEC6}"/>
            </c:ext>
          </c:extLst>
        </c:ser>
        <c:ser>
          <c:idx val="3"/>
          <c:order val="3"/>
          <c:tx>
            <c:strRef>
              <c:f>Overblik!$B$22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Overblik!$C$22:$N$22</c:f>
              <c:numCache>
                <c:formatCode>_-* #,##0_-;\-#,##0_-;_-* "-"??_-;_-@_-</c:formatCode>
                <c:ptCount val="12"/>
                <c:pt idx="0">
                  <c:v>365.27747507851745</c:v>
                </c:pt>
                <c:pt idx="1">
                  <c:v>3975.7595182950572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C8-4C22-B6FE-A8E1943FDEC6}"/>
            </c:ext>
          </c:extLst>
        </c:ser>
        <c:ser>
          <c:idx val="4"/>
          <c:order val="4"/>
          <c:tx>
            <c:strRef>
              <c:f>Overblik!$B$23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Overblik!$C$23:$N$23</c:f>
              <c:numCache>
                <c:formatCode>_-* #,##0_-;\-#,##0_-;_-*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8-4C22-B6FE-A8E1943FDEC6}"/>
            </c:ext>
          </c:extLst>
        </c:ser>
        <c:ser>
          <c:idx val="5"/>
          <c:order val="5"/>
          <c:tx>
            <c:strRef>
              <c:f>Overblik!$B$24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Overblik!$C$24:$N$24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-3144.7999999999984</c:v>
                </c:pt>
                <c:pt idx="5">
                  <c:v>-8467.2125678596349</c:v>
                </c:pt>
                <c:pt idx="6">
                  <c:v>-7197.022161357032</c:v>
                </c:pt>
                <c:pt idx="7">
                  <c:v>-7697.0221613570229</c:v>
                </c:pt>
                <c:pt idx="8">
                  <c:v>-7967.2125678596349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C8-4C22-B6FE-A8E1943FD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v>Varmebehov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Overblik!$C$18:$N$18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Overblik!$C$11:$N$11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1F-4832-BAED-0B7D2C65A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Overblik!$B$84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Overblik!$C$83:$N$83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Overblik!$C$84:$N$84</c:f>
              <c:numCache>
                <c:formatCode>0\ %</c:formatCode>
                <c:ptCount val="12"/>
                <c:pt idx="0">
                  <c:v>0.69852847471127033</c:v>
                </c:pt>
                <c:pt idx="1">
                  <c:v>0.69783939594356259</c:v>
                </c:pt>
                <c:pt idx="2">
                  <c:v>0.69852782755874143</c:v>
                </c:pt>
                <c:pt idx="3">
                  <c:v>0.57272727272727275</c:v>
                </c:pt>
                <c:pt idx="4">
                  <c:v>0.57272727272727275</c:v>
                </c:pt>
                <c:pt idx="5">
                  <c:v>0.61606219291157038</c:v>
                </c:pt>
                <c:pt idx="6">
                  <c:v>0.70857533670033679</c:v>
                </c:pt>
                <c:pt idx="7">
                  <c:v>0.70857533670033679</c:v>
                </c:pt>
                <c:pt idx="8">
                  <c:v>0.61606219291157027</c:v>
                </c:pt>
                <c:pt idx="9">
                  <c:v>0.57272727272727275</c:v>
                </c:pt>
                <c:pt idx="10">
                  <c:v>0.69284206524922276</c:v>
                </c:pt>
                <c:pt idx="11">
                  <c:v>0.67544027038534604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3-43EB-824E-1E8D0C9D1DEB}"/>
            </c:ext>
          </c:extLst>
        </c:ser>
        <c:ser>
          <c:idx val="1"/>
          <c:order val="1"/>
          <c:tx>
            <c:strRef>
              <c:f>Overblik!$B$85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Overblik!$C$83:$N$83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Overblik!$C$85:$N$85</c:f>
              <c:numCache>
                <c:formatCode>0\ %</c:formatCode>
                <c:ptCount val="12"/>
                <c:pt idx="0">
                  <c:v>0.86648573715075894</c:v>
                </c:pt>
                <c:pt idx="1">
                  <c:v>0.87135205395117543</c:v>
                </c:pt>
                <c:pt idx="2">
                  <c:v>0.86648196032631508</c:v>
                </c:pt>
                <c:pt idx="3">
                  <c:v>0.79547325102880662</c:v>
                </c:pt>
                <c:pt idx="4">
                  <c:v>0.57037037037037031</c:v>
                </c:pt>
                <c:pt idx="5">
                  <c:v>0.57037037037037031</c:v>
                </c:pt>
                <c:pt idx="6">
                  <c:v>0.63850972085165991</c:v>
                </c:pt>
                <c:pt idx="7">
                  <c:v>0.63850972085165936</c:v>
                </c:pt>
                <c:pt idx="8">
                  <c:v>0.57037037037037031</c:v>
                </c:pt>
                <c:pt idx="9">
                  <c:v>0.74735165272799675</c:v>
                </c:pt>
                <c:pt idx="10">
                  <c:v>0.85904185152789214</c:v>
                </c:pt>
                <c:pt idx="11">
                  <c:v>0.83834400002123932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A3-43EB-824E-1E8D0C9D1DEB}"/>
            </c:ext>
          </c:extLst>
        </c:ser>
        <c:ser>
          <c:idx val="2"/>
          <c:order val="2"/>
          <c:tx>
            <c:strRef>
              <c:f>Overblik!$B$86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Overblik!$C$83:$N$83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Overblik!$C$86:$N$86</c:f>
              <c:numCache>
                <c:formatCode>0\ 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0.81635415261447053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0.50435413353491176</c:v>
                </c:pt>
                <c:pt idx="11">
                  <c:v>0.64407866804143288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A3-43EB-824E-1E8D0C9D1DEB}"/>
            </c:ext>
          </c:extLst>
        </c:ser>
        <c:ser>
          <c:idx val="3"/>
          <c:order val="3"/>
          <c:tx>
            <c:strRef>
              <c:f>Overblik!$B$87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Overblik!$C$83:$N$83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Overblik!$C$87:$N$87</c:f>
              <c:numCache>
                <c:formatCode>0\ %</c:formatCode>
                <c:ptCount val="12"/>
                <c:pt idx="0">
                  <c:v>4.9096434822381374E-3</c:v>
                </c:pt>
                <c:pt idx="1">
                  <c:v>5.916308806986692E-2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A3-43EB-824E-1E8D0C9D1DEB}"/>
            </c:ext>
          </c:extLst>
        </c:ser>
        <c:ser>
          <c:idx val="4"/>
          <c:order val="4"/>
          <c:tx>
            <c:strRef>
              <c:f>Overblik!$B$88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Overblik!$C$83:$N$83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Overblik!$C$88:$N$88</c:f>
              <c:numCache>
                <c:formatCode>0\ %</c:formatCode>
                <c:ptCount val="12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A3-43EB-824E-1E8D0C9D1DEB}"/>
            </c:ext>
          </c:extLst>
        </c:ser>
        <c:ser>
          <c:idx val="5"/>
          <c:order val="5"/>
          <c:tx>
            <c:strRef>
              <c:f>Overblik!$B$89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Overblik!$C$83:$N$83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Overblik!$C$89:$N$89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0.28179211469534038</c:v>
                </c:pt>
                <c:pt idx="5">
                  <c:v>0.78400116369070694</c:v>
                </c:pt>
                <c:pt idx="6">
                  <c:v>0.64489445890295982</c:v>
                </c:pt>
                <c:pt idx="7">
                  <c:v>0.68969732628647162</c:v>
                </c:pt>
                <c:pt idx="8">
                  <c:v>0.73770486739441066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A3-43EB-824E-1E8D0C9D1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5602</xdr:colOff>
      <xdr:row>25</xdr:row>
      <xdr:rowOff>11204</xdr:rowOff>
    </xdr:from>
    <xdr:to>
      <xdr:col>25</xdr:col>
      <xdr:colOff>291353</xdr:colOff>
      <xdr:row>52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4E3DB1-0F50-4F45-9D33-229D220CD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16808</xdr:colOff>
      <xdr:row>5</xdr:row>
      <xdr:rowOff>11206</xdr:rowOff>
    </xdr:from>
    <xdr:to>
      <xdr:col>25</xdr:col>
      <xdr:colOff>201706</xdr:colOff>
      <xdr:row>24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E99507-AA47-478C-ABC7-E2CD8787A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0</xdr:colOff>
      <xdr:row>54</xdr:row>
      <xdr:rowOff>12327</xdr:rowOff>
    </xdr:from>
    <xdr:to>
      <xdr:col>25</xdr:col>
      <xdr:colOff>336177</xdr:colOff>
      <xdr:row>68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C858E-055E-4AC2-9C90-08F29DD5B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572BCEFC-E6C4-452D-9030-0164AB3FB51F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4" dT="2021-09-18T09:29:19.41" personId="{572BCEFC-E6C4-452D-9030-0164AB3FB51F}" id="{FBF1AC24-3947-4E14-802B-0907425F5130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P89"/>
  <sheetViews>
    <sheetView tabSelected="1" zoomScale="85" zoomScaleNormal="85" workbookViewId="0"/>
  </sheetViews>
  <sheetFormatPr defaultRowHeight="15" x14ac:dyDescent="0.25"/>
  <cols>
    <col min="1" max="1" width="22.5703125" customWidth="1"/>
    <col min="2" max="2" width="25.85546875" customWidth="1"/>
    <col min="3" max="14" width="12.7109375" customWidth="1"/>
    <col min="15" max="15" width="3.7109375" customWidth="1"/>
    <col min="16" max="16" width="17" bestFit="1" customWidth="1"/>
  </cols>
  <sheetData>
    <row r="1" spans="1:16" x14ac:dyDescent="0.25">
      <c r="A1" t="s">
        <v>79</v>
      </c>
      <c r="B1" s="65">
        <v>44479.641207835652</v>
      </c>
      <c r="C1" s="33"/>
      <c r="D1" s="33"/>
      <c r="E1" s="33"/>
    </row>
    <row r="4" spans="1:16" x14ac:dyDescent="0.25">
      <c r="B4" s="8" t="s">
        <v>75</v>
      </c>
      <c r="C4" s="34">
        <v>-23887191.020608474</v>
      </c>
    </row>
    <row r="6" spans="1:16" x14ac:dyDescent="0.25">
      <c r="A6" s="61" t="s">
        <v>78</v>
      </c>
      <c r="B6" s="62" t="s">
        <v>72</v>
      </c>
      <c r="C6" s="64" t="s">
        <v>0</v>
      </c>
      <c r="D6" s="64" t="s">
        <v>1</v>
      </c>
      <c r="E6" s="64" t="s">
        <v>2</v>
      </c>
      <c r="F6" s="64" t="s">
        <v>3</v>
      </c>
      <c r="G6" s="64" t="s">
        <v>4</v>
      </c>
      <c r="H6" s="64" t="s">
        <v>5</v>
      </c>
      <c r="I6" s="64" t="s">
        <v>6</v>
      </c>
      <c r="J6" s="64" t="s">
        <v>7</v>
      </c>
      <c r="K6" s="64" t="s">
        <v>8</v>
      </c>
      <c r="L6" s="64" t="s">
        <v>9</v>
      </c>
      <c r="M6" s="64" t="s">
        <v>10</v>
      </c>
      <c r="N6" s="64" t="s">
        <v>11</v>
      </c>
    </row>
    <row r="7" spans="1:16" x14ac:dyDescent="0.25">
      <c r="A7" s="31">
        <f>(SUM(A9:A10)-A8)/A11</f>
        <v>99.289057327319469</v>
      </c>
      <c r="B7" s="25" t="s">
        <v>65</v>
      </c>
      <c r="C7" s="45">
        <v>93.811351716511993</v>
      </c>
      <c r="D7" s="45">
        <v>146.40957591866297</v>
      </c>
      <c r="E7" s="45">
        <v>97.593728205940323</v>
      </c>
      <c r="F7" s="45">
        <v>46.86066926014712</v>
      </c>
      <c r="G7" s="45">
        <v>1747.0685415050691</v>
      </c>
      <c r="H7" s="45">
        <v>-19.069244594447344</v>
      </c>
      <c r="I7" s="45">
        <v>-24.674076876948245</v>
      </c>
      <c r="J7" s="45">
        <v>-25.395139863189733</v>
      </c>
      <c r="K7" s="45">
        <v>-36.095178498152663</v>
      </c>
      <c r="L7" s="45">
        <v>80.617877500244759</v>
      </c>
      <c r="M7" s="45">
        <v>121.52925715154677</v>
      </c>
      <c r="N7" s="45">
        <v>116.88953954478293</v>
      </c>
    </row>
    <row r="8" spans="1:16" x14ac:dyDescent="0.25">
      <c r="A8" s="29">
        <f t="shared" ref="A8:A53" si="0">SUM(C8:N8)</f>
        <v>55594576.322937541</v>
      </c>
      <c r="B8" s="25" t="s">
        <v>66</v>
      </c>
      <c r="C8" s="42">
        <v>5285166.4167413963</v>
      </c>
      <c r="D8" s="42">
        <v>4681800.4913824452</v>
      </c>
      <c r="E8" s="42">
        <v>5285164.5590925748</v>
      </c>
      <c r="F8" s="42">
        <v>5079604.5605203118</v>
      </c>
      <c r="G8" s="42">
        <v>4044846.4050098229</v>
      </c>
      <c r="H8" s="42">
        <v>3999311.364232379</v>
      </c>
      <c r="I8" s="42">
        <v>3846984.1563349995</v>
      </c>
      <c r="J8" s="42">
        <v>3846984.1563349981</v>
      </c>
      <c r="K8" s="42">
        <v>3999311.364232379</v>
      </c>
      <c r="L8" s="42">
        <v>5146963.8745482843</v>
      </c>
      <c r="M8" s="42">
        <v>5100469.3299598554</v>
      </c>
      <c r="N8" s="42">
        <v>5277969.6445480967</v>
      </c>
      <c r="P8" s="30"/>
    </row>
    <row r="9" spans="1:16" x14ac:dyDescent="0.25">
      <c r="A9" s="29">
        <f t="shared" si="0"/>
        <v>11494311.634045044</v>
      </c>
      <c r="B9" s="25" t="s">
        <v>67</v>
      </c>
      <c r="C9" s="42">
        <v>1177376.4713672297</v>
      </c>
      <c r="D9" s="42">
        <v>1066713.907416346</v>
      </c>
      <c r="E9" s="42">
        <v>1141507.1378040437</v>
      </c>
      <c r="F9" s="42">
        <v>845360</v>
      </c>
      <c r="G9" s="42">
        <v>787008</v>
      </c>
      <c r="H9" s="42">
        <v>941497.00542877091</v>
      </c>
      <c r="I9" s="42">
        <v>822497.94018388109</v>
      </c>
      <c r="J9" s="42">
        <v>837497.94018388051</v>
      </c>
      <c r="K9" s="42">
        <v>926497.00542877091</v>
      </c>
      <c r="L9" s="42">
        <v>834872</v>
      </c>
      <c r="M9" s="42">
        <v>1037679.3328248793</v>
      </c>
      <c r="N9" s="42">
        <v>1075804.8934072417</v>
      </c>
    </row>
    <row r="10" spans="1:16" x14ac:dyDescent="0.25">
      <c r="A10" s="29">
        <f t="shared" si="0"/>
        <v>67929638.447449163</v>
      </c>
      <c r="B10" s="25" t="s">
        <v>68</v>
      </c>
      <c r="C10" s="42">
        <v>7419330.6609670389</v>
      </c>
      <c r="D10" s="42">
        <v>8300193.0133633148</v>
      </c>
      <c r="E10" s="42">
        <v>7022672.4033637708</v>
      </c>
      <c r="F10" s="42">
        <v>5171457.9457232542</v>
      </c>
      <c r="G10" s="42">
        <v>3993004.8472751658</v>
      </c>
      <c r="H10" s="42">
        <v>3560648.4143040292</v>
      </c>
      <c r="I10" s="42">
        <v>3549750.1519517014</v>
      </c>
      <c r="J10" s="42">
        <v>3613588.0543797193</v>
      </c>
      <c r="K10" s="42">
        <v>3934364.7698968621</v>
      </c>
      <c r="L10" s="42">
        <v>5900264.0613031061</v>
      </c>
      <c r="M10" s="42">
        <v>7404844.5688025113</v>
      </c>
      <c r="N10" s="42">
        <v>8059519.5561186923</v>
      </c>
    </row>
    <row r="11" spans="1:16" x14ac:dyDescent="0.25">
      <c r="A11" s="29">
        <f t="shared" si="0"/>
        <v>240000</v>
      </c>
      <c r="B11" s="25" t="s">
        <v>93</v>
      </c>
      <c r="C11" s="42">
        <v>35300</v>
      </c>
      <c r="D11" s="42">
        <v>32000</v>
      </c>
      <c r="E11" s="42">
        <v>29500</v>
      </c>
      <c r="F11" s="42">
        <v>20000</v>
      </c>
      <c r="G11" s="42">
        <v>13000</v>
      </c>
      <c r="H11" s="42">
        <v>7500</v>
      </c>
      <c r="I11" s="42">
        <v>7500</v>
      </c>
      <c r="J11" s="42">
        <v>7000</v>
      </c>
      <c r="K11" s="42">
        <v>8000</v>
      </c>
      <c r="L11" s="42">
        <v>19700</v>
      </c>
      <c r="M11" s="42">
        <v>27500</v>
      </c>
      <c r="N11" s="42">
        <v>33000</v>
      </c>
    </row>
    <row r="12" spans="1:16" x14ac:dyDescent="0.25">
      <c r="A12" s="29">
        <f t="shared" si="0"/>
        <v>274473.26945843332</v>
      </c>
      <c r="B12" s="25" t="s">
        <v>94</v>
      </c>
      <c r="C12" s="42">
        <v>35300</v>
      </c>
      <c r="D12" s="42">
        <v>32000</v>
      </c>
      <c r="E12" s="42">
        <v>29500</v>
      </c>
      <c r="F12" s="42">
        <v>20000</v>
      </c>
      <c r="G12" s="42">
        <v>16144.8</v>
      </c>
      <c r="H12" s="42">
        <v>15967.212567859635</v>
      </c>
      <c r="I12" s="42">
        <v>14697.022161357032</v>
      </c>
      <c r="J12" s="42">
        <v>14697.022161357023</v>
      </c>
      <c r="K12" s="42">
        <v>15967.212567859635</v>
      </c>
      <c r="L12" s="42">
        <v>19700</v>
      </c>
      <c r="M12" s="42">
        <v>27500</v>
      </c>
      <c r="N12" s="42">
        <v>33000</v>
      </c>
    </row>
    <row r="13" spans="1:16" x14ac:dyDescent="0.25">
      <c r="A13" s="42">
        <f>AVERAGE(C13:N13)</f>
        <v>2399.3718719323865</v>
      </c>
      <c r="B13" s="25" t="s">
        <v>69</v>
      </c>
      <c r="C13" s="42">
        <v>4262.7373125711938</v>
      </c>
      <c r="D13" s="42">
        <v>3865.6390494240973</v>
      </c>
      <c r="E13" s="42">
        <v>4262.7222998212992</v>
      </c>
      <c r="F13" s="42">
        <v>1803.2000000000003</v>
      </c>
      <c r="G13" s="42">
        <v>1546.7760000000001</v>
      </c>
      <c r="H13" s="42">
        <v>1520.9048797501746</v>
      </c>
      <c r="I13" s="42">
        <v>1E-14</v>
      </c>
      <c r="J13" s="42">
        <v>1E-14</v>
      </c>
      <c r="K13" s="42">
        <v>1520.9048797501746</v>
      </c>
      <c r="L13" s="42">
        <v>1795.64</v>
      </c>
      <c r="M13" s="42">
        <v>4090.2432394592925</v>
      </c>
      <c r="N13" s="42">
        <v>4123.6948024124049</v>
      </c>
    </row>
    <row r="14" spans="1:16" x14ac:dyDescent="0.25">
      <c r="A14" s="43"/>
      <c r="B14" s="25" t="s">
        <v>70</v>
      </c>
      <c r="C14" s="43">
        <v>0.18435274254477821</v>
      </c>
      <c r="D14" s="43">
        <v>0.18435686355261505</v>
      </c>
      <c r="E14" s="43">
        <v>0.18435274039395641</v>
      </c>
      <c r="F14" s="43">
        <v>9.0160000000000018E-2</v>
      </c>
      <c r="G14" s="43">
        <v>9.5806451612903229E-2</v>
      </c>
      <c r="H14" s="43">
        <v>9.5251746244776656E-2</v>
      </c>
      <c r="I14" s="43">
        <v>1E-14</v>
      </c>
      <c r="J14" s="43">
        <v>1E-14</v>
      </c>
      <c r="K14" s="43">
        <v>9.5251746244776656E-2</v>
      </c>
      <c r="L14" s="43">
        <v>9.1149238578680208E-2</v>
      </c>
      <c r="M14" s="43">
        <v>0.18435245793508065</v>
      </c>
      <c r="N14" s="43">
        <v>0.18435311476009619</v>
      </c>
    </row>
    <row r="15" spans="1:16" x14ac:dyDescent="0.25">
      <c r="A15" s="29">
        <f t="shared" si="0"/>
        <v>1903691.4469175639</v>
      </c>
      <c r="B15" s="25" t="s">
        <v>71</v>
      </c>
      <c r="C15" s="42">
        <v>220590.77288775097</v>
      </c>
      <c r="D15" s="42">
        <v>200037.01419546516</v>
      </c>
      <c r="E15" s="42">
        <v>220589.99857226072</v>
      </c>
      <c r="F15" s="42">
        <v>190800</v>
      </c>
      <c r="G15" s="42">
        <v>154021.39199999999</v>
      </c>
      <c r="H15" s="42">
        <v>152327.20789738095</v>
      </c>
      <c r="I15" s="42">
        <v>1E-14</v>
      </c>
      <c r="J15" s="42">
        <v>1E-14</v>
      </c>
      <c r="K15" s="42">
        <v>152327.20789738093</v>
      </c>
      <c r="L15" s="42">
        <v>187938</v>
      </c>
      <c r="M15" s="42">
        <v>211664.76943954171</v>
      </c>
      <c r="N15" s="42">
        <v>213395.08402778354</v>
      </c>
    </row>
    <row r="16" spans="1:16" x14ac:dyDescent="0.25">
      <c r="A16" s="29">
        <f t="shared" si="0"/>
        <v>34473.269458433322</v>
      </c>
      <c r="B16" s="25" t="s">
        <v>92</v>
      </c>
      <c r="C16" s="42">
        <v>1E-14</v>
      </c>
      <c r="D16" s="42">
        <v>1E-14</v>
      </c>
      <c r="E16" s="42">
        <v>1E-14</v>
      </c>
      <c r="F16" s="42">
        <v>1E-14</v>
      </c>
      <c r="G16" s="42">
        <v>3144.7999999999984</v>
      </c>
      <c r="H16" s="42">
        <v>8467.2125678596349</v>
      </c>
      <c r="I16" s="42">
        <v>7197.022161357032</v>
      </c>
      <c r="J16" s="42">
        <v>7697.0221613570229</v>
      </c>
      <c r="K16" s="42">
        <v>7967.2125678596349</v>
      </c>
      <c r="L16" s="42">
        <v>1E-14</v>
      </c>
      <c r="M16" s="42">
        <v>1E-14</v>
      </c>
      <c r="N16" s="42">
        <v>1E-14</v>
      </c>
    </row>
    <row r="17" spans="1:14" x14ac:dyDescent="0.25">
      <c r="A17" s="29"/>
      <c r="B17" s="25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</row>
    <row r="18" spans="1:14" x14ac:dyDescent="0.25">
      <c r="A18" s="62"/>
      <c r="B18" s="62" t="s">
        <v>76</v>
      </c>
      <c r="C18" s="63" t="s">
        <v>0</v>
      </c>
      <c r="D18" s="63" t="s">
        <v>1</v>
      </c>
      <c r="E18" s="63" t="s">
        <v>2</v>
      </c>
      <c r="F18" s="63" t="s">
        <v>3</v>
      </c>
      <c r="G18" s="63" t="s">
        <v>4</v>
      </c>
      <c r="H18" s="63" t="s">
        <v>5</v>
      </c>
      <c r="I18" s="63" t="s">
        <v>6</v>
      </c>
      <c r="J18" s="63" t="s">
        <v>7</v>
      </c>
      <c r="K18" s="63" t="s">
        <v>8</v>
      </c>
      <c r="L18" s="63" t="s">
        <v>9</v>
      </c>
      <c r="M18" s="63" t="s">
        <v>10</v>
      </c>
      <c r="N18" s="63" t="s">
        <v>11</v>
      </c>
    </row>
    <row r="19" spans="1:14" x14ac:dyDescent="0.25">
      <c r="A19" s="29">
        <f t="shared" si="0"/>
        <v>55017.152835697161</v>
      </c>
      <c r="B19" s="25" t="s">
        <v>44</v>
      </c>
      <c r="C19" s="60">
        <v>5716.7570370370368</v>
      </c>
      <c r="D19" s="60">
        <v>5158.4288148148144</v>
      </c>
      <c r="E19" s="60">
        <v>5716.7517407407395</v>
      </c>
      <c r="F19" s="60">
        <v>4536</v>
      </c>
      <c r="G19" s="60">
        <v>4687.2</v>
      </c>
      <c r="H19" s="60">
        <v>4879.2125678596376</v>
      </c>
      <c r="I19" s="60">
        <v>1870.6388888888891</v>
      </c>
      <c r="J19" s="60">
        <v>1870.6388888888891</v>
      </c>
      <c r="K19" s="60">
        <v>4879.2125678596367</v>
      </c>
      <c r="L19" s="60">
        <v>4687.2</v>
      </c>
      <c r="M19" s="60">
        <v>5487.3091567738438</v>
      </c>
      <c r="N19" s="60">
        <v>5527.8031728336719</v>
      </c>
    </row>
    <row r="20" spans="1:14" x14ac:dyDescent="0.25">
      <c r="A20" s="29">
        <f t="shared" si="0"/>
        <v>173925.26118487472</v>
      </c>
      <c r="B20" s="25" t="s">
        <v>45</v>
      </c>
      <c r="C20" s="60">
        <v>17405.965487884445</v>
      </c>
      <c r="D20" s="60">
        <v>15809.811666890128</v>
      </c>
      <c r="E20" s="60">
        <v>17405.889619035017</v>
      </c>
      <c r="F20" s="60">
        <v>15464</v>
      </c>
      <c r="G20" s="60">
        <v>11457.599999999999</v>
      </c>
      <c r="H20" s="60">
        <v>11087.999999999998</v>
      </c>
      <c r="I20" s="60">
        <v>12826.383272468143</v>
      </c>
      <c r="J20" s="60">
        <v>12826.383272468134</v>
      </c>
      <c r="K20" s="60">
        <v>11087.999999999998</v>
      </c>
      <c r="L20" s="60">
        <v>15012.8</v>
      </c>
      <c r="M20" s="60">
        <v>16699.773593702223</v>
      </c>
      <c r="N20" s="60">
        <v>16840.654272426655</v>
      </c>
    </row>
    <row r="21" spans="1:14" x14ac:dyDescent="0.25">
      <c r="A21" s="29">
        <f t="shared" si="0"/>
        <v>30089.81844448785</v>
      </c>
      <c r="B21" s="25" t="s">
        <v>46</v>
      </c>
      <c r="C21" s="60">
        <v>7812</v>
      </c>
      <c r="D21" s="60">
        <v>7056</v>
      </c>
      <c r="E21" s="60">
        <v>6377.3586402242436</v>
      </c>
      <c r="F21" s="60">
        <v>1E-14</v>
      </c>
      <c r="G21" s="60">
        <v>1E-14</v>
      </c>
      <c r="H21" s="60">
        <v>1E-14</v>
      </c>
      <c r="I21" s="60">
        <v>1E-14</v>
      </c>
      <c r="J21" s="60">
        <v>1E-14</v>
      </c>
      <c r="K21" s="60">
        <v>1E-14</v>
      </c>
      <c r="L21" s="60">
        <v>1E-14</v>
      </c>
      <c r="M21" s="60">
        <v>3812.9172495239327</v>
      </c>
      <c r="N21" s="60">
        <v>5031.5425547396735</v>
      </c>
    </row>
    <row r="22" spans="1:14" x14ac:dyDescent="0.25">
      <c r="A22" s="29">
        <f t="shared" si="0"/>
        <v>4341.0369933735747</v>
      </c>
      <c r="B22" s="25" t="s">
        <v>47</v>
      </c>
      <c r="C22" s="60">
        <v>365.27747507851745</v>
      </c>
      <c r="D22" s="60">
        <v>3975.7595182950572</v>
      </c>
      <c r="E22" s="60">
        <v>1E-14</v>
      </c>
      <c r="F22" s="60">
        <v>1E-14</v>
      </c>
      <c r="G22" s="60">
        <v>1E-14</v>
      </c>
      <c r="H22" s="60">
        <v>1E-14</v>
      </c>
      <c r="I22" s="60">
        <v>1E-14</v>
      </c>
      <c r="J22" s="60">
        <v>1E-14</v>
      </c>
      <c r="K22" s="60">
        <v>1E-14</v>
      </c>
      <c r="L22" s="60">
        <v>1E-14</v>
      </c>
      <c r="M22" s="60">
        <v>1E-14</v>
      </c>
      <c r="N22" s="60">
        <v>1E-14</v>
      </c>
    </row>
    <row r="23" spans="1:14" x14ac:dyDescent="0.25">
      <c r="A23" s="29">
        <f t="shared" si="0"/>
        <v>11100</v>
      </c>
      <c r="B23" s="25" t="s">
        <v>86</v>
      </c>
      <c r="C23" s="60">
        <v>3999.9999999999995</v>
      </c>
      <c r="D23" s="60">
        <v>1E-14</v>
      </c>
      <c r="E23" s="60">
        <v>1E-14</v>
      </c>
      <c r="F23" s="60">
        <v>1E-14</v>
      </c>
      <c r="G23" s="60">
        <v>1E-14</v>
      </c>
      <c r="H23" s="60">
        <v>1E-14</v>
      </c>
      <c r="I23" s="60">
        <v>1E-14</v>
      </c>
      <c r="J23" s="60">
        <v>1E-14</v>
      </c>
      <c r="K23" s="60">
        <v>1E-14</v>
      </c>
      <c r="L23" s="60">
        <v>1E-14</v>
      </c>
      <c r="M23" s="60">
        <v>1500</v>
      </c>
      <c r="N23" s="60">
        <v>5600</v>
      </c>
    </row>
    <row r="24" spans="1:14" x14ac:dyDescent="0.25">
      <c r="A24" s="42">
        <f t="shared" si="0"/>
        <v>-34473.269458433322</v>
      </c>
      <c r="B24" s="25" t="s">
        <v>48</v>
      </c>
      <c r="C24" s="60">
        <v>-1E-14</v>
      </c>
      <c r="D24" s="60">
        <v>-1E-14</v>
      </c>
      <c r="E24" s="60">
        <v>-1E-14</v>
      </c>
      <c r="F24" s="60">
        <v>-1E-14</v>
      </c>
      <c r="G24" s="60">
        <v>-3144.7999999999984</v>
      </c>
      <c r="H24" s="60">
        <v>-8467.2125678596349</v>
      </c>
      <c r="I24" s="60">
        <v>-7197.022161357032</v>
      </c>
      <c r="J24" s="60">
        <v>-7697.0221613570229</v>
      </c>
      <c r="K24" s="60">
        <v>-7967.2125678596349</v>
      </c>
      <c r="L24" s="60">
        <v>-1E-14</v>
      </c>
      <c r="M24" s="60">
        <v>-1E-14</v>
      </c>
      <c r="N24" s="60">
        <v>-1E-14</v>
      </c>
    </row>
    <row r="25" spans="1:14" x14ac:dyDescent="0.25">
      <c r="A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25">
      <c r="A26" s="61" t="s">
        <v>12</v>
      </c>
      <c r="B26" s="62" t="s">
        <v>77</v>
      </c>
      <c r="C26" s="63" t="s">
        <v>0</v>
      </c>
      <c r="D26" s="63" t="s">
        <v>1</v>
      </c>
      <c r="E26" s="63" t="s">
        <v>2</v>
      </c>
      <c r="F26" s="63" t="s">
        <v>3</v>
      </c>
      <c r="G26" s="63" t="s">
        <v>4</v>
      </c>
      <c r="H26" s="63" t="s">
        <v>5</v>
      </c>
      <c r="I26" s="63" t="s">
        <v>6</v>
      </c>
      <c r="J26" s="63" t="s">
        <v>7</v>
      </c>
      <c r="K26" s="63" t="s">
        <v>8</v>
      </c>
      <c r="L26" s="63" t="s">
        <v>9</v>
      </c>
      <c r="M26" s="63" t="s">
        <v>10</v>
      </c>
      <c r="N26" s="63" t="s">
        <v>11</v>
      </c>
    </row>
    <row r="27" spans="1:14" x14ac:dyDescent="0.25">
      <c r="A27" s="29">
        <f t="shared" si="0"/>
        <v>9093</v>
      </c>
      <c r="B27" s="32" t="s">
        <v>14</v>
      </c>
      <c r="C27" s="44">
        <v>2319.21565082917</v>
      </c>
      <c r="D27" s="44">
        <v>1166.6574341625019</v>
      </c>
      <c r="E27" s="44">
        <v>2318.9142424958391</v>
      </c>
      <c r="F27" s="44">
        <v>1835.7846877922029</v>
      </c>
      <c r="G27" s="44">
        <v>1E-14</v>
      </c>
      <c r="H27" s="44">
        <v>1E-14</v>
      </c>
      <c r="I27" s="44">
        <v>1E-14</v>
      </c>
      <c r="J27" s="44">
        <v>1E-14</v>
      </c>
      <c r="K27" s="44">
        <v>1E-14</v>
      </c>
      <c r="L27" s="44">
        <v>1E-14</v>
      </c>
      <c r="M27" s="44">
        <v>1452.4279847202858</v>
      </c>
      <c r="N27" s="44">
        <v>1E-14</v>
      </c>
    </row>
    <row r="28" spans="1:14" x14ac:dyDescent="0.25">
      <c r="A28" s="29">
        <f t="shared" si="0"/>
        <v>1.1999999999999997E-13</v>
      </c>
      <c r="B28" s="32" t="s">
        <v>15</v>
      </c>
      <c r="C28" s="44">
        <v>1E-14</v>
      </c>
      <c r="D28" s="44">
        <v>1E-14</v>
      </c>
      <c r="E28" s="44">
        <v>1E-14</v>
      </c>
      <c r="F28" s="44">
        <v>1E-14</v>
      </c>
      <c r="G28" s="44">
        <v>1E-14</v>
      </c>
      <c r="H28" s="44">
        <v>1E-14</v>
      </c>
      <c r="I28" s="44">
        <v>1E-14</v>
      </c>
      <c r="J28" s="44">
        <v>1E-14</v>
      </c>
      <c r="K28" s="44">
        <v>1E-14</v>
      </c>
      <c r="L28" s="44">
        <v>1E-14</v>
      </c>
      <c r="M28" s="44">
        <v>1E-14</v>
      </c>
      <c r="N28" s="44">
        <v>1E-14</v>
      </c>
    </row>
    <row r="29" spans="1:14" x14ac:dyDescent="0.25">
      <c r="A29" s="29">
        <f t="shared" si="0"/>
        <v>1.1999999999999997E-13</v>
      </c>
      <c r="B29" s="32" t="s">
        <v>16</v>
      </c>
      <c r="C29" s="44">
        <v>1E-14</v>
      </c>
      <c r="D29" s="44">
        <v>1E-14</v>
      </c>
      <c r="E29" s="44">
        <v>1E-14</v>
      </c>
      <c r="F29" s="44">
        <v>1E-14</v>
      </c>
      <c r="G29" s="44">
        <v>1E-14</v>
      </c>
      <c r="H29" s="44">
        <v>1E-14</v>
      </c>
      <c r="I29" s="44">
        <v>1E-14</v>
      </c>
      <c r="J29" s="44">
        <v>1E-14</v>
      </c>
      <c r="K29" s="44">
        <v>1E-14</v>
      </c>
      <c r="L29" s="44">
        <v>1E-14</v>
      </c>
      <c r="M29" s="44">
        <v>1E-14</v>
      </c>
      <c r="N29" s="44">
        <v>1E-14</v>
      </c>
    </row>
    <row r="30" spans="1:14" x14ac:dyDescent="0.25">
      <c r="A30" s="29">
        <f t="shared" si="0"/>
        <v>28869</v>
      </c>
      <c r="B30" s="32" t="s">
        <v>17</v>
      </c>
      <c r="C30" s="44">
        <v>2405.75</v>
      </c>
      <c r="D30" s="44">
        <v>2404.3065500000012</v>
      </c>
      <c r="E30" s="44">
        <v>2405.9905749999998</v>
      </c>
      <c r="F30" s="44">
        <v>2405.9905749999998</v>
      </c>
      <c r="G30" s="44">
        <v>2405.9905749999998</v>
      </c>
      <c r="H30" s="44">
        <v>2405.75</v>
      </c>
      <c r="I30" s="44">
        <v>2405.75</v>
      </c>
      <c r="J30" s="44">
        <v>2405.75</v>
      </c>
      <c r="K30" s="44">
        <v>2405.75</v>
      </c>
      <c r="L30" s="44">
        <v>2405.9905749999998</v>
      </c>
      <c r="M30" s="44">
        <v>2405.9905749999998</v>
      </c>
      <c r="N30" s="44">
        <v>2405.9905749999998</v>
      </c>
    </row>
    <row r="31" spans="1:14" x14ac:dyDescent="0.25">
      <c r="A31" s="29">
        <f t="shared" si="0"/>
        <v>3500</v>
      </c>
      <c r="B31" s="32" t="s">
        <v>18</v>
      </c>
      <c r="C31" s="44">
        <v>291.66666666666669</v>
      </c>
      <c r="D31" s="44">
        <v>291.6666666666668</v>
      </c>
      <c r="E31" s="44">
        <v>291.66666666666669</v>
      </c>
      <c r="F31" s="44">
        <v>291.66666666666669</v>
      </c>
      <c r="G31" s="44">
        <v>291.66666666666669</v>
      </c>
      <c r="H31" s="44">
        <v>291.66666666666669</v>
      </c>
      <c r="I31" s="44">
        <v>291.66666666666669</v>
      </c>
      <c r="J31" s="44">
        <v>291.66666666666669</v>
      </c>
      <c r="K31" s="44">
        <v>291.66666666666669</v>
      </c>
      <c r="L31" s="44">
        <v>291.66666666666669</v>
      </c>
      <c r="M31" s="44">
        <v>291.66666666666669</v>
      </c>
      <c r="N31" s="44">
        <v>291.66666666666669</v>
      </c>
    </row>
    <row r="32" spans="1:14" x14ac:dyDescent="0.25">
      <c r="A32" s="29">
        <f t="shared" si="0"/>
        <v>1.1999999999999997E-13</v>
      </c>
      <c r="B32" s="32" t="s">
        <v>19</v>
      </c>
      <c r="C32" s="44">
        <v>1E-14</v>
      </c>
      <c r="D32" s="44">
        <v>1E-14</v>
      </c>
      <c r="E32" s="44">
        <v>1E-14</v>
      </c>
      <c r="F32" s="44">
        <v>1E-14</v>
      </c>
      <c r="G32" s="44">
        <v>1E-14</v>
      </c>
      <c r="H32" s="44">
        <v>1E-14</v>
      </c>
      <c r="I32" s="44">
        <v>1E-14</v>
      </c>
      <c r="J32" s="44">
        <v>1E-14</v>
      </c>
      <c r="K32" s="44">
        <v>1E-14</v>
      </c>
      <c r="L32" s="44">
        <v>1E-14</v>
      </c>
      <c r="M32" s="44">
        <v>1E-14</v>
      </c>
      <c r="N32" s="44">
        <v>1E-14</v>
      </c>
    </row>
    <row r="33" spans="1:14" x14ac:dyDescent="0.25">
      <c r="A33" s="29">
        <f t="shared" si="0"/>
        <v>1.1999999999999997E-13</v>
      </c>
      <c r="B33" s="32" t="s">
        <v>20</v>
      </c>
      <c r="C33" s="44">
        <v>1E-14</v>
      </c>
      <c r="D33" s="44">
        <v>1E-14</v>
      </c>
      <c r="E33" s="44">
        <v>1E-14</v>
      </c>
      <c r="F33" s="44">
        <v>1E-14</v>
      </c>
      <c r="G33" s="44">
        <v>1E-14</v>
      </c>
      <c r="H33" s="44">
        <v>1E-14</v>
      </c>
      <c r="I33" s="44">
        <v>1E-14</v>
      </c>
      <c r="J33" s="44">
        <v>1E-14</v>
      </c>
      <c r="K33" s="44">
        <v>1E-14</v>
      </c>
      <c r="L33" s="44">
        <v>1E-14</v>
      </c>
      <c r="M33" s="44">
        <v>1E-14</v>
      </c>
      <c r="N33" s="44">
        <v>1E-14</v>
      </c>
    </row>
    <row r="34" spans="1:14" x14ac:dyDescent="0.25">
      <c r="A34" s="29">
        <f t="shared" si="0"/>
        <v>7800.0000000000009</v>
      </c>
      <c r="B34" s="32" t="s">
        <v>21</v>
      </c>
      <c r="C34" s="44">
        <v>650</v>
      </c>
      <c r="D34" s="44">
        <v>649.61000000000195</v>
      </c>
      <c r="E34" s="44">
        <v>650.06499999999994</v>
      </c>
      <c r="F34" s="44">
        <v>650.06499999999994</v>
      </c>
      <c r="G34" s="44">
        <v>650.06499999999994</v>
      </c>
      <c r="H34" s="44">
        <v>650</v>
      </c>
      <c r="I34" s="44">
        <v>650</v>
      </c>
      <c r="J34" s="44">
        <v>650</v>
      </c>
      <c r="K34" s="44">
        <v>650</v>
      </c>
      <c r="L34" s="44">
        <v>650.06499999999994</v>
      </c>
      <c r="M34" s="44">
        <v>650.06499999999994</v>
      </c>
      <c r="N34" s="44">
        <v>650.06499999999994</v>
      </c>
    </row>
    <row r="35" spans="1:14" x14ac:dyDescent="0.25">
      <c r="A35" s="29">
        <f t="shared" si="0"/>
        <v>1.1999999999999997E-13</v>
      </c>
      <c r="B35" s="32" t="s">
        <v>22</v>
      </c>
      <c r="C35" s="44">
        <v>1E-14</v>
      </c>
      <c r="D35" s="44">
        <v>1E-14</v>
      </c>
      <c r="E35" s="44">
        <v>1E-14</v>
      </c>
      <c r="F35" s="44">
        <v>1E-14</v>
      </c>
      <c r="G35" s="44">
        <v>1E-14</v>
      </c>
      <c r="H35" s="44">
        <v>1E-14</v>
      </c>
      <c r="I35" s="44">
        <v>1E-14</v>
      </c>
      <c r="J35" s="44">
        <v>1E-14</v>
      </c>
      <c r="K35" s="44">
        <v>1E-14</v>
      </c>
      <c r="L35" s="44">
        <v>1E-14</v>
      </c>
      <c r="M35" s="44">
        <v>1E-14</v>
      </c>
      <c r="N35" s="44">
        <v>1E-14</v>
      </c>
    </row>
    <row r="36" spans="1:14" x14ac:dyDescent="0.25">
      <c r="A36" s="29">
        <f t="shared" si="0"/>
        <v>1.1999999999999997E-13</v>
      </c>
      <c r="B36" s="32" t="s">
        <v>23</v>
      </c>
      <c r="C36" s="44">
        <v>1E-14</v>
      </c>
      <c r="D36" s="44">
        <v>1E-14</v>
      </c>
      <c r="E36" s="44">
        <v>1E-14</v>
      </c>
      <c r="F36" s="44">
        <v>1E-14</v>
      </c>
      <c r="G36" s="44">
        <v>1E-14</v>
      </c>
      <c r="H36" s="44">
        <v>1E-14</v>
      </c>
      <c r="I36" s="44">
        <v>1E-14</v>
      </c>
      <c r="J36" s="44">
        <v>1E-14</v>
      </c>
      <c r="K36" s="44">
        <v>1E-14</v>
      </c>
      <c r="L36" s="44">
        <v>1E-14</v>
      </c>
      <c r="M36" s="44">
        <v>1E-14</v>
      </c>
      <c r="N36" s="44">
        <v>1E-14</v>
      </c>
    </row>
    <row r="37" spans="1:14" x14ac:dyDescent="0.25">
      <c r="A37" s="29">
        <f t="shared" si="0"/>
        <v>5200</v>
      </c>
      <c r="B37" s="32" t="s">
        <v>24</v>
      </c>
      <c r="C37" s="44">
        <v>1E-14</v>
      </c>
      <c r="D37" s="44">
        <v>1E-14</v>
      </c>
      <c r="E37" s="44">
        <v>1E-14</v>
      </c>
      <c r="F37" s="44">
        <v>148.32955470363515</v>
      </c>
      <c r="G37" s="44">
        <v>83.200818666332907</v>
      </c>
      <c r="H37" s="44">
        <v>1E-14</v>
      </c>
      <c r="I37" s="44">
        <v>1E-14</v>
      </c>
      <c r="J37" s="44">
        <v>1E-14</v>
      </c>
      <c r="K37" s="44">
        <v>1E-14</v>
      </c>
      <c r="L37" s="44">
        <v>2117.8691263586416</v>
      </c>
      <c r="M37" s="44">
        <v>531.68625777555235</v>
      </c>
      <c r="N37" s="44">
        <v>2318.9142424958382</v>
      </c>
    </row>
    <row r="38" spans="1:14" x14ac:dyDescent="0.25">
      <c r="A38" s="29">
        <f t="shared" si="0"/>
        <v>500</v>
      </c>
      <c r="B38" s="32" t="s">
        <v>25</v>
      </c>
      <c r="C38" s="44">
        <v>41.670833333333327</v>
      </c>
      <c r="D38" s="44">
        <v>41.662499999999959</v>
      </c>
      <c r="E38" s="44">
        <v>41.666666666666664</v>
      </c>
      <c r="F38" s="44">
        <v>41.666666666666664</v>
      </c>
      <c r="G38" s="44">
        <v>41.666666666666664</v>
      </c>
      <c r="H38" s="44">
        <v>41.666666666666664</v>
      </c>
      <c r="I38" s="44">
        <v>41.666666666666664</v>
      </c>
      <c r="J38" s="44">
        <v>41.666666666666664</v>
      </c>
      <c r="K38" s="44">
        <v>41.666666666666664</v>
      </c>
      <c r="L38" s="44">
        <v>41.666666666666664</v>
      </c>
      <c r="M38" s="44">
        <v>41.666666666666664</v>
      </c>
      <c r="N38" s="44">
        <v>41.666666666666664</v>
      </c>
    </row>
    <row r="39" spans="1:14" x14ac:dyDescent="0.25">
      <c r="A39" s="29">
        <f t="shared" si="0"/>
        <v>1.1999999999999997E-13</v>
      </c>
      <c r="B39" s="32" t="s">
        <v>26</v>
      </c>
      <c r="C39" s="44">
        <v>1E-14</v>
      </c>
      <c r="D39" s="44">
        <v>1E-14</v>
      </c>
      <c r="E39" s="44">
        <v>1E-14</v>
      </c>
      <c r="F39" s="44">
        <v>1E-14</v>
      </c>
      <c r="G39" s="44">
        <v>1E-14</v>
      </c>
      <c r="H39" s="44">
        <v>1E-14</v>
      </c>
      <c r="I39" s="44">
        <v>1E-14</v>
      </c>
      <c r="J39" s="44">
        <v>1E-14</v>
      </c>
      <c r="K39" s="44">
        <v>1E-14</v>
      </c>
      <c r="L39" s="44">
        <v>1E-14</v>
      </c>
      <c r="M39" s="44">
        <v>1E-14</v>
      </c>
      <c r="N39" s="44">
        <v>1E-14</v>
      </c>
    </row>
    <row r="40" spans="1:14" x14ac:dyDescent="0.25">
      <c r="A40" s="29">
        <f t="shared" si="0"/>
        <v>1.1999999999999997E-13</v>
      </c>
      <c r="B40" s="32" t="s">
        <v>27</v>
      </c>
      <c r="C40" s="44">
        <v>1E-14</v>
      </c>
      <c r="D40" s="44">
        <v>1E-14</v>
      </c>
      <c r="E40" s="44">
        <v>1E-14</v>
      </c>
      <c r="F40" s="44">
        <v>1E-14</v>
      </c>
      <c r="G40" s="44">
        <v>1E-14</v>
      </c>
      <c r="H40" s="44">
        <v>1E-14</v>
      </c>
      <c r="I40" s="44">
        <v>1E-14</v>
      </c>
      <c r="J40" s="44">
        <v>1E-14</v>
      </c>
      <c r="K40" s="44">
        <v>1E-14</v>
      </c>
      <c r="L40" s="44">
        <v>1E-14</v>
      </c>
      <c r="M40" s="44">
        <v>1E-14</v>
      </c>
      <c r="N40" s="44">
        <v>1E-14</v>
      </c>
    </row>
    <row r="41" spans="1:14" x14ac:dyDescent="0.25">
      <c r="A41" s="29">
        <f t="shared" si="0"/>
        <v>1.1999999999999997E-13</v>
      </c>
      <c r="B41" s="32" t="s">
        <v>28</v>
      </c>
      <c r="C41" s="44">
        <v>1E-14</v>
      </c>
      <c r="D41" s="44">
        <v>1E-14</v>
      </c>
      <c r="E41" s="44">
        <v>1E-14</v>
      </c>
      <c r="F41" s="44">
        <v>1E-14</v>
      </c>
      <c r="G41" s="44">
        <v>1E-14</v>
      </c>
      <c r="H41" s="44">
        <v>1E-14</v>
      </c>
      <c r="I41" s="44">
        <v>1E-14</v>
      </c>
      <c r="J41" s="44">
        <v>1E-14</v>
      </c>
      <c r="K41" s="44">
        <v>1E-14</v>
      </c>
      <c r="L41" s="44">
        <v>1E-14</v>
      </c>
      <c r="M41" s="44">
        <v>1E-14</v>
      </c>
      <c r="N41" s="44">
        <v>1E-14</v>
      </c>
    </row>
    <row r="42" spans="1:14" x14ac:dyDescent="0.25">
      <c r="A42" s="29">
        <f t="shared" si="0"/>
        <v>2000</v>
      </c>
      <c r="B42" s="32" t="s">
        <v>29</v>
      </c>
      <c r="C42" s="44">
        <v>166.66666666666666</v>
      </c>
      <c r="D42" s="44">
        <v>166.66666666666652</v>
      </c>
      <c r="E42" s="44">
        <v>166.66666666666666</v>
      </c>
      <c r="F42" s="44">
        <v>166.66666666666666</v>
      </c>
      <c r="G42" s="44">
        <v>166.66666666666666</v>
      </c>
      <c r="H42" s="44">
        <v>166.66666666666666</v>
      </c>
      <c r="I42" s="44">
        <v>166.66666666666666</v>
      </c>
      <c r="J42" s="44">
        <v>166.66666666666666</v>
      </c>
      <c r="K42" s="44">
        <v>166.66666666666666</v>
      </c>
      <c r="L42" s="44">
        <v>166.66666666666666</v>
      </c>
      <c r="M42" s="44">
        <v>166.66666666666666</v>
      </c>
      <c r="N42" s="44">
        <v>166.66666666666666</v>
      </c>
    </row>
    <row r="43" spans="1:14" x14ac:dyDescent="0.25">
      <c r="A43" s="29">
        <f t="shared" si="0"/>
        <v>1.1999999999999997E-13</v>
      </c>
      <c r="B43" s="32" t="s">
        <v>30</v>
      </c>
      <c r="C43" s="44">
        <v>1E-14</v>
      </c>
      <c r="D43" s="44">
        <v>1E-14</v>
      </c>
      <c r="E43" s="44">
        <v>1E-14</v>
      </c>
      <c r="F43" s="44">
        <v>1E-14</v>
      </c>
      <c r="G43" s="44">
        <v>1E-14</v>
      </c>
      <c r="H43" s="44">
        <v>1E-14</v>
      </c>
      <c r="I43" s="44">
        <v>1E-14</v>
      </c>
      <c r="J43" s="44">
        <v>1E-14</v>
      </c>
      <c r="K43" s="44">
        <v>1E-14</v>
      </c>
      <c r="L43" s="44">
        <v>1E-14</v>
      </c>
      <c r="M43" s="44">
        <v>1E-14</v>
      </c>
      <c r="N43" s="44">
        <v>1E-14</v>
      </c>
    </row>
    <row r="44" spans="1:14" x14ac:dyDescent="0.25">
      <c r="A44" s="29">
        <f t="shared" si="0"/>
        <v>150</v>
      </c>
      <c r="B44" s="32" t="s">
        <v>31</v>
      </c>
      <c r="C44" s="44">
        <v>1E-14</v>
      </c>
      <c r="D44" s="44">
        <v>150</v>
      </c>
      <c r="E44" s="44">
        <v>1E-14</v>
      </c>
      <c r="F44" s="44">
        <v>1E-14</v>
      </c>
      <c r="G44" s="44">
        <v>1E-14</v>
      </c>
      <c r="H44" s="44">
        <v>1E-14</v>
      </c>
      <c r="I44" s="44">
        <v>1E-14</v>
      </c>
      <c r="J44" s="44">
        <v>1E-14</v>
      </c>
      <c r="K44" s="44">
        <v>1E-14</v>
      </c>
      <c r="L44" s="44">
        <v>1E-14</v>
      </c>
      <c r="M44" s="44">
        <v>1E-14</v>
      </c>
      <c r="N44" s="44">
        <v>1E-14</v>
      </c>
    </row>
    <row r="45" spans="1:14" x14ac:dyDescent="0.25">
      <c r="A45" s="29">
        <f t="shared" si="0"/>
        <v>1.1999999999999997E-13</v>
      </c>
      <c r="B45" s="32" t="s">
        <v>32</v>
      </c>
      <c r="C45" s="44">
        <v>1E-14</v>
      </c>
      <c r="D45" s="44">
        <v>1E-14</v>
      </c>
      <c r="E45" s="44">
        <v>1E-14</v>
      </c>
      <c r="F45" s="44">
        <v>1E-14</v>
      </c>
      <c r="G45" s="44">
        <v>1E-14</v>
      </c>
      <c r="H45" s="44">
        <v>1E-14</v>
      </c>
      <c r="I45" s="44">
        <v>1E-14</v>
      </c>
      <c r="J45" s="44">
        <v>1E-14</v>
      </c>
      <c r="K45" s="44">
        <v>1E-14</v>
      </c>
      <c r="L45" s="44">
        <v>1E-14</v>
      </c>
      <c r="M45" s="44">
        <v>1E-14</v>
      </c>
      <c r="N45" s="44">
        <v>1E-14</v>
      </c>
    </row>
    <row r="46" spans="1:14" x14ac:dyDescent="0.25">
      <c r="A46" s="29">
        <f t="shared" si="0"/>
        <v>1.1999999999999997E-13</v>
      </c>
      <c r="B46" s="32" t="s">
        <v>33</v>
      </c>
      <c r="C46" s="44">
        <v>1E-14</v>
      </c>
      <c r="D46" s="44">
        <v>1E-14</v>
      </c>
      <c r="E46" s="44">
        <v>1E-14</v>
      </c>
      <c r="F46" s="44">
        <v>1E-14</v>
      </c>
      <c r="G46" s="44">
        <v>1E-14</v>
      </c>
      <c r="H46" s="44">
        <v>1E-14</v>
      </c>
      <c r="I46" s="44">
        <v>1E-14</v>
      </c>
      <c r="J46" s="44">
        <v>1E-14</v>
      </c>
      <c r="K46" s="44">
        <v>1E-14</v>
      </c>
      <c r="L46" s="44">
        <v>1E-14</v>
      </c>
      <c r="M46" s="44">
        <v>1E-14</v>
      </c>
      <c r="N46" s="44">
        <v>1E-14</v>
      </c>
    </row>
    <row r="47" spans="1:14" x14ac:dyDescent="0.25">
      <c r="A47" s="29">
        <f t="shared" si="0"/>
        <v>120</v>
      </c>
      <c r="B47" s="32" t="s">
        <v>34</v>
      </c>
      <c r="C47" s="44">
        <v>10</v>
      </c>
      <c r="D47" s="44">
        <v>10</v>
      </c>
      <c r="E47" s="44">
        <v>10</v>
      </c>
      <c r="F47" s="44">
        <v>10</v>
      </c>
      <c r="G47" s="44">
        <v>10</v>
      </c>
      <c r="H47" s="44">
        <v>10</v>
      </c>
      <c r="I47" s="44">
        <v>10</v>
      </c>
      <c r="J47" s="44">
        <v>10</v>
      </c>
      <c r="K47" s="44">
        <v>10</v>
      </c>
      <c r="L47" s="44">
        <v>10</v>
      </c>
      <c r="M47" s="44">
        <v>10</v>
      </c>
      <c r="N47" s="44">
        <v>10</v>
      </c>
    </row>
    <row r="48" spans="1:14" x14ac:dyDescent="0.25">
      <c r="A48" s="29">
        <f t="shared" si="0"/>
        <v>13925.962190049951</v>
      </c>
      <c r="B48" s="32" t="s">
        <v>87</v>
      </c>
      <c r="C48" s="44">
        <v>1160.49684917083</v>
      </c>
      <c r="D48" s="44">
        <v>1160.4968491708287</v>
      </c>
      <c r="E48" s="44">
        <v>1160.4968491708287</v>
      </c>
      <c r="F48" s="44">
        <v>1160.4968491708289</v>
      </c>
      <c r="G48" s="44">
        <v>1160.4968491708289</v>
      </c>
      <c r="H48" s="44">
        <v>1160.4968491708289</v>
      </c>
      <c r="I48" s="44">
        <v>1160.4968491708325</v>
      </c>
      <c r="J48" s="44">
        <v>1160.4968491708289</v>
      </c>
      <c r="K48" s="44">
        <v>1160.4968491708289</v>
      </c>
      <c r="L48" s="44">
        <v>1160.4968491708289</v>
      </c>
      <c r="M48" s="44">
        <v>1160.4968491708289</v>
      </c>
      <c r="N48" s="44">
        <v>1160.4968491708287</v>
      </c>
    </row>
    <row r="49" spans="1:14" x14ac:dyDescent="0.25">
      <c r="A49" s="29">
        <f t="shared" si="0"/>
        <v>40000</v>
      </c>
      <c r="B49" s="32" t="s">
        <v>88</v>
      </c>
      <c r="C49" s="44">
        <v>3333.3333333333335</v>
      </c>
      <c r="D49" s="44">
        <v>3333.3333333333321</v>
      </c>
      <c r="E49" s="44">
        <v>3333.3333333333335</v>
      </c>
      <c r="F49" s="44">
        <v>3333.3333333333335</v>
      </c>
      <c r="G49" s="44">
        <v>3333.3333333333335</v>
      </c>
      <c r="H49" s="44">
        <v>3333.3333333333335</v>
      </c>
      <c r="I49" s="44">
        <v>3333.3333333333335</v>
      </c>
      <c r="J49" s="44">
        <v>3333.3333333333335</v>
      </c>
      <c r="K49" s="44">
        <v>3333.3333333333335</v>
      </c>
      <c r="L49" s="44">
        <v>3333.3333333333335</v>
      </c>
      <c r="M49" s="44">
        <v>3333.3333333333335</v>
      </c>
      <c r="N49" s="44">
        <v>3333.3333333333335</v>
      </c>
    </row>
    <row r="50" spans="1:14" x14ac:dyDescent="0.25">
      <c r="A50" s="29">
        <f t="shared" si="0"/>
        <v>13557.365006277378</v>
      </c>
      <c r="B50" s="32" t="s">
        <v>35</v>
      </c>
      <c r="C50" s="44">
        <v>3519.7997496871085</v>
      </c>
      <c r="D50" s="44">
        <v>3179.1739674593241</v>
      </c>
      <c r="E50" s="44">
        <v>2873.403142028445</v>
      </c>
      <c r="F50" s="44">
        <v>1E-14</v>
      </c>
      <c r="G50" s="44">
        <v>1E-14</v>
      </c>
      <c r="H50" s="44">
        <v>1E-14</v>
      </c>
      <c r="I50" s="44">
        <v>1E-14</v>
      </c>
      <c r="J50" s="44">
        <v>1E-14</v>
      </c>
      <c r="K50" s="44">
        <v>1E-14</v>
      </c>
      <c r="L50" s="44">
        <v>1E-14</v>
      </c>
      <c r="M50" s="44">
        <v>1717.9602125514589</v>
      </c>
      <c r="N50" s="44">
        <v>2267.0279345510417</v>
      </c>
    </row>
    <row r="51" spans="1:14" x14ac:dyDescent="0.25">
      <c r="A51" s="29">
        <f t="shared" si="0"/>
        <v>11100</v>
      </c>
      <c r="B51" s="32" t="s">
        <v>36</v>
      </c>
      <c r="C51" s="44">
        <v>3999.9999999999995</v>
      </c>
      <c r="D51" s="44">
        <v>1E-14</v>
      </c>
      <c r="E51" s="44">
        <v>1E-14</v>
      </c>
      <c r="F51" s="44">
        <v>1E-14</v>
      </c>
      <c r="G51" s="44">
        <v>1E-14</v>
      </c>
      <c r="H51" s="44">
        <v>1E-14</v>
      </c>
      <c r="I51" s="44">
        <v>1E-14</v>
      </c>
      <c r="J51" s="44">
        <v>1E-14</v>
      </c>
      <c r="K51" s="44">
        <v>1E-14</v>
      </c>
      <c r="L51" s="44">
        <v>1E-14</v>
      </c>
      <c r="M51" s="44">
        <v>1500</v>
      </c>
      <c r="N51" s="44">
        <v>5600</v>
      </c>
    </row>
    <row r="52" spans="1:14" x14ac:dyDescent="0.25">
      <c r="A52" s="29">
        <f t="shared" si="0"/>
        <v>355.17575400329247</v>
      </c>
      <c r="B52" s="32" t="s">
        <v>85</v>
      </c>
      <c r="C52" s="44">
        <v>29.886338870060516</v>
      </c>
      <c r="D52" s="44">
        <v>325.28941513323196</v>
      </c>
      <c r="E52" s="44">
        <v>1E-14</v>
      </c>
      <c r="F52" s="44">
        <v>1E-14</v>
      </c>
      <c r="G52" s="44">
        <v>1E-14</v>
      </c>
      <c r="H52" s="44">
        <v>1E-14</v>
      </c>
      <c r="I52" s="44">
        <v>1E-14</v>
      </c>
      <c r="J52" s="44">
        <v>1E-14</v>
      </c>
      <c r="K52" s="44">
        <v>1E-14</v>
      </c>
      <c r="L52" s="44">
        <v>1E-14</v>
      </c>
      <c r="M52" s="44">
        <v>1E-14</v>
      </c>
      <c r="N52" s="44">
        <v>1E-14</v>
      </c>
    </row>
    <row r="53" spans="1:14" x14ac:dyDescent="0.25">
      <c r="A53" s="29">
        <f t="shared" si="0"/>
        <v>0</v>
      </c>
      <c r="B53" s="32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</row>
    <row r="54" spans="1:14" x14ac:dyDescent="0.25">
      <c r="A54" s="29"/>
      <c r="B54" s="9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</row>
    <row r="55" spans="1:14" x14ac:dyDescent="0.25">
      <c r="A55" s="61" t="s">
        <v>12</v>
      </c>
      <c r="B55" s="62" t="s">
        <v>91</v>
      </c>
      <c r="C55" s="63" t="s">
        <v>0</v>
      </c>
      <c r="D55" s="63" t="s">
        <v>1</v>
      </c>
      <c r="E55" s="63" t="s">
        <v>2</v>
      </c>
      <c r="F55" s="63" t="s">
        <v>3</v>
      </c>
      <c r="G55" s="63" t="s">
        <v>4</v>
      </c>
      <c r="H55" s="63" t="s">
        <v>5</v>
      </c>
      <c r="I55" s="63" t="s">
        <v>6</v>
      </c>
      <c r="J55" s="63" t="s">
        <v>7</v>
      </c>
      <c r="K55" s="63" t="s">
        <v>8</v>
      </c>
      <c r="L55" s="63" t="s">
        <v>9</v>
      </c>
      <c r="M55" s="63" t="s">
        <v>10</v>
      </c>
      <c r="N55" s="63" t="s">
        <v>11</v>
      </c>
    </row>
    <row r="56" spans="1:14" x14ac:dyDescent="0.25">
      <c r="A56" s="29">
        <f t="shared" ref="A56:A81" si="1">SUM(C56:N56)</f>
        <v>4773825</v>
      </c>
      <c r="B56" s="32" t="s">
        <v>14</v>
      </c>
      <c r="C56" s="59">
        <v>1217588.2166853142</v>
      </c>
      <c r="D56" s="59">
        <v>612495.15293531353</v>
      </c>
      <c r="E56" s="59">
        <v>1217429.9773103155</v>
      </c>
      <c r="F56" s="59">
        <v>963786.96109090652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762524.69197815005</v>
      </c>
      <c r="N56" s="59">
        <v>1E-14</v>
      </c>
    </row>
    <row r="57" spans="1:14" x14ac:dyDescent="0.25">
      <c r="A57" s="29">
        <f t="shared" si="1"/>
        <v>1.1999999999999997E-13</v>
      </c>
      <c r="B57" s="32" t="s">
        <v>15</v>
      </c>
      <c r="C57" s="59">
        <v>1E-14</v>
      </c>
      <c r="D57" s="59">
        <v>1E-14</v>
      </c>
      <c r="E57" s="59">
        <v>1E-14</v>
      </c>
      <c r="F57" s="59">
        <v>1E-14</v>
      </c>
      <c r="G57" s="59">
        <v>1E-14</v>
      </c>
      <c r="H57" s="59">
        <v>1E-14</v>
      </c>
      <c r="I57" s="59">
        <v>1E-14</v>
      </c>
      <c r="J57" s="59">
        <v>1E-14</v>
      </c>
      <c r="K57" s="59">
        <v>1E-14</v>
      </c>
      <c r="L57" s="59">
        <v>1E-14</v>
      </c>
      <c r="M57" s="59">
        <v>1E-14</v>
      </c>
      <c r="N57" s="59">
        <v>1E-14</v>
      </c>
    </row>
    <row r="58" spans="1:14" x14ac:dyDescent="0.25">
      <c r="A58" s="29">
        <f t="shared" si="1"/>
        <v>1.1999999999999997E-13</v>
      </c>
      <c r="B58" s="32" t="s">
        <v>16</v>
      </c>
      <c r="C58" s="59">
        <v>1E-14</v>
      </c>
      <c r="D58" s="59">
        <v>1E-14</v>
      </c>
      <c r="E58" s="59">
        <v>1E-14</v>
      </c>
      <c r="F58" s="59">
        <v>1E-14</v>
      </c>
      <c r="G58" s="59">
        <v>1E-14</v>
      </c>
      <c r="H58" s="59">
        <v>1E-14</v>
      </c>
      <c r="I58" s="59">
        <v>1E-14</v>
      </c>
      <c r="J58" s="59">
        <v>1E-14</v>
      </c>
      <c r="K58" s="59">
        <v>1E-14</v>
      </c>
      <c r="L58" s="59">
        <v>1E-14</v>
      </c>
      <c r="M58" s="59">
        <v>1E-14</v>
      </c>
      <c r="N58" s="59">
        <v>1E-14</v>
      </c>
    </row>
    <row r="59" spans="1:14" x14ac:dyDescent="0.25">
      <c r="A59" s="29">
        <f t="shared" si="1"/>
        <v>15156224.999999998</v>
      </c>
      <c r="B59" s="32" t="s">
        <v>17</v>
      </c>
      <c r="C59" s="59">
        <v>1263018.75</v>
      </c>
      <c r="D59" s="59">
        <v>1262260.9387500004</v>
      </c>
      <c r="E59" s="59">
        <v>1263145.0518749999</v>
      </c>
      <c r="F59" s="59">
        <v>1263145.0518749999</v>
      </c>
      <c r="G59" s="59">
        <v>1263145.0518749999</v>
      </c>
      <c r="H59" s="59">
        <v>1263018.75</v>
      </c>
      <c r="I59" s="59">
        <v>1263018.75</v>
      </c>
      <c r="J59" s="59">
        <v>1263018.75</v>
      </c>
      <c r="K59" s="59">
        <v>1263018.75</v>
      </c>
      <c r="L59" s="59">
        <v>1263145.0518749999</v>
      </c>
      <c r="M59" s="59">
        <v>1263145.0518749999</v>
      </c>
      <c r="N59" s="59">
        <v>1263145.0518750001</v>
      </c>
    </row>
    <row r="60" spans="1:14" x14ac:dyDescent="0.25">
      <c r="A60" s="29">
        <f t="shared" si="1"/>
        <v>1837500</v>
      </c>
      <c r="B60" s="32" t="s">
        <v>18</v>
      </c>
      <c r="C60" s="59">
        <v>153125</v>
      </c>
      <c r="D60" s="59">
        <v>153125.00000000006</v>
      </c>
      <c r="E60" s="59">
        <v>153125</v>
      </c>
      <c r="F60" s="59">
        <v>153125</v>
      </c>
      <c r="G60" s="59">
        <v>153125</v>
      </c>
      <c r="H60" s="59">
        <v>153125</v>
      </c>
      <c r="I60" s="59">
        <v>153125</v>
      </c>
      <c r="J60" s="59">
        <v>153125</v>
      </c>
      <c r="K60" s="59">
        <v>153125</v>
      </c>
      <c r="L60" s="59">
        <v>153125</v>
      </c>
      <c r="M60" s="59">
        <v>153125</v>
      </c>
      <c r="N60" s="59">
        <v>153125</v>
      </c>
    </row>
    <row r="61" spans="1:14" x14ac:dyDescent="0.25">
      <c r="A61" s="29">
        <f t="shared" si="1"/>
        <v>1.1999999999999997E-13</v>
      </c>
      <c r="B61" s="32" t="s">
        <v>19</v>
      </c>
      <c r="C61" s="59">
        <v>1E-14</v>
      </c>
      <c r="D61" s="59">
        <v>1E-14</v>
      </c>
      <c r="E61" s="59">
        <v>1E-14</v>
      </c>
      <c r="F61" s="59">
        <v>1E-14</v>
      </c>
      <c r="G61" s="59">
        <v>1E-14</v>
      </c>
      <c r="H61" s="59">
        <v>1E-14</v>
      </c>
      <c r="I61" s="59">
        <v>1E-14</v>
      </c>
      <c r="J61" s="59">
        <v>1E-14</v>
      </c>
      <c r="K61" s="59">
        <v>1E-14</v>
      </c>
      <c r="L61" s="59">
        <v>1E-14</v>
      </c>
      <c r="M61" s="59">
        <v>1E-14</v>
      </c>
      <c r="N61" s="59">
        <v>1E-14</v>
      </c>
    </row>
    <row r="62" spans="1:14" x14ac:dyDescent="0.25">
      <c r="A62" s="29">
        <f t="shared" si="1"/>
        <v>1.1999999999999997E-13</v>
      </c>
      <c r="B62" s="32" t="s">
        <v>20</v>
      </c>
      <c r="C62" s="59">
        <v>1E-14</v>
      </c>
      <c r="D62" s="59">
        <v>1E-14</v>
      </c>
      <c r="E62" s="59">
        <v>1E-14</v>
      </c>
      <c r="F62" s="59">
        <v>1E-14</v>
      </c>
      <c r="G62" s="59">
        <v>1E-14</v>
      </c>
      <c r="H62" s="59">
        <v>1E-14</v>
      </c>
      <c r="I62" s="59">
        <v>1E-14</v>
      </c>
      <c r="J62" s="59">
        <v>1E-14</v>
      </c>
      <c r="K62" s="59">
        <v>1E-14</v>
      </c>
      <c r="L62" s="59">
        <v>1E-14</v>
      </c>
      <c r="M62" s="59">
        <v>1E-14</v>
      </c>
      <c r="N62" s="59">
        <v>1E-14</v>
      </c>
    </row>
    <row r="63" spans="1:14" x14ac:dyDescent="0.25">
      <c r="A63" s="29">
        <f t="shared" si="1"/>
        <v>4095000.0000000009</v>
      </c>
      <c r="B63" s="32" t="s">
        <v>21</v>
      </c>
      <c r="C63" s="59">
        <v>341250</v>
      </c>
      <c r="D63" s="59">
        <v>341045.25000000105</v>
      </c>
      <c r="E63" s="59">
        <v>341284.12499999994</v>
      </c>
      <c r="F63" s="59">
        <v>341284.12499999994</v>
      </c>
      <c r="G63" s="59">
        <v>341284.12499999994</v>
      </c>
      <c r="H63" s="59">
        <v>341250</v>
      </c>
      <c r="I63" s="59">
        <v>341250</v>
      </c>
      <c r="J63" s="59">
        <v>341250</v>
      </c>
      <c r="K63" s="59">
        <v>341250</v>
      </c>
      <c r="L63" s="59">
        <v>341284.12499999994</v>
      </c>
      <c r="M63" s="59">
        <v>341284.12499999994</v>
      </c>
      <c r="N63" s="59">
        <v>341284.12499999994</v>
      </c>
    </row>
    <row r="64" spans="1:14" x14ac:dyDescent="0.25">
      <c r="A64" s="29">
        <f t="shared" si="1"/>
        <v>1.1999999999999997E-13</v>
      </c>
      <c r="B64" s="32" t="s">
        <v>22</v>
      </c>
      <c r="C64" s="59">
        <v>1E-14</v>
      </c>
      <c r="D64" s="59">
        <v>1E-14</v>
      </c>
      <c r="E64" s="59">
        <v>1E-14</v>
      </c>
      <c r="F64" s="59">
        <v>1E-14</v>
      </c>
      <c r="G64" s="59">
        <v>1E-14</v>
      </c>
      <c r="H64" s="59">
        <v>1E-14</v>
      </c>
      <c r="I64" s="59">
        <v>1E-14</v>
      </c>
      <c r="J64" s="59">
        <v>1E-14</v>
      </c>
      <c r="K64" s="59">
        <v>1E-14</v>
      </c>
      <c r="L64" s="59">
        <v>1E-14</v>
      </c>
      <c r="M64" s="59">
        <v>1E-14</v>
      </c>
      <c r="N64" s="59">
        <v>1E-14</v>
      </c>
    </row>
    <row r="65" spans="1:14" x14ac:dyDescent="0.25">
      <c r="A65" s="29">
        <f t="shared" si="1"/>
        <v>1.1999999999999997E-13</v>
      </c>
      <c r="B65" s="32" t="s">
        <v>23</v>
      </c>
      <c r="C65" s="59">
        <v>1E-14</v>
      </c>
      <c r="D65" s="59">
        <v>1E-14</v>
      </c>
      <c r="E65" s="59">
        <v>1E-14</v>
      </c>
      <c r="F65" s="59">
        <v>1E-14</v>
      </c>
      <c r="G65" s="59">
        <v>1E-14</v>
      </c>
      <c r="H65" s="59">
        <v>1E-14</v>
      </c>
      <c r="I65" s="59">
        <v>1E-14</v>
      </c>
      <c r="J65" s="59">
        <v>1E-14</v>
      </c>
      <c r="K65" s="59">
        <v>1E-14</v>
      </c>
      <c r="L65" s="59">
        <v>1E-14</v>
      </c>
      <c r="M65" s="59">
        <v>1E-14</v>
      </c>
      <c r="N65" s="59">
        <v>1E-14</v>
      </c>
    </row>
    <row r="66" spans="1:14" x14ac:dyDescent="0.25">
      <c r="A66" s="29">
        <f t="shared" si="1"/>
        <v>2730000</v>
      </c>
      <c r="B66" s="32" t="s">
        <v>24</v>
      </c>
      <c r="C66" s="59">
        <v>1E-14</v>
      </c>
      <c r="D66" s="59">
        <v>1E-14</v>
      </c>
      <c r="E66" s="59">
        <v>1E-14</v>
      </c>
      <c r="F66" s="59">
        <v>77873.016219408455</v>
      </c>
      <c r="G66" s="59">
        <v>43680.429799824778</v>
      </c>
      <c r="H66" s="59">
        <v>1E-14</v>
      </c>
      <c r="I66" s="59">
        <v>1E-14</v>
      </c>
      <c r="J66" s="59">
        <v>1E-14</v>
      </c>
      <c r="K66" s="59">
        <v>1E-14</v>
      </c>
      <c r="L66" s="59">
        <v>1111881.2913382868</v>
      </c>
      <c r="M66" s="59">
        <v>279135.28533216496</v>
      </c>
      <c r="N66" s="59">
        <v>1217429.977310315</v>
      </c>
    </row>
    <row r="67" spans="1:14" x14ac:dyDescent="0.25">
      <c r="A67" s="29">
        <f t="shared" si="1"/>
        <v>392499.99999999994</v>
      </c>
      <c r="B67" s="32" t="s">
        <v>25</v>
      </c>
      <c r="C67" s="59">
        <v>32711.604166666661</v>
      </c>
      <c r="D67" s="59">
        <v>32705.062499999967</v>
      </c>
      <c r="E67" s="59">
        <v>32708.333333333332</v>
      </c>
      <c r="F67" s="59">
        <v>32708.333333333332</v>
      </c>
      <c r="G67" s="59">
        <v>32708.333333333332</v>
      </c>
      <c r="H67" s="59">
        <v>32708.333333333332</v>
      </c>
      <c r="I67" s="59">
        <v>32708.333333333332</v>
      </c>
      <c r="J67" s="59">
        <v>32708.333333333332</v>
      </c>
      <c r="K67" s="59">
        <v>32708.333333333332</v>
      </c>
      <c r="L67" s="59">
        <v>32708.333333333332</v>
      </c>
      <c r="M67" s="59">
        <v>32708.333333333332</v>
      </c>
      <c r="N67" s="59">
        <v>32708.333333333332</v>
      </c>
    </row>
    <row r="68" spans="1:14" x14ac:dyDescent="0.25">
      <c r="A68" s="29">
        <f t="shared" si="1"/>
        <v>1.1999999999999997E-13</v>
      </c>
      <c r="B68" s="32" t="s">
        <v>26</v>
      </c>
      <c r="C68" s="59">
        <v>1E-14</v>
      </c>
      <c r="D68" s="59">
        <v>1E-14</v>
      </c>
      <c r="E68" s="59">
        <v>1E-14</v>
      </c>
      <c r="F68" s="59">
        <v>1E-14</v>
      </c>
      <c r="G68" s="59">
        <v>1E-14</v>
      </c>
      <c r="H68" s="59">
        <v>1E-14</v>
      </c>
      <c r="I68" s="59">
        <v>1E-14</v>
      </c>
      <c r="J68" s="59">
        <v>1E-14</v>
      </c>
      <c r="K68" s="59">
        <v>1E-14</v>
      </c>
      <c r="L68" s="59">
        <v>1E-14</v>
      </c>
      <c r="M68" s="59">
        <v>1E-14</v>
      </c>
      <c r="N68" s="59">
        <v>1E-14</v>
      </c>
    </row>
    <row r="69" spans="1:14" x14ac:dyDescent="0.25">
      <c r="A69" s="29">
        <f t="shared" si="1"/>
        <v>1.1999999999999997E-13</v>
      </c>
      <c r="B69" s="32" t="s">
        <v>27</v>
      </c>
      <c r="C69" s="59">
        <v>1E-14</v>
      </c>
      <c r="D69" s="59">
        <v>1E-14</v>
      </c>
      <c r="E69" s="59">
        <v>1E-14</v>
      </c>
      <c r="F69" s="59">
        <v>1E-14</v>
      </c>
      <c r="G69" s="59">
        <v>1E-14</v>
      </c>
      <c r="H69" s="59">
        <v>1E-14</v>
      </c>
      <c r="I69" s="59">
        <v>1E-14</v>
      </c>
      <c r="J69" s="59">
        <v>1E-14</v>
      </c>
      <c r="K69" s="59">
        <v>1E-14</v>
      </c>
      <c r="L69" s="59">
        <v>1E-14</v>
      </c>
      <c r="M69" s="59">
        <v>1E-14</v>
      </c>
      <c r="N69" s="59">
        <v>1E-14</v>
      </c>
    </row>
    <row r="70" spans="1:14" x14ac:dyDescent="0.25">
      <c r="A70" s="29">
        <f t="shared" si="1"/>
        <v>1.1999999999999997E-13</v>
      </c>
      <c r="B70" s="32" t="s">
        <v>28</v>
      </c>
      <c r="C70" s="59">
        <v>1E-14</v>
      </c>
      <c r="D70" s="59">
        <v>1E-14</v>
      </c>
      <c r="E70" s="59">
        <v>1E-14</v>
      </c>
      <c r="F70" s="59">
        <v>1E-14</v>
      </c>
      <c r="G70" s="59">
        <v>1E-14</v>
      </c>
      <c r="H70" s="59">
        <v>1E-14</v>
      </c>
      <c r="I70" s="59">
        <v>1E-14</v>
      </c>
      <c r="J70" s="59">
        <v>1E-14</v>
      </c>
      <c r="K70" s="59">
        <v>1E-14</v>
      </c>
      <c r="L70" s="59">
        <v>1E-14</v>
      </c>
      <c r="M70" s="59">
        <v>1E-14</v>
      </c>
      <c r="N70" s="59">
        <v>1E-14</v>
      </c>
    </row>
    <row r="71" spans="1:14" x14ac:dyDescent="0.25">
      <c r="A71" s="29">
        <f t="shared" si="1"/>
        <v>1030000</v>
      </c>
      <c r="B71" s="32" t="s">
        <v>29</v>
      </c>
      <c r="C71" s="59">
        <v>85833.333333333328</v>
      </c>
      <c r="D71" s="59">
        <v>85833.333333333256</v>
      </c>
      <c r="E71" s="59">
        <v>85833.333333333328</v>
      </c>
      <c r="F71" s="59">
        <v>85833.333333333328</v>
      </c>
      <c r="G71" s="59">
        <v>85833.333333333328</v>
      </c>
      <c r="H71" s="59">
        <v>85833.333333333328</v>
      </c>
      <c r="I71" s="59">
        <v>85833.333333333328</v>
      </c>
      <c r="J71" s="59">
        <v>85833.333333333328</v>
      </c>
      <c r="K71" s="59">
        <v>85833.333333333328</v>
      </c>
      <c r="L71" s="59">
        <v>85833.333333333328</v>
      </c>
      <c r="M71" s="59">
        <v>85833.333333333328</v>
      </c>
      <c r="N71" s="59">
        <v>85833.333333333328</v>
      </c>
    </row>
    <row r="72" spans="1:14" x14ac:dyDescent="0.25">
      <c r="A72" s="29">
        <f t="shared" si="1"/>
        <v>1.1999999999999997E-13</v>
      </c>
      <c r="B72" s="32" t="s">
        <v>30</v>
      </c>
      <c r="C72" s="59">
        <v>1E-14</v>
      </c>
      <c r="D72" s="59">
        <v>1E-14</v>
      </c>
      <c r="E72" s="59">
        <v>1E-14</v>
      </c>
      <c r="F72" s="59">
        <v>1E-14</v>
      </c>
      <c r="G72" s="59">
        <v>1E-14</v>
      </c>
      <c r="H72" s="59">
        <v>1E-14</v>
      </c>
      <c r="I72" s="59">
        <v>1E-14</v>
      </c>
      <c r="J72" s="59">
        <v>1E-14</v>
      </c>
      <c r="K72" s="59">
        <v>1E-14</v>
      </c>
      <c r="L72" s="59">
        <v>1E-14</v>
      </c>
      <c r="M72" s="59">
        <v>1E-14</v>
      </c>
      <c r="N72" s="59">
        <v>1E-14</v>
      </c>
    </row>
    <row r="73" spans="1:14" x14ac:dyDescent="0.25">
      <c r="A73" s="29">
        <f t="shared" si="1"/>
        <v>23250</v>
      </c>
      <c r="B73" s="32" t="s">
        <v>31</v>
      </c>
      <c r="C73" s="59">
        <v>1E-14</v>
      </c>
      <c r="D73" s="59">
        <v>23250</v>
      </c>
      <c r="E73" s="59">
        <v>1E-14</v>
      </c>
      <c r="F73" s="59">
        <v>1E-14</v>
      </c>
      <c r="G73" s="59">
        <v>1E-14</v>
      </c>
      <c r="H73" s="59">
        <v>1E-14</v>
      </c>
      <c r="I73" s="59">
        <v>1E-14</v>
      </c>
      <c r="J73" s="59">
        <v>1E-14</v>
      </c>
      <c r="K73" s="59">
        <v>1E-14</v>
      </c>
      <c r="L73" s="59">
        <v>1E-14</v>
      </c>
      <c r="M73" s="59">
        <v>1E-14</v>
      </c>
      <c r="N73" s="59">
        <v>1E-14</v>
      </c>
    </row>
    <row r="74" spans="1:14" x14ac:dyDescent="0.25">
      <c r="A74" s="29">
        <f t="shared" si="1"/>
        <v>1.1999999999999997E-13</v>
      </c>
      <c r="B74" s="32" t="s">
        <v>32</v>
      </c>
      <c r="C74" s="59">
        <v>1E-14</v>
      </c>
      <c r="D74" s="59">
        <v>1E-14</v>
      </c>
      <c r="E74" s="59">
        <v>1E-14</v>
      </c>
      <c r="F74" s="59">
        <v>1E-14</v>
      </c>
      <c r="G74" s="59">
        <v>1E-14</v>
      </c>
      <c r="H74" s="59">
        <v>1E-14</v>
      </c>
      <c r="I74" s="59">
        <v>1E-14</v>
      </c>
      <c r="J74" s="59">
        <v>1E-14</v>
      </c>
      <c r="K74" s="59">
        <v>1E-14</v>
      </c>
      <c r="L74" s="59">
        <v>1E-14</v>
      </c>
      <c r="M74" s="59">
        <v>1E-14</v>
      </c>
      <c r="N74" s="59">
        <v>1E-14</v>
      </c>
    </row>
    <row r="75" spans="1:14" x14ac:dyDescent="0.25">
      <c r="A75" s="29">
        <f t="shared" si="1"/>
        <v>1.1999999999999997E-13</v>
      </c>
      <c r="B75" s="32" t="s">
        <v>33</v>
      </c>
      <c r="C75" s="59">
        <v>1E-14</v>
      </c>
      <c r="D75" s="59">
        <v>1E-14</v>
      </c>
      <c r="E75" s="59">
        <v>1E-14</v>
      </c>
      <c r="F75" s="59">
        <v>1E-14</v>
      </c>
      <c r="G75" s="59">
        <v>1E-14</v>
      </c>
      <c r="H75" s="59">
        <v>1E-14</v>
      </c>
      <c r="I75" s="59">
        <v>1E-14</v>
      </c>
      <c r="J75" s="59">
        <v>1E-14</v>
      </c>
      <c r="K75" s="59">
        <v>1E-14</v>
      </c>
      <c r="L75" s="59">
        <v>1E-14</v>
      </c>
      <c r="M75" s="59">
        <v>1E-14</v>
      </c>
      <c r="N75" s="59">
        <v>1E-14</v>
      </c>
    </row>
    <row r="76" spans="1:14" x14ac:dyDescent="0.25">
      <c r="A76" s="29">
        <f t="shared" si="1"/>
        <v>82200</v>
      </c>
      <c r="B76" s="32" t="s">
        <v>34</v>
      </c>
      <c r="C76" s="59">
        <v>6850</v>
      </c>
      <c r="D76" s="59">
        <v>6850</v>
      </c>
      <c r="E76" s="59">
        <v>6850</v>
      </c>
      <c r="F76" s="59">
        <v>6850</v>
      </c>
      <c r="G76" s="59">
        <v>6850</v>
      </c>
      <c r="H76" s="59">
        <v>6850</v>
      </c>
      <c r="I76" s="59">
        <v>6850</v>
      </c>
      <c r="J76" s="59">
        <v>6850</v>
      </c>
      <c r="K76" s="59">
        <v>6850</v>
      </c>
      <c r="L76" s="59">
        <v>6850</v>
      </c>
      <c r="M76" s="59">
        <v>6850</v>
      </c>
      <c r="N76" s="59">
        <v>6850</v>
      </c>
    </row>
    <row r="77" spans="1:14" x14ac:dyDescent="0.25">
      <c r="A77" s="29">
        <f t="shared" si="1"/>
        <v>5570384.8760199798</v>
      </c>
      <c r="B77" s="32" t="s">
        <v>87</v>
      </c>
      <c r="C77" s="59">
        <v>464198.73966833204</v>
      </c>
      <c r="D77" s="59">
        <v>464198.73966833146</v>
      </c>
      <c r="E77" s="59">
        <v>464198.73966833146</v>
      </c>
      <c r="F77" s="59">
        <v>464198.73966833157</v>
      </c>
      <c r="G77" s="59">
        <v>464198.73966833157</v>
      </c>
      <c r="H77" s="59">
        <v>464198.73966833157</v>
      </c>
      <c r="I77" s="59">
        <v>464198.73966833303</v>
      </c>
      <c r="J77" s="59">
        <v>464198.73966833157</v>
      </c>
      <c r="K77" s="59">
        <v>464198.73966833157</v>
      </c>
      <c r="L77" s="59">
        <v>464198.73966833157</v>
      </c>
      <c r="M77" s="59">
        <v>464198.73966833157</v>
      </c>
      <c r="N77" s="59">
        <v>464198.73966833146</v>
      </c>
    </row>
    <row r="78" spans="1:14" x14ac:dyDescent="0.25">
      <c r="A78" s="29">
        <f t="shared" si="1"/>
        <v>18000000</v>
      </c>
      <c r="B78" s="32" t="s">
        <v>88</v>
      </c>
      <c r="C78" s="59">
        <v>1500000</v>
      </c>
      <c r="D78" s="59">
        <v>1499999.9999999995</v>
      </c>
      <c r="E78" s="59">
        <v>1500000</v>
      </c>
      <c r="F78" s="59">
        <v>1500000</v>
      </c>
      <c r="G78" s="59">
        <v>1500000</v>
      </c>
      <c r="H78" s="59">
        <v>1500000</v>
      </c>
      <c r="I78" s="59">
        <v>1500000</v>
      </c>
      <c r="J78" s="59">
        <v>1500000</v>
      </c>
      <c r="K78" s="59">
        <v>1500000</v>
      </c>
      <c r="L78" s="59">
        <v>1500000</v>
      </c>
      <c r="M78" s="59">
        <v>1500000</v>
      </c>
      <c r="N78" s="59">
        <v>1500000</v>
      </c>
    </row>
    <row r="79" spans="1:14" x14ac:dyDescent="0.25">
      <c r="A79" s="29">
        <f t="shared" si="1"/>
        <v>1.1999999999999997E-13</v>
      </c>
      <c r="B79" s="32" t="s">
        <v>35</v>
      </c>
      <c r="C79" s="59">
        <v>1E-14</v>
      </c>
      <c r="D79" s="59">
        <v>1E-14</v>
      </c>
      <c r="E79" s="59">
        <v>1E-14</v>
      </c>
      <c r="F79" s="59">
        <v>1E-14</v>
      </c>
      <c r="G79" s="59">
        <v>1E-14</v>
      </c>
      <c r="H79" s="59">
        <v>1E-14</v>
      </c>
      <c r="I79" s="59">
        <v>1E-14</v>
      </c>
      <c r="J79" s="59">
        <v>1E-14</v>
      </c>
      <c r="K79" s="59">
        <v>1E-14</v>
      </c>
      <c r="L79" s="59">
        <v>1E-14</v>
      </c>
      <c r="M79" s="59">
        <v>1E-14</v>
      </c>
      <c r="N79" s="59">
        <v>1E-14</v>
      </c>
    </row>
    <row r="80" spans="1:14" x14ac:dyDescent="0.25">
      <c r="A80" s="29">
        <f t="shared" si="1"/>
        <v>1.1999999999999997E-13</v>
      </c>
      <c r="B80" s="32" t="s">
        <v>36</v>
      </c>
      <c r="C80" s="59">
        <v>1E-14</v>
      </c>
      <c r="D80" s="59">
        <v>1E-14</v>
      </c>
      <c r="E80" s="59">
        <v>1E-14</v>
      </c>
      <c r="F80" s="59">
        <v>1E-14</v>
      </c>
      <c r="G80" s="59">
        <v>1E-14</v>
      </c>
      <c r="H80" s="59">
        <v>1E-14</v>
      </c>
      <c r="I80" s="59">
        <v>1E-14</v>
      </c>
      <c r="J80" s="59">
        <v>1E-14</v>
      </c>
      <c r="K80" s="59">
        <v>1E-14</v>
      </c>
      <c r="L80" s="59">
        <v>1E-14</v>
      </c>
      <c r="M80" s="59">
        <v>1E-14</v>
      </c>
      <c r="N80" s="59">
        <v>1E-14</v>
      </c>
    </row>
    <row r="81" spans="1:14" x14ac:dyDescent="0.25">
      <c r="A81" s="29">
        <f t="shared" si="1"/>
        <v>1.1999999999999997E-13</v>
      </c>
      <c r="B81" s="32" t="s">
        <v>85</v>
      </c>
      <c r="C81" s="59">
        <v>1E-14</v>
      </c>
      <c r="D81" s="59">
        <v>1E-14</v>
      </c>
      <c r="E81" s="59">
        <v>1E-14</v>
      </c>
      <c r="F81" s="59">
        <v>1E-14</v>
      </c>
      <c r="G81" s="59">
        <v>1E-14</v>
      </c>
      <c r="H81" s="59">
        <v>1E-14</v>
      </c>
      <c r="I81" s="59">
        <v>1E-14</v>
      </c>
      <c r="J81" s="59">
        <v>1E-14</v>
      </c>
      <c r="K81" s="59">
        <v>1E-14</v>
      </c>
      <c r="L81" s="59">
        <v>1E-14</v>
      </c>
      <c r="M81" s="59">
        <v>1E-14</v>
      </c>
      <c r="N81" s="59">
        <v>1E-14</v>
      </c>
    </row>
    <row r="83" spans="1:14" x14ac:dyDescent="0.25">
      <c r="A83" s="62"/>
      <c r="B83" s="62" t="s">
        <v>90</v>
      </c>
      <c r="C83" s="63" t="s">
        <v>0</v>
      </c>
      <c r="D83" s="63" t="s">
        <v>1</v>
      </c>
      <c r="E83" s="63" t="s">
        <v>2</v>
      </c>
      <c r="F83" s="63" t="s">
        <v>3</v>
      </c>
      <c r="G83" s="63" t="s">
        <v>4</v>
      </c>
      <c r="H83" s="63" t="s">
        <v>5</v>
      </c>
      <c r="I83" s="63" t="s">
        <v>6</v>
      </c>
      <c r="J83" s="63" t="s">
        <v>7</v>
      </c>
      <c r="K83" s="63" t="s">
        <v>8</v>
      </c>
      <c r="L83" s="63" t="s">
        <v>9</v>
      </c>
      <c r="M83" s="63" t="s">
        <v>10</v>
      </c>
      <c r="N83" s="63" t="s">
        <v>11</v>
      </c>
    </row>
    <row r="84" spans="1:14" x14ac:dyDescent="0.25">
      <c r="B84" s="25" t="s">
        <v>44</v>
      </c>
      <c r="C84" s="41">
        <v>0.69852847471127033</v>
      </c>
      <c r="D84" s="41">
        <v>0.69783939594356259</v>
      </c>
      <c r="E84" s="41">
        <v>0.69852782755874143</v>
      </c>
      <c r="F84" s="41">
        <v>0.57272727272727275</v>
      </c>
      <c r="G84" s="41">
        <v>0.57272727272727275</v>
      </c>
      <c r="H84" s="41">
        <v>0.61606219291157038</v>
      </c>
      <c r="I84" s="41">
        <v>0.70857533670033679</v>
      </c>
      <c r="J84" s="41">
        <v>0.70857533670033679</v>
      </c>
      <c r="K84" s="41">
        <v>0.61606219291157027</v>
      </c>
      <c r="L84" s="41">
        <v>0.57272727272727275</v>
      </c>
      <c r="M84" s="41">
        <v>0.69284206524922276</v>
      </c>
      <c r="N84" s="41">
        <v>0.67544027038534604</v>
      </c>
    </row>
    <row r="85" spans="1:14" x14ac:dyDescent="0.25">
      <c r="B85" s="25" t="s">
        <v>45</v>
      </c>
      <c r="C85" s="41">
        <v>0.86648573715075894</v>
      </c>
      <c r="D85" s="41">
        <v>0.87135205395117543</v>
      </c>
      <c r="E85" s="41">
        <v>0.86648196032631508</v>
      </c>
      <c r="F85" s="41">
        <v>0.79547325102880662</v>
      </c>
      <c r="G85" s="41">
        <v>0.57037037037037031</v>
      </c>
      <c r="H85" s="41">
        <v>0.57037037037037031</v>
      </c>
      <c r="I85" s="41">
        <v>0.63850972085165991</v>
      </c>
      <c r="J85" s="41">
        <v>0.63850972085165936</v>
      </c>
      <c r="K85" s="41">
        <v>0.57037037037037031</v>
      </c>
      <c r="L85" s="41">
        <v>0.74735165272799675</v>
      </c>
      <c r="M85" s="41">
        <v>0.85904185152789214</v>
      </c>
      <c r="N85" s="41">
        <v>0.83834400002123932</v>
      </c>
    </row>
    <row r="86" spans="1:14" x14ac:dyDescent="0.25">
      <c r="B86" s="25" t="s">
        <v>46</v>
      </c>
      <c r="C86" s="41">
        <v>1</v>
      </c>
      <c r="D86" s="41">
        <v>1</v>
      </c>
      <c r="E86" s="41">
        <v>0.81635415261447053</v>
      </c>
      <c r="F86" s="41">
        <v>1E-14</v>
      </c>
      <c r="G86" s="41">
        <v>1E-14</v>
      </c>
      <c r="H86" s="41">
        <v>1E-14</v>
      </c>
      <c r="I86" s="41">
        <v>1E-14</v>
      </c>
      <c r="J86" s="41">
        <v>1E-14</v>
      </c>
      <c r="K86" s="41">
        <v>1E-14</v>
      </c>
      <c r="L86" s="41">
        <v>1E-14</v>
      </c>
      <c r="M86" s="41">
        <v>0.50435413353491176</v>
      </c>
      <c r="N86" s="41">
        <v>0.64407866804143288</v>
      </c>
    </row>
    <row r="87" spans="1:14" x14ac:dyDescent="0.25">
      <c r="B87" s="25" t="s">
        <v>47</v>
      </c>
      <c r="C87" s="41">
        <v>4.9096434822381374E-3</v>
      </c>
      <c r="D87" s="41">
        <v>5.916308806986692E-2</v>
      </c>
      <c r="E87" s="41">
        <v>1E-14</v>
      </c>
      <c r="F87" s="41">
        <v>1E-14</v>
      </c>
      <c r="G87" s="41">
        <v>1E-14</v>
      </c>
      <c r="H87" s="41">
        <v>1E-14</v>
      </c>
      <c r="I87" s="41">
        <v>1E-14</v>
      </c>
      <c r="J87" s="41">
        <v>1E-14</v>
      </c>
      <c r="K87" s="41">
        <v>1E-14</v>
      </c>
      <c r="L87" s="41">
        <v>1E-14</v>
      </c>
      <c r="M87" s="41">
        <v>1E-14</v>
      </c>
      <c r="N87" s="41">
        <v>1E-14</v>
      </c>
    </row>
    <row r="88" spans="1:14" x14ac:dyDescent="0.25">
      <c r="B88" s="25" t="s">
        <v>86</v>
      </c>
      <c r="C88" s="41">
        <v>1</v>
      </c>
      <c r="D88" s="41">
        <v>1E-14</v>
      </c>
      <c r="E88" s="41">
        <v>1E-14</v>
      </c>
      <c r="F88" s="41">
        <v>1E-14</v>
      </c>
      <c r="G88" s="41">
        <v>1E-14</v>
      </c>
      <c r="H88" s="41">
        <v>1E-14</v>
      </c>
      <c r="I88" s="41">
        <v>1E-14</v>
      </c>
      <c r="J88" s="41">
        <v>1E-14</v>
      </c>
      <c r="K88" s="41">
        <v>1E-14</v>
      </c>
      <c r="L88" s="41">
        <v>1E-14</v>
      </c>
      <c r="M88" s="41">
        <v>1</v>
      </c>
      <c r="N88" s="41">
        <v>1</v>
      </c>
    </row>
    <row r="89" spans="1:14" x14ac:dyDescent="0.25">
      <c r="B89" s="25" t="s">
        <v>48</v>
      </c>
      <c r="C89" s="41">
        <v>1E-14</v>
      </c>
      <c r="D89" s="41">
        <v>1E-14</v>
      </c>
      <c r="E89" s="41">
        <v>1E-14</v>
      </c>
      <c r="F89" s="41">
        <v>1E-14</v>
      </c>
      <c r="G89" s="41">
        <v>0.28179211469534038</v>
      </c>
      <c r="H89" s="41">
        <v>0.78400116369070694</v>
      </c>
      <c r="I89" s="41">
        <v>0.64489445890295982</v>
      </c>
      <c r="J89" s="41">
        <v>0.68969732628647162</v>
      </c>
      <c r="K89" s="41">
        <v>0.73770486739441066</v>
      </c>
      <c r="L89" s="41">
        <v>1E-14</v>
      </c>
      <c r="M89" s="41">
        <v>1E-14</v>
      </c>
      <c r="N89" s="41">
        <v>1E-14</v>
      </c>
    </row>
  </sheetData>
  <conditionalFormatting sqref="C19:N24">
    <cfRule type="colorScale" priority="1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19:A24">
    <cfRule type="cellIs" dxfId="8" priority="9" operator="between">
      <formula>-0.0000000000012</formula>
      <formula>0.0000000000001</formula>
    </cfRule>
  </conditionalFormatting>
  <conditionalFormatting sqref="A56:A81">
    <cfRule type="cellIs" dxfId="7" priority="7" operator="lessThan">
      <formula>0.0000000000012</formula>
    </cfRule>
  </conditionalFormatting>
  <conditionalFormatting sqref="C84:N89">
    <cfRule type="cellIs" dxfId="6" priority="6" operator="lessThan">
      <formula>0.0000000000001</formula>
    </cfRule>
  </conditionalFormatting>
  <conditionalFormatting sqref="C56:N81">
    <cfRule type="colorScale" priority="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C27:N54">
    <cfRule type="colorScale" priority="19">
      <colorScale>
        <cfvo type="min"/>
        <cfvo type="max"/>
        <color rgb="FFFCFCFF"/>
        <color rgb="FF63BE7B"/>
      </colorScale>
    </cfRule>
  </conditionalFormatting>
  <conditionalFormatting sqref="A27:N52">
    <cfRule type="cellIs" dxfId="5" priority="4" operator="between">
      <formula>-0.0000000000001</formula>
      <formula>0.0000000000001</formula>
    </cfRule>
  </conditionalFormatting>
  <conditionalFormatting sqref="A7:N16">
    <cfRule type="cellIs" dxfId="4" priority="3" operator="between">
      <formula>-0.0000000000001</formula>
      <formula>0.0000000000001</formula>
    </cfRule>
  </conditionalFormatting>
  <conditionalFormatting sqref="A56:N81">
    <cfRule type="cellIs" dxfId="3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4"/>
  </sheetPr>
  <dimension ref="B2:AD87"/>
  <sheetViews>
    <sheetView zoomScale="85" zoomScaleNormal="85" workbookViewId="0">
      <selection activeCell="I7" sqref="I7"/>
    </sheetView>
  </sheetViews>
  <sheetFormatPr defaultRowHeight="15" x14ac:dyDescent="0.25"/>
  <cols>
    <col min="1" max="1" width="5" customWidth="1"/>
    <col min="2" max="2" width="11.7109375" bestFit="1" customWidth="1"/>
    <col min="3" max="3" width="9" bestFit="1" customWidth="1"/>
    <col min="4" max="5" width="12.140625" bestFit="1" customWidth="1"/>
    <col min="6" max="6" width="8.42578125" bestFit="1" customWidth="1"/>
    <col min="7" max="7" width="8.7109375" customWidth="1"/>
    <col min="8" max="8" width="7.85546875" customWidth="1"/>
    <col min="9" max="9" width="8" customWidth="1"/>
    <col min="10" max="10" width="10.28515625" bestFit="1" customWidth="1"/>
    <col min="11" max="12" width="9.28515625" customWidth="1"/>
    <col min="14" max="14" width="20.42578125" customWidth="1"/>
    <col min="15" max="15" width="9.7109375" customWidth="1"/>
    <col min="19" max="19" width="11" bestFit="1" customWidth="1"/>
    <col min="20" max="20" width="12" bestFit="1" customWidth="1"/>
    <col min="21" max="21" width="12.28515625" bestFit="1" customWidth="1"/>
  </cols>
  <sheetData>
    <row r="2" spans="2:25" x14ac:dyDescent="0.25">
      <c r="B2" s="2" t="s">
        <v>80</v>
      </c>
      <c r="C2" s="4" t="s">
        <v>38</v>
      </c>
      <c r="D2" s="5" t="s">
        <v>58</v>
      </c>
      <c r="E2" s="5" t="s">
        <v>81</v>
      </c>
      <c r="F2" s="35" t="s">
        <v>39</v>
      </c>
      <c r="G2" s="35" t="s">
        <v>39</v>
      </c>
      <c r="H2" s="5"/>
      <c r="I2" s="5" t="s">
        <v>39</v>
      </c>
      <c r="J2" s="5"/>
      <c r="O2" s="56" t="s">
        <v>38</v>
      </c>
      <c r="P2" s="57"/>
      <c r="Q2" s="56" t="s">
        <v>38</v>
      </c>
      <c r="R2" s="56" t="s">
        <v>38</v>
      </c>
      <c r="S2" s="56" t="s">
        <v>38</v>
      </c>
      <c r="T2" s="4" t="s">
        <v>56</v>
      </c>
      <c r="U2" s="4" t="s">
        <v>56</v>
      </c>
      <c r="V2" s="4" t="s">
        <v>57</v>
      </c>
      <c r="W2" s="4" t="s">
        <v>58</v>
      </c>
      <c r="Y2" s="4" t="s">
        <v>59</v>
      </c>
    </row>
    <row r="3" spans="2:25" x14ac:dyDescent="0.25">
      <c r="B3" s="8" t="s">
        <v>84</v>
      </c>
      <c r="C3" s="28" t="s">
        <v>40</v>
      </c>
      <c r="D3" s="28" t="s">
        <v>95</v>
      </c>
      <c r="E3" s="28" t="s">
        <v>82</v>
      </c>
      <c r="F3" s="53" t="s">
        <v>83</v>
      </c>
      <c r="G3" s="53" t="s">
        <v>41</v>
      </c>
      <c r="H3" s="28" t="s">
        <v>102</v>
      </c>
      <c r="I3" s="28" t="s">
        <v>103</v>
      </c>
      <c r="J3" s="24" t="s">
        <v>42</v>
      </c>
      <c r="K3" s="24" t="s">
        <v>43</v>
      </c>
      <c r="L3" s="24" t="s">
        <v>104</v>
      </c>
      <c r="N3" s="8" t="s">
        <v>74</v>
      </c>
      <c r="O3" s="28" t="s">
        <v>40</v>
      </c>
      <c r="P3" s="28" t="s">
        <v>60</v>
      </c>
      <c r="Q3" s="28" t="s">
        <v>101</v>
      </c>
      <c r="R3" s="28" t="s">
        <v>105</v>
      </c>
      <c r="S3" s="28" t="s">
        <v>89</v>
      </c>
      <c r="T3" s="28" t="s">
        <v>96</v>
      </c>
      <c r="U3" s="28" t="s">
        <v>97</v>
      </c>
      <c r="V3" s="28" t="s">
        <v>61</v>
      </c>
      <c r="W3" s="28" t="s">
        <v>62</v>
      </c>
      <c r="X3" s="28" t="s">
        <v>98</v>
      </c>
      <c r="Y3" s="28" t="s">
        <v>99</v>
      </c>
    </row>
    <row r="4" spans="2:25" x14ac:dyDescent="0.25">
      <c r="B4" s="23" t="s">
        <v>44</v>
      </c>
      <c r="C4" s="4">
        <v>1</v>
      </c>
      <c r="D4">
        <v>8</v>
      </c>
      <c r="E4">
        <v>4.05</v>
      </c>
      <c r="F4">
        <v>9</v>
      </c>
      <c r="G4">
        <v>2</v>
      </c>
      <c r="H4" s="36">
        <v>0.7</v>
      </c>
      <c r="I4" s="37">
        <v>6.3</v>
      </c>
      <c r="J4" s="38">
        <v>0.6</v>
      </c>
      <c r="K4" s="7">
        <v>50</v>
      </c>
      <c r="L4" s="7"/>
      <c r="N4" s="26" t="s">
        <v>14</v>
      </c>
      <c r="O4" s="49">
        <v>1</v>
      </c>
      <c r="P4" s="49">
        <v>1</v>
      </c>
      <c r="Q4" s="49">
        <v>1</v>
      </c>
      <c r="R4" s="49"/>
      <c r="S4" s="49">
        <v>1</v>
      </c>
      <c r="T4" s="50">
        <v>9093</v>
      </c>
      <c r="U4" s="51">
        <v>9093</v>
      </c>
      <c r="V4" s="1">
        <v>525</v>
      </c>
      <c r="W4" s="48">
        <v>10.5</v>
      </c>
      <c r="X4" s="47">
        <v>0.38849999999999996</v>
      </c>
      <c r="Y4" s="7">
        <v>50</v>
      </c>
    </row>
    <row r="5" spans="2:25" x14ac:dyDescent="0.25">
      <c r="B5" s="23" t="s">
        <v>45</v>
      </c>
      <c r="C5" s="4">
        <v>1</v>
      </c>
      <c r="D5">
        <v>8</v>
      </c>
      <c r="E5">
        <v>9.9</v>
      </c>
      <c r="F5">
        <v>22</v>
      </c>
      <c r="G5">
        <v>5</v>
      </c>
      <c r="H5" s="36">
        <v>0.7</v>
      </c>
      <c r="I5" s="37">
        <v>15.399999999999999</v>
      </c>
      <c r="J5" s="38">
        <v>0.65</v>
      </c>
      <c r="K5" s="7">
        <v>40</v>
      </c>
      <c r="L5" s="7"/>
      <c r="N5" s="26" t="s">
        <v>15</v>
      </c>
      <c r="O5" s="49"/>
      <c r="P5" s="49">
        <v>1</v>
      </c>
      <c r="Q5" s="49">
        <v>1</v>
      </c>
      <c r="R5" s="49"/>
      <c r="S5" s="49">
        <v>1</v>
      </c>
      <c r="T5" s="50"/>
      <c r="U5" s="51"/>
      <c r="V5" s="1"/>
      <c r="W5" s="48">
        <v>10.5</v>
      </c>
      <c r="X5" s="47">
        <v>0.38849999999999996</v>
      </c>
      <c r="Y5" s="7"/>
    </row>
    <row r="6" spans="2:25" x14ac:dyDescent="0.25">
      <c r="B6" s="23" t="s">
        <v>46</v>
      </c>
      <c r="C6" s="4">
        <v>1</v>
      </c>
      <c r="F6">
        <v>10.5</v>
      </c>
      <c r="H6" s="36"/>
      <c r="I6" s="37"/>
      <c r="J6" s="38">
        <v>0.85</v>
      </c>
      <c r="K6" s="7">
        <v>25</v>
      </c>
      <c r="L6" s="7"/>
      <c r="N6" s="26" t="s">
        <v>16</v>
      </c>
      <c r="O6" s="49"/>
      <c r="P6" s="49">
        <v>1</v>
      </c>
      <c r="Q6" s="49">
        <v>1</v>
      </c>
      <c r="R6" s="49"/>
      <c r="S6" s="49">
        <v>1</v>
      </c>
      <c r="T6" s="50"/>
      <c r="U6" s="51"/>
      <c r="V6" s="1"/>
      <c r="W6" s="48">
        <v>10.5</v>
      </c>
      <c r="X6" s="47">
        <v>0.38849999999999996</v>
      </c>
      <c r="Y6" s="7"/>
    </row>
    <row r="7" spans="2:25" x14ac:dyDescent="0.25">
      <c r="B7" s="23" t="s">
        <v>47</v>
      </c>
      <c r="C7" s="4">
        <v>1</v>
      </c>
      <c r="F7">
        <v>100</v>
      </c>
      <c r="H7" s="36"/>
      <c r="I7" s="37"/>
      <c r="J7" s="38">
        <v>1</v>
      </c>
      <c r="K7" s="7"/>
      <c r="L7" s="7"/>
      <c r="N7" s="26" t="s">
        <v>17</v>
      </c>
      <c r="O7" s="49">
        <v>1</v>
      </c>
      <c r="P7" s="49">
        <v>1</v>
      </c>
      <c r="Q7" s="49"/>
      <c r="R7" s="49"/>
      <c r="S7" s="49">
        <v>1</v>
      </c>
      <c r="T7" s="50">
        <v>28869</v>
      </c>
      <c r="U7" s="51">
        <v>28869</v>
      </c>
      <c r="V7" s="1">
        <v>525</v>
      </c>
      <c r="W7" s="48">
        <v>9.4</v>
      </c>
      <c r="X7" s="47">
        <v>0.3478</v>
      </c>
      <c r="Y7" s="7">
        <v>55.851063829787229</v>
      </c>
    </row>
    <row r="8" spans="2:25" x14ac:dyDescent="0.25">
      <c r="B8" s="23" t="s">
        <v>86</v>
      </c>
      <c r="C8" s="4">
        <v>1</v>
      </c>
      <c r="F8">
        <v>8</v>
      </c>
      <c r="H8" s="36"/>
      <c r="I8" s="37"/>
      <c r="J8" s="38">
        <v>1</v>
      </c>
      <c r="K8" s="7"/>
      <c r="L8" s="7"/>
      <c r="N8" s="26" t="s">
        <v>18</v>
      </c>
      <c r="O8" s="49">
        <v>1</v>
      </c>
      <c r="P8" s="49">
        <v>1</v>
      </c>
      <c r="Q8" s="49"/>
      <c r="R8" s="49"/>
      <c r="S8" s="49">
        <v>1</v>
      </c>
      <c r="T8" s="50">
        <v>3500</v>
      </c>
      <c r="U8" s="51">
        <v>3500</v>
      </c>
      <c r="V8" s="1">
        <v>525</v>
      </c>
      <c r="W8" s="48">
        <v>10.5</v>
      </c>
      <c r="X8" s="47">
        <v>0.38849999999999996</v>
      </c>
      <c r="Y8" s="7">
        <v>50</v>
      </c>
    </row>
    <row r="9" spans="2:25" x14ac:dyDescent="0.25">
      <c r="B9" s="23" t="s">
        <v>48</v>
      </c>
      <c r="C9" s="4">
        <v>1</v>
      </c>
      <c r="F9">
        <v>15</v>
      </c>
      <c r="H9" s="36"/>
      <c r="I9" s="37"/>
      <c r="J9" s="38">
        <v>1</v>
      </c>
      <c r="K9" s="7">
        <v>10</v>
      </c>
      <c r="L9" s="7">
        <v>20</v>
      </c>
      <c r="N9" s="26" t="s">
        <v>19</v>
      </c>
      <c r="O9" s="49"/>
      <c r="P9" s="49">
        <v>1</v>
      </c>
      <c r="Q9" s="49"/>
      <c r="R9" s="49"/>
      <c r="S9" s="49">
        <v>1</v>
      </c>
      <c r="T9" s="50"/>
      <c r="U9" s="51"/>
      <c r="V9" s="1">
        <v>155</v>
      </c>
      <c r="W9" s="48">
        <v>14.5</v>
      </c>
      <c r="X9" s="47">
        <v>0.53649999999999998</v>
      </c>
      <c r="Y9" s="7">
        <v>10.689655172413794</v>
      </c>
    </row>
    <row r="10" spans="2:25" x14ac:dyDescent="0.25">
      <c r="N10" s="26" t="s">
        <v>20</v>
      </c>
      <c r="O10" s="49"/>
      <c r="P10" s="49">
        <v>1</v>
      </c>
      <c r="Q10" s="49"/>
      <c r="R10" s="49"/>
      <c r="S10" s="49">
        <v>1</v>
      </c>
      <c r="T10" s="50"/>
      <c r="U10" s="51"/>
      <c r="V10" s="1">
        <v>525</v>
      </c>
      <c r="W10" s="48">
        <v>12</v>
      </c>
      <c r="X10" s="47">
        <v>0.44399999999999995</v>
      </c>
      <c r="Y10" s="7">
        <v>43.75</v>
      </c>
    </row>
    <row r="11" spans="2:25" x14ac:dyDescent="0.25">
      <c r="N11" s="26" t="s">
        <v>21</v>
      </c>
      <c r="O11" s="49">
        <v>1</v>
      </c>
      <c r="P11" s="49">
        <v>1</v>
      </c>
      <c r="Q11" s="49"/>
      <c r="R11" s="49"/>
      <c r="S11" s="49">
        <v>1</v>
      </c>
      <c r="T11" s="50">
        <v>7800</v>
      </c>
      <c r="U11" s="51">
        <v>7800</v>
      </c>
      <c r="V11" s="1">
        <v>525</v>
      </c>
      <c r="W11" s="48">
        <v>9</v>
      </c>
      <c r="X11" s="47">
        <v>0.33299999999999996</v>
      </c>
      <c r="Y11" s="7">
        <v>58.333333333333336</v>
      </c>
    </row>
    <row r="12" spans="2:25" x14ac:dyDescent="0.25">
      <c r="N12" s="26" t="s">
        <v>22</v>
      </c>
      <c r="O12" s="49"/>
      <c r="P12" s="49">
        <v>1</v>
      </c>
      <c r="Q12" s="49"/>
      <c r="R12" s="49"/>
      <c r="S12" s="49">
        <v>1</v>
      </c>
      <c r="T12" s="50"/>
      <c r="U12" s="51"/>
      <c r="V12" s="1">
        <v>525</v>
      </c>
      <c r="W12" s="48">
        <v>11</v>
      </c>
      <c r="X12" s="47">
        <v>0.40699999999999997</v>
      </c>
      <c r="Y12" s="7">
        <v>47.727272727272727</v>
      </c>
    </row>
    <row r="13" spans="2:25" x14ac:dyDescent="0.25">
      <c r="B13" s="2"/>
      <c r="C13" s="2"/>
      <c r="D13" s="4"/>
      <c r="E13" s="4"/>
      <c r="F13" s="4"/>
      <c r="G13" s="4"/>
      <c r="H13" s="4"/>
      <c r="I13" s="4"/>
      <c r="N13" s="26" t="s">
        <v>23</v>
      </c>
      <c r="O13" s="49"/>
      <c r="P13" s="49">
        <v>1</v>
      </c>
      <c r="Q13" s="49"/>
      <c r="R13" s="49"/>
      <c r="S13" s="49">
        <v>1</v>
      </c>
      <c r="T13" s="50"/>
      <c r="U13" s="51"/>
      <c r="V13" s="1">
        <v>525</v>
      </c>
      <c r="W13" s="48">
        <v>9.5</v>
      </c>
      <c r="X13" s="47">
        <v>0.35149999999999998</v>
      </c>
      <c r="Y13" s="7">
        <v>55.263157894736842</v>
      </c>
    </row>
    <row r="14" spans="2:25" x14ac:dyDescent="0.25">
      <c r="B14" s="8" t="s">
        <v>49</v>
      </c>
      <c r="C14" s="28" t="s">
        <v>36</v>
      </c>
      <c r="D14" s="28" t="s">
        <v>50</v>
      </c>
      <c r="E14" s="28" t="s">
        <v>51</v>
      </c>
      <c r="F14" s="54" t="s">
        <v>52</v>
      </c>
      <c r="G14" s="28" t="s">
        <v>53</v>
      </c>
      <c r="H14" s="28" t="s">
        <v>54</v>
      </c>
      <c r="I14" s="28" t="s">
        <v>55</v>
      </c>
      <c r="N14" s="26" t="s">
        <v>24</v>
      </c>
      <c r="O14" s="49">
        <v>1</v>
      </c>
      <c r="P14" s="49">
        <v>1</v>
      </c>
      <c r="Q14" s="49">
        <v>1</v>
      </c>
      <c r="R14" s="49"/>
      <c r="S14" s="49">
        <v>1</v>
      </c>
      <c r="T14" s="50">
        <v>5200</v>
      </c>
      <c r="U14" s="51">
        <v>5200</v>
      </c>
      <c r="V14" s="1">
        <v>525</v>
      </c>
      <c r="W14" s="48">
        <v>9</v>
      </c>
      <c r="X14" s="47">
        <v>0.33299999999999996</v>
      </c>
      <c r="Y14" s="7">
        <v>58.333333333333336</v>
      </c>
    </row>
    <row r="15" spans="2:25" x14ac:dyDescent="0.25">
      <c r="B15" s="25" t="s">
        <v>0</v>
      </c>
      <c r="C15">
        <v>4000</v>
      </c>
      <c r="D15" s="46">
        <v>31</v>
      </c>
      <c r="E15" s="1">
        <v>35300</v>
      </c>
      <c r="F15" s="1">
        <v>5952</v>
      </c>
      <c r="G15" s="10">
        <v>265.64662500000003</v>
      </c>
      <c r="H15">
        <v>25.8</v>
      </c>
      <c r="I15">
        <v>26.5</v>
      </c>
      <c r="N15" s="26" t="s">
        <v>25</v>
      </c>
      <c r="O15" s="49">
        <v>1</v>
      </c>
      <c r="P15" s="49">
        <v>1</v>
      </c>
      <c r="Q15" s="49"/>
      <c r="R15" s="49"/>
      <c r="S15" s="49">
        <v>1</v>
      </c>
      <c r="T15" s="50">
        <v>500</v>
      </c>
      <c r="U15" s="51">
        <v>500</v>
      </c>
      <c r="V15" s="1">
        <v>785</v>
      </c>
      <c r="W15" s="48">
        <v>12</v>
      </c>
      <c r="X15" s="47">
        <v>0.44399999999999995</v>
      </c>
      <c r="Y15" s="7">
        <v>65.416666666666671</v>
      </c>
    </row>
    <row r="16" spans="2:25" x14ac:dyDescent="0.25">
      <c r="B16" s="25" t="s">
        <v>1</v>
      </c>
      <c r="D16" s="46">
        <v>28</v>
      </c>
      <c r="E16" s="1">
        <v>32000</v>
      </c>
      <c r="F16" s="1">
        <v>5376</v>
      </c>
      <c r="G16" s="10">
        <v>298.42762500000003</v>
      </c>
      <c r="H16">
        <v>25.8</v>
      </c>
      <c r="I16">
        <v>26.5</v>
      </c>
      <c r="N16" s="26" t="s">
        <v>26</v>
      </c>
      <c r="O16" s="49"/>
      <c r="P16" s="49">
        <v>1</v>
      </c>
      <c r="Q16" s="49"/>
      <c r="R16" s="49"/>
      <c r="S16" s="49">
        <v>1</v>
      </c>
      <c r="T16" s="50"/>
      <c r="U16" s="51"/>
      <c r="V16" s="1"/>
      <c r="W16" s="48">
        <v>10</v>
      </c>
      <c r="X16" s="47">
        <v>0.37</v>
      </c>
      <c r="Y16" s="7"/>
    </row>
    <row r="17" spans="2:30" x14ac:dyDescent="0.25">
      <c r="B17" s="25" t="s">
        <v>2</v>
      </c>
      <c r="D17" s="46">
        <v>31</v>
      </c>
      <c r="E17" s="1">
        <v>29500</v>
      </c>
      <c r="F17" s="1">
        <v>5952</v>
      </c>
      <c r="G17" s="10">
        <v>334.72087500000004</v>
      </c>
      <c r="H17">
        <v>25.8</v>
      </c>
      <c r="I17">
        <v>26.5</v>
      </c>
      <c r="N17" s="26" t="s">
        <v>27</v>
      </c>
      <c r="O17" s="49"/>
      <c r="P17" s="49">
        <v>1</v>
      </c>
      <c r="Q17" s="49"/>
      <c r="R17" s="49"/>
      <c r="S17" s="49">
        <v>1</v>
      </c>
      <c r="T17" s="50"/>
      <c r="U17" s="51"/>
      <c r="V17" s="1">
        <v>525</v>
      </c>
      <c r="W17" s="48">
        <v>11</v>
      </c>
      <c r="X17" s="47">
        <v>0.40699999999999997</v>
      </c>
      <c r="Y17" s="7">
        <v>47.727272727272727</v>
      </c>
    </row>
    <row r="18" spans="2:30" x14ac:dyDescent="0.25">
      <c r="B18" s="25" t="s">
        <v>3</v>
      </c>
      <c r="D18" s="46">
        <v>30</v>
      </c>
      <c r="E18" s="1">
        <v>20000</v>
      </c>
      <c r="F18" s="1">
        <v>5760</v>
      </c>
      <c r="G18" s="10">
        <v>369.84337500000004</v>
      </c>
      <c r="H18">
        <v>25.8</v>
      </c>
      <c r="I18">
        <v>26.5</v>
      </c>
      <c r="N18" s="26" t="s">
        <v>28</v>
      </c>
      <c r="O18" s="49"/>
      <c r="P18" s="49">
        <v>1</v>
      </c>
      <c r="Q18" s="49"/>
      <c r="R18" s="49"/>
      <c r="S18" s="49">
        <v>1</v>
      </c>
      <c r="T18" s="50">
        <v>40000</v>
      </c>
      <c r="U18" s="51">
        <v>40000</v>
      </c>
      <c r="V18" s="1">
        <v>399.97499999999997</v>
      </c>
      <c r="W18" s="48">
        <v>10.5</v>
      </c>
      <c r="X18" s="47">
        <v>0.38849999999999996</v>
      </c>
      <c r="Y18" s="7">
        <v>38.092857142857142</v>
      </c>
    </row>
    <row r="19" spans="2:30" x14ac:dyDescent="0.25">
      <c r="B19" s="25" t="s">
        <v>4</v>
      </c>
      <c r="D19" s="46">
        <v>31</v>
      </c>
      <c r="E19" s="1">
        <v>13000</v>
      </c>
      <c r="F19" s="1">
        <v>5952</v>
      </c>
      <c r="G19" s="10">
        <v>406.13662500000004</v>
      </c>
      <c r="H19">
        <v>25.8</v>
      </c>
      <c r="I19">
        <v>26.5</v>
      </c>
      <c r="N19" s="26" t="s">
        <v>29</v>
      </c>
      <c r="O19" s="49">
        <v>1</v>
      </c>
      <c r="P19" s="49">
        <v>1</v>
      </c>
      <c r="Q19" s="49"/>
      <c r="R19" s="49"/>
      <c r="S19" s="49">
        <v>1</v>
      </c>
      <c r="T19" s="50">
        <v>2000</v>
      </c>
      <c r="U19" s="51">
        <v>2000</v>
      </c>
      <c r="V19" s="1">
        <v>515</v>
      </c>
      <c r="W19" s="48">
        <v>10.5</v>
      </c>
      <c r="X19" s="47">
        <v>0.38849999999999996</v>
      </c>
      <c r="Y19" s="7">
        <v>49.047619047619051</v>
      </c>
    </row>
    <row r="20" spans="2:30" x14ac:dyDescent="0.25">
      <c r="B20" s="25" t="s">
        <v>5</v>
      </c>
      <c r="D20" s="46">
        <v>30</v>
      </c>
      <c r="E20" s="1">
        <v>7500</v>
      </c>
      <c r="F20" s="1">
        <v>5760</v>
      </c>
      <c r="G20" s="10">
        <v>441.25912500000004</v>
      </c>
      <c r="H20">
        <v>25.8</v>
      </c>
      <c r="I20">
        <v>26.5</v>
      </c>
      <c r="N20" s="26" t="s">
        <v>30</v>
      </c>
      <c r="O20" s="49"/>
      <c r="P20" s="49">
        <v>1</v>
      </c>
      <c r="Q20" s="49">
        <v>1</v>
      </c>
      <c r="R20" s="49"/>
      <c r="S20" s="49">
        <v>1</v>
      </c>
      <c r="T20" s="50"/>
      <c r="U20" s="51"/>
      <c r="V20" s="1"/>
      <c r="W20" s="48">
        <v>13</v>
      </c>
      <c r="X20" s="47"/>
      <c r="Y20" s="7"/>
    </row>
    <row r="21" spans="2:30" x14ac:dyDescent="0.25">
      <c r="B21" s="25" t="s">
        <v>6</v>
      </c>
      <c r="D21" s="46">
        <v>31</v>
      </c>
      <c r="E21" s="1">
        <v>7500</v>
      </c>
      <c r="F21" s="1">
        <v>5952</v>
      </c>
      <c r="G21" s="10">
        <v>477.55237500000004</v>
      </c>
      <c r="H21">
        <v>25.8</v>
      </c>
      <c r="I21">
        <v>26.5</v>
      </c>
      <c r="N21" s="26" t="s">
        <v>31</v>
      </c>
      <c r="O21" s="49">
        <v>1</v>
      </c>
      <c r="P21" s="49">
        <v>1</v>
      </c>
      <c r="Q21" s="49">
        <v>1</v>
      </c>
      <c r="R21" s="49"/>
      <c r="S21" s="49">
        <v>1</v>
      </c>
      <c r="T21" s="50">
        <v>150</v>
      </c>
      <c r="U21" s="51">
        <v>150</v>
      </c>
      <c r="V21" s="1">
        <v>155</v>
      </c>
      <c r="W21" s="48">
        <v>14.5</v>
      </c>
      <c r="X21" s="47"/>
      <c r="Y21" s="7">
        <v>10.689655172413794</v>
      </c>
    </row>
    <row r="22" spans="2:30" x14ac:dyDescent="0.25">
      <c r="B22" s="25" t="s">
        <v>7</v>
      </c>
      <c r="D22" s="46">
        <v>31</v>
      </c>
      <c r="E22" s="1">
        <v>7000</v>
      </c>
      <c r="F22" s="1">
        <v>5952</v>
      </c>
      <c r="G22" s="10">
        <v>513.84562500000004</v>
      </c>
      <c r="H22">
        <v>25.8</v>
      </c>
      <c r="I22">
        <v>26.5</v>
      </c>
      <c r="N22" s="26" t="s">
        <v>32</v>
      </c>
      <c r="O22" s="49"/>
      <c r="P22" s="49">
        <v>1</v>
      </c>
      <c r="Q22" s="49">
        <v>1</v>
      </c>
      <c r="R22" s="49"/>
      <c r="S22" s="49">
        <v>1</v>
      </c>
      <c r="T22" s="50">
        <v>1500</v>
      </c>
      <c r="U22" s="51">
        <v>1500</v>
      </c>
      <c r="V22" s="1"/>
      <c r="W22" s="48">
        <v>14.5</v>
      </c>
      <c r="X22" s="47"/>
      <c r="Y22" s="7"/>
    </row>
    <row r="23" spans="2:30" x14ac:dyDescent="0.25">
      <c r="B23" s="25" t="s">
        <v>8</v>
      </c>
      <c r="D23" s="46">
        <v>30</v>
      </c>
      <c r="E23" s="1">
        <v>8000</v>
      </c>
      <c r="F23" s="1">
        <v>5760</v>
      </c>
      <c r="G23" s="10">
        <v>548.9681250000001</v>
      </c>
      <c r="H23">
        <v>25.8</v>
      </c>
      <c r="I23">
        <v>26.5</v>
      </c>
      <c r="N23" s="26" t="s">
        <v>33</v>
      </c>
      <c r="O23" s="49"/>
      <c r="P23" s="49">
        <v>1</v>
      </c>
      <c r="Q23" s="49"/>
      <c r="R23" s="49"/>
      <c r="S23" s="49">
        <v>1</v>
      </c>
      <c r="T23" s="50"/>
      <c r="U23" s="51"/>
      <c r="V23" s="1"/>
      <c r="W23" s="48">
        <v>14.7</v>
      </c>
      <c r="X23" s="47"/>
      <c r="Y23" s="7"/>
    </row>
    <row r="24" spans="2:30" x14ac:dyDescent="0.25">
      <c r="B24" s="25" t="s">
        <v>9</v>
      </c>
      <c r="D24" s="46">
        <v>31</v>
      </c>
      <c r="E24" s="1">
        <v>19700</v>
      </c>
      <c r="F24" s="1">
        <v>5952</v>
      </c>
      <c r="G24" s="10">
        <v>585.26137500000004</v>
      </c>
      <c r="H24">
        <v>25.8</v>
      </c>
      <c r="I24">
        <v>26.5</v>
      </c>
      <c r="N24" s="26" t="s">
        <v>34</v>
      </c>
      <c r="O24" s="49">
        <v>1</v>
      </c>
      <c r="P24" s="49">
        <v>1</v>
      </c>
      <c r="Q24" s="49"/>
      <c r="R24" s="49"/>
      <c r="S24" s="49">
        <v>1</v>
      </c>
      <c r="T24" s="50">
        <v>120</v>
      </c>
      <c r="U24" s="51">
        <v>120</v>
      </c>
      <c r="V24" s="1">
        <v>685</v>
      </c>
      <c r="W24" s="48">
        <v>14</v>
      </c>
      <c r="X24" s="47"/>
      <c r="Y24" s="7">
        <v>48.928571428571431</v>
      </c>
    </row>
    <row r="25" spans="2:30" x14ac:dyDescent="0.25">
      <c r="B25" s="25" t="s">
        <v>10</v>
      </c>
      <c r="C25">
        <v>1500</v>
      </c>
      <c r="D25" s="46">
        <v>30</v>
      </c>
      <c r="E25" s="1">
        <v>27500</v>
      </c>
      <c r="F25" s="1">
        <v>5760</v>
      </c>
      <c r="G25" s="10">
        <v>620.38387499999999</v>
      </c>
      <c r="H25">
        <v>25.8</v>
      </c>
      <c r="I25">
        <v>26.5</v>
      </c>
      <c r="N25" s="26" t="s">
        <v>87</v>
      </c>
      <c r="O25" s="49">
        <v>1</v>
      </c>
      <c r="P25" s="49">
        <v>1</v>
      </c>
      <c r="Q25" s="49"/>
      <c r="R25" s="49">
        <v>1</v>
      </c>
      <c r="S25" s="49">
        <v>1</v>
      </c>
      <c r="T25" s="50"/>
      <c r="U25" s="51">
        <v>50000</v>
      </c>
      <c r="V25" s="1">
        <v>400</v>
      </c>
      <c r="W25" s="48">
        <v>11.5</v>
      </c>
      <c r="X25" s="47">
        <v>0.42549999999999999</v>
      </c>
      <c r="Y25" s="7">
        <v>34.782608695652172</v>
      </c>
    </row>
    <row r="26" spans="2:30" x14ac:dyDescent="0.25">
      <c r="B26" s="25" t="s">
        <v>11</v>
      </c>
      <c r="C26">
        <v>5600</v>
      </c>
      <c r="D26" s="46">
        <v>31</v>
      </c>
      <c r="E26" s="1">
        <v>33000</v>
      </c>
      <c r="F26" s="1">
        <v>5952</v>
      </c>
      <c r="G26" s="10">
        <v>656.67712499999993</v>
      </c>
      <c r="H26">
        <v>25.8</v>
      </c>
      <c r="I26">
        <v>26.5</v>
      </c>
      <c r="N26" s="26" t="s">
        <v>88</v>
      </c>
      <c r="O26" s="49">
        <v>1</v>
      </c>
      <c r="P26" s="49">
        <v>1</v>
      </c>
      <c r="Q26" s="49"/>
      <c r="R26" s="49"/>
      <c r="S26" s="49">
        <v>1</v>
      </c>
      <c r="T26" s="50">
        <v>40000</v>
      </c>
      <c r="U26" s="51">
        <v>40000</v>
      </c>
      <c r="V26" s="1">
        <v>450</v>
      </c>
      <c r="W26" s="48">
        <v>10.5</v>
      </c>
      <c r="X26" s="47">
        <v>0.38849999999999996</v>
      </c>
      <c r="Y26" s="7">
        <v>42.857142857142854</v>
      </c>
    </row>
    <row r="27" spans="2:30" x14ac:dyDescent="0.25">
      <c r="B27" s="11"/>
      <c r="C27" s="3"/>
      <c r="D27" s="3"/>
      <c r="E27" s="3"/>
      <c r="F27" s="3"/>
      <c r="N27" s="26" t="s">
        <v>35</v>
      </c>
      <c r="O27" s="49">
        <v>1</v>
      </c>
      <c r="P27" s="49">
        <v>2</v>
      </c>
      <c r="Q27" s="49">
        <v>1</v>
      </c>
      <c r="R27" s="49"/>
      <c r="S27" s="49"/>
      <c r="T27" s="50"/>
      <c r="U27" s="50"/>
      <c r="V27" s="1">
        <v>470</v>
      </c>
      <c r="W27" s="48">
        <v>9.4</v>
      </c>
      <c r="X27" s="47"/>
      <c r="Y27" s="7">
        <v>50</v>
      </c>
    </row>
    <row r="28" spans="2:30" x14ac:dyDescent="0.25">
      <c r="N28" s="26" t="s">
        <v>36</v>
      </c>
      <c r="O28" s="49">
        <v>1</v>
      </c>
      <c r="P28" s="49">
        <v>3</v>
      </c>
      <c r="Q28" s="49"/>
      <c r="R28" s="49"/>
      <c r="S28" s="49"/>
      <c r="T28" s="50"/>
      <c r="U28" s="50"/>
      <c r="V28" s="1">
        <v>50</v>
      </c>
      <c r="W28" s="48">
        <v>3.6</v>
      </c>
      <c r="X28" s="47"/>
      <c r="Y28" s="7">
        <v>13.888888888888889</v>
      </c>
    </row>
    <row r="29" spans="2:30" x14ac:dyDescent="0.25">
      <c r="N29" s="26" t="s">
        <v>85</v>
      </c>
      <c r="O29" s="49">
        <v>1</v>
      </c>
      <c r="P29" s="49">
        <v>4</v>
      </c>
      <c r="Q29" s="49">
        <v>1</v>
      </c>
      <c r="R29" s="49"/>
      <c r="S29" s="49"/>
      <c r="T29" s="50"/>
      <c r="U29" s="50"/>
      <c r="V29" s="1">
        <v>5000</v>
      </c>
      <c r="W29" s="48">
        <v>44</v>
      </c>
      <c r="X29" s="47">
        <v>1.9549999999999998</v>
      </c>
      <c r="Y29" s="7">
        <v>113.63636363636364</v>
      </c>
    </row>
    <row r="30" spans="2:30" x14ac:dyDescent="0.25">
      <c r="B30" s="8" t="s">
        <v>73</v>
      </c>
      <c r="C30" s="28" t="s">
        <v>44</v>
      </c>
      <c r="D30" s="28" t="s">
        <v>45</v>
      </c>
      <c r="E30" s="28" t="s">
        <v>46</v>
      </c>
      <c r="F30" s="28" t="s">
        <v>47</v>
      </c>
      <c r="G30" s="28" t="s">
        <v>86</v>
      </c>
      <c r="H30" s="28" t="s">
        <v>48</v>
      </c>
      <c r="N30" s="26"/>
      <c r="O30" s="49"/>
      <c r="P30" s="49"/>
      <c r="Q30" s="49"/>
      <c r="R30" s="49"/>
      <c r="S30" s="49"/>
      <c r="T30" s="50"/>
      <c r="U30" s="50"/>
      <c r="V30" s="1"/>
      <c r="W30" s="48"/>
      <c r="X30" s="47"/>
      <c r="Y30" s="7"/>
      <c r="AC30" s="6"/>
      <c r="AD30" s="6"/>
    </row>
    <row r="31" spans="2:30" x14ac:dyDescent="0.25">
      <c r="B31" s="25" t="s">
        <v>0</v>
      </c>
      <c r="C31" s="4">
        <v>31</v>
      </c>
      <c r="D31" s="4">
        <v>31</v>
      </c>
      <c r="E31" s="4">
        <v>31</v>
      </c>
      <c r="F31" s="4">
        <v>31</v>
      </c>
      <c r="G31" s="55">
        <v>20.833333333333332</v>
      </c>
      <c r="H31" s="12">
        <v>31</v>
      </c>
      <c r="N31" s="26"/>
      <c r="O31" s="49"/>
      <c r="P31" s="49"/>
      <c r="Q31" s="49"/>
      <c r="R31" s="49"/>
      <c r="S31" s="49"/>
      <c r="T31" s="50"/>
      <c r="U31" s="50"/>
      <c r="V31" s="1"/>
      <c r="W31" s="48"/>
      <c r="X31" s="47"/>
      <c r="Y31" s="7"/>
      <c r="AB31" s="13"/>
      <c r="AC31" s="15"/>
      <c r="AD31" s="4"/>
    </row>
    <row r="32" spans="2:30" x14ac:dyDescent="0.25">
      <c r="B32" s="25" t="s">
        <v>1</v>
      </c>
      <c r="C32" s="4">
        <v>28</v>
      </c>
      <c r="D32" s="4">
        <v>28</v>
      </c>
      <c r="E32" s="4">
        <v>28</v>
      </c>
      <c r="F32" s="4">
        <v>28</v>
      </c>
      <c r="G32" s="55"/>
      <c r="H32" s="12">
        <v>28</v>
      </c>
      <c r="N32" s="26"/>
      <c r="O32" s="49"/>
      <c r="P32" s="49"/>
      <c r="Q32" s="49"/>
      <c r="R32" s="49"/>
      <c r="S32" s="49"/>
      <c r="T32" s="50"/>
      <c r="U32" s="50"/>
      <c r="V32" s="1"/>
      <c r="W32" s="48"/>
      <c r="X32" s="47"/>
      <c r="Y32" s="7"/>
      <c r="AB32" s="13"/>
      <c r="AC32" s="15"/>
      <c r="AD32" s="4"/>
    </row>
    <row r="33" spans="2:30" x14ac:dyDescent="0.25">
      <c r="B33" s="25" t="s">
        <v>2</v>
      </c>
      <c r="C33" s="4">
        <v>31</v>
      </c>
      <c r="D33" s="4">
        <v>31</v>
      </c>
      <c r="E33" s="4">
        <v>31</v>
      </c>
      <c r="F33" s="4">
        <v>31</v>
      </c>
      <c r="G33" s="55"/>
      <c r="H33" s="12">
        <v>31</v>
      </c>
      <c r="N33" s="26"/>
      <c r="O33" s="49"/>
      <c r="P33" s="49"/>
      <c r="Q33" s="49"/>
      <c r="R33" s="49"/>
      <c r="S33" s="49"/>
      <c r="T33" s="50"/>
      <c r="U33" s="50"/>
      <c r="V33" s="1"/>
      <c r="W33" s="48"/>
      <c r="X33" s="47"/>
      <c r="Y33" s="7"/>
      <c r="AB33" s="13"/>
      <c r="AC33" s="15"/>
      <c r="AD33" s="4"/>
    </row>
    <row r="34" spans="2:30" x14ac:dyDescent="0.25">
      <c r="B34" s="25" t="s">
        <v>3</v>
      </c>
      <c r="C34" s="4">
        <v>30</v>
      </c>
      <c r="D34" s="4">
        <v>30</v>
      </c>
      <c r="E34" s="4">
        <v>30</v>
      </c>
      <c r="F34" s="4">
        <v>30</v>
      </c>
      <c r="G34" s="55"/>
      <c r="H34" s="12">
        <v>30</v>
      </c>
      <c r="N34" s="26"/>
      <c r="AB34" s="13"/>
      <c r="AC34" s="15"/>
      <c r="AD34" s="4"/>
    </row>
    <row r="35" spans="2:30" x14ac:dyDescent="0.25">
      <c r="B35" s="25" t="s">
        <v>4</v>
      </c>
      <c r="C35" s="4">
        <v>31</v>
      </c>
      <c r="D35" s="4">
        <v>31</v>
      </c>
      <c r="E35" s="4">
        <v>31</v>
      </c>
      <c r="F35" s="4">
        <v>31</v>
      </c>
      <c r="G35" s="55"/>
      <c r="H35" s="12">
        <v>31</v>
      </c>
      <c r="N35" s="8" t="s">
        <v>63</v>
      </c>
      <c r="O35" s="52"/>
      <c r="P35" s="28" t="s">
        <v>0</v>
      </c>
      <c r="Q35" s="28" t="s">
        <v>1</v>
      </c>
      <c r="R35" s="28" t="s">
        <v>2</v>
      </c>
      <c r="S35" s="28" t="s">
        <v>3</v>
      </c>
      <c r="T35" s="28" t="s">
        <v>4</v>
      </c>
      <c r="U35" s="28" t="s">
        <v>5</v>
      </c>
      <c r="V35" s="28" t="s">
        <v>6</v>
      </c>
      <c r="W35" s="28" t="s">
        <v>7</v>
      </c>
      <c r="X35" s="28" t="s">
        <v>8</v>
      </c>
      <c r="Y35" s="28" t="s">
        <v>9</v>
      </c>
      <c r="Z35" s="28" t="s">
        <v>10</v>
      </c>
      <c r="AA35" s="28" t="s">
        <v>11</v>
      </c>
      <c r="AB35" s="13"/>
      <c r="AC35" s="15"/>
      <c r="AD35" s="4"/>
    </row>
    <row r="36" spans="2:30" x14ac:dyDescent="0.25">
      <c r="B36" s="25" t="s">
        <v>5</v>
      </c>
      <c r="C36" s="4">
        <v>30</v>
      </c>
      <c r="D36" s="4">
        <v>30</v>
      </c>
      <c r="E36" s="4">
        <v>30</v>
      </c>
      <c r="F36" s="4">
        <v>30</v>
      </c>
      <c r="G36" s="55"/>
      <c r="H36" s="12">
        <v>30</v>
      </c>
      <c r="N36" s="27" t="s">
        <v>14</v>
      </c>
      <c r="O36" s="27" t="s">
        <v>100</v>
      </c>
      <c r="P36" s="14">
        <v>1E-14</v>
      </c>
      <c r="Q36" s="14">
        <v>1E-14</v>
      </c>
      <c r="R36" s="14">
        <v>1E-14</v>
      </c>
      <c r="S36" s="14">
        <v>1E-14</v>
      </c>
      <c r="T36" s="14">
        <v>1E-14</v>
      </c>
      <c r="U36" s="14">
        <v>1E-14</v>
      </c>
      <c r="V36" s="14">
        <v>1E-14</v>
      </c>
      <c r="W36" s="14">
        <v>1E-14</v>
      </c>
      <c r="X36" s="14">
        <v>1E-14</v>
      </c>
      <c r="Y36" s="14">
        <v>1E-14</v>
      </c>
      <c r="Z36" s="14">
        <v>1E-14</v>
      </c>
      <c r="AA36" s="14">
        <v>1E-14</v>
      </c>
      <c r="AB36" s="13"/>
      <c r="AC36" s="15"/>
      <c r="AD36" s="4"/>
    </row>
    <row r="37" spans="2:30" x14ac:dyDescent="0.25">
      <c r="B37" s="25" t="s">
        <v>6</v>
      </c>
      <c r="C37" s="4">
        <v>10</v>
      </c>
      <c r="D37" s="4">
        <v>31</v>
      </c>
      <c r="E37" s="4">
        <v>31</v>
      </c>
      <c r="F37" s="4">
        <v>31</v>
      </c>
      <c r="G37" s="55"/>
      <c r="H37" s="12">
        <v>31</v>
      </c>
      <c r="N37" s="27" t="s">
        <v>14</v>
      </c>
      <c r="O37" s="27" t="s">
        <v>64</v>
      </c>
      <c r="P37" s="14">
        <v>9093</v>
      </c>
      <c r="Q37" s="14">
        <v>9093</v>
      </c>
      <c r="R37" s="14">
        <v>9093</v>
      </c>
      <c r="S37" s="14">
        <v>9093</v>
      </c>
      <c r="T37" s="14">
        <v>9093</v>
      </c>
      <c r="U37" s="14">
        <v>9093</v>
      </c>
      <c r="V37" s="14">
        <v>9093</v>
      </c>
      <c r="W37" s="14">
        <v>9093</v>
      </c>
      <c r="X37" s="14">
        <v>9093</v>
      </c>
      <c r="Y37" s="14">
        <v>9093</v>
      </c>
      <c r="Z37" s="14">
        <v>9093</v>
      </c>
      <c r="AA37" s="14">
        <v>9093</v>
      </c>
      <c r="AB37" s="13"/>
      <c r="AC37" s="15"/>
      <c r="AD37" s="4"/>
    </row>
    <row r="38" spans="2:30" x14ac:dyDescent="0.25">
      <c r="B38" s="25" t="s">
        <v>7</v>
      </c>
      <c r="C38" s="4">
        <v>10</v>
      </c>
      <c r="D38" s="4">
        <v>31</v>
      </c>
      <c r="E38" s="4">
        <v>31</v>
      </c>
      <c r="F38" s="4">
        <v>31</v>
      </c>
      <c r="G38" s="55"/>
      <c r="H38" s="12">
        <v>31</v>
      </c>
      <c r="N38" s="27" t="s">
        <v>15</v>
      </c>
      <c r="O38" s="27" t="s">
        <v>100</v>
      </c>
      <c r="P38" s="14">
        <v>1E-14</v>
      </c>
      <c r="Q38" s="14">
        <v>1E-14</v>
      </c>
      <c r="R38" s="14">
        <v>1E-14</v>
      </c>
      <c r="S38" s="14">
        <v>1E-14</v>
      </c>
      <c r="T38" s="14">
        <v>1E-14</v>
      </c>
      <c r="U38" s="14">
        <v>1E-14</v>
      </c>
      <c r="V38" s="14">
        <v>1E-14</v>
      </c>
      <c r="W38" s="14">
        <v>1E-14</v>
      </c>
      <c r="X38" s="14">
        <v>1E-14</v>
      </c>
      <c r="Y38" s="14">
        <v>1E-14</v>
      </c>
      <c r="Z38" s="14">
        <v>1E-14</v>
      </c>
      <c r="AA38" s="14">
        <v>1E-14</v>
      </c>
      <c r="AB38" s="13"/>
      <c r="AC38" s="15"/>
      <c r="AD38" s="4"/>
    </row>
    <row r="39" spans="2:30" x14ac:dyDescent="0.25">
      <c r="B39" s="25" t="s">
        <v>8</v>
      </c>
      <c r="C39" s="4">
        <v>30</v>
      </c>
      <c r="D39" s="4">
        <v>30</v>
      </c>
      <c r="E39" s="4">
        <v>30</v>
      </c>
      <c r="F39" s="4">
        <v>30</v>
      </c>
      <c r="G39" s="55"/>
      <c r="H39" s="12">
        <v>30</v>
      </c>
      <c r="N39" s="27" t="s">
        <v>15</v>
      </c>
      <c r="O39" s="27" t="s">
        <v>64</v>
      </c>
      <c r="P39" s="14">
        <v>1E-14</v>
      </c>
      <c r="Q39" s="14">
        <v>1E-14</v>
      </c>
      <c r="R39" s="14">
        <v>1E-14</v>
      </c>
      <c r="S39" s="14">
        <v>1E-14</v>
      </c>
      <c r="T39" s="14">
        <v>1E-14</v>
      </c>
      <c r="U39" s="14">
        <v>1E-14</v>
      </c>
      <c r="V39" s="14">
        <v>1E-14</v>
      </c>
      <c r="W39" s="14">
        <v>1E-14</v>
      </c>
      <c r="X39" s="14">
        <v>1E-14</v>
      </c>
      <c r="Y39" s="14">
        <v>1E-14</v>
      </c>
      <c r="Z39" s="14">
        <v>1E-14</v>
      </c>
      <c r="AA39" s="14">
        <v>1E-14</v>
      </c>
      <c r="AB39" s="13"/>
      <c r="AC39" s="15"/>
      <c r="AD39" s="4"/>
    </row>
    <row r="40" spans="2:30" x14ac:dyDescent="0.25">
      <c r="B40" s="25" t="s">
        <v>9</v>
      </c>
      <c r="C40" s="4">
        <v>31</v>
      </c>
      <c r="D40" s="4">
        <v>31</v>
      </c>
      <c r="E40" s="4">
        <v>31</v>
      </c>
      <c r="F40" s="4">
        <v>31</v>
      </c>
      <c r="G40" s="55"/>
      <c r="H40" s="12">
        <v>31</v>
      </c>
      <c r="N40" s="27" t="s">
        <v>16</v>
      </c>
      <c r="O40" s="27" t="s">
        <v>100</v>
      </c>
      <c r="P40" s="14">
        <v>1E-14</v>
      </c>
      <c r="Q40" s="14">
        <v>1E-14</v>
      </c>
      <c r="R40" s="14">
        <v>1E-14</v>
      </c>
      <c r="S40" s="14">
        <v>1E-14</v>
      </c>
      <c r="T40" s="14">
        <v>1E-14</v>
      </c>
      <c r="U40" s="14">
        <v>1E-14</v>
      </c>
      <c r="V40" s="14">
        <v>1E-14</v>
      </c>
      <c r="W40" s="14">
        <v>1E-14</v>
      </c>
      <c r="X40" s="14">
        <v>1E-14</v>
      </c>
      <c r="Y40" s="14">
        <v>1E-14</v>
      </c>
      <c r="Z40" s="14">
        <v>1E-14</v>
      </c>
      <c r="AA40" s="14">
        <v>1E-14</v>
      </c>
      <c r="AB40" s="13"/>
      <c r="AC40" s="15"/>
      <c r="AD40" s="4"/>
    </row>
    <row r="41" spans="2:30" x14ac:dyDescent="0.25">
      <c r="B41" s="25" t="s">
        <v>10</v>
      </c>
      <c r="C41" s="4">
        <v>30</v>
      </c>
      <c r="D41" s="4">
        <v>30</v>
      </c>
      <c r="E41" s="4">
        <v>30</v>
      </c>
      <c r="F41" s="4">
        <v>30</v>
      </c>
      <c r="G41" s="55">
        <v>7.8125</v>
      </c>
      <c r="H41" s="12">
        <v>30</v>
      </c>
      <c r="N41" s="27" t="s">
        <v>16</v>
      </c>
      <c r="O41" s="27" t="s">
        <v>64</v>
      </c>
      <c r="P41" s="14">
        <v>1E-14</v>
      </c>
      <c r="Q41" s="14">
        <v>1E-14</v>
      </c>
      <c r="R41" s="14">
        <v>1E-14</v>
      </c>
      <c r="S41" s="14">
        <v>1E-14</v>
      </c>
      <c r="T41" s="14">
        <v>1E-14</v>
      </c>
      <c r="U41" s="14">
        <v>1E-14</v>
      </c>
      <c r="V41" s="14">
        <v>1E-14</v>
      </c>
      <c r="W41" s="14">
        <v>1E-14</v>
      </c>
      <c r="X41" s="14">
        <v>1E-14</v>
      </c>
      <c r="Y41" s="14">
        <v>1E-14</v>
      </c>
      <c r="Z41" s="14">
        <v>1E-14</v>
      </c>
      <c r="AA41" s="14">
        <v>1E-14</v>
      </c>
      <c r="AB41" s="13"/>
      <c r="AC41" s="15"/>
      <c r="AD41" s="4"/>
    </row>
    <row r="42" spans="2:30" x14ac:dyDescent="0.25">
      <c r="B42" s="25" t="s">
        <v>11</v>
      </c>
      <c r="C42" s="4">
        <v>31</v>
      </c>
      <c r="D42" s="4">
        <v>31</v>
      </c>
      <c r="E42" s="4">
        <v>31</v>
      </c>
      <c r="F42" s="4">
        <v>31</v>
      </c>
      <c r="G42" s="55">
        <v>29.166666666666668</v>
      </c>
      <c r="H42" s="12">
        <v>31</v>
      </c>
      <c r="N42" s="27" t="s">
        <v>17</v>
      </c>
      <c r="O42" s="27" t="s">
        <v>100</v>
      </c>
      <c r="P42" s="14">
        <v>2405.75</v>
      </c>
      <c r="Q42" s="14">
        <v>1E-14</v>
      </c>
      <c r="R42" s="14">
        <v>2405.75</v>
      </c>
      <c r="S42" s="14">
        <v>2405.75</v>
      </c>
      <c r="T42" s="14">
        <v>2405.75</v>
      </c>
      <c r="U42" s="14">
        <v>2405.75</v>
      </c>
      <c r="V42" s="14">
        <v>2405.75</v>
      </c>
      <c r="W42" s="14">
        <v>2405.75</v>
      </c>
      <c r="X42" s="14">
        <v>2405.75</v>
      </c>
      <c r="Y42" s="14">
        <v>2405.75</v>
      </c>
      <c r="Z42" s="14">
        <v>2405.75</v>
      </c>
      <c r="AA42" s="14">
        <v>2405.75</v>
      </c>
      <c r="AB42" s="13"/>
      <c r="AC42" s="15"/>
      <c r="AD42" s="4"/>
    </row>
    <row r="43" spans="2:30" x14ac:dyDescent="0.25">
      <c r="B43" s="26"/>
      <c r="N43" s="27" t="s">
        <v>17</v>
      </c>
      <c r="O43" s="27" t="s">
        <v>64</v>
      </c>
      <c r="P43" s="14">
        <v>2405.75</v>
      </c>
      <c r="Q43" s="14">
        <v>2405.75</v>
      </c>
      <c r="R43" s="14">
        <v>2405.75</v>
      </c>
      <c r="S43" s="14">
        <v>2405.75</v>
      </c>
      <c r="T43" s="14">
        <v>2405.75</v>
      </c>
      <c r="U43" s="14">
        <v>2405.75</v>
      </c>
      <c r="V43" s="14">
        <v>2405.75</v>
      </c>
      <c r="W43" s="14">
        <v>2405.75</v>
      </c>
      <c r="X43" s="14">
        <v>2405.75</v>
      </c>
      <c r="Y43" s="14">
        <v>2405.75</v>
      </c>
      <c r="Z43" s="14">
        <v>2405.75</v>
      </c>
      <c r="AA43" s="14">
        <v>2405.75</v>
      </c>
      <c r="AB43" s="13"/>
      <c r="AC43" s="15"/>
      <c r="AD43" s="4"/>
    </row>
    <row r="44" spans="2:30" x14ac:dyDescent="0.25">
      <c r="B44" s="26"/>
      <c r="N44" s="27" t="s">
        <v>18</v>
      </c>
      <c r="O44" s="27" t="s">
        <v>100</v>
      </c>
      <c r="P44" s="14">
        <v>291.66666666666669</v>
      </c>
      <c r="Q44" s="14">
        <v>1E-14</v>
      </c>
      <c r="R44" s="14">
        <v>291.66666666666669</v>
      </c>
      <c r="S44" s="14">
        <v>291.66666666666669</v>
      </c>
      <c r="T44" s="14">
        <v>291.66666666666669</v>
      </c>
      <c r="U44" s="14">
        <v>291.66666666666669</v>
      </c>
      <c r="V44" s="14">
        <v>291.66666666666669</v>
      </c>
      <c r="W44" s="14">
        <v>291.66666666666669</v>
      </c>
      <c r="X44" s="14">
        <v>291.66666666666669</v>
      </c>
      <c r="Y44" s="14">
        <v>291.66666666666669</v>
      </c>
      <c r="Z44" s="14">
        <v>291.66666666666669</v>
      </c>
      <c r="AA44" s="14">
        <v>291.66666666666669</v>
      </c>
      <c r="AB44" s="13"/>
      <c r="AC44" s="15"/>
      <c r="AD44" s="4"/>
    </row>
    <row r="45" spans="2:30" x14ac:dyDescent="0.25">
      <c r="B45" s="26"/>
      <c r="N45" s="27" t="s">
        <v>18</v>
      </c>
      <c r="O45" s="27" t="s">
        <v>64</v>
      </c>
      <c r="P45" s="14">
        <v>291.66666666666669</v>
      </c>
      <c r="Q45" s="14">
        <v>291.66666666666669</v>
      </c>
      <c r="R45" s="14">
        <v>291.66666666666669</v>
      </c>
      <c r="S45" s="14">
        <v>291.66666666666669</v>
      </c>
      <c r="T45" s="14">
        <v>291.66666666666669</v>
      </c>
      <c r="U45" s="14">
        <v>291.66666666666669</v>
      </c>
      <c r="V45" s="14">
        <v>291.66666666666669</v>
      </c>
      <c r="W45" s="14">
        <v>291.66666666666669</v>
      </c>
      <c r="X45" s="14">
        <v>291.66666666666669</v>
      </c>
      <c r="Y45" s="14">
        <v>291.66666666666669</v>
      </c>
      <c r="Z45" s="14">
        <v>291.66666666666669</v>
      </c>
      <c r="AA45" s="14">
        <v>291.66666666666669</v>
      </c>
      <c r="AB45" s="13"/>
      <c r="AC45" s="15"/>
      <c r="AD45" s="4"/>
    </row>
    <row r="46" spans="2:30" x14ac:dyDescent="0.25">
      <c r="B46" s="26"/>
      <c r="N46" s="27" t="s">
        <v>19</v>
      </c>
      <c r="O46" s="27" t="s">
        <v>100</v>
      </c>
      <c r="P46" s="14">
        <v>1E-14</v>
      </c>
      <c r="Q46" s="14">
        <v>1E-14</v>
      </c>
      <c r="R46" s="14">
        <v>1E-14</v>
      </c>
      <c r="S46" s="14">
        <v>1E-14</v>
      </c>
      <c r="T46" s="14">
        <v>1E-14</v>
      </c>
      <c r="U46" s="14">
        <v>1E-14</v>
      </c>
      <c r="V46" s="14">
        <v>1E-14</v>
      </c>
      <c r="W46" s="14">
        <v>1E-14</v>
      </c>
      <c r="X46" s="14">
        <v>1E-14</v>
      </c>
      <c r="Y46" s="14">
        <v>1E-14</v>
      </c>
      <c r="Z46" s="14">
        <v>1E-14</v>
      </c>
      <c r="AA46" s="14">
        <v>1E-14</v>
      </c>
      <c r="AB46" s="13"/>
      <c r="AC46" s="15"/>
      <c r="AD46" s="4"/>
    </row>
    <row r="47" spans="2:30" x14ac:dyDescent="0.25">
      <c r="B47" s="26"/>
      <c r="N47" s="27" t="s">
        <v>19</v>
      </c>
      <c r="O47" s="27" t="s">
        <v>64</v>
      </c>
      <c r="P47" s="14">
        <v>1E-14</v>
      </c>
      <c r="Q47" s="14">
        <v>1E-14</v>
      </c>
      <c r="R47" s="14">
        <v>1E-14</v>
      </c>
      <c r="S47" s="14">
        <v>1E-14</v>
      </c>
      <c r="T47" s="14">
        <v>1E-14</v>
      </c>
      <c r="U47" s="14">
        <v>1E-14</v>
      </c>
      <c r="V47" s="14">
        <v>1E-14</v>
      </c>
      <c r="W47" s="14">
        <v>1E-14</v>
      </c>
      <c r="X47" s="14">
        <v>1E-14</v>
      </c>
      <c r="Y47" s="14">
        <v>1E-14</v>
      </c>
      <c r="Z47" s="14">
        <v>1E-14</v>
      </c>
      <c r="AA47" s="14">
        <v>1E-14</v>
      </c>
      <c r="AB47" s="13"/>
      <c r="AC47" s="15"/>
      <c r="AD47" s="4"/>
    </row>
    <row r="48" spans="2:30" x14ac:dyDescent="0.25">
      <c r="B48" s="26"/>
      <c r="N48" s="27" t="s">
        <v>20</v>
      </c>
      <c r="O48" s="27" t="s">
        <v>100</v>
      </c>
      <c r="P48" s="14">
        <v>1E-14</v>
      </c>
      <c r="Q48" s="14">
        <v>1E-14</v>
      </c>
      <c r="R48" s="14">
        <v>1E-14</v>
      </c>
      <c r="S48" s="14">
        <v>1E-14</v>
      </c>
      <c r="T48" s="14">
        <v>1E-14</v>
      </c>
      <c r="U48" s="14">
        <v>1E-14</v>
      </c>
      <c r="V48" s="14">
        <v>1E-14</v>
      </c>
      <c r="W48" s="14">
        <v>1E-14</v>
      </c>
      <c r="X48" s="14">
        <v>1E-14</v>
      </c>
      <c r="Y48" s="14">
        <v>1E-14</v>
      </c>
      <c r="Z48" s="14">
        <v>1E-14</v>
      </c>
      <c r="AA48" s="14">
        <v>1E-14</v>
      </c>
      <c r="AB48" s="13"/>
      <c r="AC48" s="15"/>
      <c r="AD48" s="4"/>
    </row>
    <row r="49" spans="2:30" x14ac:dyDescent="0.25">
      <c r="B49" s="26"/>
      <c r="N49" s="27" t="s">
        <v>20</v>
      </c>
      <c r="O49" s="27" t="s">
        <v>64</v>
      </c>
      <c r="P49" s="14">
        <v>1E-14</v>
      </c>
      <c r="Q49" s="14">
        <v>1E-14</v>
      </c>
      <c r="R49" s="14">
        <v>1E-14</v>
      </c>
      <c r="S49" s="14">
        <v>1E-14</v>
      </c>
      <c r="T49" s="14">
        <v>1E-14</v>
      </c>
      <c r="U49" s="14">
        <v>1E-14</v>
      </c>
      <c r="V49" s="14">
        <v>1E-14</v>
      </c>
      <c r="W49" s="14">
        <v>1E-14</v>
      </c>
      <c r="X49" s="14">
        <v>1E-14</v>
      </c>
      <c r="Y49" s="14">
        <v>1E-14</v>
      </c>
      <c r="Z49" s="14">
        <v>1E-14</v>
      </c>
      <c r="AA49" s="14">
        <v>1E-14</v>
      </c>
      <c r="AB49" s="13"/>
      <c r="AC49" s="15"/>
      <c r="AD49" s="4"/>
    </row>
    <row r="50" spans="2:30" x14ac:dyDescent="0.25">
      <c r="B50" s="26"/>
      <c r="N50" s="27" t="s">
        <v>21</v>
      </c>
      <c r="O50" s="27" t="s">
        <v>100</v>
      </c>
      <c r="P50" s="14">
        <v>650</v>
      </c>
      <c r="Q50" s="14">
        <v>1E-14</v>
      </c>
      <c r="R50" s="14">
        <v>650</v>
      </c>
      <c r="S50" s="14">
        <v>650</v>
      </c>
      <c r="T50" s="14">
        <v>650</v>
      </c>
      <c r="U50" s="14">
        <v>650</v>
      </c>
      <c r="V50" s="14">
        <v>650</v>
      </c>
      <c r="W50" s="14">
        <v>650</v>
      </c>
      <c r="X50" s="14">
        <v>650</v>
      </c>
      <c r="Y50" s="14">
        <v>650</v>
      </c>
      <c r="Z50" s="14">
        <v>650</v>
      </c>
      <c r="AA50" s="14">
        <v>650</v>
      </c>
      <c r="AB50" s="13"/>
      <c r="AC50" s="15"/>
      <c r="AD50" s="4"/>
    </row>
    <row r="51" spans="2:30" x14ac:dyDescent="0.25">
      <c r="B51" s="26"/>
      <c r="N51" s="27" t="s">
        <v>21</v>
      </c>
      <c r="O51" s="27" t="s">
        <v>64</v>
      </c>
      <c r="P51" s="14">
        <v>650</v>
      </c>
      <c r="Q51" s="14">
        <v>650</v>
      </c>
      <c r="R51" s="14">
        <v>650</v>
      </c>
      <c r="S51" s="14">
        <v>650</v>
      </c>
      <c r="T51" s="14">
        <v>650</v>
      </c>
      <c r="U51" s="14">
        <v>650</v>
      </c>
      <c r="V51" s="14">
        <v>650</v>
      </c>
      <c r="W51" s="14">
        <v>650</v>
      </c>
      <c r="X51" s="14">
        <v>650</v>
      </c>
      <c r="Y51" s="14">
        <v>650</v>
      </c>
      <c r="Z51" s="14">
        <v>650</v>
      </c>
      <c r="AA51" s="14">
        <v>650</v>
      </c>
      <c r="AB51" s="13"/>
      <c r="AC51" s="15"/>
      <c r="AD51" s="4"/>
    </row>
    <row r="52" spans="2:30" x14ac:dyDescent="0.25">
      <c r="B52" s="26"/>
      <c r="N52" s="27" t="s">
        <v>22</v>
      </c>
      <c r="O52" s="27" t="s">
        <v>100</v>
      </c>
      <c r="P52" s="14">
        <v>1E-14</v>
      </c>
      <c r="Q52" s="14">
        <v>1E-14</v>
      </c>
      <c r="R52" s="14">
        <v>1E-14</v>
      </c>
      <c r="S52" s="14">
        <v>1E-14</v>
      </c>
      <c r="T52" s="14">
        <v>1E-14</v>
      </c>
      <c r="U52" s="14">
        <v>1E-14</v>
      </c>
      <c r="V52" s="14">
        <v>1E-14</v>
      </c>
      <c r="W52" s="14">
        <v>1E-14</v>
      </c>
      <c r="X52" s="14">
        <v>1E-14</v>
      </c>
      <c r="Y52" s="14">
        <v>1E-14</v>
      </c>
      <c r="Z52" s="14">
        <v>1E-14</v>
      </c>
      <c r="AA52" s="14">
        <v>1E-14</v>
      </c>
      <c r="AB52" s="13"/>
      <c r="AC52" s="15"/>
      <c r="AD52" s="4"/>
    </row>
    <row r="53" spans="2:30" x14ac:dyDescent="0.25">
      <c r="B53" s="26"/>
      <c r="N53" s="27" t="s">
        <v>22</v>
      </c>
      <c r="O53" s="27" t="s">
        <v>64</v>
      </c>
      <c r="P53" s="14">
        <v>1E-14</v>
      </c>
      <c r="Q53" s="14">
        <v>1E-14</v>
      </c>
      <c r="R53" s="14">
        <v>1E-14</v>
      </c>
      <c r="S53" s="14">
        <v>1E-14</v>
      </c>
      <c r="T53" s="14">
        <v>1E-14</v>
      </c>
      <c r="U53" s="14">
        <v>1E-14</v>
      </c>
      <c r="V53" s="14">
        <v>1E-14</v>
      </c>
      <c r="W53" s="14">
        <v>1E-14</v>
      </c>
      <c r="X53" s="14">
        <v>1E-14</v>
      </c>
      <c r="Y53" s="14">
        <v>1E-14</v>
      </c>
      <c r="Z53" s="14">
        <v>1E-14</v>
      </c>
      <c r="AA53" s="14">
        <v>1E-14</v>
      </c>
      <c r="AB53" s="16"/>
      <c r="AC53" s="15"/>
      <c r="AD53" s="6"/>
    </row>
    <row r="54" spans="2:30" x14ac:dyDescent="0.25">
      <c r="N54" s="27" t="s">
        <v>23</v>
      </c>
      <c r="O54" s="27" t="s">
        <v>100</v>
      </c>
      <c r="P54" s="14">
        <v>1E-14</v>
      </c>
      <c r="Q54" s="14">
        <v>1E-14</v>
      </c>
      <c r="R54" s="14">
        <v>1E-14</v>
      </c>
      <c r="S54" s="14">
        <v>1E-14</v>
      </c>
      <c r="T54" s="14">
        <v>1E-14</v>
      </c>
      <c r="U54" s="14">
        <v>1E-14</v>
      </c>
      <c r="V54" s="14">
        <v>1E-14</v>
      </c>
      <c r="W54" s="14">
        <v>1E-14</v>
      </c>
      <c r="X54" s="14">
        <v>1E-14</v>
      </c>
      <c r="Y54" s="14">
        <v>1E-14</v>
      </c>
      <c r="Z54" s="14">
        <v>1E-14</v>
      </c>
      <c r="AA54" s="14">
        <v>1E-14</v>
      </c>
      <c r="AB54" s="18"/>
      <c r="AC54" s="20"/>
      <c r="AD54" s="4"/>
    </row>
    <row r="55" spans="2:30" x14ac:dyDescent="0.25">
      <c r="N55" s="27" t="s">
        <v>23</v>
      </c>
      <c r="O55" s="27" t="s">
        <v>64</v>
      </c>
      <c r="P55" s="14">
        <v>1E-14</v>
      </c>
      <c r="Q55" s="14">
        <v>1E-14</v>
      </c>
      <c r="R55" s="14">
        <v>1E-14</v>
      </c>
      <c r="S55" s="14">
        <v>1E-14</v>
      </c>
      <c r="T55" s="14">
        <v>1E-14</v>
      </c>
      <c r="U55" s="14">
        <v>1E-14</v>
      </c>
      <c r="V55" s="14">
        <v>1E-14</v>
      </c>
      <c r="W55" s="14">
        <v>1E-14</v>
      </c>
      <c r="X55" s="14">
        <v>1E-14</v>
      </c>
      <c r="Y55" s="14">
        <v>1E-14</v>
      </c>
      <c r="Z55" s="14">
        <v>1E-14</v>
      </c>
      <c r="AA55" s="14">
        <v>1E-14</v>
      </c>
      <c r="AB55" s="18"/>
      <c r="AC55" s="20"/>
      <c r="AD55" s="4"/>
    </row>
    <row r="56" spans="2:30" x14ac:dyDescent="0.25">
      <c r="N56" s="27" t="s">
        <v>24</v>
      </c>
      <c r="O56" s="27" t="s">
        <v>100</v>
      </c>
      <c r="P56" s="14">
        <v>1E-14</v>
      </c>
      <c r="Q56" s="14">
        <v>1E-14</v>
      </c>
      <c r="R56" s="14">
        <v>1E-14</v>
      </c>
      <c r="S56" s="14">
        <v>1E-14</v>
      </c>
      <c r="T56" s="14">
        <v>1E-14</v>
      </c>
      <c r="U56" s="14">
        <v>1E-14</v>
      </c>
      <c r="V56" s="14">
        <v>1E-14</v>
      </c>
      <c r="W56" s="14">
        <v>1E-14</v>
      </c>
      <c r="X56" s="14">
        <v>1E-14</v>
      </c>
      <c r="Y56" s="14">
        <v>1E-14</v>
      </c>
      <c r="Z56" s="14">
        <v>1E-14</v>
      </c>
      <c r="AA56" s="14">
        <v>1E-14</v>
      </c>
      <c r="AB56" s="18"/>
      <c r="AC56" s="20"/>
      <c r="AD56" s="4"/>
    </row>
    <row r="57" spans="2:30" x14ac:dyDescent="0.25">
      <c r="N57" s="27" t="s">
        <v>24</v>
      </c>
      <c r="O57" s="27" t="s">
        <v>64</v>
      </c>
      <c r="P57" s="14">
        <v>5200</v>
      </c>
      <c r="Q57" s="14">
        <v>5200</v>
      </c>
      <c r="R57" s="14">
        <v>5200</v>
      </c>
      <c r="S57" s="14">
        <v>5200</v>
      </c>
      <c r="T57" s="14">
        <v>5200</v>
      </c>
      <c r="U57" s="14">
        <v>5200</v>
      </c>
      <c r="V57" s="14">
        <v>5200</v>
      </c>
      <c r="W57" s="14">
        <v>5200</v>
      </c>
      <c r="X57" s="14">
        <v>5200</v>
      </c>
      <c r="Y57" s="14">
        <v>5200</v>
      </c>
      <c r="Z57" s="14">
        <v>5200</v>
      </c>
      <c r="AA57" s="14">
        <v>5200</v>
      </c>
      <c r="AB57" s="18"/>
      <c r="AC57" s="20"/>
      <c r="AD57" s="4"/>
    </row>
    <row r="58" spans="2:30" x14ac:dyDescent="0.25">
      <c r="N58" s="39" t="s">
        <v>25</v>
      </c>
      <c r="O58" s="39" t="s">
        <v>100</v>
      </c>
      <c r="P58" s="17">
        <v>41.666666666666664</v>
      </c>
      <c r="Q58" s="17">
        <v>1E-14</v>
      </c>
      <c r="R58" s="17">
        <v>41.666666666666664</v>
      </c>
      <c r="S58" s="17">
        <v>41.666666666666664</v>
      </c>
      <c r="T58" s="17">
        <v>41.666666666666664</v>
      </c>
      <c r="U58" s="17">
        <v>41.666666666666664</v>
      </c>
      <c r="V58" s="17">
        <v>41.666666666666664</v>
      </c>
      <c r="W58" s="17">
        <v>41.666666666666664</v>
      </c>
      <c r="X58" s="17">
        <v>41.666666666666664</v>
      </c>
      <c r="Y58" s="17">
        <v>41.666666666666664</v>
      </c>
      <c r="Z58" s="17">
        <v>41.666666666666664</v>
      </c>
      <c r="AA58" s="17">
        <v>41.666666666666664</v>
      </c>
      <c r="AB58" s="18"/>
      <c r="AC58" s="20"/>
      <c r="AD58" s="4"/>
    </row>
    <row r="59" spans="2:30" x14ac:dyDescent="0.25">
      <c r="N59" s="40" t="s">
        <v>25</v>
      </c>
      <c r="O59" s="40" t="s">
        <v>64</v>
      </c>
      <c r="P59" s="19">
        <v>41.666666666666664</v>
      </c>
      <c r="Q59" s="19">
        <v>41.666666666666664</v>
      </c>
      <c r="R59" s="19">
        <v>41.666666666666664</v>
      </c>
      <c r="S59" s="19">
        <v>41.666666666666664</v>
      </c>
      <c r="T59" s="19">
        <v>41.666666666666664</v>
      </c>
      <c r="U59" s="19">
        <v>41.666666666666664</v>
      </c>
      <c r="V59" s="19">
        <v>41.666666666666664</v>
      </c>
      <c r="W59" s="19">
        <v>41.666666666666664</v>
      </c>
      <c r="X59" s="19">
        <v>41.666666666666664</v>
      </c>
      <c r="Y59" s="19">
        <v>41.666666666666664</v>
      </c>
      <c r="Z59" s="19">
        <v>41.666666666666664</v>
      </c>
      <c r="AA59" s="19">
        <v>41.666666666666664</v>
      </c>
      <c r="AB59" s="18"/>
      <c r="AC59" s="20"/>
      <c r="AD59" s="4"/>
    </row>
    <row r="60" spans="2:30" x14ac:dyDescent="0.25">
      <c r="N60" s="40" t="s">
        <v>26</v>
      </c>
      <c r="O60" s="40" t="s">
        <v>100</v>
      </c>
      <c r="P60" s="19">
        <v>1E-14</v>
      </c>
      <c r="Q60" s="19">
        <v>1E-14</v>
      </c>
      <c r="R60" s="19">
        <v>1E-14</v>
      </c>
      <c r="S60" s="19">
        <v>1E-14</v>
      </c>
      <c r="T60" s="19">
        <v>1E-14</v>
      </c>
      <c r="U60" s="19">
        <v>1E-14</v>
      </c>
      <c r="V60" s="19">
        <v>1E-14</v>
      </c>
      <c r="W60" s="19">
        <v>1E-14</v>
      </c>
      <c r="X60" s="19">
        <v>1E-14</v>
      </c>
      <c r="Y60" s="19">
        <v>1E-14</v>
      </c>
      <c r="Z60" s="19">
        <v>1E-14</v>
      </c>
      <c r="AA60" s="19">
        <v>1E-14</v>
      </c>
      <c r="AB60" s="18"/>
      <c r="AC60" s="20"/>
      <c r="AD60" s="4"/>
    </row>
    <row r="61" spans="2:30" x14ac:dyDescent="0.25">
      <c r="N61" s="40" t="s">
        <v>26</v>
      </c>
      <c r="O61" s="40" t="s">
        <v>64</v>
      </c>
      <c r="P61" s="19">
        <v>1E-14</v>
      </c>
      <c r="Q61" s="19">
        <v>1E-14</v>
      </c>
      <c r="R61" s="19">
        <v>1E-14</v>
      </c>
      <c r="S61" s="19">
        <v>1E-14</v>
      </c>
      <c r="T61" s="19">
        <v>1E-14</v>
      </c>
      <c r="U61" s="19">
        <v>1E-14</v>
      </c>
      <c r="V61" s="19">
        <v>1E-14</v>
      </c>
      <c r="W61" s="19">
        <v>1E-14</v>
      </c>
      <c r="X61" s="19">
        <v>1E-14</v>
      </c>
      <c r="Y61" s="19">
        <v>1E-14</v>
      </c>
      <c r="Z61" s="19">
        <v>1E-14</v>
      </c>
      <c r="AA61" s="19">
        <v>1E-14</v>
      </c>
      <c r="AB61" s="18"/>
      <c r="AC61" s="20"/>
      <c r="AD61" s="4"/>
    </row>
    <row r="62" spans="2:30" x14ac:dyDescent="0.25">
      <c r="N62" s="40" t="s">
        <v>27</v>
      </c>
      <c r="O62" s="40" t="s">
        <v>100</v>
      </c>
      <c r="P62" s="19">
        <v>1E-14</v>
      </c>
      <c r="Q62" s="19">
        <v>1E-14</v>
      </c>
      <c r="R62" s="19">
        <v>1E-14</v>
      </c>
      <c r="S62" s="19">
        <v>1E-14</v>
      </c>
      <c r="T62" s="19">
        <v>1E-14</v>
      </c>
      <c r="U62" s="19">
        <v>1E-14</v>
      </c>
      <c r="V62" s="19">
        <v>1E-14</v>
      </c>
      <c r="W62" s="19">
        <v>1E-14</v>
      </c>
      <c r="X62" s="19">
        <v>1E-14</v>
      </c>
      <c r="Y62" s="19">
        <v>1E-14</v>
      </c>
      <c r="Z62" s="19">
        <v>1E-14</v>
      </c>
      <c r="AA62" s="19">
        <v>1E-14</v>
      </c>
      <c r="AB62" s="18"/>
      <c r="AC62" s="20"/>
      <c r="AD62" s="4"/>
    </row>
    <row r="63" spans="2:30" x14ac:dyDescent="0.25">
      <c r="N63" s="40" t="s">
        <v>27</v>
      </c>
      <c r="O63" s="40" t="s">
        <v>64</v>
      </c>
      <c r="P63" s="19">
        <v>1E-14</v>
      </c>
      <c r="Q63" s="19">
        <v>1E-14</v>
      </c>
      <c r="R63" s="19">
        <v>1E-14</v>
      </c>
      <c r="S63" s="19">
        <v>1E-14</v>
      </c>
      <c r="T63" s="19">
        <v>1E-14</v>
      </c>
      <c r="U63" s="19">
        <v>1E-14</v>
      </c>
      <c r="V63" s="19">
        <v>1E-14</v>
      </c>
      <c r="W63" s="19">
        <v>1E-14</v>
      </c>
      <c r="X63" s="19">
        <v>1E-14</v>
      </c>
      <c r="Y63" s="19">
        <v>1E-14</v>
      </c>
      <c r="Z63" s="19">
        <v>1E-14</v>
      </c>
      <c r="AA63" s="19">
        <v>1E-14</v>
      </c>
      <c r="AB63" s="18"/>
      <c r="AC63" s="20"/>
      <c r="AD63" s="4"/>
    </row>
    <row r="64" spans="2:30" x14ac:dyDescent="0.25">
      <c r="N64" s="40" t="s">
        <v>28</v>
      </c>
      <c r="O64" s="40" t="s">
        <v>100</v>
      </c>
      <c r="P64" s="19">
        <v>3333.3333333333335</v>
      </c>
      <c r="Q64" s="19">
        <v>1E-14</v>
      </c>
      <c r="R64" s="19">
        <v>3333.3333333333335</v>
      </c>
      <c r="S64" s="19">
        <v>3333.3333333333335</v>
      </c>
      <c r="T64" s="19">
        <v>3333.3333333333335</v>
      </c>
      <c r="U64" s="19">
        <v>3333.3333333333335</v>
      </c>
      <c r="V64" s="19">
        <v>3333.3333333333335</v>
      </c>
      <c r="W64" s="19">
        <v>3333.3333333333335</v>
      </c>
      <c r="X64" s="19">
        <v>3333.3333333333335</v>
      </c>
      <c r="Y64" s="19">
        <v>3333.3333333333335</v>
      </c>
      <c r="Z64" s="19">
        <v>3333.3333333333335</v>
      </c>
      <c r="AA64" s="19">
        <v>3333.3333333333335</v>
      </c>
      <c r="AB64" s="18"/>
      <c r="AC64" s="20"/>
      <c r="AD64" s="4"/>
    </row>
    <row r="65" spans="14:30" x14ac:dyDescent="0.25">
      <c r="N65" s="40" t="s">
        <v>28</v>
      </c>
      <c r="O65" s="40" t="s">
        <v>64</v>
      </c>
      <c r="P65" s="19">
        <v>3333.3333333333335</v>
      </c>
      <c r="Q65" s="19">
        <v>3333.3333333333335</v>
      </c>
      <c r="R65" s="19">
        <v>3333.3333333333335</v>
      </c>
      <c r="S65" s="19">
        <v>3333.3333333333335</v>
      </c>
      <c r="T65" s="19">
        <v>3333.3333333333335</v>
      </c>
      <c r="U65" s="19">
        <v>3333.3333333333335</v>
      </c>
      <c r="V65" s="19">
        <v>3333.3333333333335</v>
      </c>
      <c r="W65" s="19">
        <v>3333.3333333333335</v>
      </c>
      <c r="X65" s="19">
        <v>3333.3333333333335</v>
      </c>
      <c r="Y65" s="19">
        <v>3333.3333333333335</v>
      </c>
      <c r="Z65" s="19">
        <v>3333.3333333333335</v>
      </c>
      <c r="AA65" s="19">
        <v>3333.3333333333335</v>
      </c>
      <c r="AB65" s="18"/>
      <c r="AC65" s="20"/>
      <c r="AD65" s="4"/>
    </row>
    <row r="66" spans="14:30" x14ac:dyDescent="0.25">
      <c r="N66" s="40" t="s">
        <v>29</v>
      </c>
      <c r="O66" s="40" t="s">
        <v>100</v>
      </c>
      <c r="P66" s="19">
        <v>166.66666666666666</v>
      </c>
      <c r="Q66" s="19">
        <v>1E-14</v>
      </c>
      <c r="R66" s="19">
        <v>166.66666666666666</v>
      </c>
      <c r="S66" s="19">
        <v>166.66666666666666</v>
      </c>
      <c r="T66" s="19">
        <v>166.66666666666666</v>
      </c>
      <c r="U66" s="19">
        <v>166.66666666666666</v>
      </c>
      <c r="V66" s="19">
        <v>166.66666666666666</v>
      </c>
      <c r="W66" s="19">
        <v>166.66666666666666</v>
      </c>
      <c r="X66" s="19">
        <v>166.66666666666666</v>
      </c>
      <c r="Y66" s="19">
        <v>166.66666666666666</v>
      </c>
      <c r="Z66" s="19">
        <v>166.66666666666666</v>
      </c>
      <c r="AA66" s="19">
        <v>166.66666666666666</v>
      </c>
      <c r="AB66" s="18"/>
      <c r="AC66" s="20"/>
      <c r="AD66" s="4"/>
    </row>
    <row r="67" spans="14:30" x14ac:dyDescent="0.25">
      <c r="N67" s="40" t="s">
        <v>29</v>
      </c>
      <c r="O67" s="40" t="s">
        <v>64</v>
      </c>
      <c r="P67" s="19">
        <v>166.66666666666666</v>
      </c>
      <c r="Q67" s="19">
        <v>166.66666666666666</v>
      </c>
      <c r="R67" s="19">
        <v>166.66666666666666</v>
      </c>
      <c r="S67" s="19">
        <v>166.66666666666666</v>
      </c>
      <c r="T67" s="19">
        <v>166.66666666666666</v>
      </c>
      <c r="U67" s="19">
        <v>166.66666666666666</v>
      </c>
      <c r="V67" s="19">
        <v>166.66666666666666</v>
      </c>
      <c r="W67" s="19">
        <v>166.66666666666666</v>
      </c>
      <c r="X67" s="19">
        <v>166.66666666666666</v>
      </c>
      <c r="Y67" s="19">
        <v>166.66666666666666</v>
      </c>
      <c r="Z67" s="19">
        <v>166.66666666666666</v>
      </c>
      <c r="AA67" s="19">
        <v>166.66666666666666</v>
      </c>
      <c r="AB67" s="18"/>
      <c r="AC67" s="20"/>
      <c r="AD67" s="4"/>
    </row>
    <row r="68" spans="14:30" x14ac:dyDescent="0.25">
      <c r="N68" s="40" t="s">
        <v>30</v>
      </c>
      <c r="O68" s="40" t="s">
        <v>100</v>
      </c>
      <c r="P68" s="19">
        <v>1E-14</v>
      </c>
      <c r="Q68" s="19">
        <v>1E-14</v>
      </c>
      <c r="R68" s="19">
        <v>1E-14</v>
      </c>
      <c r="S68" s="19">
        <v>1E-14</v>
      </c>
      <c r="T68" s="19">
        <v>1E-14</v>
      </c>
      <c r="U68" s="19">
        <v>1E-14</v>
      </c>
      <c r="V68" s="19">
        <v>1E-14</v>
      </c>
      <c r="W68" s="19">
        <v>1E-14</v>
      </c>
      <c r="X68" s="19">
        <v>1E-14</v>
      </c>
      <c r="Y68" s="19">
        <v>1E-14</v>
      </c>
      <c r="Z68" s="19">
        <v>1E-14</v>
      </c>
      <c r="AA68" s="19">
        <v>1E-14</v>
      </c>
      <c r="AB68" s="18"/>
      <c r="AC68" s="20"/>
      <c r="AD68" s="4"/>
    </row>
    <row r="69" spans="14:30" x14ac:dyDescent="0.25">
      <c r="N69" s="40" t="s">
        <v>30</v>
      </c>
      <c r="O69" s="40" t="s">
        <v>64</v>
      </c>
      <c r="P69" s="19">
        <v>1E-14</v>
      </c>
      <c r="Q69" s="19">
        <v>1E-14</v>
      </c>
      <c r="R69" s="19">
        <v>1E-14</v>
      </c>
      <c r="S69" s="19">
        <v>1E-14</v>
      </c>
      <c r="T69" s="19">
        <v>1E-14</v>
      </c>
      <c r="U69" s="19">
        <v>1E-14</v>
      </c>
      <c r="V69" s="19">
        <v>1E-14</v>
      </c>
      <c r="W69" s="19">
        <v>1E-14</v>
      </c>
      <c r="X69" s="19">
        <v>1E-14</v>
      </c>
      <c r="Y69" s="19">
        <v>1E-14</v>
      </c>
      <c r="Z69" s="19">
        <v>1E-14</v>
      </c>
      <c r="AA69" s="19">
        <v>1E-14</v>
      </c>
      <c r="AB69" s="18"/>
      <c r="AC69" s="20"/>
      <c r="AD69" s="4"/>
    </row>
    <row r="70" spans="14:30" x14ac:dyDescent="0.25">
      <c r="N70" s="40" t="s">
        <v>31</v>
      </c>
      <c r="O70" s="40" t="s">
        <v>100</v>
      </c>
      <c r="P70" s="19">
        <v>1E-14</v>
      </c>
      <c r="Q70" s="19">
        <v>1E-14</v>
      </c>
      <c r="R70" s="19">
        <v>1E-14</v>
      </c>
      <c r="S70" s="19">
        <v>1E-14</v>
      </c>
      <c r="T70" s="19">
        <v>1E-14</v>
      </c>
      <c r="U70" s="19">
        <v>1E-14</v>
      </c>
      <c r="V70" s="19">
        <v>1E-14</v>
      </c>
      <c r="W70" s="19">
        <v>1E-14</v>
      </c>
      <c r="X70" s="19">
        <v>1E-14</v>
      </c>
      <c r="Y70" s="19">
        <v>1E-14</v>
      </c>
      <c r="Z70" s="19">
        <v>1E-14</v>
      </c>
      <c r="AA70" s="19">
        <v>1E-14</v>
      </c>
      <c r="AB70" s="18"/>
      <c r="AC70" s="20"/>
      <c r="AD70" s="4"/>
    </row>
    <row r="71" spans="14:30" x14ac:dyDescent="0.25">
      <c r="N71" s="40" t="s">
        <v>31</v>
      </c>
      <c r="O71" s="40" t="s">
        <v>64</v>
      </c>
      <c r="P71" s="19">
        <v>150</v>
      </c>
      <c r="Q71" s="19">
        <v>150</v>
      </c>
      <c r="R71" s="19">
        <v>150</v>
      </c>
      <c r="S71" s="19">
        <v>150</v>
      </c>
      <c r="T71" s="19">
        <v>150</v>
      </c>
      <c r="U71" s="19">
        <v>150</v>
      </c>
      <c r="V71" s="19">
        <v>150</v>
      </c>
      <c r="W71" s="19">
        <v>150</v>
      </c>
      <c r="X71" s="19">
        <v>150</v>
      </c>
      <c r="Y71" s="19">
        <v>150</v>
      </c>
      <c r="Z71" s="19">
        <v>150</v>
      </c>
      <c r="AA71" s="19">
        <v>150</v>
      </c>
      <c r="AB71" s="18"/>
      <c r="AC71" s="20"/>
      <c r="AD71" s="4"/>
    </row>
    <row r="72" spans="14:30" x14ac:dyDescent="0.25">
      <c r="N72" s="40" t="s">
        <v>32</v>
      </c>
      <c r="O72" s="40" t="s">
        <v>100</v>
      </c>
      <c r="P72" s="19">
        <v>1E-14</v>
      </c>
      <c r="Q72" s="19">
        <v>1E-14</v>
      </c>
      <c r="R72" s="19">
        <v>1E-14</v>
      </c>
      <c r="S72" s="19">
        <v>1E-14</v>
      </c>
      <c r="T72" s="19">
        <v>1E-14</v>
      </c>
      <c r="U72" s="19">
        <v>1E-14</v>
      </c>
      <c r="V72" s="19">
        <v>1E-14</v>
      </c>
      <c r="W72" s="19">
        <v>1E-14</v>
      </c>
      <c r="X72" s="19">
        <v>1E-14</v>
      </c>
      <c r="Y72" s="19">
        <v>1E-14</v>
      </c>
      <c r="Z72" s="19">
        <v>1E-14</v>
      </c>
      <c r="AA72" s="19">
        <v>1E-14</v>
      </c>
      <c r="AB72" s="18"/>
      <c r="AC72" s="20"/>
      <c r="AD72" s="4"/>
    </row>
    <row r="73" spans="14:30" x14ac:dyDescent="0.25">
      <c r="N73" s="40" t="s">
        <v>32</v>
      </c>
      <c r="O73" s="40" t="s">
        <v>64</v>
      </c>
      <c r="P73" s="19">
        <v>1500</v>
      </c>
      <c r="Q73" s="19">
        <v>1500</v>
      </c>
      <c r="R73" s="19">
        <v>1500</v>
      </c>
      <c r="S73" s="19">
        <v>1500</v>
      </c>
      <c r="T73" s="19">
        <v>1500</v>
      </c>
      <c r="U73" s="19">
        <v>1500</v>
      </c>
      <c r="V73" s="19">
        <v>1500</v>
      </c>
      <c r="W73" s="19">
        <v>1500</v>
      </c>
      <c r="X73" s="19">
        <v>1500</v>
      </c>
      <c r="Y73" s="19">
        <v>1500</v>
      </c>
      <c r="Z73" s="19">
        <v>1500</v>
      </c>
      <c r="AA73" s="19">
        <v>1500</v>
      </c>
      <c r="AB73" s="18"/>
      <c r="AC73" s="20"/>
      <c r="AD73" s="4"/>
    </row>
    <row r="74" spans="14:30" x14ac:dyDescent="0.25">
      <c r="N74" s="40" t="s">
        <v>33</v>
      </c>
      <c r="O74" s="40" t="s">
        <v>100</v>
      </c>
      <c r="P74" s="19">
        <v>1E-14</v>
      </c>
      <c r="Q74" s="19">
        <v>1E-14</v>
      </c>
      <c r="R74" s="19">
        <v>1E-14</v>
      </c>
      <c r="S74" s="19">
        <v>1E-14</v>
      </c>
      <c r="T74" s="19">
        <v>1E-14</v>
      </c>
      <c r="U74" s="19">
        <v>1E-14</v>
      </c>
      <c r="V74" s="19">
        <v>1E-14</v>
      </c>
      <c r="W74" s="19">
        <v>1E-14</v>
      </c>
      <c r="X74" s="19">
        <v>1E-14</v>
      </c>
      <c r="Y74" s="19">
        <v>1E-14</v>
      </c>
      <c r="Z74" s="19">
        <v>1E-14</v>
      </c>
      <c r="AA74" s="19">
        <v>1E-14</v>
      </c>
      <c r="AB74" s="18"/>
      <c r="AC74" s="20"/>
      <c r="AD74" s="4"/>
    </row>
    <row r="75" spans="14:30" x14ac:dyDescent="0.25">
      <c r="N75" s="40" t="s">
        <v>33</v>
      </c>
      <c r="O75" s="40" t="s">
        <v>64</v>
      </c>
      <c r="P75" s="19">
        <v>1E-14</v>
      </c>
      <c r="Q75" s="19">
        <v>1E-14</v>
      </c>
      <c r="R75" s="19">
        <v>1E-14</v>
      </c>
      <c r="S75" s="19">
        <v>1E-14</v>
      </c>
      <c r="T75" s="19">
        <v>1E-14</v>
      </c>
      <c r="U75" s="19">
        <v>1E-14</v>
      </c>
      <c r="V75" s="19">
        <v>1E-14</v>
      </c>
      <c r="W75" s="19">
        <v>1E-14</v>
      </c>
      <c r="X75" s="19">
        <v>1E-14</v>
      </c>
      <c r="Y75" s="19">
        <v>1E-14</v>
      </c>
      <c r="Z75" s="19">
        <v>1E-14</v>
      </c>
      <c r="AA75" s="19">
        <v>1E-14</v>
      </c>
      <c r="AB75" s="18"/>
      <c r="AC75" s="20"/>
      <c r="AD75" s="4"/>
    </row>
    <row r="76" spans="14:30" x14ac:dyDescent="0.25">
      <c r="N76" s="40" t="s">
        <v>34</v>
      </c>
      <c r="O76" s="40" t="s">
        <v>100</v>
      </c>
      <c r="P76" s="19">
        <v>10</v>
      </c>
      <c r="Q76" s="19">
        <v>1E-14</v>
      </c>
      <c r="R76" s="19">
        <v>10</v>
      </c>
      <c r="S76" s="19">
        <v>10</v>
      </c>
      <c r="T76" s="19">
        <v>10</v>
      </c>
      <c r="U76" s="19">
        <v>10</v>
      </c>
      <c r="V76" s="19">
        <v>10</v>
      </c>
      <c r="W76" s="19">
        <v>10</v>
      </c>
      <c r="X76" s="19">
        <v>10</v>
      </c>
      <c r="Y76" s="19">
        <v>10</v>
      </c>
      <c r="Z76" s="19">
        <v>10</v>
      </c>
      <c r="AA76" s="19">
        <v>10</v>
      </c>
      <c r="AB76" s="21"/>
      <c r="AC76" s="20"/>
      <c r="AD76" s="6"/>
    </row>
    <row r="77" spans="14:30" x14ac:dyDescent="0.25">
      <c r="N77" s="40" t="s">
        <v>34</v>
      </c>
      <c r="O77" s="40" t="s">
        <v>64</v>
      </c>
      <c r="P77" s="19">
        <v>10</v>
      </c>
      <c r="Q77" s="19">
        <v>10</v>
      </c>
      <c r="R77" s="19">
        <v>10</v>
      </c>
      <c r="S77" s="19">
        <v>10</v>
      </c>
      <c r="T77" s="19">
        <v>10</v>
      </c>
      <c r="U77" s="19">
        <v>10</v>
      </c>
      <c r="V77" s="19">
        <v>10</v>
      </c>
      <c r="W77" s="19">
        <v>10</v>
      </c>
      <c r="X77" s="19">
        <v>10</v>
      </c>
      <c r="Y77" s="19">
        <v>10</v>
      </c>
      <c r="Z77" s="19">
        <v>10</v>
      </c>
      <c r="AA77" s="19">
        <v>10</v>
      </c>
    </row>
    <row r="78" spans="14:30" x14ac:dyDescent="0.25">
      <c r="N78" s="40" t="s">
        <v>87</v>
      </c>
      <c r="O78" s="40" t="s">
        <v>100</v>
      </c>
      <c r="P78" s="19">
        <v>1E-14</v>
      </c>
      <c r="Q78" s="19">
        <v>1E-14</v>
      </c>
      <c r="R78" s="19">
        <v>1E-14</v>
      </c>
      <c r="S78" s="19">
        <v>1E-14</v>
      </c>
      <c r="T78" s="19">
        <v>1E-14</v>
      </c>
      <c r="U78" s="19">
        <v>1E-14</v>
      </c>
      <c r="V78" s="19">
        <v>1E-14</v>
      </c>
      <c r="W78" s="19">
        <v>1E-14</v>
      </c>
      <c r="X78" s="19">
        <v>1E-14</v>
      </c>
      <c r="Y78" s="19">
        <v>1E-14</v>
      </c>
      <c r="Z78" s="19">
        <v>1E-14</v>
      </c>
      <c r="AA78" s="19">
        <v>1E-14</v>
      </c>
    </row>
    <row r="79" spans="14:30" x14ac:dyDescent="0.25">
      <c r="N79" s="40" t="s">
        <v>87</v>
      </c>
      <c r="O79" s="40" t="s">
        <v>64</v>
      </c>
      <c r="P79" s="19">
        <v>4166.666666666667</v>
      </c>
      <c r="Q79" s="19">
        <v>4166.666666666667</v>
      </c>
      <c r="R79" s="19">
        <v>4166.666666666667</v>
      </c>
      <c r="S79" s="19">
        <v>4166.666666666667</v>
      </c>
      <c r="T79" s="19">
        <v>4166.666666666667</v>
      </c>
      <c r="U79" s="19">
        <v>4166.666666666667</v>
      </c>
      <c r="V79" s="19">
        <v>4166.666666666667</v>
      </c>
      <c r="W79" s="19">
        <v>4166.666666666667</v>
      </c>
      <c r="X79" s="19">
        <v>4166.666666666667</v>
      </c>
      <c r="Y79" s="19">
        <v>4166.666666666667</v>
      </c>
      <c r="Z79" s="19">
        <v>4166.666666666667</v>
      </c>
      <c r="AA79" s="19">
        <v>4166.666666666667</v>
      </c>
    </row>
    <row r="80" spans="14:30" x14ac:dyDescent="0.25">
      <c r="N80" s="40" t="s">
        <v>88</v>
      </c>
      <c r="O80" s="40" t="s">
        <v>100</v>
      </c>
      <c r="P80" s="19">
        <v>3333.3333333333335</v>
      </c>
      <c r="Q80" s="19">
        <v>1E-14</v>
      </c>
      <c r="R80" s="19">
        <v>3333.3333333333335</v>
      </c>
      <c r="S80" s="19">
        <v>3333.3333333333335</v>
      </c>
      <c r="T80" s="19">
        <v>3333.3333333333335</v>
      </c>
      <c r="U80" s="19">
        <v>3333.3333333333335</v>
      </c>
      <c r="V80" s="19">
        <v>3333.3333333333335</v>
      </c>
      <c r="W80" s="19">
        <v>3333.3333333333335</v>
      </c>
      <c r="X80" s="19">
        <v>3333.3333333333335</v>
      </c>
      <c r="Y80" s="19">
        <v>3333.3333333333335</v>
      </c>
      <c r="Z80" s="19">
        <v>3333.3333333333335</v>
      </c>
      <c r="AA80" s="19">
        <v>3333.3333333333335</v>
      </c>
    </row>
    <row r="81" spans="14:27" x14ac:dyDescent="0.25">
      <c r="N81" s="58" t="s">
        <v>88</v>
      </c>
      <c r="O81" s="58" t="s">
        <v>64</v>
      </c>
      <c r="P81" s="22">
        <v>3333.3333333333335</v>
      </c>
      <c r="Q81" s="22">
        <v>3333.3333333333335</v>
      </c>
      <c r="R81" s="22">
        <v>3333.3333333333335</v>
      </c>
      <c r="S81" s="22">
        <v>3333.3333333333335</v>
      </c>
      <c r="T81" s="22">
        <v>3333.3333333333335</v>
      </c>
      <c r="U81" s="22">
        <v>3333.3333333333335</v>
      </c>
      <c r="V81" s="22">
        <v>3333.3333333333335</v>
      </c>
      <c r="W81" s="22">
        <v>3333.3333333333335</v>
      </c>
      <c r="X81" s="22">
        <v>3333.3333333333335</v>
      </c>
      <c r="Y81" s="22">
        <v>3333.3333333333335</v>
      </c>
      <c r="Z81" s="22">
        <v>3333.3333333333335</v>
      </c>
      <c r="AA81" s="22">
        <v>3333.3333333333335</v>
      </c>
    </row>
    <row r="82" spans="14:27" x14ac:dyDescent="0.25">
      <c r="N82" s="26" t="s">
        <v>35</v>
      </c>
      <c r="O82" s="26" t="s">
        <v>100</v>
      </c>
      <c r="P82">
        <v>1E-14</v>
      </c>
      <c r="Q82">
        <v>1E-14</v>
      </c>
      <c r="R82">
        <v>1E-14</v>
      </c>
      <c r="S82">
        <v>1E-14</v>
      </c>
      <c r="T82">
        <v>1E-14</v>
      </c>
      <c r="U82">
        <v>1E-14</v>
      </c>
      <c r="V82">
        <v>1E-14</v>
      </c>
      <c r="W82">
        <v>1E-14</v>
      </c>
      <c r="X82">
        <v>1E-14</v>
      </c>
      <c r="Y82">
        <v>1E-14</v>
      </c>
      <c r="Z82">
        <v>1E-14</v>
      </c>
      <c r="AA82">
        <v>1E-14</v>
      </c>
    </row>
    <row r="83" spans="14:27" x14ac:dyDescent="0.25">
      <c r="N83" s="26" t="s">
        <v>35</v>
      </c>
      <c r="O83" s="26" t="s">
        <v>64</v>
      </c>
      <c r="P83">
        <v>1E-14</v>
      </c>
      <c r="Q83">
        <v>1E-14</v>
      </c>
      <c r="R83">
        <v>1E-14</v>
      </c>
      <c r="S83">
        <v>1E-14</v>
      </c>
      <c r="T83">
        <v>1E-14</v>
      </c>
      <c r="U83">
        <v>1E-14</v>
      </c>
      <c r="V83">
        <v>1E-14</v>
      </c>
      <c r="W83">
        <v>1E-14</v>
      </c>
      <c r="X83">
        <v>1E-14</v>
      </c>
      <c r="Y83">
        <v>1E-14</v>
      </c>
      <c r="Z83">
        <v>1E-14</v>
      </c>
      <c r="AA83">
        <v>1E-14</v>
      </c>
    </row>
    <row r="84" spans="14:27" x14ac:dyDescent="0.25">
      <c r="N84" s="26" t="s">
        <v>36</v>
      </c>
      <c r="O84" s="26" t="s">
        <v>100</v>
      </c>
      <c r="P84">
        <v>1E-14</v>
      </c>
      <c r="Q84">
        <v>1E-14</v>
      </c>
      <c r="R84">
        <v>1E-14</v>
      </c>
      <c r="S84">
        <v>1E-14</v>
      </c>
      <c r="T84">
        <v>1E-14</v>
      </c>
      <c r="U84">
        <v>1E-14</v>
      </c>
      <c r="V84">
        <v>1E-14</v>
      </c>
      <c r="W84">
        <v>1E-14</v>
      </c>
      <c r="X84">
        <v>1E-14</v>
      </c>
      <c r="Y84">
        <v>1E-14</v>
      </c>
      <c r="Z84">
        <v>1E-14</v>
      </c>
      <c r="AA84">
        <v>1E-14</v>
      </c>
    </row>
    <row r="85" spans="14:27" x14ac:dyDescent="0.25">
      <c r="N85" s="26" t="s">
        <v>36</v>
      </c>
      <c r="O85" s="26" t="s">
        <v>64</v>
      </c>
      <c r="P85">
        <v>4000</v>
      </c>
      <c r="Q85">
        <v>1E-14</v>
      </c>
      <c r="R85">
        <v>1E-14</v>
      </c>
      <c r="S85">
        <v>1E-14</v>
      </c>
      <c r="T85">
        <v>1E-14</v>
      </c>
      <c r="U85">
        <v>1E-14</v>
      </c>
      <c r="V85">
        <v>1E-14</v>
      </c>
      <c r="W85">
        <v>1E-14</v>
      </c>
      <c r="X85">
        <v>1E-14</v>
      </c>
      <c r="Y85">
        <v>1E-14</v>
      </c>
      <c r="Z85">
        <v>1500</v>
      </c>
      <c r="AA85">
        <v>5600</v>
      </c>
    </row>
    <row r="86" spans="14:27" x14ac:dyDescent="0.25">
      <c r="N86" s="26" t="s">
        <v>85</v>
      </c>
      <c r="O86" s="26" t="s">
        <v>100</v>
      </c>
      <c r="P86">
        <v>1E-14</v>
      </c>
      <c r="Q86">
        <v>1E-14</v>
      </c>
      <c r="R86">
        <v>1E-14</v>
      </c>
      <c r="S86">
        <v>1E-14</v>
      </c>
      <c r="T86">
        <v>1E-14</v>
      </c>
      <c r="U86">
        <v>1E-14</v>
      </c>
      <c r="V86">
        <v>1E-14</v>
      </c>
      <c r="W86">
        <v>1E-14</v>
      </c>
      <c r="X86">
        <v>1E-14</v>
      </c>
      <c r="Y86">
        <v>1E-14</v>
      </c>
      <c r="Z86">
        <v>1E-14</v>
      </c>
      <c r="AA86">
        <v>1E-14</v>
      </c>
    </row>
    <row r="87" spans="14:27" x14ac:dyDescent="0.25">
      <c r="N87" s="26" t="s">
        <v>85</v>
      </c>
      <c r="O87" s="26" t="s">
        <v>64</v>
      </c>
      <c r="P87">
        <v>1E-14</v>
      </c>
      <c r="Q87">
        <v>1E-14</v>
      </c>
      <c r="R87">
        <v>1E-14</v>
      </c>
      <c r="S87">
        <v>1E-14</v>
      </c>
      <c r="T87">
        <v>1E-14</v>
      </c>
      <c r="U87">
        <v>1E-14</v>
      </c>
      <c r="V87">
        <v>1E-14</v>
      </c>
      <c r="W87">
        <v>1E-14</v>
      </c>
      <c r="X87">
        <v>1E-14</v>
      </c>
      <c r="Y87">
        <v>1E-14</v>
      </c>
      <c r="Z87">
        <v>1E-14</v>
      </c>
      <c r="AA87">
        <v>1E-14</v>
      </c>
    </row>
  </sheetData>
  <conditionalFormatting sqref="C4:C9">
    <cfRule type="colorScale" priority="14">
      <colorScale>
        <cfvo type="min"/>
        <cfvo type="max"/>
        <color theme="7" tint="0.79998168889431442"/>
        <color theme="9" tint="0.59999389629810485"/>
      </colorScale>
    </cfRule>
  </conditionalFormatting>
  <conditionalFormatting sqref="C31:H42">
    <cfRule type="colorScale" priority="13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O4:O33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conditionalFormatting sqref="T4:T33">
    <cfRule type="cellIs" dxfId="2" priority="10" operator="greaterThan">
      <formula>0</formula>
    </cfRule>
  </conditionalFormatting>
  <conditionalFormatting sqref="U4:U3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">
    <cfRule type="cellIs" dxfId="1" priority="5" operator="lessThanOrEqual">
      <formula>0</formula>
    </cfRule>
  </conditionalFormatting>
  <conditionalFormatting sqref="Q4:Q33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R4:R33">
    <cfRule type="colorScale" priority="3">
      <colorScale>
        <cfvo type="min"/>
        <cfvo type="max"/>
        <color theme="7" tint="0.79998168889431442"/>
        <color theme="9" tint="0.59999389629810485"/>
      </colorScale>
    </cfRule>
  </conditionalFormatting>
  <conditionalFormatting sqref="S4:S33">
    <cfRule type="colorScale" priority="2">
      <colorScale>
        <cfvo type="min"/>
        <cfvo type="max"/>
        <color theme="7" tint="0.79998168889431442"/>
        <color theme="9" tint="0.59999389629810485"/>
      </colorScale>
    </cfRule>
  </conditionalFormatting>
  <conditionalFormatting sqref="N4:N33">
    <cfRule type="expression" dxfId="0" priority="1">
      <formula>$O4=0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EA2D-DDC9-4350-B279-3276D2ECF13A}">
  <dimension ref="C2:AD15"/>
  <sheetViews>
    <sheetView zoomScale="85" zoomScaleNormal="85" workbookViewId="0">
      <selection activeCell="AF7" sqref="AF7"/>
    </sheetView>
  </sheetViews>
  <sheetFormatPr defaultRowHeight="15" x14ac:dyDescent="0.25"/>
  <cols>
    <col min="4" max="4" width="10.28515625" bestFit="1" customWidth="1"/>
    <col min="11" max="11" width="11.28515625" bestFit="1" customWidth="1"/>
  </cols>
  <sheetData>
    <row r="2" spans="3:30" x14ac:dyDescent="0.25">
      <c r="D2" t="s">
        <v>13</v>
      </c>
      <c r="G2" s="2" t="s">
        <v>37</v>
      </c>
      <c r="H2" t="s">
        <v>14</v>
      </c>
      <c r="I2" t="s">
        <v>15</v>
      </c>
      <c r="J2" t="s">
        <v>16</v>
      </c>
      <c r="K2" t="s">
        <v>17</v>
      </c>
      <c r="L2" t="s">
        <v>18</v>
      </c>
      <c r="M2" t="s">
        <v>19</v>
      </c>
      <c r="N2" t="s">
        <v>20</v>
      </c>
      <c r="O2" t="s">
        <v>21</v>
      </c>
      <c r="P2" t="s">
        <v>22</v>
      </c>
      <c r="Q2" t="s">
        <v>23</v>
      </c>
      <c r="R2" t="s">
        <v>24</v>
      </c>
      <c r="S2" t="s">
        <v>25</v>
      </c>
      <c r="T2" t="s">
        <v>26</v>
      </c>
      <c r="U2" t="s">
        <v>27</v>
      </c>
      <c r="V2" t="s">
        <v>28</v>
      </c>
      <c r="W2" t="s">
        <v>29</v>
      </c>
      <c r="X2" t="s">
        <v>30</v>
      </c>
      <c r="Y2" t="s">
        <v>31</v>
      </c>
      <c r="Z2" t="s">
        <v>32</v>
      </c>
      <c r="AA2" t="s">
        <v>33</v>
      </c>
      <c r="AB2" t="s">
        <v>34</v>
      </c>
      <c r="AC2" t="s">
        <v>35</v>
      </c>
      <c r="AD2" t="s">
        <v>36</v>
      </c>
    </row>
    <row r="3" spans="3:30" x14ac:dyDescent="0.25">
      <c r="C3" t="s">
        <v>0</v>
      </c>
      <c r="D3" s="1">
        <v>4800726.7781380201</v>
      </c>
      <c r="G3" t="s">
        <v>0</v>
      </c>
      <c r="H3" s="1">
        <v>0</v>
      </c>
      <c r="I3" s="1">
        <v>0</v>
      </c>
      <c r="J3" s="1">
        <v>0</v>
      </c>
      <c r="K3" s="1">
        <v>1263018.75</v>
      </c>
      <c r="L3" s="1">
        <v>0</v>
      </c>
      <c r="M3" s="1">
        <v>0</v>
      </c>
      <c r="N3" s="1">
        <v>0</v>
      </c>
      <c r="O3" s="1">
        <v>341250</v>
      </c>
      <c r="P3" s="1">
        <v>0</v>
      </c>
      <c r="Q3" s="1">
        <v>0</v>
      </c>
      <c r="R3" s="1">
        <v>2730000</v>
      </c>
      <c r="S3" s="1">
        <v>32708.333333333299</v>
      </c>
      <c r="T3" s="1">
        <v>0</v>
      </c>
      <c r="U3" s="1">
        <v>0</v>
      </c>
      <c r="V3" s="1">
        <v>0</v>
      </c>
      <c r="W3" s="1">
        <v>356450.25480468798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</row>
    <row r="4" spans="3:30" x14ac:dyDescent="0.25">
      <c r="C4" t="s">
        <v>1</v>
      </c>
      <c r="D4" s="1">
        <v>3618208.7938665799</v>
      </c>
      <c r="G4" t="s">
        <v>1</v>
      </c>
      <c r="H4" s="1">
        <v>0</v>
      </c>
      <c r="I4" s="1">
        <v>0</v>
      </c>
      <c r="J4" s="1">
        <v>0</v>
      </c>
      <c r="K4" s="1">
        <v>1263018.75</v>
      </c>
      <c r="L4" s="1">
        <v>0</v>
      </c>
      <c r="M4" s="1">
        <v>0</v>
      </c>
      <c r="N4" s="1">
        <v>0</v>
      </c>
      <c r="O4" s="1">
        <v>341250</v>
      </c>
      <c r="P4" s="1">
        <v>0</v>
      </c>
      <c r="Q4" s="1">
        <v>0</v>
      </c>
      <c r="R4" s="1">
        <v>0</v>
      </c>
      <c r="S4" s="1">
        <v>32708.333333333299</v>
      </c>
      <c r="T4" s="1">
        <v>0</v>
      </c>
      <c r="U4" s="1">
        <v>0</v>
      </c>
      <c r="V4" s="1">
        <v>1230382.5253379401</v>
      </c>
      <c r="W4" s="1">
        <v>673549.74519531196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</row>
    <row r="5" spans="3:30" x14ac:dyDescent="0.25">
      <c r="C5" t="s">
        <v>2</v>
      </c>
      <c r="D5" s="1">
        <v>3773859.5010472098</v>
      </c>
      <c r="G5" t="s">
        <v>2</v>
      </c>
      <c r="H5" s="1">
        <v>0</v>
      </c>
      <c r="I5" s="1">
        <v>0</v>
      </c>
      <c r="J5" s="1">
        <v>0</v>
      </c>
      <c r="K5" s="1">
        <v>1263018.75</v>
      </c>
      <c r="L5" s="1">
        <v>0</v>
      </c>
      <c r="M5" s="1">
        <v>0</v>
      </c>
      <c r="N5" s="1">
        <v>0</v>
      </c>
      <c r="O5" s="1">
        <v>341250</v>
      </c>
      <c r="P5" s="1">
        <v>0</v>
      </c>
      <c r="Q5" s="1">
        <v>0</v>
      </c>
      <c r="R5" s="1">
        <v>0</v>
      </c>
      <c r="S5" s="1">
        <v>32708.333333333299</v>
      </c>
      <c r="T5" s="1">
        <v>0</v>
      </c>
      <c r="U5" s="1">
        <v>0</v>
      </c>
      <c r="V5" s="1">
        <v>2059582.9777138799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</row>
    <row r="6" spans="3:30" x14ac:dyDescent="0.25">
      <c r="C6" t="s">
        <v>3</v>
      </c>
      <c r="D6" s="1">
        <v>3261847.0148859499</v>
      </c>
      <c r="G6" t="s">
        <v>3</v>
      </c>
      <c r="H6" s="1">
        <v>0</v>
      </c>
      <c r="I6" s="1">
        <v>0</v>
      </c>
      <c r="J6" s="1">
        <v>0</v>
      </c>
      <c r="K6" s="1">
        <v>1263018.75</v>
      </c>
      <c r="L6" s="1">
        <v>0</v>
      </c>
      <c r="M6" s="1">
        <v>0</v>
      </c>
      <c r="N6" s="1">
        <v>0</v>
      </c>
      <c r="O6" s="1">
        <v>341250</v>
      </c>
      <c r="P6" s="1">
        <v>0</v>
      </c>
      <c r="Q6" s="1">
        <v>0</v>
      </c>
      <c r="R6" s="1">
        <v>0</v>
      </c>
      <c r="S6" s="1">
        <v>32708.333333333299</v>
      </c>
      <c r="T6" s="1">
        <v>0</v>
      </c>
      <c r="U6" s="1">
        <v>0</v>
      </c>
      <c r="V6" s="1">
        <v>1547570.49155262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</row>
    <row r="7" spans="3:30" x14ac:dyDescent="0.25">
      <c r="C7" t="s">
        <v>4</v>
      </c>
      <c r="D7" s="1">
        <v>2249665.5818990301</v>
      </c>
      <c r="G7" t="s">
        <v>4</v>
      </c>
      <c r="H7" s="1">
        <v>0</v>
      </c>
      <c r="I7" s="1">
        <v>0</v>
      </c>
      <c r="J7" s="1">
        <v>0</v>
      </c>
      <c r="K7" s="1">
        <v>1263018.75</v>
      </c>
      <c r="L7" s="1">
        <v>0</v>
      </c>
      <c r="M7" s="1">
        <v>0</v>
      </c>
      <c r="N7" s="1">
        <v>0</v>
      </c>
      <c r="O7" s="1">
        <v>341250</v>
      </c>
      <c r="P7" s="1">
        <v>0</v>
      </c>
      <c r="Q7" s="1">
        <v>0</v>
      </c>
      <c r="R7" s="1">
        <v>0</v>
      </c>
      <c r="S7" s="1">
        <v>32708.333333333299</v>
      </c>
      <c r="T7" s="1">
        <v>0</v>
      </c>
      <c r="U7" s="1">
        <v>0</v>
      </c>
      <c r="V7" s="1">
        <v>612688.49856569897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</row>
    <row r="8" spans="3:30" x14ac:dyDescent="0.25">
      <c r="C8" t="s">
        <v>5</v>
      </c>
      <c r="D8" s="1">
        <v>1636977.08333333</v>
      </c>
      <c r="G8" t="s">
        <v>5</v>
      </c>
      <c r="H8" s="1">
        <v>0</v>
      </c>
      <c r="I8" s="1">
        <v>0</v>
      </c>
      <c r="J8" s="1">
        <v>0</v>
      </c>
      <c r="K8" s="1">
        <v>1263018.75</v>
      </c>
      <c r="L8" s="1">
        <v>0</v>
      </c>
      <c r="M8" s="1">
        <v>0</v>
      </c>
      <c r="N8" s="1">
        <v>0</v>
      </c>
      <c r="O8" s="1">
        <v>341250</v>
      </c>
      <c r="P8" s="1">
        <v>0</v>
      </c>
      <c r="Q8" s="1">
        <v>0</v>
      </c>
      <c r="R8" s="1">
        <v>0</v>
      </c>
      <c r="S8" s="1">
        <v>32708.333333333299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</row>
    <row r="9" spans="3:30" x14ac:dyDescent="0.25">
      <c r="C9" t="s">
        <v>6</v>
      </c>
      <c r="D9" s="1">
        <v>1636977.08333333</v>
      </c>
      <c r="G9" t="s">
        <v>6</v>
      </c>
      <c r="H9" s="1">
        <v>0</v>
      </c>
      <c r="I9" s="1">
        <v>0</v>
      </c>
      <c r="J9" s="1">
        <v>0</v>
      </c>
      <c r="K9" s="1">
        <v>1263018.75</v>
      </c>
      <c r="L9" s="1">
        <v>0</v>
      </c>
      <c r="M9" s="1">
        <v>0</v>
      </c>
      <c r="N9" s="1">
        <v>0</v>
      </c>
      <c r="O9" s="1">
        <v>341250</v>
      </c>
      <c r="P9" s="1">
        <v>0</v>
      </c>
      <c r="Q9" s="1">
        <v>0</v>
      </c>
      <c r="R9" s="1">
        <v>0</v>
      </c>
      <c r="S9" s="1">
        <v>32708.333333333299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</row>
    <row r="10" spans="3:30" x14ac:dyDescent="0.25">
      <c r="C10" t="s">
        <v>7</v>
      </c>
      <c r="D10" s="1">
        <v>1636977.08333333</v>
      </c>
      <c r="G10" t="s">
        <v>7</v>
      </c>
      <c r="H10" s="1">
        <v>0</v>
      </c>
      <c r="I10" s="1">
        <v>0</v>
      </c>
      <c r="J10" s="1">
        <v>0</v>
      </c>
      <c r="K10" s="1">
        <v>1263018.75</v>
      </c>
      <c r="L10" s="1">
        <v>0</v>
      </c>
      <c r="M10" s="1">
        <v>0</v>
      </c>
      <c r="N10" s="1">
        <v>0</v>
      </c>
      <c r="O10" s="1">
        <v>341250</v>
      </c>
      <c r="P10" s="1">
        <v>0</v>
      </c>
      <c r="Q10" s="1">
        <v>0</v>
      </c>
      <c r="R10" s="1">
        <v>0</v>
      </c>
      <c r="S10" s="1">
        <v>32708.333333333299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</row>
    <row r="11" spans="3:30" x14ac:dyDescent="0.25">
      <c r="C11" t="s">
        <v>8</v>
      </c>
      <c r="D11" s="1">
        <v>1636977.08333333</v>
      </c>
      <c r="G11" t="s">
        <v>8</v>
      </c>
      <c r="H11" s="1">
        <v>0</v>
      </c>
      <c r="I11" s="1">
        <v>0</v>
      </c>
      <c r="J11" s="1">
        <v>0</v>
      </c>
      <c r="K11" s="1">
        <v>1263018.75</v>
      </c>
      <c r="L11" s="1">
        <v>0</v>
      </c>
      <c r="M11" s="1">
        <v>0</v>
      </c>
      <c r="N11" s="1">
        <v>0</v>
      </c>
      <c r="O11" s="1">
        <v>341250</v>
      </c>
      <c r="P11" s="1">
        <v>0</v>
      </c>
      <c r="Q11" s="1">
        <v>0</v>
      </c>
      <c r="R11" s="1">
        <v>0</v>
      </c>
      <c r="S11" s="1">
        <v>32708.333333333299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</row>
    <row r="12" spans="3:30" x14ac:dyDescent="0.25">
      <c r="C12" t="s">
        <v>9</v>
      </c>
      <c r="D12" s="1">
        <v>3584499.7505626101</v>
      </c>
      <c r="G12" t="s">
        <v>9</v>
      </c>
      <c r="H12" s="1">
        <v>0</v>
      </c>
      <c r="I12" s="1">
        <v>0</v>
      </c>
      <c r="J12" s="1">
        <v>0</v>
      </c>
      <c r="K12" s="1">
        <v>1263018.75</v>
      </c>
      <c r="L12" s="1">
        <v>1531253.5078221001</v>
      </c>
      <c r="M12" s="1">
        <v>0</v>
      </c>
      <c r="N12" s="1">
        <v>0</v>
      </c>
      <c r="O12" s="1">
        <v>341250</v>
      </c>
      <c r="P12" s="1">
        <v>0</v>
      </c>
      <c r="Q12" s="1">
        <v>0</v>
      </c>
      <c r="R12" s="1">
        <v>0</v>
      </c>
      <c r="S12" s="1">
        <v>32708.333333333299</v>
      </c>
      <c r="T12" s="1">
        <v>0</v>
      </c>
      <c r="U12" s="1">
        <v>0</v>
      </c>
      <c r="V12" s="1">
        <v>338969.71940717299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</row>
    <row r="13" spans="3:30" x14ac:dyDescent="0.25">
      <c r="C13" t="s">
        <v>10</v>
      </c>
      <c r="D13" s="1">
        <v>4283726.39653558</v>
      </c>
      <c r="G13" t="s">
        <v>10</v>
      </c>
      <c r="H13" s="1">
        <v>2263203.3810243499</v>
      </c>
      <c r="I13" s="1">
        <v>0</v>
      </c>
      <c r="J13" s="1">
        <v>0</v>
      </c>
      <c r="K13" s="1">
        <v>1263018.75</v>
      </c>
      <c r="L13" s="1">
        <v>306246.49217789801</v>
      </c>
      <c r="M13" s="1">
        <v>0</v>
      </c>
      <c r="N13" s="1">
        <v>0</v>
      </c>
      <c r="O13" s="1">
        <v>341250</v>
      </c>
      <c r="P13" s="1">
        <v>0</v>
      </c>
      <c r="Q13" s="1">
        <v>0</v>
      </c>
      <c r="R13" s="1">
        <v>0</v>
      </c>
      <c r="S13" s="1">
        <v>32708.333333333299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</row>
    <row r="14" spans="3:30" x14ac:dyDescent="0.25">
      <c r="C14" t="s">
        <v>11</v>
      </c>
      <c r="D14" s="1">
        <v>4330348.1423089802</v>
      </c>
      <c r="G14" t="s">
        <v>11</v>
      </c>
      <c r="H14" s="1">
        <v>2510621.6189756501</v>
      </c>
      <c r="I14" s="1">
        <v>0</v>
      </c>
      <c r="J14" s="1">
        <v>0</v>
      </c>
      <c r="K14" s="1">
        <v>1263018.75</v>
      </c>
      <c r="L14" s="1">
        <v>0</v>
      </c>
      <c r="M14" s="1">
        <v>0</v>
      </c>
      <c r="N14" s="1">
        <v>0</v>
      </c>
      <c r="O14" s="1">
        <v>341250</v>
      </c>
      <c r="P14" s="1">
        <v>0</v>
      </c>
      <c r="Q14" s="1">
        <v>0</v>
      </c>
      <c r="R14" s="1">
        <v>0</v>
      </c>
      <c r="S14" s="1">
        <v>32708.333333333299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23250</v>
      </c>
      <c r="Z14" s="1">
        <v>0</v>
      </c>
      <c r="AA14" s="1">
        <v>0</v>
      </c>
      <c r="AB14" s="1">
        <v>82200</v>
      </c>
      <c r="AC14" s="1">
        <v>0</v>
      </c>
      <c r="AD14" s="1">
        <v>0</v>
      </c>
    </row>
    <row r="15" spans="3:30" x14ac:dyDescent="0.25">
      <c r="C15" t="s">
        <v>12</v>
      </c>
      <c r="D15" s="1">
        <f>SUM(D3:D14)</f>
        <v>36450790.292577267</v>
      </c>
      <c r="G15" t="s">
        <v>12</v>
      </c>
      <c r="H15" s="3">
        <f>SUM(H3:H14)</f>
        <v>4773825</v>
      </c>
      <c r="I15" s="3">
        <f t="shared" ref="I15:AD15" si="0">SUM(I3:I14)</f>
        <v>0</v>
      </c>
      <c r="J15" s="3">
        <f t="shared" si="0"/>
        <v>0</v>
      </c>
      <c r="K15" s="3">
        <f t="shared" si="0"/>
        <v>15156225</v>
      </c>
      <c r="L15" s="3">
        <f t="shared" si="0"/>
        <v>1837499.9999999981</v>
      </c>
      <c r="M15" s="3">
        <f t="shared" si="0"/>
        <v>0</v>
      </c>
      <c r="N15" s="3">
        <f t="shared" si="0"/>
        <v>0</v>
      </c>
      <c r="O15" s="3">
        <f t="shared" si="0"/>
        <v>4095000</v>
      </c>
      <c r="P15" s="3">
        <f t="shared" si="0"/>
        <v>0</v>
      </c>
      <c r="Q15" s="3">
        <f t="shared" si="0"/>
        <v>0</v>
      </c>
      <c r="R15" s="3">
        <f t="shared" si="0"/>
        <v>2730000</v>
      </c>
      <c r="S15" s="3">
        <f t="shared" si="0"/>
        <v>392499.99999999971</v>
      </c>
      <c r="T15" s="3">
        <f t="shared" si="0"/>
        <v>0</v>
      </c>
      <c r="U15" s="3">
        <f t="shared" si="0"/>
        <v>0</v>
      </c>
      <c r="V15" s="3">
        <f t="shared" si="0"/>
        <v>5789194.2125773123</v>
      </c>
      <c r="W15" s="3">
        <f t="shared" si="0"/>
        <v>1030000</v>
      </c>
      <c r="X15" s="3">
        <f t="shared" si="0"/>
        <v>0</v>
      </c>
      <c r="Y15" s="3">
        <f t="shared" si="0"/>
        <v>23250</v>
      </c>
      <c r="Z15" s="3">
        <f t="shared" si="0"/>
        <v>0</v>
      </c>
      <c r="AA15" s="3">
        <f t="shared" si="0"/>
        <v>0</v>
      </c>
      <c r="AB15" s="3">
        <f t="shared" si="0"/>
        <v>82200</v>
      </c>
      <c r="AC15" s="3">
        <f t="shared" si="0"/>
        <v>0</v>
      </c>
      <c r="AD15" s="3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Overblik</vt:lpstr>
      <vt:lpstr>Inputs</vt:lpstr>
      <vt:lpstr>DUMP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2021-10-11T13:23:21Z</dcterms:modified>
</cp:coreProperties>
</file>