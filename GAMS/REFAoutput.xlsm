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C587C23D-D048-464C-BDE5-0B826303E576}" xr6:coauthVersionLast="47" xr6:coauthVersionMax="47" xr10:uidLastSave="{00000000-0000-0000-0000-000000000000}"/>
  <bookViews>
    <workbookView xWindow="1170" yWindow="1170" windowWidth="21600" windowHeight="12645" tabRatio="731" activeTab="5" xr2:uid="{82C3324D-31D0-4A40-8A1A-11BE9452E5B5}"/>
  </bookViews>
  <sheets>
    <sheet name="Lister" sheetId="7" r:id="rId1"/>
    <sheet name="Inputs" sheetId="6" r:id="rId2"/>
    <sheet name="DataU" sheetId="12" r:id="rId3"/>
    <sheet name="DataSto" sheetId="13" r:id="rId4"/>
    <sheet name="DataFuel" sheetId="14" r:id="rId5"/>
    <sheet name="Overblik" sheetId="4" r:id="rId6"/>
    <sheet name="cVarme" sheetId="8" r:id="rId7"/>
    <sheet name="cBrændsler" sheetId="9" r:id="rId8"/>
    <sheet name="cKapacUdnyttelse" sheetId="10" r:id="rId9"/>
    <sheet name="cLagerStand" sheetId="11" r:id="rId10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" l="1"/>
  <c r="A23" i="4"/>
  <c r="A22" i="4"/>
  <c r="A21" i="4"/>
  <c r="AB9" i="12" a="1"/>
  <c r="AB9" i="12" s="1"/>
  <c r="AB9" i="13" a="1"/>
  <c r="AB9" i="13" s="1"/>
  <c r="AB9" i="14" a="1"/>
  <c r="AB9" i="14" s="1"/>
  <c r="A16" i="4"/>
  <c r="D2" i="4"/>
  <c r="A51" i="4"/>
  <c r="A52" i="4"/>
  <c r="A53" i="4"/>
  <c r="A50" i="4"/>
  <c r="A37" i="4"/>
  <c r="A42" i="4"/>
  <c r="A34" i="4"/>
  <c r="A36" i="4"/>
  <c r="A35" i="4"/>
  <c r="A33" i="4"/>
  <c r="A32" i="4"/>
  <c r="A40" i="4"/>
  <c r="A30" i="4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W14" i="6"/>
  <c r="E6" i="4"/>
  <c r="E9" i="12" s="1" a="1"/>
  <c r="E9" i="12" s="1"/>
  <c r="F6" i="4"/>
  <c r="F9" i="12" s="1" a="1"/>
  <c r="F9" i="12" s="1"/>
  <c r="G6" i="4"/>
  <c r="G9" i="12" s="1" a="1"/>
  <c r="G9" i="12" s="1"/>
  <c r="H6" i="4"/>
  <c r="H9" i="12" s="1" a="1"/>
  <c r="H9" i="12" s="1"/>
  <c r="I6" i="4"/>
  <c r="I9" i="14" s="1" a="1"/>
  <c r="I9" i="14" s="1"/>
  <c r="J6" i="4"/>
  <c r="J9" i="14" s="1" a="1"/>
  <c r="J9" i="14" s="1"/>
  <c r="K6" i="4"/>
  <c r="K9" i="12" s="1" a="1"/>
  <c r="K9" i="12" s="1"/>
  <c r="L6" i="4"/>
  <c r="L9" i="12" s="1" a="1"/>
  <c r="L9" i="12" s="1"/>
  <c r="M6" i="4"/>
  <c r="M9" i="12" s="1" a="1"/>
  <c r="M9" i="12" s="1"/>
  <c r="N6" i="4"/>
  <c r="N9" i="12" s="1" a="1"/>
  <c r="N9" i="12" s="1"/>
  <c r="O6" i="4"/>
  <c r="O9" i="13" s="1" a="1"/>
  <c r="O9" i="13" s="1"/>
  <c r="P6" i="4"/>
  <c r="P9" i="12" s="1" a="1"/>
  <c r="P9" i="12" s="1"/>
  <c r="Q6" i="4"/>
  <c r="Q9" i="12" s="1" a="1"/>
  <c r="Q9" i="12" s="1"/>
  <c r="R6" i="4"/>
  <c r="R9" i="12" s="1" a="1"/>
  <c r="R9" i="12" s="1"/>
  <c r="S6" i="4"/>
  <c r="S9" i="12" s="1" a="1"/>
  <c r="S9" i="12" s="1"/>
  <c r="T6" i="4"/>
  <c r="T9" i="14" s="1" a="1"/>
  <c r="T9" i="14" s="1"/>
  <c r="U6" i="4"/>
  <c r="U9" i="12" s="1" a="1"/>
  <c r="U9" i="12" s="1"/>
  <c r="V6" i="4"/>
  <c r="V9" i="12" s="1" a="1"/>
  <c r="V9" i="12" s="1"/>
  <c r="W6" i="4"/>
  <c r="W9" i="12" s="1" a="1"/>
  <c r="W9" i="12" s="1"/>
  <c r="X6" i="4"/>
  <c r="X9" i="13" s="1" a="1"/>
  <c r="X9" i="13" s="1"/>
  <c r="Y6" i="4"/>
  <c r="Y9" i="14" s="1" a="1"/>
  <c r="Y9" i="14" s="1"/>
  <c r="Z6" i="4"/>
  <c r="Z9" i="14" s="1" a="1"/>
  <c r="Z9" i="14" s="1"/>
  <c r="AA6" i="4"/>
  <c r="AA9" i="12" s="1" a="1"/>
  <c r="AA9" i="12" s="1"/>
  <c r="D6" i="4"/>
  <c r="D9" i="12" s="1" a="1"/>
  <c r="D9" i="12" s="1"/>
  <c r="A28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145" i="4"/>
  <c r="A138" i="4"/>
  <c r="A139" i="4"/>
  <c r="A140" i="4"/>
  <c r="A141" i="4"/>
  <c r="A142" i="4"/>
  <c r="A137" i="4"/>
  <c r="A27" i="4"/>
  <c r="A122" i="4"/>
  <c r="A123" i="4"/>
  <c r="A124" i="4"/>
  <c r="A29" i="4"/>
  <c r="A31" i="4"/>
  <c r="A38" i="4"/>
  <c r="A39" i="4"/>
  <c r="A43" i="4"/>
  <c r="A44" i="4"/>
  <c r="A45" i="4"/>
  <c r="A46" i="4"/>
  <c r="A48" i="4"/>
  <c r="A49" i="4"/>
  <c r="A13" i="4"/>
  <c r="A14" i="4"/>
  <c r="A15" i="4"/>
  <c r="A17" i="4"/>
  <c r="A18" i="4"/>
  <c r="A19" i="4"/>
  <c r="A20" i="4"/>
  <c r="A25" i="4"/>
  <c r="A26" i="4"/>
  <c r="A12" i="4"/>
  <c r="A8" i="4"/>
  <c r="N9" i="14" l="1" a="1"/>
  <c r="N9" i="14" s="1"/>
  <c r="AA9" i="13" a="1"/>
  <c r="AA9" i="13" s="1"/>
  <c r="N9" i="13" a="1"/>
  <c r="N9" i="13" s="1"/>
  <c r="H9" i="13" a="1"/>
  <c r="H9" i="13" s="1"/>
  <c r="Z9" i="12" a="1"/>
  <c r="Z9" i="12" s="1"/>
  <c r="J9" i="12" a="1"/>
  <c r="J9" i="12" s="1"/>
  <c r="X9" i="14" a="1"/>
  <c r="X9" i="14" s="1"/>
  <c r="S9" i="14" a="1"/>
  <c r="S9" i="14" s="1"/>
  <c r="M9" i="14" a="1"/>
  <c r="M9" i="14" s="1"/>
  <c r="H9" i="14" a="1"/>
  <c r="H9" i="14" s="1"/>
  <c r="Z9" i="13" a="1"/>
  <c r="Z9" i="13" s="1"/>
  <c r="T9" i="13" a="1"/>
  <c r="T9" i="13" s="1"/>
  <c r="M9" i="13" a="1"/>
  <c r="M9" i="13" s="1"/>
  <c r="G9" i="13" a="1"/>
  <c r="G9" i="13" s="1"/>
  <c r="Y9" i="12" a="1"/>
  <c r="Y9" i="12" s="1"/>
  <c r="T9" i="12" a="1"/>
  <c r="T9" i="12" s="1"/>
  <c r="O9" i="12" a="1"/>
  <c r="O9" i="12" s="1"/>
  <c r="I9" i="12" a="1"/>
  <c r="I9" i="12" s="1"/>
  <c r="R9" i="14" a="1"/>
  <c r="R9" i="14" s="1"/>
  <c r="Y9" i="13" a="1"/>
  <c r="Y9" i="13" s="1"/>
  <c r="S9" i="13" a="1"/>
  <c r="S9" i="13" s="1"/>
  <c r="F9" i="13" a="1"/>
  <c r="F9" i="13" s="1"/>
  <c r="W9" i="14" a="1"/>
  <c r="W9" i="14" s="1"/>
  <c r="Q9" i="14" a="1"/>
  <c r="Q9" i="14" s="1"/>
  <c r="L9" i="14" a="1"/>
  <c r="L9" i="14" s="1"/>
  <c r="G9" i="14" a="1"/>
  <c r="G9" i="14" s="1"/>
  <c r="R9" i="13" a="1"/>
  <c r="R9" i="13" s="1"/>
  <c r="L9" i="13" a="1"/>
  <c r="L9" i="13" s="1"/>
  <c r="E9" i="13" a="1"/>
  <c r="E9" i="13" s="1"/>
  <c r="X9" i="12" a="1"/>
  <c r="X9" i="12" s="1"/>
  <c r="V9" i="14" a="1"/>
  <c r="V9" i="14" s="1"/>
  <c r="F9" i="14" a="1"/>
  <c r="F9" i="14" s="1"/>
  <c r="Q9" i="13" a="1"/>
  <c r="Q9" i="13" s="1"/>
  <c r="K9" i="13" a="1"/>
  <c r="K9" i="13" s="1"/>
  <c r="AA9" i="14" a="1"/>
  <c r="AA9" i="14" s="1"/>
  <c r="U9" i="14" a="1"/>
  <c r="U9" i="14" s="1"/>
  <c r="P9" i="14" a="1"/>
  <c r="P9" i="14" s="1"/>
  <c r="K9" i="14" a="1"/>
  <c r="K9" i="14" s="1"/>
  <c r="E9" i="14" a="1"/>
  <c r="E9" i="14" s="1"/>
  <c r="W9" i="13" a="1"/>
  <c r="W9" i="13" s="1"/>
  <c r="J9" i="13" a="1"/>
  <c r="J9" i="13" s="1"/>
  <c r="V9" i="13" a="1"/>
  <c r="V9" i="13" s="1"/>
  <c r="P9" i="13" a="1"/>
  <c r="P9" i="13" s="1"/>
  <c r="I9" i="13" a="1"/>
  <c r="I9" i="13" s="1"/>
  <c r="O9" i="14" a="1"/>
  <c r="O9" i="14" s="1"/>
  <c r="U9" i="13" a="1"/>
  <c r="U9" i="13" s="1"/>
  <c r="D9" i="14" a="1"/>
  <c r="D9" i="14" s="1"/>
  <c r="D9" i="13" a="1"/>
  <c r="D9" i="13" s="1"/>
  <c r="A10" i="4"/>
  <c r="A9" i="4"/>
  <c r="A11" i="4" s="1"/>
  <c r="A47" i="4"/>
  <c r="A87" i="4"/>
  <c r="A88" i="4"/>
  <c r="A89" i="4"/>
  <c r="A113" i="4" l="1"/>
  <c r="A114" i="4"/>
  <c r="A115" i="4"/>
  <c r="A79" i="4"/>
  <c r="A80" i="4"/>
  <c r="A81" i="4"/>
  <c r="A82" i="4"/>
  <c r="A83" i="4"/>
  <c r="A84" i="4"/>
  <c r="A121" i="4"/>
  <c r="A120" i="4"/>
  <c r="A119" i="4"/>
  <c r="A118" i="4"/>
  <c r="A117" i="4"/>
  <c r="A116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78" i="4"/>
  <c r="A85" i="4"/>
  <c r="A86" i="4"/>
  <c r="A90" i="4"/>
  <c r="A91" i="4"/>
  <c r="A92" i="4"/>
  <c r="A56" i="4"/>
  <c r="A57" i="4"/>
  <c r="A58" i="4"/>
  <c r="A59" i="4"/>
  <c r="A60" i="4"/>
  <c r="A61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61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<sst xmlns="http://schemas.openxmlformats.org/spreadsheetml/2006/main" count="1687" uniqueCount="243">
  <si>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</si>
  <si>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</si>
  <si>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</si>
  <si>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</si>
  <si>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</si>
  <si>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</si>
  <si>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</si>
  <si>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</si>
  <si>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</si>
  <si>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</si>
  <si>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</si>
  <si>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</si>
  <si>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</si>
  <si>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</si>
  <si>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</si>
  <si>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</si>
  <si>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</si>
  <si>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</si>
  <si>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</si>
  <si>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</si>
  <si>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</si>
  <si>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</si>
  <si>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</si>
  <si>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</si>
  <si>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</si>
  <si>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</si>
  <si>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</si>
  <si>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</si>
  <si>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</si>
  <si>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</si>
  <si>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</si>
  <si>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</si>
  <si>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</si>
  <si>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</si>
  <si>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</si>
  <si>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</si>
  <si>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</si>
  <si>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</si>
  <si>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</si>
  <si>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</si>
  <si>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</si>
  <si>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</si>
  <si>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</si>
  <si>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</si>
  <si>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</si>
  <si>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</si>
  <si>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</si>
  <si>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</si>
  <si>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</si>
  <si>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</si>
  <si>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</si>
  <si>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</si>
  <si>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</si>
  <si>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</si>
  <si>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</si>
  <si>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</si>
  <si>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</si>
  <si>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</si>
  <si>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</si>
  <si>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</si>
  <si>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</si>
  <si>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</si>
  <si>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</si>
  <si>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</si>
  <si>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</si>
  <si>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</si>
  <si>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</si>
  <si>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</si>
  <si>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</si>
  <si>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</si>
  <si>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</si>
  <si>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</si>
  <si>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</si>
  <si>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</si>
  <si>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</si>
  <si>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</si>
  <si>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</si>
  <si>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</si>
  <si>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</si>
  <si>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</si>
  <si>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</si>
  <si>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</si>
  <si>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</si>
  <si>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</si>
  <si>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</si>
  <si>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</si>
  <si>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</si>
  <si>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</si>
  <si>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</si>
  <si>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</si>
  <si>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</si>
  <si>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</si>
  <si>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</si>
  <si>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</si>
  <si>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</si>
  <si>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</si>
  <si>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</si>
  <si>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</si>
  <si>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</si>
  <si>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</si>
  <si>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</si>
  <si>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</si>
  <si>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</si>
  <si>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</si>
  <si>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</si>
  <si>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</si>
  <si>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</si>
  <si>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</si>
  <si>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</si>
  <si>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</si>
  <si>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</si>
  <si>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</si>
  <si>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</si>
  <si>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</si>
  <si>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</si>
  <si>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</si>
  <si>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</si>
  <si>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</si>
  <si>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</si>
  <si>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</si>
  <si>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</si>
  <si>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</si>
  <si>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</si>
  <si>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</si>
  <si>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</si>
  <si>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</si>
  <si>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</si>
  <si>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</si>
  <si>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</si>
  <si>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</si>
  <si>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</si>
  <si>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</si>
  <si>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</si>
  <si>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</si>
  <si>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</si>
  <si>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</si>
  <si>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</si>
  <si>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</si>
  <si>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</si>
  <si>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</si>
  <si>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</si>
  <si>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</si>
  <si>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Værdi</t>
  </si>
  <si>
    <t>VirtuelVarme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</si>
  <si>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</si>
  <si>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</si>
  <si>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</si>
  <si>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</si>
  <si>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</si>
  <si>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</si>
  <si>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</si>
  <si>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</si>
  <si>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</si>
  <si>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</si>
  <si>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</si>
  <si>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</si>
  <si>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</si>
  <si>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</si>
  <si>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</si>
  <si>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</si>
  <si>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</si>
  <si>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</si>
  <si>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</si>
  <si>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</si>
  <si>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</si>
  <si>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</si>
  <si>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</si>
  <si>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</si>
  <si>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</si>
  <si>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</si>
  <si>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</si>
  <si>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</si>
  <si>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</si>
  <si>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</si>
  <si>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</si>
  <si>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</si>
  <si>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</si>
  <si>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</si>
  <si>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</si>
  <si>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</si>
  <si>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</si>
  <si>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</si>
  <si>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</si>
  <si>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</si>
  <si>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</si>
  <si>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</si>
  <si>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</si>
  <si>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</si>
  <si>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</si>
  <si>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</si>
  <si>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</si>
  <si>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</si>
  <si>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</si>
  <si>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</si>
  <si>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</si>
  <si>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</si>
  <si>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</si>
  <si>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</si>
  <si>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</si>
  <si>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</si>
  <si>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</si>
  <si>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</si>
  <si>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</si>
  <si>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LoadInit</t>
  </si>
  <si>
    <t>REFA-Varmesalg</t>
  </si>
  <si>
    <t>Turbine</t>
  </si>
  <si>
    <t>RunScenarios</t>
  </si>
  <si>
    <t>Varmesalgspris</t>
  </si>
  <si>
    <t>EgetforbrugKVV</t>
  </si>
  <si>
    <t>FuelBounds</t>
  </si>
  <si>
    <t xml:space="preserve"> &lt; BESKRIVELSE INDSÆTTES HER &gt;</t>
  </si>
  <si>
    <t>Scenarie</t>
  </si>
  <si>
    <t>LHV</t>
  </si>
  <si>
    <t>Varmemængder</t>
  </si>
  <si>
    <t>Brændselsforbrug</t>
  </si>
  <si>
    <t>Brændselsindkomst</t>
  </si>
  <si>
    <t>MinLast</t>
  </si>
  <si>
    <t>KapMin</t>
  </si>
  <si>
    <t>REFA-CO2-Afgift</t>
  </si>
  <si>
    <t>REFA-NOx-Afgift</t>
  </si>
  <si>
    <t>ton CO2</t>
  </si>
  <si>
    <t>REFA-Affaldvarme-afgift</t>
  </si>
  <si>
    <t>REFA-Tillaegs-Afgift</t>
  </si>
  <si>
    <t>Kapacitetsudnyttelse ift. KapMax</t>
  </si>
  <si>
    <t>mo5</t>
  </si>
  <si>
    <t>FixAffald2021</t>
  </si>
  <si>
    <t>FixAffaldSum</t>
  </si>
  <si>
    <t>REFA-Var-VPO-Affald</t>
  </si>
  <si>
    <t>REFA-Var-VPO-Total</t>
  </si>
  <si>
    <t>Total-Var-VPO</t>
  </si>
  <si>
    <t>mo1</t>
  </si>
  <si>
    <t>mo2</t>
  </si>
  <si>
    <t>mo3</t>
  </si>
  <si>
    <t>mo4</t>
  </si>
  <si>
    <t>mo6</t>
  </si>
  <si>
    <t>mo7</t>
  </si>
  <si>
    <t>mo8</t>
  </si>
  <si>
    <t>mo9</t>
  </si>
  <si>
    <t>mo10</t>
  </si>
  <si>
    <t>mo11</t>
  </si>
  <si>
    <t>mo12</t>
  </si>
  <si>
    <t>DeltaTon</t>
  </si>
  <si>
    <t>DeltaTonAktiv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</si>
</sst>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_-;\-#,##0,_-;_-* &quot;-&quot;??_-;_-@_-"/>
    <numFmt numFmtId="170" formatCode="yy\'mmm"/>
    <numFmt numFmtId="171" formatCode="00"/>
    <numFmt numFmtId="172" formatCode="0.0\ %\ "/>
    <numFmt numFmtId="173" formatCode="0\ %\ "/>
    <numFmt numFmtId="174" formatCode="_-#,##0\ ;\-#,##0\ ;_-* &quot;-&quot;??\ _k_r_._-;_-@_-"/>
    <numFmt numFmtId="175" formatCode="&quot;Max = &quot;_-#,##0\ ;\-#,##0\ ;_-* &quot;-&quot;??\ _k_r_._-;_-@_-"/>
    <numFmt numFmtId="176" formatCode="0.0%"/>
    <numFmt numFmtId="177" formatCode="#,##0.0"/>
    <numFmt numFmtId="178" formatCode="#,##0.0;\-#,##0;0"/>
    <numFmt numFmtId="179" formatCode="_-* #,##0_-;\-#,##0_-;_-\ &quot;-&quot;??_-;_-@_-"/>
    <numFmt numFmtId="180" formatCode="#,##0;\-#,##0;0"/>
    <numFmt numFmtId="181" formatCode="#,##0,;\-#,##0,;0"/>
    <numFmt numFmtId="182" formatCode="ddd\ yyyy\ mmm\ dd\,\ hh:m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212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2" fontId="0" fillId="0" borderId="0" xfId="2" applyNumberFormat="1" applyFont="1"/>
    <xf numFmtId="169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0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0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0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69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69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0" fontId="2" fillId="0" borderId="10" xfId="0" applyNumberFormat="1" applyFont="1" applyBorder="1" applyAlignment="1">
      <alignment horizontal="center"/>
    </xf>
    <xf numFmtId="169" fontId="0" fillId="0" borderId="0" xfId="0" applyNumberFormat="1"/>
    <xf numFmtId="169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3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4" fontId="0" fillId="0" borderId="1" xfId="1" quotePrefix="1" applyNumberFormat="1" applyFont="1" applyBorder="1"/>
    <xf numFmtId="174" fontId="0" fillId="0" borderId="1" xfId="1" applyNumberFormat="1" applyFont="1" applyBorder="1"/>
    <xf numFmtId="174" fontId="0" fillId="0" borderId="21" xfId="1" quotePrefix="1" applyNumberFormat="1" applyFont="1" applyBorder="1"/>
    <xf numFmtId="174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5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6" fontId="0" fillId="0" borderId="0" xfId="2" applyNumberFormat="1" applyFont="1" applyBorder="1"/>
    <xf numFmtId="176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6" borderId="2" xfId="0" quotePrefix="1" applyFill="1" applyBorder="1" applyAlignment="1">
      <alignment horizontal="left" indent="1"/>
    </xf>
    <xf numFmtId="0" fontId="0" fillId="6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7" fontId="0" fillId="0" borderId="8" xfId="0" applyNumberFormat="1" applyBorder="1"/>
    <xf numFmtId="177" fontId="0" fillId="0" borderId="1" xfId="0" applyNumberFormat="1" applyBorder="1"/>
    <xf numFmtId="178" fontId="0" fillId="0" borderId="8" xfId="0" applyNumberFormat="1" applyBorder="1"/>
    <xf numFmtId="178" fontId="0" fillId="0" borderId="1" xfId="0" applyNumberFormat="1" applyBorder="1"/>
    <xf numFmtId="0" fontId="5" fillId="2" borderId="1" xfId="0" quotePrefix="1" applyFont="1" applyFill="1" applyBorder="1" applyAlignment="1">
      <alignment horizontal="left" indent="1"/>
    </xf>
    <xf numFmtId="3" fontId="7" fillId="0" borderId="0" xfId="0" applyNumberFormat="1" applyFont="1" applyAlignment="1">
      <alignment horizontal="center"/>
    </xf>
    <xf numFmtId="0" fontId="0" fillId="0" borderId="5" xfId="0" quotePrefix="1" applyBorder="1" applyAlignment="1">
      <alignment horizontal="left" indent="1"/>
    </xf>
    <xf numFmtId="2" fontId="0" fillId="0" borderId="0" xfId="0" applyNumberFormat="1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  <xf numFmtId="0" fontId="19" fillId="7" borderId="0" xfId="0" applyFont="1" applyFill="1"/>
    <xf numFmtId="0" fontId="2" fillId="7" borderId="0" xfId="0" applyFont="1" applyFill="1"/>
    <xf numFmtId="0" fontId="19" fillId="7" borderId="0" xfId="0" applyFont="1" applyFill="1" applyAlignment="1">
      <alignment horizontal="left" indent="1"/>
    </xf>
    <xf numFmtId="179" fontId="0" fillId="0" borderId="1" xfId="1" applyNumberFormat="1" applyFont="1" applyBorder="1"/>
    <xf numFmtId="38" fontId="0" fillId="0" borderId="0" xfId="0" applyNumberFormat="1" applyAlignment="1">
      <alignment horizontal="right" indent="1"/>
    </xf>
    <xf numFmtId="180" fontId="0" fillId="0" borderId="1" xfId="1" applyNumberFormat="1" applyFont="1" applyBorder="1"/>
    <xf numFmtId="180" fontId="0" fillId="0" borderId="0" xfId="1" applyNumberFormat="1" applyFont="1"/>
    <xf numFmtId="181" fontId="0" fillId="0" borderId="1" xfId="1" applyNumberFormat="1" applyFont="1" applyBorder="1"/>
    <xf numFmtId="181" fontId="0" fillId="0" borderId="0" xfId="0" quotePrefix="1" applyNumberFormat="1" applyAlignment="1">
      <alignment horizontal="right" indent="1"/>
    </xf>
    <xf numFmtId="181" fontId="0" fillId="0" borderId="0" xfId="0" applyNumberFormat="1" applyAlignment="1">
      <alignment horizontal="left"/>
    </xf>
    <xf numFmtId="181" fontId="0" fillId="0" borderId="0" xfId="0" quotePrefix="1" applyNumberFormat="1"/>
    <xf numFmtId="181" fontId="0" fillId="0" borderId="0" xfId="1" applyNumberFormat="1" applyFont="1" applyBorder="1" applyAlignment="1">
      <alignment horizontal="left" indent="1"/>
    </xf>
    <xf numFmtId="182" fontId="0" fillId="0" borderId="12" xfId="0" applyNumberFormat="1" applyBorder="1" applyAlignment="1">
      <alignment horizontal="left" indent="1"/>
    </xf>
    <xf numFmtId="0" fontId="20" fillId="0" borderId="0" xfId="0" applyFont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0" fillId="2" borderId="2" xfId="0" quotePrefix="1" applyFont="1" applyFill="1" applyBorder="1" applyAlignment="1">
      <alignment horizontal="center" vertic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1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E2E3"/>
      <color rgb="FFFBABAD"/>
      <color rgb="FFECF5E7"/>
      <color rgb="FFEAF3FA"/>
      <color rgb="FF00FFFF"/>
      <color rgb="FFE1F4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hartsheet" Target="chartsheets/sheet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79479062384928567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Overblik!$C$56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Overblik!$D$56:$O$56</c:f>
              <c:numCache>
                <c:formatCode>_-* #,##0_-;\-#,##0_-;_-* "-"??_-;_-@_-</c:formatCode>
                <c:ptCount val="12"/>
                <c:pt idx="0">
                  <c:v>8406.2038005432096</c:v>
                </c:pt>
                <c:pt idx="1">
                  <c:v>7722.2038005432096</c:v>
                </c:pt>
                <c:pt idx="2">
                  <c:v>8406.2038005432096</c:v>
                </c:pt>
                <c:pt idx="3">
                  <c:v>3345.2872532189517</c:v>
                </c:pt>
                <c:pt idx="4">
                  <c:v>1704.012309610066</c:v>
                </c:pt>
                <c:pt idx="5">
                  <c:v>6191.9432244097488</c:v>
                </c:pt>
                <c:pt idx="6">
                  <c:v>2280</c:v>
                </c:pt>
                <c:pt idx="7">
                  <c:v>2280</c:v>
                </c:pt>
                <c:pt idx="8">
                  <c:v>1E-14</c:v>
                </c:pt>
                <c:pt idx="9">
                  <c:v>3142.3460767483639</c:v>
                </c:pt>
                <c:pt idx="10">
                  <c:v>8178.2038005432096</c:v>
                </c:pt>
                <c:pt idx="11">
                  <c:v>8406.2038005432096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Overblik!$C$57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Overblik!$D$57:$O$57</c:f>
              <c:numCache>
                <c:formatCode>_-* #,##0_-;\-#,##0_-;_-* "-"??_-;_-@_-</c:formatCode>
                <c:ptCount val="12"/>
                <c:pt idx="0">
                  <c:v>18734.853207604941</c:v>
                </c:pt>
                <c:pt idx="1">
                  <c:v>18734.853207604941</c:v>
                </c:pt>
                <c:pt idx="2">
                  <c:v>18734.853207604941</c:v>
                </c:pt>
                <c:pt idx="3">
                  <c:v>16654.71274678105</c:v>
                </c:pt>
                <c:pt idx="4">
                  <c:v>11295.987690389935</c:v>
                </c:pt>
                <c:pt idx="5">
                  <c:v>2912.2298780487804</c:v>
                </c:pt>
                <c:pt idx="6">
                  <c:v>7293.6977084096889</c:v>
                </c:pt>
                <c:pt idx="7">
                  <c:v>7242.1805696301981</c:v>
                </c:pt>
                <c:pt idx="8">
                  <c:v>10236.156646304462</c:v>
                </c:pt>
                <c:pt idx="9">
                  <c:v>16557.653923251637</c:v>
                </c:pt>
                <c:pt idx="10">
                  <c:v>18734.853207604941</c:v>
                </c:pt>
                <c:pt idx="11">
                  <c:v>18734.853207604941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Overblik!$C$58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Overblik!$D$58:$O$58</c:f>
              <c:numCache>
                <c:formatCode>_-* #,##0_-;\-#,##0_-;_-* "-"??_-;_-@_-</c:formatCode>
                <c:ptCount val="12"/>
                <c:pt idx="0">
                  <c:v>4158.942991851849</c:v>
                </c:pt>
                <c:pt idx="1">
                  <c:v>5542.942991851849</c:v>
                </c:pt>
                <c:pt idx="2">
                  <c:v>2358.942991851849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586.942991851849</c:v>
                </c:pt>
                <c:pt idx="11">
                  <c:v>258.942991851849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Overblik!$C$59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Overblik!$D$59:$O$59</c:f>
              <c:numCache>
                <c:formatCode>_-* #,##0_-;\-#,##0_-;_-* "-"??_-;_-@_-</c:formatCode>
                <c:ptCount val="12"/>
                <c:pt idx="0" formatCode="_-* #,##0_-;\-#,##0_-;_-\ &quot;-&quot;??_-;_-@_-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Overblik!$C$60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Overblik!$D$60:$O$60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-1604.1731024585288</c:v>
                </c:pt>
                <c:pt idx="6">
                  <c:v>-2073.6977084096889</c:v>
                </c:pt>
                <c:pt idx="7">
                  <c:v>-2522.1805696301981</c:v>
                </c:pt>
                <c:pt idx="8">
                  <c:v>-2236.1566463044619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Overblik!$C$61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Overblik!$D$61:$O$61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  <c:max val="4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Overblik!$C$64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Overblik!$D$64:$O$64</c:f>
              <c:numCache>
                <c:formatCode>#,##0;\-#,##0;0</c:formatCode>
                <c:ptCount val="12"/>
                <c:pt idx="0">
                  <c:v>1E-14</c:v>
                </c:pt>
                <c:pt idx="1">
                  <c:v>1424.7146603156957</c:v>
                </c:pt>
                <c:pt idx="2">
                  <c:v>1E-14</c:v>
                </c:pt>
                <c:pt idx="3">
                  <c:v>1E-14</c:v>
                </c:pt>
                <c:pt idx="4">
                  <c:v>2123.2241450260017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1423.4109783702097</c:v>
                </c:pt>
                <c:pt idx="9">
                  <c:v>4996.3714966357429</c:v>
                </c:pt>
                <c:pt idx="10">
                  <c:v>84.001899866326411</c:v>
                </c:pt>
                <c:pt idx="11">
                  <c:v>2863.5897350860187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Overblik!$C$65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Overblik!$D$65:$O$65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Overblik!$C$66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Overblik!$D$66:$O$66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Overblik!$C$67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Overblik!$D$67:$O$67</c:f>
              <c:numCache>
                <c:formatCode>#,##0;\-#,##0;0</c:formatCode>
                <c:ptCount val="12"/>
                <c:pt idx="0">
                  <c:v>2397.2340638983333</c:v>
                </c:pt>
                <c:pt idx="1">
                  <c:v>2397.2340638983333</c:v>
                </c:pt>
                <c:pt idx="2">
                  <c:v>2397.2340638983333</c:v>
                </c:pt>
                <c:pt idx="3">
                  <c:v>2397.2340638983333</c:v>
                </c:pt>
                <c:pt idx="4">
                  <c:v>2397.2340638983333</c:v>
                </c:pt>
                <c:pt idx="5">
                  <c:v>2397.2340638983333</c:v>
                </c:pt>
                <c:pt idx="6">
                  <c:v>2397.2340638983296</c:v>
                </c:pt>
                <c:pt idx="7">
                  <c:v>2397.2340638983333</c:v>
                </c:pt>
                <c:pt idx="8">
                  <c:v>2397.2340638983333</c:v>
                </c:pt>
                <c:pt idx="9">
                  <c:v>2397.2340638983333</c:v>
                </c:pt>
                <c:pt idx="10">
                  <c:v>2397.2340638983333</c:v>
                </c:pt>
                <c:pt idx="11">
                  <c:v>2397.2340638983333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Overblik!$C$68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Overblik!$D$68:$O$68</c:f>
              <c:numCache>
                <c:formatCode>#,##0;\-#,##0;0</c:formatCode>
                <c:ptCount val="12"/>
                <c:pt idx="0">
                  <c:v>352.70110270074997</c:v>
                </c:pt>
                <c:pt idx="1">
                  <c:v>352.70110270074997</c:v>
                </c:pt>
                <c:pt idx="2">
                  <c:v>352.70110270074997</c:v>
                </c:pt>
                <c:pt idx="3">
                  <c:v>352.70110270074997</c:v>
                </c:pt>
                <c:pt idx="4">
                  <c:v>352.70110270074997</c:v>
                </c:pt>
                <c:pt idx="5">
                  <c:v>352.70110270074997</c:v>
                </c:pt>
                <c:pt idx="6">
                  <c:v>352.70075000000003</c:v>
                </c:pt>
                <c:pt idx="7">
                  <c:v>352.70075000000003</c:v>
                </c:pt>
                <c:pt idx="8">
                  <c:v>352.70110270074997</c:v>
                </c:pt>
                <c:pt idx="9">
                  <c:v>352.70110270074997</c:v>
                </c:pt>
                <c:pt idx="10">
                  <c:v>352.70110270074997</c:v>
                </c:pt>
                <c:pt idx="11">
                  <c:v>352.70110270074997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Overblik!$C$69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Overblik!$D$69:$O$69</c:f>
              <c:numCache>
                <c:formatCode>#,##0;\-#,##0;0</c:formatCode>
                <c:ptCount val="12"/>
                <c:pt idx="0">
                  <c:v>2.7791694458333334</c:v>
                </c:pt>
                <c:pt idx="1">
                  <c:v>2.7791694458333334</c:v>
                </c:pt>
                <c:pt idx="2">
                  <c:v>2.7791694458333334</c:v>
                </c:pt>
                <c:pt idx="3">
                  <c:v>2.7791694458333334</c:v>
                </c:pt>
                <c:pt idx="4">
                  <c:v>2.7791694458333334</c:v>
                </c:pt>
                <c:pt idx="5">
                  <c:v>2.7791666666666668</c:v>
                </c:pt>
                <c:pt idx="6">
                  <c:v>2.7791666666666668</c:v>
                </c:pt>
                <c:pt idx="7">
                  <c:v>2.7791666666666668</c:v>
                </c:pt>
                <c:pt idx="8">
                  <c:v>2.7791694458333334</c:v>
                </c:pt>
                <c:pt idx="9">
                  <c:v>2.7791694458333334</c:v>
                </c:pt>
                <c:pt idx="10">
                  <c:v>2.7791694458333334</c:v>
                </c:pt>
                <c:pt idx="11">
                  <c:v>2.7791694458333334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Overblik!$C$70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Overblik!$D$70:$O$70</c:f>
              <c:numCache>
                <c:formatCode>#,##0;\-#,##0;0</c:formatCode>
                <c:ptCount val="12"/>
                <c:pt idx="0">
                  <c:v>357.48202414833327</c:v>
                </c:pt>
                <c:pt idx="1">
                  <c:v>357.48202414833327</c:v>
                </c:pt>
                <c:pt idx="2">
                  <c:v>357.48202414833327</c:v>
                </c:pt>
                <c:pt idx="3">
                  <c:v>357.48202414833327</c:v>
                </c:pt>
                <c:pt idx="4">
                  <c:v>357.48202414833327</c:v>
                </c:pt>
                <c:pt idx="5">
                  <c:v>357.48166666666663</c:v>
                </c:pt>
                <c:pt idx="6">
                  <c:v>357.48166666666663</c:v>
                </c:pt>
                <c:pt idx="7">
                  <c:v>357.48166666666663</c:v>
                </c:pt>
                <c:pt idx="8">
                  <c:v>357.48202414833327</c:v>
                </c:pt>
                <c:pt idx="9">
                  <c:v>357.48202414833327</c:v>
                </c:pt>
                <c:pt idx="10">
                  <c:v>357.48202414833327</c:v>
                </c:pt>
                <c:pt idx="11">
                  <c:v>357.48202414833327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Overblik!$C$71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Overblik!$D$71:$O$71</c:f>
              <c:numCache>
                <c:formatCode>#,##0;\-#,##0;0</c:formatCode>
                <c:ptCount val="12"/>
                <c:pt idx="0">
                  <c:v>8.9083422416666647</c:v>
                </c:pt>
                <c:pt idx="1">
                  <c:v>8.9083422416666647</c:v>
                </c:pt>
                <c:pt idx="2">
                  <c:v>8.9083422416666647</c:v>
                </c:pt>
                <c:pt idx="3">
                  <c:v>8.9083422416666647</c:v>
                </c:pt>
                <c:pt idx="4">
                  <c:v>8.9083422416666647</c:v>
                </c:pt>
                <c:pt idx="5">
                  <c:v>8.9083422416666647</c:v>
                </c:pt>
                <c:pt idx="6">
                  <c:v>8.9083422416666647</c:v>
                </c:pt>
                <c:pt idx="7">
                  <c:v>8.9083422416666647</c:v>
                </c:pt>
                <c:pt idx="8">
                  <c:v>8.9083422416666647</c:v>
                </c:pt>
                <c:pt idx="9">
                  <c:v>8.9083422416666647</c:v>
                </c:pt>
                <c:pt idx="10">
                  <c:v>8.9083422416666647</c:v>
                </c:pt>
                <c:pt idx="11">
                  <c:v>8.9083422416666647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Overblik!$C$72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Overblik!$D$72:$O$72</c:f>
              <c:numCache>
                <c:formatCode>#,##0;\-#,##0;0</c:formatCode>
                <c:ptCount val="12"/>
                <c:pt idx="0">
                  <c:v>355.50118883416661</c:v>
                </c:pt>
                <c:pt idx="1">
                  <c:v>355.50118883416661</c:v>
                </c:pt>
                <c:pt idx="2">
                  <c:v>355.50118883416661</c:v>
                </c:pt>
                <c:pt idx="3">
                  <c:v>355.50118883416661</c:v>
                </c:pt>
                <c:pt idx="4">
                  <c:v>355.50118883416661</c:v>
                </c:pt>
                <c:pt idx="5">
                  <c:v>355.50083333333333</c:v>
                </c:pt>
                <c:pt idx="6">
                  <c:v>355.50083333333333</c:v>
                </c:pt>
                <c:pt idx="7">
                  <c:v>355.50083333333333</c:v>
                </c:pt>
                <c:pt idx="8">
                  <c:v>355.50118883416661</c:v>
                </c:pt>
                <c:pt idx="9">
                  <c:v>355.50118883416661</c:v>
                </c:pt>
                <c:pt idx="10">
                  <c:v>355.50118883416661</c:v>
                </c:pt>
                <c:pt idx="11">
                  <c:v>355.50118883416661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Overblik!$C$73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Overblik!$D$73:$O$73</c:f>
              <c:numCache>
                <c:formatCode>#,##0;\-#,##0;0</c:formatCode>
                <c:ptCount val="12"/>
                <c:pt idx="0">
                  <c:v>33.205033204999992</c:v>
                </c:pt>
                <c:pt idx="1">
                  <c:v>33.205033204999992</c:v>
                </c:pt>
                <c:pt idx="2">
                  <c:v>33.205033204999992</c:v>
                </c:pt>
                <c:pt idx="3">
                  <c:v>33.205033204999992</c:v>
                </c:pt>
                <c:pt idx="4">
                  <c:v>33.205033204999992</c:v>
                </c:pt>
                <c:pt idx="5">
                  <c:v>33.205033204999992</c:v>
                </c:pt>
                <c:pt idx="6">
                  <c:v>33.205033204999992</c:v>
                </c:pt>
                <c:pt idx="7">
                  <c:v>33.205033204999992</c:v>
                </c:pt>
                <c:pt idx="8">
                  <c:v>33.205033204999992</c:v>
                </c:pt>
                <c:pt idx="9">
                  <c:v>33.205033204999992</c:v>
                </c:pt>
                <c:pt idx="10">
                  <c:v>33.205033204999992</c:v>
                </c:pt>
                <c:pt idx="11">
                  <c:v>33.205033204999992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Overblik!$C$74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Overblik!$D$74:$O$74</c:f>
              <c:numCache>
                <c:formatCode>#,##0;\-#,##0;0</c:formatCode>
                <c:ptCount val="12"/>
                <c:pt idx="0">
                  <c:v>511.80634513916658</c:v>
                </c:pt>
                <c:pt idx="1">
                  <c:v>511.80634513916658</c:v>
                </c:pt>
                <c:pt idx="2">
                  <c:v>511.80634513916658</c:v>
                </c:pt>
                <c:pt idx="3">
                  <c:v>511.80634513916658</c:v>
                </c:pt>
                <c:pt idx="4">
                  <c:v>511.80634513916658</c:v>
                </c:pt>
                <c:pt idx="5">
                  <c:v>511.80634513916658</c:v>
                </c:pt>
                <c:pt idx="6">
                  <c:v>511.80634513916533</c:v>
                </c:pt>
                <c:pt idx="7">
                  <c:v>511.80634513916658</c:v>
                </c:pt>
                <c:pt idx="8">
                  <c:v>511.80634513916658</c:v>
                </c:pt>
                <c:pt idx="9">
                  <c:v>511.80634513916658</c:v>
                </c:pt>
                <c:pt idx="10">
                  <c:v>511.80634513916658</c:v>
                </c:pt>
                <c:pt idx="11">
                  <c:v>511.80634513916658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Overblik!$C$75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Overblik!$D$75:$O$75</c:f>
              <c:numCache>
                <c:formatCode>#,##0;\-#,##0;0</c:formatCode>
                <c:ptCount val="12"/>
                <c:pt idx="0">
                  <c:v>11.182511182499999</c:v>
                </c:pt>
                <c:pt idx="1">
                  <c:v>11.182511182499999</c:v>
                </c:pt>
                <c:pt idx="2">
                  <c:v>11.182511182499999</c:v>
                </c:pt>
                <c:pt idx="3">
                  <c:v>11.182511182499999</c:v>
                </c:pt>
                <c:pt idx="4">
                  <c:v>11.182511182499999</c:v>
                </c:pt>
                <c:pt idx="5">
                  <c:v>11.182511182499999</c:v>
                </c:pt>
                <c:pt idx="6">
                  <c:v>11.182511182499999</c:v>
                </c:pt>
                <c:pt idx="7">
                  <c:v>11.182511182499999</c:v>
                </c:pt>
                <c:pt idx="8">
                  <c:v>11.182511182499999</c:v>
                </c:pt>
                <c:pt idx="9">
                  <c:v>11.182511182499999</c:v>
                </c:pt>
                <c:pt idx="10">
                  <c:v>11.182511182499999</c:v>
                </c:pt>
                <c:pt idx="11">
                  <c:v>11.182511182499999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Overblik!$C$76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Overblik!$D$76:$O$76</c:f>
              <c:numCache>
                <c:formatCode>#,##0;\-#,##0;0</c:formatCode>
                <c:ptCount val="12"/>
                <c:pt idx="0">
                  <c:v>4.815004815</c:v>
                </c:pt>
                <c:pt idx="1">
                  <c:v>4.815004815</c:v>
                </c:pt>
                <c:pt idx="2">
                  <c:v>4.815004815</c:v>
                </c:pt>
                <c:pt idx="3">
                  <c:v>4.815004815</c:v>
                </c:pt>
                <c:pt idx="4">
                  <c:v>4.815004815</c:v>
                </c:pt>
                <c:pt idx="5">
                  <c:v>4.8150000000000004</c:v>
                </c:pt>
                <c:pt idx="6">
                  <c:v>4.8150000000000004</c:v>
                </c:pt>
                <c:pt idx="7">
                  <c:v>4.8150000000000004</c:v>
                </c:pt>
                <c:pt idx="8">
                  <c:v>4.815004815</c:v>
                </c:pt>
                <c:pt idx="9">
                  <c:v>4.815004815</c:v>
                </c:pt>
                <c:pt idx="10">
                  <c:v>4.815004815</c:v>
                </c:pt>
                <c:pt idx="11">
                  <c:v>4.815004815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Overblik!$C$77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Overblik!$D$77:$O$77</c:f>
              <c:numCache>
                <c:formatCode>#,##0;\-#,##0;0</c:formatCode>
                <c:ptCount val="12"/>
                <c:pt idx="0">
                  <c:v>1.0741677408333332</c:v>
                </c:pt>
                <c:pt idx="1">
                  <c:v>1.0741677408333332</c:v>
                </c:pt>
                <c:pt idx="2">
                  <c:v>1.0741677408333332</c:v>
                </c:pt>
                <c:pt idx="3">
                  <c:v>1.0741677408333332</c:v>
                </c:pt>
                <c:pt idx="4">
                  <c:v>1.0741677408333332</c:v>
                </c:pt>
                <c:pt idx="5">
                  <c:v>1.0741666666666667</c:v>
                </c:pt>
                <c:pt idx="6">
                  <c:v>1.0741666666666667</c:v>
                </c:pt>
                <c:pt idx="7">
                  <c:v>1.0741666666666667</c:v>
                </c:pt>
                <c:pt idx="8">
                  <c:v>1.0741677408333332</c:v>
                </c:pt>
                <c:pt idx="9">
                  <c:v>1.0741677408333332</c:v>
                </c:pt>
                <c:pt idx="10">
                  <c:v>1.0741677408333332</c:v>
                </c:pt>
                <c:pt idx="11">
                  <c:v>1.0741677408333332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Overblik!$C$78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BABAD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Overblik!$D$78:$O$78</c:f>
              <c:numCache>
                <c:formatCode>#,##0;\-#,##0;0</c:formatCode>
                <c:ptCount val="12"/>
                <c:pt idx="0">
                  <c:v>6813.0873638480316</c:v>
                </c:pt>
                <c:pt idx="1">
                  <c:v>5110.5121754348402</c:v>
                </c:pt>
                <c:pt idx="2">
                  <c:v>6813.0872097580313</c:v>
                </c:pt>
                <c:pt idx="3">
                  <c:v>4910.3845672478747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6636.4652879492069</c:v>
                </c:pt>
                <c:pt idx="11">
                  <c:v>3949.4976287620125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Overblik!$C$79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Overblik!$D$79:$O$79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1.5408999999522166E-4</c:v>
                </c:pt>
                <c:pt idx="3">
                  <c:v>154.09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Overblik!$C$80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Overblik!$D$80:$O$80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Overblik!$C$81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Overblik!$D$81:$O$81</c:f>
              <c:numCache>
                <c:formatCode>#,##0;\-#,##0;0</c:formatCode>
                <c:ptCount val="12"/>
                <c:pt idx="0">
                  <c:v>87.044253710833331</c:v>
                </c:pt>
                <c:pt idx="1">
                  <c:v>87.044253710833331</c:v>
                </c:pt>
                <c:pt idx="2">
                  <c:v>87.044253710833331</c:v>
                </c:pt>
                <c:pt idx="3">
                  <c:v>87.044253710833331</c:v>
                </c:pt>
                <c:pt idx="4">
                  <c:v>87.044253710833331</c:v>
                </c:pt>
                <c:pt idx="5">
                  <c:v>87.044166666666669</c:v>
                </c:pt>
                <c:pt idx="6">
                  <c:v>87.044166666666669</c:v>
                </c:pt>
                <c:pt idx="7">
                  <c:v>87.044166666666669</c:v>
                </c:pt>
                <c:pt idx="8">
                  <c:v>87.044253710833331</c:v>
                </c:pt>
                <c:pt idx="9">
                  <c:v>87.044253710833331</c:v>
                </c:pt>
                <c:pt idx="10">
                  <c:v>87.044253710833331</c:v>
                </c:pt>
                <c:pt idx="11">
                  <c:v>87.044253710833331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Overblik!$C$82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Overblik!$D$82:$O$82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Overblik!$C$83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Overblik!$D$83:$O$83</c:f>
              <c:numCache>
                <c:formatCode>#,##0;\-#,##0;0</c:formatCode>
                <c:ptCount val="12"/>
                <c:pt idx="0">
                  <c:v>9.4950094949999979</c:v>
                </c:pt>
                <c:pt idx="1">
                  <c:v>9.4950094949999979</c:v>
                </c:pt>
                <c:pt idx="2">
                  <c:v>9.4950094949999979</c:v>
                </c:pt>
                <c:pt idx="3">
                  <c:v>9.4950094949999979</c:v>
                </c:pt>
                <c:pt idx="4">
                  <c:v>9.4950094949999979</c:v>
                </c:pt>
                <c:pt idx="5">
                  <c:v>9.4949999999999992</c:v>
                </c:pt>
                <c:pt idx="6">
                  <c:v>9.4949999999999992</c:v>
                </c:pt>
                <c:pt idx="7">
                  <c:v>9.4949999999999992</c:v>
                </c:pt>
                <c:pt idx="8">
                  <c:v>9.4950094949999979</c:v>
                </c:pt>
                <c:pt idx="9">
                  <c:v>9.4950094949999979</c:v>
                </c:pt>
                <c:pt idx="10">
                  <c:v>9.4950094949999979</c:v>
                </c:pt>
                <c:pt idx="11">
                  <c:v>9.4950094949999979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Overblik!$C$84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Overblik!$D$84:$O$84</c:f>
              <c:numCache>
                <c:formatCode>#,##0;\-#,##0;0</c:formatCode>
                <c:ptCount val="12"/>
                <c:pt idx="0">
                  <c:v>17.683351016666666</c:v>
                </c:pt>
                <c:pt idx="1">
                  <c:v>17.683351016666666</c:v>
                </c:pt>
                <c:pt idx="2">
                  <c:v>17.683351016666666</c:v>
                </c:pt>
                <c:pt idx="3">
                  <c:v>17.683351016666666</c:v>
                </c:pt>
                <c:pt idx="4">
                  <c:v>17.683351016666666</c:v>
                </c:pt>
                <c:pt idx="5">
                  <c:v>17.683351016666666</c:v>
                </c:pt>
                <c:pt idx="6">
                  <c:v>17.683351016666666</c:v>
                </c:pt>
                <c:pt idx="7">
                  <c:v>17.683351016666666</c:v>
                </c:pt>
                <c:pt idx="8">
                  <c:v>17.683351016666666</c:v>
                </c:pt>
                <c:pt idx="9">
                  <c:v>17.683351016666666</c:v>
                </c:pt>
                <c:pt idx="10">
                  <c:v>17.683351016666666</c:v>
                </c:pt>
                <c:pt idx="11">
                  <c:v>17.683351016666666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Overblik!$C$85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Overblik!$D$85:$O$85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Overblik!$C$86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Overblik!$D$86:$O$86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Overblik!$C$87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Overblik!$D$87:$O$87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Overblik!$C$88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Overblik!$D$88:$O$88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Overblik!$C$89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Overblik!$D$89:$O$89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Overblik!$C$90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Overblik!$D$90:$O$90</c:f>
              <c:numCache>
                <c:formatCode>#,##0;\-#,##0;0</c:formatCode>
                <c:ptCount val="12"/>
                <c:pt idx="0">
                  <c:v>1873.8666796829355</c:v>
                </c:pt>
                <c:pt idx="1">
                  <c:v>2497.446154025864</c:v>
                </c:pt>
                <c:pt idx="2">
                  <c:v>1062.8529124739243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264.45491497705336</c:v>
                </c:pt>
                <c:pt idx="11">
                  <c:v>116.6701840634113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Overblik!$C$91</c:f>
              <c:strCache>
                <c:ptCount val="1"/>
                <c:pt idx="0">
                  <c:v> NSvarme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Overblik!$D$91:$O$91</c:f>
              <c:numCache>
                <c:formatCode>#,##0;\-#,##0;0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Overblik!$C$92</c:f>
              <c:strCache>
                <c:ptCount val="1"/>
                <c:pt idx="0">
                  <c:v> PeakFuel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Overblik!$D$92:$O$92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 ift. max. varmekapacitet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lineChart>
        <c:grouping val="standard"/>
        <c:varyColors val="0"/>
        <c:ser>
          <c:idx val="0"/>
          <c:order val="0"/>
          <c:tx>
            <c:strRef>
              <c:f>Overblik!$C$128</c:f>
              <c:strCache>
                <c:ptCount val="1"/>
                <c:pt idx="0">
                  <c:v>Ovn2</c:v>
                </c:pt>
              </c:strCache>
            </c:strRef>
          </c:tx>
          <c:spPr>
            <a:ln w="6350" cap="rnd">
              <a:solidFill>
                <a:schemeClr val="accent2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7"/>
            <c:spPr>
              <a:noFill/>
              <a:ln w="0">
                <a:solidFill>
                  <a:schemeClr val="accent2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Overblik!$D$128:$O$128</c:f>
              <c:numCache>
                <c:formatCode>0\ %\ </c:formatCode>
                <c:ptCount val="12"/>
                <c:pt idx="0">
                  <c:v>0.98249226280308666</c:v>
                </c:pt>
                <c:pt idx="1">
                  <c:v>0.99924997419037387</c:v>
                </c:pt>
                <c:pt idx="2">
                  <c:v>0.98249226280308666</c:v>
                </c:pt>
                <c:pt idx="3">
                  <c:v>0.40402019966412461</c:v>
                </c:pt>
                <c:pt idx="4">
                  <c:v>0.1991599239843462</c:v>
                </c:pt>
                <c:pt idx="5">
                  <c:v>0.74781923000117745</c:v>
                </c:pt>
                <c:pt idx="6">
                  <c:v>0.26647966339410939</c:v>
                </c:pt>
                <c:pt idx="7">
                  <c:v>0.26647966339410939</c:v>
                </c:pt>
                <c:pt idx="8">
                  <c:v>1E-14</c:v>
                </c:pt>
                <c:pt idx="9">
                  <c:v>0.36726812491215099</c:v>
                </c:pt>
                <c:pt idx="10">
                  <c:v>0.98770577301246487</c:v>
                </c:pt>
                <c:pt idx="11">
                  <c:v>0.98249226280308666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Overblik!$C$129</c:f>
              <c:strCache>
                <c:ptCount val="1"/>
                <c:pt idx="0">
                  <c:v>Ovn3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Overblik!$D$129:$O$129</c:f>
              <c:numCache>
                <c:formatCode>0\ %\ </c:formatCode>
                <c:ptCount val="12"/>
                <c:pt idx="0">
                  <c:v>0.89933051111774875</c:v>
                </c:pt>
                <c:pt idx="1">
                  <c:v>0.99568735159465038</c:v>
                </c:pt>
                <c:pt idx="2">
                  <c:v>0.89933051111774875</c:v>
                </c:pt>
                <c:pt idx="3">
                  <c:v>0.82612662434429807</c:v>
                </c:pt>
                <c:pt idx="4">
                  <c:v>0.54224211263392541</c:v>
                </c:pt>
                <c:pt idx="5">
                  <c:v>0.14445584712543555</c:v>
                </c:pt>
                <c:pt idx="6">
                  <c:v>0.35011989767711638</c:v>
                </c:pt>
                <c:pt idx="7">
                  <c:v>0.34764691674492121</c:v>
                </c:pt>
                <c:pt idx="8">
                  <c:v>0.50774586539208644</c:v>
                </c:pt>
                <c:pt idx="9">
                  <c:v>0.79481825668450634</c:v>
                </c:pt>
                <c:pt idx="10">
                  <c:v>0.92930819482167371</c:v>
                </c:pt>
                <c:pt idx="11">
                  <c:v>0.89933051111774875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Overblik!$C$130</c:f>
              <c:strCache>
                <c:ptCount val="1"/>
                <c:pt idx="0">
                  <c:v>FlisK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Overblik!$D$130:$O$130</c:f>
              <c:numCache>
                <c:formatCode>0\ %\ </c:formatCode>
                <c:ptCount val="12"/>
                <c:pt idx="0">
                  <c:v>0.5323787751986494</c:v>
                </c:pt>
                <c:pt idx="1">
                  <c:v>0.78556448297220083</c:v>
                </c:pt>
                <c:pt idx="2">
                  <c:v>0.3019640286548706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7.763796188516521E-2</c:v>
                </c:pt>
                <c:pt idx="11">
                  <c:v>3.3146824353795318E-2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Overblik!$C$131</c:f>
              <c:strCache>
                <c:ptCount val="1"/>
                <c:pt idx="0">
                  <c:v>NS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Overblik!$D$131:$O$131</c:f>
              <c:numCache>
                <c:formatCode>0\ %\ </c:formatCode>
                <c:ptCount val="12"/>
                <c:pt idx="0">
                  <c:v>0.67204301075268813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0.94086021505376349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Overblik!$C$132</c:f>
              <c:strCache>
                <c:ptCount val="1"/>
                <c:pt idx="0">
                  <c:v>Cooler</c:v>
                </c:pt>
              </c:strCache>
            </c:strRef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Overblik!$D$132:$O$132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0.14853454652393785</c:v>
                </c:pt>
                <c:pt idx="6">
                  <c:v>0.18581520684674632</c:v>
                </c:pt>
                <c:pt idx="7">
                  <c:v>0.22600184315682778</c:v>
                </c:pt>
                <c:pt idx="8">
                  <c:v>0.20705154132448722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Overblik!$C$133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Overblik!$D$133:$O$133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91120"/>
        <c:axId val="813392104"/>
      </c:lineChart>
      <c:cat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auto val="1"/>
        <c:lblAlgn val="ctr"/>
        <c:lblOffset val="100"/>
        <c:noMultiLvlLbl val="1"/>
      </c:cat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Overblik!$C$137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Overblik!$D$137:$O$137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Overblik!$C$138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Overblik!$D$138:$O$138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3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3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3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6" bestFit="1" customWidth="1"/>
    <col min="3" max="3" width="32.85546875" bestFit="1" customWidth="1"/>
    <col min="4" max="4" width="14.5703125" bestFit="1" customWidth="1"/>
  </cols>
  <sheetData>
    <row r="2" spans="2:4" x14ac:dyDescent="0.25">
      <c r="B2" s="17" t="s">
        <v>54</v>
      </c>
    </row>
    <row r="3" spans="2:4" x14ac:dyDescent="0.25">
      <c r="B3" s="18" t="s">
        <v>0</v>
      </c>
      <c r="C3" s="18" t="s">
        <v>30</v>
      </c>
      <c r="D3" s="18" t="s">
        <v>0</v>
      </c>
    </row>
    <row r="4" spans="2:4" x14ac:dyDescent="0.25">
      <c r="B4" s="19" t="s">
        <v>1</v>
      </c>
      <c r="C4" s="18" t="s">
        <v>31</v>
      </c>
      <c r="D4" s="19" t="s">
        <v>1</v>
      </c>
    </row>
    <row r="5" spans="2:4" x14ac:dyDescent="0.25">
      <c r="B5" s="19" t="s">
        <v>2</v>
      </c>
      <c r="C5" s="18" t="s">
        <v>32</v>
      </c>
      <c r="D5" s="19" t="s">
        <v>2</v>
      </c>
    </row>
    <row r="6" spans="2:4" x14ac:dyDescent="0.25">
      <c r="B6" s="20" t="s">
        <v>3</v>
      </c>
      <c r="C6" s="18" t="s">
        <v>33</v>
      </c>
      <c r="D6" s="20" t="s">
        <v>3</v>
      </c>
    </row>
    <row r="7" spans="2:4" x14ac:dyDescent="0.25">
      <c r="B7" s="20" t="s">
        <v>4</v>
      </c>
      <c r="C7" s="18" t="s">
        <v>34</v>
      </c>
      <c r="D7" s="20" t="s">
        <v>4</v>
      </c>
    </row>
    <row r="8" spans="2:4" x14ac:dyDescent="0.25">
      <c r="B8" s="20" t="s">
        <v>5</v>
      </c>
      <c r="C8" s="18" t="s">
        <v>35</v>
      </c>
      <c r="D8" s="20" t="s">
        <v>5</v>
      </c>
    </row>
    <row r="9" spans="2:4" x14ac:dyDescent="0.25">
      <c r="B9" s="20" t="s">
        <v>6</v>
      </c>
      <c r="C9" s="18" t="s">
        <v>36</v>
      </c>
      <c r="D9" s="20" t="s">
        <v>6</v>
      </c>
    </row>
    <row r="10" spans="2:4" x14ac:dyDescent="0.25">
      <c r="B10" s="20" t="s">
        <v>7</v>
      </c>
      <c r="C10" s="18" t="s">
        <v>37</v>
      </c>
      <c r="D10" s="20" t="s">
        <v>7</v>
      </c>
    </row>
    <row r="11" spans="2:4" x14ac:dyDescent="0.25">
      <c r="B11" s="20" t="s">
        <v>8</v>
      </c>
      <c r="C11" s="18" t="s">
        <v>38</v>
      </c>
      <c r="D11" s="20" t="s">
        <v>8</v>
      </c>
    </row>
    <row r="12" spans="2:4" x14ac:dyDescent="0.25">
      <c r="B12" s="20" t="s">
        <v>9</v>
      </c>
      <c r="C12" s="18" t="s">
        <v>39</v>
      </c>
      <c r="D12" s="20" t="s">
        <v>9</v>
      </c>
    </row>
    <row r="13" spans="2:4" x14ac:dyDescent="0.25">
      <c r="B13" s="20" t="s">
        <v>10</v>
      </c>
      <c r="C13" s="18" t="s">
        <v>40</v>
      </c>
      <c r="D13" s="20" t="s">
        <v>10</v>
      </c>
    </row>
    <row r="14" spans="2:4" x14ac:dyDescent="0.25">
      <c r="B14" s="20" t="s">
        <v>11</v>
      </c>
      <c r="C14" s="18" t="s">
        <v>41</v>
      </c>
      <c r="D14" s="20" t="s">
        <v>11</v>
      </c>
    </row>
    <row r="15" spans="2:4" x14ac:dyDescent="0.25">
      <c r="B15" s="19" t="s">
        <v>12</v>
      </c>
      <c r="C15" s="18" t="s">
        <v>42</v>
      </c>
      <c r="D15" s="19" t="s">
        <v>12</v>
      </c>
    </row>
    <row r="16" spans="2:4" x14ac:dyDescent="0.25">
      <c r="B16" s="20" t="s">
        <v>13</v>
      </c>
      <c r="C16" s="18" t="s">
        <v>43</v>
      </c>
      <c r="D16" s="20" t="s">
        <v>13</v>
      </c>
    </row>
    <row r="17" spans="2:4" x14ac:dyDescent="0.25">
      <c r="B17" s="20" t="s">
        <v>14</v>
      </c>
      <c r="C17" s="18" t="s">
        <v>44</v>
      </c>
      <c r="D17" s="20" t="s">
        <v>14</v>
      </c>
    </row>
    <row r="18" spans="2:4" x14ac:dyDescent="0.25">
      <c r="B18" s="20" t="s">
        <v>15</v>
      </c>
      <c r="C18" s="18" t="s">
        <v>45</v>
      </c>
      <c r="D18" s="20" t="s">
        <v>15</v>
      </c>
    </row>
    <row r="19" spans="2:4" x14ac:dyDescent="0.25">
      <c r="B19" s="19" t="s">
        <v>16</v>
      </c>
      <c r="C19" s="18" t="s">
        <v>46</v>
      </c>
      <c r="D19" s="19" t="s">
        <v>16</v>
      </c>
    </row>
    <row r="20" spans="2:4" x14ac:dyDescent="0.25">
      <c r="B20" s="19" t="s">
        <v>18</v>
      </c>
      <c r="C20" s="18" t="s">
        <v>47</v>
      </c>
      <c r="D20" s="19" t="s">
        <v>18</v>
      </c>
    </row>
    <row r="21" spans="2:4" x14ac:dyDescent="0.25">
      <c r="B21" s="20" t="s">
        <v>19</v>
      </c>
      <c r="C21" s="18" t="s">
        <v>48</v>
      </c>
      <c r="D21" s="20" t="s">
        <v>19</v>
      </c>
    </row>
    <row r="22" spans="2:4" x14ac:dyDescent="0.25">
      <c r="B22" s="18" t="s">
        <v>20</v>
      </c>
      <c r="C22" s="18" t="s">
        <v>49</v>
      </c>
      <c r="D22" s="18" t="s">
        <v>20</v>
      </c>
    </row>
    <row r="23" spans="2:4" x14ac:dyDescent="0.25">
      <c r="B23" s="18" t="s">
        <v>17</v>
      </c>
      <c r="C23" s="18" t="s">
        <v>50</v>
      </c>
      <c r="D23" s="18" t="s">
        <v>17</v>
      </c>
    </row>
    <row r="24" spans="2:4" x14ac:dyDescent="0.25">
      <c r="B24" s="18" t="s">
        <v>26</v>
      </c>
      <c r="C24" s="18" t="s">
        <v>51</v>
      </c>
      <c r="D24" s="18" t="s">
        <v>26</v>
      </c>
    </row>
    <row r="25" spans="2:4" x14ac:dyDescent="0.25">
      <c r="B25" s="18" t="s">
        <v>27</v>
      </c>
      <c r="C25" s="18" t="s">
        <v>52</v>
      </c>
      <c r="D25" s="18" t="s">
        <v>27</v>
      </c>
    </row>
    <row r="26" spans="2:4" s="16" customFormat="1" x14ac:dyDescent="0.25">
      <c r="B26" s="18" t="s">
        <v>59</v>
      </c>
      <c r="C26" s="18" t="s">
        <v>63</v>
      </c>
      <c r="D26" s="18" t="s">
        <v>59</v>
      </c>
    </row>
    <row r="27" spans="2:4" s="16" customFormat="1" x14ac:dyDescent="0.25">
      <c r="B27" s="18" t="s">
        <v>60</v>
      </c>
      <c r="C27" s="18" t="s">
        <v>64</v>
      </c>
      <c r="D27" s="18" t="s">
        <v>60</v>
      </c>
    </row>
    <row r="28" spans="2:4" s="16" customFormat="1" x14ac:dyDescent="0.25">
      <c r="B28" s="18" t="s">
        <v>61</v>
      </c>
      <c r="C28" s="18" t="s">
        <v>65</v>
      </c>
      <c r="D28" s="18" t="s">
        <v>61</v>
      </c>
    </row>
    <row r="29" spans="2:4" x14ac:dyDescent="0.25">
      <c r="B29" s="18" t="s">
        <v>21</v>
      </c>
      <c r="C29" s="18" t="s">
        <v>21</v>
      </c>
      <c r="D29" s="18" t="s">
        <v>21</v>
      </c>
    </row>
    <row r="30" spans="2:4" x14ac:dyDescent="0.25">
      <c r="B30" s="18" t="s">
        <v>22</v>
      </c>
      <c r="C30" s="18" t="s">
        <v>53</v>
      </c>
      <c r="D30" s="18" t="s">
        <v>22</v>
      </c>
    </row>
    <row r="31" spans="2:4" x14ac:dyDescent="0.25">
      <c r="B31" s="18" t="s">
        <v>25</v>
      </c>
      <c r="C31" s="18" t="s">
        <v>25</v>
      </c>
      <c r="D31" s="18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9" tint="0.39997558519241921"/>
  </sheetPr>
  <dimension ref="A1:BF246"/>
  <sheetViews>
    <sheetView topLeftCell="A7" zoomScale="85" zoomScaleNormal="85" workbookViewId="0">
      <selection activeCell="U11" sqref="U11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8" width="10.28515625" bestFit="1" customWidth="1" outlineLevel="1"/>
    <col min="9" max="9" width="9" bestFit="1" customWidth="1" outlineLevel="1"/>
    <col min="10" max="10" width="9.85546875" bestFit="1" customWidth="1" outlineLevel="1"/>
    <col min="11" max="11" width="12.140625" bestFit="1" customWidth="1" outlineLevel="1"/>
    <col min="12" max="12" width="12.42578125" bestFit="1" customWidth="1" outlineLevel="1"/>
    <col min="13" max="13" width="10.28515625" style="16" customWidth="1" outlineLevel="1"/>
    <col min="14" max="15" width="9.140625" style="16" customWidth="1" outlineLevel="1"/>
    <col min="16" max="16" width="10.28515625" style="16" bestFit="1" customWidth="1" outlineLevel="1"/>
    <col min="17" max="17" width="9.7109375" style="23" bestFit="1" customWidth="1"/>
    <col min="18" max="18" width="8.7109375" style="23" bestFit="1" customWidth="1"/>
    <col min="19" max="19" width="8.7109375" style="23" customWidth="1"/>
    <col min="20" max="20" width="4" style="23" customWidth="1"/>
    <col min="21" max="21" width="16.42578125" style="16" bestFit="1" customWidth="1"/>
    <col min="22" max="22" width="12.7109375" style="16" bestFit="1" customWidth="1"/>
    <col min="23" max="23" width="9.7109375" customWidth="1"/>
    <col min="24" max="28" width="9.7109375" customWidth="1" outlineLevel="1"/>
    <col min="29" max="34" width="10.42578125" customWidth="1" outlineLevel="1"/>
    <col min="35" max="35" width="10.42578125" customWidth="1"/>
    <col min="36" max="36" width="10.42578125" customWidth="1" outlineLevel="1"/>
    <col min="37" max="46" width="11.42578125" customWidth="1" outlineLevel="1"/>
    <col min="47" max="47" width="11.42578125" customWidth="1"/>
    <col min="48" max="58" width="11.42578125" customWidth="1" outlineLevel="1"/>
  </cols>
  <sheetData>
    <row r="1" spans="2:58" x14ac:dyDescent="0.25">
      <c r="H1" s="28"/>
      <c r="U1"/>
      <c r="V1"/>
      <c r="W1" s="16"/>
    </row>
    <row r="2" spans="2:58" s="16" customFormat="1" x14ac:dyDescent="0.25">
      <c r="B2" s="145" t="s">
        <v>133</v>
      </c>
      <c r="C2" s="109" t="s">
        <v>142</v>
      </c>
      <c r="D2" s="109" t="s">
        <v>125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10"/>
      <c r="Q2" s="23"/>
      <c r="R2" s="23"/>
      <c r="S2" s="23"/>
      <c r="T2" s="23"/>
    </row>
    <row r="3" spans="2:58" s="16" customFormat="1" x14ac:dyDescent="0.25">
      <c r="B3" s="176" t="s">
        <v>206</v>
      </c>
      <c r="C3" s="177">
        <v>1E-14</v>
      </c>
      <c r="D3" s="178" t="s">
        <v>126</v>
      </c>
      <c r="E3" s="171"/>
      <c r="F3" s="171"/>
      <c r="G3" s="171"/>
      <c r="H3" s="179"/>
      <c r="I3" s="171"/>
      <c r="J3" s="171"/>
      <c r="K3" s="171"/>
      <c r="L3" s="171"/>
      <c r="M3" s="171"/>
      <c r="N3" s="171"/>
      <c r="O3" s="180"/>
      <c r="Q3" s="23"/>
      <c r="R3" s="23"/>
      <c r="S3" s="23"/>
      <c r="T3" s="23"/>
    </row>
    <row r="4" spans="2:58" s="16" customFormat="1" x14ac:dyDescent="0.25">
      <c r="B4" s="136" t="s">
        <v>141</v>
      </c>
      <c r="C4" s="141">
        <v>1E-14</v>
      </c>
      <c r="D4" s="115" t="s">
        <v>127</v>
      </c>
      <c r="E4" s="41"/>
      <c r="F4" s="41"/>
      <c r="G4" s="41"/>
      <c r="H4" s="111"/>
      <c r="I4" s="41"/>
      <c r="J4" s="41"/>
      <c r="K4" s="41"/>
      <c r="L4" s="41"/>
      <c r="M4" s="41"/>
      <c r="N4" s="41"/>
      <c r="O4" s="112"/>
      <c r="Q4" s="23"/>
      <c r="R4" s="23"/>
      <c r="S4" s="23"/>
      <c r="T4" s="23"/>
    </row>
    <row r="5" spans="2:58" s="16" customFormat="1" x14ac:dyDescent="0.25">
      <c r="B5" s="136" t="s">
        <v>143</v>
      </c>
      <c r="C5" s="141">
        <v>1E-14</v>
      </c>
      <c r="D5" s="115" t="s">
        <v>136</v>
      </c>
      <c r="E5" s="41"/>
      <c r="F5" s="41"/>
      <c r="G5" s="41"/>
      <c r="H5" s="111"/>
      <c r="I5" s="41"/>
      <c r="J5" s="41"/>
      <c r="K5" s="41"/>
      <c r="L5" s="41"/>
      <c r="M5" s="41"/>
      <c r="N5" s="41"/>
      <c r="O5" s="112"/>
      <c r="Q5" s="23"/>
      <c r="R5" s="23"/>
      <c r="S5" s="23"/>
      <c r="T5" s="23"/>
    </row>
    <row r="6" spans="2:58" s="16" customFormat="1" x14ac:dyDescent="0.25">
      <c r="B6" s="136" t="s">
        <v>195</v>
      </c>
      <c r="C6" s="141">
        <v>1</v>
      </c>
      <c r="D6" s="115" t="s">
        <v>130</v>
      </c>
      <c r="E6" s="41"/>
      <c r="F6" s="41"/>
      <c r="G6" s="41"/>
      <c r="H6" s="111"/>
      <c r="I6" s="41"/>
      <c r="J6" s="41"/>
      <c r="K6" s="41"/>
      <c r="L6" s="41"/>
      <c r="M6" s="41"/>
      <c r="N6" s="41"/>
      <c r="O6" s="112"/>
      <c r="Q6" s="23"/>
      <c r="R6" s="23"/>
      <c r="S6" s="23"/>
      <c r="T6" s="23"/>
    </row>
    <row r="7" spans="2:58" s="16" customFormat="1" x14ac:dyDescent="0.25">
      <c r="B7" s="136" t="s">
        <v>139</v>
      </c>
      <c r="C7" s="141">
        <v>1E-14</v>
      </c>
      <c r="D7" s="115" t="s">
        <v>131</v>
      </c>
      <c r="E7" s="41"/>
      <c r="F7" s="41"/>
      <c r="G7" s="41"/>
      <c r="H7" s="111"/>
      <c r="I7" s="41"/>
      <c r="J7" s="41"/>
      <c r="K7" s="41"/>
      <c r="L7" s="41"/>
      <c r="M7" s="41"/>
      <c r="N7" s="41"/>
      <c r="O7" s="112"/>
      <c r="Q7" s="23"/>
      <c r="R7" s="23"/>
      <c r="S7" s="23"/>
      <c r="T7" s="23"/>
    </row>
    <row r="8" spans="2:58" s="16" customFormat="1" x14ac:dyDescent="0.25">
      <c r="B8" s="136" t="s">
        <v>225</v>
      </c>
      <c r="C8" s="30">
        <v>1E-14</v>
      </c>
      <c r="D8" s="115" t="s">
        <v>132</v>
      </c>
      <c r="E8" s="41"/>
      <c r="F8" s="41"/>
      <c r="G8" s="41"/>
      <c r="H8" s="111"/>
      <c r="I8" s="41"/>
      <c r="J8" s="41"/>
      <c r="K8" s="41"/>
      <c r="L8" s="41"/>
      <c r="M8" s="41"/>
      <c r="N8" s="41"/>
      <c r="O8" s="112"/>
      <c r="Q8" s="23"/>
      <c r="R8" s="23"/>
      <c r="S8" s="23"/>
      <c r="T8" s="23"/>
    </row>
    <row r="9" spans="2:58" s="16" customFormat="1" x14ac:dyDescent="0.25">
      <c r="B9" s="136" t="s">
        <v>226</v>
      </c>
      <c r="C9" s="181">
        <v>1E-14</v>
      </c>
      <c r="D9" s="115" t="s">
        <v>176</v>
      </c>
      <c r="E9" s="41"/>
      <c r="F9" s="41"/>
      <c r="G9" s="41"/>
      <c r="H9" s="111"/>
      <c r="I9" s="41"/>
      <c r="J9" s="41"/>
      <c r="K9" s="41"/>
      <c r="L9" s="41"/>
      <c r="M9" s="41"/>
      <c r="N9" s="41"/>
      <c r="O9" s="112"/>
      <c r="Q9" s="23"/>
      <c r="R9" s="23"/>
      <c r="S9" s="23"/>
      <c r="T9" s="23"/>
    </row>
    <row r="10" spans="2:58" s="16" customFormat="1" x14ac:dyDescent="0.25">
      <c r="B10" s="136" t="s">
        <v>242</v>
      </c>
      <c r="C10" s="181">
        <v>1E-14</v>
      </c>
      <c r="D10" s="115"/>
      <c r="E10" s="41"/>
      <c r="F10" s="41"/>
      <c r="G10" s="41"/>
      <c r="H10" s="111"/>
      <c r="I10" s="41"/>
      <c r="J10" s="41"/>
      <c r="K10" s="41"/>
      <c r="L10" s="41"/>
      <c r="M10" s="41"/>
      <c r="N10" s="41"/>
      <c r="O10" s="112"/>
      <c r="Q10" s="23"/>
      <c r="R10" s="23"/>
      <c r="S10" s="23"/>
      <c r="T10" s="23"/>
    </row>
    <row r="11" spans="2:58" s="16" customFormat="1" x14ac:dyDescent="0.25">
      <c r="B11" s="136" t="s">
        <v>128</v>
      </c>
      <c r="C11" s="192">
        <v>0.1</v>
      </c>
      <c r="D11" s="41"/>
      <c r="E11" s="41"/>
      <c r="F11" s="41"/>
      <c r="G11" s="41"/>
      <c r="H11" s="111"/>
      <c r="I11" s="41"/>
      <c r="J11" s="41"/>
      <c r="K11" s="41"/>
      <c r="L11" s="41"/>
      <c r="M11" s="41"/>
      <c r="N11" s="41"/>
      <c r="O11" s="112"/>
      <c r="Q11" s="23"/>
      <c r="R11" s="23"/>
      <c r="S11" s="23"/>
      <c r="T11" s="23"/>
    </row>
    <row r="12" spans="2:58" s="16" customFormat="1" x14ac:dyDescent="0.25">
      <c r="B12" s="136" t="s">
        <v>129</v>
      </c>
      <c r="C12" s="192">
        <v>7.0000000000000007E-2</v>
      </c>
      <c r="D12" s="41"/>
      <c r="E12" s="41"/>
      <c r="F12" s="41"/>
      <c r="G12" s="41"/>
      <c r="H12" s="111"/>
      <c r="I12" s="41"/>
      <c r="J12" s="41"/>
      <c r="K12" s="41"/>
      <c r="L12" s="41"/>
      <c r="M12" s="41"/>
      <c r="N12" s="41"/>
      <c r="O12" s="112"/>
      <c r="Q12" s="23"/>
      <c r="R12" s="23"/>
      <c r="S12" s="23"/>
      <c r="T12" s="23"/>
    </row>
    <row r="13" spans="2:58" s="16" customFormat="1" x14ac:dyDescent="0.25">
      <c r="B13" s="191" t="s">
        <v>207</v>
      </c>
      <c r="C13" s="193">
        <v>1E-14</v>
      </c>
      <c r="D13" s="43"/>
      <c r="E13" s="43"/>
      <c r="F13" s="43"/>
      <c r="G13" s="43"/>
      <c r="H13" s="113"/>
      <c r="I13" s="43"/>
      <c r="J13" s="43"/>
      <c r="K13" s="43"/>
      <c r="L13" s="43"/>
      <c r="M13" s="43"/>
      <c r="N13" s="43"/>
      <c r="O13" s="114"/>
      <c r="Q13" s="23"/>
      <c r="R13" s="23"/>
      <c r="S13" s="23"/>
      <c r="T13" s="23"/>
    </row>
    <row r="14" spans="2:58" x14ac:dyDescent="0.25">
      <c r="B14" s="6" t="s">
        <v>208</v>
      </c>
      <c r="C14">
        <v>25</v>
      </c>
      <c r="U14"/>
      <c r="V14"/>
      <c r="W14" s="21" t="str">
        <f>IF(ISBLANK(W$15),"",_xlfn.LET(_xlpm.mo,MID(W$15,3,4),_xlpm.dd,DATE(YEAR(Inputs!$C$18),_xlpm.mo,1),UPPER(TEXT(_xlpm.dd,"åå'mmm"))))</f>
        <v>21'JAN</v>
      </c>
      <c r="X14" s="21" t="str">
        <f>IF(ISBLANK(X$15),"",_xlfn.LET(_xlpm.mo,MID(X$15,3,4),_xlpm.dd,DATE(YEAR(Inputs!$C$18),_xlpm.mo,1),UPPER(TEXT(_xlpm.dd,"åå'mmm"))))</f>
        <v>21'FEB</v>
      </c>
      <c r="Y14" s="21" t="str">
        <f>IF(ISBLANK(Y$15),"",_xlfn.LET(_xlpm.mo,MID(Y$15,3,4),_xlpm.dd,DATE(YEAR(Inputs!$C$18),_xlpm.mo,1),UPPER(TEXT(_xlpm.dd,"åå'mmm"))))</f>
        <v>21'MAR</v>
      </c>
      <c r="Z14" s="21" t="str">
        <f>IF(ISBLANK(Z$15),"",_xlfn.LET(_xlpm.mo,MID(Z$15,3,4),_xlpm.dd,DATE(YEAR(Inputs!$C$18),_xlpm.mo,1),UPPER(TEXT(_xlpm.dd,"åå'mmm"))))</f>
        <v>21'APR</v>
      </c>
      <c r="AA14" s="21" t="str">
        <f>IF(ISBLANK(AA$15),"",_xlfn.LET(_xlpm.mo,MID(AA$15,3,4),_xlpm.dd,DATE(YEAR(Inputs!$C$18),_xlpm.mo,1),UPPER(TEXT(_xlpm.dd,"åå'mmm"))))</f>
        <v>21'MAJ</v>
      </c>
      <c r="AB14" s="21" t="str">
        <f>IF(ISBLANK(AB$15),"",_xlfn.LET(_xlpm.mo,MID(AB$15,3,4),_xlpm.dd,DATE(YEAR(Inputs!$C$18),_xlpm.mo,1),UPPER(TEXT(_xlpm.dd,"åå'mmm"))))</f>
        <v>21'JUN</v>
      </c>
      <c r="AC14" s="21" t="str">
        <f>IF(ISBLANK(AC$15),"",_xlfn.LET(_xlpm.mo,MID(AC$15,3,4),_xlpm.dd,DATE(YEAR(Inputs!$C$18),_xlpm.mo,1),UPPER(TEXT(_xlpm.dd,"åå'mmm"))))</f>
        <v>21'JUL</v>
      </c>
      <c r="AD14" s="21" t="str">
        <f>IF(ISBLANK(AD$15),"",_xlfn.LET(_xlpm.mo,MID(AD$15,3,4),_xlpm.dd,DATE(YEAR(Inputs!$C$18),_xlpm.mo,1),UPPER(TEXT(_xlpm.dd,"åå'mmm"))))</f>
        <v>21'AUG</v>
      </c>
      <c r="AE14" s="21" t="str">
        <f>IF(ISBLANK(AE$15),"",_xlfn.LET(_xlpm.mo,MID(AE$15,3,4),_xlpm.dd,DATE(YEAR(Inputs!$C$18),_xlpm.mo,1),UPPER(TEXT(_xlpm.dd,"åå'mmm"))))</f>
        <v>21'SEP</v>
      </c>
      <c r="AF14" s="21" t="str">
        <f>IF(ISBLANK(AF$15),"",_xlfn.LET(_xlpm.mo,MID(AF$15,3,4),_xlpm.dd,DATE(YEAR(Inputs!$C$18),_xlpm.mo,1),UPPER(TEXT(_xlpm.dd,"åå'mmm"))))</f>
        <v>21'OKT</v>
      </c>
      <c r="AG14" s="21" t="str">
        <f>IF(ISBLANK(AG$15),"",_xlfn.LET(_xlpm.mo,MID(AG$15,3,4),_xlpm.dd,DATE(YEAR(Inputs!$C$18),_xlpm.mo,1),UPPER(TEXT(_xlpm.dd,"åå'mmm"))))</f>
        <v>21'NOV</v>
      </c>
      <c r="AH14" s="21" t="str">
        <f>IF(ISBLANK(AH$15),"",_xlfn.LET(_xlpm.mo,MID(AH$15,3,4),_xlpm.dd,DATE(YEAR(Inputs!$C$18),_xlpm.mo,1),UPPER(TEXT(_xlpm.dd,"åå'mmm"))))</f>
        <v>21'DEC</v>
      </c>
      <c r="AI14" s="21" t="str">
        <f>IF(ISBLANK(AI$15),"",_xlfn.LET(_xlpm.mo,MID(AI$15,3,4),_xlpm.dd,DATE(YEAR(Inputs!$C$18),_xlpm.mo,1),UPPER(TEXT(_xlpm.dd,"åå'mmm"))))</f>
        <v/>
      </c>
      <c r="AJ14" s="21" t="str">
        <f>IF(ISBLANK(AJ$15),"",_xlfn.LET(_xlpm.mo,MID(AJ$15,3,4),_xlpm.dd,DATE(YEAR(Inputs!$C$18),_xlpm.mo,1),UPPER(TEXT(_xlpm.dd,"åå'mmm"))))</f>
        <v/>
      </c>
      <c r="AK14" s="21" t="str">
        <f>IF(ISBLANK(AK$15),"",_xlfn.LET(_xlpm.mo,MID(AK$15,3,4),_xlpm.dd,DATE(YEAR(Inputs!$C$18),_xlpm.mo,1),UPPER(TEXT(_xlpm.dd,"åå'mmm"))))</f>
        <v/>
      </c>
      <c r="AL14" s="21" t="str">
        <f>IF(ISBLANK(AL$15),"",_xlfn.LET(_xlpm.mo,MID(AL$15,3,4),_xlpm.dd,DATE(YEAR(Inputs!$C$18),_xlpm.mo,1),UPPER(TEXT(_xlpm.dd,"åå'mmm"))))</f>
        <v/>
      </c>
      <c r="AM14" s="21" t="str">
        <f>IF(ISBLANK(AM$15),"",_xlfn.LET(_xlpm.mo,MID(AM$15,3,4),_xlpm.dd,DATE(YEAR(Inputs!$C$18),_xlpm.mo,1),UPPER(TEXT(_xlpm.dd,"åå'mmm"))))</f>
        <v/>
      </c>
      <c r="AN14" s="21" t="str">
        <f>IF(ISBLANK(AN$15),"",_xlfn.LET(_xlpm.mo,MID(AN$15,3,4),_xlpm.dd,DATE(YEAR(Inputs!$C$18),_xlpm.mo,1),UPPER(TEXT(_xlpm.dd,"åå'mmm"))))</f>
        <v/>
      </c>
      <c r="AO14" s="21" t="str">
        <f>IF(ISBLANK(AO$15),"",_xlfn.LET(_xlpm.mo,MID(AO$15,3,4),_xlpm.dd,DATE(YEAR(Inputs!$C$18),_xlpm.mo,1),UPPER(TEXT(_xlpm.dd,"åå'mmm"))))</f>
        <v/>
      </c>
      <c r="AP14" s="21" t="str">
        <f>IF(ISBLANK(AP$15),"",_xlfn.LET(_xlpm.mo,MID(AP$15,3,4),_xlpm.dd,DATE(YEAR(Inputs!$C$18),_xlpm.mo,1),UPPER(TEXT(_xlpm.dd,"åå'mmm"))))</f>
        <v/>
      </c>
      <c r="AQ14" s="21" t="str">
        <f>IF(ISBLANK(AQ$15),"",_xlfn.LET(_xlpm.mo,MID(AQ$15,3,4),_xlpm.dd,DATE(YEAR(Inputs!$C$18),_xlpm.mo,1),UPPER(TEXT(_xlpm.dd,"åå'mmm"))))</f>
        <v/>
      </c>
      <c r="AR14" s="21" t="str">
        <f>IF(ISBLANK(AR$15),"",_xlfn.LET(_xlpm.mo,MID(AR$15,3,4),_xlpm.dd,DATE(YEAR(Inputs!$C$18),_xlpm.mo,1),UPPER(TEXT(_xlpm.dd,"åå'mmm"))))</f>
        <v/>
      </c>
      <c r="AS14" s="21" t="str">
        <f>IF(ISBLANK(AS$15),"",_xlfn.LET(_xlpm.mo,MID(AS$15,3,4),_xlpm.dd,DATE(YEAR(Inputs!$C$18),_xlpm.mo,1),UPPER(TEXT(_xlpm.dd,"åå'mmm"))))</f>
        <v/>
      </c>
      <c r="AT14" s="21" t="str">
        <f>IF(ISBLANK(AT$15),"",_xlfn.LET(_xlpm.mo,MID(AT$15,3,4),_xlpm.dd,DATE(YEAR(Inputs!$C$18),_xlpm.mo,1),UPPER(TEXT(_xlpm.dd,"åå'mmm"))))</f>
        <v/>
      </c>
      <c r="AU14" s="21" t="str">
        <f>IF(ISBLANK(AU$15),"",_xlfn.LET(_xlpm.mo,MID(AU$15,3,4),_xlpm.dd,DATE(YEAR(Inputs!$C$18),_xlpm.mo,1),UPPER(TEXT(_xlpm.dd,"åå'mmm"))))</f>
        <v/>
      </c>
      <c r="AV14" s="21" t="str">
        <f>IF(ISBLANK(AV$15),"",_xlfn.LET(_xlpm.mo,MID(AV$15,3,4),_xlpm.dd,DATE(YEAR(Inputs!$C$18),_xlpm.mo,1),UPPER(TEXT(_xlpm.dd,"åå'mmm"))))</f>
        <v/>
      </c>
      <c r="AW14" s="21" t="str">
        <f>IF(ISBLANK(AW$15),"",_xlfn.LET(_xlpm.mo,MID(AW$15,3,4),_xlpm.dd,DATE(YEAR(Inputs!$C$18),_xlpm.mo,1),UPPER(TEXT(_xlpm.dd,"åå'mmm"))))</f>
        <v/>
      </c>
      <c r="AX14" s="21" t="str">
        <f>IF(ISBLANK(AX$15),"",_xlfn.LET(_xlpm.mo,MID(AX$15,3,4),_xlpm.dd,DATE(YEAR(Inputs!$C$18),_xlpm.mo,1),UPPER(TEXT(_xlpm.dd,"åå'mmm"))))</f>
        <v/>
      </c>
      <c r="AY14" s="21" t="str">
        <f>IF(ISBLANK(AY$15),"",_xlfn.LET(_xlpm.mo,MID(AY$15,3,4),_xlpm.dd,DATE(YEAR(Inputs!$C$18),_xlpm.mo,1),UPPER(TEXT(_xlpm.dd,"åå'mmm"))))</f>
        <v/>
      </c>
      <c r="AZ14" s="21" t="str">
        <f>IF(ISBLANK(AZ$15),"",_xlfn.LET(_xlpm.mo,MID(AZ$15,3,4),_xlpm.dd,DATE(YEAR(Inputs!$C$18),_xlpm.mo,1),UPPER(TEXT(_xlpm.dd,"åå'mmm"))))</f>
        <v/>
      </c>
      <c r="BA14" s="21" t="str">
        <f>IF(ISBLANK(BA$15),"",_xlfn.LET(_xlpm.mo,MID(BA$15,3,4),_xlpm.dd,DATE(YEAR(Inputs!$C$18),_xlpm.mo,1),UPPER(TEXT(_xlpm.dd,"åå'mmm"))))</f>
        <v/>
      </c>
      <c r="BB14" s="21" t="str">
        <f>IF(ISBLANK(BB$15),"",_xlfn.LET(_xlpm.mo,MID(BB$15,3,4),_xlpm.dd,DATE(YEAR(Inputs!$C$18),_xlpm.mo,1),UPPER(TEXT(_xlpm.dd,"åå'mmm"))))</f>
        <v/>
      </c>
      <c r="BC14" s="21" t="str">
        <f>IF(ISBLANK(BC$15),"",_xlfn.LET(_xlpm.mo,MID(BC$15,3,4),_xlpm.dd,DATE(YEAR(Inputs!$C$18),_xlpm.mo,1),UPPER(TEXT(_xlpm.dd,"åå'mmm"))))</f>
        <v/>
      </c>
      <c r="BD14" s="21" t="str">
        <f>IF(ISBLANK(BD$15),"",_xlfn.LET(_xlpm.mo,MID(BD$15,3,4),_xlpm.dd,DATE(YEAR(Inputs!$C$18),_xlpm.mo,1),UPPER(TEXT(_xlpm.dd,"åå'mmm"))))</f>
        <v/>
      </c>
      <c r="BE14" s="21" t="str">
        <f>IF(ISBLANK(BE$15),"",_xlfn.LET(_xlpm.mo,MID(BE$15,3,4),_xlpm.dd,DATE(YEAR(Inputs!$C$18),_xlpm.mo,1),UPPER(TEXT(_xlpm.dd,"åå'mmm"))))</f>
        <v/>
      </c>
      <c r="BF14" s="21" t="str">
        <f>IF(ISBLANK(BF$15),"",_xlfn.LET(_xlpm.mo,MID(BF$15,3,4),_xlpm.dd,DATE(YEAR(Inputs!$C$18),_xlpm.mo,1),UPPER(TEXT(_xlpm.dd,"åå'mmm"))))</f>
        <v/>
      </c>
    </row>
    <row r="15" spans="2:58" x14ac:dyDescent="0.25">
      <c r="B15" s="146" t="s">
        <v>58</v>
      </c>
      <c r="C15" s="142" t="s">
        <v>105</v>
      </c>
      <c r="D15" s="142" t="s">
        <v>106</v>
      </c>
      <c r="E15" s="142" t="s">
        <v>107</v>
      </c>
      <c r="F15" s="143" t="s">
        <v>108</v>
      </c>
      <c r="T15" s="152"/>
      <c r="U15" s="153" t="s">
        <v>163</v>
      </c>
      <c r="V15" s="151" t="s">
        <v>162</v>
      </c>
      <c r="W15" s="89" t="s">
        <v>230</v>
      </c>
      <c r="X15" s="89" t="s">
        <v>231</v>
      </c>
      <c r="Y15" s="89" t="s">
        <v>232</v>
      </c>
      <c r="Z15" s="89" t="s">
        <v>233</v>
      </c>
      <c r="AA15" s="89" t="s">
        <v>224</v>
      </c>
      <c r="AB15" s="89" t="s">
        <v>234</v>
      </c>
      <c r="AC15" s="89" t="s">
        <v>235</v>
      </c>
      <c r="AD15" s="89" t="s">
        <v>236</v>
      </c>
      <c r="AE15" s="89" t="s">
        <v>237</v>
      </c>
      <c r="AF15" s="89" t="s">
        <v>238</v>
      </c>
      <c r="AG15" s="89" t="s">
        <v>239</v>
      </c>
      <c r="AH15" s="89" t="s">
        <v>240</v>
      </c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116"/>
    </row>
    <row r="16" spans="2:58" x14ac:dyDescent="0.25">
      <c r="B16" s="134" t="s">
        <v>67</v>
      </c>
      <c r="C16" s="30">
        <v>2021</v>
      </c>
      <c r="D16" s="30">
        <v>2023</v>
      </c>
      <c r="E16" s="30">
        <v>2021</v>
      </c>
      <c r="F16" s="31">
        <v>2021</v>
      </c>
      <c r="H16" s="29"/>
      <c r="R16" s="152"/>
      <c r="S16" s="152"/>
      <c r="U16" s="150" t="s">
        <v>98</v>
      </c>
      <c r="V16" s="53">
        <v>1E-14</v>
      </c>
      <c r="W16" s="2">
        <v>1</v>
      </c>
      <c r="X16" s="2">
        <v>1</v>
      </c>
      <c r="Y16" s="2">
        <v>1</v>
      </c>
      <c r="Z16" s="2">
        <v>1</v>
      </c>
      <c r="AA16" s="2">
        <v>1</v>
      </c>
      <c r="AB16" s="2">
        <v>1</v>
      </c>
      <c r="AC16" s="2">
        <v>1</v>
      </c>
      <c r="AD16" s="2">
        <v>1</v>
      </c>
      <c r="AE16" s="2">
        <v>1</v>
      </c>
      <c r="AF16" s="2">
        <v>1</v>
      </c>
      <c r="AG16" s="2">
        <v>1</v>
      </c>
      <c r="AH16" s="2">
        <v>1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</row>
    <row r="17" spans="1:58" x14ac:dyDescent="0.25">
      <c r="B17" s="134" t="s">
        <v>68</v>
      </c>
      <c r="C17" s="30"/>
      <c r="D17" s="30"/>
      <c r="E17" s="32">
        <v>1</v>
      </c>
      <c r="F17" s="33">
        <v>12</v>
      </c>
      <c r="R17" s="152"/>
      <c r="S17" s="152"/>
      <c r="U17" s="24" t="s">
        <v>109</v>
      </c>
      <c r="V17" s="53">
        <v>1E-14</v>
      </c>
      <c r="W17" s="22">
        <v>31</v>
      </c>
      <c r="X17" s="22">
        <v>28</v>
      </c>
      <c r="Y17" s="22">
        <v>31</v>
      </c>
      <c r="Z17" s="22">
        <v>30</v>
      </c>
      <c r="AA17" s="22">
        <v>31</v>
      </c>
      <c r="AB17" s="22">
        <v>30</v>
      </c>
      <c r="AC17" s="22">
        <v>10</v>
      </c>
      <c r="AD17" s="22">
        <v>10</v>
      </c>
      <c r="AE17" s="22">
        <v>30</v>
      </c>
      <c r="AF17" s="22">
        <v>31</v>
      </c>
      <c r="AG17" s="22">
        <v>30</v>
      </c>
      <c r="AH17" s="22">
        <v>31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</row>
    <row r="18" spans="1:58" x14ac:dyDescent="0.25">
      <c r="B18" s="135" t="s">
        <v>69</v>
      </c>
      <c r="C18" s="34">
        <v>44197</v>
      </c>
      <c r="D18" s="34">
        <v>44927</v>
      </c>
      <c r="E18" s="34">
        <v>44197</v>
      </c>
      <c r="F18" s="35">
        <v>44531</v>
      </c>
      <c r="R18" s="152"/>
      <c r="S18" s="152"/>
      <c r="U18" s="144" t="s">
        <v>110</v>
      </c>
      <c r="V18" s="53">
        <v>1E-14</v>
      </c>
      <c r="W18" s="22">
        <v>31</v>
      </c>
      <c r="X18" s="22">
        <v>28</v>
      </c>
      <c r="Y18" s="22">
        <v>31</v>
      </c>
      <c r="Z18" s="22">
        <v>30</v>
      </c>
      <c r="AA18" s="22">
        <v>31</v>
      </c>
      <c r="AB18" s="22">
        <v>5</v>
      </c>
      <c r="AC18" s="22">
        <v>31</v>
      </c>
      <c r="AD18" s="22">
        <v>31</v>
      </c>
      <c r="AE18" s="22">
        <v>30</v>
      </c>
      <c r="AF18" s="22">
        <v>31</v>
      </c>
      <c r="AG18" s="22">
        <v>30</v>
      </c>
      <c r="AH18" s="22">
        <v>31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</row>
    <row r="19" spans="1:58" x14ac:dyDescent="0.25">
      <c r="R19" s="152"/>
      <c r="S19" s="152"/>
      <c r="U19" s="144" t="s">
        <v>111</v>
      </c>
      <c r="V19" s="53">
        <v>1E-14</v>
      </c>
      <c r="W19" s="22">
        <v>31</v>
      </c>
      <c r="X19" s="22">
        <v>28</v>
      </c>
      <c r="Y19" s="22">
        <v>31</v>
      </c>
      <c r="Z19" s="22">
        <v>30</v>
      </c>
      <c r="AA19" s="22">
        <v>31</v>
      </c>
      <c r="AB19" s="22">
        <v>30</v>
      </c>
      <c r="AC19" s="22">
        <v>31</v>
      </c>
      <c r="AD19" s="22">
        <v>31</v>
      </c>
      <c r="AE19" s="22">
        <v>30</v>
      </c>
      <c r="AF19" s="22">
        <v>31</v>
      </c>
      <c r="AG19" s="22">
        <v>30</v>
      </c>
      <c r="AH19" s="22">
        <v>31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</row>
    <row r="20" spans="1:58" x14ac:dyDescent="0.25">
      <c r="R20" s="152"/>
      <c r="S20" s="152"/>
      <c r="U20" s="144" t="s">
        <v>70</v>
      </c>
      <c r="V20" s="53">
        <v>1E-14</v>
      </c>
      <c r="W20" s="22">
        <v>20.833333333333332</v>
      </c>
      <c r="X20" s="22">
        <v>1E-14</v>
      </c>
      <c r="Y20" s="22">
        <v>1E-14</v>
      </c>
      <c r="Z20" s="22">
        <v>1E-14</v>
      </c>
      <c r="AA20" s="22">
        <v>1E-14</v>
      </c>
      <c r="AB20" s="22">
        <v>1E-14</v>
      </c>
      <c r="AC20" s="22">
        <v>1E-14</v>
      </c>
      <c r="AD20" s="22">
        <v>1E-14</v>
      </c>
      <c r="AE20" s="22">
        <v>1E-14</v>
      </c>
      <c r="AF20" s="22">
        <v>1E-14</v>
      </c>
      <c r="AG20" s="22">
        <v>1E-14</v>
      </c>
      <c r="AH20" s="22">
        <v>29.166666666666668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</row>
    <row r="21" spans="1:58" x14ac:dyDescent="0.25">
      <c r="B21" s="146" t="s">
        <v>24</v>
      </c>
      <c r="C21" s="89" t="s">
        <v>98</v>
      </c>
      <c r="D21" s="89" t="s">
        <v>114</v>
      </c>
      <c r="E21" s="89" t="s">
        <v>115</v>
      </c>
      <c r="F21" s="90" t="s">
        <v>164</v>
      </c>
      <c r="G21" s="90" t="s">
        <v>165</v>
      </c>
      <c r="H21" s="89" t="s">
        <v>166</v>
      </c>
      <c r="I21" s="89" t="s">
        <v>167</v>
      </c>
      <c r="J21" s="89" t="s">
        <v>191</v>
      </c>
      <c r="K21" s="89" t="s">
        <v>23</v>
      </c>
      <c r="L21" s="89" t="s">
        <v>192</v>
      </c>
      <c r="M21" s="89" t="s">
        <v>140</v>
      </c>
      <c r="N21" s="89" t="s">
        <v>116</v>
      </c>
      <c r="O21" s="89" t="s">
        <v>144</v>
      </c>
      <c r="P21" s="116" t="s">
        <v>145</v>
      </c>
      <c r="T21" s="152"/>
      <c r="U21" s="144" t="s">
        <v>112</v>
      </c>
      <c r="V21" s="53">
        <v>1E-14</v>
      </c>
      <c r="W21" s="22">
        <v>31</v>
      </c>
      <c r="X21" s="22">
        <v>28</v>
      </c>
      <c r="Y21" s="22">
        <v>31</v>
      </c>
      <c r="Z21" s="22">
        <v>30</v>
      </c>
      <c r="AA21" s="22">
        <v>31</v>
      </c>
      <c r="AB21" s="22">
        <v>30</v>
      </c>
      <c r="AC21" s="22">
        <v>31</v>
      </c>
      <c r="AD21" s="22">
        <v>31</v>
      </c>
      <c r="AE21" s="22">
        <v>30</v>
      </c>
      <c r="AF21" s="22">
        <v>31</v>
      </c>
      <c r="AG21" s="22">
        <v>30</v>
      </c>
      <c r="AH21" s="22">
        <v>31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</row>
    <row r="22" spans="1:58" x14ac:dyDescent="0.25">
      <c r="B22" s="134" t="s">
        <v>109</v>
      </c>
      <c r="C22" s="36">
        <v>1</v>
      </c>
      <c r="D22" s="36">
        <v>1</v>
      </c>
      <c r="E22" s="158">
        <v>1E-14</v>
      </c>
      <c r="F22" s="37">
        <v>8.5</v>
      </c>
      <c r="G22" s="37">
        <v>14.5</v>
      </c>
      <c r="H22" s="38">
        <v>2.2000000000000002</v>
      </c>
      <c r="I22" s="38">
        <v>4.7672149428491775</v>
      </c>
      <c r="J22" s="38">
        <v>9.5</v>
      </c>
      <c r="K22" s="38">
        <v>2</v>
      </c>
      <c r="L22" s="38">
        <v>1E-14</v>
      </c>
      <c r="M22" s="157">
        <v>1E-14</v>
      </c>
      <c r="N22" s="156">
        <v>0.84399999999999997</v>
      </c>
      <c r="O22" s="37">
        <v>30</v>
      </c>
      <c r="P22" s="40">
        <v>0.01</v>
      </c>
      <c r="U22" s="144" t="s">
        <v>113</v>
      </c>
      <c r="V22" s="53">
        <v>1E-14</v>
      </c>
      <c r="W22" s="22">
        <v>31</v>
      </c>
      <c r="X22" s="22">
        <v>28</v>
      </c>
      <c r="Y22" s="22">
        <v>31</v>
      </c>
      <c r="Z22" s="22">
        <v>30</v>
      </c>
      <c r="AA22" s="22">
        <v>31</v>
      </c>
      <c r="AB22" s="22">
        <v>30</v>
      </c>
      <c r="AC22" s="22">
        <v>31</v>
      </c>
      <c r="AD22" s="22">
        <v>31</v>
      </c>
      <c r="AE22" s="22">
        <v>30</v>
      </c>
      <c r="AF22" s="22">
        <v>31</v>
      </c>
      <c r="AG22" s="22">
        <v>30</v>
      </c>
      <c r="AH22" s="22">
        <v>31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</row>
    <row r="23" spans="1:58" x14ac:dyDescent="0.25">
      <c r="B23" s="134" t="s">
        <v>110</v>
      </c>
      <c r="C23" s="36">
        <v>1</v>
      </c>
      <c r="D23" s="36">
        <v>1</v>
      </c>
      <c r="E23" s="30">
        <v>10</v>
      </c>
      <c r="F23" s="37">
        <v>8.5</v>
      </c>
      <c r="G23" s="37">
        <v>14.5</v>
      </c>
      <c r="H23" s="38">
        <v>6.3</v>
      </c>
      <c r="I23" s="38">
        <v>12.4</v>
      </c>
      <c r="J23" s="38">
        <v>22.5</v>
      </c>
      <c r="K23" s="38">
        <v>5.5</v>
      </c>
      <c r="L23" s="38">
        <v>8</v>
      </c>
      <c r="M23" s="157">
        <v>0.22470000000000001</v>
      </c>
      <c r="N23" s="156">
        <v>0.65600000000000003</v>
      </c>
      <c r="O23" s="37">
        <v>50</v>
      </c>
      <c r="P23" s="40">
        <v>0.01</v>
      </c>
      <c r="U23" s="144" t="s">
        <v>146</v>
      </c>
      <c r="V23" s="53">
        <v>1E-14</v>
      </c>
      <c r="W23" s="22">
        <v>31</v>
      </c>
      <c r="X23" s="22">
        <v>28</v>
      </c>
      <c r="Y23" s="22">
        <v>31</v>
      </c>
      <c r="Z23" s="22">
        <v>30</v>
      </c>
      <c r="AA23" s="22">
        <v>31</v>
      </c>
      <c r="AB23" s="22">
        <v>30</v>
      </c>
      <c r="AC23" s="22">
        <v>31</v>
      </c>
      <c r="AD23" s="22">
        <v>31</v>
      </c>
      <c r="AE23" s="22">
        <v>30</v>
      </c>
      <c r="AF23" s="22">
        <v>31</v>
      </c>
      <c r="AG23" s="22">
        <v>30</v>
      </c>
      <c r="AH23" s="22">
        <v>31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</row>
    <row r="24" spans="1:58" x14ac:dyDescent="0.25">
      <c r="B24" s="134" t="s">
        <v>111</v>
      </c>
      <c r="C24" s="36">
        <v>1</v>
      </c>
      <c r="D24" s="36">
        <v>2</v>
      </c>
      <c r="E24" s="158">
        <v>1E-14</v>
      </c>
      <c r="F24" s="38">
        <v>1E-14</v>
      </c>
      <c r="G24" s="41">
        <v>1E-14</v>
      </c>
      <c r="H24" s="38">
        <v>1E-14</v>
      </c>
      <c r="I24" s="38">
        <v>1E-14</v>
      </c>
      <c r="J24" s="38">
        <v>10.5</v>
      </c>
      <c r="K24" s="38">
        <v>1E-14</v>
      </c>
      <c r="L24" s="38">
        <v>1E-14</v>
      </c>
      <c r="M24" s="39">
        <v>1E-14</v>
      </c>
      <c r="N24" s="154">
        <v>0.85</v>
      </c>
      <c r="O24" s="37">
        <v>25</v>
      </c>
      <c r="P24" s="40">
        <v>0.01</v>
      </c>
      <c r="U24" s="144" t="s">
        <v>205</v>
      </c>
      <c r="V24" s="53">
        <v>1E-14</v>
      </c>
      <c r="W24" s="184">
        <v>31</v>
      </c>
      <c r="X24" s="184">
        <v>28</v>
      </c>
      <c r="Y24" s="184">
        <v>31</v>
      </c>
      <c r="Z24" s="184">
        <v>30</v>
      </c>
      <c r="AA24" s="184">
        <v>31</v>
      </c>
      <c r="AB24" s="184">
        <v>3.5676666666666663</v>
      </c>
      <c r="AC24" s="184">
        <v>0.43333333333333335</v>
      </c>
      <c r="AD24" s="184">
        <v>1.4472222222222222</v>
      </c>
      <c r="AE24" s="184">
        <v>30</v>
      </c>
      <c r="AF24" s="184">
        <v>31</v>
      </c>
      <c r="AG24" s="184">
        <v>30</v>
      </c>
      <c r="AH24" s="184">
        <v>31</v>
      </c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</row>
    <row r="25" spans="1:58" x14ac:dyDescent="0.25">
      <c r="B25" s="134" t="s">
        <v>70</v>
      </c>
      <c r="C25" s="36">
        <v>1</v>
      </c>
      <c r="D25" s="36">
        <v>3</v>
      </c>
      <c r="E25" s="158">
        <v>9</v>
      </c>
      <c r="F25" s="38">
        <v>1E-14</v>
      </c>
      <c r="G25" s="41">
        <v>1E-14</v>
      </c>
      <c r="H25" s="38">
        <v>1E-14</v>
      </c>
      <c r="I25" s="38">
        <v>1E-14</v>
      </c>
      <c r="J25" s="38">
        <v>8</v>
      </c>
      <c r="K25" s="38">
        <v>1E-14</v>
      </c>
      <c r="L25" s="38">
        <v>1E-14</v>
      </c>
      <c r="M25" s="39">
        <v>1E-14</v>
      </c>
      <c r="N25" s="154">
        <v>1</v>
      </c>
      <c r="O25" s="37">
        <v>5</v>
      </c>
      <c r="P25" s="40">
        <v>0.01</v>
      </c>
      <c r="U25" s="24" t="s">
        <v>147</v>
      </c>
      <c r="V25" s="53">
        <v>1E-14</v>
      </c>
      <c r="W25" s="1">
        <v>35300</v>
      </c>
      <c r="X25" s="1">
        <v>32000</v>
      </c>
      <c r="Y25" s="1">
        <v>29500</v>
      </c>
      <c r="Z25" s="1">
        <v>20000</v>
      </c>
      <c r="AA25" s="1">
        <v>13000</v>
      </c>
      <c r="AB25" s="1">
        <v>7500</v>
      </c>
      <c r="AC25" s="1">
        <v>7500</v>
      </c>
      <c r="AD25" s="1">
        <v>7000</v>
      </c>
      <c r="AE25" s="1">
        <v>8000</v>
      </c>
      <c r="AF25" s="1">
        <v>19700</v>
      </c>
      <c r="AG25" s="1">
        <v>27500</v>
      </c>
      <c r="AH25" s="1">
        <v>33000</v>
      </c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</row>
    <row r="26" spans="1:58" x14ac:dyDescent="0.25">
      <c r="B26" s="134" t="s">
        <v>112</v>
      </c>
      <c r="C26" s="36">
        <v>1</v>
      </c>
      <c r="D26" s="36">
        <v>4</v>
      </c>
      <c r="E26" s="158">
        <v>1E-14</v>
      </c>
      <c r="F26" s="38">
        <v>1E-14</v>
      </c>
      <c r="G26" s="41">
        <v>1E-14</v>
      </c>
      <c r="H26" s="38">
        <v>1E-14</v>
      </c>
      <c r="I26" s="38">
        <v>1E-14</v>
      </c>
      <c r="J26" s="38">
        <v>15</v>
      </c>
      <c r="K26" s="38">
        <v>1E-14</v>
      </c>
      <c r="L26" s="38">
        <v>1E-14</v>
      </c>
      <c r="M26" s="39">
        <v>1E-14</v>
      </c>
      <c r="N26" s="154">
        <v>1</v>
      </c>
      <c r="O26" s="37">
        <v>10</v>
      </c>
      <c r="P26" s="40">
        <v>0.01</v>
      </c>
      <c r="U26" s="24" t="s">
        <v>148</v>
      </c>
      <c r="V26" s="53">
        <v>1E-14</v>
      </c>
      <c r="W26" s="1">
        <v>4000</v>
      </c>
      <c r="X26" s="1">
        <v>1E-14</v>
      </c>
      <c r="Y26" s="1">
        <v>1E-14</v>
      </c>
      <c r="Z26" s="1">
        <v>1E-14</v>
      </c>
      <c r="AA26" s="1">
        <v>1E-14</v>
      </c>
      <c r="AB26" s="1">
        <v>1E-14</v>
      </c>
      <c r="AC26" s="1">
        <v>1E-14</v>
      </c>
      <c r="AD26" s="1">
        <v>1E-14</v>
      </c>
      <c r="AE26" s="1">
        <v>1E-14</v>
      </c>
      <c r="AF26" s="1">
        <v>1E-14</v>
      </c>
      <c r="AG26" s="1">
        <v>1E-14</v>
      </c>
      <c r="AH26" s="1">
        <v>5600</v>
      </c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</row>
    <row r="27" spans="1:58" x14ac:dyDescent="0.25">
      <c r="B27" s="135" t="s">
        <v>113</v>
      </c>
      <c r="C27" s="42">
        <v>1</v>
      </c>
      <c r="D27" s="42">
        <v>5</v>
      </c>
      <c r="E27" s="159">
        <v>1E-14</v>
      </c>
      <c r="F27" s="44">
        <v>1E-14</v>
      </c>
      <c r="G27" s="43">
        <v>1E-14</v>
      </c>
      <c r="H27" s="44">
        <v>1E-14</v>
      </c>
      <c r="I27" s="44">
        <v>1E-14</v>
      </c>
      <c r="J27" s="44">
        <v>100</v>
      </c>
      <c r="K27" s="44">
        <v>1E-14</v>
      </c>
      <c r="L27" s="44">
        <v>1E-14</v>
      </c>
      <c r="M27" s="45">
        <v>1E-14</v>
      </c>
      <c r="N27" s="155">
        <v>1</v>
      </c>
      <c r="O27" s="46">
        <v>10</v>
      </c>
      <c r="P27" s="47">
        <v>0.01</v>
      </c>
      <c r="U27" s="161" t="s">
        <v>149</v>
      </c>
      <c r="V27" s="182">
        <v>1E-14</v>
      </c>
      <c r="W27" s="183">
        <v>4076.9</v>
      </c>
      <c r="X27" s="183">
        <v>4120.58</v>
      </c>
      <c r="Y27" s="183">
        <v>4939.28</v>
      </c>
      <c r="Z27" s="183">
        <v>4131.42</v>
      </c>
      <c r="AA27" s="183">
        <v>2587.7199999999998</v>
      </c>
      <c r="AB27" s="183">
        <v>642.17999999999995</v>
      </c>
      <c r="AC27" s="183">
        <v>78</v>
      </c>
      <c r="AD27" s="183">
        <v>260.5</v>
      </c>
      <c r="AE27" s="183">
        <v>4821.5600000000004</v>
      </c>
      <c r="AF27" s="183">
        <v>4868.74</v>
      </c>
      <c r="AG27" s="183">
        <v>5228.4799999999996</v>
      </c>
      <c r="AH27" s="183">
        <v>5402.7626666666665</v>
      </c>
      <c r="AI27" s="183"/>
      <c r="AJ27" s="183"/>
      <c r="AK27" s="183"/>
      <c r="AL27" s="183"/>
      <c r="AM27" s="183"/>
      <c r="AN27" s="183"/>
      <c r="AO27" s="183"/>
      <c r="AP27" s="183"/>
      <c r="AQ27" s="183"/>
      <c r="AR27" s="183"/>
      <c r="AS27" s="183"/>
      <c r="AT27" s="183"/>
      <c r="AU27" s="183"/>
      <c r="AV27" s="183"/>
      <c r="AW27" s="183"/>
      <c r="AX27" s="183"/>
      <c r="AY27" s="183"/>
      <c r="AZ27" s="183"/>
      <c r="BA27" s="183"/>
      <c r="BB27" s="183"/>
      <c r="BC27" s="183"/>
      <c r="BD27" s="183"/>
      <c r="BE27" s="183"/>
      <c r="BF27" s="183"/>
    </row>
    <row r="28" spans="1:58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R28" s="152"/>
      <c r="S28" s="152"/>
      <c r="U28" s="189" t="s">
        <v>170</v>
      </c>
      <c r="V28" s="182">
        <v>1E-14</v>
      </c>
      <c r="W28" s="190">
        <v>1</v>
      </c>
      <c r="X28" s="190">
        <v>1E-14</v>
      </c>
      <c r="Y28" s="190">
        <v>1</v>
      </c>
      <c r="Z28" s="190">
        <v>1</v>
      </c>
      <c r="AA28" s="190">
        <v>1</v>
      </c>
      <c r="AB28" s="190">
        <v>1</v>
      </c>
      <c r="AC28" s="190">
        <v>1</v>
      </c>
      <c r="AD28" s="190">
        <v>1</v>
      </c>
      <c r="AE28" s="190">
        <v>1</v>
      </c>
      <c r="AF28" s="190">
        <v>1</v>
      </c>
      <c r="AG28" s="190">
        <v>1</v>
      </c>
      <c r="AH28" s="190">
        <v>1</v>
      </c>
      <c r="AI28" s="190"/>
      <c r="AJ28" s="190"/>
      <c r="AK28" s="190"/>
      <c r="AL28" s="190"/>
      <c r="AM28" s="190"/>
      <c r="AN28" s="190"/>
      <c r="AO28" s="190"/>
      <c r="AP28" s="190"/>
      <c r="AQ28" s="190"/>
      <c r="AR28" s="190"/>
      <c r="AS28" s="190"/>
      <c r="AT28" s="190"/>
      <c r="AU28" s="190"/>
      <c r="AV28" s="190"/>
      <c r="AW28" s="190"/>
      <c r="AX28" s="190"/>
      <c r="AY28" s="190"/>
      <c r="AZ28" s="190"/>
      <c r="BA28" s="190"/>
      <c r="BB28" s="190"/>
      <c r="BC28" s="190"/>
      <c r="BD28" s="190"/>
      <c r="BE28" s="190"/>
      <c r="BF28" s="190"/>
    </row>
    <row r="29" spans="1:58" x14ac:dyDescent="0.25">
      <c r="A29" s="16"/>
      <c r="B29" s="146" t="s">
        <v>117</v>
      </c>
      <c r="C29" s="89" t="s">
        <v>98</v>
      </c>
      <c r="D29" s="89" t="s">
        <v>104</v>
      </c>
      <c r="E29" s="89" t="s">
        <v>203</v>
      </c>
      <c r="F29" s="89" t="s">
        <v>137</v>
      </c>
      <c r="G29" s="89" t="s">
        <v>99</v>
      </c>
      <c r="H29" s="89" t="s">
        <v>100</v>
      </c>
      <c r="I29" s="89" t="s">
        <v>138</v>
      </c>
      <c r="J29" s="89" t="s">
        <v>101</v>
      </c>
      <c r="K29" s="90" t="s">
        <v>102</v>
      </c>
      <c r="L29" s="89" t="s">
        <v>118</v>
      </c>
      <c r="M29" s="89" t="s">
        <v>103</v>
      </c>
      <c r="N29" s="116" t="s">
        <v>119</v>
      </c>
      <c r="R29" s="152"/>
      <c r="S29" s="152"/>
      <c r="U29" s="24" t="s">
        <v>150</v>
      </c>
      <c r="V29" s="53">
        <v>1E-14</v>
      </c>
      <c r="W29" s="1">
        <v>378.33708333333323</v>
      </c>
      <c r="X29" s="1">
        <v>356.0961527777776</v>
      </c>
      <c r="Y29" s="1">
        <v>347.18100806451616</v>
      </c>
      <c r="Z29" s="1">
        <v>356.0961527777776</v>
      </c>
      <c r="AA29" s="1">
        <v>410.46177419354831</v>
      </c>
      <c r="AB29" s="1">
        <v>547.42162499999972</v>
      </c>
      <c r="AC29" s="1">
        <v>605.37407258064457</v>
      </c>
      <c r="AD29" s="1">
        <v>627.85237903225811</v>
      </c>
      <c r="AE29" s="1">
        <v>920.7574305555554</v>
      </c>
      <c r="AF29" s="1">
        <v>794.33760752688215</v>
      </c>
      <c r="AG29" s="1">
        <v>1014.278430555556</v>
      </c>
      <c r="AH29" s="1">
        <v>1420.7891397849471</v>
      </c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</row>
    <row r="30" spans="1:58" x14ac:dyDescent="0.25">
      <c r="A30" s="16"/>
      <c r="B30" s="137" t="s">
        <v>96</v>
      </c>
      <c r="C30" s="117">
        <v>1E-14</v>
      </c>
      <c r="D30" s="118">
        <v>1</v>
      </c>
      <c r="E30" s="118">
        <v>1E-14</v>
      </c>
      <c r="F30" s="83">
        <v>1E-14</v>
      </c>
      <c r="G30" s="83">
        <v>2000</v>
      </c>
      <c r="H30" s="83">
        <v>2000</v>
      </c>
      <c r="I30" s="83">
        <v>1E-14</v>
      </c>
      <c r="J30" s="83">
        <v>1</v>
      </c>
      <c r="K30" s="83">
        <v>1</v>
      </c>
      <c r="L30" s="83">
        <v>6</v>
      </c>
      <c r="M30" s="83">
        <v>12</v>
      </c>
      <c r="N30" s="126">
        <v>1</v>
      </c>
      <c r="R30" s="152"/>
      <c r="S30" s="152"/>
      <c r="U30" s="24" t="s">
        <v>151</v>
      </c>
      <c r="V30" s="53">
        <v>1E-14</v>
      </c>
      <c r="W30" s="3">
        <v>409.75</v>
      </c>
      <c r="X30" s="3">
        <v>409.75</v>
      </c>
      <c r="Y30" s="3">
        <v>409.75</v>
      </c>
      <c r="Z30" s="3">
        <v>409.75</v>
      </c>
      <c r="AA30" s="3">
        <v>409.75</v>
      </c>
      <c r="AB30" s="3">
        <v>409.75</v>
      </c>
      <c r="AC30" s="3">
        <v>409.75</v>
      </c>
      <c r="AD30" s="3">
        <v>409.75</v>
      </c>
      <c r="AE30" s="3">
        <v>409.75</v>
      </c>
      <c r="AF30" s="3">
        <v>409.75</v>
      </c>
      <c r="AG30" s="3">
        <v>409.75</v>
      </c>
      <c r="AH30" s="3">
        <v>409.75</v>
      </c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</row>
    <row r="31" spans="1:58" x14ac:dyDescent="0.25">
      <c r="B31" s="138" t="s">
        <v>97</v>
      </c>
      <c r="C31" s="119">
        <v>1E-14</v>
      </c>
      <c r="D31" s="120">
        <v>1</v>
      </c>
      <c r="E31" s="120">
        <v>1E-14</v>
      </c>
      <c r="F31" s="84">
        <v>1E-14</v>
      </c>
      <c r="G31" s="84">
        <v>10000</v>
      </c>
      <c r="H31" s="84">
        <v>2000</v>
      </c>
      <c r="I31" s="84">
        <v>1E-14</v>
      </c>
      <c r="J31" s="84">
        <v>10</v>
      </c>
      <c r="K31" s="84">
        <v>30</v>
      </c>
      <c r="L31" s="84">
        <v>1E-14</v>
      </c>
      <c r="M31" s="84">
        <v>12</v>
      </c>
      <c r="N31" s="127">
        <v>1</v>
      </c>
      <c r="R31" s="152"/>
      <c r="S31" s="152"/>
      <c r="U31" s="24" t="s">
        <v>152</v>
      </c>
      <c r="V31" s="53">
        <v>1E-14</v>
      </c>
      <c r="W31" s="3">
        <v>25.8</v>
      </c>
      <c r="X31" s="3">
        <v>25.8</v>
      </c>
      <c r="Y31" s="3">
        <v>25.8</v>
      </c>
      <c r="Z31" s="3">
        <v>25.8</v>
      </c>
      <c r="AA31" s="3">
        <v>25.8</v>
      </c>
      <c r="AB31" s="3">
        <v>25.8</v>
      </c>
      <c r="AC31" s="3">
        <v>25.8</v>
      </c>
      <c r="AD31" s="3">
        <v>25.8</v>
      </c>
      <c r="AE31" s="3">
        <v>25.8</v>
      </c>
      <c r="AF31" s="3">
        <v>25.8</v>
      </c>
      <c r="AG31" s="3">
        <v>25.8</v>
      </c>
      <c r="AH31" s="3">
        <v>25.8</v>
      </c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</row>
    <row r="32" spans="1:58" s="16" customFormat="1" x14ac:dyDescent="0.25">
      <c r="B32" s="139"/>
      <c r="C32" s="121"/>
      <c r="D32" s="122"/>
      <c r="E32" s="120"/>
      <c r="F32" s="84"/>
      <c r="G32" s="84"/>
      <c r="H32" s="84"/>
      <c r="I32" s="84"/>
      <c r="J32" s="84"/>
      <c r="K32" s="84"/>
      <c r="L32" s="84"/>
      <c r="M32" s="84"/>
      <c r="N32" s="127"/>
      <c r="Q32" s="23"/>
      <c r="R32" s="152"/>
      <c r="S32" s="152"/>
      <c r="T32" s="23"/>
      <c r="U32" s="24" t="s">
        <v>153</v>
      </c>
      <c r="V32" s="53">
        <v>1E-14</v>
      </c>
      <c r="W32" s="25">
        <v>31.8</v>
      </c>
      <c r="X32" s="25">
        <v>31.8</v>
      </c>
      <c r="Y32" s="25">
        <v>31.8</v>
      </c>
      <c r="Z32" s="25">
        <v>31.8</v>
      </c>
      <c r="AA32" s="25">
        <v>31.8</v>
      </c>
      <c r="AB32" s="25">
        <v>31.8</v>
      </c>
      <c r="AC32" s="25">
        <v>31.8</v>
      </c>
      <c r="AD32" s="25">
        <v>31.8</v>
      </c>
      <c r="AE32" s="25">
        <v>31.8</v>
      </c>
      <c r="AF32" s="25">
        <v>31.8</v>
      </c>
      <c r="AG32" s="25">
        <v>31.8</v>
      </c>
      <c r="AH32" s="25">
        <v>31.8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</row>
    <row r="33" spans="1:58" s="16" customFormat="1" x14ac:dyDescent="0.25">
      <c r="B33" s="139"/>
      <c r="C33" s="121"/>
      <c r="D33" s="122"/>
      <c r="E33" s="120"/>
      <c r="F33" s="84"/>
      <c r="G33" s="84"/>
      <c r="H33" s="84"/>
      <c r="I33" s="84"/>
      <c r="J33" s="84"/>
      <c r="K33" s="84"/>
      <c r="L33" s="84"/>
      <c r="M33" s="84"/>
      <c r="N33" s="127"/>
      <c r="Q33" s="23"/>
      <c r="R33" s="152"/>
      <c r="S33" s="152"/>
      <c r="T33" s="23"/>
      <c r="U33" s="24" t="s">
        <v>154</v>
      </c>
      <c r="V33" s="53">
        <v>1E-14</v>
      </c>
      <c r="W33" s="25">
        <v>37</v>
      </c>
      <c r="X33" s="25">
        <v>37</v>
      </c>
      <c r="Y33" s="25">
        <v>37</v>
      </c>
      <c r="Z33" s="25">
        <v>37</v>
      </c>
      <c r="AA33" s="25">
        <v>37</v>
      </c>
      <c r="AB33" s="25">
        <v>37</v>
      </c>
      <c r="AC33" s="25">
        <v>37</v>
      </c>
      <c r="AD33" s="25">
        <v>37</v>
      </c>
      <c r="AE33" s="25">
        <v>37</v>
      </c>
      <c r="AF33" s="25">
        <v>37</v>
      </c>
      <c r="AG33" s="25">
        <v>37</v>
      </c>
      <c r="AH33" s="25">
        <v>37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</row>
    <row r="34" spans="1:58" s="16" customFormat="1" x14ac:dyDescent="0.25">
      <c r="B34" s="139"/>
      <c r="C34" s="121"/>
      <c r="D34" s="122"/>
      <c r="E34" s="120"/>
      <c r="F34" s="84"/>
      <c r="G34" s="84"/>
      <c r="H34" s="84"/>
      <c r="I34" s="84"/>
      <c r="J34" s="84"/>
      <c r="K34" s="84"/>
      <c r="L34" s="84"/>
      <c r="M34" s="84"/>
      <c r="N34" s="127"/>
      <c r="Q34" s="23"/>
      <c r="R34" s="152"/>
      <c r="S34" s="152"/>
      <c r="T34" s="23"/>
      <c r="U34" s="24" t="s">
        <v>155</v>
      </c>
      <c r="V34" s="53">
        <v>1E-14</v>
      </c>
      <c r="W34" s="25">
        <v>37</v>
      </c>
      <c r="X34" s="25">
        <v>37</v>
      </c>
      <c r="Y34" s="25">
        <v>37</v>
      </c>
      <c r="Z34" s="25">
        <v>37</v>
      </c>
      <c r="AA34" s="25">
        <v>37</v>
      </c>
      <c r="AB34" s="25">
        <v>37</v>
      </c>
      <c r="AC34" s="25">
        <v>37</v>
      </c>
      <c r="AD34" s="25">
        <v>37</v>
      </c>
      <c r="AE34" s="25">
        <v>37</v>
      </c>
      <c r="AF34" s="25">
        <v>37</v>
      </c>
      <c r="AG34" s="25">
        <v>37</v>
      </c>
      <c r="AH34" s="25">
        <v>37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</row>
    <row r="35" spans="1:58" x14ac:dyDescent="0.25">
      <c r="B35" s="140"/>
      <c r="C35" s="123"/>
      <c r="D35" s="124"/>
      <c r="E35" s="125"/>
      <c r="F35" s="85"/>
      <c r="G35" s="85"/>
      <c r="H35" s="85"/>
      <c r="I35" s="85"/>
      <c r="J35" s="85"/>
      <c r="K35" s="85"/>
      <c r="L35" s="85"/>
      <c r="M35" s="85"/>
      <c r="N35" s="128"/>
      <c r="R35" s="152"/>
      <c r="S35" s="152"/>
      <c r="U35" s="24" t="s">
        <v>156</v>
      </c>
      <c r="V35" s="53">
        <v>1E-14</v>
      </c>
      <c r="W35" s="25">
        <v>178.5</v>
      </c>
      <c r="X35" s="25">
        <v>178.5</v>
      </c>
      <c r="Y35" s="25">
        <v>178.5</v>
      </c>
      <c r="Z35" s="25">
        <v>178.5</v>
      </c>
      <c r="AA35" s="25">
        <v>178.5</v>
      </c>
      <c r="AB35" s="25">
        <v>178.5</v>
      </c>
      <c r="AC35" s="25">
        <v>178.5</v>
      </c>
      <c r="AD35" s="25">
        <v>178.5</v>
      </c>
      <c r="AE35" s="25">
        <v>178.5</v>
      </c>
      <c r="AF35" s="25">
        <v>178.5</v>
      </c>
      <c r="AG35" s="25">
        <v>178.5</v>
      </c>
      <c r="AH35" s="25">
        <v>178.5</v>
      </c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</row>
    <row r="36" spans="1:58" s="16" customFormat="1" x14ac:dyDescent="0.25">
      <c r="Q36" s="23"/>
      <c r="R36" s="152"/>
      <c r="S36" s="152"/>
      <c r="T36" s="23"/>
      <c r="U36" s="24" t="s">
        <v>157</v>
      </c>
      <c r="V36" s="53">
        <v>1E-14</v>
      </c>
      <c r="W36" s="25">
        <v>5.3</v>
      </c>
      <c r="X36" s="25">
        <v>5.3</v>
      </c>
      <c r="Y36" s="25">
        <v>5.3</v>
      </c>
      <c r="Z36" s="25">
        <v>5.3</v>
      </c>
      <c r="AA36" s="25">
        <v>5.3</v>
      </c>
      <c r="AB36" s="25">
        <v>5.3</v>
      </c>
      <c r="AC36" s="25">
        <v>5.3</v>
      </c>
      <c r="AD36" s="25">
        <v>5.3</v>
      </c>
      <c r="AE36" s="25">
        <v>5.3</v>
      </c>
      <c r="AF36" s="25">
        <v>5.3</v>
      </c>
      <c r="AG36" s="25">
        <v>5.3</v>
      </c>
      <c r="AH36" s="25">
        <v>5.3</v>
      </c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</row>
    <row r="37" spans="1:58" s="16" customFormat="1" x14ac:dyDescent="0.25">
      <c r="Q37" s="23"/>
      <c r="R37" s="152"/>
      <c r="S37" s="152"/>
      <c r="T37" s="23"/>
      <c r="U37" s="24" t="s">
        <v>158</v>
      </c>
      <c r="V37" s="53">
        <v>1E-14</v>
      </c>
      <c r="W37" s="25">
        <v>0.5</v>
      </c>
      <c r="X37" s="25">
        <v>0.5</v>
      </c>
      <c r="Y37" s="25">
        <v>0.5</v>
      </c>
      <c r="Z37" s="25">
        <v>0.5</v>
      </c>
      <c r="AA37" s="25">
        <v>0.5</v>
      </c>
      <c r="AB37" s="25">
        <v>0.5</v>
      </c>
      <c r="AC37" s="25">
        <v>0.5</v>
      </c>
      <c r="AD37" s="25">
        <v>0.5</v>
      </c>
      <c r="AE37" s="25">
        <v>0.5</v>
      </c>
      <c r="AF37" s="25">
        <v>0.5</v>
      </c>
      <c r="AG37" s="25">
        <v>0.5</v>
      </c>
      <c r="AH37" s="25">
        <v>0.5</v>
      </c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</row>
    <row r="38" spans="1:58" s="16" customFormat="1" x14ac:dyDescent="0.25">
      <c r="Q38" s="23"/>
      <c r="R38" s="152"/>
      <c r="S38" s="152"/>
      <c r="T38" s="23"/>
      <c r="U38" s="24" t="s">
        <v>159</v>
      </c>
      <c r="V38" s="53">
        <v>1E-14</v>
      </c>
      <c r="W38" s="25">
        <v>62.37</v>
      </c>
      <c r="X38" s="25">
        <v>62.37</v>
      </c>
      <c r="Y38" s="25">
        <v>62.37</v>
      </c>
      <c r="Z38" s="25">
        <v>62.37</v>
      </c>
      <c r="AA38" s="25">
        <v>62.37</v>
      </c>
      <c r="AB38" s="25">
        <v>62.37</v>
      </c>
      <c r="AC38" s="25">
        <v>62.37</v>
      </c>
      <c r="AD38" s="25">
        <v>62.37</v>
      </c>
      <c r="AE38" s="25">
        <v>62.37</v>
      </c>
      <c r="AF38" s="25">
        <v>62.37</v>
      </c>
      <c r="AG38" s="25">
        <v>62.37</v>
      </c>
      <c r="AH38" s="25">
        <v>62.37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</row>
    <row r="39" spans="1:58" s="16" customFormat="1" x14ac:dyDescent="0.25">
      <c r="Q39" s="23"/>
      <c r="R39" s="152"/>
      <c r="S39" s="152"/>
      <c r="T39" s="23"/>
      <c r="U39" s="24" t="s">
        <v>160</v>
      </c>
      <c r="V39" s="53">
        <v>1E-14</v>
      </c>
      <c r="W39" s="25">
        <v>680.72289156626493</v>
      </c>
      <c r="X39" s="25">
        <v>680.72289156626493</v>
      </c>
      <c r="Y39" s="25">
        <v>680.72289156626493</v>
      </c>
      <c r="Z39" s="25">
        <v>680.72289156626493</v>
      </c>
      <c r="AA39" s="25">
        <v>680.72289156626493</v>
      </c>
      <c r="AB39" s="25">
        <v>680.72289156626493</v>
      </c>
      <c r="AC39" s="25">
        <v>680.72289156626493</v>
      </c>
      <c r="AD39" s="25">
        <v>680.72289156626493</v>
      </c>
      <c r="AE39" s="25">
        <v>680.72289156626493</v>
      </c>
      <c r="AF39" s="25">
        <v>680.72289156626493</v>
      </c>
      <c r="AG39" s="25">
        <v>680.72289156626493</v>
      </c>
      <c r="AH39" s="25">
        <v>680.72289156626493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</row>
    <row r="40" spans="1:58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R40" s="152"/>
      <c r="S40" s="152"/>
      <c r="U40" s="160" t="s">
        <v>161</v>
      </c>
      <c r="V40" s="53">
        <v>1E-14</v>
      </c>
      <c r="W40" s="162">
        <v>10.843373493975903</v>
      </c>
      <c r="X40" s="162">
        <v>10.843373493975903</v>
      </c>
      <c r="Y40" s="162">
        <v>10.843373493975903</v>
      </c>
      <c r="Z40" s="162">
        <v>10.843373493975903</v>
      </c>
      <c r="AA40" s="162">
        <v>10.843373493975903</v>
      </c>
      <c r="AB40" s="162">
        <v>10.843373493975903</v>
      </c>
      <c r="AC40" s="162">
        <v>10.843373493975903</v>
      </c>
      <c r="AD40" s="162">
        <v>10.843373493975903</v>
      </c>
      <c r="AE40" s="162">
        <v>10.843373493975903</v>
      </c>
      <c r="AF40" s="162">
        <v>10.843373493975903</v>
      </c>
      <c r="AG40" s="162">
        <v>10.843373493975903</v>
      </c>
      <c r="AH40" s="162">
        <v>10.843373493975903</v>
      </c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</row>
    <row r="41" spans="1:58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152"/>
      <c r="U41" s="6"/>
      <c r="V41" s="53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</row>
    <row r="42" spans="1:58" s="16" customFormat="1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152"/>
      <c r="R42" s="23"/>
      <c r="S42" s="23"/>
      <c r="T42" s="23"/>
      <c r="U42" s="6"/>
      <c r="V42" s="53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</row>
    <row r="43" spans="1:58" x14ac:dyDescent="0.25">
      <c r="B43" s="147" t="s">
        <v>190</v>
      </c>
      <c r="C43" s="54" t="s">
        <v>98</v>
      </c>
      <c r="D43" s="54" t="s">
        <v>177</v>
      </c>
      <c r="E43" s="54" t="s">
        <v>178</v>
      </c>
      <c r="F43" s="54" t="s">
        <v>179</v>
      </c>
      <c r="G43" s="54" t="s">
        <v>200</v>
      </c>
      <c r="H43" s="54" t="s">
        <v>180</v>
      </c>
      <c r="I43" s="54" t="s">
        <v>181</v>
      </c>
      <c r="J43" s="54" t="s">
        <v>182</v>
      </c>
      <c r="K43" s="54" t="s">
        <v>241</v>
      </c>
      <c r="L43" s="54" t="s">
        <v>183</v>
      </c>
      <c r="M43" s="54" t="s">
        <v>184</v>
      </c>
      <c r="N43" s="54" t="s">
        <v>185</v>
      </c>
      <c r="O43" s="54" t="s">
        <v>186</v>
      </c>
      <c r="P43" s="54" t="s">
        <v>187</v>
      </c>
      <c r="Q43" s="54" t="s">
        <v>212</v>
      </c>
      <c r="R43" s="87" t="s">
        <v>188</v>
      </c>
      <c r="S43" s="87" t="s">
        <v>189</v>
      </c>
      <c r="T43" s="6"/>
      <c r="U43" s="148" t="s">
        <v>209</v>
      </c>
      <c r="V43" s="90"/>
      <c r="W43" s="90" t="s">
        <v>230</v>
      </c>
      <c r="X43" s="90" t="s">
        <v>231</v>
      </c>
      <c r="Y43" s="90" t="s">
        <v>232</v>
      </c>
      <c r="Z43" s="90" t="s">
        <v>233</v>
      </c>
      <c r="AA43" s="90" t="s">
        <v>224</v>
      </c>
      <c r="AB43" s="90" t="s">
        <v>234</v>
      </c>
      <c r="AC43" s="90" t="s">
        <v>235</v>
      </c>
      <c r="AD43" s="90" t="s">
        <v>236</v>
      </c>
      <c r="AE43" s="90" t="s">
        <v>237</v>
      </c>
      <c r="AF43" s="90" t="s">
        <v>238</v>
      </c>
      <c r="AG43" s="90" t="s">
        <v>239</v>
      </c>
      <c r="AH43" s="90" t="s">
        <v>240</v>
      </c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90"/>
      <c r="BF43" s="149"/>
    </row>
    <row r="44" spans="1:58" x14ac:dyDescent="0.25">
      <c r="B44" s="132" t="s">
        <v>0</v>
      </c>
      <c r="C44" s="129">
        <v>1</v>
      </c>
      <c r="D44" s="129">
        <v>1</v>
      </c>
      <c r="E44" s="129">
        <v>1E-14</v>
      </c>
      <c r="F44" s="129">
        <v>1E-14</v>
      </c>
      <c r="G44" s="129">
        <v>1</v>
      </c>
      <c r="H44" s="129">
        <v>1</v>
      </c>
      <c r="I44" s="129">
        <v>1</v>
      </c>
      <c r="J44" s="129">
        <v>1</v>
      </c>
      <c r="K44" s="86">
        <v>2.5</v>
      </c>
      <c r="L44" s="86">
        <v>12915.299999999997</v>
      </c>
      <c r="M44" s="86">
        <v>12915.299999999997</v>
      </c>
      <c r="N44" s="86">
        <v>-1</v>
      </c>
      <c r="O44" s="86">
        <v>-1</v>
      </c>
      <c r="P44" s="86">
        <v>525</v>
      </c>
      <c r="Q44" s="185">
        <v>10.5</v>
      </c>
      <c r="R44" s="86">
        <v>1.1000000000000001</v>
      </c>
      <c r="S44" s="187">
        <v>37</v>
      </c>
      <c r="T44" s="6"/>
      <c r="U44" s="131" t="s">
        <v>0</v>
      </c>
      <c r="V44" s="72" t="s">
        <v>181</v>
      </c>
      <c r="W44" s="73">
        <v>1</v>
      </c>
      <c r="X44" s="73">
        <v>1</v>
      </c>
      <c r="Y44" s="73">
        <v>1</v>
      </c>
      <c r="Z44" s="73">
        <v>1</v>
      </c>
      <c r="AA44" s="73">
        <v>1</v>
      </c>
      <c r="AB44" s="73">
        <v>1</v>
      </c>
      <c r="AC44" s="73">
        <v>1</v>
      </c>
      <c r="AD44" s="73">
        <v>1</v>
      </c>
      <c r="AE44" s="73">
        <v>1</v>
      </c>
      <c r="AF44" s="73">
        <v>1</v>
      </c>
      <c r="AG44" s="73">
        <v>1</v>
      </c>
      <c r="AH44" s="73">
        <v>1</v>
      </c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x14ac:dyDescent="0.25">
      <c r="B45" s="133" t="s">
        <v>1</v>
      </c>
      <c r="C45" s="130">
        <v>1E-14</v>
      </c>
      <c r="D45" s="130">
        <v>1</v>
      </c>
      <c r="E45" s="130">
        <v>1E-14</v>
      </c>
      <c r="F45" s="130">
        <v>1E-14</v>
      </c>
      <c r="G45" s="130">
        <v>1</v>
      </c>
      <c r="H45" s="130">
        <v>1</v>
      </c>
      <c r="I45" s="130">
        <v>1</v>
      </c>
      <c r="J45" s="130">
        <v>1</v>
      </c>
      <c r="K45" s="15">
        <v>1E-14</v>
      </c>
      <c r="L45" s="15">
        <v>1E-14</v>
      </c>
      <c r="M45" s="15">
        <v>1E-14</v>
      </c>
      <c r="N45" s="15">
        <v>-1</v>
      </c>
      <c r="O45" s="15">
        <v>-1</v>
      </c>
      <c r="P45" s="15">
        <v>525</v>
      </c>
      <c r="Q45" s="186">
        <v>10.5</v>
      </c>
      <c r="R45" s="15">
        <v>1.1000000000000001</v>
      </c>
      <c r="S45" s="188">
        <v>37</v>
      </c>
      <c r="T45" s="6"/>
      <c r="U45" s="131" t="s">
        <v>0</v>
      </c>
      <c r="V45" s="72" t="s">
        <v>182</v>
      </c>
      <c r="W45" s="73">
        <v>1</v>
      </c>
      <c r="X45" s="73">
        <v>1</v>
      </c>
      <c r="Y45" s="73">
        <v>1</v>
      </c>
      <c r="Z45" s="73">
        <v>1</v>
      </c>
      <c r="AA45" s="73">
        <v>1</v>
      </c>
      <c r="AB45" s="73">
        <v>1</v>
      </c>
      <c r="AC45" s="73">
        <v>1</v>
      </c>
      <c r="AD45" s="73">
        <v>1</v>
      </c>
      <c r="AE45" s="73">
        <v>1</v>
      </c>
      <c r="AF45" s="73">
        <v>1</v>
      </c>
      <c r="AG45" s="73">
        <v>1</v>
      </c>
      <c r="AH45" s="73">
        <v>1</v>
      </c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x14ac:dyDescent="0.25">
      <c r="B46" s="133" t="s">
        <v>2</v>
      </c>
      <c r="C46" s="130">
        <v>1E-14</v>
      </c>
      <c r="D46" s="130">
        <v>1</v>
      </c>
      <c r="E46" s="130">
        <v>1E-14</v>
      </c>
      <c r="F46" s="130">
        <v>1E-14</v>
      </c>
      <c r="G46" s="130">
        <v>1</v>
      </c>
      <c r="H46" s="130">
        <v>1</v>
      </c>
      <c r="I46" s="130">
        <v>1</v>
      </c>
      <c r="J46" s="130">
        <v>1</v>
      </c>
      <c r="K46" s="15">
        <v>1E-14</v>
      </c>
      <c r="L46" s="15">
        <v>1E-14</v>
      </c>
      <c r="M46" s="15">
        <v>1E-14</v>
      </c>
      <c r="N46" s="15">
        <v>-1</v>
      </c>
      <c r="O46" s="15">
        <v>-1</v>
      </c>
      <c r="P46" s="15">
        <v>525</v>
      </c>
      <c r="Q46" s="186">
        <v>10.5</v>
      </c>
      <c r="R46" s="15">
        <v>1.1000000000000001</v>
      </c>
      <c r="S46" s="188">
        <v>37</v>
      </c>
      <c r="T46" s="6"/>
      <c r="U46" s="131" t="s">
        <v>0</v>
      </c>
      <c r="V46" s="72" t="s">
        <v>183</v>
      </c>
      <c r="W46" s="73">
        <v>1076.2749999999999</v>
      </c>
      <c r="X46" s="73">
        <v>1076.2749999999999</v>
      </c>
      <c r="Y46" s="73">
        <v>1076.2749999999999</v>
      </c>
      <c r="Z46" s="73">
        <v>1076.2749999999999</v>
      </c>
      <c r="AA46" s="73">
        <v>1076.2749999999999</v>
      </c>
      <c r="AB46" s="73">
        <v>1076.2749999999999</v>
      </c>
      <c r="AC46" s="73">
        <v>1076.2749999999999</v>
      </c>
      <c r="AD46" s="73">
        <v>1076.2749999999999</v>
      </c>
      <c r="AE46" s="73">
        <v>1076.2749999999999</v>
      </c>
      <c r="AF46" s="73">
        <v>1076.2749999999999</v>
      </c>
      <c r="AG46" s="73">
        <v>1076.2749999999999</v>
      </c>
      <c r="AH46" s="73">
        <v>1076.2749999999999</v>
      </c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x14ac:dyDescent="0.25">
      <c r="B47" s="133" t="s">
        <v>3</v>
      </c>
      <c r="C47" s="130">
        <v>1</v>
      </c>
      <c r="D47" s="130">
        <v>1</v>
      </c>
      <c r="E47" s="130">
        <v>1E-14</v>
      </c>
      <c r="F47" s="130">
        <v>1E-14</v>
      </c>
      <c r="G47" s="130">
        <v>1E-14</v>
      </c>
      <c r="H47" s="130">
        <v>1</v>
      </c>
      <c r="I47" s="130">
        <v>1</v>
      </c>
      <c r="J47" s="130">
        <v>1</v>
      </c>
      <c r="K47" s="15">
        <v>0.1</v>
      </c>
      <c r="L47" s="15">
        <v>28766.78</v>
      </c>
      <c r="M47" s="15">
        <v>28766.78</v>
      </c>
      <c r="N47" s="15">
        <v>-1</v>
      </c>
      <c r="O47" s="15">
        <v>-1</v>
      </c>
      <c r="P47" s="15">
        <v>525</v>
      </c>
      <c r="Q47" s="186">
        <v>9.4</v>
      </c>
      <c r="R47" s="15">
        <v>1.1000000000000001</v>
      </c>
      <c r="S47" s="188">
        <v>37</v>
      </c>
      <c r="T47" s="6"/>
      <c r="U47" s="131" t="s">
        <v>0</v>
      </c>
      <c r="V47" s="72" t="s">
        <v>184</v>
      </c>
      <c r="W47" s="73">
        <v>1076.2749999999999</v>
      </c>
      <c r="X47" s="73">
        <v>1076.2749999999999</v>
      </c>
      <c r="Y47" s="73">
        <v>1076.2749999999999</v>
      </c>
      <c r="Z47" s="73">
        <v>1076.2749999999999</v>
      </c>
      <c r="AA47" s="73">
        <v>1076.2749999999999</v>
      </c>
      <c r="AB47" s="73">
        <v>1076.2749999999999</v>
      </c>
      <c r="AC47" s="73">
        <v>1076.2749999999999</v>
      </c>
      <c r="AD47" s="73">
        <v>1076.2749999999999</v>
      </c>
      <c r="AE47" s="73">
        <v>1076.2749999999999</v>
      </c>
      <c r="AF47" s="73">
        <v>1076.2749999999999</v>
      </c>
      <c r="AG47" s="73">
        <v>1076.2749999999999</v>
      </c>
      <c r="AH47" s="73">
        <v>1076.2749999999999</v>
      </c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x14ac:dyDescent="0.25">
      <c r="B48" s="133" t="s">
        <v>4</v>
      </c>
      <c r="C48" s="130">
        <v>1</v>
      </c>
      <c r="D48" s="130">
        <v>1</v>
      </c>
      <c r="E48" s="130">
        <v>1E-14</v>
      </c>
      <c r="F48" s="130">
        <v>1E-14</v>
      </c>
      <c r="G48" s="130">
        <v>1E-14</v>
      </c>
      <c r="H48" s="130">
        <v>1</v>
      </c>
      <c r="I48" s="130">
        <v>1</v>
      </c>
      <c r="J48" s="130">
        <v>1</v>
      </c>
      <c r="K48" s="15">
        <v>0.70490564593355709</v>
      </c>
      <c r="L48" s="15">
        <v>4232.4090000000006</v>
      </c>
      <c r="M48" s="15">
        <v>4232.4090000000006</v>
      </c>
      <c r="N48" s="15">
        <v>-1</v>
      </c>
      <c r="O48" s="15">
        <v>-1</v>
      </c>
      <c r="P48" s="15">
        <v>525</v>
      </c>
      <c r="Q48" s="186">
        <v>10.5</v>
      </c>
      <c r="R48" s="15">
        <v>1.1000000000000001</v>
      </c>
      <c r="S48" s="188">
        <v>37</v>
      </c>
      <c r="T48" s="6"/>
      <c r="U48" s="131" t="s">
        <v>0</v>
      </c>
      <c r="V48" s="72" t="s">
        <v>187</v>
      </c>
      <c r="W48" s="73">
        <v>525</v>
      </c>
      <c r="X48" s="73">
        <v>525</v>
      </c>
      <c r="Y48" s="73">
        <v>525</v>
      </c>
      <c r="Z48" s="73">
        <v>525</v>
      </c>
      <c r="AA48" s="73">
        <v>525</v>
      </c>
      <c r="AB48" s="73">
        <v>525</v>
      </c>
      <c r="AC48" s="73">
        <v>525</v>
      </c>
      <c r="AD48" s="73">
        <v>525</v>
      </c>
      <c r="AE48" s="73">
        <v>525</v>
      </c>
      <c r="AF48" s="73">
        <v>525</v>
      </c>
      <c r="AG48" s="73">
        <v>525</v>
      </c>
      <c r="AH48" s="73">
        <v>525</v>
      </c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2:58" x14ac:dyDescent="0.25">
      <c r="B49" s="133" t="s">
        <v>5</v>
      </c>
      <c r="C49" s="130">
        <v>1</v>
      </c>
      <c r="D49" s="130">
        <v>1</v>
      </c>
      <c r="E49" s="130">
        <v>1E-14</v>
      </c>
      <c r="F49" s="130">
        <v>1E-14</v>
      </c>
      <c r="G49" s="130">
        <v>1E-14</v>
      </c>
      <c r="H49" s="130">
        <v>1</v>
      </c>
      <c r="I49" s="130">
        <v>1</v>
      </c>
      <c r="J49" s="130">
        <v>1</v>
      </c>
      <c r="K49" s="15">
        <v>1E-14</v>
      </c>
      <c r="L49" s="15">
        <v>33.35</v>
      </c>
      <c r="M49" s="15">
        <v>33.35</v>
      </c>
      <c r="N49" s="15">
        <v>-1</v>
      </c>
      <c r="O49" s="15">
        <v>-1</v>
      </c>
      <c r="P49" s="15">
        <v>155</v>
      </c>
      <c r="Q49" s="186">
        <v>14.5</v>
      </c>
      <c r="R49" s="15">
        <v>1.1000000000000001</v>
      </c>
      <c r="S49" s="188">
        <v>37</v>
      </c>
      <c r="T49" s="6"/>
      <c r="U49" s="131" t="s">
        <v>0</v>
      </c>
      <c r="V49" s="72" t="s">
        <v>212</v>
      </c>
      <c r="W49" s="73">
        <v>10.5</v>
      </c>
      <c r="X49" s="73">
        <v>10.5</v>
      </c>
      <c r="Y49" s="73">
        <v>10.5</v>
      </c>
      <c r="Z49" s="73">
        <v>10.5</v>
      </c>
      <c r="AA49" s="73">
        <v>10.5</v>
      </c>
      <c r="AB49" s="73">
        <v>10.5</v>
      </c>
      <c r="AC49" s="73">
        <v>10.5</v>
      </c>
      <c r="AD49" s="73">
        <v>10.5</v>
      </c>
      <c r="AE49" s="73">
        <v>10.5</v>
      </c>
      <c r="AF49" s="73">
        <v>10.5</v>
      </c>
      <c r="AG49" s="73">
        <v>10.5</v>
      </c>
      <c r="AH49" s="73">
        <v>10.5</v>
      </c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2:58" x14ac:dyDescent="0.25">
      <c r="B50" s="133" t="s">
        <v>6</v>
      </c>
      <c r="C50" s="130">
        <v>1</v>
      </c>
      <c r="D50" s="130">
        <v>1</v>
      </c>
      <c r="E50" s="130">
        <v>1E-14</v>
      </c>
      <c r="F50" s="130">
        <v>1E-14</v>
      </c>
      <c r="G50" s="130">
        <v>1E-14</v>
      </c>
      <c r="H50" s="130">
        <v>1</v>
      </c>
      <c r="I50" s="130">
        <v>1</v>
      </c>
      <c r="J50" s="130">
        <v>1</v>
      </c>
      <c r="K50" s="15">
        <v>0.34767750327522634</v>
      </c>
      <c r="L50" s="15">
        <v>4289.78</v>
      </c>
      <c r="M50" s="15">
        <v>4289.78</v>
      </c>
      <c r="N50" s="15">
        <v>-1</v>
      </c>
      <c r="O50" s="15">
        <v>-1</v>
      </c>
      <c r="P50" s="15">
        <v>525</v>
      </c>
      <c r="Q50" s="186">
        <v>12</v>
      </c>
      <c r="R50" s="15">
        <v>1.1000000000000001</v>
      </c>
      <c r="S50" s="188">
        <v>37</v>
      </c>
      <c r="T50" s="6"/>
      <c r="U50" s="131" t="s">
        <v>0</v>
      </c>
      <c r="V50" s="72" t="s">
        <v>189</v>
      </c>
      <c r="W50" s="73">
        <v>37</v>
      </c>
      <c r="X50" s="73">
        <v>37</v>
      </c>
      <c r="Y50" s="73">
        <v>37</v>
      </c>
      <c r="Z50" s="73">
        <v>37</v>
      </c>
      <c r="AA50" s="73">
        <v>37</v>
      </c>
      <c r="AB50" s="73">
        <v>37</v>
      </c>
      <c r="AC50" s="73">
        <v>37</v>
      </c>
      <c r="AD50" s="73">
        <v>37</v>
      </c>
      <c r="AE50" s="73">
        <v>37</v>
      </c>
      <c r="AF50" s="73">
        <v>37</v>
      </c>
      <c r="AG50" s="73">
        <v>37</v>
      </c>
      <c r="AH50" s="73">
        <v>37</v>
      </c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2:58" x14ac:dyDescent="0.25">
      <c r="B51" s="133" t="s">
        <v>7</v>
      </c>
      <c r="C51" s="130">
        <v>1</v>
      </c>
      <c r="D51" s="130">
        <v>1</v>
      </c>
      <c r="E51" s="130">
        <v>1E-14</v>
      </c>
      <c r="F51" s="130">
        <v>1E-14</v>
      </c>
      <c r="G51" s="130">
        <v>1E-14</v>
      </c>
      <c r="H51" s="130">
        <v>1</v>
      </c>
      <c r="I51" s="130">
        <v>1</v>
      </c>
      <c r="J51" s="130">
        <v>1</v>
      </c>
      <c r="K51" s="15">
        <v>1.1000000000000001</v>
      </c>
      <c r="L51" s="15">
        <v>106.89999999999998</v>
      </c>
      <c r="M51" s="15">
        <v>106.89999999999998</v>
      </c>
      <c r="N51" s="15">
        <v>-1</v>
      </c>
      <c r="O51" s="15">
        <v>-1</v>
      </c>
      <c r="P51" s="15">
        <v>525</v>
      </c>
      <c r="Q51" s="186">
        <v>9</v>
      </c>
      <c r="R51" s="15">
        <v>1.1000000000000001</v>
      </c>
      <c r="S51" s="188">
        <v>37</v>
      </c>
      <c r="T51" s="6"/>
      <c r="U51" s="131" t="s">
        <v>1</v>
      </c>
      <c r="V51" s="72" t="s">
        <v>181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73">
        <v>1</v>
      </c>
      <c r="AH51" s="73">
        <v>1</v>
      </c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2:58" x14ac:dyDescent="0.25">
      <c r="B52" s="133" t="s">
        <v>8</v>
      </c>
      <c r="C52" s="130">
        <v>1</v>
      </c>
      <c r="D52" s="130">
        <v>1</v>
      </c>
      <c r="E52" s="130">
        <v>1E-14</v>
      </c>
      <c r="F52" s="130">
        <v>1E-14</v>
      </c>
      <c r="G52" s="130">
        <v>1E-14</v>
      </c>
      <c r="H52" s="130">
        <v>1</v>
      </c>
      <c r="I52" s="130">
        <v>1</v>
      </c>
      <c r="J52" s="130">
        <v>1</v>
      </c>
      <c r="K52" s="15">
        <v>0.4</v>
      </c>
      <c r="L52" s="15">
        <v>4266.01</v>
      </c>
      <c r="M52" s="15">
        <v>4266.01</v>
      </c>
      <c r="N52" s="15">
        <v>-1</v>
      </c>
      <c r="O52" s="15">
        <v>-1</v>
      </c>
      <c r="P52" s="15">
        <v>525</v>
      </c>
      <c r="Q52" s="186">
        <v>11</v>
      </c>
      <c r="R52" s="15">
        <v>1.1000000000000001</v>
      </c>
      <c r="S52" s="188">
        <v>37</v>
      </c>
      <c r="T52" s="6"/>
      <c r="U52" s="131" t="s">
        <v>1</v>
      </c>
      <c r="V52" s="72" t="s">
        <v>182</v>
      </c>
      <c r="W52" s="73">
        <v>1</v>
      </c>
      <c r="X52" s="73">
        <v>1</v>
      </c>
      <c r="Y52" s="73">
        <v>1</v>
      </c>
      <c r="Z52" s="73">
        <v>1</v>
      </c>
      <c r="AA52" s="73">
        <v>1</v>
      </c>
      <c r="AB52" s="73">
        <v>1</v>
      </c>
      <c r="AC52" s="73">
        <v>1</v>
      </c>
      <c r="AD52" s="73">
        <v>1</v>
      </c>
      <c r="AE52" s="73">
        <v>1</v>
      </c>
      <c r="AF52" s="73">
        <v>1</v>
      </c>
      <c r="AG52" s="73">
        <v>1</v>
      </c>
      <c r="AH52" s="73">
        <v>1</v>
      </c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2:58" x14ac:dyDescent="0.25">
      <c r="B53" s="133" t="s">
        <v>9</v>
      </c>
      <c r="C53" s="130">
        <v>1</v>
      </c>
      <c r="D53" s="130">
        <v>1</v>
      </c>
      <c r="E53" s="130">
        <v>1E-14</v>
      </c>
      <c r="F53" s="130">
        <v>1E-14</v>
      </c>
      <c r="G53" s="130">
        <v>1E-14</v>
      </c>
      <c r="H53" s="130">
        <v>1</v>
      </c>
      <c r="I53" s="130">
        <v>1</v>
      </c>
      <c r="J53" s="130">
        <v>1</v>
      </c>
      <c r="K53" s="15">
        <v>0.7</v>
      </c>
      <c r="L53" s="15">
        <v>398.46</v>
      </c>
      <c r="M53" s="15">
        <v>398.46</v>
      </c>
      <c r="N53" s="15">
        <v>-1</v>
      </c>
      <c r="O53" s="15">
        <v>-1</v>
      </c>
      <c r="P53" s="15">
        <v>525</v>
      </c>
      <c r="Q53" s="186">
        <v>9.5</v>
      </c>
      <c r="R53" s="15">
        <v>1.1000000000000001</v>
      </c>
      <c r="S53" s="188">
        <v>37</v>
      </c>
      <c r="T53" s="6"/>
      <c r="U53" s="131" t="s">
        <v>1</v>
      </c>
      <c r="V53" s="72" t="s">
        <v>183</v>
      </c>
      <c r="W53" s="73">
        <v>1E-14</v>
      </c>
      <c r="X53" s="73">
        <v>1E-14</v>
      </c>
      <c r="Y53" s="73">
        <v>1E-14</v>
      </c>
      <c r="Z53" s="73">
        <v>1E-14</v>
      </c>
      <c r="AA53" s="73">
        <v>1E-14</v>
      </c>
      <c r="AB53" s="73">
        <v>1E-14</v>
      </c>
      <c r="AC53" s="73">
        <v>1E-14</v>
      </c>
      <c r="AD53" s="73">
        <v>1E-14</v>
      </c>
      <c r="AE53" s="73">
        <v>1E-14</v>
      </c>
      <c r="AF53" s="73">
        <v>1E-14</v>
      </c>
      <c r="AG53" s="73">
        <v>1E-14</v>
      </c>
      <c r="AH53" s="73">
        <v>1E-14</v>
      </c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2:58" x14ac:dyDescent="0.25">
      <c r="B54" s="133" t="s">
        <v>10</v>
      </c>
      <c r="C54" s="130">
        <v>1</v>
      </c>
      <c r="D54" s="130">
        <v>1</v>
      </c>
      <c r="E54" s="130">
        <v>1</v>
      </c>
      <c r="F54" s="130">
        <v>1E-14</v>
      </c>
      <c r="G54" s="130">
        <v>1E-14</v>
      </c>
      <c r="H54" s="130">
        <v>1</v>
      </c>
      <c r="I54" s="130">
        <v>1</v>
      </c>
      <c r="J54" s="130">
        <v>1</v>
      </c>
      <c r="K54" s="15">
        <v>1.4</v>
      </c>
      <c r="L54" s="15">
        <v>6141.6699999999992</v>
      </c>
      <c r="M54" s="15">
        <v>6141.6699999999992</v>
      </c>
      <c r="N54" s="15">
        <v>1E-14</v>
      </c>
      <c r="O54" s="15">
        <v>1E-14</v>
      </c>
      <c r="P54" s="15">
        <v>525</v>
      </c>
      <c r="Q54" s="186">
        <v>9</v>
      </c>
      <c r="R54" s="15">
        <v>1.1000000000000001</v>
      </c>
      <c r="S54" s="188">
        <v>37</v>
      </c>
      <c r="T54" s="6"/>
      <c r="U54" s="131" t="s">
        <v>1</v>
      </c>
      <c r="V54" s="72" t="s">
        <v>184</v>
      </c>
      <c r="W54" s="73">
        <v>1E-14</v>
      </c>
      <c r="X54" s="73">
        <v>1E-14</v>
      </c>
      <c r="Y54" s="73">
        <v>1E-14</v>
      </c>
      <c r="Z54" s="73">
        <v>1E-14</v>
      </c>
      <c r="AA54" s="73">
        <v>1E-14</v>
      </c>
      <c r="AB54" s="73">
        <v>1E-14</v>
      </c>
      <c r="AC54" s="73">
        <v>1E-14</v>
      </c>
      <c r="AD54" s="73">
        <v>1E-14</v>
      </c>
      <c r="AE54" s="73">
        <v>1E-14</v>
      </c>
      <c r="AF54" s="73">
        <v>1E-14</v>
      </c>
      <c r="AG54" s="73">
        <v>1E-14</v>
      </c>
      <c r="AH54" s="73">
        <v>1E-14</v>
      </c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2:58" x14ac:dyDescent="0.25">
      <c r="B55" s="133" t="s">
        <v>11</v>
      </c>
      <c r="C55" s="130">
        <v>1</v>
      </c>
      <c r="D55" s="130">
        <v>1</v>
      </c>
      <c r="E55" s="130">
        <v>1E-14</v>
      </c>
      <c r="F55" s="130">
        <v>1E-14</v>
      </c>
      <c r="G55" s="130">
        <v>1E-14</v>
      </c>
      <c r="H55" s="130">
        <v>1</v>
      </c>
      <c r="I55" s="130">
        <v>1</v>
      </c>
      <c r="J55" s="130">
        <v>1</v>
      </c>
      <c r="K55" s="15">
        <v>1E-14</v>
      </c>
      <c r="L55" s="15">
        <v>134.19</v>
      </c>
      <c r="M55" s="15">
        <v>134.19</v>
      </c>
      <c r="N55" s="15">
        <v>-1</v>
      </c>
      <c r="O55" s="15">
        <v>-1</v>
      </c>
      <c r="P55" s="15">
        <v>785</v>
      </c>
      <c r="Q55" s="186">
        <v>12</v>
      </c>
      <c r="R55" s="15">
        <v>1.1000000000000001</v>
      </c>
      <c r="S55" s="188">
        <v>37</v>
      </c>
      <c r="T55" s="6"/>
      <c r="U55" s="131" t="s">
        <v>1</v>
      </c>
      <c r="V55" s="72" t="s">
        <v>187</v>
      </c>
      <c r="W55" s="73">
        <v>525</v>
      </c>
      <c r="X55" s="73">
        <v>525</v>
      </c>
      <c r="Y55" s="73">
        <v>525</v>
      </c>
      <c r="Z55" s="73">
        <v>525</v>
      </c>
      <c r="AA55" s="73">
        <v>525</v>
      </c>
      <c r="AB55" s="73">
        <v>525</v>
      </c>
      <c r="AC55" s="73">
        <v>525</v>
      </c>
      <c r="AD55" s="73">
        <v>525</v>
      </c>
      <c r="AE55" s="73">
        <v>525</v>
      </c>
      <c r="AF55" s="73">
        <v>525</v>
      </c>
      <c r="AG55" s="73">
        <v>525</v>
      </c>
      <c r="AH55" s="73">
        <v>525</v>
      </c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2:58" x14ac:dyDescent="0.25">
      <c r="B56" s="133" t="s">
        <v>12</v>
      </c>
      <c r="C56" s="130">
        <v>1</v>
      </c>
      <c r="D56" s="130">
        <v>1</v>
      </c>
      <c r="E56" s="130">
        <v>1E-14</v>
      </c>
      <c r="F56" s="130">
        <v>1E-14</v>
      </c>
      <c r="G56" s="130">
        <v>1E-14</v>
      </c>
      <c r="H56" s="130">
        <v>1</v>
      </c>
      <c r="I56" s="130">
        <v>1</v>
      </c>
      <c r="J56" s="130">
        <v>1</v>
      </c>
      <c r="K56" s="15">
        <v>1E-14</v>
      </c>
      <c r="L56" s="15">
        <v>57.78</v>
      </c>
      <c r="M56" s="15">
        <v>57.78</v>
      </c>
      <c r="N56" s="15">
        <v>-1</v>
      </c>
      <c r="O56" s="15">
        <v>-1</v>
      </c>
      <c r="P56" s="15">
        <v>1E-14</v>
      </c>
      <c r="Q56" s="186">
        <v>10</v>
      </c>
      <c r="R56" s="15">
        <v>1.1000000000000001</v>
      </c>
      <c r="S56" s="188">
        <v>37</v>
      </c>
      <c r="T56" s="6"/>
      <c r="U56" s="131" t="s">
        <v>1</v>
      </c>
      <c r="V56" s="72" t="s">
        <v>212</v>
      </c>
      <c r="W56" s="73">
        <v>10.5</v>
      </c>
      <c r="X56" s="73">
        <v>10.5</v>
      </c>
      <c r="Y56" s="73">
        <v>10.5</v>
      </c>
      <c r="Z56" s="73">
        <v>10.5</v>
      </c>
      <c r="AA56" s="73">
        <v>10.5</v>
      </c>
      <c r="AB56" s="73">
        <v>10.5</v>
      </c>
      <c r="AC56" s="73">
        <v>10.5</v>
      </c>
      <c r="AD56" s="73">
        <v>10.5</v>
      </c>
      <c r="AE56" s="73">
        <v>10.5</v>
      </c>
      <c r="AF56" s="73">
        <v>10.5</v>
      </c>
      <c r="AG56" s="73">
        <v>10.5</v>
      </c>
      <c r="AH56" s="73">
        <v>10.5</v>
      </c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2:58" x14ac:dyDescent="0.25">
      <c r="B57" s="133" t="s">
        <v>13</v>
      </c>
      <c r="C57" s="130">
        <v>1</v>
      </c>
      <c r="D57" s="130">
        <v>1</v>
      </c>
      <c r="E57" s="130">
        <v>1E-14</v>
      </c>
      <c r="F57" s="130">
        <v>1E-14</v>
      </c>
      <c r="G57" s="130">
        <v>1E-14</v>
      </c>
      <c r="H57" s="130">
        <v>1</v>
      </c>
      <c r="I57" s="130">
        <v>1</v>
      </c>
      <c r="J57" s="130">
        <v>1</v>
      </c>
      <c r="K57" s="15">
        <v>1E-14</v>
      </c>
      <c r="L57" s="15">
        <v>12.89</v>
      </c>
      <c r="M57" s="15">
        <v>12.89</v>
      </c>
      <c r="N57" s="15">
        <v>-1</v>
      </c>
      <c r="O57" s="15">
        <v>-1</v>
      </c>
      <c r="P57" s="15">
        <v>525</v>
      </c>
      <c r="Q57" s="186">
        <v>11</v>
      </c>
      <c r="R57" s="15">
        <v>1.1000000000000001</v>
      </c>
      <c r="S57" s="188">
        <v>37</v>
      </c>
      <c r="T57" s="6"/>
      <c r="U57" s="131" t="s">
        <v>1</v>
      </c>
      <c r="V57" s="72" t="s">
        <v>189</v>
      </c>
      <c r="W57" s="73">
        <v>37</v>
      </c>
      <c r="X57" s="73">
        <v>37</v>
      </c>
      <c r="Y57" s="73">
        <v>37</v>
      </c>
      <c r="Z57" s="73">
        <v>37</v>
      </c>
      <c r="AA57" s="73">
        <v>37</v>
      </c>
      <c r="AB57" s="73">
        <v>37</v>
      </c>
      <c r="AC57" s="73">
        <v>37</v>
      </c>
      <c r="AD57" s="73">
        <v>37</v>
      </c>
      <c r="AE57" s="73">
        <v>37</v>
      </c>
      <c r="AF57" s="73">
        <v>37</v>
      </c>
      <c r="AG57" s="73">
        <v>37</v>
      </c>
      <c r="AH57" s="73">
        <v>37</v>
      </c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2:58" x14ac:dyDescent="0.25">
      <c r="B58" s="133" t="s">
        <v>14</v>
      </c>
      <c r="C58" s="130">
        <v>1</v>
      </c>
      <c r="D58" s="130">
        <v>1</v>
      </c>
      <c r="E58" s="130">
        <v>1E-14</v>
      </c>
      <c r="F58" s="130">
        <v>1E-14</v>
      </c>
      <c r="G58" s="130">
        <v>1</v>
      </c>
      <c r="H58" s="130">
        <v>1</v>
      </c>
      <c r="I58" s="130">
        <v>1</v>
      </c>
      <c r="J58" s="130">
        <v>1</v>
      </c>
      <c r="K58" s="15">
        <v>0.60347726106245225</v>
      </c>
      <c r="L58" s="15">
        <v>34233</v>
      </c>
      <c r="M58" s="15">
        <v>34233</v>
      </c>
      <c r="N58" s="15">
        <v>-1</v>
      </c>
      <c r="O58" s="15">
        <v>-1</v>
      </c>
      <c r="P58" s="15">
        <v>400</v>
      </c>
      <c r="Q58" s="186">
        <v>10.5</v>
      </c>
      <c r="R58" s="15">
        <v>1.1000000000000001</v>
      </c>
      <c r="S58" s="188">
        <v>37</v>
      </c>
      <c r="T58" s="6"/>
      <c r="U58" s="131" t="s">
        <v>2</v>
      </c>
      <c r="V58" s="72" t="s">
        <v>181</v>
      </c>
      <c r="W58" s="73">
        <v>1</v>
      </c>
      <c r="X58" s="73">
        <v>1</v>
      </c>
      <c r="Y58" s="73">
        <v>1</v>
      </c>
      <c r="Z58" s="73">
        <v>1</v>
      </c>
      <c r="AA58" s="73">
        <v>1</v>
      </c>
      <c r="AB58" s="73">
        <v>1</v>
      </c>
      <c r="AC58" s="73">
        <v>1</v>
      </c>
      <c r="AD58" s="73">
        <v>1</v>
      </c>
      <c r="AE58" s="73">
        <v>1</v>
      </c>
      <c r="AF58" s="73">
        <v>1</v>
      </c>
      <c r="AG58" s="73">
        <v>1</v>
      </c>
      <c r="AH58" s="73">
        <v>1</v>
      </c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2:58" x14ac:dyDescent="0.25">
      <c r="B59" s="133" t="s">
        <v>15</v>
      </c>
      <c r="C59" s="130">
        <v>1</v>
      </c>
      <c r="D59" s="130">
        <v>1</v>
      </c>
      <c r="E59" s="130">
        <v>1E-14</v>
      </c>
      <c r="F59" s="130">
        <v>1E-14</v>
      </c>
      <c r="G59" s="130">
        <v>1</v>
      </c>
      <c r="H59" s="130">
        <v>1</v>
      </c>
      <c r="I59" s="130">
        <v>1</v>
      </c>
      <c r="J59" s="130">
        <v>1</v>
      </c>
      <c r="K59" s="15">
        <v>1E-14</v>
      </c>
      <c r="L59" s="15">
        <v>154.09</v>
      </c>
      <c r="M59" s="15">
        <v>154.09</v>
      </c>
      <c r="N59" s="15">
        <v>-1</v>
      </c>
      <c r="O59" s="15">
        <v>-1</v>
      </c>
      <c r="P59" s="15">
        <v>515</v>
      </c>
      <c r="Q59" s="186">
        <v>10.5</v>
      </c>
      <c r="R59" s="15">
        <v>1.1000000000000001</v>
      </c>
      <c r="S59" s="188">
        <v>37</v>
      </c>
      <c r="T59" s="6"/>
      <c r="U59" s="131" t="s">
        <v>2</v>
      </c>
      <c r="V59" s="72" t="s">
        <v>182</v>
      </c>
      <c r="W59" s="73">
        <v>1</v>
      </c>
      <c r="X59" s="73">
        <v>1</v>
      </c>
      <c r="Y59" s="73">
        <v>1</v>
      </c>
      <c r="Z59" s="73">
        <v>1</v>
      </c>
      <c r="AA59" s="73">
        <v>1</v>
      </c>
      <c r="AB59" s="73">
        <v>1</v>
      </c>
      <c r="AC59" s="73">
        <v>1</v>
      </c>
      <c r="AD59" s="73">
        <v>1</v>
      </c>
      <c r="AE59" s="73">
        <v>1</v>
      </c>
      <c r="AF59" s="73">
        <v>1</v>
      </c>
      <c r="AG59" s="73">
        <v>1</v>
      </c>
      <c r="AH59" s="73">
        <v>1</v>
      </c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2:58" x14ac:dyDescent="0.25">
      <c r="B60" s="133" t="s">
        <v>16</v>
      </c>
      <c r="C60" s="130">
        <v>1E-14</v>
      </c>
      <c r="D60" s="130">
        <v>1</v>
      </c>
      <c r="E60" s="130">
        <v>1</v>
      </c>
      <c r="F60" s="130">
        <v>1E-14</v>
      </c>
      <c r="G60" s="130">
        <v>1E-14</v>
      </c>
      <c r="H60" s="130">
        <v>1</v>
      </c>
      <c r="I60" s="130">
        <v>1</v>
      </c>
      <c r="J60" s="130">
        <v>1</v>
      </c>
      <c r="K60" s="15">
        <v>1E-14</v>
      </c>
      <c r="L60" s="15">
        <v>1E-14</v>
      </c>
      <c r="M60" s="15">
        <v>1E-14</v>
      </c>
      <c r="N60" s="15">
        <v>1E-14</v>
      </c>
      <c r="O60" s="15">
        <v>1E-14</v>
      </c>
      <c r="P60" s="15">
        <v>1E-14</v>
      </c>
      <c r="Q60" s="186">
        <v>13</v>
      </c>
      <c r="R60" s="15">
        <v>1.1000000000000001</v>
      </c>
      <c r="S60" s="188">
        <v>37</v>
      </c>
      <c r="T60" s="6"/>
      <c r="U60" s="131" t="s">
        <v>2</v>
      </c>
      <c r="V60" s="72" t="s">
        <v>183</v>
      </c>
      <c r="W60" s="73">
        <v>1E-14</v>
      </c>
      <c r="X60" s="73">
        <v>1E-14</v>
      </c>
      <c r="Y60" s="73">
        <v>1E-14</v>
      </c>
      <c r="Z60" s="73">
        <v>1E-14</v>
      </c>
      <c r="AA60" s="73">
        <v>1E-14</v>
      </c>
      <c r="AB60" s="73">
        <v>1E-14</v>
      </c>
      <c r="AC60" s="73">
        <v>1E-14</v>
      </c>
      <c r="AD60" s="73">
        <v>1E-14</v>
      </c>
      <c r="AE60" s="73">
        <v>1E-14</v>
      </c>
      <c r="AF60" s="73">
        <v>1E-14</v>
      </c>
      <c r="AG60" s="73">
        <v>1E-14</v>
      </c>
      <c r="AH60" s="73">
        <v>1E-14</v>
      </c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2:58" x14ac:dyDescent="0.25">
      <c r="B61" s="133" t="s">
        <v>18</v>
      </c>
      <c r="C61" s="130">
        <v>1</v>
      </c>
      <c r="D61" s="130">
        <v>1</v>
      </c>
      <c r="E61" s="130">
        <v>1</v>
      </c>
      <c r="F61" s="130">
        <v>1E-14</v>
      </c>
      <c r="G61" s="130">
        <v>1E-14</v>
      </c>
      <c r="H61" s="130">
        <v>1</v>
      </c>
      <c r="I61" s="130">
        <v>1</v>
      </c>
      <c r="J61" s="130">
        <v>1</v>
      </c>
      <c r="K61" s="15">
        <v>0.95</v>
      </c>
      <c r="L61" s="15">
        <v>1044.53</v>
      </c>
      <c r="M61" s="15">
        <v>1044.53</v>
      </c>
      <c r="N61" s="15">
        <v>1E-14</v>
      </c>
      <c r="O61" s="15">
        <v>1E-14</v>
      </c>
      <c r="P61" s="15">
        <v>1E-14</v>
      </c>
      <c r="Q61" s="186">
        <v>14.5</v>
      </c>
      <c r="R61" s="15">
        <v>1.1000000000000001</v>
      </c>
      <c r="S61" s="188">
        <v>37</v>
      </c>
      <c r="T61" s="6"/>
      <c r="U61" s="131" t="s">
        <v>2</v>
      </c>
      <c r="V61" s="72" t="s">
        <v>184</v>
      </c>
      <c r="W61" s="73">
        <v>1E-14</v>
      </c>
      <c r="X61" s="73">
        <v>1E-14</v>
      </c>
      <c r="Y61" s="73">
        <v>1E-14</v>
      </c>
      <c r="Z61" s="73">
        <v>1E-14</v>
      </c>
      <c r="AA61" s="73">
        <v>1E-14</v>
      </c>
      <c r="AB61" s="73">
        <v>1E-14</v>
      </c>
      <c r="AC61" s="73">
        <v>1E-14</v>
      </c>
      <c r="AD61" s="73">
        <v>1E-14</v>
      </c>
      <c r="AE61" s="73">
        <v>1E-14</v>
      </c>
      <c r="AF61" s="73">
        <v>1E-14</v>
      </c>
      <c r="AG61" s="73">
        <v>1E-14</v>
      </c>
      <c r="AH61" s="73">
        <v>1E-14</v>
      </c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2:58" x14ac:dyDescent="0.25">
      <c r="B62" s="133" t="s">
        <v>19</v>
      </c>
      <c r="C62" s="130">
        <v>1E-14</v>
      </c>
      <c r="D62" s="130">
        <v>1</v>
      </c>
      <c r="E62" s="130">
        <v>1E-14</v>
      </c>
      <c r="F62" s="130">
        <v>1E-14</v>
      </c>
      <c r="G62" s="130">
        <v>1E-14</v>
      </c>
      <c r="H62" s="130">
        <v>1</v>
      </c>
      <c r="I62" s="130">
        <v>1</v>
      </c>
      <c r="J62" s="130">
        <v>1</v>
      </c>
      <c r="K62" s="15">
        <v>1E-14</v>
      </c>
      <c r="L62" s="15">
        <v>1E-14</v>
      </c>
      <c r="M62" s="15">
        <v>1E-14</v>
      </c>
      <c r="N62" s="15">
        <v>-1</v>
      </c>
      <c r="O62" s="15">
        <v>-1</v>
      </c>
      <c r="P62" s="15">
        <v>1E-14</v>
      </c>
      <c r="Q62" s="186">
        <v>14.7</v>
      </c>
      <c r="R62" s="15">
        <v>1.1000000000000001</v>
      </c>
      <c r="S62" s="188">
        <v>37</v>
      </c>
      <c r="T62" s="6"/>
      <c r="U62" s="131" t="s">
        <v>2</v>
      </c>
      <c r="V62" s="72" t="s">
        <v>187</v>
      </c>
      <c r="W62" s="73">
        <v>525</v>
      </c>
      <c r="X62" s="73">
        <v>525</v>
      </c>
      <c r="Y62" s="73">
        <v>525</v>
      </c>
      <c r="Z62" s="73">
        <v>525</v>
      </c>
      <c r="AA62" s="73">
        <v>525</v>
      </c>
      <c r="AB62" s="73">
        <v>525</v>
      </c>
      <c r="AC62" s="73">
        <v>525</v>
      </c>
      <c r="AD62" s="73">
        <v>525</v>
      </c>
      <c r="AE62" s="73">
        <v>525</v>
      </c>
      <c r="AF62" s="73">
        <v>525</v>
      </c>
      <c r="AG62" s="73">
        <v>525</v>
      </c>
      <c r="AH62" s="73">
        <v>525</v>
      </c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2:58" x14ac:dyDescent="0.25">
      <c r="B63" s="133" t="s">
        <v>20</v>
      </c>
      <c r="C63" s="130">
        <v>1</v>
      </c>
      <c r="D63" s="130">
        <v>1</v>
      </c>
      <c r="E63" s="130">
        <v>1E-14</v>
      </c>
      <c r="F63" s="130">
        <v>1E-14</v>
      </c>
      <c r="G63" s="130">
        <v>1E-14</v>
      </c>
      <c r="H63" s="130">
        <v>1</v>
      </c>
      <c r="I63" s="130">
        <v>1</v>
      </c>
      <c r="J63" s="130">
        <v>1</v>
      </c>
      <c r="K63" s="15">
        <v>1</v>
      </c>
      <c r="L63" s="15">
        <v>113.93999999999998</v>
      </c>
      <c r="M63" s="15">
        <v>113.93999999999998</v>
      </c>
      <c r="N63" s="15">
        <v>-1</v>
      </c>
      <c r="O63" s="15">
        <v>-1</v>
      </c>
      <c r="P63" s="15">
        <v>685</v>
      </c>
      <c r="Q63" s="186">
        <v>14</v>
      </c>
      <c r="R63" s="15">
        <v>1.1000000000000001</v>
      </c>
      <c r="S63" s="188">
        <v>37</v>
      </c>
      <c r="T63" s="6"/>
      <c r="U63" s="131" t="s">
        <v>2</v>
      </c>
      <c r="V63" s="72" t="s">
        <v>212</v>
      </c>
      <c r="W63" s="73">
        <v>10.5</v>
      </c>
      <c r="X63" s="73">
        <v>10.5</v>
      </c>
      <c r="Y63" s="73">
        <v>10.5</v>
      </c>
      <c r="Z63" s="73">
        <v>10.5</v>
      </c>
      <c r="AA63" s="73">
        <v>10.5</v>
      </c>
      <c r="AB63" s="73">
        <v>10.5</v>
      </c>
      <c r="AC63" s="73">
        <v>10.5</v>
      </c>
      <c r="AD63" s="73">
        <v>10.5</v>
      </c>
      <c r="AE63" s="73">
        <v>10.5</v>
      </c>
      <c r="AF63" s="73">
        <v>10.5</v>
      </c>
      <c r="AG63" s="73">
        <v>10.5</v>
      </c>
      <c r="AH63" s="73">
        <v>10.5</v>
      </c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</row>
    <row r="64" spans="2:58" x14ac:dyDescent="0.25">
      <c r="B64" s="133" t="s">
        <v>17</v>
      </c>
      <c r="C64" s="130">
        <v>1</v>
      </c>
      <c r="D64" s="130">
        <v>1</v>
      </c>
      <c r="E64" s="130">
        <v>1</v>
      </c>
      <c r="F64" s="130">
        <v>1E-14</v>
      </c>
      <c r="G64" s="130">
        <v>1E-14</v>
      </c>
      <c r="H64" s="130">
        <v>1</v>
      </c>
      <c r="I64" s="130">
        <v>1</v>
      </c>
      <c r="J64" s="130">
        <v>1</v>
      </c>
      <c r="K64" s="15">
        <v>1</v>
      </c>
      <c r="L64" s="15">
        <v>212.2</v>
      </c>
      <c r="M64" s="15">
        <v>212.2</v>
      </c>
      <c r="N64" s="15">
        <v>1E-14</v>
      </c>
      <c r="O64" s="15">
        <v>1E-14</v>
      </c>
      <c r="P64" s="15">
        <v>155</v>
      </c>
      <c r="Q64" s="186">
        <v>9</v>
      </c>
      <c r="R64" s="15">
        <v>1.1000000000000001</v>
      </c>
      <c r="S64" s="188">
        <v>1E-14</v>
      </c>
      <c r="T64" s="6"/>
      <c r="U64" s="131" t="s">
        <v>2</v>
      </c>
      <c r="V64" s="72" t="s">
        <v>189</v>
      </c>
      <c r="W64" s="73">
        <v>37</v>
      </c>
      <c r="X64" s="73">
        <v>37</v>
      </c>
      <c r="Y64" s="73">
        <v>37</v>
      </c>
      <c r="Z64" s="73">
        <v>37</v>
      </c>
      <c r="AA64" s="73">
        <v>37</v>
      </c>
      <c r="AB64" s="73">
        <v>37</v>
      </c>
      <c r="AC64" s="73">
        <v>37</v>
      </c>
      <c r="AD64" s="73">
        <v>37</v>
      </c>
      <c r="AE64" s="73">
        <v>37</v>
      </c>
      <c r="AF64" s="73">
        <v>37</v>
      </c>
      <c r="AG64" s="73">
        <v>37</v>
      </c>
      <c r="AH64" s="73">
        <v>37</v>
      </c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</row>
    <row r="65" spans="2:58" x14ac:dyDescent="0.25">
      <c r="B65" s="133" t="s">
        <v>26</v>
      </c>
      <c r="C65" s="130">
        <v>1E-14</v>
      </c>
      <c r="D65" s="130">
        <v>1</v>
      </c>
      <c r="E65" s="130">
        <v>1</v>
      </c>
      <c r="F65" s="130">
        <v>1</v>
      </c>
      <c r="G65" s="130">
        <v>1</v>
      </c>
      <c r="H65" s="130">
        <v>1E-14</v>
      </c>
      <c r="I65" s="130">
        <v>1</v>
      </c>
      <c r="J65" s="130">
        <v>1</v>
      </c>
      <c r="K65" s="15">
        <v>1E-14</v>
      </c>
      <c r="L65" s="15">
        <v>1E-14</v>
      </c>
      <c r="M65" s="15">
        <v>20000</v>
      </c>
      <c r="N65" s="15">
        <v>1</v>
      </c>
      <c r="O65" s="15">
        <v>1E-14</v>
      </c>
      <c r="P65" s="15">
        <v>-402.5</v>
      </c>
      <c r="Q65" s="186">
        <v>11.5</v>
      </c>
      <c r="R65" s="15">
        <v>1E-14</v>
      </c>
      <c r="S65" s="188">
        <v>1E-14</v>
      </c>
      <c r="T65" s="6"/>
      <c r="U65" s="131" t="s">
        <v>3</v>
      </c>
      <c r="V65" s="72" t="s">
        <v>181</v>
      </c>
      <c r="W65" s="73">
        <v>1</v>
      </c>
      <c r="X65" s="73">
        <v>1</v>
      </c>
      <c r="Y65" s="73">
        <v>1</v>
      </c>
      <c r="Z65" s="73">
        <v>1</v>
      </c>
      <c r="AA65" s="73">
        <v>1</v>
      </c>
      <c r="AB65" s="73">
        <v>1</v>
      </c>
      <c r="AC65" s="73">
        <v>1</v>
      </c>
      <c r="AD65" s="73">
        <v>1</v>
      </c>
      <c r="AE65" s="73">
        <v>1</v>
      </c>
      <c r="AF65" s="73">
        <v>1</v>
      </c>
      <c r="AG65" s="73">
        <v>1</v>
      </c>
      <c r="AH65" s="73">
        <v>1</v>
      </c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</row>
    <row r="66" spans="2:58" x14ac:dyDescent="0.25">
      <c r="B66" s="133" t="s">
        <v>27</v>
      </c>
      <c r="C66" s="130">
        <v>1E-14</v>
      </c>
      <c r="D66" s="130">
        <v>1</v>
      </c>
      <c r="E66" s="130">
        <v>1E-14</v>
      </c>
      <c r="F66" s="130">
        <v>1</v>
      </c>
      <c r="G66" s="130">
        <v>1E-14</v>
      </c>
      <c r="H66" s="130">
        <v>1</v>
      </c>
      <c r="I66" s="130">
        <v>1</v>
      </c>
      <c r="J66" s="130">
        <v>1</v>
      </c>
      <c r="K66" s="15">
        <v>1E-14</v>
      </c>
      <c r="L66" s="15">
        <v>1E-14</v>
      </c>
      <c r="M66" s="15">
        <v>10000</v>
      </c>
      <c r="N66" s="15">
        <v>-1</v>
      </c>
      <c r="O66" s="15">
        <v>-1</v>
      </c>
      <c r="P66" s="15">
        <v>450</v>
      </c>
      <c r="Q66" s="186">
        <v>10.5</v>
      </c>
      <c r="R66" s="15">
        <v>1E-14</v>
      </c>
      <c r="S66" s="188">
        <v>37</v>
      </c>
      <c r="T66" s="6"/>
      <c r="U66" s="131" t="s">
        <v>3</v>
      </c>
      <c r="V66" s="72" t="s">
        <v>182</v>
      </c>
      <c r="W66" s="73">
        <v>1</v>
      </c>
      <c r="X66" s="73">
        <v>1</v>
      </c>
      <c r="Y66" s="73">
        <v>1</v>
      </c>
      <c r="Z66" s="73">
        <v>1</v>
      </c>
      <c r="AA66" s="73">
        <v>1</v>
      </c>
      <c r="AB66" s="73">
        <v>1</v>
      </c>
      <c r="AC66" s="73">
        <v>1</v>
      </c>
      <c r="AD66" s="73">
        <v>1</v>
      </c>
      <c r="AE66" s="73">
        <v>1</v>
      </c>
      <c r="AF66" s="73">
        <v>1</v>
      </c>
      <c r="AG66" s="73">
        <v>1</v>
      </c>
      <c r="AH66" s="73">
        <v>1</v>
      </c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</row>
    <row r="67" spans="2:58" x14ac:dyDescent="0.25">
      <c r="B67" s="133" t="s">
        <v>59</v>
      </c>
      <c r="C67" s="130">
        <v>1E-14</v>
      </c>
      <c r="D67" s="130">
        <v>1</v>
      </c>
      <c r="E67" s="130">
        <v>1E-14</v>
      </c>
      <c r="F67" s="130">
        <v>1</v>
      </c>
      <c r="G67" s="130">
        <v>1E-14</v>
      </c>
      <c r="H67" s="130">
        <v>1</v>
      </c>
      <c r="I67" s="130">
        <v>1E-14</v>
      </c>
      <c r="J67" s="130">
        <v>1</v>
      </c>
      <c r="K67" s="15">
        <v>1E-14</v>
      </c>
      <c r="L67" s="15">
        <v>1E-14</v>
      </c>
      <c r="M67" s="15">
        <v>10000</v>
      </c>
      <c r="N67" s="15">
        <v>-1</v>
      </c>
      <c r="O67" s="15">
        <v>-1</v>
      </c>
      <c r="P67" s="15">
        <v>500</v>
      </c>
      <c r="Q67" s="186">
        <v>9.5</v>
      </c>
      <c r="R67" s="15">
        <v>1E-14</v>
      </c>
      <c r="S67" s="188">
        <v>37</v>
      </c>
      <c r="T67" s="6"/>
      <c r="U67" s="131" t="s">
        <v>3</v>
      </c>
      <c r="V67" s="72" t="s">
        <v>183</v>
      </c>
      <c r="W67" s="73">
        <v>2397.2316666666666</v>
      </c>
      <c r="X67" s="73">
        <v>2397.2316666666666</v>
      </c>
      <c r="Y67" s="73">
        <v>2397.2316666666666</v>
      </c>
      <c r="Z67" s="73">
        <v>2397.2316666666666</v>
      </c>
      <c r="AA67" s="73">
        <v>2397.2316666666666</v>
      </c>
      <c r="AB67" s="73">
        <v>2397.2316666666666</v>
      </c>
      <c r="AC67" s="73">
        <v>2397.2316666666666</v>
      </c>
      <c r="AD67" s="73">
        <v>2397.2316666666666</v>
      </c>
      <c r="AE67" s="73">
        <v>2397.2316666666666</v>
      </c>
      <c r="AF67" s="73">
        <v>2397.2316666666666</v>
      </c>
      <c r="AG67" s="73">
        <v>2397.2316666666666</v>
      </c>
      <c r="AH67" s="73">
        <v>2397.2316666666666</v>
      </c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</row>
    <row r="68" spans="2:58" x14ac:dyDescent="0.25">
      <c r="B68" s="133" t="s">
        <v>60</v>
      </c>
      <c r="C68" s="130">
        <v>1E-14</v>
      </c>
      <c r="D68" s="130">
        <v>1</v>
      </c>
      <c r="E68" s="130">
        <v>1E-14</v>
      </c>
      <c r="F68" s="130">
        <v>1</v>
      </c>
      <c r="G68" s="130">
        <v>1E-14</v>
      </c>
      <c r="H68" s="130">
        <v>1</v>
      </c>
      <c r="I68" s="130">
        <v>1E-14</v>
      </c>
      <c r="J68" s="130">
        <v>1</v>
      </c>
      <c r="K68" s="15">
        <v>1E-14</v>
      </c>
      <c r="L68" s="15">
        <v>1E-14</v>
      </c>
      <c r="M68" s="15">
        <v>10000</v>
      </c>
      <c r="N68" s="15">
        <v>-1</v>
      </c>
      <c r="O68" s="15">
        <v>-1</v>
      </c>
      <c r="P68" s="15">
        <v>550</v>
      </c>
      <c r="Q68" s="186">
        <v>8.5</v>
      </c>
      <c r="R68" s="15">
        <v>1E-14</v>
      </c>
      <c r="S68" s="188">
        <v>37</v>
      </c>
      <c r="T68" s="6"/>
      <c r="U68" s="131" t="s">
        <v>3</v>
      </c>
      <c r="V68" s="72" t="s">
        <v>184</v>
      </c>
      <c r="W68" s="73">
        <v>2397.2316666666666</v>
      </c>
      <c r="X68" s="73">
        <v>2397.2316666666666</v>
      </c>
      <c r="Y68" s="73">
        <v>2397.2316666666666</v>
      </c>
      <c r="Z68" s="73">
        <v>2397.2316666666666</v>
      </c>
      <c r="AA68" s="73">
        <v>2397.2316666666666</v>
      </c>
      <c r="AB68" s="73">
        <v>2397.2316666666666</v>
      </c>
      <c r="AC68" s="73">
        <v>2397.2316666666666</v>
      </c>
      <c r="AD68" s="73">
        <v>2397.2316666666666</v>
      </c>
      <c r="AE68" s="73">
        <v>2397.2316666666666</v>
      </c>
      <c r="AF68" s="73">
        <v>2397.2316666666666</v>
      </c>
      <c r="AG68" s="73">
        <v>2397.2316666666666</v>
      </c>
      <c r="AH68" s="73">
        <v>2397.2316666666666</v>
      </c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</row>
    <row r="69" spans="2:58" x14ac:dyDescent="0.25">
      <c r="B69" s="133" t="s">
        <v>61</v>
      </c>
      <c r="C69" s="130">
        <v>1E-14</v>
      </c>
      <c r="D69" s="130">
        <v>1</v>
      </c>
      <c r="E69" s="130">
        <v>1E-14</v>
      </c>
      <c r="F69" s="130">
        <v>1</v>
      </c>
      <c r="G69" s="130">
        <v>1E-14</v>
      </c>
      <c r="H69" s="130">
        <v>1</v>
      </c>
      <c r="I69" s="130">
        <v>1E-14</v>
      </c>
      <c r="J69" s="130">
        <v>1</v>
      </c>
      <c r="K69" s="15">
        <v>1E-14</v>
      </c>
      <c r="L69" s="15">
        <v>1E-14</v>
      </c>
      <c r="M69" s="15">
        <v>10000</v>
      </c>
      <c r="N69" s="15">
        <v>-1</v>
      </c>
      <c r="O69" s="15">
        <v>-1</v>
      </c>
      <c r="P69" s="15">
        <v>600</v>
      </c>
      <c r="Q69" s="186">
        <v>7.5</v>
      </c>
      <c r="R69" s="15">
        <v>1E-14</v>
      </c>
      <c r="S69" s="188">
        <v>37</v>
      </c>
      <c r="T69" s="6"/>
      <c r="U69" s="131" t="s">
        <v>3</v>
      </c>
      <c r="V69" s="72" t="s">
        <v>187</v>
      </c>
      <c r="W69" s="73">
        <v>525</v>
      </c>
      <c r="X69" s="73">
        <v>525</v>
      </c>
      <c r="Y69" s="73">
        <v>525</v>
      </c>
      <c r="Z69" s="73">
        <v>525</v>
      </c>
      <c r="AA69" s="73">
        <v>525</v>
      </c>
      <c r="AB69" s="73">
        <v>525</v>
      </c>
      <c r="AC69" s="73">
        <v>525</v>
      </c>
      <c r="AD69" s="73">
        <v>525</v>
      </c>
      <c r="AE69" s="73">
        <v>525</v>
      </c>
      <c r="AF69" s="73">
        <v>525</v>
      </c>
      <c r="AG69" s="73">
        <v>525</v>
      </c>
      <c r="AH69" s="73">
        <v>525</v>
      </c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</row>
    <row r="70" spans="2:58" x14ac:dyDescent="0.25">
      <c r="B70" s="133" t="s">
        <v>21</v>
      </c>
      <c r="C70" s="130">
        <v>1</v>
      </c>
      <c r="D70" s="130">
        <v>2</v>
      </c>
      <c r="E70" s="130">
        <v>1E-14</v>
      </c>
      <c r="F70" s="130">
        <v>1</v>
      </c>
      <c r="G70" s="130">
        <v>1</v>
      </c>
      <c r="H70" s="130">
        <v>1E-14</v>
      </c>
      <c r="I70" s="130">
        <v>1E-14</v>
      </c>
      <c r="J70" s="130">
        <v>1E-14</v>
      </c>
      <c r="K70" s="15">
        <v>1E-14</v>
      </c>
      <c r="L70" s="15">
        <v>1E-14</v>
      </c>
      <c r="M70" s="15">
        <v>1E-14</v>
      </c>
      <c r="N70" s="15">
        <v>-1</v>
      </c>
      <c r="O70" s="15">
        <v>-1</v>
      </c>
      <c r="P70" s="15">
        <v>-470</v>
      </c>
      <c r="Q70" s="186">
        <v>9.4</v>
      </c>
      <c r="R70" s="15">
        <v>1E-14</v>
      </c>
      <c r="S70" s="188">
        <v>1E-14</v>
      </c>
      <c r="T70" s="6"/>
      <c r="U70" s="131" t="s">
        <v>3</v>
      </c>
      <c r="V70" s="72" t="s">
        <v>212</v>
      </c>
      <c r="W70" s="73">
        <v>9.4</v>
      </c>
      <c r="X70" s="73">
        <v>9.4</v>
      </c>
      <c r="Y70" s="73">
        <v>9.4</v>
      </c>
      <c r="Z70" s="73">
        <v>9.4</v>
      </c>
      <c r="AA70" s="73">
        <v>9.4</v>
      </c>
      <c r="AB70" s="73">
        <v>9.4</v>
      </c>
      <c r="AC70" s="73">
        <v>9.4</v>
      </c>
      <c r="AD70" s="73">
        <v>9.4</v>
      </c>
      <c r="AE70" s="73">
        <v>9.4</v>
      </c>
      <c r="AF70" s="73">
        <v>9.4</v>
      </c>
      <c r="AG70" s="73">
        <v>9.4</v>
      </c>
      <c r="AH70" s="73">
        <v>9.4</v>
      </c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</row>
    <row r="71" spans="2:58" x14ac:dyDescent="0.25">
      <c r="B71" s="133" t="s">
        <v>22</v>
      </c>
      <c r="C71" s="130">
        <v>1</v>
      </c>
      <c r="D71" s="130">
        <v>3</v>
      </c>
      <c r="E71" s="130">
        <v>1E-14</v>
      </c>
      <c r="F71" s="130">
        <v>1</v>
      </c>
      <c r="G71" s="130">
        <v>1</v>
      </c>
      <c r="H71" s="130">
        <v>1E-14</v>
      </c>
      <c r="I71" s="130">
        <v>1E-14</v>
      </c>
      <c r="J71" s="130">
        <v>1E-14</v>
      </c>
      <c r="K71" s="15">
        <v>1E-14</v>
      </c>
      <c r="L71" s="15">
        <v>1E-14</v>
      </c>
      <c r="M71" s="15">
        <v>11000</v>
      </c>
      <c r="N71" s="15">
        <v>-1</v>
      </c>
      <c r="O71" s="15">
        <v>-1</v>
      </c>
      <c r="P71" s="15">
        <v>-189</v>
      </c>
      <c r="Q71" s="186">
        <v>3.6</v>
      </c>
      <c r="R71" s="15">
        <v>1E-14</v>
      </c>
      <c r="S71" s="188">
        <v>1E-14</v>
      </c>
      <c r="T71" s="6"/>
      <c r="U71" s="131" t="s">
        <v>3</v>
      </c>
      <c r="V71" s="72" t="s">
        <v>189</v>
      </c>
      <c r="W71" s="73">
        <v>37</v>
      </c>
      <c r="X71" s="73">
        <v>37</v>
      </c>
      <c r="Y71" s="73">
        <v>37</v>
      </c>
      <c r="Z71" s="73">
        <v>37</v>
      </c>
      <c r="AA71" s="73">
        <v>37</v>
      </c>
      <c r="AB71" s="73">
        <v>37</v>
      </c>
      <c r="AC71" s="73">
        <v>37</v>
      </c>
      <c r="AD71" s="73">
        <v>37</v>
      </c>
      <c r="AE71" s="73">
        <v>37</v>
      </c>
      <c r="AF71" s="73">
        <v>37</v>
      </c>
      <c r="AG71" s="73">
        <v>37</v>
      </c>
      <c r="AH71" s="73">
        <v>37</v>
      </c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</row>
    <row r="72" spans="2:58" x14ac:dyDescent="0.25">
      <c r="B72" s="133" t="s">
        <v>25</v>
      </c>
      <c r="C72" s="130">
        <v>1</v>
      </c>
      <c r="D72" s="130">
        <v>4</v>
      </c>
      <c r="E72" s="130">
        <v>1E-14</v>
      </c>
      <c r="F72" s="130">
        <v>1</v>
      </c>
      <c r="G72" s="130">
        <v>1</v>
      </c>
      <c r="H72" s="130">
        <v>1E-14</v>
      </c>
      <c r="I72" s="130">
        <v>1E-14</v>
      </c>
      <c r="J72" s="130">
        <v>1E-14</v>
      </c>
      <c r="K72" s="15">
        <v>1E-14</v>
      </c>
      <c r="L72" s="15">
        <v>1E-14</v>
      </c>
      <c r="M72" s="15">
        <v>20000</v>
      </c>
      <c r="N72" s="15">
        <v>-1</v>
      </c>
      <c r="O72" s="15">
        <v>-1</v>
      </c>
      <c r="P72" s="15">
        <v>-5000</v>
      </c>
      <c r="Q72" s="15">
        <v>44</v>
      </c>
      <c r="R72" s="15">
        <v>1E-14</v>
      </c>
      <c r="S72" s="188">
        <v>72.727272727272734</v>
      </c>
      <c r="T72" s="6"/>
      <c r="U72" s="131" t="s">
        <v>4</v>
      </c>
      <c r="V72" s="72" t="s">
        <v>181</v>
      </c>
      <c r="W72" s="73">
        <v>1</v>
      </c>
      <c r="X72" s="73">
        <v>1</v>
      </c>
      <c r="Y72" s="73">
        <v>1</v>
      </c>
      <c r="Z72" s="73">
        <v>1</v>
      </c>
      <c r="AA72" s="73">
        <v>1</v>
      </c>
      <c r="AB72" s="73">
        <v>1</v>
      </c>
      <c r="AC72" s="73">
        <v>1</v>
      </c>
      <c r="AD72" s="73">
        <v>1</v>
      </c>
      <c r="AE72" s="73">
        <v>1</v>
      </c>
      <c r="AF72" s="73">
        <v>1</v>
      </c>
      <c r="AG72" s="73">
        <v>1</v>
      </c>
      <c r="AH72" s="73">
        <v>1</v>
      </c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</row>
    <row r="73" spans="2:58" x14ac:dyDescent="0.25">
      <c r="B73" s="15"/>
      <c r="C73" s="130"/>
      <c r="D73" s="130"/>
      <c r="E73" s="130"/>
      <c r="F73" s="130"/>
      <c r="G73" s="130"/>
      <c r="H73" s="130"/>
      <c r="I73" s="130"/>
      <c r="J73" s="15"/>
      <c r="K73" s="15"/>
      <c r="L73" s="15"/>
      <c r="M73" s="15"/>
      <c r="N73" s="15"/>
      <c r="O73" s="15"/>
      <c r="P73" s="15"/>
      <c r="Q73" s="15"/>
      <c r="R73" s="6"/>
      <c r="S73" s="6"/>
      <c r="T73" s="6"/>
      <c r="U73" s="131" t="s">
        <v>4</v>
      </c>
      <c r="V73" s="72" t="s">
        <v>182</v>
      </c>
      <c r="W73" s="73">
        <v>1</v>
      </c>
      <c r="X73" s="73">
        <v>1</v>
      </c>
      <c r="Y73" s="73">
        <v>1</v>
      </c>
      <c r="Z73" s="73">
        <v>1</v>
      </c>
      <c r="AA73" s="73">
        <v>1</v>
      </c>
      <c r="AB73" s="73">
        <v>1</v>
      </c>
      <c r="AC73" s="73">
        <v>1</v>
      </c>
      <c r="AD73" s="73">
        <v>1</v>
      </c>
      <c r="AE73" s="73">
        <v>1</v>
      </c>
      <c r="AF73" s="73">
        <v>1</v>
      </c>
      <c r="AG73" s="73">
        <v>1</v>
      </c>
      <c r="AH73" s="73">
        <v>1</v>
      </c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</row>
    <row r="74" spans="2:58" x14ac:dyDescent="0.25">
      <c r="B74" s="15"/>
      <c r="C74" s="130"/>
      <c r="D74" s="130"/>
      <c r="E74" s="130"/>
      <c r="F74" s="130"/>
      <c r="G74" s="130"/>
      <c r="H74" s="130"/>
      <c r="I74" s="130"/>
      <c r="J74" s="15"/>
      <c r="K74" s="15"/>
      <c r="L74" s="15"/>
      <c r="M74" s="15"/>
      <c r="N74" s="15"/>
      <c r="O74" s="15"/>
      <c r="P74" s="15"/>
      <c r="Q74" s="15"/>
      <c r="R74" s="6"/>
      <c r="S74" s="6"/>
      <c r="T74" s="6"/>
      <c r="U74" s="131" t="s">
        <v>4</v>
      </c>
      <c r="V74" s="72" t="s">
        <v>183</v>
      </c>
      <c r="W74" s="73">
        <v>352.70075000000003</v>
      </c>
      <c r="X74" s="73">
        <v>352.70075000000003</v>
      </c>
      <c r="Y74" s="73">
        <v>352.70075000000003</v>
      </c>
      <c r="Z74" s="73">
        <v>352.70075000000003</v>
      </c>
      <c r="AA74" s="73">
        <v>352.70075000000003</v>
      </c>
      <c r="AB74" s="73">
        <v>352.70075000000003</v>
      </c>
      <c r="AC74" s="73">
        <v>352.70075000000003</v>
      </c>
      <c r="AD74" s="73">
        <v>352.70075000000003</v>
      </c>
      <c r="AE74" s="73">
        <v>352.70075000000003</v>
      </c>
      <c r="AF74" s="73">
        <v>352.70075000000003</v>
      </c>
      <c r="AG74" s="73">
        <v>352.70075000000003</v>
      </c>
      <c r="AH74" s="73">
        <v>352.70075000000003</v>
      </c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</row>
    <row r="75" spans="2:58" x14ac:dyDescent="0.25">
      <c r="B75" s="15"/>
      <c r="C75" s="130"/>
      <c r="D75" s="130"/>
      <c r="E75" s="130"/>
      <c r="F75" s="130"/>
      <c r="G75" s="130"/>
      <c r="H75" s="130"/>
      <c r="I75" s="130"/>
      <c r="J75" s="15"/>
      <c r="K75" s="15"/>
      <c r="L75" s="15"/>
      <c r="M75" s="15"/>
      <c r="N75" s="15"/>
      <c r="O75" s="15"/>
      <c r="P75" s="15"/>
      <c r="Q75" s="15"/>
      <c r="R75" s="6"/>
      <c r="S75" s="6"/>
      <c r="T75" s="6"/>
      <c r="U75" s="131" t="s">
        <v>4</v>
      </c>
      <c r="V75" s="72" t="s">
        <v>184</v>
      </c>
      <c r="W75" s="73">
        <v>352.70075000000003</v>
      </c>
      <c r="X75" s="73">
        <v>352.70075000000003</v>
      </c>
      <c r="Y75" s="73">
        <v>352.70075000000003</v>
      </c>
      <c r="Z75" s="73">
        <v>352.70075000000003</v>
      </c>
      <c r="AA75" s="73">
        <v>352.70075000000003</v>
      </c>
      <c r="AB75" s="73">
        <v>352.70075000000003</v>
      </c>
      <c r="AC75" s="73">
        <v>352.70075000000003</v>
      </c>
      <c r="AD75" s="73">
        <v>352.70075000000003</v>
      </c>
      <c r="AE75" s="73">
        <v>352.70075000000003</v>
      </c>
      <c r="AF75" s="73">
        <v>352.70075000000003</v>
      </c>
      <c r="AG75" s="73">
        <v>352.70075000000003</v>
      </c>
      <c r="AH75" s="73">
        <v>352.70075000000003</v>
      </c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  <c r="BF75" s="73"/>
    </row>
    <row r="76" spans="2:58" x14ac:dyDescent="0.25">
      <c r="Q76"/>
      <c r="R76" s="6"/>
      <c r="S76" s="6"/>
      <c r="T76" s="6"/>
      <c r="U76" s="131" t="s">
        <v>4</v>
      </c>
      <c r="V76" s="72" t="s">
        <v>187</v>
      </c>
      <c r="W76" s="73">
        <v>525</v>
      </c>
      <c r="X76" s="73">
        <v>525</v>
      </c>
      <c r="Y76" s="73">
        <v>525</v>
      </c>
      <c r="Z76" s="73">
        <v>525</v>
      </c>
      <c r="AA76" s="73">
        <v>525</v>
      </c>
      <c r="AB76" s="73">
        <v>525</v>
      </c>
      <c r="AC76" s="73">
        <v>525</v>
      </c>
      <c r="AD76" s="73">
        <v>525</v>
      </c>
      <c r="AE76" s="73">
        <v>525</v>
      </c>
      <c r="AF76" s="73">
        <v>525</v>
      </c>
      <c r="AG76" s="73">
        <v>525</v>
      </c>
      <c r="AH76" s="73">
        <v>525</v>
      </c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</row>
    <row r="77" spans="2:58" x14ac:dyDescent="0.25">
      <c r="Q77"/>
      <c r="R77" s="6"/>
      <c r="S77" s="6"/>
      <c r="T77" s="6"/>
      <c r="U77" s="131" t="s">
        <v>4</v>
      </c>
      <c r="V77" s="72" t="s">
        <v>212</v>
      </c>
      <c r="W77" s="73">
        <v>10.5</v>
      </c>
      <c r="X77" s="73">
        <v>10.5</v>
      </c>
      <c r="Y77" s="73">
        <v>10.5</v>
      </c>
      <c r="Z77" s="73">
        <v>10.5</v>
      </c>
      <c r="AA77" s="73">
        <v>10.5</v>
      </c>
      <c r="AB77" s="73">
        <v>10.5</v>
      </c>
      <c r="AC77" s="73">
        <v>10.5</v>
      </c>
      <c r="AD77" s="73">
        <v>10.5</v>
      </c>
      <c r="AE77" s="73">
        <v>10.5</v>
      </c>
      <c r="AF77" s="73">
        <v>10.5</v>
      </c>
      <c r="AG77" s="73">
        <v>10.5</v>
      </c>
      <c r="AH77" s="73">
        <v>10.5</v>
      </c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</row>
    <row r="78" spans="2:58" x14ac:dyDescent="0.25">
      <c r="Q78"/>
      <c r="R78" s="6"/>
      <c r="S78" s="6"/>
      <c r="T78" s="6"/>
      <c r="U78" s="131" t="s">
        <v>4</v>
      </c>
      <c r="V78" s="72" t="s">
        <v>189</v>
      </c>
      <c r="W78" s="73">
        <v>37</v>
      </c>
      <c r="X78" s="73">
        <v>37</v>
      </c>
      <c r="Y78" s="73">
        <v>37</v>
      </c>
      <c r="Z78" s="73">
        <v>37</v>
      </c>
      <c r="AA78" s="73">
        <v>37</v>
      </c>
      <c r="AB78" s="73">
        <v>37</v>
      </c>
      <c r="AC78" s="73">
        <v>37</v>
      </c>
      <c r="AD78" s="73">
        <v>37</v>
      </c>
      <c r="AE78" s="73">
        <v>37</v>
      </c>
      <c r="AF78" s="73">
        <v>37</v>
      </c>
      <c r="AG78" s="73">
        <v>37</v>
      </c>
      <c r="AH78" s="73">
        <v>37</v>
      </c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  <c r="BF78" s="73"/>
    </row>
    <row r="79" spans="2:58" x14ac:dyDescent="0.25">
      <c r="Q79"/>
      <c r="R79" s="6"/>
      <c r="S79" s="6"/>
      <c r="T79" s="6"/>
      <c r="U79" s="131" t="s">
        <v>5</v>
      </c>
      <c r="V79" s="72" t="s">
        <v>181</v>
      </c>
      <c r="W79" s="73">
        <v>1</v>
      </c>
      <c r="X79" s="73">
        <v>1</v>
      </c>
      <c r="Y79" s="73">
        <v>1</v>
      </c>
      <c r="Z79" s="73">
        <v>1</v>
      </c>
      <c r="AA79" s="73">
        <v>1</v>
      </c>
      <c r="AB79" s="73">
        <v>1</v>
      </c>
      <c r="AC79" s="73">
        <v>1</v>
      </c>
      <c r="AD79" s="73">
        <v>1</v>
      </c>
      <c r="AE79" s="73">
        <v>1</v>
      </c>
      <c r="AF79" s="73">
        <v>1</v>
      </c>
      <c r="AG79" s="73">
        <v>1</v>
      </c>
      <c r="AH79" s="73">
        <v>1</v>
      </c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  <c r="BF79" s="73"/>
    </row>
    <row r="80" spans="2:58" x14ac:dyDescent="0.25">
      <c r="Q80"/>
      <c r="R80" s="6"/>
      <c r="S80" s="6"/>
      <c r="T80" s="6"/>
      <c r="U80" s="131" t="s">
        <v>5</v>
      </c>
      <c r="V80" s="72" t="s">
        <v>182</v>
      </c>
      <c r="W80" s="73">
        <v>1</v>
      </c>
      <c r="X80" s="73">
        <v>1</v>
      </c>
      <c r="Y80" s="73">
        <v>1</v>
      </c>
      <c r="Z80" s="73">
        <v>1</v>
      </c>
      <c r="AA80" s="73">
        <v>1</v>
      </c>
      <c r="AB80" s="73">
        <v>1</v>
      </c>
      <c r="AC80" s="73">
        <v>1</v>
      </c>
      <c r="AD80" s="73">
        <v>1</v>
      </c>
      <c r="AE80" s="73">
        <v>1</v>
      </c>
      <c r="AF80" s="73">
        <v>1</v>
      </c>
      <c r="AG80" s="73">
        <v>1</v>
      </c>
      <c r="AH80" s="73">
        <v>1</v>
      </c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  <c r="BF80" s="73"/>
    </row>
    <row r="81" spans="17:58" x14ac:dyDescent="0.25">
      <c r="Q81"/>
      <c r="R81" s="6"/>
      <c r="S81" s="6"/>
      <c r="T81" s="6"/>
      <c r="U81" s="131" t="s">
        <v>5</v>
      </c>
      <c r="V81" s="72" t="s">
        <v>183</v>
      </c>
      <c r="W81" s="73">
        <v>2.7791666666666668</v>
      </c>
      <c r="X81" s="73">
        <v>2.7791666666666668</v>
      </c>
      <c r="Y81" s="73">
        <v>2.7791666666666668</v>
      </c>
      <c r="Z81" s="73">
        <v>2.7791666666666668</v>
      </c>
      <c r="AA81" s="73">
        <v>2.7791666666666668</v>
      </c>
      <c r="AB81" s="73">
        <v>2.7791666666666668</v>
      </c>
      <c r="AC81" s="73">
        <v>2.7791666666666668</v>
      </c>
      <c r="AD81" s="73">
        <v>2.7791666666666668</v>
      </c>
      <c r="AE81" s="73">
        <v>2.7791666666666668</v>
      </c>
      <c r="AF81" s="73">
        <v>2.7791666666666668</v>
      </c>
      <c r="AG81" s="73">
        <v>2.7791666666666668</v>
      </c>
      <c r="AH81" s="73">
        <v>2.7791666666666668</v>
      </c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</row>
    <row r="82" spans="17:58" x14ac:dyDescent="0.25">
      <c r="Q82"/>
      <c r="R82" s="6"/>
      <c r="S82" s="6"/>
      <c r="T82" s="6"/>
      <c r="U82" s="131" t="s">
        <v>5</v>
      </c>
      <c r="V82" s="72" t="s">
        <v>184</v>
      </c>
      <c r="W82" s="73">
        <v>2.7791666666666668</v>
      </c>
      <c r="X82" s="73">
        <v>2.7791666666666668</v>
      </c>
      <c r="Y82" s="73">
        <v>2.7791666666666668</v>
      </c>
      <c r="Z82" s="73">
        <v>2.7791666666666668</v>
      </c>
      <c r="AA82" s="73">
        <v>2.7791666666666668</v>
      </c>
      <c r="AB82" s="73">
        <v>2.7791666666666668</v>
      </c>
      <c r="AC82" s="73">
        <v>2.7791666666666668</v>
      </c>
      <c r="AD82" s="73">
        <v>2.7791666666666668</v>
      </c>
      <c r="AE82" s="73">
        <v>2.7791666666666668</v>
      </c>
      <c r="AF82" s="73">
        <v>2.7791666666666668</v>
      </c>
      <c r="AG82" s="73">
        <v>2.7791666666666668</v>
      </c>
      <c r="AH82" s="73">
        <v>2.7791666666666668</v>
      </c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</row>
    <row r="83" spans="17:58" x14ac:dyDescent="0.25">
      <c r="Q83"/>
      <c r="R83" s="6"/>
      <c r="S83" s="6"/>
      <c r="T83" s="6"/>
      <c r="U83" s="131" t="s">
        <v>5</v>
      </c>
      <c r="V83" s="72" t="s">
        <v>187</v>
      </c>
      <c r="W83" s="73">
        <v>155</v>
      </c>
      <c r="X83" s="73">
        <v>155</v>
      </c>
      <c r="Y83" s="73">
        <v>155</v>
      </c>
      <c r="Z83" s="73">
        <v>155</v>
      </c>
      <c r="AA83" s="73">
        <v>155</v>
      </c>
      <c r="AB83" s="73">
        <v>155</v>
      </c>
      <c r="AC83" s="73">
        <v>155</v>
      </c>
      <c r="AD83" s="73">
        <v>155</v>
      </c>
      <c r="AE83" s="73">
        <v>155</v>
      </c>
      <c r="AF83" s="73">
        <v>155</v>
      </c>
      <c r="AG83" s="73">
        <v>155</v>
      </c>
      <c r="AH83" s="73">
        <v>155</v>
      </c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  <c r="BF83" s="73"/>
    </row>
    <row r="84" spans="17:58" x14ac:dyDescent="0.25">
      <c r="Q84"/>
      <c r="R84" s="6"/>
      <c r="S84" s="6"/>
      <c r="T84" s="6"/>
      <c r="U84" s="131" t="s">
        <v>5</v>
      </c>
      <c r="V84" s="72" t="s">
        <v>212</v>
      </c>
      <c r="W84" s="73">
        <v>14.5</v>
      </c>
      <c r="X84" s="73">
        <v>14.5</v>
      </c>
      <c r="Y84" s="73">
        <v>14.5</v>
      </c>
      <c r="Z84" s="73">
        <v>14.5</v>
      </c>
      <c r="AA84" s="73">
        <v>14.5</v>
      </c>
      <c r="AB84" s="73">
        <v>14.5</v>
      </c>
      <c r="AC84" s="73">
        <v>14.5</v>
      </c>
      <c r="AD84" s="73">
        <v>14.5</v>
      </c>
      <c r="AE84" s="73">
        <v>14.5</v>
      </c>
      <c r="AF84" s="73">
        <v>14.5</v>
      </c>
      <c r="AG84" s="73">
        <v>14.5</v>
      </c>
      <c r="AH84" s="73">
        <v>14.5</v>
      </c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  <c r="BF84" s="73"/>
    </row>
    <row r="85" spans="17:58" x14ac:dyDescent="0.25">
      <c r="Q85"/>
      <c r="R85" s="6"/>
      <c r="S85" s="6"/>
      <c r="T85" s="6"/>
      <c r="U85" s="131" t="s">
        <v>5</v>
      </c>
      <c r="V85" s="72" t="s">
        <v>189</v>
      </c>
      <c r="W85" s="73">
        <v>37</v>
      </c>
      <c r="X85" s="73">
        <v>37</v>
      </c>
      <c r="Y85" s="73">
        <v>37</v>
      </c>
      <c r="Z85" s="73">
        <v>37</v>
      </c>
      <c r="AA85" s="73">
        <v>37</v>
      </c>
      <c r="AB85" s="73">
        <v>37</v>
      </c>
      <c r="AC85" s="73">
        <v>37</v>
      </c>
      <c r="AD85" s="73">
        <v>37</v>
      </c>
      <c r="AE85" s="73">
        <v>37</v>
      </c>
      <c r="AF85" s="73">
        <v>37</v>
      </c>
      <c r="AG85" s="73">
        <v>37</v>
      </c>
      <c r="AH85" s="73">
        <v>37</v>
      </c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  <c r="BF85" s="73"/>
    </row>
    <row r="86" spans="17:58" x14ac:dyDescent="0.25">
      <c r="Q86"/>
      <c r="R86" s="6"/>
      <c r="S86" s="6"/>
      <c r="T86" s="6"/>
      <c r="U86" s="131" t="s">
        <v>6</v>
      </c>
      <c r="V86" s="72" t="s">
        <v>181</v>
      </c>
      <c r="W86" s="73">
        <v>1</v>
      </c>
      <c r="X86" s="73">
        <v>1</v>
      </c>
      <c r="Y86" s="73">
        <v>1</v>
      </c>
      <c r="Z86" s="73">
        <v>1</v>
      </c>
      <c r="AA86" s="73">
        <v>1</v>
      </c>
      <c r="AB86" s="73">
        <v>1</v>
      </c>
      <c r="AC86" s="73">
        <v>1</v>
      </c>
      <c r="AD86" s="73">
        <v>1</v>
      </c>
      <c r="AE86" s="73">
        <v>1</v>
      </c>
      <c r="AF86" s="73">
        <v>1</v>
      </c>
      <c r="AG86" s="73">
        <v>1</v>
      </c>
      <c r="AH86" s="73">
        <v>1</v>
      </c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</row>
    <row r="87" spans="17:58" x14ac:dyDescent="0.25">
      <c r="Q87"/>
      <c r="R87" s="6"/>
      <c r="S87" s="6"/>
      <c r="T87" s="6"/>
      <c r="U87" s="131" t="s">
        <v>6</v>
      </c>
      <c r="V87" s="72" t="s">
        <v>182</v>
      </c>
      <c r="W87" s="73">
        <v>1</v>
      </c>
      <c r="X87" s="73">
        <v>1</v>
      </c>
      <c r="Y87" s="73">
        <v>1</v>
      </c>
      <c r="Z87" s="73">
        <v>1</v>
      </c>
      <c r="AA87" s="73">
        <v>1</v>
      </c>
      <c r="AB87" s="73">
        <v>1</v>
      </c>
      <c r="AC87" s="73">
        <v>1</v>
      </c>
      <c r="AD87" s="73">
        <v>1</v>
      </c>
      <c r="AE87" s="73">
        <v>1</v>
      </c>
      <c r="AF87" s="73">
        <v>1</v>
      </c>
      <c r="AG87" s="73">
        <v>1</v>
      </c>
      <c r="AH87" s="73">
        <v>1</v>
      </c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</row>
    <row r="88" spans="17:58" x14ac:dyDescent="0.25">
      <c r="Q88"/>
      <c r="R88" s="6"/>
      <c r="S88" s="6"/>
      <c r="T88" s="6"/>
      <c r="U88" s="131" t="s">
        <v>6</v>
      </c>
      <c r="V88" s="72" t="s">
        <v>183</v>
      </c>
      <c r="W88" s="73">
        <v>357.48166666666663</v>
      </c>
      <c r="X88" s="73">
        <v>357.48166666666663</v>
      </c>
      <c r="Y88" s="73">
        <v>357.48166666666663</v>
      </c>
      <c r="Z88" s="73">
        <v>357.48166666666663</v>
      </c>
      <c r="AA88" s="73">
        <v>357.48166666666663</v>
      </c>
      <c r="AB88" s="73">
        <v>357.48166666666663</v>
      </c>
      <c r="AC88" s="73">
        <v>357.48166666666663</v>
      </c>
      <c r="AD88" s="73">
        <v>357.48166666666663</v>
      </c>
      <c r="AE88" s="73">
        <v>357.48166666666663</v>
      </c>
      <c r="AF88" s="73">
        <v>357.48166666666663</v>
      </c>
      <c r="AG88" s="73">
        <v>357.48166666666663</v>
      </c>
      <c r="AH88" s="73">
        <v>357.48166666666663</v>
      </c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</row>
    <row r="89" spans="17:58" x14ac:dyDescent="0.25">
      <c r="Q89"/>
      <c r="R89" s="6"/>
      <c r="S89" s="6"/>
      <c r="T89" s="6"/>
      <c r="U89" s="131" t="s">
        <v>6</v>
      </c>
      <c r="V89" s="72" t="s">
        <v>184</v>
      </c>
      <c r="W89" s="73">
        <v>357.48166666666663</v>
      </c>
      <c r="X89" s="73">
        <v>357.48166666666663</v>
      </c>
      <c r="Y89" s="73">
        <v>357.48166666666663</v>
      </c>
      <c r="Z89" s="73">
        <v>357.48166666666663</v>
      </c>
      <c r="AA89" s="73">
        <v>357.48166666666663</v>
      </c>
      <c r="AB89" s="73">
        <v>357.48166666666663</v>
      </c>
      <c r="AC89" s="73">
        <v>357.48166666666663</v>
      </c>
      <c r="AD89" s="73">
        <v>357.48166666666663</v>
      </c>
      <c r="AE89" s="73">
        <v>357.48166666666663</v>
      </c>
      <c r="AF89" s="73">
        <v>357.48166666666663</v>
      </c>
      <c r="AG89" s="73">
        <v>357.48166666666663</v>
      </c>
      <c r="AH89" s="73">
        <v>357.48166666666663</v>
      </c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  <c r="BF89" s="73"/>
    </row>
    <row r="90" spans="17:58" x14ac:dyDescent="0.25">
      <c r="Q90"/>
      <c r="R90" s="6"/>
      <c r="S90" s="6"/>
      <c r="T90" s="6"/>
      <c r="U90" s="131" t="s">
        <v>6</v>
      </c>
      <c r="V90" s="72" t="s">
        <v>187</v>
      </c>
      <c r="W90" s="73">
        <v>525</v>
      </c>
      <c r="X90" s="73">
        <v>525</v>
      </c>
      <c r="Y90" s="73">
        <v>525</v>
      </c>
      <c r="Z90" s="73">
        <v>525</v>
      </c>
      <c r="AA90" s="73">
        <v>525</v>
      </c>
      <c r="AB90" s="73">
        <v>525</v>
      </c>
      <c r="AC90" s="73">
        <v>525</v>
      </c>
      <c r="AD90" s="73">
        <v>525</v>
      </c>
      <c r="AE90" s="73">
        <v>525</v>
      </c>
      <c r="AF90" s="73">
        <v>525</v>
      </c>
      <c r="AG90" s="73">
        <v>525</v>
      </c>
      <c r="AH90" s="73">
        <v>525</v>
      </c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  <c r="BF90" s="73"/>
    </row>
    <row r="91" spans="17:58" x14ac:dyDescent="0.25">
      <c r="Q91"/>
      <c r="R91" s="6"/>
      <c r="S91" s="6"/>
      <c r="T91" s="6"/>
      <c r="U91" s="131" t="s">
        <v>6</v>
      </c>
      <c r="V91" s="72" t="s">
        <v>212</v>
      </c>
      <c r="W91" s="73">
        <v>12</v>
      </c>
      <c r="X91" s="73">
        <v>12</v>
      </c>
      <c r="Y91" s="73">
        <v>12</v>
      </c>
      <c r="Z91" s="73">
        <v>12</v>
      </c>
      <c r="AA91" s="73">
        <v>12</v>
      </c>
      <c r="AB91" s="73">
        <v>12</v>
      </c>
      <c r="AC91" s="73">
        <v>12</v>
      </c>
      <c r="AD91" s="73">
        <v>12</v>
      </c>
      <c r="AE91" s="73">
        <v>12</v>
      </c>
      <c r="AF91" s="73">
        <v>12</v>
      </c>
      <c r="AG91" s="73">
        <v>12</v>
      </c>
      <c r="AH91" s="73">
        <v>12</v>
      </c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</row>
    <row r="92" spans="17:58" x14ac:dyDescent="0.25">
      <c r="Q92"/>
      <c r="R92" s="6"/>
      <c r="S92" s="6"/>
      <c r="T92" s="6"/>
      <c r="U92" s="131" t="s">
        <v>6</v>
      </c>
      <c r="V92" s="72" t="s">
        <v>189</v>
      </c>
      <c r="W92" s="73">
        <v>37</v>
      </c>
      <c r="X92" s="73">
        <v>37</v>
      </c>
      <c r="Y92" s="73">
        <v>37</v>
      </c>
      <c r="Z92" s="73">
        <v>37</v>
      </c>
      <c r="AA92" s="73">
        <v>37</v>
      </c>
      <c r="AB92" s="73">
        <v>37</v>
      </c>
      <c r="AC92" s="73">
        <v>37</v>
      </c>
      <c r="AD92" s="73">
        <v>37</v>
      </c>
      <c r="AE92" s="73">
        <v>37</v>
      </c>
      <c r="AF92" s="73">
        <v>37</v>
      </c>
      <c r="AG92" s="73">
        <v>37</v>
      </c>
      <c r="AH92" s="73">
        <v>37</v>
      </c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</row>
    <row r="93" spans="17:58" x14ac:dyDescent="0.25">
      <c r="Q93"/>
      <c r="R93" s="6"/>
      <c r="S93" s="6"/>
      <c r="T93" s="6"/>
      <c r="U93" s="131" t="s">
        <v>7</v>
      </c>
      <c r="V93" s="72" t="s">
        <v>181</v>
      </c>
      <c r="W93" s="73">
        <v>1</v>
      </c>
      <c r="X93" s="73">
        <v>1</v>
      </c>
      <c r="Y93" s="73">
        <v>1</v>
      </c>
      <c r="Z93" s="73">
        <v>1</v>
      </c>
      <c r="AA93" s="73">
        <v>1</v>
      </c>
      <c r="AB93" s="73">
        <v>1</v>
      </c>
      <c r="AC93" s="73">
        <v>1</v>
      </c>
      <c r="AD93" s="73">
        <v>1</v>
      </c>
      <c r="AE93" s="73">
        <v>1</v>
      </c>
      <c r="AF93" s="73">
        <v>1</v>
      </c>
      <c r="AG93" s="73">
        <v>1</v>
      </c>
      <c r="AH93" s="73">
        <v>1</v>
      </c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</row>
    <row r="94" spans="17:58" x14ac:dyDescent="0.25">
      <c r="Q94"/>
      <c r="R94" s="6"/>
      <c r="S94" s="6"/>
      <c r="T94" s="6"/>
      <c r="U94" s="131" t="s">
        <v>7</v>
      </c>
      <c r="V94" s="72" t="s">
        <v>182</v>
      </c>
      <c r="W94" s="73">
        <v>1</v>
      </c>
      <c r="X94" s="73">
        <v>1</v>
      </c>
      <c r="Y94" s="73">
        <v>1</v>
      </c>
      <c r="Z94" s="73">
        <v>1</v>
      </c>
      <c r="AA94" s="73">
        <v>1</v>
      </c>
      <c r="AB94" s="73">
        <v>1</v>
      </c>
      <c r="AC94" s="73">
        <v>1</v>
      </c>
      <c r="AD94" s="73">
        <v>1</v>
      </c>
      <c r="AE94" s="73">
        <v>1</v>
      </c>
      <c r="AF94" s="73">
        <v>1</v>
      </c>
      <c r="AG94" s="73">
        <v>1</v>
      </c>
      <c r="AH94" s="73">
        <v>1</v>
      </c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  <c r="BF94" s="73"/>
    </row>
    <row r="95" spans="17:58" x14ac:dyDescent="0.25">
      <c r="Q95"/>
      <c r="R95" s="6"/>
      <c r="S95" s="6"/>
      <c r="T95" s="6"/>
      <c r="U95" s="131" t="s">
        <v>7</v>
      </c>
      <c r="V95" s="72" t="s">
        <v>183</v>
      </c>
      <c r="W95" s="73">
        <v>8.9083333333333314</v>
      </c>
      <c r="X95" s="73">
        <v>8.9083333333333314</v>
      </c>
      <c r="Y95" s="73">
        <v>8.9083333333333314</v>
      </c>
      <c r="Z95" s="73">
        <v>8.9083333333333314</v>
      </c>
      <c r="AA95" s="73">
        <v>8.9083333333333314</v>
      </c>
      <c r="AB95" s="73">
        <v>8.9083333333333314</v>
      </c>
      <c r="AC95" s="73">
        <v>8.9083333333333314</v>
      </c>
      <c r="AD95" s="73">
        <v>8.9083333333333314</v>
      </c>
      <c r="AE95" s="73">
        <v>8.9083333333333314</v>
      </c>
      <c r="AF95" s="73">
        <v>8.9083333333333314</v>
      </c>
      <c r="AG95" s="73">
        <v>8.9083333333333314</v>
      </c>
      <c r="AH95" s="73">
        <v>8.9083333333333314</v>
      </c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</row>
    <row r="96" spans="17:58" x14ac:dyDescent="0.25">
      <c r="Q96"/>
      <c r="R96" s="6"/>
      <c r="S96" s="6"/>
      <c r="T96" s="6"/>
      <c r="U96" s="131" t="s">
        <v>7</v>
      </c>
      <c r="V96" s="72" t="s">
        <v>184</v>
      </c>
      <c r="W96" s="73">
        <v>8.9083333333333314</v>
      </c>
      <c r="X96" s="73">
        <v>8.9083333333333314</v>
      </c>
      <c r="Y96" s="73">
        <v>8.9083333333333314</v>
      </c>
      <c r="Z96" s="73">
        <v>8.9083333333333314</v>
      </c>
      <c r="AA96" s="73">
        <v>8.9083333333333314</v>
      </c>
      <c r="AB96" s="73">
        <v>8.9083333333333314</v>
      </c>
      <c r="AC96" s="73">
        <v>8.9083333333333314</v>
      </c>
      <c r="AD96" s="73">
        <v>8.9083333333333314</v>
      </c>
      <c r="AE96" s="73">
        <v>8.9083333333333314</v>
      </c>
      <c r="AF96" s="73">
        <v>8.9083333333333314</v>
      </c>
      <c r="AG96" s="73">
        <v>8.9083333333333314</v>
      </c>
      <c r="AH96" s="73">
        <v>8.9083333333333314</v>
      </c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</row>
    <row r="97" spans="17:58" x14ac:dyDescent="0.25">
      <c r="Q97"/>
      <c r="R97" s="6"/>
      <c r="S97" s="6"/>
      <c r="T97" s="6"/>
      <c r="U97" s="131" t="s">
        <v>7</v>
      </c>
      <c r="V97" s="72" t="s">
        <v>187</v>
      </c>
      <c r="W97" s="73">
        <v>525</v>
      </c>
      <c r="X97" s="73">
        <v>525</v>
      </c>
      <c r="Y97" s="73">
        <v>525</v>
      </c>
      <c r="Z97" s="73">
        <v>525</v>
      </c>
      <c r="AA97" s="73">
        <v>525</v>
      </c>
      <c r="AB97" s="73">
        <v>525</v>
      </c>
      <c r="AC97" s="73">
        <v>525</v>
      </c>
      <c r="AD97" s="73">
        <v>525</v>
      </c>
      <c r="AE97" s="73">
        <v>525</v>
      </c>
      <c r="AF97" s="73">
        <v>525</v>
      </c>
      <c r="AG97" s="73">
        <v>525</v>
      </c>
      <c r="AH97" s="73">
        <v>525</v>
      </c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  <c r="BF97" s="73"/>
    </row>
    <row r="98" spans="17:58" x14ac:dyDescent="0.25">
      <c r="Q98"/>
      <c r="R98" s="6"/>
      <c r="S98" s="6"/>
      <c r="T98" s="6"/>
      <c r="U98" s="131" t="s">
        <v>7</v>
      </c>
      <c r="V98" s="72" t="s">
        <v>212</v>
      </c>
      <c r="W98" s="73">
        <v>9</v>
      </c>
      <c r="X98" s="73">
        <v>9</v>
      </c>
      <c r="Y98" s="73">
        <v>9</v>
      </c>
      <c r="Z98" s="73">
        <v>9</v>
      </c>
      <c r="AA98" s="73">
        <v>9</v>
      </c>
      <c r="AB98" s="73">
        <v>9</v>
      </c>
      <c r="AC98" s="73">
        <v>9</v>
      </c>
      <c r="AD98" s="73">
        <v>9</v>
      </c>
      <c r="AE98" s="73">
        <v>9</v>
      </c>
      <c r="AF98" s="73">
        <v>9</v>
      </c>
      <c r="AG98" s="73">
        <v>9</v>
      </c>
      <c r="AH98" s="73">
        <v>9</v>
      </c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  <c r="BF98" s="73"/>
    </row>
    <row r="99" spans="17:58" x14ac:dyDescent="0.25">
      <c r="Q99"/>
      <c r="R99" s="6"/>
      <c r="S99" s="6"/>
      <c r="T99" s="6"/>
      <c r="U99" s="131" t="s">
        <v>7</v>
      </c>
      <c r="V99" s="72" t="s">
        <v>189</v>
      </c>
      <c r="W99" s="73">
        <v>37</v>
      </c>
      <c r="X99" s="73">
        <v>37</v>
      </c>
      <c r="Y99" s="73">
        <v>37</v>
      </c>
      <c r="Z99" s="73">
        <v>37</v>
      </c>
      <c r="AA99" s="73">
        <v>37</v>
      </c>
      <c r="AB99" s="73">
        <v>37</v>
      </c>
      <c r="AC99" s="73">
        <v>37</v>
      </c>
      <c r="AD99" s="73">
        <v>37</v>
      </c>
      <c r="AE99" s="73">
        <v>37</v>
      </c>
      <c r="AF99" s="73">
        <v>37</v>
      </c>
      <c r="AG99" s="73">
        <v>37</v>
      </c>
      <c r="AH99" s="73">
        <v>37</v>
      </c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  <c r="BF99" s="73"/>
    </row>
    <row r="100" spans="17:58" x14ac:dyDescent="0.25">
      <c r="Q100"/>
      <c r="R100" s="6"/>
      <c r="S100" s="6"/>
      <c r="T100" s="6"/>
      <c r="U100" s="131" t="s">
        <v>8</v>
      </c>
      <c r="V100" s="72" t="s">
        <v>181</v>
      </c>
      <c r="W100" s="73">
        <v>1</v>
      </c>
      <c r="X100" s="73">
        <v>1</v>
      </c>
      <c r="Y100" s="73">
        <v>1</v>
      </c>
      <c r="Z100" s="73">
        <v>1</v>
      </c>
      <c r="AA100" s="73">
        <v>1</v>
      </c>
      <c r="AB100" s="73">
        <v>1</v>
      </c>
      <c r="AC100" s="73">
        <v>1</v>
      </c>
      <c r="AD100" s="73">
        <v>1</v>
      </c>
      <c r="AE100" s="73">
        <v>1</v>
      </c>
      <c r="AF100" s="73">
        <v>1</v>
      </c>
      <c r="AG100" s="73">
        <v>1</v>
      </c>
      <c r="AH100" s="73">
        <v>1</v>
      </c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</row>
    <row r="101" spans="17:58" x14ac:dyDescent="0.25">
      <c r="Q101"/>
      <c r="R101" s="6"/>
      <c r="S101" s="6"/>
      <c r="T101" s="6"/>
      <c r="U101" s="131" t="s">
        <v>8</v>
      </c>
      <c r="V101" s="72" t="s">
        <v>182</v>
      </c>
      <c r="W101" s="73">
        <v>1</v>
      </c>
      <c r="X101" s="73">
        <v>1</v>
      </c>
      <c r="Y101" s="73">
        <v>1</v>
      </c>
      <c r="Z101" s="73">
        <v>1</v>
      </c>
      <c r="AA101" s="73">
        <v>1</v>
      </c>
      <c r="AB101" s="73">
        <v>1</v>
      </c>
      <c r="AC101" s="73">
        <v>1</v>
      </c>
      <c r="AD101" s="73">
        <v>1</v>
      </c>
      <c r="AE101" s="73">
        <v>1</v>
      </c>
      <c r="AF101" s="73">
        <v>1</v>
      </c>
      <c r="AG101" s="73">
        <v>1</v>
      </c>
      <c r="AH101" s="73">
        <v>1</v>
      </c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</row>
    <row r="102" spans="17:58" x14ac:dyDescent="0.25">
      <c r="Q102"/>
      <c r="R102" s="6"/>
      <c r="S102" s="6"/>
      <c r="T102" s="6"/>
      <c r="U102" s="131" t="s">
        <v>8</v>
      </c>
      <c r="V102" s="72" t="s">
        <v>183</v>
      </c>
      <c r="W102" s="73">
        <v>355.50083333333333</v>
      </c>
      <c r="X102" s="73">
        <v>355.50083333333333</v>
      </c>
      <c r="Y102" s="73">
        <v>355.50083333333333</v>
      </c>
      <c r="Z102" s="73">
        <v>355.50083333333333</v>
      </c>
      <c r="AA102" s="73">
        <v>355.50083333333333</v>
      </c>
      <c r="AB102" s="73">
        <v>355.50083333333333</v>
      </c>
      <c r="AC102" s="73">
        <v>355.50083333333333</v>
      </c>
      <c r="AD102" s="73">
        <v>355.50083333333333</v>
      </c>
      <c r="AE102" s="73">
        <v>355.50083333333333</v>
      </c>
      <c r="AF102" s="73">
        <v>355.50083333333333</v>
      </c>
      <c r="AG102" s="73">
        <v>355.50083333333333</v>
      </c>
      <c r="AH102" s="73">
        <v>355.50083333333333</v>
      </c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</row>
    <row r="103" spans="17:58" x14ac:dyDescent="0.25">
      <c r="Q103"/>
      <c r="R103" s="6"/>
      <c r="S103" s="6"/>
      <c r="T103" s="6"/>
      <c r="U103" s="131" t="s">
        <v>8</v>
      </c>
      <c r="V103" s="72" t="s">
        <v>184</v>
      </c>
      <c r="W103" s="73">
        <v>355.50083333333333</v>
      </c>
      <c r="X103" s="73">
        <v>355.50083333333333</v>
      </c>
      <c r="Y103" s="73">
        <v>355.50083333333333</v>
      </c>
      <c r="Z103" s="73">
        <v>355.50083333333333</v>
      </c>
      <c r="AA103" s="73">
        <v>355.50083333333333</v>
      </c>
      <c r="AB103" s="73">
        <v>355.50083333333333</v>
      </c>
      <c r="AC103" s="73">
        <v>355.50083333333333</v>
      </c>
      <c r="AD103" s="73">
        <v>355.50083333333333</v>
      </c>
      <c r="AE103" s="73">
        <v>355.50083333333333</v>
      </c>
      <c r="AF103" s="73">
        <v>355.50083333333333</v>
      </c>
      <c r="AG103" s="73">
        <v>355.50083333333333</v>
      </c>
      <c r="AH103" s="73">
        <v>355.50083333333333</v>
      </c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</row>
    <row r="104" spans="17:58" x14ac:dyDescent="0.25">
      <c r="Q104"/>
      <c r="R104" s="6"/>
      <c r="S104" s="6"/>
      <c r="T104" s="6"/>
      <c r="U104" s="131" t="s">
        <v>8</v>
      </c>
      <c r="V104" s="72" t="s">
        <v>187</v>
      </c>
      <c r="W104" s="73">
        <v>525</v>
      </c>
      <c r="X104" s="73">
        <v>525</v>
      </c>
      <c r="Y104" s="73">
        <v>525</v>
      </c>
      <c r="Z104" s="73">
        <v>525</v>
      </c>
      <c r="AA104" s="73">
        <v>525</v>
      </c>
      <c r="AB104" s="73">
        <v>525</v>
      </c>
      <c r="AC104" s="73">
        <v>525</v>
      </c>
      <c r="AD104" s="73">
        <v>525</v>
      </c>
      <c r="AE104" s="73">
        <v>525</v>
      </c>
      <c r="AF104" s="73">
        <v>525</v>
      </c>
      <c r="AG104" s="73">
        <v>525</v>
      </c>
      <c r="AH104" s="73">
        <v>525</v>
      </c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  <c r="BF104" s="73"/>
    </row>
    <row r="105" spans="17:58" x14ac:dyDescent="0.25">
      <c r="Q105"/>
      <c r="R105" s="6"/>
      <c r="S105" s="6"/>
      <c r="T105" s="6"/>
      <c r="U105" s="131" t="s">
        <v>8</v>
      </c>
      <c r="V105" s="72" t="s">
        <v>212</v>
      </c>
      <c r="W105" s="73">
        <v>11</v>
      </c>
      <c r="X105" s="73">
        <v>11</v>
      </c>
      <c r="Y105" s="73">
        <v>11</v>
      </c>
      <c r="Z105" s="73">
        <v>11</v>
      </c>
      <c r="AA105" s="73">
        <v>11</v>
      </c>
      <c r="AB105" s="73">
        <v>11</v>
      </c>
      <c r="AC105" s="73">
        <v>11</v>
      </c>
      <c r="AD105" s="73">
        <v>11</v>
      </c>
      <c r="AE105" s="73">
        <v>11</v>
      </c>
      <c r="AF105" s="73">
        <v>11</v>
      </c>
      <c r="AG105" s="73">
        <v>11</v>
      </c>
      <c r="AH105" s="73">
        <v>11</v>
      </c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  <c r="BF105" s="73"/>
    </row>
    <row r="106" spans="17:58" x14ac:dyDescent="0.25">
      <c r="Q106"/>
      <c r="R106" s="6"/>
      <c r="S106" s="6"/>
      <c r="T106" s="6"/>
      <c r="U106" s="131" t="s">
        <v>8</v>
      </c>
      <c r="V106" s="72" t="s">
        <v>189</v>
      </c>
      <c r="W106" s="73">
        <v>37</v>
      </c>
      <c r="X106" s="73">
        <v>37</v>
      </c>
      <c r="Y106" s="73">
        <v>37</v>
      </c>
      <c r="Z106" s="73">
        <v>37</v>
      </c>
      <c r="AA106" s="73">
        <v>37</v>
      </c>
      <c r="AB106" s="73">
        <v>37</v>
      </c>
      <c r="AC106" s="73">
        <v>37</v>
      </c>
      <c r="AD106" s="73">
        <v>37</v>
      </c>
      <c r="AE106" s="73">
        <v>37</v>
      </c>
      <c r="AF106" s="73">
        <v>37</v>
      </c>
      <c r="AG106" s="73">
        <v>37</v>
      </c>
      <c r="AH106" s="73">
        <v>37</v>
      </c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  <c r="BF106" s="73"/>
    </row>
    <row r="107" spans="17:58" x14ac:dyDescent="0.25">
      <c r="Q107"/>
      <c r="R107" s="6"/>
      <c r="S107" s="6"/>
      <c r="T107" s="6"/>
      <c r="U107" s="131" t="s">
        <v>9</v>
      </c>
      <c r="V107" s="72" t="s">
        <v>181</v>
      </c>
      <c r="W107" s="73">
        <v>1</v>
      </c>
      <c r="X107" s="73">
        <v>1</v>
      </c>
      <c r="Y107" s="73">
        <v>1</v>
      </c>
      <c r="Z107" s="73">
        <v>1</v>
      </c>
      <c r="AA107" s="73">
        <v>1</v>
      </c>
      <c r="AB107" s="73">
        <v>1</v>
      </c>
      <c r="AC107" s="73">
        <v>1</v>
      </c>
      <c r="AD107" s="73">
        <v>1</v>
      </c>
      <c r="AE107" s="73">
        <v>1</v>
      </c>
      <c r="AF107" s="73">
        <v>1</v>
      </c>
      <c r="AG107" s="73">
        <v>1</v>
      </c>
      <c r="AH107" s="73">
        <v>1</v>
      </c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</row>
    <row r="108" spans="17:58" x14ac:dyDescent="0.25">
      <c r="Q108"/>
      <c r="R108" s="6"/>
      <c r="S108" s="6"/>
      <c r="T108" s="6"/>
      <c r="U108" s="131" t="s">
        <v>9</v>
      </c>
      <c r="V108" s="72" t="s">
        <v>182</v>
      </c>
      <c r="W108" s="73">
        <v>1</v>
      </c>
      <c r="X108" s="73">
        <v>1</v>
      </c>
      <c r="Y108" s="73">
        <v>1</v>
      </c>
      <c r="Z108" s="73">
        <v>1</v>
      </c>
      <c r="AA108" s="73">
        <v>1</v>
      </c>
      <c r="AB108" s="73">
        <v>1</v>
      </c>
      <c r="AC108" s="73">
        <v>1</v>
      </c>
      <c r="AD108" s="73">
        <v>1</v>
      </c>
      <c r="AE108" s="73">
        <v>1</v>
      </c>
      <c r="AF108" s="73">
        <v>1</v>
      </c>
      <c r="AG108" s="73">
        <v>1</v>
      </c>
      <c r="AH108" s="73">
        <v>1</v>
      </c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</row>
    <row r="109" spans="17:58" x14ac:dyDescent="0.25">
      <c r="Q109"/>
      <c r="R109" s="6"/>
      <c r="S109" s="6"/>
      <c r="T109" s="6"/>
      <c r="U109" s="131" t="s">
        <v>9</v>
      </c>
      <c r="V109" s="72" t="s">
        <v>183</v>
      </c>
      <c r="W109" s="73">
        <v>33.204999999999998</v>
      </c>
      <c r="X109" s="73">
        <v>33.204999999999998</v>
      </c>
      <c r="Y109" s="73">
        <v>33.204999999999998</v>
      </c>
      <c r="Z109" s="73">
        <v>33.204999999999998</v>
      </c>
      <c r="AA109" s="73">
        <v>33.204999999999998</v>
      </c>
      <c r="AB109" s="73">
        <v>33.204999999999998</v>
      </c>
      <c r="AC109" s="73">
        <v>33.204999999999998</v>
      </c>
      <c r="AD109" s="73">
        <v>33.204999999999998</v>
      </c>
      <c r="AE109" s="73">
        <v>33.204999999999998</v>
      </c>
      <c r="AF109" s="73">
        <v>33.204999999999998</v>
      </c>
      <c r="AG109" s="73">
        <v>33.204999999999998</v>
      </c>
      <c r="AH109" s="73">
        <v>33.204999999999998</v>
      </c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</row>
    <row r="110" spans="17:58" x14ac:dyDescent="0.25">
      <c r="Q110"/>
      <c r="R110" s="6"/>
      <c r="S110" s="6"/>
      <c r="T110" s="6"/>
      <c r="U110" s="131" t="s">
        <v>9</v>
      </c>
      <c r="V110" s="72" t="s">
        <v>184</v>
      </c>
      <c r="W110" s="73">
        <v>33.204999999999998</v>
      </c>
      <c r="X110" s="73">
        <v>33.204999999999998</v>
      </c>
      <c r="Y110" s="73">
        <v>33.204999999999998</v>
      </c>
      <c r="Z110" s="73">
        <v>33.204999999999998</v>
      </c>
      <c r="AA110" s="73">
        <v>33.204999999999998</v>
      </c>
      <c r="AB110" s="73">
        <v>33.204999999999998</v>
      </c>
      <c r="AC110" s="73">
        <v>33.204999999999998</v>
      </c>
      <c r="AD110" s="73">
        <v>33.204999999999998</v>
      </c>
      <c r="AE110" s="73">
        <v>33.204999999999998</v>
      </c>
      <c r="AF110" s="73">
        <v>33.204999999999998</v>
      </c>
      <c r="AG110" s="73">
        <v>33.204999999999998</v>
      </c>
      <c r="AH110" s="73">
        <v>33.204999999999998</v>
      </c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  <c r="BF110" s="73"/>
    </row>
    <row r="111" spans="17:58" x14ac:dyDescent="0.25">
      <c r="Q111"/>
      <c r="R111" s="6"/>
      <c r="S111" s="6"/>
      <c r="T111" s="6"/>
      <c r="U111" s="131" t="s">
        <v>9</v>
      </c>
      <c r="V111" s="72" t="s">
        <v>187</v>
      </c>
      <c r="W111" s="73">
        <v>525</v>
      </c>
      <c r="X111" s="73">
        <v>525</v>
      </c>
      <c r="Y111" s="73">
        <v>525</v>
      </c>
      <c r="Z111" s="73">
        <v>525</v>
      </c>
      <c r="AA111" s="73">
        <v>525</v>
      </c>
      <c r="AB111" s="73">
        <v>525</v>
      </c>
      <c r="AC111" s="73">
        <v>525</v>
      </c>
      <c r="AD111" s="73">
        <v>525</v>
      </c>
      <c r="AE111" s="73">
        <v>525</v>
      </c>
      <c r="AF111" s="73">
        <v>525</v>
      </c>
      <c r="AG111" s="73">
        <v>525</v>
      </c>
      <c r="AH111" s="73">
        <v>525</v>
      </c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  <c r="BF111" s="73"/>
    </row>
    <row r="112" spans="17:58" x14ac:dyDescent="0.25">
      <c r="Q112"/>
      <c r="R112" s="6"/>
      <c r="S112" s="6"/>
      <c r="T112" s="6"/>
      <c r="U112" s="131" t="s">
        <v>9</v>
      </c>
      <c r="V112" s="72" t="s">
        <v>212</v>
      </c>
      <c r="W112" s="73">
        <v>9.5</v>
      </c>
      <c r="X112" s="73">
        <v>9.5</v>
      </c>
      <c r="Y112" s="73">
        <v>9.5</v>
      </c>
      <c r="Z112" s="73">
        <v>9.5</v>
      </c>
      <c r="AA112" s="73">
        <v>9.5</v>
      </c>
      <c r="AB112" s="73">
        <v>9.5</v>
      </c>
      <c r="AC112" s="73">
        <v>9.5</v>
      </c>
      <c r="AD112" s="73">
        <v>9.5</v>
      </c>
      <c r="AE112" s="73">
        <v>9.5</v>
      </c>
      <c r="AF112" s="73">
        <v>9.5</v>
      </c>
      <c r="AG112" s="73">
        <v>9.5</v>
      </c>
      <c r="AH112" s="73">
        <v>9.5</v>
      </c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  <c r="BF112" s="73"/>
    </row>
    <row r="113" spans="17:58" x14ac:dyDescent="0.25">
      <c r="Q113"/>
      <c r="R113" s="6"/>
      <c r="S113" s="6"/>
      <c r="T113" s="6"/>
      <c r="U113" s="131" t="s">
        <v>9</v>
      </c>
      <c r="V113" s="72" t="s">
        <v>189</v>
      </c>
      <c r="W113" s="73">
        <v>37</v>
      </c>
      <c r="X113" s="73">
        <v>37</v>
      </c>
      <c r="Y113" s="73">
        <v>37</v>
      </c>
      <c r="Z113" s="73">
        <v>37</v>
      </c>
      <c r="AA113" s="73">
        <v>37</v>
      </c>
      <c r="AB113" s="73">
        <v>37</v>
      </c>
      <c r="AC113" s="73">
        <v>37</v>
      </c>
      <c r="AD113" s="73">
        <v>37</v>
      </c>
      <c r="AE113" s="73">
        <v>37</v>
      </c>
      <c r="AF113" s="73">
        <v>37</v>
      </c>
      <c r="AG113" s="73">
        <v>37</v>
      </c>
      <c r="AH113" s="73">
        <v>37</v>
      </c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  <c r="BF113" s="73"/>
    </row>
    <row r="114" spans="17:58" x14ac:dyDescent="0.25">
      <c r="Q114"/>
      <c r="R114" s="6"/>
      <c r="S114" s="6"/>
      <c r="T114" s="6"/>
      <c r="U114" s="131" t="s">
        <v>10</v>
      </c>
      <c r="V114" s="72" t="s">
        <v>181</v>
      </c>
      <c r="W114" s="73">
        <v>1</v>
      </c>
      <c r="X114" s="73">
        <v>1</v>
      </c>
      <c r="Y114" s="73">
        <v>1</v>
      </c>
      <c r="Z114" s="73">
        <v>1</v>
      </c>
      <c r="AA114" s="73">
        <v>1</v>
      </c>
      <c r="AB114" s="73">
        <v>1</v>
      </c>
      <c r="AC114" s="73">
        <v>1</v>
      </c>
      <c r="AD114" s="73">
        <v>1</v>
      </c>
      <c r="AE114" s="73">
        <v>1</v>
      </c>
      <c r="AF114" s="73">
        <v>1</v>
      </c>
      <c r="AG114" s="73">
        <v>1</v>
      </c>
      <c r="AH114" s="73">
        <v>1</v>
      </c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  <c r="BF114" s="73"/>
    </row>
    <row r="115" spans="17:58" x14ac:dyDescent="0.25">
      <c r="Q115"/>
      <c r="R115" s="6"/>
      <c r="S115" s="6"/>
      <c r="T115" s="6"/>
      <c r="U115" s="131" t="s">
        <v>10</v>
      </c>
      <c r="V115" s="72" t="s">
        <v>182</v>
      </c>
      <c r="W115" s="73">
        <v>1</v>
      </c>
      <c r="X115" s="73">
        <v>1</v>
      </c>
      <c r="Y115" s="73">
        <v>1</v>
      </c>
      <c r="Z115" s="73">
        <v>1</v>
      </c>
      <c r="AA115" s="73">
        <v>1</v>
      </c>
      <c r="AB115" s="73">
        <v>1</v>
      </c>
      <c r="AC115" s="73">
        <v>1</v>
      </c>
      <c r="AD115" s="73">
        <v>1</v>
      </c>
      <c r="AE115" s="73">
        <v>1</v>
      </c>
      <c r="AF115" s="73">
        <v>1</v>
      </c>
      <c r="AG115" s="73">
        <v>1</v>
      </c>
      <c r="AH115" s="73">
        <v>1</v>
      </c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  <c r="BF115" s="73"/>
    </row>
    <row r="116" spans="17:58" x14ac:dyDescent="0.25">
      <c r="Q116"/>
      <c r="R116" s="6"/>
      <c r="S116" s="6"/>
      <c r="T116" s="6"/>
      <c r="U116" s="131" t="s">
        <v>10</v>
      </c>
      <c r="V116" s="72" t="s">
        <v>183</v>
      </c>
      <c r="W116" s="73">
        <v>511.80583333333328</v>
      </c>
      <c r="X116" s="73">
        <v>511.80583333333328</v>
      </c>
      <c r="Y116" s="73">
        <v>511.80583333333328</v>
      </c>
      <c r="Z116" s="73">
        <v>511.80583333333328</v>
      </c>
      <c r="AA116" s="73">
        <v>511.80583333333328</v>
      </c>
      <c r="AB116" s="73">
        <v>511.80583333333328</v>
      </c>
      <c r="AC116" s="73">
        <v>511.80583333333328</v>
      </c>
      <c r="AD116" s="73">
        <v>511.80583333333328</v>
      </c>
      <c r="AE116" s="73">
        <v>511.80583333333328</v>
      </c>
      <c r="AF116" s="73">
        <v>511.80583333333328</v>
      </c>
      <c r="AG116" s="73">
        <v>511.80583333333328</v>
      </c>
      <c r="AH116" s="73">
        <v>511.80583333333328</v>
      </c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  <c r="BF116" s="73"/>
    </row>
    <row r="117" spans="17:58" x14ac:dyDescent="0.25">
      <c r="Q117"/>
      <c r="R117" s="6"/>
      <c r="S117" s="6"/>
      <c r="T117" s="6"/>
      <c r="U117" s="131" t="s">
        <v>10</v>
      </c>
      <c r="V117" s="72" t="s">
        <v>184</v>
      </c>
      <c r="W117" s="73">
        <v>511.80583333333328</v>
      </c>
      <c r="X117" s="73">
        <v>511.80583333333328</v>
      </c>
      <c r="Y117" s="73">
        <v>511.80583333333328</v>
      </c>
      <c r="Z117" s="73">
        <v>511.80583333333328</v>
      </c>
      <c r="AA117" s="73">
        <v>511.80583333333328</v>
      </c>
      <c r="AB117" s="73">
        <v>511.80583333333328</v>
      </c>
      <c r="AC117" s="73">
        <v>511.80583333333328</v>
      </c>
      <c r="AD117" s="73">
        <v>511.80583333333328</v>
      </c>
      <c r="AE117" s="73">
        <v>511.80583333333328</v>
      </c>
      <c r="AF117" s="73">
        <v>511.80583333333328</v>
      </c>
      <c r="AG117" s="73">
        <v>511.80583333333328</v>
      </c>
      <c r="AH117" s="73">
        <v>511.80583333333328</v>
      </c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  <c r="BF117" s="73"/>
    </row>
    <row r="118" spans="17:58" x14ac:dyDescent="0.25">
      <c r="Q118"/>
      <c r="R118" s="6"/>
      <c r="S118" s="6"/>
      <c r="T118" s="6"/>
      <c r="U118" s="131" t="s">
        <v>10</v>
      </c>
      <c r="V118" s="72" t="s">
        <v>187</v>
      </c>
      <c r="W118" s="73">
        <v>525</v>
      </c>
      <c r="X118" s="73">
        <v>525</v>
      </c>
      <c r="Y118" s="73">
        <v>525</v>
      </c>
      <c r="Z118" s="73">
        <v>525</v>
      </c>
      <c r="AA118" s="73">
        <v>525</v>
      </c>
      <c r="AB118" s="73">
        <v>525</v>
      </c>
      <c r="AC118" s="73">
        <v>525</v>
      </c>
      <c r="AD118" s="73">
        <v>525</v>
      </c>
      <c r="AE118" s="73">
        <v>525</v>
      </c>
      <c r="AF118" s="73">
        <v>525</v>
      </c>
      <c r="AG118" s="73">
        <v>525</v>
      </c>
      <c r="AH118" s="73">
        <v>525</v>
      </c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</row>
    <row r="119" spans="17:58" x14ac:dyDescent="0.25">
      <c r="Q119"/>
      <c r="R119" s="6"/>
      <c r="S119" s="6"/>
      <c r="T119" s="6"/>
      <c r="U119" s="131" t="s">
        <v>10</v>
      </c>
      <c r="V119" s="72" t="s">
        <v>212</v>
      </c>
      <c r="W119" s="73">
        <v>9</v>
      </c>
      <c r="X119" s="73">
        <v>9</v>
      </c>
      <c r="Y119" s="73">
        <v>9</v>
      </c>
      <c r="Z119" s="73">
        <v>9</v>
      </c>
      <c r="AA119" s="73">
        <v>9</v>
      </c>
      <c r="AB119" s="73">
        <v>9</v>
      </c>
      <c r="AC119" s="73">
        <v>9</v>
      </c>
      <c r="AD119" s="73">
        <v>9</v>
      </c>
      <c r="AE119" s="73">
        <v>9</v>
      </c>
      <c r="AF119" s="73">
        <v>9</v>
      </c>
      <c r="AG119" s="73">
        <v>9</v>
      </c>
      <c r="AH119" s="73">
        <v>9</v>
      </c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</row>
    <row r="120" spans="17:58" x14ac:dyDescent="0.25">
      <c r="Q120"/>
      <c r="R120" s="6"/>
      <c r="S120" s="6"/>
      <c r="T120" s="6"/>
      <c r="U120" s="131" t="s">
        <v>10</v>
      </c>
      <c r="V120" s="72" t="s">
        <v>189</v>
      </c>
      <c r="W120" s="73">
        <v>37</v>
      </c>
      <c r="X120" s="73">
        <v>37</v>
      </c>
      <c r="Y120" s="73">
        <v>37</v>
      </c>
      <c r="Z120" s="73">
        <v>37</v>
      </c>
      <c r="AA120" s="73">
        <v>37</v>
      </c>
      <c r="AB120" s="73">
        <v>37</v>
      </c>
      <c r="AC120" s="73">
        <v>37</v>
      </c>
      <c r="AD120" s="73">
        <v>37</v>
      </c>
      <c r="AE120" s="73">
        <v>37</v>
      </c>
      <c r="AF120" s="73">
        <v>37</v>
      </c>
      <c r="AG120" s="73">
        <v>37</v>
      </c>
      <c r="AH120" s="73">
        <v>37</v>
      </c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  <c r="BF120" s="73"/>
    </row>
    <row r="121" spans="17:58" x14ac:dyDescent="0.25">
      <c r="Q121"/>
      <c r="R121" s="6"/>
      <c r="S121" s="6"/>
      <c r="T121" s="6"/>
      <c r="U121" s="131" t="s">
        <v>11</v>
      </c>
      <c r="V121" s="72" t="s">
        <v>181</v>
      </c>
      <c r="W121" s="73">
        <v>1</v>
      </c>
      <c r="X121" s="73">
        <v>1</v>
      </c>
      <c r="Y121" s="73">
        <v>1</v>
      </c>
      <c r="Z121" s="73">
        <v>1</v>
      </c>
      <c r="AA121" s="73">
        <v>1</v>
      </c>
      <c r="AB121" s="73">
        <v>1</v>
      </c>
      <c r="AC121" s="73">
        <v>1</v>
      </c>
      <c r="AD121" s="73">
        <v>1</v>
      </c>
      <c r="AE121" s="73">
        <v>1</v>
      </c>
      <c r="AF121" s="73">
        <v>1</v>
      </c>
      <c r="AG121" s="73">
        <v>1</v>
      </c>
      <c r="AH121" s="73">
        <v>1</v>
      </c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  <c r="BF121" s="73"/>
    </row>
    <row r="122" spans="17:58" x14ac:dyDescent="0.25">
      <c r="Q122"/>
      <c r="R122" s="6"/>
      <c r="S122" s="6"/>
      <c r="T122" s="6"/>
      <c r="U122" s="131" t="s">
        <v>11</v>
      </c>
      <c r="V122" s="72" t="s">
        <v>182</v>
      </c>
      <c r="W122" s="73">
        <v>1</v>
      </c>
      <c r="X122" s="73">
        <v>1</v>
      </c>
      <c r="Y122" s="73">
        <v>1</v>
      </c>
      <c r="Z122" s="73">
        <v>1</v>
      </c>
      <c r="AA122" s="73">
        <v>1</v>
      </c>
      <c r="AB122" s="73">
        <v>1</v>
      </c>
      <c r="AC122" s="73">
        <v>1</v>
      </c>
      <c r="AD122" s="73">
        <v>1</v>
      </c>
      <c r="AE122" s="73">
        <v>1</v>
      </c>
      <c r="AF122" s="73">
        <v>1</v>
      </c>
      <c r="AG122" s="73">
        <v>1</v>
      </c>
      <c r="AH122" s="73">
        <v>1</v>
      </c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  <c r="BF122" s="73"/>
    </row>
    <row r="123" spans="17:58" x14ac:dyDescent="0.25">
      <c r="Q123"/>
      <c r="R123" s="6"/>
      <c r="S123" s="6"/>
      <c r="T123" s="6"/>
      <c r="U123" s="131" t="s">
        <v>11</v>
      </c>
      <c r="V123" s="72" t="s">
        <v>183</v>
      </c>
      <c r="W123" s="73">
        <v>11.182499999999999</v>
      </c>
      <c r="X123" s="73">
        <v>11.182499999999999</v>
      </c>
      <c r="Y123" s="73">
        <v>11.182499999999999</v>
      </c>
      <c r="Z123" s="73">
        <v>11.182499999999999</v>
      </c>
      <c r="AA123" s="73">
        <v>11.182499999999999</v>
      </c>
      <c r="AB123" s="73">
        <v>11.182499999999999</v>
      </c>
      <c r="AC123" s="73">
        <v>11.182499999999999</v>
      </c>
      <c r="AD123" s="73">
        <v>11.182499999999999</v>
      </c>
      <c r="AE123" s="73">
        <v>11.182499999999999</v>
      </c>
      <c r="AF123" s="73">
        <v>11.182499999999999</v>
      </c>
      <c r="AG123" s="73">
        <v>11.182499999999999</v>
      </c>
      <c r="AH123" s="73">
        <v>11.182499999999999</v>
      </c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  <c r="BF123" s="73"/>
    </row>
    <row r="124" spans="17:58" x14ac:dyDescent="0.25">
      <c r="Q124"/>
      <c r="R124" s="6"/>
      <c r="S124" s="6"/>
      <c r="T124" s="6"/>
      <c r="U124" s="131" t="s">
        <v>11</v>
      </c>
      <c r="V124" s="72" t="s">
        <v>184</v>
      </c>
      <c r="W124" s="73">
        <v>11.182499999999999</v>
      </c>
      <c r="X124" s="73">
        <v>11.182499999999999</v>
      </c>
      <c r="Y124" s="73">
        <v>11.182499999999999</v>
      </c>
      <c r="Z124" s="73">
        <v>11.182499999999999</v>
      </c>
      <c r="AA124" s="73">
        <v>11.182499999999999</v>
      </c>
      <c r="AB124" s="73">
        <v>11.182499999999999</v>
      </c>
      <c r="AC124" s="73">
        <v>11.182499999999999</v>
      </c>
      <c r="AD124" s="73">
        <v>11.182499999999999</v>
      </c>
      <c r="AE124" s="73">
        <v>11.182499999999999</v>
      </c>
      <c r="AF124" s="73">
        <v>11.182499999999999</v>
      </c>
      <c r="AG124" s="73">
        <v>11.182499999999999</v>
      </c>
      <c r="AH124" s="73">
        <v>11.182499999999999</v>
      </c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  <c r="BF124" s="73"/>
    </row>
    <row r="125" spans="17:58" x14ac:dyDescent="0.25">
      <c r="Q125"/>
      <c r="R125" s="6"/>
      <c r="S125" s="6"/>
      <c r="T125" s="6"/>
      <c r="U125" s="131" t="s">
        <v>11</v>
      </c>
      <c r="V125" s="72" t="s">
        <v>187</v>
      </c>
      <c r="W125" s="73">
        <v>785</v>
      </c>
      <c r="X125" s="73">
        <v>785</v>
      </c>
      <c r="Y125" s="73">
        <v>785</v>
      </c>
      <c r="Z125" s="73">
        <v>785</v>
      </c>
      <c r="AA125" s="73">
        <v>785</v>
      </c>
      <c r="AB125" s="73">
        <v>785</v>
      </c>
      <c r="AC125" s="73">
        <v>785</v>
      </c>
      <c r="AD125" s="73">
        <v>785</v>
      </c>
      <c r="AE125" s="73">
        <v>785</v>
      </c>
      <c r="AF125" s="73">
        <v>785</v>
      </c>
      <c r="AG125" s="73">
        <v>785</v>
      </c>
      <c r="AH125" s="73">
        <v>785</v>
      </c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  <c r="BF125" s="73"/>
    </row>
    <row r="126" spans="17:58" x14ac:dyDescent="0.25">
      <c r="Q126"/>
      <c r="R126" s="6"/>
      <c r="S126" s="6"/>
      <c r="T126" s="6"/>
      <c r="U126" s="131" t="s">
        <v>11</v>
      </c>
      <c r="V126" s="72" t="s">
        <v>212</v>
      </c>
      <c r="W126" s="73">
        <v>12</v>
      </c>
      <c r="X126" s="73">
        <v>12</v>
      </c>
      <c r="Y126" s="73">
        <v>12</v>
      </c>
      <c r="Z126" s="73">
        <v>12</v>
      </c>
      <c r="AA126" s="73">
        <v>12</v>
      </c>
      <c r="AB126" s="73">
        <v>12</v>
      </c>
      <c r="AC126" s="73">
        <v>12</v>
      </c>
      <c r="AD126" s="73">
        <v>12</v>
      </c>
      <c r="AE126" s="73">
        <v>12</v>
      </c>
      <c r="AF126" s="73">
        <v>12</v>
      </c>
      <c r="AG126" s="73">
        <v>12</v>
      </c>
      <c r="AH126" s="73">
        <v>12</v>
      </c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  <c r="BF126" s="73"/>
    </row>
    <row r="127" spans="17:58" x14ac:dyDescent="0.25">
      <c r="Q127"/>
      <c r="R127" s="6"/>
      <c r="S127" s="6"/>
      <c r="T127" s="6"/>
      <c r="U127" s="131" t="s">
        <v>11</v>
      </c>
      <c r="V127" s="72" t="s">
        <v>189</v>
      </c>
      <c r="W127" s="73">
        <v>37</v>
      </c>
      <c r="X127" s="73">
        <v>37</v>
      </c>
      <c r="Y127" s="73">
        <v>37</v>
      </c>
      <c r="Z127" s="73">
        <v>37</v>
      </c>
      <c r="AA127" s="73">
        <v>37</v>
      </c>
      <c r="AB127" s="73">
        <v>37</v>
      </c>
      <c r="AC127" s="73">
        <v>37</v>
      </c>
      <c r="AD127" s="73">
        <v>37</v>
      </c>
      <c r="AE127" s="73">
        <v>37</v>
      </c>
      <c r="AF127" s="73">
        <v>37</v>
      </c>
      <c r="AG127" s="73">
        <v>37</v>
      </c>
      <c r="AH127" s="73">
        <v>37</v>
      </c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  <c r="BF127" s="73"/>
    </row>
    <row r="128" spans="17:58" x14ac:dyDescent="0.25">
      <c r="Q128"/>
      <c r="R128" s="6"/>
      <c r="S128" s="6"/>
      <c r="T128" s="6"/>
      <c r="U128" s="131" t="s">
        <v>12</v>
      </c>
      <c r="V128" s="72" t="s">
        <v>181</v>
      </c>
      <c r="W128" s="73">
        <v>1</v>
      </c>
      <c r="X128" s="73">
        <v>1</v>
      </c>
      <c r="Y128" s="73">
        <v>1</v>
      </c>
      <c r="Z128" s="73">
        <v>1</v>
      </c>
      <c r="AA128" s="73">
        <v>1</v>
      </c>
      <c r="AB128" s="73">
        <v>1</v>
      </c>
      <c r="AC128" s="73">
        <v>1</v>
      </c>
      <c r="AD128" s="73">
        <v>1</v>
      </c>
      <c r="AE128" s="73">
        <v>1</v>
      </c>
      <c r="AF128" s="73">
        <v>1</v>
      </c>
      <c r="AG128" s="73">
        <v>1</v>
      </c>
      <c r="AH128" s="73">
        <v>1</v>
      </c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</row>
    <row r="129" spans="17:58" x14ac:dyDescent="0.25">
      <c r="Q129"/>
      <c r="R129" s="6"/>
      <c r="S129" s="6"/>
      <c r="T129" s="6"/>
      <c r="U129" s="131" t="s">
        <v>12</v>
      </c>
      <c r="V129" s="72" t="s">
        <v>182</v>
      </c>
      <c r="W129" s="73">
        <v>1</v>
      </c>
      <c r="X129" s="73">
        <v>1</v>
      </c>
      <c r="Y129" s="73">
        <v>1</v>
      </c>
      <c r="Z129" s="73">
        <v>1</v>
      </c>
      <c r="AA129" s="73">
        <v>1</v>
      </c>
      <c r="AB129" s="73">
        <v>1</v>
      </c>
      <c r="AC129" s="73">
        <v>1</v>
      </c>
      <c r="AD129" s="73">
        <v>1</v>
      </c>
      <c r="AE129" s="73">
        <v>1</v>
      </c>
      <c r="AF129" s="73">
        <v>1</v>
      </c>
      <c r="AG129" s="73">
        <v>1</v>
      </c>
      <c r="AH129" s="73">
        <v>1</v>
      </c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  <c r="BF129" s="73"/>
    </row>
    <row r="130" spans="17:58" x14ac:dyDescent="0.25">
      <c r="Q130"/>
      <c r="R130" s="6"/>
      <c r="S130" s="6"/>
      <c r="T130" s="6"/>
      <c r="U130" s="131" t="s">
        <v>12</v>
      </c>
      <c r="V130" s="72" t="s">
        <v>183</v>
      </c>
      <c r="W130" s="73">
        <v>4.8150000000000004</v>
      </c>
      <c r="X130" s="73">
        <v>4.8150000000000004</v>
      </c>
      <c r="Y130" s="73">
        <v>4.8150000000000004</v>
      </c>
      <c r="Z130" s="73">
        <v>4.8150000000000004</v>
      </c>
      <c r="AA130" s="73">
        <v>4.8150000000000004</v>
      </c>
      <c r="AB130" s="73">
        <v>4.8150000000000004</v>
      </c>
      <c r="AC130" s="73">
        <v>4.8150000000000004</v>
      </c>
      <c r="AD130" s="73">
        <v>4.8150000000000004</v>
      </c>
      <c r="AE130" s="73">
        <v>4.8150000000000004</v>
      </c>
      <c r="AF130" s="73">
        <v>4.8150000000000004</v>
      </c>
      <c r="AG130" s="73">
        <v>4.8150000000000004</v>
      </c>
      <c r="AH130" s="73">
        <v>4.8150000000000004</v>
      </c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  <c r="BF130" s="73"/>
    </row>
    <row r="131" spans="17:58" x14ac:dyDescent="0.25">
      <c r="Q131"/>
      <c r="R131" s="6"/>
      <c r="S131" s="6"/>
      <c r="T131" s="6"/>
      <c r="U131" s="131" t="s">
        <v>12</v>
      </c>
      <c r="V131" s="72" t="s">
        <v>184</v>
      </c>
      <c r="W131" s="73">
        <v>4.8150000000000004</v>
      </c>
      <c r="X131" s="73">
        <v>4.8150000000000004</v>
      </c>
      <c r="Y131" s="73">
        <v>4.8150000000000004</v>
      </c>
      <c r="Z131" s="73">
        <v>4.8150000000000004</v>
      </c>
      <c r="AA131" s="73">
        <v>4.8150000000000004</v>
      </c>
      <c r="AB131" s="73">
        <v>4.8150000000000004</v>
      </c>
      <c r="AC131" s="73">
        <v>4.8150000000000004</v>
      </c>
      <c r="AD131" s="73">
        <v>4.8150000000000004</v>
      </c>
      <c r="AE131" s="73">
        <v>4.8150000000000004</v>
      </c>
      <c r="AF131" s="73">
        <v>4.8150000000000004</v>
      </c>
      <c r="AG131" s="73">
        <v>4.8150000000000004</v>
      </c>
      <c r="AH131" s="73">
        <v>4.8150000000000004</v>
      </c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  <c r="BF131" s="73"/>
    </row>
    <row r="132" spans="17:58" x14ac:dyDescent="0.25">
      <c r="Q132"/>
      <c r="R132" s="6"/>
      <c r="S132" s="6"/>
      <c r="T132" s="6"/>
      <c r="U132" s="131" t="s">
        <v>12</v>
      </c>
      <c r="V132" s="72" t="s">
        <v>187</v>
      </c>
      <c r="W132" s="73">
        <v>1E-14</v>
      </c>
      <c r="X132" s="73">
        <v>1E-14</v>
      </c>
      <c r="Y132" s="73">
        <v>1E-14</v>
      </c>
      <c r="Z132" s="73">
        <v>1E-14</v>
      </c>
      <c r="AA132" s="73">
        <v>1E-14</v>
      </c>
      <c r="AB132" s="73">
        <v>1E-14</v>
      </c>
      <c r="AC132" s="73">
        <v>1E-14</v>
      </c>
      <c r="AD132" s="73">
        <v>1E-14</v>
      </c>
      <c r="AE132" s="73">
        <v>1E-14</v>
      </c>
      <c r="AF132" s="73">
        <v>1E-14</v>
      </c>
      <c r="AG132" s="73">
        <v>1E-14</v>
      </c>
      <c r="AH132" s="73">
        <v>1E-14</v>
      </c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  <c r="BF132" s="73"/>
    </row>
    <row r="133" spans="17:58" x14ac:dyDescent="0.25">
      <c r="Q133"/>
      <c r="R133" s="6"/>
      <c r="S133" s="6"/>
      <c r="T133" s="6"/>
      <c r="U133" s="131" t="s">
        <v>12</v>
      </c>
      <c r="V133" s="72" t="s">
        <v>212</v>
      </c>
      <c r="W133" s="73">
        <v>10</v>
      </c>
      <c r="X133" s="73">
        <v>10</v>
      </c>
      <c r="Y133" s="73">
        <v>10</v>
      </c>
      <c r="Z133" s="73">
        <v>10</v>
      </c>
      <c r="AA133" s="73">
        <v>10</v>
      </c>
      <c r="AB133" s="73">
        <v>10</v>
      </c>
      <c r="AC133" s="73">
        <v>10</v>
      </c>
      <c r="AD133" s="73">
        <v>10</v>
      </c>
      <c r="AE133" s="73">
        <v>10</v>
      </c>
      <c r="AF133" s="73">
        <v>10</v>
      </c>
      <c r="AG133" s="73">
        <v>10</v>
      </c>
      <c r="AH133" s="73">
        <v>10</v>
      </c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  <c r="BF133" s="73"/>
    </row>
    <row r="134" spans="17:58" x14ac:dyDescent="0.25">
      <c r="Q134"/>
      <c r="R134" s="6"/>
      <c r="S134" s="6"/>
      <c r="T134" s="6"/>
      <c r="U134" s="131" t="s">
        <v>12</v>
      </c>
      <c r="V134" s="72" t="s">
        <v>189</v>
      </c>
      <c r="W134" s="73">
        <v>37</v>
      </c>
      <c r="X134" s="73">
        <v>37</v>
      </c>
      <c r="Y134" s="73">
        <v>37</v>
      </c>
      <c r="Z134" s="73">
        <v>37</v>
      </c>
      <c r="AA134" s="73">
        <v>37</v>
      </c>
      <c r="AB134" s="73">
        <v>37</v>
      </c>
      <c r="AC134" s="73">
        <v>37</v>
      </c>
      <c r="AD134" s="73">
        <v>37</v>
      </c>
      <c r="AE134" s="73">
        <v>37</v>
      </c>
      <c r="AF134" s="73">
        <v>37</v>
      </c>
      <c r="AG134" s="73">
        <v>37</v>
      </c>
      <c r="AH134" s="73">
        <v>37</v>
      </c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  <c r="BF134" s="73"/>
    </row>
    <row r="135" spans="17:58" x14ac:dyDescent="0.25">
      <c r="Q135"/>
      <c r="R135" s="6"/>
      <c r="S135" s="6"/>
      <c r="T135" s="6"/>
      <c r="U135" s="131" t="s">
        <v>13</v>
      </c>
      <c r="V135" s="72" t="s">
        <v>181</v>
      </c>
      <c r="W135" s="73">
        <v>1</v>
      </c>
      <c r="X135" s="73">
        <v>1</v>
      </c>
      <c r="Y135" s="73">
        <v>1</v>
      </c>
      <c r="Z135" s="73">
        <v>1</v>
      </c>
      <c r="AA135" s="73">
        <v>1</v>
      </c>
      <c r="AB135" s="73">
        <v>1</v>
      </c>
      <c r="AC135" s="73">
        <v>1</v>
      </c>
      <c r="AD135" s="73">
        <v>1</v>
      </c>
      <c r="AE135" s="73">
        <v>1</v>
      </c>
      <c r="AF135" s="73">
        <v>1</v>
      </c>
      <c r="AG135" s="73">
        <v>1</v>
      </c>
      <c r="AH135" s="73">
        <v>1</v>
      </c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  <c r="BF135" s="73"/>
    </row>
    <row r="136" spans="17:58" x14ac:dyDescent="0.25">
      <c r="Q136"/>
      <c r="R136" s="6"/>
      <c r="S136" s="6"/>
      <c r="T136" s="6"/>
      <c r="U136" s="131" t="s">
        <v>13</v>
      </c>
      <c r="V136" s="72" t="s">
        <v>182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73">
        <v>1</v>
      </c>
      <c r="AH136" s="73">
        <v>1</v>
      </c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  <c r="BF136" s="73"/>
    </row>
    <row r="137" spans="17:58" x14ac:dyDescent="0.25">
      <c r="Q137"/>
      <c r="R137" s="6"/>
      <c r="S137" s="6"/>
      <c r="T137" s="6"/>
      <c r="U137" s="131" t="s">
        <v>13</v>
      </c>
      <c r="V137" s="72" t="s">
        <v>183</v>
      </c>
      <c r="W137" s="73">
        <v>1.0741666666666667</v>
      </c>
      <c r="X137" s="73">
        <v>1.0741666666666667</v>
      </c>
      <c r="Y137" s="73">
        <v>1.0741666666666667</v>
      </c>
      <c r="Z137" s="73">
        <v>1.0741666666666667</v>
      </c>
      <c r="AA137" s="73">
        <v>1.0741666666666667</v>
      </c>
      <c r="AB137" s="73">
        <v>1.0741666666666667</v>
      </c>
      <c r="AC137" s="73">
        <v>1.0741666666666667</v>
      </c>
      <c r="AD137" s="73">
        <v>1.0741666666666667</v>
      </c>
      <c r="AE137" s="73">
        <v>1.0741666666666667</v>
      </c>
      <c r="AF137" s="73">
        <v>1.0741666666666667</v>
      </c>
      <c r="AG137" s="73">
        <v>1.0741666666666667</v>
      </c>
      <c r="AH137" s="73">
        <v>1.0741666666666667</v>
      </c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  <c r="BF137" s="73"/>
    </row>
    <row r="138" spans="17:58" x14ac:dyDescent="0.25">
      <c r="Q138"/>
      <c r="R138" s="6"/>
      <c r="S138" s="6"/>
      <c r="T138" s="6"/>
      <c r="U138" s="131" t="s">
        <v>13</v>
      </c>
      <c r="V138" s="72" t="s">
        <v>184</v>
      </c>
      <c r="W138" s="73">
        <v>1.0741666666666667</v>
      </c>
      <c r="X138" s="73">
        <v>1.0741666666666667</v>
      </c>
      <c r="Y138" s="73">
        <v>1.0741666666666667</v>
      </c>
      <c r="Z138" s="73">
        <v>1.0741666666666667</v>
      </c>
      <c r="AA138" s="73">
        <v>1.0741666666666667</v>
      </c>
      <c r="AB138" s="73">
        <v>1.0741666666666667</v>
      </c>
      <c r="AC138" s="73">
        <v>1.0741666666666667</v>
      </c>
      <c r="AD138" s="73">
        <v>1.0741666666666667</v>
      </c>
      <c r="AE138" s="73">
        <v>1.0741666666666667</v>
      </c>
      <c r="AF138" s="73">
        <v>1.0741666666666667</v>
      </c>
      <c r="AG138" s="73">
        <v>1.0741666666666667</v>
      </c>
      <c r="AH138" s="73">
        <v>1.0741666666666667</v>
      </c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  <c r="BF138" s="73"/>
    </row>
    <row r="139" spans="17:58" x14ac:dyDescent="0.25">
      <c r="Q139"/>
      <c r="R139" s="6"/>
      <c r="S139" s="6"/>
      <c r="T139" s="6"/>
      <c r="U139" s="131" t="s">
        <v>13</v>
      </c>
      <c r="V139" s="72" t="s">
        <v>187</v>
      </c>
      <c r="W139" s="73">
        <v>525</v>
      </c>
      <c r="X139" s="73">
        <v>525</v>
      </c>
      <c r="Y139" s="73">
        <v>525</v>
      </c>
      <c r="Z139" s="73">
        <v>525</v>
      </c>
      <c r="AA139" s="73">
        <v>525</v>
      </c>
      <c r="AB139" s="73">
        <v>525</v>
      </c>
      <c r="AC139" s="73">
        <v>525</v>
      </c>
      <c r="AD139" s="73">
        <v>525</v>
      </c>
      <c r="AE139" s="73">
        <v>525</v>
      </c>
      <c r="AF139" s="73">
        <v>525</v>
      </c>
      <c r="AG139" s="73">
        <v>525</v>
      </c>
      <c r="AH139" s="73">
        <v>525</v>
      </c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  <c r="BF139" s="73"/>
    </row>
    <row r="140" spans="17:58" x14ac:dyDescent="0.25">
      <c r="Q140"/>
      <c r="R140" s="6"/>
      <c r="S140" s="6"/>
      <c r="T140" s="6"/>
      <c r="U140" s="131" t="s">
        <v>13</v>
      </c>
      <c r="V140" s="72" t="s">
        <v>212</v>
      </c>
      <c r="W140" s="73">
        <v>11</v>
      </c>
      <c r="X140" s="73">
        <v>11</v>
      </c>
      <c r="Y140" s="73">
        <v>11</v>
      </c>
      <c r="Z140" s="73">
        <v>11</v>
      </c>
      <c r="AA140" s="73">
        <v>11</v>
      </c>
      <c r="AB140" s="73">
        <v>11</v>
      </c>
      <c r="AC140" s="73">
        <v>11</v>
      </c>
      <c r="AD140" s="73">
        <v>11</v>
      </c>
      <c r="AE140" s="73">
        <v>11</v>
      </c>
      <c r="AF140" s="73">
        <v>11</v>
      </c>
      <c r="AG140" s="73">
        <v>11</v>
      </c>
      <c r="AH140" s="73">
        <v>11</v>
      </c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  <c r="BF140" s="73"/>
    </row>
    <row r="141" spans="17:58" x14ac:dyDescent="0.25">
      <c r="Q141"/>
      <c r="R141" s="6"/>
      <c r="S141" s="6"/>
      <c r="T141" s="6"/>
      <c r="U141" s="131" t="s">
        <v>13</v>
      </c>
      <c r="V141" s="72" t="s">
        <v>189</v>
      </c>
      <c r="W141" s="73">
        <v>37</v>
      </c>
      <c r="X141" s="73">
        <v>37</v>
      </c>
      <c r="Y141" s="73">
        <v>37</v>
      </c>
      <c r="Z141" s="73">
        <v>37</v>
      </c>
      <c r="AA141" s="73">
        <v>37</v>
      </c>
      <c r="AB141" s="73">
        <v>37</v>
      </c>
      <c r="AC141" s="73">
        <v>37</v>
      </c>
      <c r="AD141" s="73">
        <v>37</v>
      </c>
      <c r="AE141" s="73">
        <v>37</v>
      </c>
      <c r="AF141" s="73">
        <v>37</v>
      </c>
      <c r="AG141" s="73">
        <v>37</v>
      </c>
      <c r="AH141" s="73">
        <v>37</v>
      </c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  <c r="BF141" s="73"/>
    </row>
    <row r="142" spans="17:58" x14ac:dyDescent="0.25">
      <c r="Q142"/>
      <c r="R142" s="6"/>
      <c r="S142" s="6"/>
      <c r="T142" s="6"/>
      <c r="U142" s="131" t="s">
        <v>14</v>
      </c>
      <c r="V142" s="72" t="s">
        <v>181</v>
      </c>
      <c r="W142" s="73">
        <v>1</v>
      </c>
      <c r="X142" s="73">
        <v>1</v>
      </c>
      <c r="Y142" s="73">
        <v>1</v>
      </c>
      <c r="Z142" s="73">
        <v>1</v>
      </c>
      <c r="AA142" s="73">
        <v>1</v>
      </c>
      <c r="AB142" s="73">
        <v>1</v>
      </c>
      <c r="AC142" s="73">
        <v>1</v>
      </c>
      <c r="AD142" s="73">
        <v>1</v>
      </c>
      <c r="AE142" s="73">
        <v>1</v>
      </c>
      <c r="AF142" s="73">
        <v>1</v>
      </c>
      <c r="AG142" s="73">
        <v>1</v>
      </c>
      <c r="AH142" s="73">
        <v>1</v>
      </c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  <c r="BF142" s="73"/>
    </row>
    <row r="143" spans="17:58" x14ac:dyDescent="0.25">
      <c r="Q143"/>
      <c r="R143" s="6"/>
      <c r="S143" s="6"/>
      <c r="T143" s="6"/>
      <c r="U143" s="131" t="s">
        <v>14</v>
      </c>
      <c r="V143" s="72" t="s">
        <v>182</v>
      </c>
      <c r="W143" s="73">
        <v>1</v>
      </c>
      <c r="X143" s="73">
        <v>1</v>
      </c>
      <c r="Y143" s="73">
        <v>1</v>
      </c>
      <c r="Z143" s="73">
        <v>1</v>
      </c>
      <c r="AA143" s="73">
        <v>1</v>
      </c>
      <c r="AB143" s="73">
        <v>1</v>
      </c>
      <c r="AC143" s="73">
        <v>1</v>
      </c>
      <c r="AD143" s="73">
        <v>1</v>
      </c>
      <c r="AE143" s="73">
        <v>1</v>
      </c>
      <c r="AF143" s="73">
        <v>1</v>
      </c>
      <c r="AG143" s="73">
        <v>1</v>
      </c>
      <c r="AH143" s="73">
        <v>1</v>
      </c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  <c r="BF143" s="73"/>
    </row>
    <row r="144" spans="17:58" x14ac:dyDescent="0.25">
      <c r="Q144"/>
      <c r="R144" s="6"/>
      <c r="S144" s="6"/>
      <c r="T144" s="6"/>
      <c r="U144" s="131" t="s">
        <v>14</v>
      </c>
      <c r="V144" s="72" t="s">
        <v>183</v>
      </c>
      <c r="W144" s="73">
        <v>2852.75</v>
      </c>
      <c r="X144" s="73">
        <v>2852.75</v>
      </c>
      <c r="Y144" s="73">
        <v>2852.75</v>
      </c>
      <c r="Z144" s="73">
        <v>2852.75</v>
      </c>
      <c r="AA144" s="73">
        <v>2852.75</v>
      </c>
      <c r="AB144" s="73">
        <v>2852.75</v>
      </c>
      <c r="AC144" s="73">
        <v>2852.75</v>
      </c>
      <c r="AD144" s="73">
        <v>2852.75</v>
      </c>
      <c r="AE144" s="73">
        <v>2852.75</v>
      </c>
      <c r="AF144" s="73">
        <v>2852.75</v>
      </c>
      <c r="AG144" s="73">
        <v>2852.75</v>
      </c>
      <c r="AH144" s="73">
        <v>2852.75</v>
      </c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  <c r="BF144" s="73"/>
    </row>
    <row r="145" spans="17:58" x14ac:dyDescent="0.25">
      <c r="Q145"/>
      <c r="R145" s="6"/>
      <c r="S145" s="6"/>
      <c r="T145" s="6"/>
      <c r="U145" s="131" t="s">
        <v>14</v>
      </c>
      <c r="V145" s="72" t="s">
        <v>184</v>
      </c>
      <c r="W145" s="73">
        <v>2852.75</v>
      </c>
      <c r="X145" s="73">
        <v>2852.75</v>
      </c>
      <c r="Y145" s="73">
        <v>2852.75</v>
      </c>
      <c r="Z145" s="73">
        <v>2852.75</v>
      </c>
      <c r="AA145" s="73">
        <v>2852.75</v>
      </c>
      <c r="AB145" s="73">
        <v>2852.75</v>
      </c>
      <c r="AC145" s="73">
        <v>2852.75</v>
      </c>
      <c r="AD145" s="73">
        <v>2852.75</v>
      </c>
      <c r="AE145" s="73">
        <v>2852.75</v>
      </c>
      <c r="AF145" s="73">
        <v>2852.75</v>
      </c>
      <c r="AG145" s="73">
        <v>2852.75</v>
      </c>
      <c r="AH145" s="73">
        <v>2852.75</v>
      </c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  <c r="BF145" s="73"/>
    </row>
    <row r="146" spans="17:58" x14ac:dyDescent="0.25">
      <c r="Q146"/>
      <c r="R146" s="6"/>
      <c r="S146" s="6"/>
      <c r="T146" s="6"/>
      <c r="U146" s="131" t="s">
        <v>14</v>
      </c>
      <c r="V146" s="72" t="s">
        <v>187</v>
      </c>
      <c r="W146" s="73">
        <v>400</v>
      </c>
      <c r="X146" s="73">
        <v>400</v>
      </c>
      <c r="Y146" s="73">
        <v>400</v>
      </c>
      <c r="Z146" s="73">
        <v>400</v>
      </c>
      <c r="AA146" s="73">
        <v>400</v>
      </c>
      <c r="AB146" s="73">
        <v>400</v>
      </c>
      <c r="AC146" s="73">
        <v>400</v>
      </c>
      <c r="AD146" s="73">
        <v>400</v>
      </c>
      <c r="AE146" s="73">
        <v>400</v>
      </c>
      <c r="AF146" s="73">
        <v>400</v>
      </c>
      <c r="AG146" s="73">
        <v>400</v>
      </c>
      <c r="AH146" s="73">
        <v>400</v>
      </c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  <c r="BF146" s="73"/>
    </row>
    <row r="147" spans="17:58" x14ac:dyDescent="0.25">
      <c r="Q147"/>
      <c r="R147" s="6"/>
      <c r="S147" s="6"/>
      <c r="T147" s="6"/>
      <c r="U147" s="131" t="s">
        <v>14</v>
      </c>
      <c r="V147" s="72" t="s">
        <v>212</v>
      </c>
      <c r="W147" s="73">
        <v>10.5</v>
      </c>
      <c r="X147" s="73">
        <v>10.5</v>
      </c>
      <c r="Y147" s="73">
        <v>10.5</v>
      </c>
      <c r="Z147" s="73">
        <v>10.5</v>
      </c>
      <c r="AA147" s="73">
        <v>10.5</v>
      </c>
      <c r="AB147" s="73">
        <v>10.5</v>
      </c>
      <c r="AC147" s="73">
        <v>10.5</v>
      </c>
      <c r="AD147" s="73">
        <v>10.5</v>
      </c>
      <c r="AE147" s="73">
        <v>10.5</v>
      </c>
      <c r="AF147" s="73">
        <v>10.5</v>
      </c>
      <c r="AG147" s="73">
        <v>10.5</v>
      </c>
      <c r="AH147" s="73">
        <v>10.5</v>
      </c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  <c r="BF147" s="73"/>
    </row>
    <row r="148" spans="17:58" x14ac:dyDescent="0.25">
      <c r="Q148"/>
      <c r="R148" s="6"/>
      <c r="S148" s="6"/>
      <c r="T148" s="6"/>
      <c r="U148" s="131" t="s">
        <v>14</v>
      </c>
      <c r="V148" s="72" t="s">
        <v>189</v>
      </c>
      <c r="W148" s="73">
        <v>37</v>
      </c>
      <c r="X148" s="73">
        <v>37</v>
      </c>
      <c r="Y148" s="73">
        <v>37</v>
      </c>
      <c r="Z148" s="73">
        <v>37</v>
      </c>
      <c r="AA148" s="73">
        <v>37</v>
      </c>
      <c r="AB148" s="73">
        <v>37</v>
      </c>
      <c r="AC148" s="73">
        <v>37</v>
      </c>
      <c r="AD148" s="73">
        <v>37</v>
      </c>
      <c r="AE148" s="73">
        <v>37</v>
      </c>
      <c r="AF148" s="73">
        <v>37</v>
      </c>
      <c r="AG148" s="73">
        <v>37</v>
      </c>
      <c r="AH148" s="73">
        <v>37</v>
      </c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  <c r="BF148" s="73"/>
    </row>
    <row r="149" spans="17:58" x14ac:dyDescent="0.25">
      <c r="Q149"/>
      <c r="R149" s="6"/>
      <c r="S149" s="6"/>
      <c r="T149" s="6"/>
      <c r="U149" s="131" t="s">
        <v>15</v>
      </c>
      <c r="V149" s="72" t="s">
        <v>181</v>
      </c>
      <c r="W149" s="73">
        <v>1</v>
      </c>
      <c r="X149" s="73">
        <v>1</v>
      </c>
      <c r="Y149" s="73">
        <v>1</v>
      </c>
      <c r="Z149" s="73">
        <v>1</v>
      </c>
      <c r="AA149" s="73">
        <v>1</v>
      </c>
      <c r="AB149" s="73">
        <v>1</v>
      </c>
      <c r="AC149" s="73">
        <v>1</v>
      </c>
      <c r="AD149" s="73">
        <v>1</v>
      </c>
      <c r="AE149" s="73">
        <v>1</v>
      </c>
      <c r="AF149" s="73">
        <v>1</v>
      </c>
      <c r="AG149" s="73">
        <v>1</v>
      </c>
      <c r="AH149" s="73">
        <v>1</v>
      </c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  <c r="BF149" s="73"/>
    </row>
    <row r="150" spans="17:58" x14ac:dyDescent="0.25">
      <c r="Q150"/>
      <c r="R150" s="6"/>
      <c r="S150" s="6"/>
      <c r="T150" s="6"/>
      <c r="U150" s="131" t="s">
        <v>15</v>
      </c>
      <c r="V150" s="72" t="s">
        <v>182</v>
      </c>
      <c r="W150" s="73">
        <v>1</v>
      </c>
      <c r="X150" s="73">
        <v>1</v>
      </c>
      <c r="Y150" s="73">
        <v>1</v>
      </c>
      <c r="Z150" s="73">
        <v>1</v>
      </c>
      <c r="AA150" s="73">
        <v>1</v>
      </c>
      <c r="AB150" s="73">
        <v>1</v>
      </c>
      <c r="AC150" s="73">
        <v>1</v>
      </c>
      <c r="AD150" s="73">
        <v>1</v>
      </c>
      <c r="AE150" s="73">
        <v>1</v>
      </c>
      <c r="AF150" s="73">
        <v>1</v>
      </c>
      <c r="AG150" s="73">
        <v>1</v>
      </c>
      <c r="AH150" s="73">
        <v>1</v>
      </c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  <c r="BF150" s="73"/>
    </row>
    <row r="151" spans="17:58" x14ac:dyDescent="0.25">
      <c r="Q151"/>
      <c r="R151" s="6"/>
      <c r="S151" s="6"/>
      <c r="T151" s="6"/>
      <c r="U151" s="131" t="s">
        <v>15</v>
      </c>
      <c r="V151" s="72" t="s">
        <v>183</v>
      </c>
      <c r="W151" s="73">
        <v>12.840833333333334</v>
      </c>
      <c r="X151" s="73">
        <v>12.840833333333334</v>
      </c>
      <c r="Y151" s="73">
        <v>12.840833333333334</v>
      </c>
      <c r="Z151" s="73">
        <v>12.840833333333334</v>
      </c>
      <c r="AA151" s="73">
        <v>12.840833333333334</v>
      </c>
      <c r="AB151" s="73">
        <v>12.840833333333334</v>
      </c>
      <c r="AC151" s="73">
        <v>12.840833333333334</v>
      </c>
      <c r="AD151" s="73">
        <v>12.840833333333334</v>
      </c>
      <c r="AE151" s="73">
        <v>12.840833333333334</v>
      </c>
      <c r="AF151" s="73">
        <v>12.840833333333334</v>
      </c>
      <c r="AG151" s="73">
        <v>12.840833333333334</v>
      </c>
      <c r="AH151" s="73">
        <v>12.840833333333334</v>
      </c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  <c r="BF151" s="73"/>
    </row>
    <row r="152" spans="17:58" x14ac:dyDescent="0.25">
      <c r="Q152"/>
      <c r="R152" s="6"/>
      <c r="S152" s="6"/>
      <c r="T152" s="6"/>
      <c r="U152" s="131" t="s">
        <v>15</v>
      </c>
      <c r="V152" s="72" t="s">
        <v>184</v>
      </c>
      <c r="W152" s="73">
        <v>12.840833333333334</v>
      </c>
      <c r="X152" s="73">
        <v>12.840833333333334</v>
      </c>
      <c r="Y152" s="73">
        <v>12.840833333333334</v>
      </c>
      <c r="Z152" s="73">
        <v>12.840833333333334</v>
      </c>
      <c r="AA152" s="73">
        <v>12.840833333333334</v>
      </c>
      <c r="AB152" s="73">
        <v>12.840833333333334</v>
      </c>
      <c r="AC152" s="73">
        <v>12.840833333333334</v>
      </c>
      <c r="AD152" s="73">
        <v>12.840833333333334</v>
      </c>
      <c r="AE152" s="73">
        <v>12.840833333333334</v>
      </c>
      <c r="AF152" s="73">
        <v>12.840833333333334</v>
      </c>
      <c r="AG152" s="73">
        <v>12.840833333333334</v>
      </c>
      <c r="AH152" s="73">
        <v>12.840833333333334</v>
      </c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  <c r="BF152" s="73"/>
    </row>
    <row r="153" spans="17:58" x14ac:dyDescent="0.25">
      <c r="Q153"/>
      <c r="R153" s="6"/>
      <c r="S153" s="6"/>
      <c r="T153" s="6"/>
      <c r="U153" s="131" t="s">
        <v>15</v>
      </c>
      <c r="V153" s="72" t="s">
        <v>187</v>
      </c>
      <c r="W153" s="73">
        <v>515</v>
      </c>
      <c r="X153" s="73">
        <v>515</v>
      </c>
      <c r="Y153" s="73">
        <v>515</v>
      </c>
      <c r="Z153" s="73">
        <v>515</v>
      </c>
      <c r="AA153" s="73">
        <v>515</v>
      </c>
      <c r="AB153" s="73">
        <v>515</v>
      </c>
      <c r="AC153" s="73">
        <v>515</v>
      </c>
      <c r="AD153" s="73">
        <v>515</v>
      </c>
      <c r="AE153" s="73">
        <v>515</v>
      </c>
      <c r="AF153" s="73">
        <v>515</v>
      </c>
      <c r="AG153" s="73">
        <v>515</v>
      </c>
      <c r="AH153" s="73">
        <v>515</v>
      </c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  <c r="BF153" s="73"/>
    </row>
    <row r="154" spans="17:58" x14ac:dyDescent="0.25">
      <c r="Q154"/>
      <c r="R154" s="6"/>
      <c r="S154" s="6"/>
      <c r="T154" s="6"/>
      <c r="U154" s="131" t="s">
        <v>15</v>
      </c>
      <c r="V154" s="72" t="s">
        <v>212</v>
      </c>
      <c r="W154" s="73">
        <v>10.5</v>
      </c>
      <c r="X154" s="73">
        <v>10.5</v>
      </c>
      <c r="Y154" s="73">
        <v>10.5</v>
      </c>
      <c r="Z154" s="73">
        <v>10.5</v>
      </c>
      <c r="AA154" s="73">
        <v>10.5</v>
      </c>
      <c r="AB154" s="73">
        <v>10.5</v>
      </c>
      <c r="AC154" s="73">
        <v>10.5</v>
      </c>
      <c r="AD154" s="73">
        <v>10.5</v>
      </c>
      <c r="AE154" s="73">
        <v>10.5</v>
      </c>
      <c r="AF154" s="73">
        <v>10.5</v>
      </c>
      <c r="AG154" s="73">
        <v>10.5</v>
      </c>
      <c r="AH154" s="73">
        <v>10.5</v>
      </c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  <c r="BF154" s="73"/>
    </row>
    <row r="155" spans="17:58" x14ac:dyDescent="0.25">
      <c r="Q155"/>
      <c r="R155" s="6"/>
      <c r="S155" s="6"/>
      <c r="T155" s="6"/>
      <c r="U155" s="131" t="s">
        <v>15</v>
      </c>
      <c r="V155" s="72" t="s">
        <v>189</v>
      </c>
      <c r="W155" s="73">
        <v>37</v>
      </c>
      <c r="X155" s="73">
        <v>37</v>
      </c>
      <c r="Y155" s="73">
        <v>37</v>
      </c>
      <c r="Z155" s="73">
        <v>37</v>
      </c>
      <c r="AA155" s="73">
        <v>37</v>
      </c>
      <c r="AB155" s="73">
        <v>37</v>
      </c>
      <c r="AC155" s="73">
        <v>37</v>
      </c>
      <c r="AD155" s="73">
        <v>37</v>
      </c>
      <c r="AE155" s="73">
        <v>37</v>
      </c>
      <c r="AF155" s="73">
        <v>37</v>
      </c>
      <c r="AG155" s="73">
        <v>37</v>
      </c>
      <c r="AH155" s="73">
        <v>37</v>
      </c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  <c r="BF155" s="73"/>
    </row>
    <row r="156" spans="17:58" x14ac:dyDescent="0.25">
      <c r="Q156"/>
      <c r="R156" s="6"/>
      <c r="S156" s="6"/>
      <c r="T156" s="6"/>
      <c r="U156" s="131" t="s">
        <v>16</v>
      </c>
      <c r="V156" s="72" t="s">
        <v>181</v>
      </c>
      <c r="W156" s="73">
        <v>1</v>
      </c>
      <c r="X156" s="73">
        <v>1</v>
      </c>
      <c r="Y156" s="73">
        <v>1</v>
      </c>
      <c r="Z156" s="73">
        <v>1</v>
      </c>
      <c r="AA156" s="73">
        <v>1</v>
      </c>
      <c r="AB156" s="73">
        <v>1</v>
      </c>
      <c r="AC156" s="73">
        <v>1</v>
      </c>
      <c r="AD156" s="73">
        <v>1</v>
      </c>
      <c r="AE156" s="73">
        <v>1</v>
      </c>
      <c r="AF156" s="73">
        <v>1</v>
      </c>
      <c r="AG156" s="73">
        <v>1</v>
      </c>
      <c r="AH156" s="73">
        <v>1</v>
      </c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  <c r="BF156" s="73"/>
    </row>
    <row r="157" spans="17:58" x14ac:dyDescent="0.25">
      <c r="Q157"/>
      <c r="R157" s="6"/>
      <c r="S157" s="6"/>
      <c r="T157" s="6"/>
      <c r="U157" s="131" t="s">
        <v>16</v>
      </c>
      <c r="V157" s="72" t="s">
        <v>182</v>
      </c>
      <c r="W157" s="73">
        <v>1</v>
      </c>
      <c r="X157" s="73">
        <v>1</v>
      </c>
      <c r="Y157" s="73">
        <v>1</v>
      </c>
      <c r="Z157" s="73">
        <v>1</v>
      </c>
      <c r="AA157" s="73">
        <v>1</v>
      </c>
      <c r="AB157" s="73">
        <v>1</v>
      </c>
      <c r="AC157" s="73">
        <v>1</v>
      </c>
      <c r="AD157" s="73">
        <v>1</v>
      </c>
      <c r="AE157" s="73">
        <v>1</v>
      </c>
      <c r="AF157" s="73">
        <v>1</v>
      </c>
      <c r="AG157" s="73">
        <v>1</v>
      </c>
      <c r="AH157" s="73">
        <v>1</v>
      </c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  <c r="BF157" s="73"/>
    </row>
    <row r="158" spans="17:58" x14ac:dyDescent="0.25">
      <c r="R158" s="152"/>
      <c r="S158" s="152"/>
      <c r="T158" s="152"/>
      <c r="U158" s="131" t="s">
        <v>16</v>
      </c>
      <c r="V158" s="72" t="s">
        <v>183</v>
      </c>
      <c r="W158" s="73">
        <v>1E-14</v>
      </c>
      <c r="X158" s="73">
        <v>1E-14</v>
      </c>
      <c r="Y158" s="73">
        <v>1E-14</v>
      </c>
      <c r="Z158" s="73">
        <v>1E-14</v>
      </c>
      <c r="AA158" s="73">
        <v>1E-14</v>
      </c>
      <c r="AB158" s="73">
        <v>1E-14</v>
      </c>
      <c r="AC158" s="73">
        <v>1E-14</v>
      </c>
      <c r="AD158" s="73">
        <v>1E-14</v>
      </c>
      <c r="AE158" s="73">
        <v>1E-14</v>
      </c>
      <c r="AF158" s="73">
        <v>1E-14</v>
      </c>
      <c r="AG158" s="73">
        <v>1E-14</v>
      </c>
      <c r="AH158" s="73">
        <v>1E-14</v>
      </c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  <c r="BF158" s="73"/>
    </row>
    <row r="159" spans="17:58" x14ac:dyDescent="0.25">
      <c r="R159" s="152"/>
      <c r="S159" s="152"/>
      <c r="T159" s="152"/>
      <c r="U159" s="131" t="s">
        <v>16</v>
      </c>
      <c r="V159" s="72" t="s">
        <v>184</v>
      </c>
      <c r="W159" s="73">
        <v>1E-14</v>
      </c>
      <c r="X159" s="73">
        <v>1E-14</v>
      </c>
      <c r="Y159" s="73">
        <v>1E-14</v>
      </c>
      <c r="Z159" s="73">
        <v>1E-14</v>
      </c>
      <c r="AA159" s="73">
        <v>1E-14</v>
      </c>
      <c r="AB159" s="73">
        <v>1E-14</v>
      </c>
      <c r="AC159" s="73">
        <v>1E-14</v>
      </c>
      <c r="AD159" s="73">
        <v>1E-14</v>
      </c>
      <c r="AE159" s="73">
        <v>1E-14</v>
      </c>
      <c r="AF159" s="73">
        <v>1E-14</v>
      </c>
      <c r="AG159" s="73">
        <v>1E-14</v>
      </c>
      <c r="AH159" s="73">
        <v>1E-14</v>
      </c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  <c r="BF159" s="73"/>
    </row>
    <row r="160" spans="17:58" x14ac:dyDescent="0.25">
      <c r="R160" s="152"/>
      <c r="S160" s="152"/>
      <c r="T160" s="152"/>
      <c r="U160" s="131" t="s">
        <v>16</v>
      </c>
      <c r="V160" s="72" t="s">
        <v>187</v>
      </c>
      <c r="W160" s="73">
        <v>1E-14</v>
      </c>
      <c r="X160" s="73">
        <v>1E-14</v>
      </c>
      <c r="Y160" s="73">
        <v>1E-14</v>
      </c>
      <c r="Z160" s="73">
        <v>1E-14</v>
      </c>
      <c r="AA160" s="73">
        <v>1E-14</v>
      </c>
      <c r="AB160" s="73">
        <v>1E-14</v>
      </c>
      <c r="AC160" s="73">
        <v>1E-14</v>
      </c>
      <c r="AD160" s="73">
        <v>1E-14</v>
      </c>
      <c r="AE160" s="73">
        <v>1E-14</v>
      </c>
      <c r="AF160" s="73">
        <v>1E-14</v>
      </c>
      <c r="AG160" s="73">
        <v>1E-14</v>
      </c>
      <c r="AH160" s="73">
        <v>1E-14</v>
      </c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  <c r="BF160" s="73"/>
    </row>
    <row r="161" spans="18:58" x14ac:dyDescent="0.25">
      <c r="R161" s="152"/>
      <c r="S161" s="152"/>
      <c r="T161" s="152"/>
      <c r="U161" s="131" t="s">
        <v>16</v>
      </c>
      <c r="V161" s="72" t="s">
        <v>212</v>
      </c>
      <c r="W161" s="73">
        <v>13</v>
      </c>
      <c r="X161" s="73">
        <v>13</v>
      </c>
      <c r="Y161" s="73">
        <v>13</v>
      </c>
      <c r="Z161" s="73">
        <v>13</v>
      </c>
      <c r="AA161" s="73">
        <v>13</v>
      </c>
      <c r="AB161" s="73">
        <v>13</v>
      </c>
      <c r="AC161" s="73">
        <v>13</v>
      </c>
      <c r="AD161" s="73">
        <v>13</v>
      </c>
      <c r="AE161" s="73">
        <v>13</v>
      </c>
      <c r="AF161" s="73">
        <v>13</v>
      </c>
      <c r="AG161" s="73">
        <v>13</v>
      </c>
      <c r="AH161" s="73">
        <v>13</v>
      </c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  <c r="BF161" s="73"/>
    </row>
    <row r="162" spans="18:58" x14ac:dyDescent="0.25">
      <c r="R162" s="152"/>
      <c r="S162" s="152"/>
      <c r="T162" s="152"/>
      <c r="U162" s="131" t="s">
        <v>16</v>
      </c>
      <c r="V162" s="72" t="s">
        <v>189</v>
      </c>
      <c r="W162" s="73">
        <v>37</v>
      </c>
      <c r="X162" s="73">
        <v>37</v>
      </c>
      <c r="Y162" s="73">
        <v>37</v>
      </c>
      <c r="Z162" s="73">
        <v>37</v>
      </c>
      <c r="AA162" s="73">
        <v>37</v>
      </c>
      <c r="AB162" s="73">
        <v>37</v>
      </c>
      <c r="AC162" s="73">
        <v>37</v>
      </c>
      <c r="AD162" s="73">
        <v>37</v>
      </c>
      <c r="AE162" s="73">
        <v>37</v>
      </c>
      <c r="AF162" s="73">
        <v>37</v>
      </c>
      <c r="AG162" s="73">
        <v>37</v>
      </c>
      <c r="AH162" s="73">
        <v>37</v>
      </c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  <c r="BF162" s="73"/>
    </row>
    <row r="163" spans="18:58" x14ac:dyDescent="0.25">
      <c r="R163" s="152"/>
      <c r="S163" s="152"/>
      <c r="T163" s="152"/>
      <c r="U163" s="131" t="s">
        <v>18</v>
      </c>
      <c r="V163" s="72" t="s">
        <v>181</v>
      </c>
      <c r="W163" s="73">
        <v>1</v>
      </c>
      <c r="X163" s="73">
        <v>1</v>
      </c>
      <c r="Y163" s="73">
        <v>1</v>
      </c>
      <c r="Z163" s="73">
        <v>1</v>
      </c>
      <c r="AA163" s="73">
        <v>1</v>
      </c>
      <c r="AB163" s="73">
        <v>1</v>
      </c>
      <c r="AC163" s="73">
        <v>1</v>
      </c>
      <c r="AD163" s="73">
        <v>1</v>
      </c>
      <c r="AE163" s="73">
        <v>1</v>
      </c>
      <c r="AF163" s="73">
        <v>1</v>
      </c>
      <c r="AG163" s="73">
        <v>1</v>
      </c>
      <c r="AH163" s="73">
        <v>1</v>
      </c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  <c r="BF163" s="73"/>
    </row>
    <row r="164" spans="18:58" x14ac:dyDescent="0.25">
      <c r="R164" s="152"/>
      <c r="S164" s="152"/>
      <c r="T164" s="152"/>
      <c r="U164" s="131" t="s">
        <v>18</v>
      </c>
      <c r="V164" s="72" t="s">
        <v>182</v>
      </c>
      <c r="W164" s="73">
        <v>1</v>
      </c>
      <c r="X164" s="73">
        <v>1</v>
      </c>
      <c r="Y164" s="73">
        <v>1</v>
      </c>
      <c r="Z164" s="73">
        <v>1</v>
      </c>
      <c r="AA164" s="73">
        <v>1</v>
      </c>
      <c r="AB164" s="73">
        <v>1</v>
      </c>
      <c r="AC164" s="73">
        <v>1</v>
      </c>
      <c r="AD164" s="73">
        <v>1</v>
      </c>
      <c r="AE164" s="73">
        <v>1</v>
      </c>
      <c r="AF164" s="73">
        <v>1</v>
      </c>
      <c r="AG164" s="73">
        <v>1</v>
      </c>
      <c r="AH164" s="73">
        <v>1</v>
      </c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  <c r="BF164" s="73"/>
    </row>
    <row r="165" spans="18:58" x14ac:dyDescent="0.25">
      <c r="R165" s="152"/>
      <c r="S165" s="152"/>
      <c r="T165" s="152"/>
      <c r="U165" s="131" t="s">
        <v>18</v>
      </c>
      <c r="V165" s="72" t="s">
        <v>183</v>
      </c>
      <c r="W165" s="73">
        <v>87.044166666666669</v>
      </c>
      <c r="X165" s="73">
        <v>87.044166666666669</v>
      </c>
      <c r="Y165" s="73">
        <v>87.044166666666669</v>
      </c>
      <c r="Z165" s="73">
        <v>87.044166666666669</v>
      </c>
      <c r="AA165" s="73">
        <v>87.044166666666669</v>
      </c>
      <c r="AB165" s="73">
        <v>87.044166666666669</v>
      </c>
      <c r="AC165" s="73">
        <v>87.044166666666669</v>
      </c>
      <c r="AD165" s="73">
        <v>87.044166666666669</v>
      </c>
      <c r="AE165" s="73">
        <v>87.044166666666669</v>
      </c>
      <c r="AF165" s="73">
        <v>87.044166666666669</v>
      </c>
      <c r="AG165" s="73">
        <v>87.044166666666669</v>
      </c>
      <c r="AH165" s="73">
        <v>87.044166666666669</v>
      </c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8:58" x14ac:dyDescent="0.25">
      <c r="R166" s="152"/>
      <c r="S166" s="152"/>
      <c r="T166" s="152"/>
      <c r="U166" s="131" t="s">
        <v>18</v>
      </c>
      <c r="V166" s="72" t="s">
        <v>184</v>
      </c>
      <c r="W166" s="73">
        <v>87.044166666666669</v>
      </c>
      <c r="X166" s="73">
        <v>87.044166666666669</v>
      </c>
      <c r="Y166" s="73">
        <v>87.044166666666669</v>
      </c>
      <c r="Z166" s="73">
        <v>87.044166666666669</v>
      </c>
      <c r="AA166" s="73">
        <v>87.044166666666669</v>
      </c>
      <c r="AB166" s="73">
        <v>87.044166666666669</v>
      </c>
      <c r="AC166" s="73">
        <v>87.044166666666669</v>
      </c>
      <c r="AD166" s="73">
        <v>87.044166666666669</v>
      </c>
      <c r="AE166" s="73">
        <v>87.044166666666669</v>
      </c>
      <c r="AF166" s="73">
        <v>87.044166666666669</v>
      </c>
      <c r="AG166" s="73">
        <v>87.044166666666669</v>
      </c>
      <c r="AH166" s="73">
        <v>87.044166666666669</v>
      </c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8:58" x14ac:dyDescent="0.25">
      <c r="R167" s="152"/>
      <c r="S167" s="152"/>
      <c r="T167" s="152"/>
      <c r="U167" s="131" t="s">
        <v>18</v>
      </c>
      <c r="V167" s="72" t="s">
        <v>187</v>
      </c>
      <c r="W167" s="73">
        <v>1E-14</v>
      </c>
      <c r="X167" s="73">
        <v>1E-14</v>
      </c>
      <c r="Y167" s="73">
        <v>1E-14</v>
      </c>
      <c r="Z167" s="73">
        <v>1E-14</v>
      </c>
      <c r="AA167" s="73">
        <v>1E-14</v>
      </c>
      <c r="AB167" s="73">
        <v>1E-14</v>
      </c>
      <c r="AC167" s="73">
        <v>1E-14</v>
      </c>
      <c r="AD167" s="73">
        <v>1E-14</v>
      </c>
      <c r="AE167" s="73">
        <v>1E-14</v>
      </c>
      <c r="AF167" s="73">
        <v>1E-14</v>
      </c>
      <c r="AG167" s="73">
        <v>1E-14</v>
      </c>
      <c r="AH167" s="73">
        <v>1E-14</v>
      </c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8:58" x14ac:dyDescent="0.25">
      <c r="R168" s="152"/>
      <c r="S168" s="152"/>
      <c r="T168" s="152"/>
      <c r="U168" s="131" t="s">
        <v>18</v>
      </c>
      <c r="V168" s="72" t="s">
        <v>212</v>
      </c>
      <c r="W168" s="73">
        <v>14.5</v>
      </c>
      <c r="X168" s="73">
        <v>14.5</v>
      </c>
      <c r="Y168" s="73">
        <v>14.5</v>
      </c>
      <c r="Z168" s="73">
        <v>14.5</v>
      </c>
      <c r="AA168" s="73">
        <v>14.5</v>
      </c>
      <c r="AB168" s="73">
        <v>14.5</v>
      </c>
      <c r="AC168" s="73">
        <v>14.5</v>
      </c>
      <c r="AD168" s="73">
        <v>14.5</v>
      </c>
      <c r="AE168" s="73">
        <v>14.5</v>
      </c>
      <c r="AF168" s="73">
        <v>14.5</v>
      </c>
      <c r="AG168" s="73">
        <v>14.5</v>
      </c>
      <c r="AH168" s="73">
        <v>14.5</v>
      </c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8:58" x14ac:dyDescent="0.25">
      <c r="R169" s="152"/>
      <c r="S169" s="152"/>
      <c r="T169" s="152"/>
      <c r="U169" s="131" t="s">
        <v>18</v>
      </c>
      <c r="V169" s="72" t="s">
        <v>189</v>
      </c>
      <c r="W169" s="73">
        <v>37</v>
      </c>
      <c r="X169" s="73">
        <v>37</v>
      </c>
      <c r="Y169" s="73">
        <v>37</v>
      </c>
      <c r="Z169" s="73">
        <v>37</v>
      </c>
      <c r="AA169" s="73">
        <v>37</v>
      </c>
      <c r="AB169" s="73">
        <v>37</v>
      </c>
      <c r="AC169" s="73">
        <v>37</v>
      </c>
      <c r="AD169" s="73">
        <v>37</v>
      </c>
      <c r="AE169" s="73">
        <v>37</v>
      </c>
      <c r="AF169" s="73">
        <v>37</v>
      </c>
      <c r="AG169" s="73">
        <v>37</v>
      </c>
      <c r="AH169" s="73">
        <v>37</v>
      </c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8:58" x14ac:dyDescent="0.25">
      <c r="R170" s="152"/>
      <c r="S170" s="152"/>
      <c r="T170" s="152"/>
      <c r="U170" s="131" t="s">
        <v>19</v>
      </c>
      <c r="V170" s="72" t="s">
        <v>181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73">
        <v>1</v>
      </c>
      <c r="AH170" s="73">
        <v>1</v>
      </c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8:58" x14ac:dyDescent="0.25">
      <c r="R171" s="152"/>
      <c r="S171" s="152"/>
      <c r="T171" s="152"/>
      <c r="U171" s="131" t="s">
        <v>19</v>
      </c>
      <c r="V171" s="72" t="s">
        <v>182</v>
      </c>
      <c r="W171" s="73">
        <v>1</v>
      </c>
      <c r="X171" s="73">
        <v>1</v>
      </c>
      <c r="Y171" s="73">
        <v>1</v>
      </c>
      <c r="Z171" s="73">
        <v>1</v>
      </c>
      <c r="AA171" s="73">
        <v>1</v>
      </c>
      <c r="AB171" s="73">
        <v>1</v>
      </c>
      <c r="AC171" s="73">
        <v>1</v>
      </c>
      <c r="AD171" s="73">
        <v>1</v>
      </c>
      <c r="AE171" s="73">
        <v>1</v>
      </c>
      <c r="AF171" s="73">
        <v>1</v>
      </c>
      <c r="AG171" s="73">
        <v>1</v>
      </c>
      <c r="AH171" s="73">
        <v>1</v>
      </c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8:58" x14ac:dyDescent="0.25">
      <c r="R172" s="152"/>
      <c r="S172" s="152"/>
      <c r="T172" s="152"/>
      <c r="U172" s="131" t="s">
        <v>19</v>
      </c>
      <c r="V172" s="72" t="s">
        <v>183</v>
      </c>
      <c r="W172" s="73">
        <v>1E-14</v>
      </c>
      <c r="X172" s="73">
        <v>1E-14</v>
      </c>
      <c r="Y172" s="73">
        <v>1E-14</v>
      </c>
      <c r="Z172" s="73">
        <v>1E-14</v>
      </c>
      <c r="AA172" s="73">
        <v>1E-14</v>
      </c>
      <c r="AB172" s="73">
        <v>1E-14</v>
      </c>
      <c r="AC172" s="73">
        <v>1E-14</v>
      </c>
      <c r="AD172" s="73">
        <v>1E-14</v>
      </c>
      <c r="AE172" s="73">
        <v>1E-14</v>
      </c>
      <c r="AF172" s="73">
        <v>1E-14</v>
      </c>
      <c r="AG172" s="73">
        <v>1E-14</v>
      </c>
      <c r="AH172" s="73">
        <v>1E-14</v>
      </c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8:58" x14ac:dyDescent="0.25">
      <c r="R173" s="152"/>
      <c r="S173" s="152"/>
      <c r="T173" s="152"/>
      <c r="U173" s="131" t="s">
        <v>19</v>
      </c>
      <c r="V173" s="72" t="s">
        <v>184</v>
      </c>
      <c r="W173" s="73">
        <v>1E-14</v>
      </c>
      <c r="X173" s="73">
        <v>1E-14</v>
      </c>
      <c r="Y173" s="73">
        <v>1E-14</v>
      </c>
      <c r="Z173" s="73">
        <v>1E-14</v>
      </c>
      <c r="AA173" s="73">
        <v>1E-14</v>
      </c>
      <c r="AB173" s="73">
        <v>1E-14</v>
      </c>
      <c r="AC173" s="73">
        <v>1E-14</v>
      </c>
      <c r="AD173" s="73">
        <v>1E-14</v>
      </c>
      <c r="AE173" s="73">
        <v>1E-14</v>
      </c>
      <c r="AF173" s="73">
        <v>1E-14</v>
      </c>
      <c r="AG173" s="73">
        <v>1E-14</v>
      </c>
      <c r="AH173" s="73">
        <v>1E-14</v>
      </c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8:58" x14ac:dyDescent="0.25">
      <c r="R174" s="152"/>
      <c r="S174" s="152"/>
      <c r="T174" s="152"/>
      <c r="U174" s="131" t="s">
        <v>19</v>
      </c>
      <c r="V174" s="72" t="s">
        <v>187</v>
      </c>
      <c r="W174" s="73">
        <v>1E-14</v>
      </c>
      <c r="X174" s="73">
        <v>1E-14</v>
      </c>
      <c r="Y174" s="73">
        <v>1E-14</v>
      </c>
      <c r="Z174" s="73">
        <v>1E-14</v>
      </c>
      <c r="AA174" s="73">
        <v>1E-14</v>
      </c>
      <c r="AB174" s="73">
        <v>1E-14</v>
      </c>
      <c r="AC174" s="73">
        <v>1E-14</v>
      </c>
      <c r="AD174" s="73">
        <v>1E-14</v>
      </c>
      <c r="AE174" s="73">
        <v>1E-14</v>
      </c>
      <c r="AF174" s="73">
        <v>1E-14</v>
      </c>
      <c r="AG174" s="73">
        <v>1E-14</v>
      </c>
      <c r="AH174" s="73">
        <v>1E-14</v>
      </c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8:58" x14ac:dyDescent="0.25">
      <c r="R175" s="152"/>
      <c r="S175" s="152"/>
      <c r="T175" s="152"/>
      <c r="U175" s="131" t="s">
        <v>19</v>
      </c>
      <c r="V175" s="72" t="s">
        <v>212</v>
      </c>
      <c r="W175" s="73">
        <v>14.7</v>
      </c>
      <c r="X175" s="73">
        <v>14.7</v>
      </c>
      <c r="Y175" s="73">
        <v>14.7</v>
      </c>
      <c r="Z175" s="73">
        <v>14.7</v>
      </c>
      <c r="AA175" s="73">
        <v>14.7</v>
      </c>
      <c r="AB175" s="73">
        <v>14.7</v>
      </c>
      <c r="AC175" s="73">
        <v>14.7</v>
      </c>
      <c r="AD175" s="73">
        <v>14.7</v>
      </c>
      <c r="AE175" s="73">
        <v>14.7</v>
      </c>
      <c r="AF175" s="73">
        <v>14.7</v>
      </c>
      <c r="AG175" s="73">
        <v>14.7</v>
      </c>
      <c r="AH175" s="73">
        <v>14.7</v>
      </c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8:58" x14ac:dyDescent="0.25">
      <c r="R176" s="152"/>
      <c r="S176" s="152"/>
      <c r="T176" s="152"/>
      <c r="U176" s="131" t="s">
        <v>19</v>
      </c>
      <c r="V176" s="72" t="s">
        <v>189</v>
      </c>
      <c r="W176" s="73">
        <v>37</v>
      </c>
      <c r="X176" s="73">
        <v>37</v>
      </c>
      <c r="Y176" s="73">
        <v>37</v>
      </c>
      <c r="Z176" s="73">
        <v>37</v>
      </c>
      <c r="AA176" s="73">
        <v>37</v>
      </c>
      <c r="AB176" s="73">
        <v>37</v>
      </c>
      <c r="AC176" s="73">
        <v>37</v>
      </c>
      <c r="AD176" s="73">
        <v>37</v>
      </c>
      <c r="AE176" s="73">
        <v>37</v>
      </c>
      <c r="AF176" s="73">
        <v>37</v>
      </c>
      <c r="AG176" s="73">
        <v>37</v>
      </c>
      <c r="AH176" s="73">
        <v>37</v>
      </c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18:58" x14ac:dyDescent="0.25">
      <c r="R177" s="152"/>
      <c r="S177" s="152"/>
      <c r="T177" s="152"/>
      <c r="U177" s="131" t="s">
        <v>20</v>
      </c>
      <c r="V177" s="72" t="s">
        <v>181</v>
      </c>
      <c r="W177" s="73">
        <v>1</v>
      </c>
      <c r="X177" s="73">
        <v>1</v>
      </c>
      <c r="Y177" s="73">
        <v>1</v>
      </c>
      <c r="Z177" s="73">
        <v>1</v>
      </c>
      <c r="AA177" s="73">
        <v>1</v>
      </c>
      <c r="AB177" s="73">
        <v>1</v>
      </c>
      <c r="AC177" s="73">
        <v>1</v>
      </c>
      <c r="AD177" s="73">
        <v>1</v>
      </c>
      <c r="AE177" s="73">
        <v>1</v>
      </c>
      <c r="AF177" s="73">
        <v>1</v>
      </c>
      <c r="AG177" s="73">
        <v>1</v>
      </c>
      <c r="AH177" s="73">
        <v>1</v>
      </c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18:58" x14ac:dyDescent="0.25">
      <c r="R178" s="152"/>
      <c r="S178" s="152"/>
      <c r="T178" s="152"/>
      <c r="U178" s="131" t="s">
        <v>20</v>
      </c>
      <c r="V178" s="72" t="s">
        <v>182</v>
      </c>
      <c r="W178" s="73">
        <v>1</v>
      </c>
      <c r="X178" s="73">
        <v>1</v>
      </c>
      <c r="Y178" s="73">
        <v>1</v>
      </c>
      <c r="Z178" s="73">
        <v>1</v>
      </c>
      <c r="AA178" s="73">
        <v>1</v>
      </c>
      <c r="AB178" s="73">
        <v>1</v>
      </c>
      <c r="AC178" s="73">
        <v>1</v>
      </c>
      <c r="AD178" s="73">
        <v>1</v>
      </c>
      <c r="AE178" s="73">
        <v>1</v>
      </c>
      <c r="AF178" s="73">
        <v>1</v>
      </c>
      <c r="AG178" s="73">
        <v>1</v>
      </c>
      <c r="AH178" s="73">
        <v>1</v>
      </c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18:58" x14ac:dyDescent="0.25">
      <c r="R179" s="152"/>
      <c r="S179" s="152"/>
      <c r="T179" s="152"/>
      <c r="U179" s="131" t="s">
        <v>20</v>
      </c>
      <c r="V179" s="72" t="s">
        <v>183</v>
      </c>
      <c r="W179" s="73">
        <v>9.4949999999999992</v>
      </c>
      <c r="X179" s="73">
        <v>9.4949999999999992</v>
      </c>
      <c r="Y179" s="73">
        <v>9.4949999999999992</v>
      </c>
      <c r="Z179" s="73">
        <v>9.4949999999999992</v>
      </c>
      <c r="AA179" s="73">
        <v>9.4949999999999992</v>
      </c>
      <c r="AB179" s="73">
        <v>9.4949999999999992</v>
      </c>
      <c r="AC179" s="73">
        <v>9.4949999999999992</v>
      </c>
      <c r="AD179" s="73">
        <v>9.4949999999999992</v>
      </c>
      <c r="AE179" s="73">
        <v>9.4949999999999992</v>
      </c>
      <c r="AF179" s="73">
        <v>9.4949999999999992</v>
      </c>
      <c r="AG179" s="73">
        <v>9.4949999999999992</v>
      </c>
      <c r="AH179" s="73">
        <v>9.4949999999999992</v>
      </c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18:58" x14ac:dyDescent="0.25">
      <c r="R180" s="152"/>
      <c r="S180" s="152"/>
      <c r="T180" s="152"/>
      <c r="U180" s="131" t="s">
        <v>20</v>
      </c>
      <c r="V180" s="72" t="s">
        <v>184</v>
      </c>
      <c r="W180" s="73">
        <v>9.4949999999999992</v>
      </c>
      <c r="X180" s="73">
        <v>9.4949999999999992</v>
      </c>
      <c r="Y180" s="73">
        <v>9.4949999999999992</v>
      </c>
      <c r="Z180" s="73">
        <v>9.4949999999999992</v>
      </c>
      <c r="AA180" s="73">
        <v>9.4949999999999992</v>
      </c>
      <c r="AB180" s="73">
        <v>9.4949999999999992</v>
      </c>
      <c r="AC180" s="73">
        <v>9.4949999999999992</v>
      </c>
      <c r="AD180" s="73">
        <v>9.4949999999999992</v>
      </c>
      <c r="AE180" s="73">
        <v>9.4949999999999992</v>
      </c>
      <c r="AF180" s="73">
        <v>9.4949999999999992</v>
      </c>
      <c r="AG180" s="73">
        <v>9.4949999999999992</v>
      </c>
      <c r="AH180" s="73">
        <v>9.4949999999999992</v>
      </c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18:58" x14ac:dyDescent="0.25">
      <c r="R181" s="152"/>
      <c r="S181" s="152"/>
      <c r="T181" s="152"/>
      <c r="U181" s="131" t="s">
        <v>20</v>
      </c>
      <c r="V181" s="72" t="s">
        <v>187</v>
      </c>
      <c r="W181" s="73">
        <v>685</v>
      </c>
      <c r="X181" s="73">
        <v>685</v>
      </c>
      <c r="Y181" s="73">
        <v>685</v>
      </c>
      <c r="Z181" s="73">
        <v>685</v>
      </c>
      <c r="AA181" s="73">
        <v>685</v>
      </c>
      <c r="AB181" s="73">
        <v>685</v>
      </c>
      <c r="AC181" s="73">
        <v>685</v>
      </c>
      <c r="AD181" s="73">
        <v>685</v>
      </c>
      <c r="AE181" s="73">
        <v>685</v>
      </c>
      <c r="AF181" s="73">
        <v>685</v>
      </c>
      <c r="AG181" s="73">
        <v>685</v>
      </c>
      <c r="AH181" s="73">
        <v>685</v>
      </c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18:58" x14ac:dyDescent="0.25">
      <c r="R182" s="152"/>
      <c r="S182" s="152"/>
      <c r="T182" s="152"/>
      <c r="U182" s="131" t="s">
        <v>20</v>
      </c>
      <c r="V182" s="72" t="s">
        <v>212</v>
      </c>
      <c r="W182" s="73">
        <v>14</v>
      </c>
      <c r="X182" s="73">
        <v>14</v>
      </c>
      <c r="Y182" s="73">
        <v>14</v>
      </c>
      <c r="Z182" s="73">
        <v>14</v>
      </c>
      <c r="AA182" s="73">
        <v>14</v>
      </c>
      <c r="AB182" s="73">
        <v>14</v>
      </c>
      <c r="AC182" s="73">
        <v>14</v>
      </c>
      <c r="AD182" s="73">
        <v>14</v>
      </c>
      <c r="AE182" s="73">
        <v>14</v>
      </c>
      <c r="AF182" s="73">
        <v>14</v>
      </c>
      <c r="AG182" s="73">
        <v>14</v>
      </c>
      <c r="AH182" s="73">
        <v>14</v>
      </c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18:58" x14ac:dyDescent="0.25">
      <c r="R183" s="152"/>
      <c r="S183" s="152"/>
      <c r="T183" s="152"/>
      <c r="U183" s="131" t="s">
        <v>20</v>
      </c>
      <c r="V183" s="72" t="s">
        <v>189</v>
      </c>
      <c r="W183" s="73">
        <v>37</v>
      </c>
      <c r="X183" s="73">
        <v>37</v>
      </c>
      <c r="Y183" s="73">
        <v>37</v>
      </c>
      <c r="Z183" s="73">
        <v>37</v>
      </c>
      <c r="AA183" s="73">
        <v>37</v>
      </c>
      <c r="AB183" s="73">
        <v>37</v>
      </c>
      <c r="AC183" s="73">
        <v>37</v>
      </c>
      <c r="AD183" s="73">
        <v>37</v>
      </c>
      <c r="AE183" s="73">
        <v>37</v>
      </c>
      <c r="AF183" s="73">
        <v>37</v>
      </c>
      <c r="AG183" s="73">
        <v>37</v>
      </c>
      <c r="AH183" s="73">
        <v>37</v>
      </c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18:58" x14ac:dyDescent="0.25">
      <c r="R184" s="152"/>
      <c r="S184" s="152"/>
      <c r="T184" s="152"/>
      <c r="U184" s="131" t="s">
        <v>17</v>
      </c>
      <c r="V184" s="72" t="s">
        <v>181</v>
      </c>
      <c r="W184" s="73">
        <v>1</v>
      </c>
      <c r="X184" s="73">
        <v>1</v>
      </c>
      <c r="Y184" s="73">
        <v>1</v>
      </c>
      <c r="Z184" s="73">
        <v>1</v>
      </c>
      <c r="AA184" s="73">
        <v>1</v>
      </c>
      <c r="AB184" s="73">
        <v>1</v>
      </c>
      <c r="AC184" s="73">
        <v>1</v>
      </c>
      <c r="AD184" s="73">
        <v>1</v>
      </c>
      <c r="AE184" s="73">
        <v>1</v>
      </c>
      <c r="AF184" s="73">
        <v>1</v>
      </c>
      <c r="AG184" s="73">
        <v>1</v>
      </c>
      <c r="AH184" s="73">
        <v>1</v>
      </c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18:58" x14ac:dyDescent="0.25">
      <c r="R185" s="152"/>
      <c r="S185" s="152"/>
      <c r="T185" s="152"/>
      <c r="U185" s="131" t="s">
        <v>17</v>
      </c>
      <c r="V185" s="72" t="s">
        <v>182</v>
      </c>
      <c r="W185" s="73">
        <v>1</v>
      </c>
      <c r="X185" s="73">
        <v>1</v>
      </c>
      <c r="Y185" s="73">
        <v>1</v>
      </c>
      <c r="Z185" s="73">
        <v>1</v>
      </c>
      <c r="AA185" s="73">
        <v>1</v>
      </c>
      <c r="AB185" s="73">
        <v>1</v>
      </c>
      <c r="AC185" s="73">
        <v>1</v>
      </c>
      <c r="AD185" s="73">
        <v>1</v>
      </c>
      <c r="AE185" s="73">
        <v>1</v>
      </c>
      <c r="AF185" s="73">
        <v>1</v>
      </c>
      <c r="AG185" s="73">
        <v>1</v>
      </c>
      <c r="AH185" s="73">
        <v>1</v>
      </c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18:58" x14ac:dyDescent="0.25">
      <c r="R186" s="152"/>
      <c r="S186" s="152"/>
      <c r="T186" s="152"/>
      <c r="U186" s="131" t="s">
        <v>17</v>
      </c>
      <c r="V186" s="72" t="s">
        <v>183</v>
      </c>
      <c r="W186" s="73">
        <v>17.683333333333334</v>
      </c>
      <c r="X186" s="73">
        <v>17.683333333333334</v>
      </c>
      <c r="Y186" s="73">
        <v>17.683333333333334</v>
      </c>
      <c r="Z186" s="73">
        <v>17.683333333333334</v>
      </c>
      <c r="AA186" s="73">
        <v>17.683333333333334</v>
      </c>
      <c r="AB186" s="73">
        <v>17.683333333333334</v>
      </c>
      <c r="AC186" s="73">
        <v>17.683333333333334</v>
      </c>
      <c r="AD186" s="73">
        <v>17.683333333333334</v>
      </c>
      <c r="AE186" s="73">
        <v>17.683333333333334</v>
      </c>
      <c r="AF186" s="73">
        <v>17.683333333333334</v>
      </c>
      <c r="AG186" s="73">
        <v>17.683333333333334</v>
      </c>
      <c r="AH186" s="73">
        <v>17.683333333333334</v>
      </c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18:58" x14ac:dyDescent="0.25">
      <c r="R187" s="152"/>
      <c r="S187" s="152"/>
      <c r="T187" s="152"/>
      <c r="U187" s="131" t="s">
        <v>17</v>
      </c>
      <c r="V187" s="72" t="s">
        <v>184</v>
      </c>
      <c r="W187" s="73">
        <v>17.683333333333334</v>
      </c>
      <c r="X187" s="73">
        <v>17.683333333333334</v>
      </c>
      <c r="Y187" s="73">
        <v>17.683333333333334</v>
      </c>
      <c r="Z187" s="73">
        <v>17.683333333333334</v>
      </c>
      <c r="AA187" s="73">
        <v>17.683333333333334</v>
      </c>
      <c r="AB187" s="73">
        <v>17.683333333333334</v>
      </c>
      <c r="AC187" s="73">
        <v>17.683333333333334</v>
      </c>
      <c r="AD187" s="73">
        <v>17.683333333333334</v>
      </c>
      <c r="AE187" s="73">
        <v>17.683333333333334</v>
      </c>
      <c r="AF187" s="73">
        <v>17.683333333333334</v>
      </c>
      <c r="AG187" s="73">
        <v>17.683333333333334</v>
      </c>
      <c r="AH187" s="73">
        <v>17.683333333333334</v>
      </c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18:58" x14ac:dyDescent="0.25">
      <c r="R188" s="152"/>
      <c r="S188" s="152"/>
      <c r="T188" s="152"/>
      <c r="U188" s="131" t="s">
        <v>17</v>
      </c>
      <c r="V188" s="72" t="s">
        <v>187</v>
      </c>
      <c r="W188" s="73">
        <v>155</v>
      </c>
      <c r="X188" s="73">
        <v>155</v>
      </c>
      <c r="Y188" s="73">
        <v>155</v>
      </c>
      <c r="Z188" s="73">
        <v>155</v>
      </c>
      <c r="AA188" s="73">
        <v>155</v>
      </c>
      <c r="AB188" s="73">
        <v>155</v>
      </c>
      <c r="AC188" s="73">
        <v>155</v>
      </c>
      <c r="AD188" s="73">
        <v>155</v>
      </c>
      <c r="AE188" s="73">
        <v>155</v>
      </c>
      <c r="AF188" s="73">
        <v>155</v>
      </c>
      <c r="AG188" s="73">
        <v>155</v>
      </c>
      <c r="AH188" s="73">
        <v>155</v>
      </c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18:58" x14ac:dyDescent="0.25">
      <c r="U189" s="71" t="s">
        <v>17</v>
      </c>
      <c r="V189" s="72" t="s">
        <v>212</v>
      </c>
      <c r="W189" s="73">
        <v>9</v>
      </c>
      <c r="X189" s="73">
        <v>9</v>
      </c>
      <c r="Y189" s="73">
        <v>9</v>
      </c>
      <c r="Z189" s="73">
        <v>9</v>
      </c>
      <c r="AA189" s="73">
        <v>9</v>
      </c>
      <c r="AB189" s="73">
        <v>9</v>
      </c>
      <c r="AC189" s="73">
        <v>9</v>
      </c>
      <c r="AD189" s="73">
        <v>9</v>
      </c>
      <c r="AE189" s="73">
        <v>9</v>
      </c>
      <c r="AF189" s="73">
        <v>9</v>
      </c>
      <c r="AG189" s="73">
        <v>9</v>
      </c>
      <c r="AH189" s="73">
        <v>9</v>
      </c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18:58" x14ac:dyDescent="0.25">
      <c r="U190" s="71" t="s">
        <v>17</v>
      </c>
      <c r="V190" s="72" t="s">
        <v>189</v>
      </c>
      <c r="W190" s="73">
        <v>1E-14</v>
      </c>
      <c r="X190" s="73">
        <v>1E-14</v>
      </c>
      <c r="Y190" s="73">
        <v>1E-14</v>
      </c>
      <c r="Z190" s="73">
        <v>1E-14</v>
      </c>
      <c r="AA190" s="73">
        <v>1E-14</v>
      </c>
      <c r="AB190" s="73">
        <v>1E-14</v>
      </c>
      <c r="AC190" s="73">
        <v>1E-14</v>
      </c>
      <c r="AD190" s="73">
        <v>1E-14</v>
      </c>
      <c r="AE190" s="73">
        <v>1E-14</v>
      </c>
      <c r="AF190" s="73">
        <v>1E-14</v>
      </c>
      <c r="AG190" s="73">
        <v>1E-14</v>
      </c>
      <c r="AH190" s="73">
        <v>1E-14</v>
      </c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18:58" x14ac:dyDescent="0.25">
      <c r="U191" s="71" t="s">
        <v>26</v>
      </c>
      <c r="V191" s="72" t="s">
        <v>181</v>
      </c>
      <c r="W191" s="73">
        <v>1</v>
      </c>
      <c r="X191" s="73">
        <v>1</v>
      </c>
      <c r="Y191" s="73">
        <v>1</v>
      </c>
      <c r="Z191" s="73">
        <v>1</v>
      </c>
      <c r="AA191" s="73">
        <v>1</v>
      </c>
      <c r="AB191" s="73">
        <v>1</v>
      </c>
      <c r="AC191" s="73">
        <v>1</v>
      </c>
      <c r="AD191" s="73">
        <v>1</v>
      </c>
      <c r="AE191" s="73">
        <v>1</v>
      </c>
      <c r="AF191" s="73">
        <v>1</v>
      </c>
      <c r="AG191" s="73">
        <v>1</v>
      </c>
      <c r="AH191" s="73">
        <v>1</v>
      </c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18:58" x14ac:dyDescent="0.25">
      <c r="U192" s="71" t="s">
        <v>26</v>
      </c>
      <c r="V192" s="72" t="s">
        <v>182</v>
      </c>
      <c r="W192" s="73">
        <v>1</v>
      </c>
      <c r="X192" s="73">
        <v>1</v>
      </c>
      <c r="Y192" s="73">
        <v>1</v>
      </c>
      <c r="Z192" s="73">
        <v>1</v>
      </c>
      <c r="AA192" s="73">
        <v>1</v>
      </c>
      <c r="AB192" s="73">
        <v>1</v>
      </c>
      <c r="AC192" s="73">
        <v>1</v>
      </c>
      <c r="AD192" s="73">
        <v>1</v>
      </c>
      <c r="AE192" s="73">
        <v>1</v>
      </c>
      <c r="AF192" s="73">
        <v>1</v>
      </c>
      <c r="AG192" s="73">
        <v>1</v>
      </c>
      <c r="AH192" s="73">
        <v>1</v>
      </c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1:58" x14ac:dyDescent="0.25">
      <c r="U193" s="71" t="s">
        <v>26</v>
      </c>
      <c r="V193" s="72" t="s">
        <v>183</v>
      </c>
      <c r="W193" s="73">
        <v>1E-14</v>
      </c>
      <c r="X193" s="73">
        <v>1E-14</v>
      </c>
      <c r="Y193" s="73">
        <v>1E-14</v>
      </c>
      <c r="Z193" s="73">
        <v>1E-14</v>
      </c>
      <c r="AA193" s="73">
        <v>1E-14</v>
      </c>
      <c r="AB193" s="73">
        <v>1E-14</v>
      </c>
      <c r="AC193" s="73">
        <v>1E-14</v>
      </c>
      <c r="AD193" s="73">
        <v>1E-14</v>
      </c>
      <c r="AE193" s="73">
        <v>1E-14</v>
      </c>
      <c r="AF193" s="73">
        <v>1E-14</v>
      </c>
      <c r="AG193" s="73">
        <v>1E-14</v>
      </c>
      <c r="AH193" s="73">
        <v>1E-14</v>
      </c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1:58" x14ac:dyDescent="0.25">
      <c r="U194" s="71" t="s">
        <v>26</v>
      </c>
      <c r="V194" s="72" t="s">
        <v>184</v>
      </c>
      <c r="W194" s="73">
        <v>20000</v>
      </c>
      <c r="X194" s="73">
        <v>20000</v>
      </c>
      <c r="Y194" s="73">
        <v>20000</v>
      </c>
      <c r="Z194" s="73">
        <v>20000</v>
      </c>
      <c r="AA194" s="73">
        <v>20000</v>
      </c>
      <c r="AB194" s="73">
        <v>20000</v>
      </c>
      <c r="AC194" s="73">
        <v>20000</v>
      </c>
      <c r="AD194" s="73">
        <v>20000</v>
      </c>
      <c r="AE194" s="73">
        <v>20000</v>
      </c>
      <c r="AF194" s="73">
        <v>20000</v>
      </c>
      <c r="AG194" s="73">
        <v>20000</v>
      </c>
      <c r="AH194" s="73">
        <v>20000</v>
      </c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1:58" x14ac:dyDescent="0.25">
      <c r="U195" s="6" t="s">
        <v>26</v>
      </c>
      <c r="V195" s="6" t="s">
        <v>187</v>
      </c>
      <c r="W195">
        <v>-402.5</v>
      </c>
      <c r="X195">
        <v>-402.5</v>
      </c>
      <c r="Y195">
        <v>-402.5</v>
      </c>
      <c r="Z195">
        <v>-402.5</v>
      </c>
      <c r="AA195">
        <v>-402.5</v>
      </c>
      <c r="AB195">
        <v>-402.5</v>
      </c>
      <c r="AC195">
        <v>-402.5</v>
      </c>
      <c r="AD195">
        <v>-402.5</v>
      </c>
      <c r="AE195">
        <v>-402.5</v>
      </c>
      <c r="AF195">
        <v>-402.5</v>
      </c>
      <c r="AG195">
        <v>-402.5</v>
      </c>
      <c r="AH195">
        <v>-402.5</v>
      </c>
    </row>
    <row r="196" spans="21:58" x14ac:dyDescent="0.25">
      <c r="U196" s="6" t="s">
        <v>26</v>
      </c>
      <c r="V196" s="6" t="s">
        <v>212</v>
      </c>
      <c r="W196">
        <v>11.5</v>
      </c>
      <c r="X196">
        <v>11.5</v>
      </c>
      <c r="Y196">
        <v>11.5</v>
      </c>
      <c r="Z196">
        <v>11.5</v>
      </c>
      <c r="AA196">
        <v>11.5</v>
      </c>
      <c r="AB196">
        <v>11.5</v>
      </c>
      <c r="AC196">
        <v>11.5</v>
      </c>
      <c r="AD196">
        <v>11.5</v>
      </c>
      <c r="AE196">
        <v>11.5</v>
      </c>
      <c r="AF196">
        <v>11.5</v>
      </c>
      <c r="AG196">
        <v>11.5</v>
      </c>
      <c r="AH196">
        <v>11.5</v>
      </c>
    </row>
    <row r="197" spans="21:58" x14ac:dyDescent="0.25">
      <c r="U197" s="6" t="s">
        <v>26</v>
      </c>
      <c r="V197" s="6" t="s">
        <v>189</v>
      </c>
      <c r="W197">
        <v>1E-14</v>
      </c>
      <c r="X197">
        <v>1E-14</v>
      </c>
      <c r="Y197">
        <v>1E-14</v>
      </c>
      <c r="Z197">
        <v>1E-14</v>
      </c>
      <c r="AA197">
        <v>1E-14</v>
      </c>
      <c r="AB197">
        <v>1E-14</v>
      </c>
      <c r="AC197">
        <v>1E-14</v>
      </c>
      <c r="AD197">
        <v>1E-14</v>
      </c>
      <c r="AE197">
        <v>1E-14</v>
      </c>
      <c r="AF197">
        <v>1E-14</v>
      </c>
      <c r="AG197">
        <v>1E-14</v>
      </c>
      <c r="AH197">
        <v>1E-14</v>
      </c>
    </row>
    <row r="198" spans="21:58" x14ac:dyDescent="0.25">
      <c r="U198" s="6" t="s">
        <v>27</v>
      </c>
      <c r="V198" s="6" t="s">
        <v>181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>
        <v>1</v>
      </c>
      <c r="AH198">
        <v>1</v>
      </c>
    </row>
    <row r="199" spans="21:58" x14ac:dyDescent="0.25">
      <c r="U199" s="6" t="s">
        <v>27</v>
      </c>
      <c r="V199" s="6" t="s">
        <v>182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  <c r="AH199">
        <v>1</v>
      </c>
    </row>
    <row r="200" spans="21:58" x14ac:dyDescent="0.25">
      <c r="U200" s="6" t="s">
        <v>27</v>
      </c>
      <c r="V200" s="6" t="s">
        <v>183</v>
      </c>
      <c r="W200">
        <v>1E-14</v>
      </c>
      <c r="X200">
        <v>1E-14</v>
      </c>
      <c r="Y200">
        <v>1E-14</v>
      </c>
      <c r="Z200">
        <v>1E-14</v>
      </c>
      <c r="AA200">
        <v>1E-14</v>
      </c>
      <c r="AB200">
        <v>1E-14</v>
      </c>
      <c r="AC200">
        <v>1E-14</v>
      </c>
      <c r="AD200">
        <v>1E-14</v>
      </c>
      <c r="AE200">
        <v>1E-14</v>
      </c>
      <c r="AF200">
        <v>1E-14</v>
      </c>
      <c r="AG200">
        <v>1E-14</v>
      </c>
      <c r="AH200">
        <v>1E-14</v>
      </c>
    </row>
    <row r="201" spans="21:58" x14ac:dyDescent="0.25">
      <c r="U201" s="6" t="s">
        <v>27</v>
      </c>
      <c r="V201" s="6" t="s">
        <v>184</v>
      </c>
      <c r="W201">
        <v>833.33333333333337</v>
      </c>
      <c r="X201">
        <v>833.33333333333337</v>
      </c>
      <c r="Y201">
        <v>833.33333333333337</v>
      </c>
      <c r="Z201">
        <v>833.33333333333337</v>
      </c>
      <c r="AA201">
        <v>833.33333333333337</v>
      </c>
      <c r="AB201">
        <v>833.33333333333337</v>
      </c>
      <c r="AC201">
        <v>833.33333333333337</v>
      </c>
      <c r="AD201">
        <v>833.33333333333337</v>
      </c>
      <c r="AE201">
        <v>833.33333333333337</v>
      </c>
      <c r="AF201">
        <v>833.33333333333337</v>
      </c>
      <c r="AG201">
        <v>833.33333333333337</v>
      </c>
      <c r="AH201">
        <v>833.33333333333337</v>
      </c>
    </row>
    <row r="202" spans="21:58" x14ac:dyDescent="0.25">
      <c r="U202" s="6" t="s">
        <v>27</v>
      </c>
      <c r="V202" s="6" t="s">
        <v>187</v>
      </c>
      <c r="W202">
        <v>450</v>
      </c>
      <c r="X202">
        <v>450</v>
      </c>
      <c r="Y202">
        <v>450</v>
      </c>
      <c r="Z202">
        <v>450</v>
      </c>
      <c r="AA202">
        <v>450</v>
      </c>
      <c r="AB202">
        <v>450</v>
      </c>
      <c r="AC202">
        <v>450</v>
      </c>
      <c r="AD202">
        <v>450</v>
      </c>
      <c r="AE202">
        <v>450</v>
      </c>
      <c r="AF202">
        <v>450</v>
      </c>
      <c r="AG202">
        <v>450</v>
      </c>
      <c r="AH202">
        <v>450</v>
      </c>
    </row>
    <row r="203" spans="21:58" x14ac:dyDescent="0.25">
      <c r="U203" s="6" t="s">
        <v>27</v>
      </c>
      <c r="V203" s="6" t="s">
        <v>212</v>
      </c>
      <c r="W203">
        <v>10.5</v>
      </c>
      <c r="X203">
        <v>10.5</v>
      </c>
      <c r="Y203">
        <v>10.5</v>
      </c>
      <c r="Z203">
        <v>10.5</v>
      </c>
      <c r="AA203">
        <v>10.5</v>
      </c>
      <c r="AB203">
        <v>10.5</v>
      </c>
      <c r="AC203">
        <v>10.5</v>
      </c>
      <c r="AD203">
        <v>10.5</v>
      </c>
      <c r="AE203">
        <v>10.5</v>
      </c>
      <c r="AF203">
        <v>10.5</v>
      </c>
      <c r="AG203">
        <v>10.5</v>
      </c>
      <c r="AH203">
        <v>10.5</v>
      </c>
    </row>
    <row r="204" spans="21:58" x14ac:dyDescent="0.25">
      <c r="U204" s="6" t="s">
        <v>27</v>
      </c>
      <c r="V204" s="6" t="s">
        <v>189</v>
      </c>
      <c r="W204">
        <v>37</v>
      </c>
      <c r="X204">
        <v>37</v>
      </c>
      <c r="Y204">
        <v>37</v>
      </c>
      <c r="Z204">
        <v>37</v>
      </c>
      <c r="AA204">
        <v>37</v>
      </c>
      <c r="AB204">
        <v>37</v>
      </c>
      <c r="AC204">
        <v>37</v>
      </c>
      <c r="AD204">
        <v>37</v>
      </c>
      <c r="AE204">
        <v>37</v>
      </c>
      <c r="AF204">
        <v>37</v>
      </c>
      <c r="AG204">
        <v>37</v>
      </c>
      <c r="AH204">
        <v>37</v>
      </c>
    </row>
    <row r="205" spans="21:58" x14ac:dyDescent="0.25">
      <c r="U205" s="6" t="s">
        <v>59</v>
      </c>
      <c r="V205" s="6" t="s">
        <v>181</v>
      </c>
      <c r="W205">
        <v>1E-14</v>
      </c>
      <c r="X205">
        <v>1E-14</v>
      </c>
      <c r="Y205">
        <v>1E-14</v>
      </c>
      <c r="Z205">
        <v>1E-14</v>
      </c>
      <c r="AA205">
        <v>1E-14</v>
      </c>
      <c r="AB205">
        <v>1E-14</v>
      </c>
      <c r="AC205">
        <v>1E-14</v>
      </c>
      <c r="AD205">
        <v>1E-14</v>
      </c>
      <c r="AE205">
        <v>1E-14</v>
      </c>
      <c r="AF205">
        <v>1E-14</v>
      </c>
      <c r="AG205">
        <v>1E-14</v>
      </c>
      <c r="AH205">
        <v>1E-14</v>
      </c>
    </row>
    <row r="206" spans="21:58" x14ac:dyDescent="0.25">
      <c r="U206" s="6" t="s">
        <v>59</v>
      </c>
      <c r="V206" s="6" t="s">
        <v>182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>
        <v>1</v>
      </c>
      <c r="AH206">
        <v>1</v>
      </c>
    </row>
    <row r="207" spans="21:58" x14ac:dyDescent="0.25">
      <c r="U207" s="6" t="s">
        <v>59</v>
      </c>
      <c r="V207" s="6" t="s">
        <v>183</v>
      </c>
      <c r="W207">
        <v>1E-14</v>
      </c>
      <c r="X207">
        <v>1E-14</v>
      </c>
      <c r="Y207">
        <v>1E-14</v>
      </c>
      <c r="Z207">
        <v>1E-14</v>
      </c>
      <c r="AA207">
        <v>1E-14</v>
      </c>
      <c r="AB207">
        <v>1E-14</v>
      </c>
      <c r="AC207">
        <v>1E-14</v>
      </c>
      <c r="AD207">
        <v>1E-14</v>
      </c>
      <c r="AE207">
        <v>1E-14</v>
      </c>
      <c r="AF207">
        <v>1E-14</v>
      </c>
      <c r="AG207">
        <v>1E-14</v>
      </c>
      <c r="AH207">
        <v>1E-14</v>
      </c>
    </row>
    <row r="208" spans="21:58" x14ac:dyDescent="0.25">
      <c r="U208" s="6" t="s">
        <v>59</v>
      </c>
      <c r="V208" s="6" t="s">
        <v>184</v>
      </c>
      <c r="W208">
        <v>833.33333333333337</v>
      </c>
      <c r="X208">
        <v>833.33333333333337</v>
      </c>
      <c r="Y208">
        <v>833.33333333333337</v>
      </c>
      <c r="Z208">
        <v>833.33333333333337</v>
      </c>
      <c r="AA208">
        <v>833.33333333333337</v>
      </c>
      <c r="AB208">
        <v>833.33333333333337</v>
      </c>
      <c r="AC208">
        <v>833.33333333333337</v>
      </c>
      <c r="AD208">
        <v>833.33333333333337</v>
      </c>
      <c r="AE208">
        <v>833.33333333333337</v>
      </c>
      <c r="AF208">
        <v>833.33333333333337</v>
      </c>
      <c r="AG208">
        <v>833.33333333333337</v>
      </c>
      <c r="AH208">
        <v>833.33333333333337</v>
      </c>
    </row>
    <row r="209" spans="21:34" x14ac:dyDescent="0.25">
      <c r="U209" s="6" t="s">
        <v>59</v>
      </c>
      <c r="V209" s="6" t="s">
        <v>187</v>
      </c>
      <c r="W209">
        <v>500</v>
      </c>
      <c r="X209">
        <v>500</v>
      </c>
      <c r="Y209">
        <v>500</v>
      </c>
      <c r="Z209">
        <v>500</v>
      </c>
      <c r="AA209">
        <v>500</v>
      </c>
      <c r="AB209">
        <v>500</v>
      </c>
      <c r="AC209">
        <v>500</v>
      </c>
      <c r="AD209">
        <v>500</v>
      </c>
      <c r="AE209">
        <v>500</v>
      </c>
      <c r="AF209">
        <v>500</v>
      </c>
      <c r="AG209">
        <v>500</v>
      </c>
      <c r="AH209">
        <v>500</v>
      </c>
    </row>
    <row r="210" spans="21:34" x14ac:dyDescent="0.25">
      <c r="U210" s="6" t="s">
        <v>59</v>
      </c>
      <c r="V210" s="6" t="s">
        <v>212</v>
      </c>
      <c r="W210">
        <v>9.5</v>
      </c>
      <c r="X210">
        <v>9.5</v>
      </c>
      <c r="Y210">
        <v>9.5</v>
      </c>
      <c r="Z210">
        <v>9.5</v>
      </c>
      <c r="AA210">
        <v>9.5</v>
      </c>
      <c r="AB210">
        <v>9.5</v>
      </c>
      <c r="AC210">
        <v>9.5</v>
      </c>
      <c r="AD210">
        <v>9.5</v>
      </c>
      <c r="AE210">
        <v>9.5</v>
      </c>
      <c r="AF210">
        <v>9.5</v>
      </c>
      <c r="AG210">
        <v>9.5</v>
      </c>
      <c r="AH210">
        <v>9.5</v>
      </c>
    </row>
    <row r="211" spans="21:34" x14ac:dyDescent="0.25">
      <c r="U211" s="6" t="s">
        <v>59</v>
      </c>
      <c r="V211" s="6" t="s">
        <v>189</v>
      </c>
      <c r="W211">
        <v>37</v>
      </c>
      <c r="X211">
        <v>37</v>
      </c>
      <c r="Y211">
        <v>37</v>
      </c>
      <c r="Z211">
        <v>37</v>
      </c>
      <c r="AA211">
        <v>37</v>
      </c>
      <c r="AB211">
        <v>37</v>
      </c>
      <c r="AC211">
        <v>37</v>
      </c>
      <c r="AD211">
        <v>37</v>
      </c>
      <c r="AE211">
        <v>37</v>
      </c>
      <c r="AF211">
        <v>37</v>
      </c>
      <c r="AG211">
        <v>37</v>
      </c>
      <c r="AH211">
        <v>37</v>
      </c>
    </row>
    <row r="212" spans="21:34" x14ac:dyDescent="0.25">
      <c r="U212" s="6" t="s">
        <v>60</v>
      </c>
      <c r="V212" s="6" t="s">
        <v>181</v>
      </c>
      <c r="W212">
        <v>1E-14</v>
      </c>
      <c r="X212">
        <v>1E-14</v>
      </c>
      <c r="Y212">
        <v>1E-14</v>
      </c>
      <c r="Z212">
        <v>1E-14</v>
      </c>
      <c r="AA212">
        <v>1E-14</v>
      </c>
      <c r="AB212">
        <v>1E-14</v>
      </c>
      <c r="AC212">
        <v>1E-14</v>
      </c>
      <c r="AD212">
        <v>1E-14</v>
      </c>
      <c r="AE212">
        <v>1E-14</v>
      </c>
      <c r="AF212">
        <v>1E-14</v>
      </c>
      <c r="AG212">
        <v>1E-14</v>
      </c>
      <c r="AH212">
        <v>1E-14</v>
      </c>
    </row>
    <row r="213" spans="21:34" x14ac:dyDescent="0.25">
      <c r="U213" s="6" t="s">
        <v>60</v>
      </c>
      <c r="V213" s="6" t="s">
        <v>182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>
        <v>1</v>
      </c>
      <c r="AH213">
        <v>1</v>
      </c>
    </row>
    <row r="214" spans="21:34" x14ac:dyDescent="0.25">
      <c r="U214" s="6" t="s">
        <v>60</v>
      </c>
      <c r="V214" s="6" t="s">
        <v>183</v>
      </c>
      <c r="W214">
        <v>1E-14</v>
      </c>
      <c r="X214">
        <v>1E-14</v>
      </c>
      <c r="Y214">
        <v>1E-14</v>
      </c>
      <c r="Z214">
        <v>1E-14</v>
      </c>
      <c r="AA214">
        <v>1E-14</v>
      </c>
      <c r="AB214">
        <v>1E-14</v>
      </c>
      <c r="AC214">
        <v>1E-14</v>
      </c>
      <c r="AD214">
        <v>1E-14</v>
      </c>
      <c r="AE214">
        <v>1E-14</v>
      </c>
      <c r="AF214">
        <v>1E-14</v>
      </c>
      <c r="AG214">
        <v>1E-14</v>
      </c>
      <c r="AH214">
        <v>1E-14</v>
      </c>
    </row>
    <row r="215" spans="21:34" x14ac:dyDescent="0.25">
      <c r="U215" s="6" t="s">
        <v>60</v>
      </c>
      <c r="V215" s="6" t="s">
        <v>184</v>
      </c>
      <c r="W215">
        <v>833.33333333333337</v>
      </c>
      <c r="X215">
        <v>833.33333333333337</v>
      </c>
      <c r="Y215">
        <v>833.33333333333337</v>
      </c>
      <c r="Z215">
        <v>833.33333333333337</v>
      </c>
      <c r="AA215">
        <v>833.33333333333337</v>
      </c>
      <c r="AB215">
        <v>833.33333333333337</v>
      </c>
      <c r="AC215">
        <v>833.33333333333337</v>
      </c>
      <c r="AD215">
        <v>833.33333333333337</v>
      </c>
      <c r="AE215">
        <v>833.33333333333337</v>
      </c>
      <c r="AF215">
        <v>833.33333333333337</v>
      </c>
      <c r="AG215">
        <v>833.33333333333337</v>
      </c>
      <c r="AH215">
        <v>833.33333333333337</v>
      </c>
    </row>
    <row r="216" spans="21:34" x14ac:dyDescent="0.25">
      <c r="U216" s="6" t="s">
        <v>60</v>
      </c>
      <c r="V216" s="6" t="s">
        <v>187</v>
      </c>
      <c r="W216">
        <v>550</v>
      </c>
      <c r="X216">
        <v>550</v>
      </c>
      <c r="Y216">
        <v>550</v>
      </c>
      <c r="Z216">
        <v>550</v>
      </c>
      <c r="AA216">
        <v>550</v>
      </c>
      <c r="AB216">
        <v>550</v>
      </c>
      <c r="AC216">
        <v>550</v>
      </c>
      <c r="AD216">
        <v>550</v>
      </c>
      <c r="AE216">
        <v>550</v>
      </c>
      <c r="AF216">
        <v>550</v>
      </c>
      <c r="AG216">
        <v>550</v>
      </c>
      <c r="AH216">
        <v>550</v>
      </c>
    </row>
    <row r="217" spans="21:34" x14ac:dyDescent="0.25">
      <c r="U217" s="6" t="s">
        <v>60</v>
      </c>
      <c r="V217" s="6" t="s">
        <v>212</v>
      </c>
      <c r="W217">
        <v>8.5</v>
      </c>
      <c r="X217">
        <v>8.5</v>
      </c>
      <c r="Y217">
        <v>8.5</v>
      </c>
      <c r="Z217">
        <v>8.5</v>
      </c>
      <c r="AA217">
        <v>8.5</v>
      </c>
      <c r="AB217">
        <v>8.5</v>
      </c>
      <c r="AC217">
        <v>8.5</v>
      </c>
      <c r="AD217">
        <v>8.5</v>
      </c>
      <c r="AE217">
        <v>8.5</v>
      </c>
      <c r="AF217">
        <v>8.5</v>
      </c>
      <c r="AG217">
        <v>8.5</v>
      </c>
      <c r="AH217">
        <v>8.5</v>
      </c>
    </row>
    <row r="218" spans="21:34" x14ac:dyDescent="0.25">
      <c r="U218" s="6" t="s">
        <v>60</v>
      </c>
      <c r="V218" s="6" t="s">
        <v>189</v>
      </c>
      <c r="W218">
        <v>37</v>
      </c>
      <c r="X218">
        <v>37</v>
      </c>
      <c r="Y218">
        <v>37</v>
      </c>
      <c r="Z218">
        <v>37</v>
      </c>
      <c r="AA218">
        <v>37</v>
      </c>
      <c r="AB218">
        <v>37</v>
      </c>
      <c r="AC218">
        <v>37</v>
      </c>
      <c r="AD218">
        <v>37</v>
      </c>
      <c r="AE218">
        <v>37</v>
      </c>
      <c r="AF218">
        <v>37</v>
      </c>
      <c r="AG218">
        <v>37</v>
      </c>
      <c r="AH218">
        <v>37</v>
      </c>
    </row>
    <row r="219" spans="21:34" x14ac:dyDescent="0.25">
      <c r="U219" s="6" t="s">
        <v>61</v>
      </c>
      <c r="V219" s="6" t="s">
        <v>181</v>
      </c>
      <c r="W219">
        <v>1E-14</v>
      </c>
      <c r="X219">
        <v>1E-14</v>
      </c>
      <c r="Y219">
        <v>1E-14</v>
      </c>
      <c r="Z219">
        <v>1E-14</v>
      </c>
      <c r="AA219">
        <v>1E-14</v>
      </c>
      <c r="AB219">
        <v>1E-14</v>
      </c>
      <c r="AC219">
        <v>1E-14</v>
      </c>
      <c r="AD219">
        <v>1E-14</v>
      </c>
      <c r="AE219">
        <v>1E-14</v>
      </c>
      <c r="AF219">
        <v>1E-14</v>
      </c>
      <c r="AG219">
        <v>1E-14</v>
      </c>
      <c r="AH219">
        <v>1E-14</v>
      </c>
    </row>
    <row r="220" spans="21:34" x14ac:dyDescent="0.25">
      <c r="U220" s="6" t="s">
        <v>61</v>
      </c>
      <c r="V220" s="6" t="s">
        <v>182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>
        <v>1</v>
      </c>
      <c r="AH220">
        <v>1</v>
      </c>
    </row>
    <row r="221" spans="21:34" x14ac:dyDescent="0.25">
      <c r="U221" s="6" t="s">
        <v>61</v>
      </c>
      <c r="V221" s="6" t="s">
        <v>183</v>
      </c>
      <c r="W221">
        <v>1E-14</v>
      </c>
      <c r="X221">
        <v>1E-14</v>
      </c>
      <c r="Y221">
        <v>1E-14</v>
      </c>
      <c r="Z221">
        <v>1E-14</v>
      </c>
      <c r="AA221">
        <v>1E-14</v>
      </c>
      <c r="AB221">
        <v>1E-14</v>
      </c>
      <c r="AC221">
        <v>1E-14</v>
      </c>
      <c r="AD221">
        <v>1E-14</v>
      </c>
      <c r="AE221">
        <v>1E-14</v>
      </c>
      <c r="AF221">
        <v>1E-14</v>
      </c>
      <c r="AG221">
        <v>1E-14</v>
      </c>
      <c r="AH221">
        <v>1E-14</v>
      </c>
    </row>
    <row r="222" spans="21:34" x14ac:dyDescent="0.25">
      <c r="U222" s="6" t="s">
        <v>61</v>
      </c>
      <c r="V222" s="6" t="s">
        <v>184</v>
      </c>
      <c r="W222">
        <v>833.33333333333337</v>
      </c>
      <c r="X222">
        <v>833.33333333333337</v>
      </c>
      <c r="Y222">
        <v>833.33333333333337</v>
      </c>
      <c r="Z222">
        <v>833.33333333333337</v>
      </c>
      <c r="AA222">
        <v>833.33333333333337</v>
      </c>
      <c r="AB222">
        <v>833.33333333333337</v>
      </c>
      <c r="AC222">
        <v>833.33333333333337</v>
      </c>
      <c r="AD222">
        <v>833.33333333333337</v>
      </c>
      <c r="AE222">
        <v>833.33333333333337</v>
      </c>
      <c r="AF222">
        <v>833.33333333333337</v>
      </c>
      <c r="AG222">
        <v>833.33333333333337</v>
      </c>
      <c r="AH222">
        <v>833.33333333333337</v>
      </c>
    </row>
    <row r="223" spans="21:34" x14ac:dyDescent="0.25">
      <c r="U223" s="6" t="s">
        <v>61</v>
      </c>
      <c r="V223" s="6" t="s">
        <v>187</v>
      </c>
      <c r="W223">
        <v>600</v>
      </c>
      <c r="X223">
        <v>600</v>
      </c>
      <c r="Y223">
        <v>600</v>
      </c>
      <c r="Z223">
        <v>600</v>
      </c>
      <c r="AA223">
        <v>600</v>
      </c>
      <c r="AB223">
        <v>600</v>
      </c>
      <c r="AC223">
        <v>600</v>
      </c>
      <c r="AD223">
        <v>600</v>
      </c>
      <c r="AE223">
        <v>600</v>
      </c>
      <c r="AF223">
        <v>600</v>
      </c>
      <c r="AG223">
        <v>600</v>
      </c>
      <c r="AH223">
        <v>600</v>
      </c>
    </row>
    <row r="224" spans="21:34" x14ac:dyDescent="0.25">
      <c r="U224" s="6" t="s">
        <v>61</v>
      </c>
      <c r="V224" s="6" t="s">
        <v>212</v>
      </c>
      <c r="W224">
        <v>7.5</v>
      </c>
      <c r="X224">
        <v>7.5</v>
      </c>
      <c r="Y224">
        <v>7.5</v>
      </c>
      <c r="Z224">
        <v>7.5</v>
      </c>
      <c r="AA224">
        <v>7.5</v>
      </c>
      <c r="AB224">
        <v>7.5</v>
      </c>
      <c r="AC224">
        <v>7.5</v>
      </c>
      <c r="AD224">
        <v>7.5</v>
      </c>
      <c r="AE224">
        <v>7.5</v>
      </c>
      <c r="AF224">
        <v>7.5</v>
      </c>
      <c r="AG224">
        <v>7.5</v>
      </c>
      <c r="AH224">
        <v>7.5</v>
      </c>
    </row>
    <row r="225" spans="21:34" x14ac:dyDescent="0.25">
      <c r="U225" s="6" t="s">
        <v>61</v>
      </c>
      <c r="V225" s="6" t="s">
        <v>189</v>
      </c>
      <c r="W225">
        <v>37</v>
      </c>
      <c r="X225">
        <v>37</v>
      </c>
      <c r="Y225">
        <v>37</v>
      </c>
      <c r="Z225">
        <v>37</v>
      </c>
      <c r="AA225">
        <v>37</v>
      </c>
      <c r="AB225">
        <v>37</v>
      </c>
      <c r="AC225">
        <v>37</v>
      </c>
      <c r="AD225">
        <v>37</v>
      </c>
      <c r="AE225">
        <v>37</v>
      </c>
      <c r="AF225">
        <v>37</v>
      </c>
      <c r="AG225">
        <v>37</v>
      </c>
      <c r="AH225">
        <v>37</v>
      </c>
    </row>
    <row r="226" spans="21:34" x14ac:dyDescent="0.25">
      <c r="U226" s="6" t="s">
        <v>21</v>
      </c>
      <c r="V226" s="6" t="s">
        <v>181</v>
      </c>
      <c r="W226">
        <v>1E-14</v>
      </c>
      <c r="X226">
        <v>1E-14</v>
      </c>
      <c r="Y226">
        <v>1E-14</v>
      </c>
      <c r="Z226">
        <v>1E-14</v>
      </c>
      <c r="AA226">
        <v>1E-14</v>
      </c>
      <c r="AB226">
        <v>1E-14</v>
      </c>
      <c r="AC226">
        <v>1E-14</v>
      </c>
      <c r="AD226">
        <v>1E-14</v>
      </c>
      <c r="AE226">
        <v>1E-14</v>
      </c>
      <c r="AF226">
        <v>1E-14</v>
      </c>
      <c r="AG226">
        <v>1E-14</v>
      </c>
      <c r="AH226">
        <v>1E-14</v>
      </c>
    </row>
    <row r="227" spans="21:34" x14ac:dyDescent="0.25">
      <c r="U227" s="6" t="s">
        <v>21</v>
      </c>
      <c r="V227" s="6" t="s">
        <v>182</v>
      </c>
      <c r="W227">
        <v>1E-14</v>
      </c>
      <c r="X227">
        <v>1E-14</v>
      </c>
      <c r="Y227">
        <v>1E-14</v>
      </c>
      <c r="Z227">
        <v>1E-14</v>
      </c>
      <c r="AA227">
        <v>1E-14</v>
      </c>
      <c r="AB227">
        <v>1E-14</v>
      </c>
      <c r="AC227">
        <v>1E-14</v>
      </c>
      <c r="AD227">
        <v>1E-14</v>
      </c>
      <c r="AE227">
        <v>1E-14</v>
      </c>
      <c r="AF227">
        <v>1E-14</v>
      </c>
      <c r="AG227">
        <v>1E-14</v>
      </c>
      <c r="AH227">
        <v>1E-14</v>
      </c>
    </row>
    <row r="228" spans="21:34" x14ac:dyDescent="0.25">
      <c r="U228" s="6" t="s">
        <v>21</v>
      </c>
      <c r="V228" s="6" t="s">
        <v>183</v>
      </c>
      <c r="W228">
        <v>1E-14</v>
      </c>
      <c r="X228">
        <v>1E-14</v>
      </c>
      <c r="Y228">
        <v>1E-14</v>
      </c>
      <c r="Z228">
        <v>1E-14</v>
      </c>
      <c r="AA228">
        <v>1E-14</v>
      </c>
      <c r="AB228">
        <v>1E-14</v>
      </c>
      <c r="AC228">
        <v>1E-14</v>
      </c>
      <c r="AD228">
        <v>1E-14</v>
      </c>
      <c r="AE228">
        <v>1E-14</v>
      </c>
      <c r="AF228">
        <v>1E-14</v>
      </c>
      <c r="AG228">
        <v>1E-14</v>
      </c>
      <c r="AH228">
        <v>1E-14</v>
      </c>
    </row>
    <row r="229" spans="21:34" x14ac:dyDescent="0.25">
      <c r="U229" s="6" t="s">
        <v>21</v>
      </c>
      <c r="V229" s="6" t="s">
        <v>184</v>
      </c>
      <c r="W229">
        <v>1E-14</v>
      </c>
      <c r="X229">
        <v>1E-14</v>
      </c>
      <c r="Y229">
        <v>1E-14</v>
      </c>
      <c r="Z229">
        <v>1E-14</v>
      </c>
      <c r="AA229">
        <v>1E-14</v>
      </c>
      <c r="AB229">
        <v>1E-14</v>
      </c>
      <c r="AC229">
        <v>1E-14</v>
      </c>
      <c r="AD229">
        <v>1E-14</v>
      </c>
      <c r="AE229">
        <v>1E-14</v>
      </c>
      <c r="AF229">
        <v>1E-14</v>
      </c>
      <c r="AG229">
        <v>1E-14</v>
      </c>
      <c r="AH229">
        <v>1E-14</v>
      </c>
    </row>
    <row r="230" spans="21:34" x14ac:dyDescent="0.25">
      <c r="U230" s="6" t="s">
        <v>21</v>
      </c>
      <c r="V230" s="6" t="s">
        <v>187</v>
      </c>
      <c r="W230">
        <v>-470</v>
      </c>
      <c r="X230">
        <v>-470</v>
      </c>
      <c r="Y230">
        <v>-470</v>
      </c>
      <c r="Z230">
        <v>-470</v>
      </c>
      <c r="AA230">
        <v>-470</v>
      </c>
      <c r="AB230">
        <v>-470</v>
      </c>
      <c r="AC230">
        <v>-470</v>
      </c>
      <c r="AD230">
        <v>-470</v>
      </c>
      <c r="AE230">
        <v>-470</v>
      </c>
      <c r="AF230">
        <v>-470</v>
      </c>
      <c r="AG230">
        <v>-470</v>
      </c>
      <c r="AH230">
        <v>-470</v>
      </c>
    </row>
    <row r="231" spans="21:34" x14ac:dyDescent="0.25">
      <c r="U231" s="6" t="s">
        <v>21</v>
      </c>
      <c r="V231" s="6" t="s">
        <v>212</v>
      </c>
      <c r="W231">
        <v>9.4</v>
      </c>
      <c r="X231">
        <v>9.4</v>
      </c>
      <c r="Y231">
        <v>9.4</v>
      </c>
      <c r="Z231">
        <v>9.4</v>
      </c>
      <c r="AA231">
        <v>9.4</v>
      </c>
      <c r="AB231">
        <v>9.4</v>
      </c>
      <c r="AC231">
        <v>9.4</v>
      </c>
      <c r="AD231">
        <v>9.4</v>
      </c>
      <c r="AE231">
        <v>9.4</v>
      </c>
      <c r="AF231">
        <v>9.4</v>
      </c>
      <c r="AG231">
        <v>9.4</v>
      </c>
      <c r="AH231">
        <v>9.4</v>
      </c>
    </row>
    <row r="232" spans="21:34" x14ac:dyDescent="0.25">
      <c r="U232" s="6" t="s">
        <v>21</v>
      </c>
      <c r="V232" s="6" t="s">
        <v>189</v>
      </c>
      <c r="W232">
        <v>1E-14</v>
      </c>
      <c r="X232">
        <v>1E-14</v>
      </c>
      <c r="Y232">
        <v>1E-14</v>
      </c>
      <c r="Z232">
        <v>1E-14</v>
      </c>
      <c r="AA232">
        <v>1E-14</v>
      </c>
      <c r="AB232">
        <v>1E-14</v>
      </c>
      <c r="AC232">
        <v>1E-14</v>
      </c>
      <c r="AD232">
        <v>1E-14</v>
      </c>
      <c r="AE232">
        <v>1E-14</v>
      </c>
      <c r="AF232">
        <v>1E-14</v>
      </c>
      <c r="AG232">
        <v>1E-14</v>
      </c>
      <c r="AH232">
        <v>1E-14</v>
      </c>
    </row>
    <row r="233" spans="21:34" x14ac:dyDescent="0.25">
      <c r="U233" s="6" t="s">
        <v>22</v>
      </c>
      <c r="V233" s="6" t="s">
        <v>181</v>
      </c>
      <c r="W233">
        <v>1E-14</v>
      </c>
      <c r="X233">
        <v>1E-14</v>
      </c>
      <c r="Y233">
        <v>1E-14</v>
      </c>
      <c r="Z233">
        <v>1E-14</v>
      </c>
      <c r="AA233">
        <v>1E-14</v>
      </c>
      <c r="AB233">
        <v>1E-14</v>
      </c>
      <c r="AC233">
        <v>1E-14</v>
      </c>
      <c r="AD233">
        <v>1E-14</v>
      </c>
      <c r="AE233">
        <v>1E-14</v>
      </c>
      <c r="AF233">
        <v>1E-14</v>
      </c>
      <c r="AG233">
        <v>1E-14</v>
      </c>
      <c r="AH233">
        <v>1E-14</v>
      </c>
    </row>
    <row r="234" spans="21:34" x14ac:dyDescent="0.25">
      <c r="U234" s="6" t="s">
        <v>22</v>
      </c>
      <c r="V234" s="6" t="s">
        <v>182</v>
      </c>
      <c r="W234">
        <v>1E-14</v>
      </c>
      <c r="X234">
        <v>1E-14</v>
      </c>
      <c r="Y234">
        <v>1E-14</v>
      </c>
      <c r="Z234">
        <v>1E-14</v>
      </c>
      <c r="AA234">
        <v>1E-14</v>
      </c>
      <c r="AB234">
        <v>1E-14</v>
      </c>
      <c r="AC234">
        <v>1E-14</v>
      </c>
      <c r="AD234">
        <v>1E-14</v>
      </c>
      <c r="AE234">
        <v>1E-14</v>
      </c>
      <c r="AF234">
        <v>1E-14</v>
      </c>
      <c r="AG234">
        <v>1E-14</v>
      </c>
      <c r="AH234">
        <v>1E-14</v>
      </c>
    </row>
    <row r="235" spans="21:34" x14ac:dyDescent="0.25">
      <c r="U235" s="6" t="s">
        <v>22</v>
      </c>
      <c r="V235" s="6" t="s">
        <v>183</v>
      </c>
      <c r="W235">
        <v>1E-14</v>
      </c>
      <c r="X235">
        <v>1E-14</v>
      </c>
      <c r="Y235">
        <v>1E-14</v>
      </c>
      <c r="Z235">
        <v>1E-14</v>
      </c>
      <c r="AA235">
        <v>1E-14</v>
      </c>
      <c r="AB235">
        <v>1E-14</v>
      </c>
      <c r="AC235">
        <v>1E-14</v>
      </c>
      <c r="AD235">
        <v>1E-14</v>
      </c>
      <c r="AE235">
        <v>1E-14</v>
      </c>
      <c r="AF235">
        <v>1E-14</v>
      </c>
      <c r="AG235">
        <v>1E-14</v>
      </c>
      <c r="AH235">
        <v>1E-14</v>
      </c>
    </row>
    <row r="236" spans="21:34" x14ac:dyDescent="0.25">
      <c r="U236" s="6" t="s">
        <v>22</v>
      </c>
      <c r="V236" s="6" t="s">
        <v>184</v>
      </c>
      <c r="W236">
        <v>20.833333333333332</v>
      </c>
      <c r="X236">
        <v>1E-14</v>
      </c>
      <c r="Y236">
        <v>1E-14</v>
      </c>
      <c r="Z236">
        <v>1E-14</v>
      </c>
      <c r="AA236">
        <v>1E-14</v>
      </c>
      <c r="AB236">
        <v>1E-14</v>
      </c>
      <c r="AC236">
        <v>1E-14</v>
      </c>
      <c r="AD236">
        <v>1E-14</v>
      </c>
      <c r="AE236">
        <v>1E-14</v>
      </c>
      <c r="AF236">
        <v>1E-14</v>
      </c>
      <c r="AG236">
        <v>1E-14</v>
      </c>
      <c r="AH236">
        <v>29.166666666666668</v>
      </c>
    </row>
    <row r="237" spans="21:34" x14ac:dyDescent="0.25">
      <c r="U237" s="6" t="s">
        <v>22</v>
      </c>
      <c r="V237" s="6" t="s">
        <v>187</v>
      </c>
      <c r="W237">
        <v>-189</v>
      </c>
      <c r="X237">
        <v>-189</v>
      </c>
      <c r="Y237">
        <v>-189</v>
      </c>
      <c r="Z237">
        <v>-189</v>
      </c>
      <c r="AA237">
        <v>-189</v>
      </c>
      <c r="AB237">
        <v>-189</v>
      </c>
      <c r="AC237">
        <v>-189</v>
      </c>
      <c r="AD237">
        <v>-189</v>
      </c>
      <c r="AE237">
        <v>-189</v>
      </c>
      <c r="AF237">
        <v>-189</v>
      </c>
      <c r="AG237">
        <v>-189</v>
      </c>
      <c r="AH237">
        <v>-189</v>
      </c>
    </row>
    <row r="238" spans="21:34" x14ac:dyDescent="0.25">
      <c r="U238" s="6" t="s">
        <v>22</v>
      </c>
      <c r="V238" s="6" t="s">
        <v>212</v>
      </c>
      <c r="W238">
        <v>3.6</v>
      </c>
      <c r="X238">
        <v>3.6</v>
      </c>
      <c r="Y238">
        <v>3.6</v>
      </c>
      <c r="Z238">
        <v>3.6</v>
      </c>
      <c r="AA238">
        <v>3.6</v>
      </c>
      <c r="AB238">
        <v>3.6</v>
      </c>
      <c r="AC238">
        <v>3.6</v>
      </c>
      <c r="AD238">
        <v>3.6</v>
      </c>
      <c r="AE238">
        <v>3.6</v>
      </c>
      <c r="AF238">
        <v>3.6</v>
      </c>
      <c r="AG238">
        <v>3.6</v>
      </c>
      <c r="AH238">
        <v>3.6</v>
      </c>
    </row>
    <row r="239" spans="21:34" x14ac:dyDescent="0.25">
      <c r="U239" s="6" t="s">
        <v>22</v>
      </c>
      <c r="V239" s="6" t="s">
        <v>189</v>
      </c>
      <c r="W239">
        <v>1E-14</v>
      </c>
      <c r="X239">
        <v>1E-14</v>
      </c>
      <c r="Y239">
        <v>1E-14</v>
      </c>
      <c r="Z239">
        <v>1E-14</v>
      </c>
      <c r="AA239">
        <v>1E-14</v>
      </c>
      <c r="AB239">
        <v>1E-14</v>
      </c>
      <c r="AC239">
        <v>1E-14</v>
      </c>
      <c r="AD239">
        <v>1E-14</v>
      </c>
      <c r="AE239">
        <v>1E-14</v>
      </c>
      <c r="AF239">
        <v>1E-14</v>
      </c>
      <c r="AG239">
        <v>1E-14</v>
      </c>
      <c r="AH239">
        <v>1E-14</v>
      </c>
    </row>
    <row r="240" spans="21:34" x14ac:dyDescent="0.25">
      <c r="U240" s="6" t="s">
        <v>25</v>
      </c>
      <c r="V240" s="6" t="s">
        <v>181</v>
      </c>
      <c r="W240">
        <v>1E-14</v>
      </c>
      <c r="X240">
        <v>1E-14</v>
      </c>
      <c r="Y240">
        <v>1E-14</v>
      </c>
      <c r="Z240">
        <v>1E-14</v>
      </c>
      <c r="AA240">
        <v>1E-14</v>
      </c>
      <c r="AB240">
        <v>1E-14</v>
      </c>
      <c r="AC240">
        <v>1E-14</v>
      </c>
      <c r="AD240">
        <v>1E-14</v>
      </c>
      <c r="AE240">
        <v>1E-14</v>
      </c>
      <c r="AF240">
        <v>1E-14</v>
      </c>
      <c r="AG240">
        <v>1E-14</v>
      </c>
      <c r="AH240">
        <v>1E-14</v>
      </c>
    </row>
    <row r="241" spans="21:34" x14ac:dyDescent="0.25">
      <c r="U241" s="6" t="s">
        <v>25</v>
      </c>
      <c r="V241" s="6" t="s">
        <v>182</v>
      </c>
      <c r="W241">
        <v>1E-14</v>
      </c>
      <c r="X241">
        <v>1E-14</v>
      </c>
      <c r="Y241">
        <v>1E-14</v>
      </c>
      <c r="Z241">
        <v>1E-14</v>
      </c>
      <c r="AA241">
        <v>1E-14</v>
      </c>
      <c r="AB241">
        <v>1E-14</v>
      </c>
      <c r="AC241">
        <v>1E-14</v>
      </c>
      <c r="AD241">
        <v>1E-14</v>
      </c>
      <c r="AE241">
        <v>1E-14</v>
      </c>
      <c r="AF241">
        <v>1E-14</v>
      </c>
      <c r="AG241">
        <v>1E-14</v>
      </c>
      <c r="AH241">
        <v>1E-14</v>
      </c>
    </row>
    <row r="242" spans="21:34" x14ac:dyDescent="0.25">
      <c r="U242" s="6" t="s">
        <v>25</v>
      </c>
      <c r="V242" s="6" t="s">
        <v>183</v>
      </c>
      <c r="W242">
        <v>1E-14</v>
      </c>
      <c r="X242">
        <v>1E-14</v>
      </c>
      <c r="Y242">
        <v>1E-14</v>
      </c>
      <c r="Z242">
        <v>1E-14</v>
      </c>
      <c r="AA242">
        <v>1E-14</v>
      </c>
      <c r="AB242">
        <v>1E-14</v>
      </c>
      <c r="AC242">
        <v>1E-14</v>
      </c>
      <c r="AD242">
        <v>1E-14</v>
      </c>
      <c r="AE242">
        <v>1E-14</v>
      </c>
      <c r="AF242">
        <v>1E-14</v>
      </c>
      <c r="AG242">
        <v>1E-14</v>
      </c>
      <c r="AH242">
        <v>1E-14</v>
      </c>
    </row>
    <row r="243" spans="21:34" x14ac:dyDescent="0.25">
      <c r="U243" s="6" t="s">
        <v>25</v>
      </c>
      <c r="V243" s="6" t="s">
        <v>184</v>
      </c>
      <c r="W243">
        <v>20000</v>
      </c>
      <c r="X243">
        <v>20000</v>
      </c>
      <c r="Y243">
        <v>20000</v>
      </c>
      <c r="Z243">
        <v>20000</v>
      </c>
      <c r="AA243">
        <v>20000</v>
      </c>
      <c r="AB243">
        <v>20000</v>
      </c>
      <c r="AC243">
        <v>20000</v>
      </c>
      <c r="AD243">
        <v>20000</v>
      </c>
      <c r="AE243">
        <v>20000</v>
      </c>
      <c r="AF243">
        <v>20000</v>
      </c>
      <c r="AG243">
        <v>20000</v>
      </c>
      <c r="AH243">
        <v>20000</v>
      </c>
    </row>
    <row r="244" spans="21:34" x14ac:dyDescent="0.25">
      <c r="U244" s="6" t="s">
        <v>25</v>
      </c>
      <c r="V244" s="6" t="s">
        <v>187</v>
      </c>
      <c r="W244">
        <v>-5000</v>
      </c>
      <c r="X244">
        <v>-5000</v>
      </c>
      <c r="Y244">
        <v>-5000</v>
      </c>
      <c r="Z244">
        <v>-5000</v>
      </c>
      <c r="AA244">
        <v>-5000</v>
      </c>
      <c r="AB244">
        <v>-5000</v>
      </c>
      <c r="AC244">
        <v>-5000</v>
      </c>
      <c r="AD244">
        <v>-5000</v>
      </c>
      <c r="AE244">
        <v>-5000</v>
      </c>
      <c r="AF244">
        <v>-5000</v>
      </c>
      <c r="AG244">
        <v>-5000</v>
      </c>
      <c r="AH244">
        <v>-5000</v>
      </c>
    </row>
    <row r="245" spans="21:34" x14ac:dyDescent="0.25">
      <c r="U245" s="6" t="s">
        <v>25</v>
      </c>
      <c r="V245" s="6" t="s">
        <v>212</v>
      </c>
      <c r="W245">
        <v>44</v>
      </c>
      <c r="X245">
        <v>44</v>
      </c>
      <c r="Y245">
        <v>44</v>
      </c>
      <c r="Z245">
        <v>44</v>
      </c>
      <c r="AA245">
        <v>44</v>
      </c>
      <c r="AB245">
        <v>44</v>
      </c>
      <c r="AC245">
        <v>44</v>
      </c>
      <c r="AD245">
        <v>44</v>
      </c>
      <c r="AE245">
        <v>44</v>
      </c>
      <c r="AF245">
        <v>44</v>
      </c>
      <c r="AG245">
        <v>44</v>
      </c>
      <c r="AH245">
        <v>44</v>
      </c>
    </row>
    <row r="246" spans="21:34" x14ac:dyDescent="0.25">
      <c r="U246" s="6" t="s">
        <v>25</v>
      </c>
      <c r="V246" s="6" t="s">
        <v>189</v>
      </c>
      <c r="W246">
        <v>72.727272727272734</v>
      </c>
      <c r="X246">
        <v>72.727272727272734</v>
      </c>
      <c r="Y246">
        <v>72.727272727272734</v>
      </c>
      <c r="Z246">
        <v>72.727272727272734</v>
      </c>
      <c r="AA246">
        <v>72.727272727272734</v>
      </c>
      <c r="AB246">
        <v>72.727272727272734</v>
      </c>
      <c r="AC246">
        <v>72.727272727272734</v>
      </c>
      <c r="AD246">
        <v>72.727272727272734</v>
      </c>
      <c r="AE246">
        <v>72.727272727272734</v>
      </c>
      <c r="AF246">
        <v>72.727272727272734</v>
      </c>
      <c r="AG246">
        <v>72.727272727272734</v>
      </c>
      <c r="AH246">
        <v>72.727272727272734</v>
      </c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116" priority="13" operator="lessThanOrEqual">
      <formula>0</formula>
    </cfRule>
  </conditionalFormatting>
  <conditionalFormatting sqref="W16:BF16">
    <cfRule type="cellIs" dxfId="115" priority="8" operator="greaterThan">
      <formula>0</formula>
    </cfRule>
  </conditionalFormatting>
  <conditionalFormatting sqref="C30:C35">
    <cfRule type="cellIs" dxfId="114" priority="6" operator="greaterThan">
      <formula>0.0000000000001</formula>
    </cfRule>
  </conditionalFormatting>
  <conditionalFormatting sqref="B44:Q75 L44:R72">
    <cfRule type="expression" dxfId="113" priority="5">
      <formula>$C44&gt;0.0000000000001</formula>
    </cfRule>
  </conditionalFormatting>
  <conditionalFormatting sqref="C3:C8">
    <cfRule type="cellIs" dxfId="112" priority="4" operator="greaterThan">
      <formula>0.0000000000001</formula>
    </cfRule>
  </conditionalFormatting>
  <conditionalFormatting sqref="C4:C7">
    <cfRule type="cellIs" dxfId="111" priority="3" operator="greaterThan">
      <formula>0.000000000001</formula>
    </cfRule>
  </conditionalFormatting>
  <conditionalFormatting sqref="R44:S72">
    <cfRule type="expression" dxfId="110" priority="2">
      <formula>$C44&gt;0.0000000000001</formula>
    </cfRule>
  </conditionalFormatting>
  <conditionalFormatting sqref="C44:J75">
    <cfRule type="cellIs" dxfId="109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2270-45DB-4653-953B-565E07427390}">
  <sheetPr>
    <tabColor theme="9" tint="0.39997558519241921"/>
  </sheetPr>
  <dimension ref="B9:AB106"/>
  <sheetViews>
    <sheetView zoomScale="85" zoomScaleNormal="85" workbookViewId="0">
      <selection activeCell="R17" sqref="R17"/>
    </sheetView>
  </sheetViews>
  <sheetFormatPr defaultRowHeight="15" x14ac:dyDescent="0.25"/>
  <cols>
    <col min="2" max="2" width="7" bestFit="1" customWidth="1"/>
    <col min="3" max="3" width="11.140625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7" customFormat="1" x14ac:dyDescent="0.25">
      <c r="B10" s="208"/>
      <c r="C10" s="209"/>
      <c r="D10" s="209" t="s">
        <v>230</v>
      </c>
      <c r="E10" s="209" t="s">
        <v>231</v>
      </c>
      <c r="F10" s="209" t="s">
        <v>232</v>
      </c>
      <c r="G10" s="209" t="s">
        <v>233</v>
      </c>
      <c r="H10" s="209" t="s">
        <v>224</v>
      </c>
      <c r="I10" s="209" t="s">
        <v>234</v>
      </c>
      <c r="J10" s="209" t="s">
        <v>235</v>
      </c>
      <c r="K10" s="209" t="s">
        <v>236</v>
      </c>
      <c r="L10" s="209" t="s">
        <v>237</v>
      </c>
      <c r="M10" s="209" t="s">
        <v>238</v>
      </c>
      <c r="N10" s="209" t="s">
        <v>239</v>
      </c>
      <c r="O10" s="209" t="s">
        <v>240</v>
      </c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09"/>
    </row>
    <row r="11" spans="2:28" x14ac:dyDescent="0.25">
      <c r="B11" s="6" t="s">
        <v>109</v>
      </c>
      <c r="C11" s="6" t="s">
        <v>98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109</v>
      </c>
      <c r="C12" s="6" t="s">
        <v>114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109</v>
      </c>
      <c r="C13" s="6" t="s">
        <v>115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109</v>
      </c>
      <c r="C14" s="6" t="s">
        <v>164</v>
      </c>
      <c r="D14">
        <v>8.5</v>
      </c>
      <c r="E14">
        <v>8.5</v>
      </c>
      <c r="F14">
        <v>8.5</v>
      </c>
      <c r="G14">
        <v>8.5</v>
      </c>
      <c r="H14">
        <v>8.5</v>
      </c>
      <c r="I14">
        <v>8.5</v>
      </c>
      <c r="J14">
        <v>8.5</v>
      </c>
      <c r="K14">
        <v>8.5</v>
      </c>
      <c r="L14">
        <v>8.5</v>
      </c>
      <c r="M14">
        <v>8.5</v>
      </c>
      <c r="N14">
        <v>8.5</v>
      </c>
      <c r="O14">
        <v>8.5</v>
      </c>
    </row>
    <row r="15" spans="2:28" x14ac:dyDescent="0.25">
      <c r="B15" s="6" t="s">
        <v>109</v>
      </c>
      <c r="C15" s="6" t="s">
        <v>165</v>
      </c>
      <c r="D15">
        <v>14.5</v>
      </c>
      <c r="E15">
        <v>14.5</v>
      </c>
      <c r="F15">
        <v>14.5</v>
      </c>
      <c r="G15">
        <v>14.5</v>
      </c>
      <c r="H15">
        <v>14.5</v>
      </c>
      <c r="I15">
        <v>14.5</v>
      </c>
      <c r="J15">
        <v>14.5</v>
      </c>
      <c r="K15">
        <v>14.5</v>
      </c>
      <c r="L15">
        <v>14.5</v>
      </c>
      <c r="M15">
        <v>14.5</v>
      </c>
      <c r="N15">
        <v>14.5</v>
      </c>
      <c r="O15">
        <v>14.5</v>
      </c>
    </row>
    <row r="16" spans="2:28" x14ac:dyDescent="0.25">
      <c r="B16" s="6" t="s">
        <v>109</v>
      </c>
      <c r="C16" s="6" t="s">
        <v>166</v>
      </c>
      <c r="D16">
        <v>2.2000000000000002</v>
      </c>
      <c r="E16">
        <v>2.2000000000000002</v>
      </c>
      <c r="F16">
        <v>2.2000000000000002</v>
      </c>
      <c r="G16">
        <v>2.2000000000000002</v>
      </c>
      <c r="H16">
        <v>2.2000000000000002</v>
      </c>
      <c r="I16">
        <v>2.2000000000000002</v>
      </c>
      <c r="J16">
        <v>2.2000000000000002</v>
      </c>
      <c r="K16">
        <v>2.2000000000000002</v>
      </c>
      <c r="L16">
        <v>2.2000000000000002</v>
      </c>
      <c r="M16">
        <v>2.2000000000000002</v>
      </c>
      <c r="N16">
        <v>2.2000000000000002</v>
      </c>
      <c r="O16">
        <v>2.2000000000000002</v>
      </c>
    </row>
    <row r="17" spans="2:15" x14ac:dyDescent="0.25">
      <c r="B17" s="6" t="s">
        <v>109</v>
      </c>
      <c r="C17" s="6" t="s">
        <v>167</v>
      </c>
      <c r="D17">
        <v>4.7672149428491775</v>
      </c>
      <c r="E17">
        <v>4.7672149428491775</v>
      </c>
      <c r="F17">
        <v>4.7672149428491775</v>
      </c>
      <c r="G17">
        <v>4.7672149428491775</v>
      </c>
      <c r="H17">
        <v>4.7672149428491775</v>
      </c>
      <c r="I17">
        <v>4.7672149428491775</v>
      </c>
      <c r="J17">
        <v>4.7672149428491775</v>
      </c>
      <c r="K17">
        <v>4.7672149428491775</v>
      </c>
      <c r="L17">
        <v>4.7672149428491775</v>
      </c>
      <c r="M17">
        <v>4.7672149428491775</v>
      </c>
      <c r="N17">
        <v>4.7672149428491775</v>
      </c>
      <c r="O17">
        <v>4.7672149428491775</v>
      </c>
    </row>
    <row r="18" spans="2:15" x14ac:dyDescent="0.25">
      <c r="B18" s="6" t="s">
        <v>109</v>
      </c>
      <c r="C18" s="6" t="s">
        <v>191</v>
      </c>
      <c r="D18">
        <v>9.5</v>
      </c>
      <c r="E18">
        <v>9.5</v>
      </c>
      <c r="F18">
        <v>9.5</v>
      </c>
      <c r="G18">
        <v>9.5</v>
      </c>
      <c r="H18">
        <v>9.5</v>
      </c>
      <c r="I18">
        <v>9.5</v>
      </c>
      <c r="J18">
        <v>9.5</v>
      </c>
      <c r="K18">
        <v>9.5</v>
      </c>
      <c r="L18">
        <v>9.5</v>
      </c>
      <c r="M18">
        <v>9.5</v>
      </c>
      <c r="N18">
        <v>9.5</v>
      </c>
      <c r="O18">
        <v>9.5</v>
      </c>
    </row>
    <row r="19" spans="2:15" x14ac:dyDescent="0.25">
      <c r="B19" s="6" t="s">
        <v>109</v>
      </c>
      <c r="C19" s="6" t="s">
        <v>23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</row>
    <row r="20" spans="2:15" x14ac:dyDescent="0.25">
      <c r="B20" s="6" t="s">
        <v>109</v>
      </c>
      <c r="C20" s="6" t="s">
        <v>192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109</v>
      </c>
      <c r="C21" s="6" t="s">
        <v>216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109</v>
      </c>
      <c r="C22" s="6" t="s">
        <v>217</v>
      </c>
      <c r="D22">
        <v>1E-14</v>
      </c>
      <c r="E22">
        <v>1E-14</v>
      </c>
      <c r="F22">
        <v>1E-14</v>
      </c>
      <c r="G22">
        <v>1E-14</v>
      </c>
      <c r="H22">
        <v>1E-14</v>
      </c>
      <c r="I22">
        <v>1E-14</v>
      </c>
      <c r="J22">
        <v>1E-14</v>
      </c>
      <c r="K22">
        <v>1E-14</v>
      </c>
      <c r="L22">
        <v>1E-14</v>
      </c>
      <c r="M22">
        <v>1E-14</v>
      </c>
      <c r="N22">
        <v>1E-14</v>
      </c>
      <c r="O22">
        <v>1E-14</v>
      </c>
    </row>
    <row r="23" spans="2:15" x14ac:dyDescent="0.25">
      <c r="B23" s="6" t="s">
        <v>109</v>
      </c>
      <c r="C23" s="6" t="s">
        <v>140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109</v>
      </c>
      <c r="C24" s="6" t="s">
        <v>116</v>
      </c>
      <c r="D24">
        <v>0.84399999999999997</v>
      </c>
      <c r="E24">
        <v>0.84399999999999997</v>
      </c>
      <c r="F24">
        <v>0.84399999999999997</v>
      </c>
      <c r="G24">
        <v>0.84399999999999997</v>
      </c>
      <c r="H24">
        <v>0.84399999999999997</v>
      </c>
      <c r="I24">
        <v>0.84399999999999997</v>
      </c>
      <c r="J24">
        <v>0.84399999999999997</v>
      </c>
      <c r="K24">
        <v>0.84399999999999997</v>
      </c>
      <c r="L24">
        <v>0.84399999999999997</v>
      </c>
      <c r="M24">
        <v>0.84399999999999997</v>
      </c>
      <c r="N24">
        <v>0.84399999999999997</v>
      </c>
      <c r="O24">
        <v>0.84399999999999997</v>
      </c>
    </row>
    <row r="25" spans="2:15" x14ac:dyDescent="0.25">
      <c r="B25" s="6" t="s">
        <v>109</v>
      </c>
      <c r="C25" s="6" t="s">
        <v>144</v>
      </c>
      <c r="D25">
        <v>30</v>
      </c>
      <c r="E25">
        <v>30</v>
      </c>
      <c r="F25">
        <v>30</v>
      </c>
      <c r="G25">
        <v>30</v>
      </c>
      <c r="H25">
        <v>30</v>
      </c>
      <c r="I25">
        <v>30</v>
      </c>
      <c r="J25">
        <v>30</v>
      </c>
      <c r="K25">
        <v>30</v>
      </c>
      <c r="L25">
        <v>30</v>
      </c>
      <c r="M25">
        <v>30</v>
      </c>
      <c r="N25">
        <v>30</v>
      </c>
      <c r="O25">
        <v>30</v>
      </c>
    </row>
    <row r="26" spans="2:15" x14ac:dyDescent="0.25">
      <c r="B26" s="6" t="s">
        <v>109</v>
      </c>
      <c r="C26" s="6" t="s">
        <v>145</v>
      </c>
      <c r="D26">
        <v>0.01</v>
      </c>
      <c r="E26">
        <v>0.01</v>
      </c>
      <c r="F26">
        <v>0.01</v>
      </c>
      <c r="G26">
        <v>0.01</v>
      </c>
      <c r="H26">
        <v>0.01</v>
      </c>
      <c r="I26">
        <v>0.01</v>
      </c>
      <c r="J26">
        <v>0.01</v>
      </c>
      <c r="K26">
        <v>0.01</v>
      </c>
      <c r="L26">
        <v>0.01</v>
      </c>
      <c r="M26">
        <v>0.01</v>
      </c>
      <c r="N26">
        <v>0.01</v>
      </c>
      <c r="O26">
        <v>0.01</v>
      </c>
    </row>
    <row r="27" spans="2:15" x14ac:dyDescent="0.25">
      <c r="B27" s="6" t="s">
        <v>110</v>
      </c>
      <c r="C27" s="6" t="s">
        <v>98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  <row r="28" spans="2:15" x14ac:dyDescent="0.25">
      <c r="B28" s="6" t="s">
        <v>110</v>
      </c>
      <c r="C28" s="6" t="s">
        <v>114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</row>
    <row r="29" spans="2:15" x14ac:dyDescent="0.25">
      <c r="B29" s="6" t="s">
        <v>110</v>
      </c>
      <c r="C29" s="6" t="s">
        <v>115</v>
      </c>
      <c r="D29">
        <v>10</v>
      </c>
      <c r="E29">
        <v>10</v>
      </c>
      <c r="F29">
        <v>10</v>
      </c>
      <c r="G29">
        <v>10</v>
      </c>
      <c r="H29">
        <v>10</v>
      </c>
      <c r="I29">
        <v>10</v>
      </c>
      <c r="J29">
        <v>10</v>
      </c>
      <c r="K29">
        <v>10</v>
      </c>
      <c r="L29">
        <v>10</v>
      </c>
      <c r="M29">
        <v>10</v>
      </c>
      <c r="N29">
        <v>10</v>
      </c>
      <c r="O29">
        <v>10</v>
      </c>
    </row>
    <row r="30" spans="2:15" x14ac:dyDescent="0.25">
      <c r="B30" s="6" t="s">
        <v>110</v>
      </c>
      <c r="C30" s="6" t="s">
        <v>164</v>
      </c>
      <c r="D30">
        <v>8.5</v>
      </c>
      <c r="E30">
        <v>8.5</v>
      </c>
      <c r="F30">
        <v>8.5</v>
      </c>
      <c r="G30">
        <v>8.5</v>
      </c>
      <c r="H30">
        <v>8.5</v>
      </c>
      <c r="I30">
        <v>8.5</v>
      </c>
      <c r="J30">
        <v>8.5</v>
      </c>
      <c r="K30">
        <v>8.5</v>
      </c>
      <c r="L30">
        <v>8.5</v>
      </c>
      <c r="M30">
        <v>8.5</v>
      </c>
      <c r="N30">
        <v>8.5</v>
      </c>
      <c r="O30">
        <v>8.5</v>
      </c>
    </row>
    <row r="31" spans="2:15" x14ac:dyDescent="0.25">
      <c r="B31" s="6" t="s">
        <v>110</v>
      </c>
      <c r="C31" s="6" t="s">
        <v>165</v>
      </c>
      <c r="D31">
        <v>14.5</v>
      </c>
      <c r="E31">
        <v>14.5</v>
      </c>
      <c r="F31">
        <v>14.5</v>
      </c>
      <c r="G31">
        <v>14.5</v>
      </c>
      <c r="H31">
        <v>14.5</v>
      </c>
      <c r="I31">
        <v>14.5</v>
      </c>
      <c r="J31">
        <v>14.5</v>
      </c>
      <c r="K31">
        <v>14.5</v>
      </c>
      <c r="L31">
        <v>14.5</v>
      </c>
      <c r="M31">
        <v>14.5</v>
      </c>
      <c r="N31">
        <v>14.5</v>
      </c>
      <c r="O31">
        <v>14.5</v>
      </c>
    </row>
    <row r="32" spans="2:15" x14ac:dyDescent="0.25">
      <c r="B32" s="6" t="s">
        <v>110</v>
      </c>
      <c r="C32" s="6" t="s">
        <v>166</v>
      </c>
      <c r="D32">
        <v>6.3</v>
      </c>
      <c r="E32">
        <v>6.3</v>
      </c>
      <c r="F32">
        <v>6.3</v>
      </c>
      <c r="G32">
        <v>6.3</v>
      </c>
      <c r="H32">
        <v>6.3</v>
      </c>
      <c r="I32">
        <v>6.3</v>
      </c>
      <c r="J32">
        <v>6.3</v>
      </c>
      <c r="K32">
        <v>6.3</v>
      </c>
      <c r="L32">
        <v>6.3</v>
      </c>
      <c r="M32">
        <v>6.3</v>
      </c>
      <c r="N32">
        <v>6.3</v>
      </c>
      <c r="O32">
        <v>6.3</v>
      </c>
    </row>
    <row r="33" spans="2:15" x14ac:dyDescent="0.25">
      <c r="B33" s="6" t="s">
        <v>110</v>
      </c>
      <c r="C33" s="6" t="s">
        <v>167</v>
      </c>
      <c r="D33">
        <v>12.4</v>
      </c>
      <c r="E33">
        <v>12.4</v>
      </c>
      <c r="F33">
        <v>12.4</v>
      </c>
      <c r="G33">
        <v>12.4</v>
      </c>
      <c r="H33">
        <v>12.4</v>
      </c>
      <c r="I33">
        <v>12.4</v>
      </c>
      <c r="J33">
        <v>12.4</v>
      </c>
      <c r="K33">
        <v>12.4</v>
      </c>
      <c r="L33">
        <v>12.4</v>
      </c>
      <c r="M33">
        <v>12.4</v>
      </c>
      <c r="N33">
        <v>12.4</v>
      </c>
      <c r="O33">
        <v>12.4</v>
      </c>
    </row>
    <row r="34" spans="2:15" x14ac:dyDescent="0.25">
      <c r="B34" s="6" t="s">
        <v>110</v>
      </c>
      <c r="C34" s="6" t="s">
        <v>191</v>
      </c>
      <c r="D34">
        <v>22.5</v>
      </c>
      <c r="E34">
        <v>22.5</v>
      </c>
      <c r="F34">
        <v>22.5</v>
      </c>
      <c r="G34">
        <v>22.5</v>
      </c>
      <c r="H34">
        <v>22.5</v>
      </c>
      <c r="I34">
        <v>22.5</v>
      </c>
      <c r="J34">
        <v>22.5</v>
      </c>
      <c r="K34">
        <v>22.5</v>
      </c>
      <c r="L34">
        <v>22.5</v>
      </c>
      <c r="M34">
        <v>22.5</v>
      </c>
      <c r="N34">
        <v>22.5</v>
      </c>
      <c r="O34">
        <v>22.5</v>
      </c>
    </row>
    <row r="35" spans="2:15" x14ac:dyDescent="0.25">
      <c r="B35" s="6" t="s">
        <v>110</v>
      </c>
      <c r="C35" s="6" t="s">
        <v>23</v>
      </c>
      <c r="D35">
        <v>5.5</v>
      </c>
      <c r="E35">
        <v>5.5</v>
      </c>
      <c r="F35">
        <v>5.5</v>
      </c>
      <c r="G35">
        <v>5.5</v>
      </c>
      <c r="H35">
        <v>5.5</v>
      </c>
      <c r="I35">
        <v>5.5</v>
      </c>
      <c r="J35">
        <v>5.5</v>
      </c>
      <c r="K35">
        <v>5.5</v>
      </c>
      <c r="L35">
        <v>5.5</v>
      </c>
      <c r="M35">
        <v>5.5</v>
      </c>
      <c r="N35">
        <v>5.5</v>
      </c>
      <c r="O35">
        <v>5.5</v>
      </c>
    </row>
    <row r="36" spans="2:15" x14ac:dyDescent="0.25">
      <c r="B36" s="6" t="s">
        <v>110</v>
      </c>
      <c r="C36" s="6" t="s">
        <v>192</v>
      </c>
      <c r="D36">
        <v>7.5</v>
      </c>
      <c r="E36">
        <v>7.5</v>
      </c>
      <c r="F36">
        <v>7.5</v>
      </c>
      <c r="G36">
        <v>7.5</v>
      </c>
      <c r="H36">
        <v>7.5</v>
      </c>
      <c r="I36">
        <v>7.5</v>
      </c>
      <c r="J36">
        <v>7.5</v>
      </c>
      <c r="K36">
        <v>7.5</v>
      </c>
      <c r="L36">
        <v>8</v>
      </c>
      <c r="M36">
        <v>8</v>
      </c>
      <c r="N36">
        <v>8</v>
      </c>
      <c r="O36">
        <v>8</v>
      </c>
    </row>
    <row r="37" spans="2:15" x14ac:dyDescent="0.25">
      <c r="B37" s="6" t="s">
        <v>110</v>
      </c>
      <c r="C37" s="6" t="s">
        <v>216</v>
      </c>
      <c r="D37">
        <v>1E-14</v>
      </c>
      <c r="E37">
        <v>1E-14</v>
      </c>
      <c r="F37">
        <v>1E-14</v>
      </c>
      <c r="G37">
        <v>1E-14</v>
      </c>
      <c r="H37">
        <v>1E-14</v>
      </c>
      <c r="I37">
        <v>1E-14</v>
      </c>
      <c r="J37">
        <v>1E-14</v>
      </c>
      <c r="K37">
        <v>1E-14</v>
      </c>
      <c r="L37">
        <v>1E-14</v>
      </c>
      <c r="M37">
        <v>1E-14</v>
      </c>
      <c r="N37">
        <v>1E-14</v>
      </c>
      <c r="O37">
        <v>1E-14</v>
      </c>
    </row>
    <row r="38" spans="2:15" x14ac:dyDescent="0.25">
      <c r="B38" s="6" t="s">
        <v>110</v>
      </c>
      <c r="C38" s="6" t="s">
        <v>217</v>
      </c>
      <c r="D38">
        <v>1E-14</v>
      </c>
      <c r="E38">
        <v>1E-14</v>
      </c>
      <c r="F38">
        <v>1E-14</v>
      </c>
      <c r="G38">
        <v>1E-14</v>
      </c>
      <c r="H38">
        <v>1E-14</v>
      </c>
      <c r="I38">
        <v>1E-14</v>
      </c>
      <c r="J38">
        <v>1E-14</v>
      </c>
      <c r="K38">
        <v>1E-14</v>
      </c>
      <c r="L38">
        <v>1E-14</v>
      </c>
      <c r="M38">
        <v>1E-14</v>
      </c>
      <c r="N38">
        <v>1E-14</v>
      </c>
      <c r="O38">
        <v>1E-14</v>
      </c>
    </row>
    <row r="39" spans="2:15" x14ac:dyDescent="0.25">
      <c r="B39" s="6" t="s">
        <v>110</v>
      </c>
      <c r="C39" s="6" t="s">
        <v>140</v>
      </c>
      <c r="D39">
        <v>0.18</v>
      </c>
      <c r="E39">
        <v>0.18</v>
      </c>
      <c r="F39">
        <v>0.18</v>
      </c>
      <c r="G39">
        <v>0.18</v>
      </c>
      <c r="H39">
        <v>0.18</v>
      </c>
      <c r="I39">
        <v>0.18</v>
      </c>
      <c r="J39">
        <v>0.18</v>
      </c>
      <c r="K39">
        <v>0.18</v>
      </c>
      <c r="L39">
        <v>0.22470000000000001</v>
      </c>
      <c r="M39">
        <v>0.22470000000000001</v>
      </c>
      <c r="N39">
        <v>0.22470000000000001</v>
      </c>
      <c r="O39">
        <v>0.22470000000000001</v>
      </c>
    </row>
    <row r="40" spans="2:15" x14ac:dyDescent="0.25">
      <c r="B40" s="6" t="s">
        <v>110</v>
      </c>
      <c r="C40" s="6" t="s">
        <v>116</v>
      </c>
      <c r="D40">
        <v>0.65600000000000003</v>
      </c>
      <c r="E40">
        <v>0.65600000000000003</v>
      </c>
      <c r="F40">
        <v>0.65600000000000003</v>
      </c>
      <c r="G40">
        <v>0.65600000000000003</v>
      </c>
      <c r="H40">
        <v>0.65600000000000003</v>
      </c>
      <c r="I40">
        <v>0.65600000000000003</v>
      </c>
      <c r="J40">
        <v>0.65600000000000003</v>
      </c>
      <c r="K40">
        <v>0.65600000000000003</v>
      </c>
      <c r="L40">
        <v>0.65600000000000003</v>
      </c>
      <c r="M40">
        <v>0.65600000000000003</v>
      </c>
      <c r="N40">
        <v>0.65600000000000003</v>
      </c>
      <c r="O40">
        <v>0.65600000000000003</v>
      </c>
    </row>
    <row r="41" spans="2:15" x14ac:dyDescent="0.25">
      <c r="B41" s="6" t="s">
        <v>110</v>
      </c>
      <c r="C41" s="6" t="s">
        <v>144</v>
      </c>
      <c r="D41">
        <v>50</v>
      </c>
      <c r="E41">
        <v>50</v>
      </c>
      <c r="F41">
        <v>50</v>
      </c>
      <c r="G41">
        <v>50</v>
      </c>
      <c r="H41">
        <v>50</v>
      </c>
      <c r="I41">
        <v>50</v>
      </c>
      <c r="J41">
        <v>50</v>
      </c>
      <c r="K41">
        <v>50</v>
      </c>
      <c r="L41">
        <v>50</v>
      </c>
      <c r="M41">
        <v>50</v>
      </c>
      <c r="N41">
        <v>50</v>
      </c>
      <c r="O41">
        <v>50</v>
      </c>
    </row>
    <row r="42" spans="2:15" x14ac:dyDescent="0.25">
      <c r="B42" s="6" t="s">
        <v>110</v>
      </c>
      <c r="C42" s="6" t="s">
        <v>145</v>
      </c>
      <c r="D42">
        <v>0.01</v>
      </c>
      <c r="E42">
        <v>0.01</v>
      </c>
      <c r="F42">
        <v>0.01</v>
      </c>
      <c r="G42">
        <v>0.01</v>
      </c>
      <c r="H42">
        <v>0.01</v>
      </c>
      <c r="I42">
        <v>0.01</v>
      </c>
      <c r="J42">
        <v>0.01</v>
      </c>
      <c r="K42">
        <v>0.01</v>
      </c>
      <c r="L42">
        <v>0.01</v>
      </c>
      <c r="M42">
        <v>0.01</v>
      </c>
      <c r="N42">
        <v>0.01</v>
      </c>
      <c r="O42">
        <v>0.01</v>
      </c>
    </row>
    <row r="43" spans="2:15" x14ac:dyDescent="0.25">
      <c r="B43" s="6" t="s">
        <v>111</v>
      </c>
      <c r="C43" s="6" t="s">
        <v>98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</row>
    <row r="44" spans="2:15" x14ac:dyDescent="0.25">
      <c r="B44" s="6" t="s">
        <v>111</v>
      </c>
      <c r="C44" s="6" t="s">
        <v>114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</row>
    <row r="45" spans="2:15" x14ac:dyDescent="0.25">
      <c r="B45" s="6" t="s">
        <v>111</v>
      </c>
      <c r="C45" s="6" t="s">
        <v>115</v>
      </c>
      <c r="D45">
        <v>1E-14</v>
      </c>
      <c r="E45">
        <v>1E-14</v>
      </c>
      <c r="F45">
        <v>1E-14</v>
      </c>
      <c r="G45">
        <v>1E-14</v>
      </c>
      <c r="H45">
        <v>1E-14</v>
      </c>
      <c r="I45">
        <v>1E-14</v>
      </c>
      <c r="J45">
        <v>1E-14</v>
      </c>
      <c r="K45">
        <v>1E-14</v>
      </c>
      <c r="L45">
        <v>1E-14</v>
      </c>
      <c r="M45">
        <v>1E-14</v>
      </c>
      <c r="N45">
        <v>1E-14</v>
      </c>
      <c r="O45">
        <v>1E-14</v>
      </c>
    </row>
    <row r="46" spans="2:15" x14ac:dyDescent="0.25">
      <c r="B46" s="6" t="s">
        <v>111</v>
      </c>
      <c r="C46" s="6" t="s">
        <v>164</v>
      </c>
      <c r="D46">
        <v>1E-14</v>
      </c>
      <c r="E46">
        <v>1E-14</v>
      </c>
      <c r="F46">
        <v>1E-14</v>
      </c>
      <c r="G46">
        <v>1E-14</v>
      </c>
      <c r="H46">
        <v>1E-14</v>
      </c>
      <c r="I46">
        <v>1E-14</v>
      </c>
      <c r="J46">
        <v>1E-14</v>
      </c>
      <c r="K46">
        <v>1E-14</v>
      </c>
      <c r="L46">
        <v>1E-14</v>
      </c>
      <c r="M46">
        <v>1E-14</v>
      </c>
      <c r="N46">
        <v>1E-14</v>
      </c>
      <c r="O46">
        <v>1E-14</v>
      </c>
    </row>
    <row r="47" spans="2:15" x14ac:dyDescent="0.25">
      <c r="B47" s="6" t="s">
        <v>111</v>
      </c>
      <c r="C47" s="6" t="s">
        <v>165</v>
      </c>
      <c r="D47">
        <v>1E-14</v>
      </c>
      <c r="E47">
        <v>1E-14</v>
      </c>
      <c r="F47">
        <v>1E-14</v>
      </c>
      <c r="G47">
        <v>1E-14</v>
      </c>
      <c r="H47">
        <v>1E-14</v>
      </c>
      <c r="I47">
        <v>1E-14</v>
      </c>
      <c r="J47">
        <v>1E-14</v>
      </c>
      <c r="K47">
        <v>1E-14</v>
      </c>
      <c r="L47">
        <v>1E-14</v>
      </c>
      <c r="M47">
        <v>1E-14</v>
      </c>
      <c r="N47">
        <v>1E-14</v>
      </c>
      <c r="O47">
        <v>1E-14</v>
      </c>
    </row>
    <row r="48" spans="2:15" x14ac:dyDescent="0.25">
      <c r="B48" s="6" t="s">
        <v>111</v>
      </c>
      <c r="C48" s="6" t="s">
        <v>166</v>
      </c>
      <c r="D48">
        <v>1E-14</v>
      </c>
      <c r="E48">
        <v>1E-14</v>
      </c>
      <c r="F48">
        <v>1E-14</v>
      </c>
      <c r="G48">
        <v>1E-14</v>
      </c>
      <c r="H48">
        <v>1E-14</v>
      </c>
      <c r="I48">
        <v>1E-14</v>
      </c>
      <c r="J48">
        <v>1E-14</v>
      </c>
      <c r="K48">
        <v>1E-14</v>
      </c>
      <c r="L48">
        <v>1E-14</v>
      </c>
      <c r="M48">
        <v>1E-14</v>
      </c>
      <c r="N48">
        <v>1E-14</v>
      </c>
      <c r="O48">
        <v>1E-14</v>
      </c>
    </row>
    <row r="49" spans="2:15" x14ac:dyDescent="0.25">
      <c r="B49" s="6" t="s">
        <v>111</v>
      </c>
      <c r="C49" s="6" t="s">
        <v>167</v>
      </c>
      <c r="D49">
        <v>1E-14</v>
      </c>
      <c r="E49">
        <v>1E-14</v>
      </c>
      <c r="F49">
        <v>1E-14</v>
      </c>
      <c r="G49">
        <v>1E-14</v>
      </c>
      <c r="H49">
        <v>1E-14</v>
      </c>
      <c r="I49">
        <v>1E-14</v>
      </c>
      <c r="J49">
        <v>1E-14</v>
      </c>
      <c r="K49">
        <v>1E-14</v>
      </c>
      <c r="L49">
        <v>1E-14</v>
      </c>
      <c r="M49">
        <v>1E-14</v>
      </c>
      <c r="N49">
        <v>1E-14</v>
      </c>
      <c r="O49">
        <v>1E-14</v>
      </c>
    </row>
    <row r="50" spans="2:15" x14ac:dyDescent="0.25">
      <c r="B50" s="6" t="s">
        <v>111</v>
      </c>
      <c r="C50" s="6" t="s">
        <v>191</v>
      </c>
      <c r="D50">
        <v>10.5</v>
      </c>
      <c r="E50">
        <v>10.5</v>
      </c>
      <c r="F50">
        <v>10.5</v>
      </c>
      <c r="G50">
        <v>10.5</v>
      </c>
      <c r="H50">
        <v>10.5</v>
      </c>
      <c r="I50">
        <v>10.5</v>
      </c>
      <c r="J50">
        <v>10.5</v>
      </c>
      <c r="K50">
        <v>10.5</v>
      </c>
      <c r="L50">
        <v>10.5</v>
      </c>
      <c r="M50">
        <v>10.5</v>
      </c>
      <c r="N50">
        <v>10.5</v>
      </c>
      <c r="O50">
        <v>10.5</v>
      </c>
    </row>
    <row r="51" spans="2:15" x14ac:dyDescent="0.25">
      <c r="B51" s="6" t="s">
        <v>111</v>
      </c>
      <c r="C51" s="6" t="s">
        <v>23</v>
      </c>
      <c r="D51">
        <v>1E-14</v>
      </c>
      <c r="E51">
        <v>1E-14</v>
      </c>
      <c r="F51">
        <v>1E-14</v>
      </c>
      <c r="G51">
        <v>1E-14</v>
      </c>
      <c r="H51">
        <v>1E-14</v>
      </c>
      <c r="I51">
        <v>1E-14</v>
      </c>
      <c r="J51">
        <v>1E-14</v>
      </c>
      <c r="K51">
        <v>1E-14</v>
      </c>
      <c r="L51">
        <v>1E-14</v>
      </c>
      <c r="M51">
        <v>1E-14</v>
      </c>
      <c r="N51">
        <v>1E-14</v>
      </c>
      <c r="O51">
        <v>1E-14</v>
      </c>
    </row>
    <row r="52" spans="2:15" x14ac:dyDescent="0.25">
      <c r="B52" s="6" t="s">
        <v>111</v>
      </c>
      <c r="C52" s="6" t="s">
        <v>192</v>
      </c>
      <c r="D52">
        <v>1E-14</v>
      </c>
      <c r="E52">
        <v>1E-14</v>
      </c>
      <c r="F52">
        <v>1E-14</v>
      </c>
      <c r="G52">
        <v>1E-14</v>
      </c>
      <c r="H52">
        <v>1E-14</v>
      </c>
      <c r="I52">
        <v>1E-14</v>
      </c>
      <c r="J52">
        <v>1E-14</v>
      </c>
      <c r="K52">
        <v>1E-14</v>
      </c>
      <c r="L52">
        <v>1E-14</v>
      </c>
      <c r="M52">
        <v>1E-14</v>
      </c>
      <c r="N52">
        <v>1E-14</v>
      </c>
      <c r="O52">
        <v>1E-14</v>
      </c>
    </row>
    <row r="53" spans="2:15" x14ac:dyDescent="0.25">
      <c r="B53" s="6" t="s">
        <v>111</v>
      </c>
      <c r="C53" s="6" t="s">
        <v>216</v>
      </c>
      <c r="D53">
        <v>1E-14</v>
      </c>
      <c r="E53">
        <v>1E-14</v>
      </c>
      <c r="F53">
        <v>1E-14</v>
      </c>
      <c r="G53">
        <v>1E-14</v>
      </c>
      <c r="H53">
        <v>1E-14</v>
      </c>
      <c r="I53">
        <v>1E-14</v>
      </c>
      <c r="J53">
        <v>1E-14</v>
      </c>
      <c r="K53">
        <v>1E-14</v>
      </c>
      <c r="L53">
        <v>1E-14</v>
      </c>
      <c r="M53">
        <v>1E-14</v>
      </c>
      <c r="N53">
        <v>1E-14</v>
      </c>
      <c r="O53">
        <v>1E-14</v>
      </c>
    </row>
    <row r="54" spans="2:15" x14ac:dyDescent="0.25">
      <c r="B54" s="6" t="s">
        <v>111</v>
      </c>
      <c r="C54" s="6" t="s">
        <v>217</v>
      </c>
      <c r="D54">
        <v>1E-14</v>
      </c>
      <c r="E54">
        <v>1E-14</v>
      </c>
      <c r="F54">
        <v>1E-14</v>
      </c>
      <c r="G54">
        <v>1E-14</v>
      </c>
      <c r="H54">
        <v>1E-14</v>
      </c>
      <c r="I54">
        <v>1E-14</v>
      </c>
      <c r="J54">
        <v>1E-14</v>
      </c>
      <c r="K54">
        <v>1E-14</v>
      </c>
      <c r="L54">
        <v>1E-14</v>
      </c>
      <c r="M54">
        <v>1E-14</v>
      </c>
      <c r="N54">
        <v>1E-14</v>
      </c>
      <c r="O54">
        <v>1E-14</v>
      </c>
    </row>
    <row r="55" spans="2:15" x14ac:dyDescent="0.25">
      <c r="B55" s="6" t="s">
        <v>111</v>
      </c>
      <c r="C55" s="6" t="s">
        <v>140</v>
      </c>
      <c r="D55">
        <v>1E-14</v>
      </c>
      <c r="E55">
        <v>1E-14</v>
      </c>
      <c r="F55">
        <v>1E-14</v>
      </c>
      <c r="G55">
        <v>1E-14</v>
      </c>
      <c r="H55">
        <v>1E-14</v>
      </c>
      <c r="I55">
        <v>1E-14</v>
      </c>
      <c r="J55">
        <v>1E-14</v>
      </c>
      <c r="K55">
        <v>1E-14</v>
      </c>
      <c r="L55">
        <v>1E-14</v>
      </c>
      <c r="M55">
        <v>1E-14</v>
      </c>
      <c r="N55">
        <v>1E-14</v>
      </c>
      <c r="O55">
        <v>1E-14</v>
      </c>
    </row>
    <row r="56" spans="2:15" x14ac:dyDescent="0.25">
      <c r="B56" s="6" t="s">
        <v>111</v>
      </c>
      <c r="C56" s="6" t="s">
        <v>116</v>
      </c>
      <c r="D56">
        <v>0.85</v>
      </c>
      <c r="E56">
        <v>0.85</v>
      </c>
      <c r="F56">
        <v>0.85</v>
      </c>
      <c r="G56">
        <v>0.85</v>
      </c>
      <c r="H56">
        <v>0.85</v>
      </c>
      <c r="I56">
        <v>0.85</v>
      </c>
      <c r="J56">
        <v>0.85</v>
      </c>
      <c r="K56">
        <v>0.85</v>
      </c>
      <c r="L56">
        <v>0.85</v>
      </c>
      <c r="M56">
        <v>0.85</v>
      </c>
      <c r="N56">
        <v>0.85</v>
      </c>
      <c r="O56">
        <v>0.85</v>
      </c>
    </row>
    <row r="57" spans="2:15" x14ac:dyDescent="0.25">
      <c r="B57" s="6" t="s">
        <v>111</v>
      </c>
      <c r="C57" s="6" t="s">
        <v>144</v>
      </c>
      <c r="D57">
        <v>25</v>
      </c>
      <c r="E57">
        <v>25</v>
      </c>
      <c r="F57">
        <v>25</v>
      </c>
      <c r="G57">
        <v>25</v>
      </c>
      <c r="H57">
        <v>25</v>
      </c>
      <c r="I57">
        <v>25</v>
      </c>
      <c r="J57">
        <v>25</v>
      </c>
      <c r="K57">
        <v>25</v>
      </c>
      <c r="L57">
        <v>25</v>
      </c>
      <c r="M57">
        <v>25</v>
      </c>
      <c r="N57">
        <v>25</v>
      </c>
      <c r="O57">
        <v>25</v>
      </c>
    </row>
    <row r="58" spans="2:15" x14ac:dyDescent="0.25">
      <c r="B58" s="6" t="s">
        <v>111</v>
      </c>
      <c r="C58" s="6" t="s">
        <v>145</v>
      </c>
      <c r="D58">
        <v>0.01</v>
      </c>
      <c r="E58">
        <v>0.01</v>
      </c>
      <c r="F58">
        <v>0.01</v>
      </c>
      <c r="G58">
        <v>0.01</v>
      </c>
      <c r="H58">
        <v>0.01</v>
      </c>
      <c r="I58">
        <v>0.01</v>
      </c>
      <c r="J58">
        <v>0.01</v>
      </c>
      <c r="K58">
        <v>0.01</v>
      </c>
      <c r="L58">
        <v>0.01</v>
      </c>
      <c r="M58">
        <v>0.01</v>
      </c>
      <c r="N58">
        <v>0.01</v>
      </c>
      <c r="O58">
        <v>0.01</v>
      </c>
    </row>
    <row r="59" spans="2:15" x14ac:dyDescent="0.25">
      <c r="B59" s="6" t="s">
        <v>70</v>
      </c>
      <c r="C59" s="6" t="s">
        <v>98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</row>
    <row r="60" spans="2:15" x14ac:dyDescent="0.25">
      <c r="B60" s="6" t="s">
        <v>70</v>
      </c>
      <c r="C60" s="6" t="s">
        <v>114</v>
      </c>
      <c r="D60">
        <v>3</v>
      </c>
      <c r="E60">
        <v>3</v>
      </c>
      <c r="F60">
        <v>3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</row>
    <row r="61" spans="2:15" x14ac:dyDescent="0.25">
      <c r="B61" s="6" t="s">
        <v>70</v>
      </c>
      <c r="C61" s="6" t="s">
        <v>115</v>
      </c>
      <c r="D61">
        <v>9</v>
      </c>
      <c r="E61">
        <v>9</v>
      </c>
      <c r="F61">
        <v>9</v>
      </c>
      <c r="G61">
        <v>9</v>
      </c>
      <c r="H61">
        <v>9</v>
      </c>
      <c r="I61">
        <v>9</v>
      </c>
      <c r="J61">
        <v>9</v>
      </c>
      <c r="K61">
        <v>9</v>
      </c>
      <c r="L61">
        <v>9</v>
      </c>
      <c r="M61">
        <v>9</v>
      </c>
      <c r="N61">
        <v>9</v>
      </c>
      <c r="O61">
        <v>9</v>
      </c>
    </row>
    <row r="62" spans="2:15" x14ac:dyDescent="0.25">
      <c r="B62" s="6" t="s">
        <v>70</v>
      </c>
      <c r="C62" s="6" t="s">
        <v>164</v>
      </c>
      <c r="D62">
        <v>1E-14</v>
      </c>
      <c r="E62">
        <v>1E-14</v>
      </c>
      <c r="F62">
        <v>1E-14</v>
      </c>
      <c r="G62">
        <v>1E-14</v>
      </c>
      <c r="H62">
        <v>1E-14</v>
      </c>
      <c r="I62">
        <v>1E-14</v>
      </c>
      <c r="J62">
        <v>1E-14</v>
      </c>
      <c r="K62">
        <v>1E-14</v>
      </c>
      <c r="L62">
        <v>1E-14</v>
      </c>
      <c r="M62">
        <v>1E-14</v>
      </c>
      <c r="N62">
        <v>1E-14</v>
      </c>
      <c r="O62">
        <v>1E-14</v>
      </c>
    </row>
    <row r="63" spans="2:15" x14ac:dyDescent="0.25">
      <c r="B63" s="6" t="s">
        <v>70</v>
      </c>
      <c r="C63" s="6" t="s">
        <v>165</v>
      </c>
      <c r="D63">
        <v>1E-14</v>
      </c>
      <c r="E63">
        <v>1E-14</v>
      </c>
      <c r="F63">
        <v>1E-14</v>
      </c>
      <c r="G63">
        <v>1E-14</v>
      </c>
      <c r="H63">
        <v>1E-14</v>
      </c>
      <c r="I63">
        <v>1E-14</v>
      </c>
      <c r="J63">
        <v>1E-14</v>
      </c>
      <c r="K63">
        <v>1E-14</v>
      </c>
      <c r="L63">
        <v>1E-14</v>
      </c>
      <c r="M63">
        <v>1E-14</v>
      </c>
      <c r="N63">
        <v>1E-14</v>
      </c>
      <c r="O63">
        <v>1E-14</v>
      </c>
    </row>
    <row r="64" spans="2:15" x14ac:dyDescent="0.25">
      <c r="B64" s="6" t="s">
        <v>70</v>
      </c>
      <c r="C64" s="6" t="s">
        <v>166</v>
      </c>
      <c r="D64">
        <v>1E-14</v>
      </c>
      <c r="E64">
        <v>1E-14</v>
      </c>
      <c r="F64">
        <v>1E-14</v>
      </c>
      <c r="G64">
        <v>1E-14</v>
      </c>
      <c r="H64">
        <v>1E-14</v>
      </c>
      <c r="I64">
        <v>1E-14</v>
      </c>
      <c r="J64">
        <v>1E-14</v>
      </c>
      <c r="K64">
        <v>1E-14</v>
      </c>
      <c r="L64">
        <v>1E-14</v>
      </c>
      <c r="M64">
        <v>1E-14</v>
      </c>
      <c r="N64">
        <v>1E-14</v>
      </c>
      <c r="O64">
        <v>1E-14</v>
      </c>
    </row>
    <row r="65" spans="2:15" x14ac:dyDescent="0.25">
      <c r="B65" s="6" t="s">
        <v>70</v>
      </c>
      <c r="C65" s="6" t="s">
        <v>167</v>
      </c>
      <c r="D65">
        <v>1E-14</v>
      </c>
      <c r="E65">
        <v>1E-14</v>
      </c>
      <c r="F65">
        <v>1E-14</v>
      </c>
      <c r="G65">
        <v>1E-14</v>
      </c>
      <c r="H65">
        <v>1E-14</v>
      </c>
      <c r="I65">
        <v>1E-14</v>
      </c>
      <c r="J65">
        <v>1E-14</v>
      </c>
      <c r="K65">
        <v>1E-14</v>
      </c>
      <c r="L65">
        <v>1E-14</v>
      </c>
      <c r="M65">
        <v>1E-14</v>
      </c>
      <c r="N65">
        <v>1E-14</v>
      </c>
      <c r="O65">
        <v>1E-14</v>
      </c>
    </row>
    <row r="66" spans="2:15" x14ac:dyDescent="0.25">
      <c r="B66" s="6" t="s">
        <v>70</v>
      </c>
      <c r="C66" s="6" t="s">
        <v>191</v>
      </c>
      <c r="D66">
        <v>8</v>
      </c>
      <c r="E66">
        <v>8</v>
      </c>
      <c r="F66">
        <v>8</v>
      </c>
      <c r="G66">
        <v>8</v>
      </c>
      <c r="H66">
        <v>8</v>
      </c>
      <c r="I66">
        <v>8</v>
      </c>
      <c r="J66">
        <v>8</v>
      </c>
      <c r="K66">
        <v>8</v>
      </c>
      <c r="L66">
        <v>8</v>
      </c>
      <c r="M66">
        <v>8</v>
      </c>
      <c r="N66">
        <v>8</v>
      </c>
      <c r="O66">
        <v>8</v>
      </c>
    </row>
    <row r="67" spans="2:15" x14ac:dyDescent="0.25">
      <c r="B67" s="6" t="s">
        <v>70</v>
      </c>
      <c r="C67" s="6" t="s">
        <v>23</v>
      </c>
      <c r="D67">
        <v>1E-14</v>
      </c>
      <c r="E67">
        <v>1E-14</v>
      </c>
      <c r="F67">
        <v>1E-14</v>
      </c>
      <c r="G67">
        <v>1E-14</v>
      </c>
      <c r="H67">
        <v>1E-14</v>
      </c>
      <c r="I67">
        <v>1E-14</v>
      </c>
      <c r="J67">
        <v>1E-14</v>
      </c>
      <c r="K67">
        <v>1E-14</v>
      </c>
      <c r="L67">
        <v>1E-14</v>
      </c>
      <c r="M67">
        <v>1E-14</v>
      </c>
      <c r="N67">
        <v>1E-14</v>
      </c>
      <c r="O67">
        <v>1E-14</v>
      </c>
    </row>
    <row r="68" spans="2:15" x14ac:dyDescent="0.25">
      <c r="B68" s="6" t="s">
        <v>70</v>
      </c>
      <c r="C68" s="6" t="s">
        <v>192</v>
      </c>
      <c r="D68">
        <v>1E-14</v>
      </c>
      <c r="E68">
        <v>1E-14</v>
      </c>
      <c r="F68">
        <v>1E-14</v>
      </c>
      <c r="G68">
        <v>1E-14</v>
      </c>
      <c r="H68">
        <v>1E-14</v>
      </c>
      <c r="I68">
        <v>1E-14</v>
      </c>
      <c r="J68">
        <v>1E-14</v>
      </c>
      <c r="K68">
        <v>1E-14</v>
      </c>
      <c r="L68">
        <v>1E-14</v>
      </c>
      <c r="M68">
        <v>1E-14</v>
      </c>
      <c r="N68">
        <v>1E-14</v>
      </c>
      <c r="O68">
        <v>1E-14</v>
      </c>
    </row>
    <row r="69" spans="2:15" x14ac:dyDescent="0.25">
      <c r="B69" s="6" t="s">
        <v>70</v>
      </c>
      <c r="C69" s="6" t="s">
        <v>216</v>
      </c>
      <c r="D69">
        <v>1E-14</v>
      </c>
      <c r="E69">
        <v>1E-14</v>
      </c>
      <c r="F69">
        <v>1E-14</v>
      </c>
      <c r="G69">
        <v>1E-14</v>
      </c>
      <c r="H69">
        <v>1E-14</v>
      </c>
      <c r="I69">
        <v>1E-14</v>
      </c>
      <c r="J69">
        <v>1E-14</v>
      </c>
      <c r="K69">
        <v>1E-14</v>
      </c>
      <c r="L69">
        <v>1E-14</v>
      </c>
      <c r="M69">
        <v>1E-14</v>
      </c>
      <c r="N69">
        <v>1E-14</v>
      </c>
      <c r="O69">
        <v>1E-14</v>
      </c>
    </row>
    <row r="70" spans="2:15" x14ac:dyDescent="0.25">
      <c r="B70" s="6" t="s">
        <v>70</v>
      </c>
      <c r="C70" s="6" t="s">
        <v>217</v>
      </c>
      <c r="D70">
        <v>1E-14</v>
      </c>
      <c r="E70">
        <v>1E-14</v>
      </c>
      <c r="F70">
        <v>1E-14</v>
      </c>
      <c r="G70">
        <v>1E-14</v>
      </c>
      <c r="H70">
        <v>1E-14</v>
      </c>
      <c r="I70">
        <v>1E-14</v>
      </c>
      <c r="J70">
        <v>1E-14</v>
      </c>
      <c r="K70">
        <v>1E-14</v>
      </c>
      <c r="L70">
        <v>1E-14</v>
      </c>
      <c r="M70">
        <v>1E-14</v>
      </c>
      <c r="N70">
        <v>1E-14</v>
      </c>
      <c r="O70">
        <v>1E-14</v>
      </c>
    </row>
    <row r="71" spans="2:15" x14ac:dyDescent="0.25">
      <c r="B71" s="6" t="s">
        <v>70</v>
      </c>
      <c r="C71" s="6" t="s">
        <v>140</v>
      </c>
      <c r="D71">
        <v>1E-14</v>
      </c>
      <c r="E71">
        <v>1E-14</v>
      </c>
      <c r="F71">
        <v>1E-14</v>
      </c>
      <c r="G71">
        <v>1E-14</v>
      </c>
      <c r="H71">
        <v>1E-14</v>
      </c>
      <c r="I71">
        <v>1E-14</v>
      </c>
      <c r="J71">
        <v>1E-14</v>
      </c>
      <c r="K71">
        <v>1E-14</v>
      </c>
      <c r="L71">
        <v>1E-14</v>
      </c>
      <c r="M71">
        <v>1E-14</v>
      </c>
      <c r="N71">
        <v>1E-14</v>
      </c>
      <c r="O71">
        <v>1E-14</v>
      </c>
    </row>
    <row r="72" spans="2:15" x14ac:dyDescent="0.25">
      <c r="B72" s="6" t="s">
        <v>70</v>
      </c>
      <c r="C72" s="6" t="s">
        <v>116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</row>
    <row r="73" spans="2:15" x14ac:dyDescent="0.25">
      <c r="B73" s="6" t="s">
        <v>70</v>
      </c>
      <c r="C73" s="6" t="s">
        <v>144</v>
      </c>
      <c r="D73">
        <v>5</v>
      </c>
      <c r="E73">
        <v>5</v>
      </c>
      <c r="F73">
        <v>5</v>
      </c>
      <c r="G73">
        <v>5</v>
      </c>
      <c r="H73">
        <v>5</v>
      </c>
      <c r="I73">
        <v>5</v>
      </c>
      <c r="J73">
        <v>5</v>
      </c>
      <c r="K73">
        <v>5</v>
      </c>
      <c r="L73">
        <v>5</v>
      </c>
      <c r="M73">
        <v>5</v>
      </c>
      <c r="N73">
        <v>5</v>
      </c>
      <c r="O73">
        <v>5</v>
      </c>
    </row>
    <row r="74" spans="2:15" x14ac:dyDescent="0.25">
      <c r="B74" s="6" t="s">
        <v>70</v>
      </c>
      <c r="C74" s="6" t="s">
        <v>145</v>
      </c>
      <c r="D74">
        <v>0.01</v>
      </c>
      <c r="E74">
        <v>0.01</v>
      </c>
      <c r="F74">
        <v>0.01</v>
      </c>
      <c r="G74">
        <v>0.01</v>
      </c>
      <c r="H74">
        <v>0.01</v>
      </c>
      <c r="I74">
        <v>0.01</v>
      </c>
      <c r="J74">
        <v>0.01</v>
      </c>
      <c r="K74">
        <v>0.01</v>
      </c>
      <c r="L74">
        <v>0.01</v>
      </c>
      <c r="M74">
        <v>0.01</v>
      </c>
      <c r="N74">
        <v>0.01</v>
      </c>
      <c r="O74">
        <v>0.01</v>
      </c>
    </row>
    <row r="75" spans="2:15" x14ac:dyDescent="0.25">
      <c r="B75" s="6" t="s">
        <v>112</v>
      </c>
      <c r="C75" s="6" t="s">
        <v>98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112</v>
      </c>
      <c r="C76" s="6" t="s">
        <v>114</v>
      </c>
      <c r="D76">
        <v>4</v>
      </c>
      <c r="E76">
        <v>4</v>
      </c>
      <c r="F76">
        <v>4</v>
      </c>
      <c r="G76">
        <v>4</v>
      </c>
      <c r="H76">
        <v>4</v>
      </c>
      <c r="I76">
        <v>4</v>
      </c>
      <c r="J76">
        <v>4</v>
      </c>
      <c r="K76">
        <v>4</v>
      </c>
      <c r="L76">
        <v>4</v>
      </c>
      <c r="M76">
        <v>4</v>
      </c>
      <c r="N76">
        <v>4</v>
      </c>
      <c r="O76">
        <v>4</v>
      </c>
    </row>
    <row r="77" spans="2:15" x14ac:dyDescent="0.25">
      <c r="B77" s="6" t="s">
        <v>112</v>
      </c>
      <c r="C77" s="6" t="s">
        <v>115</v>
      </c>
      <c r="D77">
        <v>1E-14</v>
      </c>
      <c r="E77">
        <v>1E-14</v>
      </c>
      <c r="F77">
        <v>1E-14</v>
      </c>
      <c r="G77">
        <v>1E-14</v>
      </c>
      <c r="H77">
        <v>1E-14</v>
      </c>
      <c r="I77">
        <v>1E-14</v>
      </c>
      <c r="J77">
        <v>1E-14</v>
      </c>
      <c r="K77">
        <v>1E-14</v>
      </c>
      <c r="L77">
        <v>1E-14</v>
      </c>
      <c r="M77">
        <v>1E-14</v>
      </c>
      <c r="N77">
        <v>1E-14</v>
      </c>
      <c r="O77">
        <v>1E-14</v>
      </c>
    </row>
    <row r="78" spans="2:15" x14ac:dyDescent="0.25">
      <c r="B78" s="6" t="s">
        <v>112</v>
      </c>
      <c r="C78" s="6" t="s">
        <v>164</v>
      </c>
      <c r="D78">
        <v>1E-14</v>
      </c>
      <c r="E78">
        <v>1E-14</v>
      </c>
      <c r="F78">
        <v>1E-14</v>
      </c>
      <c r="G78">
        <v>1E-14</v>
      </c>
      <c r="H78">
        <v>1E-14</v>
      </c>
      <c r="I78">
        <v>1E-14</v>
      </c>
      <c r="J78">
        <v>1E-14</v>
      </c>
      <c r="K78">
        <v>1E-14</v>
      </c>
      <c r="L78">
        <v>1E-14</v>
      </c>
      <c r="M78">
        <v>1E-14</v>
      </c>
      <c r="N78">
        <v>1E-14</v>
      </c>
      <c r="O78">
        <v>1E-14</v>
      </c>
    </row>
    <row r="79" spans="2:15" x14ac:dyDescent="0.25">
      <c r="B79" s="6" t="s">
        <v>112</v>
      </c>
      <c r="C79" s="6" t="s">
        <v>165</v>
      </c>
      <c r="D79">
        <v>1E-14</v>
      </c>
      <c r="E79">
        <v>1E-14</v>
      </c>
      <c r="F79">
        <v>1E-14</v>
      </c>
      <c r="G79">
        <v>1E-14</v>
      </c>
      <c r="H79">
        <v>1E-14</v>
      </c>
      <c r="I79">
        <v>1E-14</v>
      </c>
      <c r="J79">
        <v>1E-14</v>
      </c>
      <c r="K79">
        <v>1E-14</v>
      </c>
      <c r="L79">
        <v>1E-14</v>
      </c>
      <c r="M79">
        <v>1E-14</v>
      </c>
      <c r="N79">
        <v>1E-14</v>
      </c>
      <c r="O79">
        <v>1E-14</v>
      </c>
    </row>
    <row r="80" spans="2:15" x14ac:dyDescent="0.25">
      <c r="B80" s="6" t="s">
        <v>112</v>
      </c>
      <c r="C80" s="6" t="s">
        <v>166</v>
      </c>
      <c r="D80">
        <v>1E-14</v>
      </c>
      <c r="E80">
        <v>1E-14</v>
      </c>
      <c r="F80">
        <v>1E-14</v>
      </c>
      <c r="G80">
        <v>1E-14</v>
      </c>
      <c r="H80">
        <v>1E-14</v>
      </c>
      <c r="I80">
        <v>1E-14</v>
      </c>
      <c r="J80">
        <v>1E-14</v>
      </c>
      <c r="K80">
        <v>1E-14</v>
      </c>
      <c r="L80">
        <v>1E-14</v>
      </c>
      <c r="M80">
        <v>1E-14</v>
      </c>
      <c r="N80">
        <v>1E-14</v>
      </c>
      <c r="O80">
        <v>1E-14</v>
      </c>
    </row>
    <row r="81" spans="2:15" x14ac:dyDescent="0.25">
      <c r="B81" s="6" t="s">
        <v>112</v>
      </c>
      <c r="C81" s="6" t="s">
        <v>167</v>
      </c>
      <c r="D81">
        <v>1E-14</v>
      </c>
      <c r="E81">
        <v>1E-14</v>
      </c>
      <c r="F81">
        <v>1E-14</v>
      </c>
      <c r="G81">
        <v>1E-14</v>
      </c>
      <c r="H81">
        <v>1E-14</v>
      </c>
      <c r="I81">
        <v>1E-14</v>
      </c>
      <c r="J81">
        <v>1E-14</v>
      </c>
      <c r="K81">
        <v>1E-14</v>
      </c>
      <c r="L81">
        <v>1E-14</v>
      </c>
      <c r="M81">
        <v>1E-14</v>
      </c>
      <c r="N81">
        <v>1E-14</v>
      </c>
      <c r="O81">
        <v>1E-14</v>
      </c>
    </row>
    <row r="82" spans="2:15" x14ac:dyDescent="0.25">
      <c r="B82" s="6" t="s">
        <v>112</v>
      </c>
      <c r="C82" s="6" t="s">
        <v>191</v>
      </c>
      <c r="D82">
        <v>15</v>
      </c>
      <c r="E82">
        <v>15</v>
      </c>
      <c r="F82">
        <v>15</v>
      </c>
      <c r="G82">
        <v>15</v>
      </c>
      <c r="H82">
        <v>15</v>
      </c>
      <c r="I82">
        <v>15</v>
      </c>
      <c r="J82">
        <v>15</v>
      </c>
      <c r="K82">
        <v>15</v>
      </c>
      <c r="L82">
        <v>15</v>
      </c>
      <c r="M82">
        <v>15</v>
      </c>
      <c r="N82">
        <v>15</v>
      </c>
      <c r="O82">
        <v>15</v>
      </c>
    </row>
    <row r="83" spans="2:15" x14ac:dyDescent="0.25">
      <c r="B83" s="6" t="s">
        <v>112</v>
      </c>
      <c r="C83" s="6" t="s">
        <v>23</v>
      </c>
      <c r="D83">
        <v>1E-14</v>
      </c>
      <c r="E83">
        <v>1E-14</v>
      </c>
      <c r="F83">
        <v>1E-14</v>
      </c>
      <c r="G83">
        <v>1E-14</v>
      </c>
      <c r="H83">
        <v>1E-14</v>
      </c>
      <c r="I83">
        <v>1E-14</v>
      </c>
      <c r="J83">
        <v>1E-14</v>
      </c>
      <c r="K83">
        <v>1E-14</v>
      </c>
      <c r="L83">
        <v>1E-14</v>
      </c>
      <c r="M83">
        <v>1E-14</v>
      </c>
      <c r="N83">
        <v>1E-14</v>
      </c>
      <c r="O83">
        <v>1E-14</v>
      </c>
    </row>
    <row r="84" spans="2:15" x14ac:dyDescent="0.25">
      <c r="B84" s="6" t="s">
        <v>112</v>
      </c>
      <c r="C84" s="6" t="s">
        <v>192</v>
      </c>
      <c r="D84">
        <v>1E-14</v>
      </c>
      <c r="E84">
        <v>1E-14</v>
      </c>
      <c r="F84">
        <v>1E-14</v>
      </c>
      <c r="G84">
        <v>1E-14</v>
      </c>
      <c r="H84">
        <v>1E-14</v>
      </c>
      <c r="I84">
        <v>1E-14</v>
      </c>
      <c r="J84">
        <v>1E-14</v>
      </c>
      <c r="K84">
        <v>1E-14</v>
      </c>
      <c r="L84">
        <v>1E-14</v>
      </c>
      <c r="M84">
        <v>1E-14</v>
      </c>
      <c r="N84">
        <v>1E-14</v>
      </c>
      <c r="O84">
        <v>1E-14</v>
      </c>
    </row>
    <row r="85" spans="2:15" x14ac:dyDescent="0.25">
      <c r="B85" s="6" t="s">
        <v>112</v>
      </c>
      <c r="C85" s="6" t="s">
        <v>216</v>
      </c>
      <c r="D85">
        <v>1E-14</v>
      </c>
      <c r="E85">
        <v>1E-14</v>
      </c>
      <c r="F85">
        <v>1E-14</v>
      </c>
      <c r="G85">
        <v>1E-14</v>
      </c>
      <c r="H85">
        <v>1E-14</v>
      </c>
      <c r="I85">
        <v>1E-14</v>
      </c>
      <c r="J85">
        <v>1E-14</v>
      </c>
      <c r="K85">
        <v>1E-14</v>
      </c>
      <c r="L85">
        <v>1E-14</v>
      </c>
      <c r="M85">
        <v>1E-14</v>
      </c>
      <c r="N85">
        <v>1E-14</v>
      </c>
      <c r="O85">
        <v>1E-14</v>
      </c>
    </row>
    <row r="86" spans="2:15" x14ac:dyDescent="0.25">
      <c r="B86" s="6" t="s">
        <v>112</v>
      </c>
      <c r="C86" s="6" t="s">
        <v>217</v>
      </c>
      <c r="D86">
        <v>1E-14</v>
      </c>
      <c r="E86">
        <v>1E-14</v>
      </c>
      <c r="F86">
        <v>1E-14</v>
      </c>
      <c r="G86">
        <v>1E-14</v>
      </c>
      <c r="H86">
        <v>1E-14</v>
      </c>
      <c r="I86">
        <v>1E-14</v>
      </c>
      <c r="J86">
        <v>1E-14</v>
      </c>
      <c r="K86">
        <v>1E-14</v>
      </c>
      <c r="L86">
        <v>1E-14</v>
      </c>
      <c r="M86">
        <v>1E-14</v>
      </c>
      <c r="N86">
        <v>1E-14</v>
      </c>
      <c r="O86">
        <v>1E-14</v>
      </c>
    </row>
    <row r="87" spans="2:15" x14ac:dyDescent="0.25">
      <c r="B87" s="6" t="s">
        <v>112</v>
      </c>
      <c r="C87" s="6" t="s">
        <v>140</v>
      </c>
      <c r="D87">
        <v>1E-14</v>
      </c>
      <c r="E87">
        <v>1E-14</v>
      </c>
      <c r="F87">
        <v>1E-14</v>
      </c>
      <c r="G87">
        <v>1E-14</v>
      </c>
      <c r="H87">
        <v>1E-14</v>
      </c>
      <c r="I87">
        <v>1E-14</v>
      </c>
      <c r="J87">
        <v>1E-14</v>
      </c>
      <c r="K87">
        <v>1E-14</v>
      </c>
      <c r="L87">
        <v>1E-14</v>
      </c>
      <c r="M87">
        <v>1E-14</v>
      </c>
      <c r="N87">
        <v>1E-14</v>
      </c>
      <c r="O87">
        <v>1E-14</v>
      </c>
    </row>
    <row r="88" spans="2:15" x14ac:dyDescent="0.25">
      <c r="B88" s="6" t="s">
        <v>112</v>
      </c>
      <c r="C88" s="6" t="s">
        <v>116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112</v>
      </c>
      <c r="C89" s="6" t="s">
        <v>144</v>
      </c>
      <c r="D89">
        <v>10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</row>
    <row r="90" spans="2:15" x14ac:dyDescent="0.25">
      <c r="B90" s="6" t="s">
        <v>112</v>
      </c>
      <c r="C90" s="6" t="s">
        <v>145</v>
      </c>
      <c r="D90">
        <v>0.01</v>
      </c>
      <c r="E90">
        <v>0.01</v>
      </c>
      <c r="F90">
        <v>0.01</v>
      </c>
      <c r="G90">
        <v>0.01</v>
      </c>
      <c r="H90">
        <v>0.01</v>
      </c>
      <c r="I90">
        <v>0.01</v>
      </c>
      <c r="J90">
        <v>0.01</v>
      </c>
      <c r="K90">
        <v>0.01</v>
      </c>
      <c r="L90">
        <v>0.01</v>
      </c>
      <c r="M90">
        <v>0.01</v>
      </c>
      <c r="N90">
        <v>0.01</v>
      </c>
      <c r="O90">
        <v>0.01</v>
      </c>
    </row>
    <row r="91" spans="2:15" x14ac:dyDescent="0.25">
      <c r="B91" s="6" t="s">
        <v>113</v>
      </c>
      <c r="C91" s="6" t="s">
        <v>98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</row>
    <row r="92" spans="2:15" x14ac:dyDescent="0.25">
      <c r="B92" s="6" t="s">
        <v>113</v>
      </c>
      <c r="C92" s="6" t="s">
        <v>114</v>
      </c>
      <c r="D92">
        <v>5</v>
      </c>
      <c r="E92">
        <v>5</v>
      </c>
      <c r="F92">
        <v>5</v>
      </c>
      <c r="G92">
        <v>5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</row>
    <row r="93" spans="2:15" x14ac:dyDescent="0.25">
      <c r="B93" s="6" t="s">
        <v>113</v>
      </c>
      <c r="C93" s="6" t="s">
        <v>115</v>
      </c>
      <c r="D93">
        <v>1E-14</v>
      </c>
      <c r="E93">
        <v>1E-14</v>
      </c>
      <c r="F93">
        <v>1E-14</v>
      </c>
      <c r="G93">
        <v>1E-14</v>
      </c>
      <c r="H93">
        <v>1E-14</v>
      </c>
      <c r="I93">
        <v>1E-14</v>
      </c>
      <c r="J93">
        <v>1E-14</v>
      </c>
      <c r="K93">
        <v>1E-14</v>
      </c>
      <c r="L93">
        <v>1E-14</v>
      </c>
      <c r="M93">
        <v>1E-14</v>
      </c>
      <c r="N93">
        <v>1E-14</v>
      </c>
      <c r="O93">
        <v>1E-14</v>
      </c>
    </row>
    <row r="94" spans="2:15" x14ac:dyDescent="0.25">
      <c r="B94" s="6" t="s">
        <v>113</v>
      </c>
      <c r="C94" s="6" t="s">
        <v>164</v>
      </c>
      <c r="D94">
        <v>1E-14</v>
      </c>
      <c r="E94">
        <v>1E-14</v>
      </c>
      <c r="F94">
        <v>1E-14</v>
      </c>
      <c r="G94">
        <v>1E-14</v>
      </c>
      <c r="H94">
        <v>1E-14</v>
      </c>
      <c r="I94">
        <v>1E-14</v>
      </c>
      <c r="J94">
        <v>1E-14</v>
      </c>
      <c r="K94">
        <v>1E-14</v>
      </c>
      <c r="L94">
        <v>1E-14</v>
      </c>
      <c r="M94">
        <v>1E-14</v>
      </c>
      <c r="N94">
        <v>1E-14</v>
      </c>
      <c r="O94">
        <v>1E-14</v>
      </c>
    </row>
    <row r="95" spans="2:15" x14ac:dyDescent="0.25">
      <c r="B95" s="6" t="s">
        <v>113</v>
      </c>
      <c r="C95" s="6" t="s">
        <v>165</v>
      </c>
      <c r="D95">
        <v>1E-14</v>
      </c>
      <c r="E95">
        <v>1E-14</v>
      </c>
      <c r="F95">
        <v>1E-14</v>
      </c>
      <c r="G95">
        <v>1E-14</v>
      </c>
      <c r="H95">
        <v>1E-14</v>
      </c>
      <c r="I95">
        <v>1E-14</v>
      </c>
      <c r="J95">
        <v>1E-14</v>
      </c>
      <c r="K95">
        <v>1E-14</v>
      </c>
      <c r="L95">
        <v>1E-14</v>
      </c>
      <c r="M95">
        <v>1E-14</v>
      </c>
      <c r="N95">
        <v>1E-14</v>
      </c>
      <c r="O95">
        <v>1E-14</v>
      </c>
    </row>
    <row r="96" spans="2:15" x14ac:dyDescent="0.25">
      <c r="B96" s="6" t="s">
        <v>113</v>
      </c>
      <c r="C96" s="6" t="s">
        <v>166</v>
      </c>
      <c r="D96">
        <v>1E-14</v>
      </c>
      <c r="E96">
        <v>1E-14</v>
      </c>
      <c r="F96">
        <v>1E-14</v>
      </c>
      <c r="G96">
        <v>1E-14</v>
      </c>
      <c r="H96">
        <v>1E-14</v>
      </c>
      <c r="I96">
        <v>1E-14</v>
      </c>
      <c r="J96">
        <v>1E-14</v>
      </c>
      <c r="K96">
        <v>1E-14</v>
      </c>
      <c r="L96">
        <v>1E-14</v>
      </c>
      <c r="M96">
        <v>1E-14</v>
      </c>
      <c r="N96">
        <v>1E-14</v>
      </c>
      <c r="O96">
        <v>1E-14</v>
      </c>
    </row>
    <row r="97" spans="2:15" x14ac:dyDescent="0.25">
      <c r="B97" s="6" t="s">
        <v>113</v>
      </c>
      <c r="C97" s="6" t="s">
        <v>167</v>
      </c>
      <c r="D97">
        <v>1E-14</v>
      </c>
      <c r="E97">
        <v>1E-14</v>
      </c>
      <c r="F97">
        <v>1E-14</v>
      </c>
      <c r="G97">
        <v>1E-14</v>
      </c>
      <c r="H97">
        <v>1E-14</v>
      </c>
      <c r="I97">
        <v>1E-14</v>
      </c>
      <c r="J97">
        <v>1E-14</v>
      </c>
      <c r="K97">
        <v>1E-14</v>
      </c>
      <c r="L97">
        <v>1E-14</v>
      </c>
      <c r="M97">
        <v>1E-14</v>
      </c>
      <c r="N97">
        <v>1E-14</v>
      </c>
      <c r="O97">
        <v>1E-14</v>
      </c>
    </row>
    <row r="98" spans="2:15" x14ac:dyDescent="0.25">
      <c r="B98" s="6" t="s">
        <v>113</v>
      </c>
      <c r="C98" s="6" t="s">
        <v>191</v>
      </c>
      <c r="D98">
        <v>100</v>
      </c>
      <c r="E98">
        <v>100</v>
      </c>
      <c r="F98">
        <v>100</v>
      </c>
      <c r="G98">
        <v>100</v>
      </c>
      <c r="H98">
        <v>100</v>
      </c>
      <c r="I98">
        <v>100</v>
      </c>
      <c r="J98">
        <v>100</v>
      </c>
      <c r="K98">
        <v>100</v>
      </c>
      <c r="L98">
        <v>100</v>
      </c>
      <c r="M98">
        <v>100</v>
      </c>
      <c r="N98">
        <v>100</v>
      </c>
      <c r="O98">
        <v>100</v>
      </c>
    </row>
    <row r="99" spans="2:15" x14ac:dyDescent="0.25">
      <c r="B99" s="6" t="s">
        <v>113</v>
      </c>
      <c r="C99" s="6" t="s">
        <v>23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113</v>
      </c>
      <c r="C100" s="6" t="s">
        <v>192</v>
      </c>
      <c r="D100">
        <v>1E-14</v>
      </c>
      <c r="E100">
        <v>1E-14</v>
      </c>
      <c r="F100">
        <v>1E-14</v>
      </c>
      <c r="G100">
        <v>1E-14</v>
      </c>
      <c r="H100">
        <v>1E-14</v>
      </c>
      <c r="I100">
        <v>1E-14</v>
      </c>
      <c r="J100">
        <v>1E-14</v>
      </c>
      <c r="K100">
        <v>1E-14</v>
      </c>
      <c r="L100">
        <v>1E-14</v>
      </c>
      <c r="M100">
        <v>1E-14</v>
      </c>
      <c r="N100">
        <v>1E-14</v>
      </c>
      <c r="O100">
        <v>1E-14</v>
      </c>
    </row>
    <row r="101" spans="2:15" x14ac:dyDescent="0.25">
      <c r="B101" s="6" t="s">
        <v>113</v>
      </c>
      <c r="C101" s="6" t="s">
        <v>216</v>
      </c>
      <c r="D101">
        <v>1E-14</v>
      </c>
      <c r="E101">
        <v>1E-14</v>
      </c>
      <c r="F101">
        <v>1E-14</v>
      </c>
      <c r="G101">
        <v>1E-14</v>
      </c>
      <c r="H101">
        <v>1E-14</v>
      </c>
      <c r="I101">
        <v>1E-14</v>
      </c>
      <c r="J101">
        <v>1E-14</v>
      </c>
      <c r="K101">
        <v>1E-14</v>
      </c>
      <c r="L101">
        <v>1E-14</v>
      </c>
      <c r="M101">
        <v>1E-14</v>
      </c>
      <c r="N101">
        <v>1E-14</v>
      </c>
      <c r="O101">
        <v>1E-14</v>
      </c>
    </row>
    <row r="102" spans="2:15" x14ac:dyDescent="0.25">
      <c r="B102" s="6" t="s">
        <v>113</v>
      </c>
      <c r="C102" s="6" t="s">
        <v>217</v>
      </c>
      <c r="D102">
        <v>1E-14</v>
      </c>
      <c r="E102">
        <v>1E-14</v>
      </c>
      <c r="F102">
        <v>1E-14</v>
      </c>
      <c r="G102">
        <v>1E-14</v>
      </c>
      <c r="H102">
        <v>1E-14</v>
      </c>
      <c r="I102">
        <v>1E-14</v>
      </c>
      <c r="J102">
        <v>1E-14</v>
      </c>
      <c r="K102">
        <v>1E-14</v>
      </c>
      <c r="L102">
        <v>1E-14</v>
      </c>
      <c r="M102">
        <v>1E-14</v>
      </c>
      <c r="N102">
        <v>1E-14</v>
      </c>
      <c r="O102">
        <v>1E-14</v>
      </c>
    </row>
    <row r="103" spans="2:15" x14ac:dyDescent="0.25">
      <c r="B103" s="6" t="s">
        <v>113</v>
      </c>
      <c r="C103" s="6" t="s">
        <v>140</v>
      </c>
      <c r="D103">
        <v>1E-14</v>
      </c>
      <c r="E103">
        <v>1E-14</v>
      </c>
      <c r="F103">
        <v>1E-14</v>
      </c>
      <c r="G103">
        <v>1E-14</v>
      </c>
      <c r="H103">
        <v>1E-14</v>
      </c>
      <c r="I103">
        <v>1E-14</v>
      </c>
      <c r="J103">
        <v>1E-14</v>
      </c>
      <c r="K103">
        <v>1E-14</v>
      </c>
      <c r="L103">
        <v>1E-14</v>
      </c>
      <c r="M103">
        <v>1E-14</v>
      </c>
      <c r="N103">
        <v>1E-14</v>
      </c>
      <c r="O103">
        <v>1E-14</v>
      </c>
    </row>
    <row r="104" spans="2:15" x14ac:dyDescent="0.25">
      <c r="B104" s="6" t="s">
        <v>113</v>
      </c>
      <c r="C104" s="6" t="s">
        <v>116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</row>
    <row r="105" spans="2:15" x14ac:dyDescent="0.25">
      <c r="B105" s="6" t="s">
        <v>113</v>
      </c>
      <c r="C105" s="6" t="s">
        <v>144</v>
      </c>
      <c r="D105">
        <v>10</v>
      </c>
      <c r="E105">
        <v>10</v>
      </c>
      <c r="F105">
        <v>10</v>
      </c>
      <c r="G105">
        <v>10</v>
      </c>
      <c r="H105">
        <v>10</v>
      </c>
      <c r="I105">
        <v>10</v>
      </c>
      <c r="J105">
        <v>10</v>
      </c>
      <c r="K105">
        <v>10</v>
      </c>
      <c r="L105">
        <v>10</v>
      </c>
      <c r="M105">
        <v>10</v>
      </c>
      <c r="N105">
        <v>10</v>
      </c>
      <c r="O105">
        <v>10</v>
      </c>
    </row>
    <row r="106" spans="2:15" x14ac:dyDescent="0.25">
      <c r="B106" s="6" t="s">
        <v>113</v>
      </c>
      <c r="C106" s="6" t="s">
        <v>145</v>
      </c>
      <c r="D106">
        <v>0.01</v>
      </c>
      <c r="E106">
        <v>0.01</v>
      </c>
      <c r="F106">
        <v>0.01</v>
      </c>
      <c r="G106">
        <v>0.01</v>
      </c>
      <c r="H106">
        <v>0.01</v>
      </c>
      <c r="I106">
        <v>0.01</v>
      </c>
      <c r="J106">
        <v>0.01</v>
      </c>
      <c r="K106">
        <v>0.01</v>
      </c>
      <c r="L106">
        <v>0.01</v>
      </c>
      <c r="M106">
        <v>0.01</v>
      </c>
      <c r="N106">
        <v>0.01</v>
      </c>
      <c r="O106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749A8-185F-4E4F-B9DE-40D931747706}">
  <sheetPr>
    <tabColor theme="9" tint="0.39997558519241921"/>
  </sheetPr>
  <dimension ref="B9:AB34"/>
  <sheetViews>
    <sheetView zoomScale="85" zoomScaleNormal="85" workbookViewId="0">
      <selection activeCell="D9" sqref="D9:AB9"/>
    </sheetView>
  </sheetViews>
  <sheetFormatPr defaultRowHeight="15" x14ac:dyDescent="0.25"/>
  <cols>
    <col min="2" max="2" width="5" bestFit="1" customWidth="1"/>
    <col min="3" max="3" width="10.7109375" bestFit="1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7" customFormat="1" x14ac:dyDescent="0.25">
      <c r="B10" s="208"/>
      <c r="C10" s="209"/>
      <c r="D10" s="209" t="s">
        <v>230</v>
      </c>
      <c r="E10" s="209" t="s">
        <v>231</v>
      </c>
      <c r="F10" s="209" t="s">
        <v>232</v>
      </c>
      <c r="G10" s="209" t="s">
        <v>233</v>
      </c>
      <c r="H10" s="209" t="s">
        <v>224</v>
      </c>
      <c r="I10" s="209" t="s">
        <v>234</v>
      </c>
      <c r="J10" s="209" t="s">
        <v>235</v>
      </c>
      <c r="K10" s="209" t="s">
        <v>236</v>
      </c>
      <c r="L10" s="209" t="s">
        <v>237</v>
      </c>
      <c r="M10" s="209" t="s">
        <v>238</v>
      </c>
      <c r="N10" s="209" t="s">
        <v>239</v>
      </c>
      <c r="O10" s="209" t="s">
        <v>240</v>
      </c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09"/>
    </row>
    <row r="11" spans="2:28" x14ac:dyDescent="0.25">
      <c r="B11" s="6" t="s">
        <v>96</v>
      </c>
      <c r="C11" s="6" t="s">
        <v>98</v>
      </c>
      <c r="D11">
        <v>1E-14</v>
      </c>
      <c r="E11">
        <v>1E-14</v>
      </c>
      <c r="F11">
        <v>1E-14</v>
      </c>
      <c r="G11">
        <v>1E-14</v>
      </c>
      <c r="H11">
        <v>1E-14</v>
      </c>
      <c r="I11">
        <v>1E-14</v>
      </c>
      <c r="J11">
        <v>1E-14</v>
      </c>
      <c r="K11">
        <v>1E-14</v>
      </c>
      <c r="L11">
        <v>1E-14</v>
      </c>
      <c r="M11">
        <v>1E-14</v>
      </c>
      <c r="N11">
        <v>1E-14</v>
      </c>
      <c r="O11">
        <v>1E-14</v>
      </c>
    </row>
    <row r="12" spans="2:28" x14ac:dyDescent="0.25">
      <c r="B12" s="6" t="s">
        <v>96</v>
      </c>
      <c r="C12" s="6" t="s">
        <v>104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96</v>
      </c>
      <c r="C13" s="6" t="s">
        <v>203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96</v>
      </c>
      <c r="C14" s="6" t="s">
        <v>137</v>
      </c>
      <c r="D14">
        <v>1E-14</v>
      </c>
      <c r="E14">
        <v>1E-14</v>
      </c>
      <c r="F14">
        <v>1E-14</v>
      </c>
      <c r="G14">
        <v>1E-14</v>
      </c>
      <c r="H14">
        <v>1E-14</v>
      </c>
      <c r="I14">
        <v>1E-14</v>
      </c>
      <c r="J14">
        <v>1E-14</v>
      </c>
      <c r="K14">
        <v>1E-14</v>
      </c>
      <c r="L14">
        <v>1E-14</v>
      </c>
      <c r="M14">
        <v>1E-14</v>
      </c>
      <c r="N14">
        <v>1E-14</v>
      </c>
      <c r="O14">
        <v>1E-14</v>
      </c>
    </row>
    <row r="15" spans="2:28" x14ac:dyDescent="0.25">
      <c r="B15" s="6" t="s">
        <v>96</v>
      </c>
      <c r="C15" s="6" t="s">
        <v>99</v>
      </c>
      <c r="D15">
        <v>2000</v>
      </c>
      <c r="E15">
        <v>2000</v>
      </c>
      <c r="F15">
        <v>2000</v>
      </c>
      <c r="G15">
        <v>2000</v>
      </c>
      <c r="H15">
        <v>2000</v>
      </c>
      <c r="I15">
        <v>2000</v>
      </c>
      <c r="J15">
        <v>2000</v>
      </c>
      <c r="K15">
        <v>2000</v>
      </c>
      <c r="L15">
        <v>2000</v>
      </c>
      <c r="M15">
        <v>2000</v>
      </c>
      <c r="N15">
        <v>2000</v>
      </c>
      <c r="O15">
        <v>2000</v>
      </c>
    </row>
    <row r="16" spans="2:28" x14ac:dyDescent="0.25">
      <c r="B16" s="6" t="s">
        <v>96</v>
      </c>
      <c r="C16" s="6" t="s">
        <v>100</v>
      </c>
      <c r="D16">
        <v>2000</v>
      </c>
      <c r="E16">
        <v>2000</v>
      </c>
      <c r="F16">
        <v>2000</v>
      </c>
      <c r="G16">
        <v>2000</v>
      </c>
      <c r="H16">
        <v>2000</v>
      </c>
      <c r="I16">
        <v>2000</v>
      </c>
      <c r="J16">
        <v>2000</v>
      </c>
      <c r="K16">
        <v>2000</v>
      </c>
      <c r="L16">
        <v>2000</v>
      </c>
      <c r="M16">
        <v>2000</v>
      </c>
      <c r="N16">
        <v>2000</v>
      </c>
      <c r="O16">
        <v>2000</v>
      </c>
    </row>
    <row r="17" spans="2:15" x14ac:dyDescent="0.25">
      <c r="B17" s="6" t="s">
        <v>96</v>
      </c>
      <c r="C17" s="6" t="s">
        <v>138</v>
      </c>
      <c r="D17">
        <v>1E-14</v>
      </c>
      <c r="E17">
        <v>1E-14</v>
      </c>
      <c r="F17">
        <v>1E-14</v>
      </c>
      <c r="G17">
        <v>1E-14</v>
      </c>
      <c r="H17">
        <v>1E-14</v>
      </c>
      <c r="I17">
        <v>1E-14</v>
      </c>
      <c r="J17">
        <v>1E-14</v>
      </c>
      <c r="K17">
        <v>1E-14</v>
      </c>
      <c r="L17">
        <v>1E-14</v>
      </c>
      <c r="M17">
        <v>1E-14</v>
      </c>
      <c r="N17">
        <v>1E-14</v>
      </c>
      <c r="O17">
        <v>1E-14</v>
      </c>
    </row>
    <row r="18" spans="2:15" x14ac:dyDescent="0.25">
      <c r="B18" s="6" t="s">
        <v>96</v>
      </c>
      <c r="C18" s="6" t="s">
        <v>101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96</v>
      </c>
      <c r="C19" s="6" t="s">
        <v>102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96</v>
      </c>
      <c r="C20" s="6" t="s">
        <v>118</v>
      </c>
      <c r="D20">
        <v>6</v>
      </c>
      <c r="E20">
        <v>6</v>
      </c>
      <c r="F20">
        <v>6</v>
      </c>
      <c r="G20">
        <v>6</v>
      </c>
      <c r="H20">
        <v>6</v>
      </c>
      <c r="I20">
        <v>6</v>
      </c>
      <c r="J20">
        <v>6</v>
      </c>
      <c r="K20">
        <v>6</v>
      </c>
      <c r="L20">
        <v>6</v>
      </c>
      <c r="M20">
        <v>6</v>
      </c>
      <c r="N20">
        <v>6</v>
      </c>
      <c r="O20">
        <v>6</v>
      </c>
    </row>
    <row r="21" spans="2:15" x14ac:dyDescent="0.25">
      <c r="B21" s="6" t="s">
        <v>96</v>
      </c>
      <c r="C21" s="6" t="s">
        <v>103</v>
      </c>
      <c r="D21">
        <v>12</v>
      </c>
      <c r="E21">
        <v>12</v>
      </c>
      <c r="F21">
        <v>12</v>
      </c>
      <c r="G21">
        <v>12</v>
      </c>
      <c r="H21">
        <v>12</v>
      </c>
      <c r="I21">
        <v>12</v>
      </c>
      <c r="J21">
        <v>12</v>
      </c>
      <c r="K21">
        <v>12</v>
      </c>
      <c r="L21">
        <v>12</v>
      </c>
      <c r="M21">
        <v>12</v>
      </c>
      <c r="N21">
        <v>12</v>
      </c>
      <c r="O21">
        <v>12</v>
      </c>
    </row>
    <row r="22" spans="2:15" x14ac:dyDescent="0.25">
      <c r="B22" s="6" t="s">
        <v>96</v>
      </c>
      <c r="C22" s="6" t="s">
        <v>119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2:15" x14ac:dyDescent="0.25">
      <c r="B23" s="6" t="s">
        <v>97</v>
      </c>
      <c r="C23" s="6" t="s">
        <v>98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97</v>
      </c>
      <c r="C24" s="6" t="s">
        <v>104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2:15" x14ac:dyDescent="0.25">
      <c r="B25" s="6" t="s">
        <v>97</v>
      </c>
      <c r="C25" s="6" t="s">
        <v>203</v>
      </c>
      <c r="D25">
        <v>1E-14</v>
      </c>
      <c r="E25">
        <v>1E-14</v>
      </c>
      <c r="F25">
        <v>1E-14</v>
      </c>
      <c r="G25">
        <v>1E-14</v>
      </c>
      <c r="H25">
        <v>1E-14</v>
      </c>
      <c r="I25">
        <v>1E-14</v>
      </c>
      <c r="J25">
        <v>1E-14</v>
      </c>
      <c r="K25">
        <v>1E-14</v>
      </c>
      <c r="L25">
        <v>1E-14</v>
      </c>
      <c r="M25">
        <v>1E-14</v>
      </c>
      <c r="N25">
        <v>1E-14</v>
      </c>
      <c r="O25">
        <v>1E-14</v>
      </c>
    </row>
    <row r="26" spans="2:15" x14ac:dyDescent="0.25">
      <c r="B26" s="6" t="s">
        <v>97</v>
      </c>
      <c r="C26" s="6" t="s">
        <v>137</v>
      </c>
      <c r="D26">
        <v>1E-14</v>
      </c>
      <c r="E26">
        <v>1E-14</v>
      </c>
      <c r="F26">
        <v>1E-14</v>
      </c>
      <c r="G26">
        <v>1E-14</v>
      </c>
      <c r="H26">
        <v>1E-14</v>
      </c>
      <c r="I26">
        <v>1E-14</v>
      </c>
      <c r="J26">
        <v>1E-14</v>
      </c>
      <c r="K26">
        <v>1E-14</v>
      </c>
      <c r="L26">
        <v>1E-14</v>
      </c>
      <c r="M26">
        <v>1E-14</v>
      </c>
      <c r="N26">
        <v>1E-14</v>
      </c>
      <c r="O26">
        <v>1E-14</v>
      </c>
    </row>
    <row r="27" spans="2:15" x14ac:dyDescent="0.25">
      <c r="B27" s="6" t="s">
        <v>97</v>
      </c>
      <c r="C27" s="6" t="s">
        <v>99</v>
      </c>
      <c r="D27">
        <v>10000</v>
      </c>
      <c r="E27">
        <v>10000</v>
      </c>
      <c r="F27">
        <v>10000</v>
      </c>
      <c r="G27">
        <v>10000</v>
      </c>
      <c r="H27">
        <v>10000</v>
      </c>
      <c r="I27">
        <v>10000</v>
      </c>
      <c r="J27">
        <v>10000</v>
      </c>
      <c r="K27">
        <v>10000</v>
      </c>
      <c r="L27">
        <v>10000</v>
      </c>
      <c r="M27">
        <v>10000</v>
      </c>
      <c r="N27">
        <v>10000</v>
      </c>
      <c r="O27">
        <v>10000</v>
      </c>
    </row>
    <row r="28" spans="2:15" x14ac:dyDescent="0.25">
      <c r="B28" s="6" t="s">
        <v>97</v>
      </c>
      <c r="C28" s="6" t="s">
        <v>100</v>
      </c>
      <c r="D28">
        <v>2000</v>
      </c>
      <c r="E28">
        <v>2000</v>
      </c>
      <c r="F28">
        <v>2000</v>
      </c>
      <c r="G28">
        <v>2000</v>
      </c>
      <c r="H28">
        <v>2000</v>
      </c>
      <c r="I28">
        <v>2000</v>
      </c>
      <c r="J28">
        <v>2000</v>
      </c>
      <c r="K28">
        <v>2000</v>
      </c>
      <c r="L28">
        <v>2000</v>
      </c>
      <c r="M28">
        <v>2000</v>
      </c>
      <c r="N28">
        <v>2000</v>
      </c>
      <c r="O28">
        <v>2000</v>
      </c>
    </row>
    <row r="29" spans="2:15" x14ac:dyDescent="0.25">
      <c r="B29" s="6" t="s">
        <v>97</v>
      </c>
      <c r="C29" s="6" t="s">
        <v>138</v>
      </c>
      <c r="D29">
        <v>1E-14</v>
      </c>
      <c r="E29">
        <v>1E-14</v>
      </c>
      <c r="F29">
        <v>1E-14</v>
      </c>
      <c r="G29">
        <v>1E-14</v>
      </c>
      <c r="H29">
        <v>1E-14</v>
      </c>
      <c r="I29">
        <v>1E-14</v>
      </c>
      <c r="J29">
        <v>1E-14</v>
      </c>
      <c r="K29">
        <v>1E-14</v>
      </c>
      <c r="L29">
        <v>1E-14</v>
      </c>
      <c r="M29">
        <v>1E-14</v>
      </c>
      <c r="N29">
        <v>1E-14</v>
      </c>
      <c r="O29">
        <v>1E-14</v>
      </c>
    </row>
    <row r="30" spans="2:15" x14ac:dyDescent="0.25">
      <c r="B30" s="6" t="s">
        <v>97</v>
      </c>
      <c r="C30" s="6" t="s">
        <v>101</v>
      </c>
      <c r="D30">
        <v>10</v>
      </c>
      <c r="E30">
        <v>10</v>
      </c>
      <c r="F30">
        <v>10</v>
      </c>
      <c r="G30">
        <v>10</v>
      </c>
      <c r="H30">
        <v>10</v>
      </c>
      <c r="I30">
        <v>10</v>
      </c>
      <c r="J30">
        <v>10</v>
      </c>
      <c r="K30">
        <v>10</v>
      </c>
      <c r="L30">
        <v>10</v>
      </c>
      <c r="M30">
        <v>10</v>
      </c>
      <c r="N30">
        <v>10</v>
      </c>
      <c r="O30">
        <v>10</v>
      </c>
    </row>
    <row r="31" spans="2:15" x14ac:dyDescent="0.25">
      <c r="B31" s="6" t="s">
        <v>97</v>
      </c>
      <c r="C31" s="6" t="s">
        <v>102</v>
      </c>
      <c r="D31">
        <v>30</v>
      </c>
      <c r="E31">
        <v>30</v>
      </c>
      <c r="F31">
        <v>30</v>
      </c>
      <c r="G31">
        <v>30</v>
      </c>
      <c r="H31">
        <v>30</v>
      </c>
      <c r="I31">
        <v>30</v>
      </c>
      <c r="J31">
        <v>30</v>
      </c>
      <c r="K31">
        <v>30</v>
      </c>
      <c r="L31">
        <v>30</v>
      </c>
      <c r="M31">
        <v>30</v>
      </c>
      <c r="N31">
        <v>30</v>
      </c>
      <c r="O31">
        <v>30</v>
      </c>
    </row>
    <row r="32" spans="2:15" x14ac:dyDescent="0.25">
      <c r="B32" s="6" t="s">
        <v>97</v>
      </c>
      <c r="C32" s="6" t="s">
        <v>118</v>
      </c>
      <c r="D32">
        <v>1E-14</v>
      </c>
      <c r="E32">
        <v>1E-14</v>
      </c>
      <c r="F32">
        <v>1E-14</v>
      </c>
      <c r="G32">
        <v>1E-14</v>
      </c>
      <c r="H32">
        <v>1E-14</v>
      </c>
      <c r="I32">
        <v>1E-14</v>
      </c>
      <c r="J32">
        <v>1E-14</v>
      </c>
      <c r="K32">
        <v>1E-14</v>
      </c>
      <c r="L32">
        <v>1E-14</v>
      </c>
      <c r="M32">
        <v>1E-14</v>
      </c>
      <c r="N32">
        <v>1E-14</v>
      </c>
      <c r="O32">
        <v>1E-14</v>
      </c>
    </row>
    <row r="33" spans="2:15" x14ac:dyDescent="0.25">
      <c r="B33" s="6" t="s">
        <v>97</v>
      </c>
      <c r="C33" s="6" t="s">
        <v>103</v>
      </c>
      <c r="D33">
        <v>12</v>
      </c>
      <c r="E33">
        <v>12</v>
      </c>
      <c r="F33">
        <v>12</v>
      </c>
      <c r="G33">
        <v>12</v>
      </c>
      <c r="H33">
        <v>12</v>
      </c>
      <c r="I33">
        <v>12</v>
      </c>
      <c r="J33">
        <v>12</v>
      </c>
      <c r="K33">
        <v>12</v>
      </c>
      <c r="L33">
        <v>12</v>
      </c>
      <c r="M33">
        <v>12</v>
      </c>
      <c r="N33">
        <v>12</v>
      </c>
      <c r="O33">
        <v>12</v>
      </c>
    </row>
    <row r="34" spans="2:15" x14ac:dyDescent="0.25">
      <c r="B34" s="6" t="s">
        <v>97</v>
      </c>
      <c r="C34" s="6" t="s">
        <v>119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CE48D-747E-4D18-9B55-50B517099A41}">
  <sheetPr>
    <tabColor theme="9" tint="0.39997558519241921"/>
  </sheetPr>
  <dimension ref="B9:AB474"/>
  <sheetViews>
    <sheetView zoomScale="85" zoomScaleNormal="85" workbookViewId="0">
      <selection activeCell="D9" sqref="D9:AB9"/>
    </sheetView>
  </sheetViews>
  <sheetFormatPr defaultRowHeight="15" x14ac:dyDescent="0.25"/>
  <cols>
    <col min="2" max="2" width="14.5703125" bestFit="1" customWidth="1"/>
    <col min="3" max="3" width="12.7109375" bestFit="1" customWidth="1"/>
    <col min="4" max="4" width="12.28515625" bestFit="1" customWidth="1"/>
  </cols>
  <sheetData>
    <row r="9" spans="2:28" s="2" customFormat="1" x14ac:dyDescent="0.25">
      <c r="D9" s="2" t="str" cm="1">
        <f t="array" ref="D9">_xlfn.ANCHORARRAY(Overblik!D6)</f>
        <v>21'JAN</v>
      </c>
      <c r="E9" s="2" t="str" cm="1">
        <f t="array" ref="E9">_xlfn.ANCHORARRAY(Overblik!E6)</f>
        <v>21'FEB</v>
      </c>
      <c r="F9" s="2" t="str" cm="1">
        <f t="array" ref="F9">_xlfn.ANCHORARRAY(Overblik!F6)</f>
        <v>21'MAR</v>
      </c>
      <c r="G9" s="2" t="str" cm="1">
        <f t="array" ref="G9">_xlfn.ANCHORARRAY(Overblik!G6)</f>
        <v>21'APR</v>
      </c>
      <c r="H9" s="2" t="str" cm="1">
        <f t="array" ref="H9">_xlfn.ANCHORARRAY(Overblik!H6)</f>
        <v>21'MAJ</v>
      </c>
      <c r="I9" s="2" t="str" cm="1">
        <f t="array" ref="I9">_xlfn.ANCHORARRAY(Overblik!I6)</f>
        <v>21'JUN</v>
      </c>
      <c r="J9" s="2" t="str" cm="1">
        <f t="array" ref="J9">_xlfn.ANCHORARRAY(Overblik!J6)</f>
        <v>21'JUL</v>
      </c>
      <c r="K9" s="2" t="str" cm="1">
        <f t="array" ref="K9">_xlfn.ANCHORARRAY(Overblik!K6)</f>
        <v>21'AUG</v>
      </c>
      <c r="L9" s="2" t="str" cm="1">
        <f t="array" ref="L9">_xlfn.ANCHORARRAY(Overblik!L6)</f>
        <v>21'SEP</v>
      </c>
      <c r="M9" s="2" t="str" cm="1">
        <f t="array" ref="M9">_xlfn.ANCHORARRAY(Overblik!M6)</f>
        <v>21'OKT</v>
      </c>
      <c r="N9" s="2" t="str" cm="1">
        <f t="array" ref="N9">_xlfn.ANCHORARRAY(Overblik!N6)</f>
        <v>21'NOV</v>
      </c>
      <c r="O9" s="2" t="str" cm="1">
        <f t="array" ref="O9">_xlfn.ANCHORARRAY(Overblik!O6)</f>
        <v>21'DEC</v>
      </c>
      <c r="P9" s="2" t="str" cm="1">
        <f t="array" ref="P9">_xlfn.ANCHORARRAY(Overblik!P6)</f>
        <v>22'JAN</v>
      </c>
      <c r="Q9" s="2" t="str" cm="1">
        <f t="array" ref="Q9">_xlfn.ANCHORARRAY(Overblik!Q6)</f>
        <v>22'FEB</v>
      </c>
      <c r="R9" s="2" t="str" cm="1">
        <f t="array" ref="R9">_xlfn.ANCHORARRAY(Overblik!R6)</f>
        <v>22'MAR</v>
      </c>
      <c r="S9" s="2" t="str" cm="1">
        <f t="array" ref="S9">_xlfn.ANCHORARRAY(Overblik!S6)</f>
        <v>22'APR</v>
      </c>
      <c r="T9" s="2" t="str" cm="1">
        <f t="array" ref="T9">_xlfn.ANCHORARRAY(Overblik!T6)</f>
        <v>22'MAJ</v>
      </c>
      <c r="U9" s="2" t="str" cm="1">
        <f t="array" ref="U9">_xlfn.ANCHORARRAY(Overblik!U6)</f>
        <v>22'JUN</v>
      </c>
      <c r="V9" s="2" t="str" cm="1">
        <f t="array" ref="V9">_xlfn.ANCHORARRAY(Overblik!V6)</f>
        <v>22'JUL</v>
      </c>
      <c r="W9" s="2" t="str" cm="1">
        <f t="array" ref="W9">_xlfn.ANCHORARRAY(Overblik!W6)</f>
        <v>22'AUG</v>
      </c>
      <c r="X9" s="2" t="str" cm="1">
        <f t="array" ref="X9">_xlfn.ANCHORARRAY(Overblik!X6)</f>
        <v>22'SEP</v>
      </c>
      <c r="Y9" s="2" t="str" cm="1">
        <f t="array" ref="Y9">_xlfn.ANCHORARRAY(Overblik!Y6)</f>
        <v>22'OKT</v>
      </c>
      <c r="Z9" s="2" t="str" cm="1">
        <f t="array" ref="Z9">_xlfn.ANCHORARRAY(Overblik!Z6)</f>
        <v>22'NOV</v>
      </c>
      <c r="AA9" s="2" t="str" cm="1">
        <f t="array" ref="AA9">_xlfn.ANCHORARRAY(Overblik!AA6)</f>
        <v>22'DEC</v>
      </c>
      <c r="AB9" s="2" t="e" cm="1">
        <f t="array" ref="AB9">_xlfn.ANCHORARRAY(Overblik!AB6)</f>
        <v>#REF!</v>
      </c>
    </row>
    <row r="10" spans="2:28" s="207" customFormat="1" x14ac:dyDescent="0.25">
      <c r="B10" s="208"/>
      <c r="C10" s="209"/>
      <c r="D10" s="209" t="s">
        <v>230</v>
      </c>
      <c r="E10" s="209" t="s">
        <v>231</v>
      </c>
      <c r="F10" s="209" t="s">
        <v>232</v>
      </c>
      <c r="G10" s="209" t="s">
        <v>233</v>
      </c>
      <c r="H10" s="209" t="s">
        <v>224</v>
      </c>
      <c r="I10" s="209" t="s">
        <v>234</v>
      </c>
      <c r="J10" s="209" t="s">
        <v>235</v>
      </c>
      <c r="K10" s="209" t="s">
        <v>236</v>
      </c>
      <c r="L10" s="209" t="s">
        <v>237</v>
      </c>
      <c r="M10" s="209" t="s">
        <v>238</v>
      </c>
      <c r="N10" s="209" t="s">
        <v>239</v>
      </c>
      <c r="O10" s="209" t="s">
        <v>240</v>
      </c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09"/>
    </row>
    <row r="11" spans="2:28" x14ac:dyDescent="0.25">
      <c r="B11" s="6" t="s">
        <v>0</v>
      </c>
      <c r="C11" s="6" t="s">
        <v>181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0</v>
      </c>
      <c r="C12" s="6" t="s">
        <v>182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0</v>
      </c>
      <c r="C13" s="6" t="s">
        <v>183</v>
      </c>
      <c r="D13">
        <v>1076.2749999999999</v>
      </c>
      <c r="E13">
        <v>1076.2749999999999</v>
      </c>
      <c r="F13">
        <v>1076.2749999999999</v>
      </c>
      <c r="G13">
        <v>1076.2749999999999</v>
      </c>
      <c r="H13">
        <v>1076.2749999999999</v>
      </c>
      <c r="I13">
        <v>1076.2749999999999</v>
      </c>
      <c r="J13">
        <v>1076.2749999999999</v>
      </c>
      <c r="K13">
        <v>1076.2749999999999</v>
      </c>
      <c r="L13">
        <v>1076.2749999999999</v>
      </c>
      <c r="M13">
        <v>1076.2749999999999</v>
      </c>
      <c r="N13">
        <v>1076.2749999999999</v>
      </c>
      <c r="O13">
        <v>1076.2749999999999</v>
      </c>
    </row>
    <row r="14" spans="2:28" x14ac:dyDescent="0.25">
      <c r="B14" s="6" t="s">
        <v>0</v>
      </c>
      <c r="C14" s="6" t="s">
        <v>184</v>
      </c>
      <c r="D14">
        <v>1076.2749999999999</v>
      </c>
      <c r="E14">
        <v>1076.2749999999999</v>
      </c>
      <c r="F14">
        <v>1076.2749999999999</v>
      </c>
      <c r="G14">
        <v>1076.2749999999999</v>
      </c>
      <c r="H14">
        <v>1076.2749999999999</v>
      </c>
      <c r="I14">
        <v>1076.2749999999999</v>
      </c>
      <c r="J14">
        <v>1076.2749999999999</v>
      </c>
      <c r="K14">
        <v>1076.2749999999999</v>
      </c>
      <c r="L14">
        <v>1076.2749999999999</v>
      </c>
      <c r="M14">
        <v>1076.2749999999999</v>
      </c>
      <c r="N14">
        <v>1076.2749999999999</v>
      </c>
      <c r="O14">
        <v>1076.2749999999999</v>
      </c>
    </row>
    <row r="15" spans="2:28" x14ac:dyDescent="0.25">
      <c r="B15" s="6" t="s">
        <v>0</v>
      </c>
      <c r="C15" s="6" t="s">
        <v>187</v>
      </c>
      <c r="D15">
        <v>525</v>
      </c>
      <c r="E15">
        <v>525</v>
      </c>
      <c r="F15">
        <v>525</v>
      </c>
      <c r="G15">
        <v>525</v>
      </c>
      <c r="H15">
        <v>525</v>
      </c>
      <c r="I15">
        <v>525</v>
      </c>
      <c r="J15">
        <v>525</v>
      </c>
      <c r="K15">
        <v>525</v>
      </c>
      <c r="L15">
        <v>525</v>
      </c>
      <c r="M15">
        <v>525</v>
      </c>
      <c r="N15">
        <v>525</v>
      </c>
      <c r="O15">
        <v>525</v>
      </c>
    </row>
    <row r="16" spans="2:28" x14ac:dyDescent="0.25">
      <c r="B16" s="6" t="s">
        <v>0</v>
      </c>
      <c r="C16" s="6" t="s">
        <v>212</v>
      </c>
      <c r="D16">
        <v>10.5</v>
      </c>
      <c r="E16">
        <v>10.5</v>
      </c>
      <c r="F16">
        <v>10.5</v>
      </c>
      <c r="G16">
        <v>10.5</v>
      </c>
      <c r="H16">
        <v>10.5</v>
      </c>
      <c r="I16">
        <v>10.5</v>
      </c>
      <c r="J16">
        <v>10.5</v>
      </c>
      <c r="K16">
        <v>10.5</v>
      </c>
      <c r="L16">
        <v>10.5</v>
      </c>
      <c r="M16">
        <v>10.5</v>
      </c>
      <c r="N16">
        <v>10.5</v>
      </c>
      <c r="O16">
        <v>10.5</v>
      </c>
    </row>
    <row r="17" spans="2:15" x14ac:dyDescent="0.25">
      <c r="B17" s="6" t="s">
        <v>0</v>
      </c>
      <c r="C17" s="6" t="s">
        <v>189</v>
      </c>
      <c r="D17">
        <v>37</v>
      </c>
      <c r="E17">
        <v>37</v>
      </c>
      <c r="F17">
        <v>37</v>
      </c>
      <c r="G17">
        <v>37</v>
      </c>
      <c r="H17">
        <v>37</v>
      </c>
      <c r="I17">
        <v>37</v>
      </c>
      <c r="J17">
        <v>37</v>
      </c>
      <c r="K17">
        <v>37</v>
      </c>
      <c r="L17">
        <v>37</v>
      </c>
      <c r="M17">
        <v>37</v>
      </c>
      <c r="N17">
        <v>37</v>
      </c>
      <c r="O17">
        <v>37</v>
      </c>
    </row>
    <row r="18" spans="2:15" x14ac:dyDescent="0.25">
      <c r="B18" s="6" t="s">
        <v>1</v>
      </c>
      <c r="C18" s="6" t="s">
        <v>181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1</v>
      </c>
      <c r="C19" s="6" t="s">
        <v>182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1</v>
      </c>
      <c r="C20" s="6" t="s">
        <v>183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</v>
      </c>
      <c r="C21" s="6" t="s">
        <v>184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</v>
      </c>
      <c r="C22" s="6" t="s">
        <v>187</v>
      </c>
      <c r="D22">
        <v>525</v>
      </c>
      <c r="E22">
        <v>525</v>
      </c>
      <c r="F22">
        <v>525</v>
      </c>
      <c r="G22">
        <v>525</v>
      </c>
      <c r="H22">
        <v>525</v>
      </c>
      <c r="I22">
        <v>525</v>
      </c>
      <c r="J22">
        <v>525</v>
      </c>
      <c r="K22">
        <v>525</v>
      </c>
      <c r="L22">
        <v>525</v>
      </c>
      <c r="M22">
        <v>525</v>
      </c>
      <c r="N22">
        <v>525</v>
      </c>
      <c r="O22">
        <v>525</v>
      </c>
    </row>
    <row r="23" spans="2:15" x14ac:dyDescent="0.25">
      <c r="B23" s="6" t="s">
        <v>1</v>
      </c>
      <c r="C23" s="6" t="s">
        <v>212</v>
      </c>
      <c r="D23">
        <v>10.5</v>
      </c>
      <c r="E23">
        <v>10.5</v>
      </c>
      <c r="F23">
        <v>10.5</v>
      </c>
      <c r="G23">
        <v>10.5</v>
      </c>
      <c r="H23">
        <v>10.5</v>
      </c>
      <c r="I23">
        <v>10.5</v>
      </c>
      <c r="J23">
        <v>10.5</v>
      </c>
      <c r="K23">
        <v>10.5</v>
      </c>
      <c r="L23">
        <v>10.5</v>
      </c>
      <c r="M23">
        <v>10.5</v>
      </c>
      <c r="N23">
        <v>10.5</v>
      </c>
      <c r="O23">
        <v>10.5</v>
      </c>
    </row>
    <row r="24" spans="2:15" x14ac:dyDescent="0.25">
      <c r="B24" s="6" t="s">
        <v>1</v>
      </c>
      <c r="C24" s="6" t="s">
        <v>189</v>
      </c>
      <c r="D24">
        <v>37</v>
      </c>
      <c r="E24">
        <v>37</v>
      </c>
      <c r="F24">
        <v>37</v>
      </c>
      <c r="G24">
        <v>37</v>
      </c>
      <c r="H24">
        <v>37</v>
      </c>
      <c r="I24">
        <v>37</v>
      </c>
      <c r="J24">
        <v>37</v>
      </c>
      <c r="K24">
        <v>37</v>
      </c>
      <c r="L24">
        <v>37</v>
      </c>
      <c r="M24">
        <v>37</v>
      </c>
      <c r="N24">
        <v>37</v>
      </c>
      <c r="O24">
        <v>37</v>
      </c>
    </row>
    <row r="25" spans="2:15" x14ac:dyDescent="0.25">
      <c r="B25" s="6" t="s">
        <v>2</v>
      </c>
      <c r="C25" s="6" t="s">
        <v>181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</row>
    <row r="26" spans="2:15" x14ac:dyDescent="0.25">
      <c r="B26" s="6" t="s">
        <v>2</v>
      </c>
      <c r="C26" s="6" t="s">
        <v>182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</row>
    <row r="27" spans="2:15" x14ac:dyDescent="0.25">
      <c r="B27" s="6" t="s">
        <v>2</v>
      </c>
      <c r="C27" s="6" t="s">
        <v>183</v>
      </c>
      <c r="D27">
        <v>1E-14</v>
      </c>
      <c r="E27">
        <v>1E-14</v>
      </c>
      <c r="F27">
        <v>1E-14</v>
      </c>
      <c r="G27">
        <v>1E-14</v>
      </c>
      <c r="H27">
        <v>1E-14</v>
      </c>
      <c r="I27">
        <v>1E-14</v>
      </c>
      <c r="J27">
        <v>1E-14</v>
      </c>
      <c r="K27">
        <v>1E-14</v>
      </c>
      <c r="L27">
        <v>1E-14</v>
      </c>
      <c r="M27">
        <v>1E-14</v>
      </c>
      <c r="N27">
        <v>1E-14</v>
      </c>
      <c r="O27">
        <v>1E-14</v>
      </c>
    </row>
    <row r="28" spans="2:15" x14ac:dyDescent="0.25">
      <c r="B28" s="6" t="s">
        <v>2</v>
      </c>
      <c r="C28" s="6" t="s">
        <v>184</v>
      </c>
      <c r="D28">
        <v>1E-14</v>
      </c>
      <c r="E28">
        <v>1E-14</v>
      </c>
      <c r="F28">
        <v>1E-14</v>
      </c>
      <c r="G28">
        <v>1E-14</v>
      </c>
      <c r="H28">
        <v>1E-14</v>
      </c>
      <c r="I28">
        <v>1E-14</v>
      </c>
      <c r="J28">
        <v>1E-14</v>
      </c>
      <c r="K28">
        <v>1E-14</v>
      </c>
      <c r="L28">
        <v>1E-14</v>
      </c>
      <c r="M28">
        <v>1E-14</v>
      </c>
      <c r="N28">
        <v>1E-14</v>
      </c>
      <c r="O28">
        <v>1E-14</v>
      </c>
    </row>
    <row r="29" spans="2:15" x14ac:dyDescent="0.25">
      <c r="B29" s="6" t="s">
        <v>2</v>
      </c>
      <c r="C29" s="6" t="s">
        <v>187</v>
      </c>
      <c r="D29">
        <v>525</v>
      </c>
      <c r="E29">
        <v>525</v>
      </c>
      <c r="F29">
        <v>525</v>
      </c>
      <c r="G29">
        <v>525</v>
      </c>
      <c r="H29">
        <v>525</v>
      </c>
      <c r="I29">
        <v>525</v>
      </c>
      <c r="J29">
        <v>525</v>
      </c>
      <c r="K29">
        <v>525</v>
      </c>
      <c r="L29">
        <v>525</v>
      </c>
      <c r="M29">
        <v>525</v>
      </c>
      <c r="N29">
        <v>525</v>
      </c>
      <c r="O29">
        <v>525</v>
      </c>
    </row>
    <row r="30" spans="2:15" x14ac:dyDescent="0.25">
      <c r="B30" s="6" t="s">
        <v>2</v>
      </c>
      <c r="C30" s="6" t="s">
        <v>212</v>
      </c>
      <c r="D30">
        <v>10.5</v>
      </c>
      <c r="E30">
        <v>10.5</v>
      </c>
      <c r="F30">
        <v>10.5</v>
      </c>
      <c r="G30">
        <v>10.5</v>
      </c>
      <c r="H30">
        <v>10.5</v>
      </c>
      <c r="I30">
        <v>10.5</v>
      </c>
      <c r="J30">
        <v>10.5</v>
      </c>
      <c r="K30">
        <v>10.5</v>
      </c>
      <c r="L30">
        <v>10.5</v>
      </c>
      <c r="M30">
        <v>10.5</v>
      </c>
      <c r="N30">
        <v>10.5</v>
      </c>
      <c r="O30">
        <v>10.5</v>
      </c>
    </row>
    <row r="31" spans="2:15" x14ac:dyDescent="0.25">
      <c r="B31" s="6" t="s">
        <v>2</v>
      </c>
      <c r="C31" s="6" t="s">
        <v>189</v>
      </c>
      <c r="D31">
        <v>37</v>
      </c>
      <c r="E31">
        <v>37</v>
      </c>
      <c r="F31">
        <v>37</v>
      </c>
      <c r="G31">
        <v>37</v>
      </c>
      <c r="H31">
        <v>37</v>
      </c>
      <c r="I31">
        <v>37</v>
      </c>
      <c r="J31">
        <v>37</v>
      </c>
      <c r="K31">
        <v>37</v>
      </c>
      <c r="L31">
        <v>37</v>
      </c>
      <c r="M31">
        <v>37</v>
      </c>
      <c r="N31">
        <v>37</v>
      </c>
      <c r="O31">
        <v>37</v>
      </c>
    </row>
    <row r="32" spans="2:15" x14ac:dyDescent="0.25">
      <c r="B32" s="6" t="s">
        <v>3</v>
      </c>
      <c r="C32" s="6" t="s">
        <v>181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</row>
    <row r="33" spans="2:15" x14ac:dyDescent="0.25">
      <c r="B33" s="6" t="s">
        <v>3</v>
      </c>
      <c r="C33" s="6" t="s">
        <v>182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</row>
    <row r="34" spans="2:15" x14ac:dyDescent="0.25">
      <c r="B34" s="6" t="s">
        <v>3</v>
      </c>
      <c r="C34" s="6" t="s">
        <v>183</v>
      </c>
      <c r="D34">
        <v>2397.2316666666666</v>
      </c>
      <c r="E34">
        <v>2397.2316666666666</v>
      </c>
      <c r="F34">
        <v>2397.2316666666666</v>
      </c>
      <c r="G34">
        <v>2397.2316666666666</v>
      </c>
      <c r="H34">
        <v>2397.2316666666666</v>
      </c>
      <c r="I34">
        <v>2397.2316666666666</v>
      </c>
      <c r="J34">
        <v>2397.2316666666666</v>
      </c>
      <c r="K34">
        <v>2397.2316666666666</v>
      </c>
      <c r="L34">
        <v>2397.2316666666666</v>
      </c>
      <c r="M34">
        <v>2397.2316666666666</v>
      </c>
      <c r="N34">
        <v>2397.2316666666666</v>
      </c>
      <c r="O34">
        <v>2397.2316666666666</v>
      </c>
    </row>
    <row r="35" spans="2:15" x14ac:dyDescent="0.25">
      <c r="B35" s="6" t="s">
        <v>3</v>
      </c>
      <c r="C35" s="6" t="s">
        <v>184</v>
      </c>
      <c r="D35">
        <v>2397.2316666666666</v>
      </c>
      <c r="E35">
        <v>2397.2316666666666</v>
      </c>
      <c r="F35">
        <v>2397.2316666666666</v>
      </c>
      <c r="G35">
        <v>2397.2316666666666</v>
      </c>
      <c r="H35">
        <v>2397.2316666666666</v>
      </c>
      <c r="I35">
        <v>2397.2316666666666</v>
      </c>
      <c r="J35">
        <v>2397.2316666666666</v>
      </c>
      <c r="K35">
        <v>2397.2316666666666</v>
      </c>
      <c r="L35">
        <v>2397.2316666666666</v>
      </c>
      <c r="M35">
        <v>2397.2316666666666</v>
      </c>
      <c r="N35">
        <v>2397.2316666666666</v>
      </c>
      <c r="O35">
        <v>2397.2316666666666</v>
      </c>
    </row>
    <row r="36" spans="2:15" x14ac:dyDescent="0.25">
      <c r="B36" s="6" t="s">
        <v>3</v>
      </c>
      <c r="C36" s="6" t="s">
        <v>187</v>
      </c>
      <c r="D36">
        <v>525</v>
      </c>
      <c r="E36">
        <v>525</v>
      </c>
      <c r="F36">
        <v>525</v>
      </c>
      <c r="G36">
        <v>525</v>
      </c>
      <c r="H36">
        <v>525</v>
      </c>
      <c r="I36">
        <v>525</v>
      </c>
      <c r="J36">
        <v>525</v>
      </c>
      <c r="K36">
        <v>525</v>
      </c>
      <c r="L36">
        <v>525</v>
      </c>
      <c r="M36">
        <v>525</v>
      </c>
      <c r="N36">
        <v>525</v>
      </c>
      <c r="O36">
        <v>525</v>
      </c>
    </row>
    <row r="37" spans="2:15" x14ac:dyDescent="0.25">
      <c r="B37" s="6" t="s">
        <v>3</v>
      </c>
      <c r="C37" s="6" t="s">
        <v>212</v>
      </c>
      <c r="D37">
        <v>9.4</v>
      </c>
      <c r="E37">
        <v>9.4</v>
      </c>
      <c r="F37">
        <v>9.4</v>
      </c>
      <c r="G37">
        <v>9.4</v>
      </c>
      <c r="H37">
        <v>9.4</v>
      </c>
      <c r="I37">
        <v>9.4</v>
      </c>
      <c r="J37">
        <v>9.4</v>
      </c>
      <c r="K37">
        <v>9.4</v>
      </c>
      <c r="L37">
        <v>9.4</v>
      </c>
      <c r="M37">
        <v>9.4</v>
      </c>
      <c r="N37">
        <v>9.4</v>
      </c>
      <c r="O37">
        <v>9.4</v>
      </c>
    </row>
    <row r="38" spans="2:15" x14ac:dyDescent="0.25">
      <c r="B38" s="6" t="s">
        <v>3</v>
      </c>
      <c r="C38" s="6" t="s">
        <v>189</v>
      </c>
      <c r="D38">
        <v>37</v>
      </c>
      <c r="E38">
        <v>37</v>
      </c>
      <c r="F38">
        <v>37</v>
      </c>
      <c r="G38">
        <v>37</v>
      </c>
      <c r="H38">
        <v>37</v>
      </c>
      <c r="I38">
        <v>37</v>
      </c>
      <c r="J38">
        <v>37</v>
      </c>
      <c r="K38">
        <v>37</v>
      </c>
      <c r="L38">
        <v>37</v>
      </c>
      <c r="M38">
        <v>37</v>
      </c>
      <c r="N38">
        <v>37</v>
      </c>
      <c r="O38">
        <v>37</v>
      </c>
    </row>
    <row r="39" spans="2:15" x14ac:dyDescent="0.25">
      <c r="B39" s="6" t="s">
        <v>4</v>
      </c>
      <c r="C39" s="6" t="s">
        <v>181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</row>
    <row r="40" spans="2:15" x14ac:dyDescent="0.25">
      <c r="B40" s="6" t="s">
        <v>4</v>
      </c>
      <c r="C40" s="6" t="s">
        <v>182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</row>
    <row r="41" spans="2:15" x14ac:dyDescent="0.25">
      <c r="B41" s="6" t="s">
        <v>4</v>
      </c>
      <c r="C41" s="6" t="s">
        <v>183</v>
      </c>
      <c r="D41">
        <v>352.70075000000003</v>
      </c>
      <c r="E41">
        <v>352.70075000000003</v>
      </c>
      <c r="F41">
        <v>352.70075000000003</v>
      </c>
      <c r="G41">
        <v>352.70075000000003</v>
      </c>
      <c r="H41">
        <v>352.70075000000003</v>
      </c>
      <c r="I41">
        <v>352.70075000000003</v>
      </c>
      <c r="J41">
        <v>352.70075000000003</v>
      </c>
      <c r="K41">
        <v>352.70075000000003</v>
      </c>
      <c r="L41">
        <v>352.70075000000003</v>
      </c>
      <c r="M41">
        <v>352.70075000000003</v>
      </c>
      <c r="N41">
        <v>352.70075000000003</v>
      </c>
      <c r="O41">
        <v>352.70075000000003</v>
      </c>
    </row>
    <row r="42" spans="2:15" x14ac:dyDescent="0.25">
      <c r="B42" s="6" t="s">
        <v>4</v>
      </c>
      <c r="C42" s="6" t="s">
        <v>184</v>
      </c>
      <c r="D42">
        <v>352.70075000000003</v>
      </c>
      <c r="E42">
        <v>352.70075000000003</v>
      </c>
      <c r="F42">
        <v>352.70075000000003</v>
      </c>
      <c r="G42">
        <v>352.70075000000003</v>
      </c>
      <c r="H42">
        <v>352.70075000000003</v>
      </c>
      <c r="I42">
        <v>352.70075000000003</v>
      </c>
      <c r="J42">
        <v>352.70075000000003</v>
      </c>
      <c r="K42">
        <v>352.70075000000003</v>
      </c>
      <c r="L42">
        <v>352.70075000000003</v>
      </c>
      <c r="M42">
        <v>352.70075000000003</v>
      </c>
      <c r="N42">
        <v>352.70075000000003</v>
      </c>
      <c r="O42">
        <v>352.70075000000003</v>
      </c>
    </row>
    <row r="43" spans="2:15" x14ac:dyDescent="0.25">
      <c r="B43" s="6" t="s">
        <v>4</v>
      </c>
      <c r="C43" s="6" t="s">
        <v>187</v>
      </c>
      <c r="D43">
        <v>525</v>
      </c>
      <c r="E43">
        <v>525</v>
      </c>
      <c r="F43">
        <v>525</v>
      </c>
      <c r="G43">
        <v>525</v>
      </c>
      <c r="H43">
        <v>525</v>
      </c>
      <c r="I43">
        <v>525</v>
      </c>
      <c r="J43">
        <v>525</v>
      </c>
      <c r="K43">
        <v>525</v>
      </c>
      <c r="L43">
        <v>525</v>
      </c>
      <c r="M43">
        <v>525</v>
      </c>
      <c r="N43">
        <v>525</v>
      </c>
      <c r="O43">
        <v>525</v>
      </c>
    </row>
    <row r="44" spans="2:15" x14ac:dyDescent="0.25">
      <c r="B44" s="6" t="s">
        <v>4</v>
      </c>
      <c r="C44" s="6" t="s">
        <v>212</v>
      </c>
      <c r="D44">
        <v>10.5</v>
      </c>
      <c r="E44">
        <v>10.5</v>
      </c>
      <c r="F44">
        <v>10.5</v>
      </c>
      <c r="G44">
        <v>10.5</v>
      </c>
      <c r="H44">
        <v>10.5</v>
      </c>
      <c r="I44">
        <v>10.5</v>
      </c>
      <c r="J44">
        <v>10.5</v>
      </c>
      <c r="K44">
        <v>10.5</v>
      </c>
      <c r="L44">
        <v>10.5</v>
      </c>
      <c r="M44">
        <v>10.5</v>
      </c>
      <c r="N44">
        <v>10.5</v>
      </c>
      <c r="O44">
        <v>10.5</v>
      </c>
    </row>
    <row r="45" spans="2:15" x14ac:dyDescent="0.25">
      <c r="B45" s="6" t="s">
        <v>4</v>
      </c>
      <c r="C45" s="6" t="s">
        <v>189</v>
      </c>
      <c r="D45">
        <v>37</v>
      </c>
      <c r="E45">
        <v>37</v>
      </c>
      <c r="F45">
        <v>37</v>
      </c>
      <c r="G45">
        <v>37</v>
      </c>
      <c r="H45">
        <v>37</v>
      </c>
      <c r="I45">
        <v>37</v>
      </c>
      <c r="J45">
        <v>37</v>
      </c>
      <c r="K45">
        <v>37</v>
      </c>
      <c r="L45">
        <v>37</v>
      </c>
      <c r="M45">
        <v>37</v>
      </c>
      <c r="N45">
        <v>37</v>
      </c>
      <c r="O45">
        <v>37</v>
      </c>
    </row>
    <row r="46" spans="2:15" x14ac:dyDescent="0.25">
      <c r="B46" s="6" t="s">
        <v>5</v>
      </c>
      <c r="C46" s="6" t="s">
        <v>181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</row>
    <row r="47" spans="2:15" x14ac:dyDescent="0.25">
      <c r="B47" s="6" t="s">
        <v>5</v>
      </c>
      <c r="C47" s="6" t="s">
        <v>182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</row>
    <row r="48" spans="2:15" x14ac:dyDescent="0.25">
      <c r="B48" s="6" t="s">
        <v>5</v>
      </c>
      <c r="C48" s="6" t="s">
        <v>183</v>
      </c>
      <c r="D48">
        <v>2.7791666666666668</v>
      </c>
      <c r="E48">
        <v>2.7791666666666668</v>
      </c>
      <c r="F48">
        <v>2.7791666666666668</v>
      </c>
      <c r="G48">
        <v>2.7791666666666668</v>
      </c>
      <c r="H48">
        <v>2.7791666666666668</v>
      </c>
      <c r="I48">
        <v>2.7791666666666668</v>
      </c>
      <c r="J48">
        <v>2.7791666666666668</v>
      </c>
      <c r="K48">
        <v>2.7791666666666668</v>
      </c>
      <c r="L48">
        <v>2.7791666666666668</v>
      </c>
      <c r="M48">
        <v>2.7791666666666668</v>
      </c>
      <c r="N48">
        <v>2.7791666666666668</v>
      </c>
      <c r="O48">
        <v>2.7791666666666668</v>
      </c>
    </row>
    <row r="49" spans="2:15" x14ac:dyDescent="0.25">
      <c r="B49" s="6" t="s">
        <v>5</v>
      </c>
      <c r="C49" s="6" t="s">
        <v>184</v>
      </c>
      <c r="D49">
        <v>2.7791666666666668</v>
      </c>
      <c r="E49">
        <v>2.7791666666666668</v>
      </c>
      <c r="F49">
        <v>2.7791666666666668</v>
      </c>
      <c r="G49">
        <v>2.7791666666666668</v>
      </c>
      <c r="H49">
        <v>2.7791666666666668</v>
      </c>
      <c r="I49">
        <v>2.7791666666666668</v>
      </c>
      <c r="J49">
        <v>2.7791666666666668</v>
      </c>
      <c r="K49">
        <v>2.7791666666666668</v>
      </c>
      <c r="L49">
        <v>2.7791666666666668</v>
      </c>
      <c r="M49">
        <v>2.7791666666666668</v>
      </c>
      <c r="N49">
        <v>2.7791666666666668</v>
      </c>
      <c r="O49">
        <v>2.7791666666666668</v>
      </c>
    </row>
    <row r="50" spans="2:15" x14ac:dyDescent="0.25">
      <c r="B50" s="6" t="s">
        <v>5</v>
      </c>
      <c r="C50" s="6" t="s">
        <v>187</v>
      </c>
      <c r="D50">
        <v>155</v>
      </c>
      <c r="E50">
        <v>155</v>
      </c>
      <c r="F50">
        <v>155</v>
      </c>
      <c r="G50">
        <v>155</v>
      </c>
      <c r="H50">
        <v>155</v>
      </c>
      <c r="I50">
        <v>155</v>
      </c>
      <c r="J50">
        <v>155</v>
      </c>
      <c r="K50">
        <v>155</v>
      </c>
      <c r="L50">
        <v>155</v>
      </c>
      <c r="M50">
        <v>155</v>
      </c>
      <c r="N50">
        <v>155</v>
      </c>
      <c r="O50">
        <v>155</v>
      </c>
    </row>
    <row r="51" spans="2:15" x14ac:dyDescent="0.25">
      <c r="B51" s="6" t="s">
        <v>5</v>
      </c>
      <c r="C51" s="6" t="s">
        <v>212</v>
      </c>
      <c r="D51">
        <v>14.5</v>
      </c>
      <c r="E51">
        <v>14.5</v>
      </c>
      <c r="F51">
        <v>14.5</v>
      </c>
      <c r="G51">
        <v>14.5</v>
      </c>
      <c r="H51">
        <v>14.5</v>
      </c>
      <c r="I51">
        <v>14.5</v>
      </c>
      <c r="J51">
        <v>14.5</v>
      </c>
      <c r="K51">
        <v>14.5</v>
      </c>
      <c r="L51">
        <v>14.5</v>
      </c>
      <c r="M51">
        <v>14.5</v>
      </c>
      <c r="N51">
        <v>14.5</v>
      </c>
      <c r="O51">
        <v>14.5</v>
      </c>
    </row>
    <row r="52" spans="2:15" x14ac:dyDescent="0.25">
      <c r="B52" s="6" t="s">
        <v>5</v>
      </c>
      <c r="C52" s="6" t="s">
        <v>189</v>
      </c>
      <c r="D52">
        <v>37</v>
      </c>
      <c r="E52">
        <v>37</v>
      </c>
      <c r="F52">
        <v>37</v>
      </c>
      <c r="G52">
        <v>37</v>
      </c>
      <c r="H52">
        <v>37</v>
      </c>
      <c r="I52">
        <v>37</v>
      </c>
      <c r="J52">
        <v>37</v>
      </c>
      <c r="K52">
        <v>37</v>
      </c>
      <c r="L52">
        <v>37</v>
      </c>
      <c r="M52">
        <v>37</v>
      </c>
      <c r="N52">
        <v>37</v>
      </c>
      <c r="O52">
        <v>37</v>
      </c>
    </row>
    <row r="53" spans="2:15" x14ac:dyDescent="0.25">
      <c r="B53" s="6" t="s">
        <v>6</v>
      </c>
      <c r="C53" s="6" t="s">
        <v>181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</row>
    <row r="54" spans="2:15" x14ac:dyDescent="0.25">
      <c r="B54" s="6" t="s">
        <v>6</v>
      </c>
      <c r="C54" s="6" t="s">
        <v>182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</row>
    <row r="55" spans="2:15" x14ac:dyDescent="0.25">
      <c r="B55" s="6" t="s">
        <v>6</v>
      </c>
      <c r="C55" s="6" t="s">
        <v>183</v>
      </c>
      <c r="D55">
        <v>357.48166666666663</v>
      </c>
      <c r="E55">
        <v>357.48166666666663</v>
      </c>
      <c r="F55">
        <v>357.48166666666663</v>
      </c>
      <c r="G55">
        <v>357.48166666666663</v>
      </c>
      <c r="H55">
        <v>357.48166666666663</v>
      </c>
      <c r="I55">
        <v>357.48166666666663</v>
      </c>
      <c r="J55">
        <v>357.48166666666663</v>
      </c>
      <c r="K55">
        <v>357.48166666666663</v>
      </c>
      <c r="L55">
        <v>357.48166666666663</v>
      </c>
      <c r="M55">
        <v>357.48166666666663</v>
      </c>
      <c r="N55">
        <v>357.48166666666663</v>
      </c>
      <c r="O55">
        <v>357.48166666666663</v>
      </c>
    </row>
    <row r="56" spans="2:15" x14ac:dyDescent="0.25">
      <c r="B56" s="6" t="s">
        <v>6</v>
      </c>
      <c r="C56" s="6" t="s">
        <v>184</v>
      </c>
      <c r="D56">
        <v>357.48166666666663</v>
      </c>
      <c r="E56">
        <v>357.48166666666663</v>
      </c>
      <c r="F56">
        <v>357.48166666666663</v>
      </c>
      <c r="G56">
        <v>357.48166666666663</v>
      </c>
      <c r="H56">
        <v>357.48166666666663</v>
      </c>
      <c r="I56">
        <v>357.48166666666663</v>
      </c>
      <c r="J56">
        <v>357.48166666666663</v>
      </c>
      <c r="K56">
        <v>357.48166666666663</v>
      </c>
      <c r="L56">
        <v>357.48166666666663</v>
      </c>
      <c r="M56">
        <v>357.48166666666663</v>
      </c>
      <c r="N56">
        <v>357.48166666666663</v>
      </c>
      <c r="O56">
        <v>357.48166666666663</v>
      </c>
    </row>
    <row r="57" spans="2:15" x14ac:dyDescent="0.25">
      <c r="B57" s="6" t="s">
        <v>6</v>
      </c>
      <c r="C57" s="6" t="s">
        <v>187</v>
      </c>
      <c r="D57">
        <v>525</v>
      </c>
      <c r="E57">
        <v>525</v>
      </c>
      <c r="F57">
        <v>525</v>
      </c>
      <c r="G57">
        <v>525</v>
      </c>
      <c r="H57">
        <v>525</v>
      </c>
      <c r="I57">
        <v>525</v>
      </c>
      <c r="J57">
        <v>525</v>
      </c>
      <c r="K57">
        <v>525</v>
      </c>
      <c r="L57">
        <v>525</v>
      </c>
      <c r="M57">
        <v>525</v>
      </c>
      <c r="N57">
        <v>525</v>
      </c>
      <c r="O57">
        <v>525</v>
      </c>
    </row>
    <row r="58" spans="2:15" x14ac:dyDescent="0.25">
      <c r="B58" s="6" t="s">
        <v>6</v>
      </c>
      <c r="C58" s="6" t="s">
        <v>212</v>
      </c>
      <c r="D58">
        <v>12</v>
      </c>
      <c r="E58">
        <v>12</v>
      </c>
      <c r="F58">
        <v>12</v>
      </c>
      <c r="G58">
        <v>12</v>
      </c>
      <c r="H58">
        <v>12</v>
      </c>
      <c r="I58">
        <v>12</v>
      </c>
      <c r="J58">
        <v>12</v>
      </c>
      <c r="K58">
        <v>12</v>
      </c>
      <c r="L58">
        <v>12</v>
      </c>
      <c r="M58">
        <v>12</v>
      </c>
      <c r="N58">
        <v>12</v>
      </c>
      <c r="O58">
        <v>12</v>
      </c>
    </row>
    <row r="59" spans="2:15" x14ac:dyDescent="0.25">
      <c r="B59" s="6" t="s">
        <v>6</v>
      </c>
      <c r="C59" s="6" t="s">
        <v>189</v>
      </c>
      <c r="D59">
        <v>37</v>
      </c>
      <c r="E59">
        <v>37</v>
      </c>
      <c r="F59">
        <v>37</v>
      </c>
      <c r="G59">
        <v>37</v>
      </c>
      <c r="H59">
        <v>37</v>
      </c>
      <c r="I59">
        <v>37</v>
      </c>
      <c r="J59">
        <v>37</v>
      </c>
      <c r="K59">
        <v>37</v>
      </c>
      <c r="L59">
        <v>37</v>
      </c>
      <c r="M59">
        <v>37</v>
      </c>
      <c r="N59">
        <v>37</v>
      </c>
      <c r="O59">
        <v>37</v>
      </c>
    </row>
    <row r="60" spans="2:15" x14ac:dyDescent="0.25">
      <c r="B60" s="6" t="s">
        <v>7</v>
      </c>
      <c r="C60" s="6" t="s">
        <v>181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</row>
    <row r="61" spans="2:15" x14ac:dyDescent="0.25">
      <c r="B61" s="6" t="s">
        <v>7</v>
      </c>
      <c r="C61" s="6" t="s">
        <v>182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</row>
    <row r="62" spans="2:15" x14ac:dyDescent="0.25">
      <c r="B62" s="6" t="s">
        <v>7</v>
      </c>
      <c r="C62" s="6" t="s">
        <v>183</v>
      </c>
      <c r="D62">
        <v>8.9083333333333314</v>
      </c>
      <c r="E62">
        <v>8.9083333333333314</v>
      </c>
      <c r="F62">
        <v>8.9083333333333314</v>
      </c>
      <c r="G62">
        <v>8.9083333333333314</v>
      </c>
      <c r="H62">
        <v>8.9083333333333314</v>
      </c>
      <c r="I62">
        <v>8.9083333333333314</v>
      </c>
      <c r="J62">
        <v>8.9083333333333314</v>
      </c>
      <c r="K62">
        <v>8.9083333333333314</v>
      </c>
      <c r="L62">
        <v>8.9083333333333314</v>
      </c>
      <c r="M62">
        <v>8.9083333333333314</v>
      </c>
      <c r="N62">
        <v>8.9083333333333314</v>
      </c>
      <c r="O62">
        <v>8.9083333333333314</v>
      </c>
    </row>
    <row r="63" spans="2:15" x14ac:dyDescent="0.25">
      <c r="B63" s="6" t="s">
        <v>7</v>
      </c>
      <c r="C63" s="6" t="s">
        <v>184</v>
      </c>
      <c r="D63">
        <v>8.9083333333333314</v>
      </c>
      <c r="E63">
        <v>8.9083333333333314</v>
      </c>
      <c r="F63">
        <v>8.9083333333333314</v>
      </c>
      <c r="G63">
        <v>8.9083333333333314</v>
      </c>
      <c r="H63">
        <v>8.9083333333333314</v>
      </c>
      <c r="I63">
        <v>8.9083333333333314</v>
      </c>
      <c r="J63">
        <v>8.9083333333333314</v>
      </c>
      <c r="K63">
        <v>8.9083333333333314</v>
      </c>
      <c r="L63">
        <v>8.9083333333333314</v>
      </c>
      <c r="M63">
        <v>8.9083333333333314</v>
      </c>
      <c r="N63">
        <v>8.9083333333333314</v>
      </c>
      <c r="O63">
        <v>8.9083333333333314</v>
      </c>
    </row>
    <row r="64" spans="2:15" x14ac:dyDescent="0.25">
      <c r="B64" s="6" t="s">
        <v>7</v>
      </c>
      <c r="C64" s="6" t="s">
        <v>187</v>
      </c>
      <c r="D64">
        <v>525</v>
      </c>
      <c r="E64">
        <v>525</v>
      </c>
      <c r="F64">
        <v>525</v>
      </c>
      <c r="G64">
        <v>525</v>
      </c>
      <c r="H64">
        <v>525</v>
      </c>
      <c r="I64">
        <v>525</v>
      </c>
      <c r="J64">
        <v>525</v>
      </c>
      <c r="K64">
        <v>525</v>
      </c>
      <c r="L64">
        <v>525</v>
      </c>
      <c r="M64">
        <v>525</v>
      </c>
      <c r="N64">
        <v>525</v>
      </c>
      <c r="O64">
        <v>525</v>
      </c>
    </row>
    <row r="65" spans="2:15" x14ac:dyDescent="0.25">
      <c r="B65" s="6" t="s">
        <v>7</v>
      </c>
      <c r="C65" s="6" t="s">
        <v>212</v>
      </c>
      <c r="D65">
        <v>9</v>
      </c>
      <c r="E65">
        <v>9</v>
      </c>
      <c r="F65">
        <v>9</v>
      </c>
      <c r="G65">
        <v>9</v>
      </c>
      <c r="H65">
        <v>9</v>
      </c>
      <c r="I65">
        <v>9</v>
      </c>
      <c r="J65">
        <v>9</v>
      </c>
      <c r="K65">
        <v>9</v>
      </c>
      <c r="L65">
        <v>9</v>
      </c>
      <c r="M65">
        <v>9</v>
      </c>
      <c r="N65">
        <v>9</v>
      </c>
      <c r="O65">
        <v>9</v>
      </c>
    </row>
    <row r="66" spans="2:15" x14ac:dyDescent="0.25">
      <c r="B66" s="6" t="s">
        <v>7</v>
      </c>
      <c r="C66" s="6" t="s">
        <v>189</v>
      </c>
      <c r="D66">
        <v>37</v>
      </c>
      <c r="E66">
        <v>37</v>
      </c>
      <c r="F66">
        <v>37</v>
      </c>
      <c r="G66">
        <v>37</v>
      </c>
      <c r="H66">
        <v>37</v>
      </c>
      <c r="I66">
        <v>37</v>
      </c>
      <c r="J66">
        <v>37</v>
      </c>
      <c r="K66">
        <v>37</v>
      </c>
      <c r="L66">
        <v>37</v>
      </c>
      <c r="M66">
        <v>37</v>
      </c>
      <c r="N66">
        <v>37</v>
      </c>
      <c r="O66">
        <v>37</v>
      </c>
    </row>
    <row r="67" spans="2:15" x14ac:dyDescent="0.25">
      <c r="B67" s="6" t="s">
        <v>8</v>
      </c>
      <c r="C67" s="6" t="s">
        <v>181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</row>
    <row r="68" spans="2:15" x14ac:dyDescent="0.25">
      <c r="B68" s="6" t="s">
        <v>8</v>
      </c>
      <c r="C68" s="6" t="s">
        <v>182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</row>
    <row r="69" spans="2:15" x14ac:dyDescent="0.25">
      <c r="B69" s="6" t="s">
        <v>8</v>
      </c>
      <c r="C69" s="6" t="s">
        <v>183</v>
      </c>
      <c r="D69">
        <v>355.50083333333333</v>
      </c>
      <c r="E69">
        <v>355.50083333333333</v>
      </c>
      <c r="F69">
        <v>355.50083333333333</v>
      </c>
      <c r="G69">
        <v>355.50083333333333</v>
      </c>
      <c r="H69">
        <v>355.50083333333333</v>
      </c>
      <c r="I69">
        <v>355.50083333333333</v>
      </c>
      <c r="J69">
        <v>355.50083333333333</v>
      </c>
      <c r="K69">
        <v>355.50083333333333</v>
      </c>
      <c r="L69">
        <v>355.50083333333333</v>
      </c>
      <c r="M69">
        <v>355.50083333333333</v>
      </c>
      <c r="N69">
        <v>355.50083333333333</v>
      </c>
      <c r="O69">
        <v>355.50083333333333</v>
      </c>
    </row>
    <row r="70" spans="2:15" x14ac:dyDescent="0.25">
      <c r="B70" s="6" t="s">
        <v>8</v>
      </c>
      <c r="C70" s="6" t="s">
        <v>184</v>
      </c>
      <c r="D70">
        <v>355.50083333333333</v>
      </c>
      <c r="E70">
        <v>355.50083333333333</v>
      </c>
      <c r="F70">
        <v>355.50083333333333</v>
      </c>
      <c r="G70">
        <v>355.50083333333333</v>
      </c>
      <c r="H70">
        <v>355.50083333333333</v>
      </c>
      <c r="I70">
        <v>355.50083333333333</v>
      </c>
      <c r="J70">
        <v>355.50083333333333</v>
      </c>
      <c r="K70">
        <v>355.50083333333333</v>
      </c>
      <c r="L70">
        <v>355.50083333333333</v>
      </c>
      <c r="M70">
        <v>355.50083333333333</v>
      </c>
      <c r="N70">
        <v>355.50083333333333</v>
      </c>
      <c r="O70">
        <v>355.50083333333333</v>
      </c>
    </row>
    <row r="71" spans="2:15" x14ac:dyDescent="0.25">
      <c r="B71" s="6" t="s">
        <v>8</v>
      </c>
      <c r="C71" s="6" t="s">
        <v>187</v>
      </c>
      <c r="D71">
        <v>525</v>
      </c>
      <c r="E71">
        <v>525</v>
      </c>
      <c r="F71">
        <v>525</v>
      </c>
      <c r="G71">
        <v>525</v>
      </c>
      <c r="H71">
        <v>525</v>
      </c>
      <c r="I71">
        <v>525</v>
      </c>
      <c r="J71">
        <v>525</v>
      </c>
      <c r="K71">
        <v>525</v>
      </c>
      <c r="L71">
        <v>525</v>
      </c>
      <c r="M71">
        <v>525</v>
      </c>
      <c r="N71">
        <v>525</v>
      </c>
      <c r="O71">
        <v>525</v>
      </c>
    </row>
    <row r="72" spans="2:15" x14ac:dyDescent="0.25">
      <c r="B72" s="6" t="s">
        <v>8</v>
      </c>
      <c r="C72" s="6" t="s">
        <v>212</v>
      </c>
      <c r="D72">
        <v>11</v>
      </c>
      <c r="E72">
        <v>11</v>
      </c>
      <c r="F72">
        <v>11</v>
      </c>
      <c r="G72">
        <v>11</v>
      </c>
      <c r="H72">
        <v>11</v>
      </c>
      <c r="I72">
        <v>11</v>
      </c>
      <c r="J72">
        <v>11</v>
      </c>
      <c r="K72">
        <v>11</v>
      </c>
      <c r="L72">
        <v>11</v>
      </c>
      <c r="M72">
        <v>11</v>
      </c>
      <c r="N72">
        <v>11</v>
      </c>
      <c r="O72">
        <v>11</v>
      </c>
    </row>
    <row r="73" spans="2:15" x14ac:dyDescent="0.25">
      <c r="B73" s="6" t="s">
        <v>8</v>
      </c>
      <c r="C73" s="6" t="s">
        <v>189</v>
      </c>
      <c r="D73">
        <v>37</v>
      </c>
      <c r="E73">
        <v>37</v>
      </c>
      <c r="F73">
        <v>37</v>
      </c>
      <c r="G73">
        <v>37</v>
      </c>
      <c r="H73">
        <v>37</v>
      </c>
      <c r="I73">
        <v>37</v>
      </c>
      <c r="J73">
        <v>37</v>
      </c>
      <c r="K73">
        <v>37</v>
      </c>
      <c r="L73">
        <v>37</v>
      </c>
      <c r="M73">
        <v>37</v>
      </c>
      <c r="N73">
        <v>37</v>
      </c>
      <c r="O73">
        <v>37</v>
      </c>
    </row>
    <row r="74" spans="2:15" x14ac:dyDescent="0.25">
      <c r="B74" s="6" t="s">
        <v>9</v>
      </c>
      <c r="C74" s="6" t="s">
        <v>181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</row>
    <row r="75" spans="2:15" x14ac:dyDescent="0.25">
      <c r="B75" s="6" t="s">
        <v>9</v>
      </c>
      <c r="C75" s="6" t="s">
        <v>182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9</v>
      </c>
      <c r="C76" s="6" t="s">
        <v>183</v>
      </c>
      <c r="D76">
        <v>33.204999999999998</v>
      </c>
      <c r="E76">
        <v>33.204999999999998</v>
      </c>
      <c r="F76">
        <v>33.204999999999998</v>
      </c>
      <c r="G76">
        <v>33.204999999999998</v>
      </c>
      <c r="H76">
        <v>33.204999999999998</v>
      </c>
      <c r="I76">
        <v>33.204999999999998</v>
      </c>
      <c r="J76">
        <v>33.204999999999998</v>
      </c>
      <c r="K76">
        <v>33.204999999999998</v>
      </c>
      <c r="L76">
        <v>33.204999999999998</v>
      </c>
      <c r="M76">
        <v>33.204999999999998</v>
      </c>
      <c r="N76">
        <v>33.204999999999998</v>
      </c>
      <c r="O76">
        <v>33.204999999999998</v>
      </c>
    </row>
    <row r="77" spans="2:15" x14ac:dyDescent="0.25">
      <c r="B77" s="6" t="s">
        <v>9</v>
      </c>
      <c r="C77" s="6" t="s">
        <v>184</v>
      </c>
      <c r="D77">
        <v>33.204999999999998</v>
      </c>
      <c r="E77">
        <v>33.204999999999998</v>
      </c>
      <c r="F77">
        <v>33.204999999999998</v>
      </c>
      <c r="G77">
        <v>33.204999999999998</v>
      </c>
      <c r="H77">
        <v>33.204999999999998</v>
      </c>
      <c r="I77">
        <v>33.204999999999998</v>
      </c>
      <c r="J77">
        <v>33.204999999999998</v>
      </c>
      <c r="K77">
        <v>33.204999999999998</v>
      </c>
      <c r="L77">
        <v>33.204999999999998</v>
      </c>
      <c r="M77">
        <v>33.204999999999998</v>
      </c>
      <c r="N77">
        <v>33.204999999999998</v>
      </c>
      <c r="O77">
        <v>33.204999999999998</v>
      </c>
    </row>
    <row r="78" spans="2:15" x14ac:dyDescent="0.25">
      <c r="B78" s="6" t="s">
        <v>9</v>
      </c>
      <c r="C78" s="6" t="s">
        <v>187</v>
      </c>
      <c r="D78">
        <v>525</v>
      </c>
      <c r="E78">
        <v>525</v>
      </c>
      <c r="F78">
        <v>525</v>
      </c>
      <c r="G78">
        <v>525</v>
      </c>
      <c r="H78">
        <v>525</v>
      </c>
      <c r="I78">
        <v>525</v>
      </c>
      <c r="J78">
        <v>525</v>
      </c>
      <c r="K78">
        <v>525</v>
      </c>
      <c r="L78">
        <v>525</v>
      </c>
      <c r="M78">
        <v>525</v>
      </c>
      <c r="N78">
        <v>525</v>
      </c>
      <c r="O78">
        <v>525</v>
      </c>
    </row>
    <row r="79" spans="2:15" x14ac:dyDescent="0.25">
      <c r="B79" s="6" t="s">
        <v>9</v>
      </c>
      <c r="C79" s="6" t="s">
        <v>212</v>
      </c>
      <c r="D79">
        <v>9.5</v>
      </c>
      <c r="E79">
        <v>9.5</v>
      </c>
      <c r="F79">
        <v>9.5</v>
      </c>
      <c r="G79">
        <v>9.5</v>
      </c>
      <c r="H79">
        <v>9.5</v>
      </c>
      <c r="I79">
        <v>9.5</v>
      </c>
      <c r="J79">
        <v>9.5</v>
      </c>
      <c r="K79">
        <v>9.5</v>
      </c>
      <c r="L79">
        <v>9.5</v>
      </c>
      <c r="M79">
        <v>9.5</v>
      </c>
      <c r="N79">
        <v>9.5</v>
      </c>
      <c r="O79">
        <v>9.5</v>
      </c>
    </row>
    <row r="80" spans="2:15" x14ac:dyDescent="0.25">
      <c r="B80" s="6" t="s">
        <v>9</v>
      </c>
      <c r="C80" s="6" t="s">
        <v>189</v>
      </c>
      <c r="D80">
        <v>37</v>
      </c>
      <c r="E80">
        <v>37</v>
      </c>
      <c r="F80">
        <v>37</v>
      </c>
      <c r="G80">
        <v>37</v>
      </c>
      <c r="H80">
        <v>37</v>
      </c>
      <c r="I80">
        <v>37</v>
      </c>
      <c r="J80">
        <v>37</v>
      </c>
      <c r="K80">
        <v>37</v>
      </c>
      <c r="L80">
        <v>37</v>
      </c>
      <c r="M80">
        <v>37</v>
      </c>
      <c r="N80">
        <v>37</v>
      </c>
      <c r="O80">
        <v>37</v>
      </c>
    </row>
    <row r="81" spans="2:15" x14ac:dyDescent="0.25">
      <c r="B81" s="6" t="s">
        <v>10</v>
      </c>
      <c r="C81" s="6" t="s">
        <v>181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</row>
    <row r="82" spans="2:15" x14ac:dyDescent="0.25">
      <c r="B82" s="6" t="s">
        <v>10</v>
      </c>
      <c r="C82" s="6" t="s">
        <v>182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</row>
    <row r="83" spans="2:15" x14ac:dyDescent="0.25">
      <c r="B83" s="6" t="s">
        <v>10</v>
      </c>
      <c r="C83" s="6" t="s">
        <v>183</v>
      </c>
      <c r="D83">
        <v>511.80583333333328</v>
      </c>
      <c r="E83">
        <v>511.80583333333328</v>
      </c>
      <c r="F83">
        <v>511.80583333333328</v>
      </c>
      <c r="G83">
        <v>511.80583333333328</v>
      </c>
      <c r="H83">
        <v>511.80583333333328</v>
      </c>
      <c r="I83">
        <v>511.80583333333328</v>
      </c>
      <c r="J83">
        <v>511.80583333333328</v>
      </c>
      <c r="K83">
        <v>511.80583333333328</v>
      </c>
      <c r="L83">
        <v>511.80583333333328</v>
      </c>
      <c r="M83">
        <v>511.80583333333328</v>
      </c>
      <c r="N83">
        <v>511.80583333333328</v>
      </c>
      <c r="O83">
        <v>511.80583333333328</v>
      </c>
    </row>
    <row r="84" spans="2:15" x14ac:dyDescent="0.25">
      <c r="B84" s="6" t="s">
        <v>10</v>
      </c>
      <c r="C84" s="6" t="s">
        <v>184</v>
      </c>
      <c r="D84">
        <v>511.80583333333328</v>
      </c>
      <c r="E84">
        <v>511.80583333333328</v>
      </c>
      <c r="F84">
        <v>511.80583333333328</v>
      </c>
      <c r="G84">
        <v>511.80583333333328</v>
      </c>
      <c r="H84">
        <v>511.80583333333328</v>
      </c>
      <c r="I84">
        <v>511.80583333333328</v>
      </c>
      <c r="J84">
        <v>511.80583333333328</v>
      </c>
      <c r="K84">
        <v>511.80583333333328</v>
      </c>
      <c r="L84">
        <v>511.80583333333328</v>
      </c>
      <c r="M84">
        <v>511.80583333333328</v>
      </c>
      <c r="N84">
        <v>511.80583333333328</v>
      </c>
      <c r="O84">
        <v>511.80583333333328</v>
      </c>
    </row>
    <row r="85" spans="2:15" x14ac:dyDescent="0.25">
      <c r="B85" s="6" t="s">
        <v>10</v>
      </c>
      <c r="C85" s="6" t="s">
        <v>187</v>
      </c>
      <c r="D85">
        <v>525</v>
      </c>
      <c r="E85">
        <v>525</v>
      </c>
      <c r="F85">
        <v>525</v>
      </c>
      <c r="G85">
        <v>525</v>
      </c>
      <c r="H85">
        <v>525</v>
      </c>
      <c r="I85">
        <v>525</v>
      </c>
      <c r="J85">
        <v>525</v>
      </c>
      <c r="K85">
        <v>525</v>
      </c>
      <c r="L85">
        <v>525</v>
      </c>
      <c r="M85">
        <v>525</v>
      </c>
      <c r="N85">
        <v>525</v>
      </c>
      <c r="O85">
        <v>525</v>
      </c>
    </row>
    <row r="86" spans="2:15" x14ac:dyDescent="0.25">
      <c r="B86" s="6" t="s">
        <v>10</v>
      </c>
      <c r="C86" s="6" t="s">
        <v>212</v>
      </c>
      <c r="D86">
        <v>9</v>
      </c>
      <c r="E86">
        <v>9</v>
      </c>
      <c r="F86">
        <v>9</v>
      </c>
      <c r="G86">
        <v>9</v>
      </c>
      <c r="H86">
        <v>9</v>
      </c>
      <c r="I86">
        <v>9</v>
      </c>
      <c r="J86">
        <v>9</v>
      </c>
      <c r="K86">
        <v>9</v>
      </c>
      <c r="L86">
        <v>9</v>
      </c>
      <c r="M86">
        <v>9</v>
      </c>
      <c r="N86">
        <v>9</v>
      </c>
      <c r="O86">
        <v>9</v>
      </c>
    </row>
    <row r="87" spans="2:15" x14ac:dyDescent="0.25">
      <c r="B87" s="6" t="s">
        <v>10</v>
      </c>
      <c r="C87" s="6" t="s">
        <v>189</v>
      </c>
      <c r="D87">
        <v>37</v>
      </c>
      <c r="E87">
        <v>37</v>
      </c>
      <c r="F87">
        <v>37</v>
      </c>
      <c r="G87">
        <v>37</v>
      </c>
      <c r="H87">
        <v>37</v>
      </c>
      <c r="I87">
        <v>37</v>
      </c>
      <c r="J87">
        <v>37</v>
      </c>
      <c r="K87">
        <v>37</v>
      </c>
      <c r="L87">
        <v>37</v>
      </c>
      <c r="M87">
        <v>37</v>
      </c>
      <c r="N87">
        <v>37</v>
      </c>
      <c r="O87">
        <v>37</v>
      </c>
    </row>
    <row r="88" spans="2:15" x14ac:dyDescent="0.25">
      <c r="B88" s="6" t="s">
        <v>11</v>
      </c>
      <c r="C88" s="6" t="s">
        <v>181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</v>
      </c>
      <c r="C89" s="6" t="s">
        <v>182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</row>
    <row r="90" spans="2:15" x14ac:dyDescent="0.25">
      <c r="B90" s="6" t="s">
        <v>11</v>
      </c>
      <c r="C90" s="6" t="s">
        <v>183</v>
      </c>
      <c r="D90">
        <v>11.182499999999999</v>
      </c>
      <c r="E90">
        <v>11.182499999999999</v>
      </c>
      <c r="F90">
        <v>11.182499999999999</v>
      </c>
      <c r="G90">
        <v>11.182499999999999</v>
      </c>
      <c r="H90">
        <v>11.182499999999999</v>
      </c>
      <c r="I90">
        <v>11.182499999999999</v>
      </c>
      <c r="J90">
        <v>11.182499999999999</v>
      </c>
      <c r="K90">
        <v>11.182499999999999</v>
      </c>
      <c r="L90">
        <v>11.182499999999999</v>
      </c>
      <c r="M90">
        <v>11.182499999999999</v>
      </c>
      <c r="N90">
        <v>11.182499999999999</v>
      </c>
      <c r="O90">
        <v>11.182499999999999</v>
      </c>
    </row>
    <row r="91" spans="2:15" x14ac:dyDescent="0.25">
      <c r="B91" s="6" t="s">
        <v>11</v>
      </c>
      <c r="C91" s="6" t="s">
        <v>184</v>
      </c>
      <c r="D91">
        <v>11.182499999999999</v>
      </c>
      <c r="E91">
        <v>11.182499999999999</v>
      </c>
      <c r="F91">
        <v>11.182499999999999</v>
      </c>
      <c r="G91">
        <v>11.182499999999999</v>
      </c>
      <c r="H91">
        <v>11.182499999999999</v>
      </c>
      <c r="I91">
        <v>11.182499999999999</v>
      </c>
      <c r="J91">
        <v>11.182499999999999</v>
      </c>
      <c r="K91">
        <v>11.182499999999999</v>
      </c>
      <c r="L91">
        <v>11.182499999999999</v>
      </c>
      <c r="M91">
        <v>11.182499999999999</v>
      </c>
      <c r="N91">
        <v>11.182499999999999</v>
      </c>
      <c r="O91">
        <v>11.182499999999999</v>
      </c>
    </row>
    <row r="92" spans="2:15" x14ac:dyDescent="0.25">
      <c r="B92" s="6" t="s">
        <v>11</v>
      </c>
      <c r="C92" s="6" t="s">
        <v>187</v>
      </c>
      <c r="D92">
        <v>785</v>
      </c>
      <c r="E92">
        <v>785</v>
      </c>
      <c r="F92">
        <v>785</v>
      </c>
      <c r="G92">
        <v>785</v>
      </c>
      <c r="H92">
        <v>785</v>
      </c>
      <c r="I92">
        <v>785</v>
      </c>
      <c r="J92">
        <v>785</v>
      </c>
      <c r="K92">
        <v>785</v>
      </c>
      <c r="L92">
        <v>785</v>
      </c>
      <c r="M92">
        <v>785</v>
      </c>
      <c r="N92">
        <v>785</v>
      </c>
      <c r="O92">
        <v>785</v>
      </c>
    </row>
    <row r="93" spans="2:15" x14ac:dyDescent="0.25">
      <c r="B93" s="6" t="s">
        <v>11</v>
      </c>
      <c r="C93" s="6" t="s">
        <v>212</v>
      </c>
      <c r="D93">
        <v>12</v>
      </c>
      <c r="E93">
        <v>12</v>
      </c>
      <c r="F93">
        <v>12</v>
      </c>
      <c r="G93">
        <v>12</v>
      </c>
      <c r="H93">
        <v>12</v>
      </c>
      <c r="I93">
        <v>12</v>
      </c>
      <c r="J93">
        <v>12</v>
      </c>
      <c r="K93">
        <v>12</v>
      </c>
      <c r="L93">
        <v>12</v>
      </c>
      <c r="M93">
        <v>12</v>
      </c>
      <c r="N93">
        <v>12</v>
      </c>
      <c r="O93">
        <v>12</v>
      </c>
    </row>
    <row r="94" spans="2:15" x14ac:dyDescent="0.25">
      <c r="B94" s="6" t="s">
        <v>11</v>
      </c>
      <c r="C94" s="6" t="s">
        <v>189</v>
      </c>
      <c r="D94">
        <v>37</v>
      </c>
      <c r="E94">
        <v>37</v>
      </c>
      <c r="F94">
        <v>37</v>
      </c>
      <c r="G94">
        <v>37</v>
      </c>
      <c r="H94">
        <v>37</v>
      </c>
      <c r="I94">
        <v>37</v>
      </c>
      <c r="J94">
        <v>37</v>
      </c>
      <c r="K94">
        <v>37</v>
      </c>
      <c r="L94">
        <v>37</v>
      </c>
      <c r="M94">
        <v>37</v>
      </c>
      <c r="N94">
        <v>37</v>
      </c>
      <c r="O94">
        <v>37</v>
      </c>
    </row>
    <row r="95" spans="2:15" x14ac:dyDescent="0.25">
      <c r="B95" s="6" t="s">
        <v>12</v>
      </c>
      <c r="C95" s="6" t="s">
        <v>181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</row>
    <row r="96" spans="2:15" x14ac:dyDescent="0.25">
      <c r="B96" s="6" t="s">
        <v>12</v>
      </c>
      <c r="C96" s="6" t="s">
        <v>182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</row>
    <row r="97" spans="2:15" x14ac:dyDescent="0.25">
      <c r="B97" s="6" t="s">
        <v>12</v>
      </c>
      <c r="C97" s="6" t="s">
        <v>183</v>
      </c>
      <c r="D97">
        <v>4.8150000000000004</v>
      </c>
      <c r="E97">
        <v>4.8150000000000004</v>
      </c>
      <c r="F97">
        <v>4.8150000000000004</v>
      </c>
      <c r="G97">
        <v>4.8150000000000004</v>
      </c>
      <c r="H97">
        <v>4.8150000000000004</v>
      </c>
      <c r="I97">
        <v>4.8150000000000004</v>
      </c>
      <c r="J97">
        <v>4.8150000000000004</v>
      </c>
      <c r="K97">
        <v>4.8150000000000004</v>
      </c>
      <c r="L97">
        <v>4.8150000000000004</v>
      </c>
      <c r="M97">
        <v>4.8150000000000004</v>
      </c>
      <c r="N97">
        <v>4.8150000000000004</v>
      </c>
      <c r="O97">
        <v>4.8150000000000004</v>
      </c>
    </row>
    <row r="98" spans="2:15" x14ac:dyDescent="0.25">
      <c r="B98" s="6" t="s">
        <v>12</v>
      </c>
      <c r="C98" s="6" t="s">
        <v>184</v>
      </c>
      <c r="D98">
        <v>4.8150000000000004</v>
      </c>
      <c r="E98">
        <v>4.8150000000000004</v>
      </c>
      <c r="F98">
        <v>4.8150000000000004</v>
      </c>
      <c r="G98">
        <v>4.8150000000000004</v>
      </c>
      <c r="H98">
        <v>4.8150000000000004</v>
      </c>
      <c r="I98">
        <v>4.8150000000000004</v>
      </c>
      <c r="J98">
        <v>4.8150000000000004</v>
      </c>
      <c r="K98">
        <v>4.8150000000000004</v>
      </c>
      <c r="L98">
        <v>4.8150000000000004</v>
      </c>
      <c r="M98">
        <v>4.8150000000000004</v>
      </c>
      <c r="N98">
        <v>4.8150000000000004</v>
      </c>
      <c r="O98">
        <v>4.8150000000000004</v>
      </c>
    </row>
    <row r="99" spans="2:15" x14ac:dyDescent="0.25">
      <c r="B99" s="6" t="s">
        <v>12</v>
      </c>
      <c r="C99" s="6" t="s">
        <v>187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12</v>
      </c>
      <c r="C100" s="6" t="s">
        <v>212</v>
      </c>
      <c r="D100">
        <v>10</v>
      </c>
      <c r="E100">
        <v>10</v>
      </c>
      <c r="F100">
        <v>10</v>
      </c>
      <c r="G100">
        <v>10</v>
      </c>
      <c r="H100">
        <v>10</v>
      </c>
      <c r="I100">
        <v>10</v>
      </c>
      <c r="J100">
        <v>10</v>
      </c>
      <c r="K100">
        <v>10</v>
      </c>
      <c r="L100">
        <v>10</v>
      </c>
      <c r="M100">
        <v>10</v>
      </c>
      <c r="N100">
        <v>10</v>
      </c>
      <c r="O100">
        <v>10</v>
      </c>
    </row>
    <row r="101" spans="2:15" x14ac:dyDescent="0.25">
      <c r="B101" s="6" t="s">
        <v>12</v>
      </c>
      <c r="C101" s="6" t="s">
        <v>189</v>
      </c>
      <c r="D101">
        <v>37</v>
      </c>
      <c r="E101">
        <v>37</v>
      </c>
      <c r="F101">
        <v>37</v>
      </c>
      <c r="G101">
        <v>37</v>
      </c>
      <c r="H101">
        <v>37</v>
      </c>
      <c r="I101">
        <v>37</v>
      </c>
      <c r="J101">
        <v>37</v>
      </c>
      <c r="K101">
        <v>37</v>
      </c>
      <c r="L101">
        <v>37</v>
      </c>
      <c r="M101">
        <v>37</v>
      </c>
      <c r="N101">
        <v>37</v>
      </c>
      <c r="O101">
        <v>37</v>
      </c>
    </row>
    <row r="102" spans="2:15" x14ac:dyDescent="0.25">
      <c r="B102" s="6" t="s">
        <v>13</v>
      </c>
      <c r="C102" s="6" t="s">
        <v>181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</row>
    <row r="103" spans="2:15" x14ac:dyDescent="0.25">
      <c r="B103" s="6" t="s">
        <v>13</v>
      </c>
      <c r="C103" s="6" t="s">
        <v>182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</row>
    <row r="104" spans="2:15" x14ac:dyDescent="0.25">
      <c r="B104" s="6" t="s">
        <v>13</v>
      </c>
      <c r="C104" s="6" t="s">
        <v>183</v>
      </c>
      <c r="D104">
        <v>1.0741666666666667</v>
      </c>
      <c r="E104">
        <v>1.0741666666666667</v>
      </c>
      <c r="F104">
        <v>1.0741666666666667</v>
      </c>
      <c r="G104">
        <v>1.0741666666666667</v>
      </c>
      <c r="H104">
        <v>1.0741666666666667</v>
      </c>
      <c r="I104">
        <v>1.0741666666666667</v>
      </c>
      <c r="J104">
        <v>1.0741666666666667</v>
      </c>
      <c r="K104">
        <v>1.0741666666666667</v>
      </c>
      <c r="L104">
        <v>1.0741666666666667</v>
      </c>
      <c r="M104">
        <v>1.0741666666666667</v>
      </c>
      <c r="N104">
        <v>1.0741666666666667</v>
      </c>
      <c r="O104">
        <v>1.0741666666666667</v>
      </c>
    </row>
    <row r="105" spans="2:15" x14ac:dyDescent="0.25">
      <c r="B105" s="6" t="s">
        <v>13</v>
      </c>
      <c r="C105" s="6" t="s">
        <v>184</v>
      </c>
      <c r="D105">
        <v>1.0741666666666667</v>
      </c>
      <c r="E105">
        <v>1.0741666666666667</v>
      </c>
      <c r="F105">
        <v>1.0741666666666667</v>
      </c>
      <c r="G105">
        <v>1.0741666666666667</v>
      </c>
      <c r="H105">
        <v>1.0741666666666667</v>
      </c>
      <c r="I105">
        <v>1.0741666666666667</v>
      </c>
      <c r="J105">
        <v>1.0741666666666667</v>
      </c>
      <c r="K105">
        <v>1.0741666666666667</v>
      </c>
      <c r="L105">
        <v>1.0741666666666667</v>
      </c>
      <c r="M105">
        <v>1.0741666666666667</v>
      </c>
      <c r="N105">
        <v>1.0741666666666667</v>
      </c>
      <c r="O105">
        <v>1.0741666666666667</v>
      </c>
    </row>
    <row r="106" spans="2:15" x14ac:dyDescent="0.25">
      <c r="B106" s="6" t="s">
        <v>13</v>
      </c>
      <c r="C106" s="6" t="s">
        <v>187</v>
      </c>
      <c r="D106">
        <v>525</v>
      </c>
      <c r="E106">
        <v>525</v>
      </c>
      <c r="F106">
        <v>525</v>
      </c>
      <c r="G106">
        <v>525</v>
      </c>
      <c r="H106">
        <v>525</v>
      </c>
      <c r="I106">
        <v>525</v>
      </c>
      <c r="J106">
        <v>525</v>
      </c>
      <c r="K106">
        <v>525</v>
      </c>
      <c r="L106">
        <v>525</v>
      </c>
      <c r="M106">
        <v>525</v>
      </c>
      <c r="N106">
        <v>525</v>
      </c>
      <c r="O106">
        <v>525</v>
      </c>
    </row>
    <row r="107" spans="2:15" x14ac:dyDescent="0.25">
      <c r="B107" s="6" t="s">
        <v>13</v>
      </c>
      <c r="C107" s="6" t="s">
        <v>212</v>
      </c>
      <c r="D107">
        <v>11</v>
      </c>
      <c r="E107">
        <v>11</v>
      </c>
      <c r="F107">
        <v>11</v>
      </c>
      <c r="G107">
        <v>11</v>
      </c>
      <c r="H107">
        <v>11</v>
      </c>
      <c r="I107">
        <v>11</v>
      </c>
      <c r="J107">
        <v>11</v>
      </c>
      <c r="K107">
        <v>11</v>
      </c>
      <c r="L107">
        <v>11</v>
      </c>
      <c r="M107">
        <v>11</v>
      </c>
      <c r="N107">
        <v>11</v>
      </c>
      <c r="O107">
        <v>11</v>
      </c>
    </row>
    <row r="108" spans="2:15" x14ac:dyDescent="0.25">
      <c r="B108" s="6" t="s">
        <v>13</v>
      </c>
      <c r="C108" s="6" t="s">
        <v>189</v>
      </c>
      <c r="D108">
        <v>37</v>
      </c>
      <c r="E108">
        <v>37</v>
      </c>
      <c r="F108">
        <v>37</v>
      </c>
      <c r="G108">
        <v>37</v>
      </c>
      <c r="H108">
        <v>37</v>
      </c>
      <c r="I108">
        <v>37</v>
      </c>
      <c r="J108">
        <v>37</v>
      </c>
      <c r="K108">
        <v>37</v>
      </c>
      <c r="L108">
        <v>37</v>
      </c>
      <c r="M108">
        <v>37</v>
      </c>
      <c r="N108">
        <v>37</v>
      </c>
      <c r="O108">
        <v>37</v>
      </c>
    </row>
    <row r="109" spans="2:15" x14ac:dyDescent="0.25">
      <c r="B109" s="6" t="s">
        <v>14</v>
      </c>
      <c r="C109" s="6" t="s">
        <v>181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</row>
    <row r="110" spans="2:15" x14ac:dyDescent="0.25">
      <c r="B110" s="6" t="s">
        <v>14</v>
      </c>
      <c r="C110" s="6" t="s">
        <v>182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</row>
    <row r="111" spans="2:15" x14ac:dyDescent="0.25">
      <c r="B111" s="6" t="s">
        <v>14</v>
      </c>
      <c r="C111" s="6" t="s">
        <v>183</v>
      </c>
      <c r="D111">
        <v>2852.75</v>
      </c>
      <c r="E111">
        <v>2852.75</v>
      </c>
      <c r="F111">
        <v>2852.75</v>
      </c>
      <c r="G111">
        <v>2852.75</v>
      </c>
      <c r="H111">
        <v>2852.75</v>
      </c>
      <c r="I111">
        <v>2852.75</v>
      </c>
      <c r="J111">
        <v>2852.75</v>
      </c>
      <c r="K111">
        <v>2852.75</v>
      </c>
      <c r="L111">
        <v>2852.75</v>
      </c>
      <c r="M111">
        <v>2852.75</v>
      </c>
      <c r="N111">
        <v>2852.75</v>
      </c>
      <c r="O111">
        <v>2852.75</v>
      </c>
    </row>
    <row r="112" spans="2:15" x14ac:dyDescent="0.25">
      <c r="B112" s="6" t="s">
        <v>14</v>
      </c>
      <c r="C112" s="6" t="s">
        <v>184</v>
      </c>
      <c r="D112">
        <v>2852.75</v>
      </c>
      <c r="E112">
        <v>2852.75</v>
      </c>
      <c r="F112">
        <v>2852.75</v>
      </c>
      <c r="G112">
        <v>2852.75</v>
      </c>
      <c r="H112">
        <v>2852.75</v>
      </c>
      <c r="I112">
        <v>2852.75</v>
      </c>
      <c r="J112">
        <v>2852.75</v>
      </c>
      <c r="K112">
        <v>2852.75</v>
      </c>
      <c r="L112">
        <v>2852.75</v>
      </c>
      <c r="M112">
        <v>2852.75</v>
      </c>
      <c r="N112">
        <v>2852.75</v>
      </c>
      <c r="O112">
        <v>2852.75</v>
      </c>
    </row>
    <row r="113" spans="2:15" x14ac:dyDescent="0.25">
      <c r="B113" s="6" t="s">
        <v>14</v>
      </c>
      <c r="C113" s="6" t="s">
        <v>187</v>
      </c>
      <c r="D113">
        <v>400</v>
      </c>
      <c r="E113">
        <v>400</v>
      </c>
      <c r="F113">
        <v>400</v>
      </c>
      <c r="G113">
        <v>400</v>
      </c>
      <c r="H113">
        <v>400</v>
      </c>
      <c r="I113">
        <v>400</v>
      </c>
      <c r="J113">
        <v>400</v>
      </c>
      <c r="K113">
        <v>400</v>
      </c>
      <c r="L113">
        <v>400</v>
      </c>
      <c r="M113">
        <v>400</v>
      </c>
      <c r="N113">
        <v>400</v>
      </c>
      <c r="O113">
        <v>400</v>
      </c>
    </row>
    <row r="114" spans="2:15" x14ac:dyDescent="0.25">
      <c r="B114" s="6" t="s">
        <v>14</v>
      </c>
      <c r="C114" s="6" t="s">
        <v>212</v>
      </c>
      <c r="D114">
        <v>10.5</v>
      </c>
      <c r="E114">
        <v>10.5</v>
      </c>
      <c r="F114">
        <v>10.5</v>
      </c>
      <c r="G114">
        <v>10.5</v>
      </c>
      <c r="H114">
        <v>10.5</v>
      </c>
      <c r="I114">
        <v>10.5</v>
      </c>
      <c r="J114">
        <v>10.5</v>
      </c>
      <c r="K114">
        <v>10.5</v>
      </c>
      <c r="L114">
        <v>10.5</v>
      </c>
      <c r="M114">
        <v>10.5</v>
      </c>
      <c r="N114">
        <v>10.5</v>
      </c>
      <c r="O114">
        <v>10.5</v>
      </c>
    </row>
    <row r="115" spans="2:15" x14ac:dyDescent="0.25">
      <c r="B115" s="6" t="s">
        <v>14</v>
      </c>
      <c r="C115" s="6" t="s">
        <v>189</v>
      </c>
      <c r="D115">
        <v>37</v>
      </c>
      <c r="E115">
        <v>37</v>
      </c>
      <c r="F115">
        <v>37</v>
      </c>
      <c r="G115">
        <v>37</v>
      </c>
      <c r="H115">
        <v>37</v>
      </c>
      <c r="I115">
        <v>37</v>
      </c>
      <c r="J115">
        <v>37</v>
      </c>
      <c r="K115">
        <v>37</v>
      </c>
      <c r="L115">
        <v>37</v>
      </c>
      <c r="M115">
        <v>37</v>
      </c>
      <c r="N115">
        <v>37</v>
      </c>
      <c r="O115">
        <v>37</v>
      </c>
    </row>
    <row r="116" spans="2:15" x14ac:dyDescent="0.25">
      <c r="B116" s="6" t="s">
        <v>15</v>
      </c>
      <c r="C116" s="6" t="s">
        <v>181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1</v>
      </c>
      <c r="O116">
        <v>1</v>
      </c>
    </row>
    <row r="117" spans="2:15" x14ac:dyDescent="0.25">
      <c r="B117" s="6" t="s">
        <v>15</v>
      </c>
      <c r="C117" s="6" t="s">
        <v>182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</row>
    <row r="118" spans="2:15" x14ac:dyDescent="0.25">
      <c r="B118" s="6" t="s">
        <v>15</v>
      </c>
      <c r="C118" s="6" t="s">
        <v>183</v>
      </c>
      <c r="D118">
        <v>12.840833333333334</v>
      </c>
      <c r="E118">
        <v>12.840833333333334</v>
      </c>
      <c r="F118">
        <v>12.840833333333334</v>
      </c>
      <c r="G118">
        <v>12.840833333333334</v>
      </c>
      <c r="H118">
        <v>12.840833333333334</v>
      </c>
      <c r="I118">
        <v>12.840833333333334</v>
      </c>
      <c r="J118">
        <v>12.840833333333334</v>
      </c>
      <c r="K118">
        <v>12.840833333333334</v>
      </c>
      <c r="L118">
        <v>12.840833333333334</v>
      </c>
      <c r="M118">
        <v>12.840833333333334</v>
      </c>
      <c r="N118">
        <v>12.840833333333334</v>
      </c>
      <c r="O118">
        <v>12.840833333333334</v>
      </c>
    </row>
    <row r="119" spans="2:15" x14ac:dyDescent="0.25">
      <c r="B119" s="6" t="s">
        <v>15</v>
      </c>
      <c r="C119" s="6" t="s">
        <v>184</v>
      </c>
      <c r="D119">
        <v>12.840833333333334</v>
      </c>
      <c r="E119">
        <v>12.840833333333334</v>
      </c>
      <c r="F119">
        <v>12.840833333333334</v>
      </c>
      <c r="G119">
        <v>12.840833333333334</v>
      </c>
      <c r="H119">
        <v>12.840833333333334</v>
      </c>
      <c r="I119">
        <v>12.840833333333334</v>
      </c>
      <c r="J119">
        <v>12.840833333333334</v>
      </c>
      <c r="K119">
        <v>12.840833333333334</v>
      </c>
      <c r="L119">
        <v>12.840833333333334</v>
      </c>
      <c r="M119">
        <v>12.840833333333334</v>
      </c>
      <c r="N119">
        <v>12.840833333333334</v>
      </c>
      <c r="O119">
        <v>12.840833333333334</v>
      </c>
    </row>
    <row r="120" spans="2:15" x14ac:dyDescent="0.25">
      <c r="B120" s="6" t="s">
        <v>15</v>
      </c>
      <c r="C120" s="6" t="s">
        <v>187</v>
      </c>
      <c r="D120">
        <v>515</v>
      </c>
      <c r="E120">
        <v>515</v>
      </c>
      <c r="F120">
        <v>515</v>
      </c>
      <c r="G120">
        <v>515</v>
      </c>
      <c r="H120">
        <v>515</v>
      </c>
      <c r="I120">
        <v>515</v>
      </c>
      <c r="J120">
        <v>515</v>
      </c>
      <c r="K120">
        <v>515</v>
      </c>
      <c r="L120">
        <v>515</v>
      </c>
      <c r="M120">
        <v>515</v>
      </c>
      <c r="N120">
        <v>515</v>
      </c>
      <c r="O120">
        <v>515</v>
      </c>
    </row>
    <row r="121" spans="2:15" x14ac:dyDescent="0.25">
      <c r="B121" s="6" t="s">
        <v>15</v>
      </c>
      <c r="C121" s="6" t="s">
        <v>212</v>
      </c>
      <c r="D121">
        <v>10.5</v>
      </c>
      <c r="E121">
        <v>10.5</v>
      </c>
      <c r="F121">
        <v>10.5</v>
      </c>
      <c r="G121">
        <v>10.5</v>
      </c>
      <c r="H121">
        <v>10.5</v>
      </c>
      <c r="I121">
        <v>10.5</v>
      </c>
      <c r="J121">
        <v>10.5</v>
      </c>
      <c r="K121">
        <v>10.5</v>
      </c>
      <c r="L121">
        <v>10.5</v>
      </c>
      <c r="M121">
        <v>10.5</v>
      </c>
      <c r="N121">
        <v>10.5</v>
      </c>
      <c r="O121">
        <v>10.5</v>
      </c>
    </row>
    <row r="122" spans="2:15" x14ac:dyDescent="0.25">
      <c r="B122" s="6" t="s">
        <v>15</v>
      </c>
      <c r="C122" s="6" t="s">
        <v>189</v>
      </c>
      <c r="D122">
        <v>37</v>
      </c>
      <c r="E122">
        <v>37</v>
      </c>
      <c r="F122">
        <v>37</v>
      </c>
      <c r="G122">
        <v>37</v>
      </c>
      <c r="H122">
        <v>37</v>
      </c>
      <c r="I122">
        <v>37</v>
      </c>
      <c r="J122">
        <v>37</v>
      </c>
      <c r="K122">
        <v>37</v>
      </c>
      <c r="L122">
        <v>37</v>
      </c>
      <c r="M122">
        <v>37</v>
      </c>
      <c r="N122">
        <v>37</v>
      </c>
      <c r="O122">
        <v>37</v>
      </c>
    </row>
    <row r="123" spans="2:15" x14ac:dyDescent="0.25">
      <c r="B123" s="6" t="s">
        <v>16</v>
      </c>
      <c r="C123" s="6" t="s">
        <v>181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</row>
    <row r="124" spans="2:15" x14ac:dyDescent="0.25">
      <c r="B124" s="6" t="s">
        <v>16</v>
      </c>
      <c r="C124" s="6" t="s">
        <v>182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</row>
    <row r="125" spans="2:15" x14ac:dyDescent="0.25">
      <c r="B125" s="6" t="s">
        <v>16</v>
      </c>
      <c r="C125" s="6" t="s">
        <v>183</v>
      </c>
      <c r="D125">
        <v>1E-14</v>
      </c>
      <c r="E125">
        <v>1E-14</v>
      </c>
      <c r="F125">
        <v>1E-14</v>
      </c>
      <c r="G125">
        <v>1E-14</v>
      </c>
      <c r="H125">
        <v>1E-14</v>
      </c>
      <c r="I125">
        <v>1E-14</v>
      </c>
      <c r="J125">
        <v>1E-14</v>
      </c>
      <c r="K125">
        <v>1E-14</v>
      </c>
      <c r="L125">
        <v>1E-14</v>
      </c>
      <c r="M125">
        <v>1E-14</v>
      </c>
      <c r="N125">
        <v>1E-14</v>
      </c>
      <c r="O125">
        <v>1E-14</v>
      </c>
    </row>
    <row r="126" spans="2:15" x14ac:dyDescent="0.25">
      <c r="B126" s="6" t="s">
        <v>16</v>
      </c>
      <c r="C126" s="6" t="s">
        <v>184</v>
      </c>
      <c r="D126">
        <v>1E-14</v>
      </c>
      <c r="E126">
        <v>1E-14</v>
      </c>
      <c r="F126">
        <v>1E-14</v>
      </c>
      <c r="G126">
        <v>1E-14</v>
      </c>
      <c r="H126">
        <v>1E-14</v>
      </c>
      <c r="I126">
        <v>1E-14</v>
      </c>
      <c r="J126">
        <v>1E-14</v>
      </c>
      <c r="K126">
        <v>1E-14</v>
      </c>
      <c r="L126">
        <v>1E-14</v>
      </c>
      <c r="M126">
        <v>1E-14</v>
      </c>
      <c r="N126">
        <v>1E-14</v>
      </c>
      <c r="O126">
        <v>1E-14</v>
      </c>
    </row>
    <row r="127" spans="2:15" x14ac:dyDescent="0.25">
      <c r="B127" s="6" t="s">
        <v>16</v>
      </c>
      <c r="C127" s="6" t="s">
        <v>187</v>
      </c>
      <c r="D127">
        <v>1E-14</v>
      </c>
      <c r="E127">
        <v>1E-14</v>
      </c>
      <c r="F127">
        <v>1E-14</v>
      </c>
      <c r="G127">
        <v>1E-14</v>
      </c>
      <c r="H127">
        <v>1E-14</v>
      </c>
      <c r="I127">
        <v>1E-14</v>
      </c>
      <c r="J127">
        <v>1E-14</v>
      </c>
      <c r="K127">
        <v>1E-14</v>
      </c>
      <c r="L127">
        <v>1E-14</v>
      </c>
      <c r="M127">
        <v>1E-14</v>
      </c>
      <c r="N127">
        <v>1E-14</v>
      </c>
      <c r="O127">
        <v>1E-14</v>
      </c>
    </row>
    <row r="128" spans="2:15" x14ac:dyDescent="0.25">
      <c r="B128" s="6" t="s">
        <v>16</v>
      </c>
      <c r="C128" s="6" t="s">
        <v>212</v>
      </c>
      <c r="D128">
        <v>13</v>
      </c>
      <c r="E128">
        <v>13</v>
      </c>
      <c r="F128">
        <v>13</v>
      </c>
      <c r="G128">
        <v>13</v>
      </c>
      <c r="H128">
        <v>13</v>
      </c>
      <c r="I128">
        <v>13</v>
      </c>
      <c r="J128">
        <v>13</v>
      </c>
      <c r="K128">
        <v>13</v>
      </c>
      <c r="L128">
        <v>13</v>
      </c>
      <c r="M128">
        <v>13</v>
      </c>
      <c r="N128">
        <v>13</v>
      </c>
      <c r="O128">
        <v>13</v>
      </c>
    </row>
    <row r="129" spans="2:15" x14ac:dyDescent="0.25">
      <c r="B129" s="6" t="s">
        <v>16</v>
      </c>
      <c r="C129" s="6" t="s">
        <v>189</v>
      </c>
      <c r="D129">
        <v>37</v>
      </c>
      <c r="E129">
        <v>37</v>
      </c>
      <c r="F129">
        <v>37</v>
      </c>
      <c r="G129">
        <v>37</v>
      </c>
      <c r="H129">
        <v>37</v>
      </c>
      <c r="I129">
        <v>37</v>
      </c>
      <c r="J129">
        <v>37</v>
      </c>
      <c r="K129">
        <v>37</v>
      </c>
      <c r="L129">
        <v>37</v>
      </c>
      <c r="M129">
        <v>37</v>
      </c>
      <c r="N129">
        <v>37</v>
      </c>
      <c r="O129">
        <v>37</v>
      </c>
    </row>
    <row r="130" spans="2:15" x14ac:dyDescent="0.25">
      <c r="B130" s="6" t="s">
        <v>18</v>
      </c>
      <c r="C130" s="6" t="s">
        <v>181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</row>
    <row r="131" spans="2:15" x14ac:dyDescent="0.25">
      <c r="B131" s="6" t="s">
        <v>18</v>
      </c>
      <c r="C131" s="6" t="s">
        <v>182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</row>
    <row r="132" spans="2:15" x14ac:dyDescent="0.25">
      <c r="B132" s="6" t="s">
        <v>18</v>
      </c>
      <c r="C132" s="6" t="s">
        <v>183</v>
      </c>
      <c r="D132">
        <v>87.044166666666669</v>
      </c>
      <c r="E132">
        <v>87.044166666666669</v>
      </c>
      <c r="F132">
        <v>87.044166666666669</v>
      </c>
      <c r="G132">
        <v>87.044166666666669</v>
      </c>
      <c r="H132">
        <v>87.044166666666669</v>
      </c>
      <c r="I132">
        <v>87.044166666666669</v>
      </c>
      <c r="J132">
        <v>87.044166666666669</v>
      </c>
      <c r="K132">
        <v>87.044166666666669</v>
      </c>
      <c r="L132">
        <v>87.044166666666669</v>
      </c>
      <c r="M132">
        <v>87.044166666666669</v>
      </c>
      <c r="N132">
        <v>87.044166666666669</v>
      </c>
      <c r="O132">
        <v>87.044166666666669</v>
      </c>
    </row>
    <row r="133" spans="2:15" x14ac:dyDescent="0.25">
      <c r="B133" s="6" t="s">
        <v>18</v>
      </c>
      <c r="C133" s="6" t="s">
        <v>184</v>
      </c>
      <c r="D133">
        <v>87.044166666666669</v>
      </c>
      <c r="E133">
        <v>87.044166666666669</v>
      </c>
      <c r="F133">
        <v>87.044166666666669</v>
      </c>
      <c r="G133">
        <v>87.044166666666669</v>
      </c>
      <c r="H133">
        <v>87.044166666666669</v>
      </c>
      <c r="I133">
        <v>87.044166666666669</v>
      </c>
      <c r="J133">
        <v>87.044166666666669</v>
      </c>
      <c r="K133">
        <v>87.044166666666669</v>
      </c>
      <c r="L133">
        <v>87.044166666666669</v>
      </c>
      <c r="M133">
        <v>87.044166666666669</v>
      </c>
      <c r="N133">
        <v>87.044166666666669</v>
      </c>
      <c r="O133">
        <v>87.044166666666669</v>
      </c>
    </row>
    <row r="134" spans="2:15" x14ac:dyDescent="0.25">
      <c r="B134" s="6" t="s">
        <v>18</v>
      </c>
      <c r="C134" s="6" t="s">
        <v>187</v>
      </c>
      <c r="D134">
        <v>1E-14</v>
      </c>
      <c r="E134">
        <v>1E-14</v>
      </c>
      <c r="F134">
        <v>1E-14</v>
      </c>
      <c r="G134">
        <v>1E-14</v>
      </c>
      <c r="H134">
        <v>1E-14</v>
      </c>
      <c r="I134">
        <v>1E-14</v>
      </c>
      <c r="J134">
        <v>1E-14</v>
      </c>
      <c r="K134">
        <v>1E-14</v>
      </c>
      <c r="L134">
        <v>1E-14</v>
      </c>
      <c r="M134">
        <v>1E-14</v>
      </c>
      <c r="N134">
        <v>1E-14</v>
      </c>
      <c r="O134">
        <v>1E-14</v>
      </c>
    </row>
    <row r="135" spans="2:15" x14ac:dyDescent="0.25">
      <c r="B135" s="6" t="s">
        <v>18</v>
      </c>
      <c r="C135" s="6" t="s">
        <v>212</v>
      </c>
      <c r="D135">
        <v>14.5</v>
      </c>
      <c r="E135">
        <v>14.5</v>
      </c>
      <c r="F135">
        <v>14.5</v>
      </c>
      <c r="G135">
        <v>14.5</v>
      </c>
      <c r="H135">
        <v>14.5</v>
      </c>
      <c r="I135">
        <v>14.5</v>
      </c>
      <c r="J135">
        <v>14.5</v>
      </c>
      <c r="K135">
        <v>14.5</v>
      </c>
      <c r="L135">
        <v>14.5</v>
      </c>
      <c r="M135">
        <v>14.5</v>
      </c>
      <c r="N135">
        <v>14.5</v>
      </c>
      <c r="O135">
        <v>14.5</v>
      </c>
    </row>
    <row r="136" spans="2:15" x14ac:dyDescent="0.25">
      <c r="B136" s="6" t="s">
        <v>18</v>
      </c>
      <c r="C136" s="6" t="s">
        <v>189</v>
      </c>
      <c r="D136">
        <v>37</v>
      </c>
      <c r="E136">
        <v>37</v>
      </c>
      <c r="F136">
        <v>37</v>
      </c>
      <c r="G136">
        <v>37</v>
      </c>
      <c r="H136">
        <v>37</v>
      </c>
      <c r="I136">
        <v>37</v>
      </c>
      <c r="J136">
        <v>37</v>
      </c>
      <c r="K136">
        <v>37</v>
      </c>
      <c r="L136">
        <v>37</v>
      </c>
      <c r="M136">
        <v>37</v>
      </c>
      <c r="N136">
        <v>37</v>
      </c>
      <c r="O136">
        <v>37</v>
      </c>
    </row>
    <row r="137" spans="2:15" x14ac:dyDescent="0.25">
      <c r="B137" s="6" t="s">
        <v>19</v>
      </c>
      <c r="C137" s="6" t="s">
        <v>181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>
        <v>1</v>
      </c>
      <c r="M137">
        <v>1</v>
      </c>
      <c r="N137">
        <v>1</v>
      </c>
      <c r="O137">
        <v>1</v>
      </c>
    </row>
    <row r="138" spans="2:15" x14ac:dyDescent="0.25">
      <c r="B138" s="6" t="s">
        <v>19</v>
      </c>
      <c r="C138" s="6" t="s">
        <v>182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</row>
    <row r="139" spans="2:15" x14ac:dyDescent="0.25">
      <c r="B139" s="6" t="s">
        <v>19</v>
      </c>
      <c r="C139" s="6" t="s">
        <v>183</v>
      </c>
      <c r="D139">
        <v>1E-14</v>
      </c>
      <c r="E139">
        <v>1E-14</v>
      </c>
      <c r="F139">
        <v>1E-14</v>
      </c>
      <c r="G139">
        <v>1E-14</v>
      </c>
      <c r="H139">
        <v>1E-14</v>
      </c>
      <c r="I139">
        <v>1E-14</v>
      </c>
      <c r="J139">
        <v>1E-14</v>
      </c>
      <c r="K139">
        <v>1E-14</v>
      </c>
      <c r="L139">
        <v>1E-14</v>
      </c>
      <c r="M139">
        <v>1E-14</v>
      </c>
      <c r="N139">
        <v>1E-14</v>
      </c>
      <c r="O139">
        <v>1E-14</v>
      </c>
    </row>
    <row r="140" spans="2:15" x14ac:dyDescent="0.25">
      <c r="B140" s="6" t="s">
        <v>19</v>
      </c>
      <c r="C140" s="6" t="s">
        <v>184</v>
      </c>
      <c r="D140">
        <v>1E-14</v>
      </c>
      <c r="E140">
        <v>1E-14</v>
      </c>
      <c r="F140">
        <v>1E-14</v>
      </c>
      <c r="G140">
        <v>1E-14</v>
      </c>
      <c r="H140">
        <v>1E-14</v>
      </c>
      <c r="I140">
        <v>1E-14</v>
      </c>
      <c r="J140">
        <v>1E-14</v>
      </c>
      <c r="K140">
        <v>1E-14</v>
      </c>
      <c r="L140">
        <v>1E-14</v>
      </c>
      <c r="M140">
        <v>1E-14</v>
      </c>
      <c r="N140">
        <v>1E-14</v>
      </c>
      <c r="O140">
        <v>1E-14</v>
      </c>
    </row>
    <row r="141" spans="2:15" x14ac:dyDescent="0.25">
      <c r="B141" s="6" t="s">
        <v>19</v>
      </c>
      <c r="C141" s="6" t="s">
        <v>187</v>
      </c>
      <c r="D141">
        <v>1E-14</v>
      </c>
      <c r="E141">
        <v>1E-14</v>
      </c>
      <c r="F141">
        <v>1E-14</v>
      </c>
      <c r="G141">
        <v>1E-14</v>
      </c>
      <c r="H141">
        <v>1E-14</v>
      </c>
      <c r="I141">
        <v>1E-14</v>
      </c>
      <c r="J141">
        <v>1E-14</v>
      </c>
      <c r="K141">
        <v>1E-14</v>
      </c>
      <c r="L141">
        <v>1E-14</v>
      </c>
      <c r="M141">
        <v>1E-14</v>
      </c>
      <c r="N141">
        <v>1E-14</v>
      </c>
      <c r="O141">
        <v>1E-14</v>
      </c>
    </row>
    <row r="142" spans="2:15" x14ac:dyDescent="0.25">
      <c r="B142" s="6" t="s">
        <v>19</v>
      </c>
      <c r="C142" s="6" t="s">
        <v>212</v>
      </c>
      <c r="D142">
        <v>14.7</v>
      </c>
      <c r="E142">
        <v>14.7</v>
      </c>
      <c r="F142">
        <v>14.7</v>
      </c>
      <c r="G142">
        <v>14.7</v>
      </c>
      <c r="H142">
        <v>14.7</v>
      </c>
      <c r="I142">
        <v>14.7</v>
      </c>
      <c r="J142">
        <v>14.7</v>
      </c>
      <c r="K142">
        <v>14.7</v>
      </c>
      <c r="L142">
        <v>14.7</v>
      </c>
      <c r="M142">
        <v>14.7</v>
      </c>
      <c r="N142">
        <v>14.7</v>
      </c>
      <c r="O142">
        <v>14.7</v>
      </c>
    </row>
    <row r="143" spans="2:15" x14ac:dyDescent="0.25">
      <c r="B143" s="6" t="s">
        <v>19</v>
      </c>
      <c r="C143" s="6" t="s">
        <v>189</v>
      </c>
      <c r="D143">
        <v>37</v>
      </c>
      <c r="E143">
        <v>37</v>
      </c>
      <c r="F143">
        <v>37</v>
      </c>
      <c r="G143">
        <v>37</v>
      </c>
      <c r="H143">
        <v>37</v>
      </c>
      <c r="I143">
        <v>37</v>
      </c>
      <c r="J143">
        <v>37</v>
      </c>
      <c r="K143">
        <v>37</v>
      </c>
      <c r="L143">
        <v>37</v>
      </c>
      <c r="M143">
        <v>37</v>
      </c>
      <c r="N143">
        <v>37</v>
      </c>
      <c r="O143">
        <v>37</v>
      </c>
    </row>
    <row r="144" spans="2:15" x14ac:dyDescent="0.25">
      <c r="B144" s="6" t="s">
        <v>20</v>
      </c>
      <c r="C144" s="6" t="s">
        <v>181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1</v>
      </c>
      <c r="M144">
        <v>1</v>
      </c>
      <c r="N144">
        <v>1</v>
      </c>
      <c r="O144">
        <v>1</v>
      </c>
    </row>
    <row r="145" spans="2:15" x14ac:dyDescent="0.25">
      <c r="B145" s="6" t="s">
        <v>20</v>
      </c>
      <c r="C145" s="6" t="s">
        <v>182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</row>
    <row r="146" spans="2:15" x14ac:dyDescent="0.25">
      <c r="B146" s="6" t="s">
        <v>20</v>
      </c>
      <c r="C146" s="6" t="s">
        <v>183</v>
      </c>
      <c r="D146">
        <v>9.4949999999999992</v>
      </c>
      <c r="E146">
        <v>9.4949999999999992</v>
      </c>
      <c r="F146">
        <v>9.4949999999999992</v>
      </c>
      <c r="G146">
        <v>9.4949999999999992</v>
      </c>
      <c r="H146">
        <v>9.4949999999999992</v>
      </c>
      <c r="I146">
        <v>9.4949999999999992</v>
      </c>
      <c r="J146">
        <v>9.4949999999999992</v>
      </c>
      <c r="K146">
        <v>9.4949999999999992</v>
      </c>
      <c r="L146">
        <v>9.4949999999999992</v>
      </c>
      <c r="M146">
        <v>9.4949999999999992</v>
      </c>
      <c r="N146">
        <v>9.4949999999999992</v>
      </c>
      <c r="O146">
        <v>9.4949999999999992</v>
      </c>
    </row>
    <row r="147" spans="2:15" x14ac:dyDescent="0.25">
      <c r="B147" s="6" t="s">
        <v>20</v>
      </c>
      <c r="C147" s="6" t="s">
        <v>184</v>
      </c>
      <c r="D147">
        <v>9.4949999999999992</v>
      </c>
      <c r="E147">
        <v>9.4949999999999992</v>
      </c>
      <c r="F147">
        <v>9.4949999999999992</v>
      </c>
      <c r="G147">
        <v>9.4949999999999992</v>
      </c>
      <c r="H147">
        <v>9.4949999999999992</v>
      </c>
      <c r="I147">
        <v>9.4949999999999992</v>
      </c>
      <c r="J147">
        <v>9.4949999999999992</v>
      </c>
      <c r="K147">
        <v>9.4949999999999992</v>
      </c>
      <c r="L147">
        <v>9.4949999999999992</v>
      </c>
      <c r="M147">
        <v>9.4949999999999992</v>
      </c>
      <c r="N147">
        <v>9.4949999999999992</v>
      </c>
      <c r="O147">
        <v>9.4949999999999992</v>
      </c>
    </row>
    <row r="148" spans="2:15" x14ac:dyDescent="0.25">
      <c r="B148" s="6" t="s">
        <v>20</v>
      </c>
      <c r="C148" s="6" t="s">
        <v>187</v>
      </c>
      <c r="D148">
        <v>685</v>
      </c>
      <c r="E148">
        <v>685</v>
      </c>
      <c r="F148">
        <v>685</v>
      </c>
      <c r="G148">
        <v>685</v>
      </c>
      <c r="H148">
        <v>685</v>
      </c>
      <c r="I148">
        <v>685</v>
      </c>
      <c r="J148">
        <v>685</v>
      </c>
      <c r="K148">
        <v>685</v>
      </c>
      <c r="L148">
        <v>685</v>
      </c>
      <c r="M148">
        <v>685</v>
      </c>
      <c r="N148">
        <v>685</v>
      </c>
      <c r="O148">
        <v>685</v>
      </c>
    </row>
    <row r="149" spans="2:15" x14ac:dyDescent="0.25">
      <c r="B149" s="6" t="s">
        <v>20</v>
      </c>
      <c r="C149" s="6" t="s">
        <v>212</v>
      </c>
      <c r="D149">
        <v>14</v>
      </c>
      <c r="E149">
        <v>14</v>
      </c>
      <c r="F149">
        <v>14</v>
      </c>
      <c r="G149">
        <v>14</v>
      </c>
      <c r="H149">
        <v>14</v>
      </c>
      <c r="I149">
        <v>14</v>
      </c>
      <c r="J149">
        <v>14</v>
      </c>
      <c r="K149">
        <v>14</v>
      </c>
      <c r="L149">
        <v>14</v>
      </c>
      <c r="M149">
        <v>14</v>
      </c>
      <c r="N149">
        <v>14</v>
      </c>
      <c r="O149">
        <v>14</v>
      </c>
    </row>
    <row r="150" spans="2:15" x14ac:dyDescent="0.25">
      <c r="B150" s="6" t="s">
        <v>20</v>
      </c>
      <c r="C150" s="6" t="s">
        <v>189</v>
      </c>
      <c r="D150">
        <v>37</v>
      </c>
      <c r="E150">
        <v>37</v>
      </c>
      <c r="F150">
        <v>37</v>
      </c>
      <c r="G150">
        <v>37</v>
      </c>
      <c r="H150">
        <v>37</v>
      </c>
      <c r="I150">
        <v>37</v>
      </c>
      <c r="J150">
        <v>37</v>
      </c>
      <c r="K150">
        <v>37</v>
      </c>
      <c r="L150">
        <v>37</v>
      </c>
      <c r="M150">
        <v>37</v>
      </c>
      <c r="N150">
        <v>37</v>
      </c>
      <c r="O150">
        <v>37</v>
      </c>
    </row>
    <row r="151" spans="2:15" x14ac:dyDescent="0.25">
      <c r="B151" s="6" t="s">
        <v>17</v>
      </c>
      <c r="C151" s="6" t="s">
        <v>181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</row>
    <row r="152" spans="2:15" x14ac:dyDescent="0.25">
      <c r="B152" s="6" t="s">
        <v>17</v>
      </c>
      <c r="C152" s="6" t="s">
        <v>182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</row>
    <row r="153" spans="2:15" x14ac:dyDescent="0.25">
      <c r="B153" s="6" t="s">
        <v>17</v>
      </c>
      <c r="C153" s="6" t="s">
        <v>183</v>
      </c>
      <c r="D153">
        <v>17.683333333333334</v>
      </c>
      <c r="E153">
        <v>17.683333333333334</v>
      </c>
      <c r="F153">
        <v>17.683333333333334</v>
      </c>
      <c r="G153">
        <v>17.683333333333334</v>
      </c>
      <c r="H153">
        <v>17.683333333333334</v>
      </c>
      <c r="I153">
        <v>17.683333333333334</v>
      </c>
      <c r="J153">
        <v>17.683333333333334</v>
      </c>
      <c r="K153">
        <v>17.683333333333334</v>
      </c>
      <c r="L153">
        <v>17.683333333333334</v>
      </c>
      <c r="M153">
        <v>17.683333333333334</v>
      </c>
      <c r="N153">
        <v>17.683333333333334</v>
      </c>
      <c r="O153">
        <v>17.683333333333334</v>
      </c>
    </row>
    <row r="154" spans="2:15" x14ac:dyDescent="0.25">
      <c r="B154" s="6" t="s">
        <v>17</v>
      </c>
      <c r="C154" s="6" t="s">
        <v>184</v>
      </c>
      <c r="D154">
        <v>17.683333333333334</v>
      </c>
      <c r="E154">
        <v>17.683333333333334</v>
      </c>
      <c r="F154">
        <v>17.683333333333334</v>
      </c>
      <c r="G154">
        <v>17.683333333333334</v>
      </c>
      <c r="H154">
        <v>17.683333333333334</v>
      </c>
      <c r="I154">
        <v>17.683333333333334</v>
      </c>
      <c r="J154">
        <v>17.683333333333334</v>
      </c>
      <c r="K154">
        <v>17.683333333333334</v>
      </c>
      <c r="L154">
        <v>17.683333333333334</v>
      </c>
      <c r="M154">
        <v>17.683333333333334</v>
      </c>
      <c r="N154">
        <v>17.683333333333334</v>
      </c>
      <c r="O154">
        <v>17.683333333333334</v>
      </c>
    </row>
    <row r="155" spans="2:15" x14ac:dyDescent="0.25">
      <c r="B155" s="6" t="s">
        <v>17</v>
      </c>
      <c r="C155" s="6" t="s">
        <v>187</v>
      </c>
      <c r="D155">
        <v>155</v>
      </c>
      <c r="E155">
        <v>155</v>
      </c>
      <c r="F155">
        <v>155</v>
      </c>
      <c r="G155">
        <v>155</v>
      </c>
      <c r="H155">
        <v>155</v>
      </c>
      <c r="I155">
        <v>155</v>
      </c>
      <c r="J155">
        <v>155</v>
      </c>
      <c r="K155">
        <v>155</v>
      </c>
      <c r="L155">
        <v>155</v>
      </c>
      <c r="M155">
        <v>155</v>
      </c>
      <c r="N155">
        <v>155</v>
      </c>
      <c r="O155">
        <v>155</v>
      </c>
    </row>
    <row r="156" spans="2:15" x14ac:dyDescent="0.25">
      <c r="B156" s="6" t="s">
        <v>17</v>
      </c>
      <c r="C156" s="6" t="s">
        <v>212</v>
      </c>
      <c r="D156">
        <v>9</v>
      </c>
      <c r="E156">
        <v>9</v>
      </c>
      <c r="F156">
        <v>9</v>
      </c>
      <c r="G156">
        <v>9</v>
      </c>
      <c r="H156">
        <v>9</v>
      </c>
      <c r="I156">
        <v>9</v>
      </c>
      <c r="J156">
        <v>9</v>
      </c>
      <c r="K156">
        <v>9</v>
      </c>
      <c r="L156">
        <v>9</v>
      </c>
      <c r="M156">
        <v>9</v>
      </c>
      <c r="N156">
        <v>9</v>
      </c>
      <c r="O156">
        <v>9</v>
      </c>
    </row>
    <row r="157" spans="2:15" x14ac:dyDescent="0.25">
      <c r="B157" s="6" t="s">
        <v>17</v>
      </c>
      <c r="C157" s="6" t="s">
        <v>189</v>
      </c>
      <c r="D157">
        <v>1E-14</v>
      </c>
      <c r="E157">
        <v>1E-14</v>
      </c>
      <c r="F157">
        <v>1E-14</v>
      </c>
      <c r="G157">
        <v>1E-14</v>
      </c>
      <c r="H157">
        <v>1E-14</v>
      </c>
      <c r="I157">
        <v>1E-14</v>
      </c>
      <c r="J157">
        <v>1E-14</v>
      </c>
      <c r="K157">
        <v>1E-14</v>
      </c>
      <c r="L157">
        <v>1E-14</v>
      </c>
      <c r="M157">
        <v>1E-14</v>
      </c>
      <c r="N157">
        <v>1E-14</v>
      </c>
      <c r="O157">
        <v>1E-14</v>
      </c>
    </row>
    <row r="158" spans="2:15" x14ac:dyDescent="0.25">
      <c r="B158" s="6" t="s">
        <v>26</v>
      </c>
      <c r="C158" s="6" t="s">
        <v>181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</row>
    <row r="159" spans="2:15" x14ac:dyDescent="0.25">
      <c r="B159" s="6" t="s">
        <v>26</v>
      </c>
      <c r="C159" s="6" t="s">
        <v>182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</row>
    <row r="160" spans="2:15" x14ac:dyDescent="0.25">
      <c r="B160" s="6" t="s">
        <v>26</v>
      </c>
      <c r="C160" s="6" t="s">
        <v>183</v>
      </c>
      <c r="D160">
        <v>1E-14</v>
      </c>
      <c r="E160">
        <v>1E-14</v>
      </c>
      <c r="F160">
        <v>1E-14</v>
      </c>
      <c r="G160">
        <v>1E-14</v>
      </c>
      <c r="H160">
        <v>1E-14</v>
      </c>
      <c r="I160">
        <v>1E-14</v>
      </c>
      <c r="J160">
        <v>1E-14</v>
      </c>
      <c r="K160">
        <v>1E-14</v>
      </c>
      <c r="L160">
        <v>1E-14</v>
      </c>
      <c r="M160">
        <v>1E-14</v>
      </c>
      <c r="N160">
        <v>1E-14</v>
      </c>
      <c r="O160">
        <v>1E-14</v>
      </c>
    </row>
    <row r="161" spans="2:15" x14ac:dyDescent="0.25">
      <c r="B161" s="6" t="s">
        <v>26</v>
      </c>
      <c r="C161" s="6" t="s">
        <v>184</v>
      </c>
      <c r="D161">
        <v>20000</v>
      </c>
      <c r="E161">
        <v>20000</v>
      </c>
      <c r="F161">
        <v>20000</v>
      </c>
      <c r="G161">
        <v>20000</v>
      </c>
      <c r="H161">
        <v>20000</v>
      </c>
      <c r="I161">
        <v>20000</v>
      </c>
      <c r="J161">
        <v>20000</v>
      </c>
      <c r="K161">
        <v>20000</v>
      </c>
      <c r="L161">
        <v>20000</v>
      </c>
      <c r="M161">
        <v>20000</v>
      </c>
      <c r="N161">
        <v>20000</v>
      </c>
      <c r="O161">
        <v>20000</v>
      </c>
    </row>
    <row r="162" spans="2:15" x14ac:dyDescent="0.25">
      <c r="B162" s="6" t="s">
        <v>26</v>
      </c>
      <c r="C162" s="6" t="s">
        <v>187</v>
      </c>
      <c r="D162">
        <v>-402.5</v>
      </c>
      <c r="E162">
        <v>-402.5</v>
      </c>
      <c r="F162">
        <v>-402.5</v>
      </c>
      <c r="G162">
        <v>-402.5</v>
      </c>
      <c r="H162">
        <v>-402.5</v>
      </c>
      <c r="I162">
        <v>-402.5</v>
      </c>
      <c r="J162">
        <v>-402.5</v>
      </c>
      <c r="K162">
        <v>-402.5</v>
      </c>
      <c r="L162">
        <v>-402.5</v>
      </c>
      <c r="M162">
        <v>-402.5</v>
      </c>
      <c r="N162">
        <v>-402.5</v>
      </c>
      <c r="O162">
        <v>-402.5</v>
      </c>
    </row>
    <row r="163" spans="2:15" x14ac:dyDescent="0.25">
      <c r="B163" s="6" t="s">
        <v>26</v>
      </c>
      <c r="C163" s="6" t="s">
        <v>212</v>
      </c>
      <c r="D163">
        <v>11.5</v>
      </c>
      <c r="E163">
        <v>11.5</v>
      </c>
      <c r="F163">
        <v>11.5</v>
      </c>
      <c r="G163">
        <v>11.5</v>
      </c>
      <c r="H163">
        <v>11.5</v>
      </c>
      <c r="I163">
        <v>11.5</v>
      </c>
      <c r="J163">
        <v>11.5</v>
      </c>
      <c r="K163">
        <v>11.5</v>
      </c>
      <c r="L163">
        <v>11.5</v>
      </c>
      <c r="M163">
        <v>11.5</v>
      </c>
      <c r="N163">
        <v>11.5</v>
      </c>
      <c r="O163">
        <v>11.5</v>
      </c>
    </row>
    <row r="164" spans="2:15" x14ac:dyDescent="0.25">
      <c r="B164" s="6" t="s">
        <v>26</v>
      </c>
      <c r="C164" s="6" t="s">
        <v>189</v>
      </c>
      <c r="D164">
        <v>1E-14</v>
      </c>
      <c r="E164">
        <v>1E-14</v>
      </c>
      <c r="F164">
        <v>1E-14</v>
      </c>
      <c r="G164">
        <v>1E-14</v>
      </c>
      <c r="H164">
        <v>1E-14</v>
      </c>
      <c r="I164">
        <v>1E-14</v>
      </c>
      <c r="J164">
        <v>1E-14</v>
      </c>
      <c r="K164">
        <v>1E-14</v>
      </c>
      <c r="L164">
        <v>1E-14</v>
      </c>
      <c r="M164">
        <v>1E-14</v>
      </c>
      <c r="N164">
        <v>1E-14</v>
      </c>
      <c r="O164">
        <v>1E-14</v>
      </c>
    </row>
    <row r="165" spans="2:15" x14ac:dyDescent="0.25">
      <c r="B165" s="6" t="s">
        <v>27</v>
      </c>
      <c r="C165" s="6" t="s">
        <v>181</v>
      </c>
      <c r="D165">
        <v>1</v>
      </c>
      <c r="E165">
        <v>1</v>
      </c>
      <c r="F165">
        <v>1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M165">
        <v>1</v>
      </c>
      <c r="N165">
        <v>1</v>
      </c>
      <c r="O165">
        <v>1</v>
      </c>
    </row>
    <row r="166" spans="2:15" x14ac:dyDescent="0.25">
      <c r="B166" s="6" t="s">
        <v>27</v>
      </c>
      <c r="C166" s="6" t="s">
        <v>182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</row>
    <row r="167" spans="2:15" x14ac:dyDescent="0.25">
      <c r="B167" s="6" t="s">
        <v>27</v>
      </c>
      <c r="C167" s="6" t="s">
        <v>183</v>
      </c>
      <c r="D167">
        <v>1E-14</v>
      </c>
      <c r="E167">
        <v>1E-14</v>
      </c>
      <c r="F167">
        <v>1E-14</v>
      </c>
      <c r="G167">
        <v>1E-14</v>
      </c>
      <c r="H167">
        <v>1E-14</v>
      </c>
      <c r="I167">
        <v>1E-14</v>
      </c>
      <c r="J167">
        <v>1E-14</v>
      </c>
      <c r="K167">
        <v>1E-14</v>
      </c>
      <c r="L167">
        <v>1E-14</v>
      </c>
      <c r="M167">
        <v>1E-14</v>
      </c>
      <c r="N167">
        <v>1E-14</v>
      </c>
      <c r="O167">
        <v>1E-14</v>
      </c>
    </row>
    <row r="168" spans="2:15" x14ac:dyDescent="0.25">
      <c r="B168" s="6" t="s">
        <v>27</v>
      </c>
      <c r="C168" s="6" t="s">
        <v>184</v>
      </c>
      <c r="D168">
        <v>833.33333333333337</v>
      </c>
      <c r="E168">
        <v>833.33333333333337</v>
      </c>
      <c r="F168">
        <v>833.33333333333337</v>
      </c>
      <c r="G168">
        <v>833.33333333333337</v>
      </c>
      <c r="H168">
        <v>833.33333333333337</v>
      </c>
      <c r="I168">
        <v>833.33333333333337</v>
      </c>
      <c r="J168">
        <v>833.33333333333337</v>
      </c>
      <c r="K168">
        <v>833.33333333333337</v>
      </c>
      <c r="L168">
        <v>833.33333333333337</v>
      </c>
      <c r="M168">
        <v>833.33333333333337</v>
      </c>
      <c r="N168">
        <v>833.33333333333337</v>
      </c>
      <c r="O168">
        <v>833.33333333333337</v>
      </c>
    </row>
    <row r="169" spans="2:15" x14ac:dyDescent="0.25">
      <c r="B169" s="6" t="s">
        <v>27</v>
      </c>
      <c r="C169" s="6" t="s">
        <v>187</v>
      </c>
      <c r="D169">
        <v>450</v>
      </c>
      <c r="E169">
        <v>450</v>
      </c>
      <c r="F169">
        <v>450</v>
      </c>
      <c r="G169">
        <v>450</v>
      </c>
      <c r="H169">
        <v>450</v>
      </c>
      <c r="I169">
        <v>450</v>
      </c>
      <c r="J169">
        <v>450</v>
      </c>
      <c r="K169">
        <v>450</v>
      </c>
      <c r="L169">
        <v>450</v>
      </c>
      <c r="M169">
        <v>450</v>
      </c>
      <c r="N169">
        <v>450</v>
      </c>
      <c r="O169">
        <v>450</v>
      </c>
    </row>
    <row r="170" spans="2:15" x14ac:dyDescent="0.25">
      <c r="B170" s="6" t="s">
        <v>27</v>
      </c>
      <c r="C170" s="6" t="s">
        <v>212</v>
      </c>
      <c r="D170">
        <v>10.5</v>
      </c>
      <c r="E170">
        <v>10.5</v>
      </c>
      <c r="F170">
        <v>10.5</v>
      </c>
      <c r="G170">
        <v>10.5</v>
      </c>
      <c r="H170">
        <v>10.5</v>
      </c>
      <c r="I170">
        <v>10.5</v>
      </c>
      <c r="J170">
        <v>10.5</v>
      </c>
      <c r="K170">
        <v>10.5</v>
      </c>
      <c r="L170">
        <v>10.5</v>
      </c>
      <c r="M170">
        <v>10.5</v>
      </c>
      <c r="N170">
        <v>10.5</v>
      </c>
      <c r="O170">
        <v>10.5</v>
      </c>
    </row>
    <row r="171" spans="2:15" x14ac:dyDescent="0.25">
      <c r="B171" s="6" t="s">
        <v>27</v>
      </c>
      <c r="C171" s="6" t="s">
        <v>189</v>
      </c>
      <c r="D171">
        <v>37</v>
      </c>
      <c r="E171">
        <v>37</v>
      </c>
      <c r="F171">
        <v>37</v>
      </c>
      <c r="G171">
        <v>37</v>
      </c>
      <c r="H171">
        <v>37</v>
      </c>
      <c r="I171">
        <v>37</v>
      </c>
      <c r="J171">
        <v>37</v>
      </c>
      <c r="K171">
        <v>37</v>
      </c>
      <c r="L171">
        <v>37</v>
      </c>
      <c r="M171">
        <v>37</v>
      </c>
      <c r="N171">
        <v>37</v>
      </c>
      <c r="O171">
        <v>37</v>
      </c>
    </row>
    <row r="172" spans="2:15" x14ac:dyDescent="0.25">
      <c r="B172" s="6" t="s">
        <v>59</v>
      </c>
      <c r="C172" s="6" t="s">
        <v>181</v>
      </c>
      <c r="D172">
        <v>1E-14</v>
      </c>
      <c r="E172">
        <v>1E-14</v>
      </c>
      <c r="F172">
        <v>1E-14</v>
      </c>
      <c r="G172">
        <v>1E-14</v>
      </c>
      <c r="H172">
        <v>1E-14</v>
      </c>
      <c r="I172">
        <v>1E-14</v>
      </c>
      <c r="J172">
        <v>1E-14</v>
      </c>
      <c r="K172">
        <v>1E-14</v>
      </c>
      <c r="L172">
        <v>1E-14</v>
      </c>
      <c r="M172">
        <v>1E-14</v>
      </c>
      <c r="N172">
        <v>1E-14</v>
      </c>
      <c r="O172">
        <v>1E-14</v>
      </c>
    </row>
    <row r="173" spans="2:15" x14ac:dyDescent="0.25">
      <c r="B173" s="6" t="s">
        <v>59</v>
      </c>
      <c r="C173" s="6" t="s">
        <v>182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</row>
    <row r="174" spans="2:15" x14ac:dyDescent="0.25">
      <c r="B174" s="6" t="s">
        <v>59</v>
      </c>
      <c r="C174" s="6" t="s">
        <v>183</v>
      </c>
      <c r="D174">
        <v>1E-14</v>
      </c>
      <c r="E174">
        <v>1E-14</v>
      </c>
      <c r="F174">
        <v>1E-14</v>
      </c>
      <c r="G174">
        <v>1E-14</v>
      </c>
      <c r="H174">
        <v>1E-14</v>
      </c>
      <c r="I174">
        <v>1E-14</v>
      </c>
      <c r="J174">
        <v>1E-14</v>
      </c>
      <c r="K174">
        <v>1E-14</v>
      </c>
      <c r="L174">
        <v>1E-14</v>
      </c>
      <c r="M174">
        <v>1E-14</v>
      </c>
      <c r="N174">
        <v>1E-14</v>
      </c>
      <c r="O174">
        <v>1E-14</v>
      </c>
    </row>
    <row r="175" spans="2:15" x14ac:dyDescent="0.25">
      <c r="B175" s="6" t="s">
        <v>59</v>
      </c>
      <c r="C175" s="6" t="s">
        <v>184</v>
      </c>
      <c r="D175">
        <v>833.33333333333337</v>
      </c>
      <c r="E175">
        <v>833.33333333333337</v>
      </c>
      <c r="F175">
        <v>833.33333333333337</v>
      </c>
      <c r="G175">
        <v>833.33333333333337</v>
      </c>
      <c r="H175">
        <v>833.33333333333337</v>
      </c>
      <c r="I175">
        <v>833.33333333333337</v>
      </c>
      <c r="J175">
        <v>833.33333333333337</v>
      </c>
      <c r="K175">
        <v>833.33333333333337</v>
      </c>
      <c r="L175">
        <v>833.33333333333337</v>
      </c>
      <c r="M175">
        <v>833.33333333333337</v>
      </c>
      <c r="N175">
        <v>833.33333333333337</v>
      </c>
      <c r="O175">
        <v>833.33333333333337</v>
      </c>
    </row>
    <row r="176" spans="2:15" x14ac:dyDescent="0.25">
      <c r="B176" s="6" t="s">
        <v>59</v>
      </c>
      <c r="C176" s="6" t="s">
        <v>187</v>
      </c>
      <c r="D176">
        <v>500</v>
      </c>
      <c r="E176">
        <v>500</v>
      </c>
      <c r="F176">
        <v>500</v>
      </c>
      <c r="G176">
        <v>500</v>
      </c>
      <c r="H176">
        <v>500</v>
      </c>
      <c r="I176">
        <v>500</v>
      </c>
      <c r="J176">
        <v>500</v>
      </c>
      <c r="K176">
        <v>500</v>
      </c>
      <c r="L176">
        <v>500</v>
      </c>
      <c r="M176">
        <v>500</v>
      </c>
      <c r="N176">
        <v>500</v>
      </c>
      <c r="O176">
        <v>500</v>
      </c>
    </row>
    <row r="177" spans="2:15" x14ac:dyDescent="0.25">
      <c r="B177" s="6" t="s">
        <v>59</v>
      </c>
      <c r="C177" s="6" t="s">
        <v>212</v>
      </c>
      <c r="D177">
        <v>9.5</v>
      </c>
      <c r="E177">
        <v>9.5</v>
      </c>
      <c r="F177">
        <v>9.5</v>
      </c>
      <c r="G177">
        <v>9.5</v>
      </c>
      <c r="H177">
        <v>9.5</v>
      </c>
      <c r="I177">
        <v>9.5</v>
      </c>
      <c r="J177">
        <v>9.5</v>
      </c>
      <c r="K177">
        <v>9.5</v>
      </c>
      <c r="L177">
        <v>9.5</v>
      </c>
      <c r="M177">
        <v>9.5</v>
      </c>
      <c r="N177">
        <v>9.5</v>
      </c>
      <c r="O177">
        <v>9.5</v>
      </c>
    </row>
    <row r="178" spans="2:15" x14ac:dyDescent="0.25">
      <c r="B178" s="6" t="s">
        <v>59</v>
      </c>
      <c r="C178" s="6" t="s">
        <v>189</v>
      </c>
      <c r="D178">
        <v>37</v>
      </c>
      <c r="E178">
        <v>37</v>
      </c>
      <c r="F178">
        <v>37</v>
      </c>
      <c r="G178">
        <v>37</v>
      </c>
      <c r="H178">
        <v>37</v>
      </c>
      <c r="I178">
        <v>37</v>
      </c>
      <c r="J178">
        <v>37</v>
      </c>
      <c r="K178">
        <v>37</v>
      </c>
      <c r="L178">
        <v>37</v>
      </c>
      <c r="M178">
        <v>37</v>
      </c>
      <c r="N178">
        <v>37</v>
      </c>
      <c r="O178">
        <v>37</v>
      </c>
    </row>
    <row r="179" spans="2:15" x14ac:dyDescent="0.25">
      <c r="B179" s="6" t="s">
        <v>60</v>
      </c>
      <c r="C179" s="6" t="s">
        <v>181</v>
      </c>
      <c r="D179">
        <v>1E-14</v>
      </c>
      <c r="E179">
        <v>1E-14</v>
      </c>
      <c r="F179">
        <v>1E-14</v>
      </c>
      <c r="G179">
        <v>1E-14</v>
      </c>
      <c r="H179">
        <v>1E-14</v>
      </c>
      <c r="I179">
        <v>1E-14</v>
      </c>
      <c r="J179">
        <v>1E-14</v>
      </c>
      <c r="K179">
        <v>1E-14</v>
      </c>
      <c r="L179">
        <v>1E-14</v>
      </c>
      <c r="M179">
        <v>1E-14</v>
      </c>
      <c r="N179">
        <v>1E-14</v>
      </c>
      <c r="O179">
        <v>1E-14</v>
      </c>
    </row>
    <row r="180" spans="2:15" x14ac:dyDescent="0.25">
      <c r="B180" s="6" t="s">
        <v>60</v>
      </c>
      <c r="C180" s="6" t="s">
        <v>182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</row>
    <row r="181" spans="2:15" x14ac:dyDescent="0.25">
      <c r="B181" s="6" t="s">
        <v>60</v>
      </c>
      <c r="C181" s="6" t="s">
        <v>183</v>
      </c>
      <c r="D181">
        <v>1E-14</v>
      </c>
      <c r="E181">
        <v>1E-14</v>
      </c>
      <c r="F181">
        <v>1E-14</v>
      </c>
      <c r="G181">
        <v>1E-14</v>
      </c>
      <c r="H181">
        <v>1E-14</v>
      </c>
      <c r="I181">
        <v>1E-14</v>
      </c>
      <c r="J181">
        <v>1E-14</v>
      </c>
      <c r="K181">
        <v>1E-14</v>
      </c>
      <c r="L181">
        <v>1E-14</v>
      </c>
      <c r="M181">
        <v>1E-14</v>
      </c>
      <c r="N181">
        <v>1E-14</v>
      </c>
      <c r="O181">
        <v>1E-14</v>
      </c>
    </row>
    <row r="182" spans="2:15" x14ac:dyDescent="0.25">
      <c r="B182" s="6" t="s">
        <v>60</v>
      </c>
      <c r="C182" s="6" t="s">
        <v>184</v>
      </c>
      <c r="D182">
        <v>833.33333333333337</v>
      </c>
      <c r="E182">
        <v>833.33333333333337</v>
      </c>
      <c r="F182">
        <v>833.33333333333337</v>
      </c>
      <c r="G182">
        <v>833.33333333333337</v>
      </c>
      <c r="H182">
        <v>833.33333333333337</v>
      </c>
      <c r="I182">
        <v>833.33333333333337</v>
      </c>
      <c r="J182">
        <v>833.33333333333337</v>
      </c>
      <c r="K182">
        <v>833.33333333333337</v>
      </c>
      <c r="L182">
        <v>833.33333333333337</v>
      </c>
      <c r="M182">
        <v>833.33333333333337</v>
      </c>
      <c r="N182">
        <v>833.33333333333337</v>
      </c>
      <c r="O182">
        <v>833.33333333333337</v>
      </c>
    </row>
    <row r="183" spans="2:15" x14ac:dyDescent="0.25">
      <c r="B183" s="6" t="s">
        <v>60</v>
      </c>
      <c r="C183" s="6" t="s">
        <v>187</v>
      </c>
      <c r="D183">
        <v>550</v>
      </c>
      <c r="E183">
        <v>550</v>
      </c>
      <c r="F183">
        <v>550</v>
      </c>
      <c r="G183">
        <v>550</v>
      </c>
      <c r="H183">
        <v>550</v>
      </c>
      <c r="I183">
        <v>550</v>
      </c>
      <c r="J183">
        <v>550</v>
      </c>
      <c r="K183">
        <v>550</v>
      </c>
      <c r="L183">
        <v>550</v>
      </c>
      <c r="M183">
        <v>550</v>
      </c>
      <c r="N183">
        <v>550</v>
      </c>
      <c r="O183">
        <v>550</v>
      </c>
    </row>
    <row r="184" spans="2:15" x14ac:dyDescent="0.25">
      <c r="B184" s="6" t="s">
        <v>60</v>
      </c>
      <c r="C184" s="6" t="s">
        <v>212</v>
      </c>
      <c r="D184">
        <v>8.5</v>
      </c>
      <c r="E184">
        <v>8.5</v>
      </c>
      <c r="F184">
        <v>8.5</v>
      </c>
      <c r="G184">
        <v>8.5</v>
      </c>
      <c r="H184">
        <v>8.5</v>
      </c>
      <c r="I184">
        <v>8.5</v>
      </c>
      <c r="J184">
        <v>8.5</v>
      </c>
      <c r="K184">
        <v>8.5</v>
      </c>
      <c r="L184">
        <v>8.5</v>
      </c>
      <c r="M184">
        <v>8.5</v>
      </c>
      <c r="N184">
        <v>8.5</v>
      </c>
      <c r="O184">
        <v>8.5</v>
      </c>
    </row>
    <row r="185" spans="2:15" x14ac:dyDescent="0.25">
      <c r="B185" s="6" t="s">
        <v>60</v>
      </c>
      <c r="C185" s="6" t="s">
        <v>189</v>
      </c>
      <c r="D185">
        <v>37</v>
      </c>
      <c r="E185">
        <v>37</v>
      </c>
      <c r="F185">
        <v>37</v>
      </c>
      <c r="G185">
        <v>37</v>
      </c>
      <c r="H185">
        <v>37</v>
      </c>
      <c r="I185">
        <v>37</v>
      </c>
      <c r="J185">
        <v>37</v>
      </c>
      <c r="K185">
        <v>37</v>
      </c>
      <c r="L185">
        <v>37</v>
      </c>
      <c r="M185">
        <v>37</v>
      </c>
      <c r="N185">
        <v>37</v>
      </c>
      <c r="O185">
        <v>37</v>
      </c>
    </row>
    <row r="186" spans="2:15" x14ac:dyDescent="0.25">
      <c r="B186" s="6" t="s">
        <v>61</v>
      </c>
      <c r="C186" s="6" t="s">
        <v>181</v>
      </c>
      <c r="D186">
        <v>1E-14</v>
      </c>
      <c r="E186">
        <v>1E-14</v>
      </c>
      <c r="F186">
        <v>1E-14</v>
      </c>
      <c r="G186">
        <v>1E-14</v>
      </c>
      <c r="H186">
        <v>1E-14</v>
      </c>
      <c r="I186">
        <v>1E-14</v>
      </c>
      <c r="J186">
        <v>1E-14</v>
      </c>
      <c r="K186">
        <v>1E-14</v>
      </c>
      <c r="L186">
        <v>1E-14</v>
      </c>
      <c r="M186">
        <v>1E-14</v>
      </c>
      <c r="N186">
        <v>1E-14</v>
      </c>
      <c r="O186">
        <v>1E-14</v>
      </c>
    </row>
    <row r="187" spans="2:15" x14ac:dyDescent="0.25">
      <c r="B187" s="6" t="s">
        <v>61</v>
      </c>
      <c r="C187" s="6" t="s">
        <v>182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</row>
    <row r="188" spans="2:15" x14ac:dyDescent="0.25">
      <c r="B188" s="6" t="s">
        <v>61</v>
      </c>
      <c r="C188" s="6" t="s">
        <v>183</v>
      </c>
      <c r="D188">
        <v>1E-14</v>
      </c>
      <c r="E188">
        <v>1E-14</v>
      </c>
      <c r="F188">
        <v>1E-14</v>
      </c>
      <c r="G188">
        <v>1E-14</v>
      </c>
      <c r="H188">
        <v>1E-14</v>
      </c>
      <c r="I188">
        <v>1E-14</v>
      </c>
      <c r="J188">
        <v>1E-14</v>
      </c>
      <c r="K188">
        <v>1E-14</v>
      </c>
      <c r="L188">
        <v>1E-14</v>
      </c>
      <c r="M188">
        <v>1E-14</v>
      </c>
      <c r="N188">
        <v>1E-14</v>
      </c>
      <c r="O188">
        <v>1E-14</v>
      </c>
    </row>
    <row r="189" spans="2:15" x14ac:dyDescent="0.25">
      <c r="B189" s="6" t="s">
        <v>61</v>
      </c>
      <c r="C189" s="6" t="s">
        <v>184</v>
      </c>
      <c r="D189">
        <v>833.33333333333337</v>
      </c>
      <c r="E189">
        <v>833.33333333333337</v>
      </c>
      <c r="F189">
        <v>833.33333333333337</v>
      </c>
      <c r="G189">
        <v>833.33333333333337</v>
      </c>
      <c r="H189">
        <v>833.33333333333337</v>
      </c>
      <c r="I189">
        <v>833.33333333333337</v>
      </c>
      <c r="J189">
        <v>833.33333333333337</v>
      </c>
      <c r="K189">
        <v>833.33333333333337</v>
      </c>
      <c r="L189">
        <v>833.33333333333337</v>
      </c>
      <c r="M189">
        <v>833.33333333333337</v>
      </c>
      <c r="N189">
        <v>833.33333333333337</v>
      </c>
      <c r="O189">
        <v>833.33333333333337</v>
      </c>
    </row>
    <row r="190" spans="2:15" x14ac:dyDescent="0.25">
      <c r="B190" s="6" t="s">
        <v>61</v>
      </c>
      <c r="C190" s="6" t="s">
        <v>187</v>
      </c>
      <c r="D190">
        <v>600</v>
      </c>
      <c r="E190">
        <v>600</v>
      </c>
      <c r="F190">
        <v>600</v>
      </c>
      <c r="G190">
        <v>600</v>
      </c>
      <c r="H190">
        <v>600</v>
      </c>
      <c r="I190">
        <v>600</v>
      </c>
      <c r="J190">
        <v>600</v>
      </c>
      <c r="K190">
        <v>600</v>
      </c>
      <c r="L190">
        <v>600</v>
      </c>
      <c r="M190">
        <v>600</v>
      </c>
      <c r="N190">
        <v>600</v>
      </c>
      <c r="O190">
        <v>600</v>
      </c>
    </row>
    <row r="191" spans="2:15" x14ac:dyDescent="0.25">
      <c r="B191" s="6" t="s">
        <v>61</v>
      </c>
      <c r="C191" s="6" t="s">
        <v>212</v>
      </c>
      <c r="D191">
        <v>7.5</v>
      </c>
      <c r="E191">
        <v>7.5</v>
      </c>
      <c r="F191">
        <v>7.5</v>
      </c>
      <c r="G191">
        <v>7.5</v>
      </c>
      <c r="H191">
        <v>7.5</v>
      </c>
      <c r="I191">
        <v>7.5</v>
      </c>
      <c r="J191">
        <v>7.5</v>
      </c>
      <c r="K191">
        <v>7.5</v>
      </c>
      <c r="L191">
        <v>7.5</v>
      </c>
      <c r="M191">
        <v>7.5</v>
      </c>
      <c r="N191">
        <v>7.5</v>
      </c>
      <c r="O191">
        <v>7.5</v>
      </c>
    </row>
    <row r="192" spans="2:15" x14ac:dyDescent="0.25">
      <c r="B192" s="6" t="s">
        <v>61</v>
      </c>
      <c r="C192" s="6" t="s">
        <v>189</v>
      </c>
      <c r="D192">
        <v>37</v>
      </c>
      <c r="E192">
        <v>37</v>
      </c>
      <c r="F192">
        <v>37</v>
      </c>
      <c r="G192">
        <v>37</v>
      </c>
      <c r="H192">
        <v>37</v>
      </c>
      <c r="I192">
        <v>37</v>
      </c>
      <c r="J192">
        <v>37</v>
      </c>
      <c r="K192">
        <v>37</v>
      </c>
      <c r="L192">
        <v>37</v>
      </c>
      <c r="M192">
        <v>37</v>
      </c>
      <c r="N192">
        <v>37</v>
      </c>
      <c r="O192">
        <v>37</v>
      </c>
    </row>
    <row r="193" spans="2:15" x14ac:dyDescent="0.25">
      <c r="B193" s="6" t="s">
        <v>21</v>
      </c>
      <c r="C193" s="6" t="s">
        <v>181</v>
      </c>
      <c r="D193">
        <v>1E-14</v>
      </c>
      <c r="E193">
        <v>1E-14</v>
      </c>
      <c r="F193">
        <v>1E-14</v>
      </c>
      <c r="G193">
        <v>1E-14</v>
      </c>
      <c r="H193">
        <v>1E-14</v>
      </c>
      <c r="I193">
        <v>1E-14</v>
      </c>
      <c r="J193">
        <v>1E-14</v>
      </c>
      <c r="K193">
        <v>1E-14</v>
      </c>
      <c r="L193">
        <v>1E-14</v>
      </c>
      <c r="M193">
        <v>1E-14</v>
      </c>
      <c r="N193">
        <v>1E-14</v>
      </c>
      <c r="O193">
        <v>1E-14</v>
      </c>
    </row>
    <row r="194" spans="2:15" x14ac:dyDescent="0.25">
      <c r="B194" s="6" t="s">
        <v>21</v>
      </c>
      <c r="C194" s="6" t="s">
        <v>182</v>
      </c>
      <c r="D194">
        <v>1E-14</v>
      </c>
      <c r="E194">
        <v>1E-14</v>
      </c>
      <c r="F194">
        <v>1E-14</v>
      </c>
      <c r="G194">
        <v>1E-14</v>
      </c>
      <c r="H194">
        <v>1E-14</v>
      </c>
      <c r="I194">
        <v>1E-14</v>
      </c>
      <c r="J194">
        <v>1E-14</v>
      </c>
      <c r="K194">
        <v>1E-14</v>
      </c>
      <c r="L194">
        <v>1E-14</v>
      </c>
      <c r="M194">
        <v>1E-14</v>
      </c>
      <c r="N194">
        <v>1E-14</v>
      </c>
      <c r="O194">
        <v>1E-14</v>
      </c>
    </row>
    <row r="195" spans="2:15" x14ac:dyDescent="0.25">
      <c r="B195" s="6" t="s">
        <v>21</v>
      </c>
      <c r="C195" s="6" t="s">
        <v>183</v>
      </c>
      <c r="D195">
        <v>1E-14</v>
      </c>
      <c r="E195">
        <v>1E-14</v>
      </c>
      <c r="F195">
        <v>1E-14</v>
      </c>
      <c r="G195">
        <v>1E-14</v>
      </c>
      <c r="H195">
        <v>1E-14</v>
      </c>
      <c r="I195">
        <v>1E-14</v>
      </c>
      <c r="J195">
        <v>1E-14</v>
      </c>
      <c r="K195">
        <v>1E-14</v>
      </c>
      <c r="L195">
        <v>1E-14</v>
      </c>
      <c r="M195">
        <v>1E-14</v>
      </c>
      <c r="N195">
        <v>1E-14</v>
      </c>
      <c r="O195">
        <v>1E-14</v>
      </c>
    </row>
    <row r="196" spans="2:15" x14ac:dyDescent="0.25">
      <c r="B196" s="6" t="s">
        <v>21</v>
      </c>
      <c r="C196" s="6" t="s">
        <v>184</v>
      </c>
      <c r="D196">
        <v>1E-14</v>
      </c>
      <c r="E196">
        <v>1E-14</v>
      </c>
      <c r="F196">
        <v>1E-14</v>
      </c>
      <c r="G196">
        <v>1E-14</v>
      </c>
      <c r="H196">
        <v>1E-14</v>
      </c>
      <c r="I196">
        <v>1E-14</v>
      </c>
      <c r="J196">
        <v>1E-14</v>
      </c>
      <c r="K196">
        <v>1E-14</v>
      </c>
      <c r="L196">
        <v>1E-14</v>
      </c>
      <c r="M196">
        <v>1E-14</v>
      </c>
      <c r="N196">
        <v>1E-14</v>
      </c>
      <c r="O196">
        <v>1E-14</v>
      </c>
    </row>
    <row r="197" spans="2:15" x14ac:dyDescent="0.25">
      <c r="B197" s="6" t="s">
        <v>21</v>
      </c>
      <c r="C197" s="6" t="s">
        <v>187</v>
      </c>
      <c r="D197">
        <v>-470</v>
      </c>
      <c r="E197">
        <v>-470</v>
      </c>
      <c r="F197">
        <v>-470</v>
      </c>
      <c r="G197">
        <v>-470</v>
      </c>
      <c r="H197">
        <v>-470</v>
      </c>
      <c r="I197">
        <v>-470</v>
      </c>
      <c r="J197">
        <v>-470</v>
      </c>
      <c r="K197">
        <v>-470</v>
      </c>
      <c r="L197">
        <v>-470</v>
      </c>
      <c r="M197">
        <v>-470</v>
      </c>
      <c r="N197">
        <v>-470</v>
      </c>
      <c r="O197">
        <v>-470</v>
      </c>
    </row>
    <row r="198" spans="2:15" x14ac:dyDescent="0.25">
      <c r="B198" s="6" t="s">
        <v>21</v>
      </c>
      <c r="C198" s="6" t="s">
        <v>212</v>
      </c>
      <c r="D198">
        <v>9.4</v>
      </c>
      <c r="E198">
        <v>9.4</v>
      </c>
      <c r="F198">
        <v>9.4</v>
      </c>
      <c r="G198">
        <v>9.4</v>
      </c>
      <c r="H198">
        <v>9.4</v>
      </c>
      <c r="I198">
        <v>9.4</v>
      </c>
      <c r="J198">
        <v>9.4</v>
      </c>
      <c r="K198">
        <v>9.4</v>
      </c>
      <c r="L198">
        <v>9.4</v>
      </c>
      <c r="M198">
        <v>9.4</v>
      </c>
      <c r="N198">
        <v>9.4</v>
      </c>
      <c r="O198">
        <v>9.4</v>
      </c>
    </row>
    <row r="199" spans="2:15" x14ac:dyDescent="0.25">
      <c r="B199" s="6" t="s">
        <v>21</v>
      </c>
      <c r="C199" s="6" t="s">
        <v>189</v>
      </c>
      <c r="D199">
        <v>1E-14</v>
      </c>
      <c r="E199">
        <v>1E-14</v>
      </c>
      <c r="F199">
        <v>1E-14</v>
      </c>
      <c r="G199">
        <v>1E-14</v>
      </c>
      <c r="H199">
        <v>1E-14</v>
      </c>
      <c r="I199">
        <v>1E-14</v>
      </c>
      <c r="J199">
        <v>1E-14</v>
      </c>
      <c r="K199">
        <v>1E-14</v>
      </c>
      <c r="L199">
        <v>1E-14</v>
      </c>
      <c r="M199">
        <v>1E-14</v>
      </c>
      <c r="N199">
        <v>1E-14</v>
      </c>
      <c r="O199">
        <v>1E-14</v>
      </c>
    </row>
    <row r="200" spans="2:15" x14ac:dyDescent="0.25">
      <c r="B200" s="6" t="s">
        <v>22</v>
      </c>
      <c r="C200" s="6" t="s">
        <v>181</v>
      </c>
      <c r="D200">
        <v>1E-14</v>
      </c>
      <c r="E200">
        <v>1E-14</v>
      </c>
      <c r="F200">
        <v>1E-14</v>
      </c>
      <c r="G200">
        <v>1E-14</v>
      </c>
      <c r="H200">
        <v>1E-14</v>
      </c>
      <c r="I200">
        <v>1E-14</v>
      </c>
      <c r="J200">
        <v>1E-14</v>
      </c>
      <c r="K200">
        <v>1E-14</v>
      </c>
      <c r="L200">
        <v>1E-14</v>
      </c>
      <c r="M200">
        <v>1E-14</v>
      </c>
      <c r="N200">
        <v>1E-14</v>
      </c>
      <c r="O200">
        <v>1E-14</v>
      </c>
    </row>
    <row r="201" spans="2:15" x14ac:dyDescent="0.25">
      <c r="B201" s="6" t="s">
        <v>22</v>
      </c>
      <c r="C201" s="6" t="s">
        <v>182</v>
      </c>
      <c r="D201">
        <v>1E-14</v>
      </c>
      <c r="E201">
        <v>1E-14</v>
      </c>
      <c r="F201">
        <v>1E-14</v>
      </c>
      <c r="G201">
        <v>1E-14</v>
      </c>
      <c r="H201">
        <v>1E-14</v>
      </c>
      <c r="I201">
        <v>1E-14</v>
      </c>
      <c r="J201">
        <v>1E-14</v>
      </c>
      <c r="K201">
        <v>1E-14</v>
      </c>
      <c r="L201">
        <v>1E-14</v>
      </c>
      <c r="M201">
        <v>1E-14</v>
      </c>
      <c r="N201">
        <v>1E-14</v>
      </c>
      <c r="O201">
        <v>1E-14</v>
      </c>
    </row>
    <row r="202" spans="2:15" x14ac:dyDescent="0.25">
      <c r="B202" s="6" t="s">
        <v>22</v>
      </c>
      <c r="C202" s="6" t="s">
        <v>183</v>
      </c>
      <c r="D202">
        <v>1E-14</v>
      </c>
      <c r="E202">
        <v>1E-14</v>
      </c>
      <c r="F202">
        <v>1E-14</v>
      </c>
      <c r="G202">
        <v>1E-14</v>
      </c>
      <c r="H202">
        <v>1E-14</v>
      </c>
      <c r="I202">
        <v>1E-14</v>
      </c>
      <c r="J202">
        <v>1E-14</v>
      </c>
      <c r="K202">
        <v>1E-14</v>
      </c>
      <c r="L202">
        <v>1E-14</v>
      </c>
      <c r="M202">
        <v>1E-14</v>
      </c>
      <c r="N202">
        <v>1E-14</v>
      </c>
      <c r="O202">
        <v>1E-14</v>
      </c>
    </row>
    <row r="203" spans="2:15" x14ac:dyDescent="0.25">
      <c r="B203" s="6" t="s">
        <v>22</v>
      </c>
      <c r="C203" s="6" t="s">
        <v>184</v>
      </c>
      <c r="D203">
        <v>20.833333333333332</v>
      </c>
      <c r="E203">
        <v>1E-14</v>
      </c>
      <c r="F203">
        <v>1E-14</v>
      </c>
      <c r="G203">
        <v>1E-14</v>
      </c>
      <c r="H203">
        <v>1E-14</v>
      </c>
      <c r="I203">
        <v>1E-14</v>
      </c>
      <c r="J203">
        <v>1E-14</v>
      </c>
      <c r="K203">
        <v>1E-14</v>
      </c>
      <c r="L203">
        <v>1E-14</v>
      </c>
      <c r="M203">
        <v>1E-14</v>
      </c>
      <c r="N203">
        <v>1E-14</v>
      </c>
      <c r="O203">
        <v>29.166666666666668</v>
      </c>
    </row>
    <row r="204" spans="2:15" x14ac:dyDescent="0.25">
      <c r="B204" s="6" t="s">
        <v>22</v>
      </c>
      <c r="C204" s="6" t="s">
        <v>187</v>
      </c>
      <c r="D204">
        <v>-189</v>
      </c>
      <c r="E204">
        <v>-189</v>
      </c>
      <c r="F204">
        <v>-189</v>
      </c>
      <c r="G204">
        <v>-189</v>
      </c>
      <c r="H204">
        <v>-189</v>
      </c>
      <c r="I204">
        <v>-189</v>
      </c>
      <c r="J204">
        <v>-189</v>
      </c>
      <c r="K204">
        <v>-189</v>
      </c>
      <c r="L204">
        <v>-189</v>
      </c>
      <c r="M204">
        <v>-189</v>
      </c>
      <c r="N204">
        <v>-189</v>
      </c>
      <c r="O204">
        <v>-189</v>
      </c>
    </row>
    <row r="205" spans="2:15" x14ac:dyDescent="0.25">
      <c r="B205" s="6" t="s">
        <v>22</v>
      </c>
      <c r="C205" s="6" t="s">
        <v>212</v>
      </c>
      <c r="D205">
        <v>3.6</v>
      </c>
      <c r="E205">
        <v>3.6</v>
      </c>
      <c r="F205">
        <v>3.6</v>
      </c>
      <c r="G205">
        <v>3.6</v>
      </c>
      <c r="H205">
        <v>3.6</v>
      </c>
      <c r="I205">
        <v>3.6</v>
      </c>
      <c r="J205">
        <v>3.6</v>
      </c>
      <c r="K205">
        <v>3.6</v>
      </c>
      <c r="L205">
        <v>3.6</v>
      </c>
      <c r="M205">
        <v>3.6</v>
      </c>
      <c r="N205">
        <v>3.6</v>
      </c>
      <c r="O205">
        <v>3.6</v>
      </c>
    </row>
    <row r="206" spans="2:15" x14ac:dyDescent="0.25">
      <c r="B206" s="6" t="s">
        <v>22</v>
      </c>
      <c r="C206" s="6" t="s">
        <v>189</v>
      </c>
      <c r="D206">
        <v>1E-14</v>
      </c>
      <c r="E206">
        <v>1E-14</v>
      </c>
      <c r="F206">
        <v>1E-14</v>
      </c>
      <c r="G206">
        <v>1E-14</v>
      </c>
      <c r="H206">
        <v>1E-14</v>
      </c>
      <c r="I206">
        <v>1E-14</v>
      </c>
      <c r="J206">
        <v>1E-14</v>
      </c>
      <c r="K206">
        <v>1E-14</v>
      </c>
      <c r="L206">
        <v>1E-14</v>
      </c>
      <c r="M206">
        <v>1E-14</v>
      </c>
      <c r="N206">
        <v>1E-14</v>
      </c>
      <c r="O206">
        <v>1E-14</v>
      </c>
    </row>
    <row r="207" spans="2:15" x14ac:dyDescent="0.25">
      <c r="B207" s="6" t="s">
        <v>25</v>
      </c>
      <c r="C207" s="6" t="s">
        <v>181</v>
      </c>
      <c r="D207">
        <v>1E-14</v>
      </c>
      <c r="E207">
        <v>1E-14</v>
      </c>
      <c r="F207">
        <v>1E-14</v>
      </c>
      <c r="G207">
        <v>1E-14</v>
      </c>
      <c r="H207">
        <v>1E-14</v>
      </c>
      <c r="I207">
        <v>1E-14</v>
      </c>
      <c r="J207">
        <v>1E-14</v>
      </c>
      <c r="K207">
        <v>1E-14</v>
      </c>
      <c r="L207">
        <v>1E-14</v>
      </c>
      <c r="M207">
        <v>1E-14</v>
      </c>
      <c r="N207">
        <v>1E-14</v>
      </c>
      <c r="O207">
        <v>1E-14</v>
      </c>
    </row>
    <row r="208" spans="2:15" x14ac:dyDescent="0.25">
      <c r="B208" s="6" t="s">
        <v>25</v>
      </c>
      <c r="C208" s="6" t="s">
        <v>182</v>
      </c>
      <c r="D208">
        <v>1E-14</v>
      </c>
      <c r="E208">
        <v>1E-14</v>
      </c>
      <c r="F208">
        <v>1E-14</v>
      </c>
      <c r="G208">
        <v>1E-14</v>
      </c>
      <c r="H208">
        <v>1E-14</v>
      </c>
      <c r="I208">
        <v>1E-14</v>
      </c>
      <c r="J208">
        <v>1E-14</v>
      </c>
      <c r="K208">
        <v>1E-14</v>
      </c>
      <c r="L208">
        <v>1E-14</v>
      </c>
      <c r="M208">
        <v>1E-14</v>
      </c>
      <c r="N208">
        <v>1E-14</v>
      </c>
      <c r="O208">
        <v>1E-14</v>
      </c>
    </row>
    <row r="209" spans="2:15" x14ac:dyDescent="0.25">
      <c r="B209" s="6" t="s">
        <v>25</v>
      </c>
      <c r="C209" s="6" t="s">
        <v>183</v>
      </c>
      <c r="D209">
        <v>1E-14</v>
      </c>
      <c r="E209">
        <v>1E-14</v>
      </c>
      <c r="F209">
        <v>1E-14</v>
      </c>
      <c r="G209">
        <v>1E-14</v>
      </c>
      <c r="H209">
        <v>1E-14</v>
      </c>
      <c r="I209">
        <v>1E-14</v>
      </c>
      <c r="J209">
        <v>1E-14</v>
      </c>
      <c r="K209">
        <v>1E-14</v>
      </c>
      <c r="L209">
        <v>1E-14</v>
      </c>
      <c r="M209">
        <v>1E-14</v>
      </c>
      <c r="N209">
        <v>1E-14</v>
      </c>
      <c r="O209">
        <v>1E-14</v>
      </c>
    </row>
    <row r="210" spans="2:15" x14ac:dyDescent="0.25">
      <c r="B210" s="6" t="s">
        <v>25</v>
      </c>
      <c r="C210" s="6" t="s">
        <v>184</v>
      </c>
      <c r="D210">
        <v>20000</v>
      </c>
      <c r="E210">
        <v>20000</v>
      </c>
      <c r="F210">
        <v>20000</v>
      </c>
      <c r="G210">
        <v>20000</v>
      </c>
      <c r="H210">
        <v>20000</v>
      </c>
      <c r="I210">
        <v>20000</v>
      </c>
      <c r="J210">
        <v>20000</v>
      </c>
      <c r="K210">
        <v>20000</v>
      </c>
      <c r="L210">
        <v>20000</v>
      </c>
      <c r="M210">
        <v>20000</v>
      </c>
      <c r="N210">
        <v>20000</v>
      </c>
      <c r="O210">
        <v>20000</v>
      </c>
    </row>
    <row r="211" spans="2:15" x14ac:dyDescent="0.25">
      <c r="B211" s="6" t="s">
        <v>25</v>
      </c>
      <c r="C211" s="6" t="s">
        <v>187</v>
      </c>
      <c r="D211">
        <v>-5000</v>
      </c>
      <c r="E211">
        <v>-5000</v>
      </c>
      <c r="F211">
        <v>-5000</v>
      </c>
      <c r="G211">
        <v>-5000</v>
      </c>
      <c r="H211">
        <v>-5000</v>
      </c>
      <c r="I211">
        <v>-5000</v>
      </c>
      <c r="J211">
        <v>-5000</v>
      </c>
      <c r="K211">
        <v>-5000</v>
      </c>
      <c r="L211">
        <v>-5000</v>
      </c>
      <c r="M211">
        <v>-5000</v>
      </c>
      <c r="N211">
        <v>-5000</v>
      </c>
      <c r="O211">
        <v>-5000</v>
      </c>
    </row>
    <row r="212" spans="2:15" x14ac:dyDescent="0.25">
      <c r="B212" s="6" t="s">
        <v>25</v>
      </c>
      <c r="C212" s="6" t="s">
        <v>212</v>
      </c>
      <c r="D212">
        <v>44</v>
      </c>
      <c r="E212">
        <v>44</v>
      </c>
      <c r="F212">
        <v>44</v>
      </c>
      <c r="G212">
        <v>44</v>
      </c>
      <c r="H212">
        <v>44</v>
      </c>
      <c r="I212">
        <v>44</v>
      </c>
      <c r="J212">
        <v>44</v>
      </c>
      <c r="K212">
        <v>44</v>
      </c>
      <c r="L212">
        <v>44</v>
      </c>
      <c r="M212">
        <v>44</v>
      </c>
      <c r="N212">
        <v>44</v>
      </c>
      <c r="O212">
        <v>44</v>
      </c>
    </row>
    <row r="213" spans="2:15" x14ac:dyDescent="0.25">
      <c r="B213" s="6" t="s">
        <v>25</v>
      </c>
      <c r="C213" s="6" t="s">
        <v>189</v>
      </c>
      <c r="D213">
        <v>72.727272727272734</v>
      </c>
      <c r="E213">
        <v>72.727272727272734</v>
      </c>
      <c r="F213">
        <v>72.727272727272734</v>
      </c>
      <c r="G213">
        <v>72.727272727272734</v>
      </c>
      <c r="H213">
        <v>72.727272727272734</v>
      </c>
      <c r="I213">
        <v>72.727272727272734</v>
      </c>
      <c r="J213">
        <v>72.727272727272734</v>
      </c>
      <c r="K213">
        <v>72.727272727272734</v>
      </c>
      <c r="L213">
        <v>72.727272727272734</v>
      </c>
      <c r="M213">
        <v>72.727272727272734</v>
      </c>
      <c r="N213">
        <v>72.727272727272734</v>
      </c>
      <c r="O213">
        <v>72.727272727272734</v>
      </c>
    </row>
    <row r="214" spans="2:15" x14ac:dyDescent="0.25">
      <c r="B214" s="6"/>
      <c r="C214" s="6"/>
    </row>
    <row r="215" spans="2:15" x14ac:dyDescent="0.25">
      <c r="B215" s="6"/>
      <c r="C215" s="6"/>
    </row>
    <row r="216" spans="2:15" x14ac:dyDescent="0.25">
      <c r="B216" s="6"/>
      <c r="C216" s="6"/>
    </row>
    <row r="217" spans="2:15" x14ac:dyDescent="0.25">
      <c r="B217" s="6"/>
      <c r="C217" s="6"/>
    </row>
    <row r="218" spans="2:15" x14ac:dyDescent="0.25">
      <c r="B218" s="6"/>
      <c r="C218" s="6"/>
    </row>
    <row r="219" spans="2:15" x14ac:dyDescent="0.25">
      <c r="B219" s="6"/>
      <c r="C219" s="6"/>
    </row>
    <row r="220" spans="2:15" x14ac:dyDescent="0.25">
      <c r="B220" s="6"/>
      <c r="C220" s="6"/>
    </row>
    <row r="221" spans="2:15" x14ac:dyDescent="0.25">
      <c r="B221" s="6"/>
      <c r="C221" s="6"/>
    </row>
    <row r="222" spans="2:15" x14ac:dyDescent="0.25">
      <c r="B222" s="6"/>
      <c r="C222" s="6"/>
    </row>
    <row r="223" spans="2:15" x14ac:dyDescent="0.25">
      <c r="B223" s="6"/>
      <c r="C223" s="6"/>
    </row>
    <row r="224" spans="2:15" x14ac:dyDescent="0.25">
      <c r="B224" s="6"/>
      <c r="C224" s="6"/>
    </row>
    <row r="225" spans="2:3" x14ac:dyDescent="0.25">
      <c r="B225" s="6"/>
      <c r="C225" s="6"/>
    </row>
    <row r="226" spans="2:3" x14ac:dyDescent="0.25">
      <c r="B226" s="6"/>
      <c r="C226" s="6"/>
    </row>
    <row r="227" spans="2:3" x14ac:dyDescent="0.25">
      <c r="B227" s="6"/>
      <c r="C227" s="6"/>
    </row>
    <row r="228" spans="2:3" x14ac:dyDescent="0.25">
      <c r="B228" s="6"/>
      <c r="C228" s="6"/>
    </row>
    <row r="229" spans="2:3" x14ac:dyDescent="0.25">
      <c r="B229" s="6"/>
      <c r="C229" s="6"/>
    </row>
    <row r="230" spans="2:3" x14ac:dyDescent="0.25">
      <c r="B230" s="6"/>
      <c r="C230" s="6"/>
    </row>
    <row r="231" spans="2:3" x14ac:dyDescent="0.25">
      <c r="B231" s="6"/>
      <c r="C231" s="6"/>
    </row>
    <row r="232" spans="2:3" x14ac:dyDescent="0.25">
      <c r="B232" s="6"/>
      <c r="C232" s="6"/>
    </row>
    <row r="233" spans="2:3" x14ac:dyDescent="0.25">
      <c r="B233" s="6"/>
      <c r="C233" s="6"/>
    </row>
    <row r="234" spans="2:3" x14ac:dyDescent="0.25">
      <c r="B234" s="6"/>
      <c r="C234" s="6"/>
    </row>
    <row r="235" spans="2:3" x14ac:dyDescent="0.25">
      <c r="B235" s="6"/>
      <c r="C235" s="6"/>
    </row>
    <row r="236" spans="2:3" x14ac:dyDescent="0.25">
      <c r="B236" s="6"/>
      <c r="C236" s="6"/>
    </row>
    <row r="237" spans="2:3" x14ac:dyDescent="0.25">
      <c r="B237" s="6"/>
      <c r="C237" s="6"/>
    </row>
    <row r="238" spans="2:3" x14ac:dyDescent="0.25">
      <c r="B238" s="6"/>
      <c r="C238" s="6"/>
    </row>
    <row r="239" spans="2:3" x14ac:dyDescent="0.25">
      <c r="B239" s="6"/>
      <c r="C239" s="6"/>
    </row>
    <row r="240" spans="2:3" x14ac:dyDescent="0.25">
      <c r="B240" s="6"/>
      <c r="C240" s="6"/>
    </row>
    <row r="241" spans="2:3" x14ac:dyDescent="0.25">
      <c r="B241" s="6"/>
      <c r="C241" s="6"/>
    </row>
    <row r="242" spans="2:3" x14ac:dyDescent="0.25">
      <c r="B242" s="6"/>
      <c r="C242" s="6"/>
    </row>
    <row r="243" spans="2:3" x14ac:dyDescent="0.25">
      <c r="B243" s="6"/>
      <c r="C243" s="6"/>
    </row>
    <row r="244" spans="2:3" x14ac:dyDescent="0.25">
      <c r="B244" s="6"/>
      <c r="C244" s="6"/>
    </row>
    <row r="245" spans="2:3" x14ac:dyDescent="0.25">
      <c r="B245" s="6"/>
      <c r="C245" s="6"/>
    </row>
    <row r="246" spans="2:3" x14ac:dyDescent="0.25">
      <c r="B246" s="6"/>
      <c r="C246" s="6"/>
    </row>
    <row r="247" spans="2:3" x14ac:dyDescent="0.25">
      <c r="B247" s="6"/>
      <c r="C247" s="6"/>
    </row>
    <row r="248" spans="2:3" x14ac:dyDescent="0.25">
      <c r="B248" s="6"/>
      <c r="C248" s="6"/>
    </row>
    <row r="249" spans="2:3" x14ac:dyDescent="0.25">
      <c r="B249" s="6"/>
      <c r="C249" s="6"/>
    </row>
    <row r="250" spans="2:3" x14ac:dyDescent="0.25">
      <c r="B250" s="6"/>
      <c r="C250" s="6"/>
    </row>
    <row r="251" spans="2:3" x14ac:dyDescent="0.25">
      <c r="B251" s="6"/>
      <c r="C251" s="6"/>
    </row>
    <row r="252" spans="2:3" x14ac:dyDescent="0.25">
      <c r="B252" s="6"/>
      <c r="C252" s="6"/>
    </row>
    <row r="253" spans="2:3" x14ac:dyDescent="0.25">
      <c r="B253" s="6"/>
      <c r="C253" s="6"/>
    </row>
    <row r="254" spans="2:3" x14ac:dyDescent="0.25">
      <c r="B254" s="6"/>
      <c r="C254" s="6"/>
    </row>
    <row r="255" spans="2:3" x14ac:dyDescent="0.25">
      <c r="B255" s="6"/>
      <c r="C255" s="6"/>
    </row>
    <row r="256" spans="2:3" x14ac:dyDescent="0.25">
      <c r="B256" s="6"/>
      <c r="C256" s="6"/>
    </row>
    <row r="257" spans="2:3" x14ac:dyDescent="0.25">
      <c r="B257" s="6"/>
      <c r="C257" s="6"/>
    </row>
    <row r="258" spans="2:3" x14ac:dyDescent="0.25">
      <c r="B258" s="6"/>
      <c r="C258" s="6"/>
    </row>
    <row r="259" spans="2:3" x14ac:dyDescent="0.25">
      <c r="B259" s="6"/>
      <c r="C259" s="6"/>
    </row>
    <row r="260" spans="2:3" x14ac:dyDescent="0.25">
      <c r="B260" s="6"/>
      <c r="C260" s="6"/>
    </row>
    <row r="261" spans="2:3" x14ac:dyDescent="0.25">
      <c r="B261" s="6"/>
      <c r="C261" s="6"/>
    </row>
    <row r="262" spans="2:3" x14ac:dyDescent="0.25">
      <c r="B262" s="6"/>
      <c r="C262" s="6"/>
    </row>
    <row r="263" spans="2:3" x14ac:dyDescent="0.25">
      <c r="B263" s="6"/>
      <c r="C263" s="6"/>
    </row>
    <row r="264" spans="2:3" x14ac:dyDescent="0.25">
      <c r="B264" s="6"/>
      <c r="C264" s="6"/>
    </row>
    <row r="265" spans="2:3" x14ac:dyDescent="0.25">
      <c r="B265" s="6"/>
      <c r="C265" s="6"/>
    </row>
    <row r="266" spans="2:3" x14ac:dyDescent="0.25">
      <c r="B266" s="6"/>
      <c r="C266" s="6"/>
    </row>
    <row r="267" spans="2:3" x14ac:dyDescent="0.25">
      <c r="B267" s="6"/>
      <c r="C267" s="6"/>
    </row>
    <row r="268" spans="2:3" x14ac:dyDescent="0.25">
      <c r="B268" s="6"/>
      <c r="C268" s="6"/>
    </row>
    <row r="269" spans="2:3" x14ac:dyDescent="0.25">
      <c r="B269" s="6"/>
      <c r="C269" s="6"/>
    </row>
    <row r="270" spans="2:3" x14ac:dyDescent="0.25">
      <c r="B270" s="6"/>
      <c r="C270" s="6"/>
    </row>
    <row r="271" spans="2:3" x14ac:dyDescent="0.25">
      <c r="B271" s="6"/>
      <c r="C271" s="6"/>
    </row>
    <row r="272" spans="2:3" x14ac:dyDescent="0.25">
      <c r="B272" s="6"/>
      <c r="C272" s="6"/>
    </row>
    <row r="273" spans="2:3" x14ac:dyDescent="0.25">
      <c r="B273" s="6"/>
      <c r="C273" s="6"/>
    </row>
    <row r="274" spans="2:3" x14ac:dyDescent="0.25">
      <c r="B274" s="6"/>
      <c r="C274" s="6"/>
    </row>
    <row r="275" spans="2:3" x14ac:dyDescent="0.25">
      <c r="B275" s="6"/>
      <c r="C275" s="6"/>
    </row>
    <row r="276" spans="2:3" x14ac:dyDescent="0.25">
      <c r="B276" s="6"/>
      <c r="C276" s="6"/>
    </row>
    <row r="277" spans="2:3" x14ac:dyDescent="0.25">
      <c r="B277" s="6"/>
      <c r="C277" s="6"/>
    </row>
    <row r="278" spans="2:3" x14ac:dyDescent="0.25">
      <c r="B278" s="6"/>
      <c r="C278" s="6"/>
    </row>
    <row r="279" spans="2:3" x14ac:dyDescent="0.25">
      <c r="B279" s="6"/>
      <c r="C279" s="6"/>
    </row>
    <row r="280" spans="2:3" x14ac:dyDescent="0.25">
      <c r="B280" s="6"/>
      <c r="C280" s="6"/>
    </row>
    <row r="281" spans="2:3" x14ac:dyDescent="0.25">
      <c r="B281" s="6"/>
      <c r="C281" s="6"/>
    </row>
    <row r="282" spans="2:3" x14ac:dyDescent="0.25">
      <c r="B282" s="6"/>
      <c r="C282" s="6"/>
    </row>
    <row r="283" spans="2:3" x14ac:dyDescent="0.25">
      <c r="B283" s="6"/>
      <c r="C283" s="6"/>
    </row>
    <row r="284" spans="2:3" x14ac:dyDescent="0.25">
      <c r="B284" s="6"/>
      <c r="C284" s="6"/>
    </row>
    <row r="285" spans="2:3" x14ac:dyDescent="0.25">
      <c r="B285" s="6"/>
      <c r="C285" s="6"/>
    </row>
    <row r="286" spans="2:3" x14ac:dyDescent="0.25">
      <c r="B286" s="6"/>
      <c r="C286" s="6"/>
    </row>
    <row r="287" spans="2:3" x14ac:dyDescent="0.25">
      <c r="B287" s="6"/>
      <c r="C287" s="6"/>
    </row>
    <row r="288" spans="2:3" x14ac:dyDescent="0.25">
      <c r="B288" s="6"/>
      <c r="C288" s="6"/>
    </row>
    <row r="289" spans="2:3" x14ac:dyDescent="0.25">
      <c r="B289" s="6"/>
      <c r="C289" s="6"/>
    </row>
    <row r="290" spans="2:3" x14ac:dyDescent="0.25">
      <c r="B290" s="6"/>
      <c r="C290" s="6"/>
    </row>
    <row r="291" spans="2:3" x14ac:dyDescent="0.25">
      <c r="B291" s="6"/>
      <c r="C291" s="6"/>
    </row>
    <row r="292" spans="2:3" x14ac:dyDescent="0.25">
      <c r="B292" s="6"/>
      <c r="C292" s="6"/>
    </row>
    <row r="293" spans="2:3" x14ac:dyDescent="0.25">
      <c r="B293" s="6"/>
      <c r="C293" s="6"/>
    </row>
    <row r="294" spans="2:3" x14ac:dyDescent="0.25">
      <c r="B294" s="6"/>
      <c r="C294" s="6"/>
    </row>
    <row r="295" spans="2:3" x14ac:dyDescent="0.25">
      <c r="B295" s="6"/>
      <c r="C295" s="6"/>
    </row>
    <row r="296" spans="2:3" x14ac:dyDescent="0.25">
      <c r="B296" s="6"/>
      <c r="C296" s="6"/>
    </row>
    <row r="297" spans="2:3" x14ac:dyDescent="0.25">
      <c r="B297" s="6"/>
      <c r="C297" s="6"/>
    </row>
    <row r="298" spans="2:3" x14ac:dyDescent="0.25">
      <c r="B298" s="6"/>
      <c r="C298" s="6"/>
    </row>
    <row r="299" spans="2:3" x14ac:dyDescent="0.25">
      <c r="B299" s="6"/>
      <c r="C299" s="6"/>
    </row>
    <row r="300" spans="2:3" x14ac:dyDescent="0.25">
      <c r="B300" s="6"/>
      <c r="C300" s="6"/>
    </row>
    <row r="301" spans="2:3" x14ac:dyDescent="0.25">
      <c r="B301" s="6"/>
      <c r="C301" s="6"/>
    </row>
    <row r="302" spans="2:3" x14ac:dyDescent="0.25">
      <c r="B302" s="6"/>
      <c r="C302" s="6"/>
    </row>
    <row r="303" spans="2:3" x14ac:dyDescent="0.25">
      <c r="B303" s="6"/>
      <c r="C303" s="6"/>
    </row>
    <row r="304" spans="2:3" x14ac:dyDescent="0.25">
      <c r="B304" s="6"/>
      <c r="C304" s="6"/>
    </row>
    <row r="305" spans="2:3" x14ac:dyDescent="0.25">
      <c r="B305" s="6"/>
      <c r="C305" s="6"/>
    </row>
    <row r="306" spans="2:3" x14ac:dyDescent="0.25">
      <c r="B306" s="6"/>
      <c r="C306" s="6"/>
    </row>
    <row r="307" spans="2:3" x14ac:dyDescent="0.25">
      <c r="B307" s="6"/>
      <c r="C307" s="6"/>
    </row>
    <row r="308" spans="2:3" x14ac:dyDescent="0.25">
      <c r="B308" s="6"/>
      <c r="C308" s="6"/>
    </row>
    <row r="309" spans="2:3" x14ac:dyDescent="0.25">
      <c r="B309" s="6"/>
      <c r="C309" s="6"/>
    </row>
    <row r="310" spans="2:3" x14ac:dyDescent="0.25">
      <c r="B310" s="6"/>
      <c r="C310" s="6"/>
    </row>
    <row r="311" spans="2:3" x14ac:dyDescent="0.25">
      <c r="B311" s="6"/>
      <c r="C311" s="6"/>
    </row>
    <row r="312" spans="2:3" x14ac:dyDescent="0.25">
      <c r="B312" s="6"/>
      <c r="C312" s="6"/>
    </row>
    <row r="313" spans="2:3" x14ac:dyDescent="0.25">
      <c r="B313" s="6"/>
      <c r="C313" s="6"/>
    </row>
    <row r="314" spans="2:3" x14ac:dyDescent="0.25">
      <c r="B314" s="6"/>
      <c r="C314" s="6"/>
    </row>
    <row r="315" spans="2:3" x14ac:dyDescent="0.25">
      <c r="B315" s="6"/>
      <c r="C315" s="6"/>
    </row>
    <row r="316" spans="2:3" x14ac:dyDescent="0.25">
      <c r="B316" s="6"/>
      <c r="C316" s="6"/>
    </row>
    <row r="317" spans="2:3" x14ac:dyDescent="0.25">
      <c r="B317" s="6"/>
      <c r="C317" s="6"/>
    </row>
    <row r="318" spans="2:3" x14ac:dyDescent="0.25">
      <c r="B318" s="6"/>
      <c r="C318" s="6"/>
    </row>
    <row r="319" spans="2:3" x14ac:dyDescent="0.25">
      <c r="B319" s="6"/>
      <c r="C319" s="6"/>
    </row>
    <row r="320" spans="2:3" x14ac:dyDescent="0.25">
      <c r="B320" s="6"/>
      <c r="C320" s="6"/>
    </row>
    <row r="321" spans="2:3" x14ac:dyDescent="0.25">
      <c r="B321" s="6"/>
      <c r="C321" s="6"/>
    </row>
    <row r="322" spans="2:3" x14ac:dyDescent="0.25">
      <c r="B322" s="6"/>
      <c r="C322" s="6"/>
    </row>
    <row r="323" spans="2:3" x14ac:dyDescent="0.25">
      <c r="B323" s="6"/>
      <c r="C323" s="6"/>
    </row>
    <row r="324" spans="2:3" x14ac:dyDescent="0.25">
      <c r="B324" s="6"/>
      <c r="C324" s="6"/>
    </row>
    <row r="325" spans="2:3" x14ac:dyDescent="0.25">
      <c r="B325" s="6"/>
      <c r="C325" s="6"/>
    </row>
    <row r="326" spans="2:3" x14ac:dyDescent="0.25">
      <c r="B326" s="6"/>
      <c r="C326" s="6"/>
    </row>
    <row r="327" spans="2:3" x14ac:dyDescent="0.25">
      <c r="B327" s="6"/>
      <c r="C327" s="6"/>
    </row>
    <row r="328" spans="2:3" x14ac:dyDescent="0.25">
      <c r="B328" s="6"/>
      <c r="C328" s="6"/>
    </row>
    <row r="329" spans="2:3" x14ac:dyDescent="0.25">
      <c r="B329" s="6"/>
      <c r="C329" s="6"/>
    </row>
    <row r="330" spans="2:3" x14ac:dyDescent="0.25">
      <c r="B330" s="6"/>
      <c r="C330" s="6"/>
    </row>
    <row r="331" spans="2:3" x14ac:dyDescent="0.25">
      <c r="B331" s="6"/>
      <c r="C331" s="6"/>
    </row>
    <row r="332" spans="2:3" x14ac:dyDescent="0.25">
      <c r="B332" s="6"/>
      <c r="C332" s="6"/>
    </row>
    <row r="333" spans="2:3" x14ac:dyDescent="0.25">
      <c r="B333" s="6"/>
      <c r="C333" s="6"/>
    </row>
    <row r="334" spans="2:3" x14ac:dyDescent="0.25">
      <c r="B334" s="6"/>
      <c r="C334" s="6"/>
    </row>
    <row r="335" spans="2:3" x14ac:dyDescent="0.25">
      <c r="B335" s="6"/>
      <c r="C335" s="6"/>
    </row>
    <row r="336" spans="2:3" x14ac:dyDescent="0.25">
      <c r="B336" s="6"/>
      <c r="C336" s="6"/>
    </row>
    <row r="337" spans="2:3" x14ac:dyDescent="0.25">
      <c r="B337" s="6"/>
      <c r="C337" s="6"/>
    </row>
    <row r="338" spans="2:3" x14ac:dyDescent="0.25">
      <c r="B338" s="6"/>
      <c r="C338" s="6"/>
    </row>
    <row r="339" spans="2:3" x14ac:dyDescent="0.25">
      <c r="B339" s="6"/>
      <c r="C339" s="6"/>
    </row>
    <row r="340" spans="2:3" x14ac:dyDescent="0.25">
      <c r="B340" s="6"/>
      <c r="C340" s="6"/>
    </row>
    <row r="341" spans="2:3" x14ac:dyDescent="0.25">
      <c r="B341" s="6"/>
      <c r="C341" s="6"/>
    </row>
    <row r="342" spans="2:3" x14ac:dyDescent="0.25">
      <c r="B342" s="6"/>
      <c r="C342" s="6"/>
    </row>
    <row r="343" spans="2:3" x14ac:dyDescent="0.25">
      <c r="B343" s="6"/>
      <c r="C343" s="6"/>
    </row>
    <row r="344" spans="2:3" x14ac:dyDescent="0.25">
      <c r="B344" s="6"/>
      <c r="C344" s="6"/>
    </row>
    <row r="345" spans="2:3" x14ac:dyDescent="0.25">
      <c r="B345" s="6"/>
      <c r="C345" s="6"/>
    </row>
    <row r="346" spans="2:3" x14ac:dyDescent="0.25">
      <c r="B346" s="6"/>
      <c r="C346" s="6"/>
    </row>
    <row r="347" spans="2:3" x14ac:dyDescent="0.25">
      <c r="B347" s="6"/>
      <c r="C347" s="6"/>
    </row>
    <row r="348" spans="2:3" x14ac:dyDescent="0.25">
      <c r="B348" s="6"/>
      <c r="C348" s="6"/>
    </row>
    <row r="349" spans="2:3" x14ac:dyDescent="0.25">
      <c r="B349" s="6"/>
      <c r="C349" s="6"/>
    </row>
    <row r="350" spans="2:3" x14ac:dyDescent="0.25">
      <c r="B350" s="6"/>
      <c r="C350" s="6"/>
    </row>
    <row r="351" spans="2:3" x14ac:dyDescent="0.25">
      <c r="B351" s="6"/>
      <c r="C351" s="6"/>
    </row>
    <row r="352" spans="2:3" x14ac:dyDescent="0.25">
      <c r="B352" s="6"/>
      <c r="C352" s="6"/>
    </row>
    <row r="353" spans="2:3" x14ac:dyDescent="0.25">
      <c r="B353" s="6"/>
      <c r="C353" s="6"/>
    </row>
    <row r="354" spans="2:3" x14ac:dyDescent="0.25">
      <c r="B354" s="6"/>
      <c r="C354" s="6"/>
    </row>
    <row r="355" spans="2:3" x14ac:dyDescent="0.25">
      <c r="B355" s="6"/>
      <c r="C355" s="6"/>
    </row>
    <row r="356" spans="2:3" x14ac:dyDescent="0.25">
      <c r="B356" s="6"/>
      <c r="C356" s="6"/>
    </row>
    <row r="357" spans="2:3" x14ac:dyDescent="0.25">
      <c r="B357" s="6"/>
      <c r="C357" s="6"/>
    </row>
    <row r="358" spans="2:3" x14ac:dyDescent="0.25">
      <c r="B358" s="6"/>
      <c r="C358" s="6"/>
    </row>
    <row r="359" spans="2:3" x14ac:dyDescent="0.25">
      <c r="B359" s="6"/>
      <c r="C359" s="6"/>
    </row>
    <row r="360" spans="2:3" x14ac:dyDescent="0.25">
      <c r="B360" s="6"/>
      <c r="C360" s="6"/>
    </row>
    <row r="361" spans="2:3" x14ac:dyDescent="0.25">
      <c r="B361" s="6"/>
      <c r="C361" s="6"/>
    </row>
    <row r="362" spans="2:3" x14ac:dyDescent="0.25">
      <c r="B362" s="6"/>
      <c r="C362" s="6"/>
    </row>
    <row r="363" spans="2:3" x14ac:dyDescent="0.25">
      <c r="B363" s="6"/>
      <c r="C363" s="6"/>
    </row>
    <row r="364" spans="2:3" x14ac:dyDescent="0.25">
      <c r="B364" s="6"/>
      <c r="C364" s="6"/>
    </row>
    <row r="365" spans="2:3" x14ac:dyDescent="0.25">
      <c r="B365" s="6"/>
      <c r="C365" s="6"/>
    </row>
    <row r="366" spans="2:3" x14ac:dyDescent="0.25">
      <c r="B366" s="6"/>
      <c r="C366" s="6"/>
    </row>
    <row r="367" spans="2:3" x14ac:dyDescent="0.25">
      <c r="B367" s="6"/>
      <c r="C367" s="6"/>
    </row>
    <row r="368" spans="2:3" x14ac:dyDescent="0.25">
      <c r="B368" s="6"/>
      <c r="C368" s="6"/>
    </row>
    <row r="369" spans="2:3" x14ac:dyDescent="0.25">
      <c r="B369" s="6"/>
      <c r="C369" s="6"/>
    </row>
    <row r="370" spans="2:3" x14ac:dyDescent="0.25">
      <c r="B370" s="6"/>
      <c r="C370" s="6"/>
    </row>
    <row r="371" spans="2:3" x14ac:dyDescent="0.25">
      <c r="B371" s="6"/>
      <c r="C371" s="6"/>
    </row>
    <row r="372" spans="2:3" x14ac:dyDescent="0.25">
      <c r="B372" s="6"/>
      <c r="C372" s="6"/>
    </row>
    <row r="373" spans="2:3" x14ac:dyDescent="0.25">
      <c r="B373" s="6"/>
      <c r="C373" s="6"/>
    </row>
    <row r="374" spans="2:3" x14ac:dyDescent="0.25">
      <c r="B374" s="6"/>
      <c r="C374" s="6"/>
    </row>
    <row r="375" spans="2:3" x14ac:dyDescent="0.25">
      <c r="B375" s="6"/>
      <c r="C375" s="6"/>
    </row>
    <row r="376" spans="2:3" x14ac:dyDescent="0.25">
      <c r="B376" s="6"/>
      <c r="C376" s="6"/>
    </row>
    <row r="377" spans="2:3" x14ac:dyDescent="0.25">
      <c r="B377" s="6"/>
      <c r="C377" s="6"/>
    </row>
    <row r="378" spans="2:3" x14ac:dyDescent="0.25">
      <c r="B378" s="6"/>
      <c r="C378" s="6"/>
    </row>
    <row r="379" spans="2:3" x14ac:dyDescent="0.25">
      <c r="B379" s="6"/>
      <c r="C379" s="6"/>
    </row>
    <row r="380" spans="2:3" x14ac:dyDescent="0.25">
      <c r="B380" s="6"/>
      <c r="C380" s="6"/>
    </row>
    <row r="381" spans="2:3" x14ac:dyDescent="0.25">
      <c r="B381" s="6"/>
      <c r="C381" s="6"/>
    </row>
    <row r="382" spans="2:3" x14ac:dyDescent="0.25">
      <c r="B382" s="6"/>
      <c r="C382" s="6"/>
    </row>
    <row r="383" spans="2:3" x14ac:dyDescent="0.25">
      <c r="B383" s="6"/>
      <c r="C383" s="6"/>
    </row>
    <row r="384" spans="2:3" x14ac:dyDescent="0.25">
      <c r="B384" s="6"/>
      <c r="C384" s="6"/>
    </row>
    <row r="385" spans="2:3" x14ac:dyDescent="0.25">
      <c r="B385" s="6"/>
      <c r="C385" s="6"/>
    </row>
    <row r="386" spans="2:3" x14ac:dyDescent="0.25">
      <c r="B386" s="6"/>
      <c r="C386" s="6"/>
    </row>
    <row r="387" spans="2:3" x14ac:dyDescent="0.25">
      <c r="B387" s="6"/>
      <c r="C387" s="6"/>
    </row>
    <row r="388" spans="2:3" x14ac:dyDescent="0.25">
      <c r="B388" s="6"/>
      <c r="C388" s="6"/>
    </row>
    <row r="389" spans="2:3" x14ac:dyDescent="0.25">
      <c r="B389" s="6"/>
      <c r="C389" s="6"/>
    </row>
    <row r="390" spans="2:3" x14ac:dyDescent="0.25">
      <c r="B390" s="6"/>
      <c r="C390" s="6"/>
    </row>
    <row r="391" spans="2:3" x14ac:dyDescent="0.25">
      <c r="B391" s="6"/>
      <c r="C391" s="6"/>
    </row>
    <row r="392" spans="2:3" x14ac:dyDescent="0.25">
      <c r="B392" s="6"/>
      <c r="C392" s="6"/>
    </row>
    <row r="393" spans="2:3" x14ac:dyDescent="0.25">
      <c r="B393" s="6"/>
      <c r="C393" s="6"/>
    </row>
    <row r="394" spans="2:3" x14ac:dyDescent="0.25">
      <c r="B394" s="6"/>
      <c r="C394" s="6"/>
    </row>
    <row r="395" spans="2:3" x14ac:dyDescent="0.25">
      <c r="B395" s="6"/>
      <c r="C395" s="6"/>
    </row>
    <row r="396" spans="2:3" x14ac:dyDescent="0.25">
      <c r="B396" s="6"/>
      <c r="C396" s="6"/>
    </row>
    <row r="397" spans="2:3" x14ac:dyDescent="0.25">
      <c r="B397" s="6"/>
      <c r="C397" s="6"/>
    </row>
    <row r="398" spans="2:3" x14ac:dyDescent="0.25">
      <c r="B398" s="6"/>
      <c r="C398" s="6"/>
    </row>
    <row r="399" spans="2:3" x14ac:dyDescent="0.25">
      <c r="B399" s="6"/>
      <c r="C399" s="6"/>
    </row>
    <row r="400" spans="2:3" x14ac:dyDescent="0.25">
      <c r="B400" s="6"/>
      <c r="C400" s="6"/>
    </row>
    <row r="401" spans="2:3" x14ac:dyDescent="0.25">
      <c r="B401" s="6"/>
      <c r="C401" s="6"/>
    </row>
    <row r="402" spans="2:3" x14ac:dyDescent="0.25">
      <c r="B402" s="6"/>
      <c r="C402" s="6"/>
    </row>
    <row r="403" spans="2:3" x14ac:dyDescent="0.25">
      <c r="B403" s="6"/>
      <c r="C403" s="6"/>
    </row>
    <row r="404" spans="2:3" x14ac:dyDescent="0.25">
      <c r="B404" s="6"/>
      <c r="C404" s="6"/>
    </row>
    <row r="405" spans="2:3" x14ac:dyDescent="0.25">
      <c r="B405" s="6"/>
      <c r="C405" s="6"/>
    </row>
    <row r="406" spans="2:3" x14ac:dyDescent="0.25">
      <c r="B406" s="6"/>
      <c r="C406" s="6"/>
    </row>
    <row r="407" spans="2:3" x14ac:dyDescent="0.25">
      <c r="B407" s="6"/>
      <c r="C407" s="6"/>
    </row>
    <row r="408" spans="2:3" x14ac:dyDescent="0.25">
      <c r="B408" s="6"/>
      <c r="C408" s="6"/>
    </row>
    <row r="409" spans="2:3" x14ac:dyDescent="0.25">
      <c r="B409" s="6"/>
      <c r="C409" s="6"/>
    </row>
    <row r="410" spans="2:3" x14ac:dyDescent="0.25">
      <c r="B410" s="6"/>
      <c r="C410" s="6"/>
    </row>
    <row r="411" spans="2:3" x14ac:dyDescent="0.25">
      <c r="B411" s="6"/>
      <c r="C411" s="6"/>
    </row>
    <row r="412" spans="2:3" x14ac:dyDescent="0.25">
      <c r="B412" s="6"/>
      <c r="C412" s="6"/>
    </row>
    <row r="413" spans="2:3" x14ac:dyDescent="0.25">
      <c r="B413" s="6"/>
      <c r="C413" s="6"/>
    </row>
    <row r="414" spans="2:3" x14ac:dyDescent="0.25">
      <c r="B414" s="6"/>
      <c r="C414" s="6"/>
    </row>
    <row r="415" spans="2:3" x14ac:dyDescent="0.25">
      <c r="B415" s="6"/>
      <c r="C415" s="6"/>
    </row>
    <row r="416" spans="2:3" x14ac:dyDescent="0.25">
      <c r="B416" s="6"/>
      <c r="C416" s="6"/>
    </row>
    <row r="417" spans="2:3" x14ac:dyDescent="0.25">
      <c r="B417" s="6"/>
      <c r="C417" s="6"/>
    </row>
    <row r="418" spans="2:3" x14ac:dyDescent="0.25">
      <c r="B418" s="6"/>
      <c r="C418" s="6"/>
    </row>
    <row r="419" spans="2:3" x14ac:dyDescent="0.25">
      <c r="B419" s="6"/>
      <c r="C419" s="6"/>
    </row>
    <row r="420" spans="2:3" x14ac:dyDescent="0.25">
      <c r="B420" s="6"/>
      <c r="C420" s="6"/>
    </row>
    <row r="421" spans="2:3" x14ac:dyDescent="0.25">
      <c r="B421" s="6"/>
      <c r="C421" s="6"/>
    </row>
    <row r="422" spans="2:3" x14ac:dyDescent="0.25">
      <c r="B422" s="6"/>
      <c r="C422" s="6"/>
    </row>
    <row r="423" spans="2:3" x14ac:dyDescent="0.25">
      <c r="B423" s="6"/>
      <c r="C423" s="6"/>
    </row>
    <row r="424" spans="2:3" x14ac:dyDescent="0.25">
      <c r="B424" s="6"/>
      <c r="C424" s="6"/>
    </row>
    <row r="425" spans="2:3" x14ac:dyDescent="0.25">
      <c r="B425" s="6"/>
      <c r="C425" s="6"/>
    </row>
    <row r="426" spans="2:3" x14ac:dyDescent="0.25">
      <c r="B426" s="6"/>
      <c r="C426" s="6"/>
    </row>
    <row r="427" spans="2:3" x14ac:dyDescent="0.25">
      <c r="B427" s="6"/>
      <c r="C427" s="6"/>
    </row>
    <row r="428" spans="2:3" x14ac:dyDescent="0.25">
      <c r="B428" s="6"/>
      <c r="C428" s="6"/>
    </row>
    <row r="429" spans="2:3" x14ac:dyDescent="0.25">
      <c r="B429" s="6"/>
      <c r="C429" s="6"/>
    </row>
    <row r="430" spans="2:3" x14ac:dyDescent="0.25">
      <c r="B430" s="6"/>
      <c r="C430" s="6"/>
    </row>
    <row r="431" spans="2:3" x14ac:dyDescent="0.25">
      <c r="B431" s="6"/>
      <c r="C431" s="6"/>
    </row>
    <row r="432" spans="2:3" x14ac:dyDescent="0.25">
      <c r="B432" s="6"/>
      <c r="C432" s="6"/>
    </row>
    <row r="433" spans="2:3" x14ac:dyDescent="0.25">
      <c r="B433" s="6"/>
      <c r="C433" s="6"/>
    </row>
    <row r="434" spans="2:3" x14ac:dyDescent="0.25">
      <c r="B434" s="6"/>
      <c r="C434" s="6"/>
    </row>
    <row r="435" spans="2:3" x14ac:dyDescent="0.25">
      <c r="B435" s="6"/>
      <c r="C435" s="6"/>
    </row>
    <row r="436" spans="2:3" x14ac:dyDescent="0.25">
      <c r="B436" s="6"/>
      <c r="C436" s="6"/>
    </row>
    <row r="437" spans="2:3" x14ac:dyDescent="0.25">
      <c r="B437" s="6"/>
      <c r="C437" s="6"/>
    </row>
    <row r="438" spans="2:3" x14ac:dyDescent="0.25">
      <c r="B438" s="6"/>
      <c r="C438" s="6"/>
    </row>
    <row r="439" spans="2:3" x14ac:dyDescent="0.25">
      <c r="B439" s="6"/>
      <c r="C439" s="6"/>
    </row>
    <row r="440" spans="2:3" x14ac:dyDescent="0.25">
      <c r="B440" s="6"/>
      <c r="C440" s="6"/>
    </row>
    <row r="441" spans="2:3" x14ac:dyDescent="0.25">
      <c r="B441" s="6"/>
      <c r="C441" s="6"/>
    </row>
    <row r="442" spans="2:3" x14ac:dyDescent="0.25">
      <c r="B442" s="6"/>
      <c r="C442" s="6"/>
    </row>
    <row r="443" spans="2:3" x14ac:dyDescent="0.25">
      <c r="B443" s="6"/>
      <c r="C443" s="6"/>
    </row>
    <row r="444" spans="2:3" x14ac:dyDescent="0.25">
      <c r="B444" s="6"/>
      <c r="C444" s="6"/>
    </row>
    <row r="445" spans="2:3" x14ac:dyDescent="0.25">
      <c r="B445" s="6"/>
      <c r="C445" s="6"/>
    </row>
    <row r="446" spans="2:3" x14ac:dyDescent="0.25">
      <c r="B446" s="6"/>
      <c r="C446" s="6"/>
    </row>
    <row r="447" spans="2:3" x14ac:dyDescent="0.25">
      <c r="B447" s="6"/>
      <c r="C447" s="6"/>
    </row>
    <row r="448" spans="2:3" x14ac:dyDescent="0.25">
      <c r="B448" s="6"/>
      <c r="C448" s="6"/>
    </row>
    <row r="449" spans="2:3" x14ac:dyDescent="0.25">
      <c r="B449" s="6"/>
      <c r="C449" s="6"/>
    </row>
    <row r="450" spans="2:3" x14ac:dyDescent="0.25">
      <c r="B450" s="6"/>
      <c r="C450" s="6"/>
    </row>
    <row r="451" spans="2:3" x14ac:dyDescent="0.25">
      <c r="B451" s="6"/>
      <c r="C451" s="6"/>
    </row>
    <row r="452" spans="2:3" x14ac:dyDescent="0.25">
      <c r="B452" s="6"/>
      <c r="C452" s="6"/>
    </row>
    <row r="453" spans="2:3" x14ac:dyDescent="0.25">
      <c r="B453" s="6"/>
      <c r="C453" s="6"/>
    </row>
    <row r="454" spans="2:3" x14ac:dyDescent="0.25">
      <c r="B454" s="6"/>
      <c r="C454" s="6"/>
    </row>
    <row r="455" spans="2:3" x14ac:dyDescent="0.25">
      <c r="B455" s="6"/>
      <c r="C455" s="6"/>
    </row>
    <row r="456" spans="2:3" x14ac:dyDescent="0.25">
      <c r="B456" s="6"/>
      <c r="C456" s="6"/>
    </row>
    <row r="457" spans="2:3" x14ac:dyDescent="0.25">
      <c r="B457" s="6"/>
      <c r="C457" s="6"/>
    </row>
    <row r="458" spans="2:3" x14ac:dyDescent="0.25">
      <c r="B458" s="6"/>
      <c r="C458" s="6"/>
    </row>
    <row r="459" spans="2:3" x14ac:dyDescent="0.25">
      <c r="B459" s="6"/>
      <c r="C459" s="6"/>
    </row>
    <row r="460" spans="2:3" x14ac:dyDescent="0.25">
      <c r="B460" s="6"/>
      <c r="C460" s="6"/>
    </row>
    <row r="461" spans="2:3" x14ac:dyDescent="0.25">
      <c r="B461" s="6"/>
      <c r="C461" s="6"/>
    </row>
    <row r="462" spans="2:3" x14ac:dyDescent="0.25">
      <c r="B462" s="6"/>
      <c r="C462" s="6"/>
    </row>
    <row r="463" spans="2:3" x14ac:dyDescent="0.25">
      <c r="B463" s="6"/>
      <c r="C463" s="6"/>
    </row>
    <row r="464" spans="2:3" x14ac:dyDescent="0.25">
      <c r="B464" s="6"/>
      <c r="C464" s="6"/>
    </row>
    <row r="465" spans="2:3" x14ac:dyDescent="0.25">
      <c r="B465" s="6"/>
      <c r="C465" s="6"/>
    </row>
    <row r="466" spans="2:3" x14ac:dyDescent="0.25">
      <c r="B466" s="6"/>
      <c r="C466" s="6"/>
    </row>
    <row r="467" spans="2:3" x14ac:dyDescent="0.25">
      <c r="B467" s="6"/>
      <c r="C467" s="6"/>
    </row>
    <row r="468" spans="2:3" x14ac:dyDescent="0.25">
      <c r="B468" s="6"/>
      <c r="C468" s="6"/>
    </row>
    <row r="469" spans="2:3" x14ac:dyDescent="0.25">
      <c r="B469" s="6"/>
      <c r="C469" s="6"/>
    </row>
    <row r="470" spans="2:3" x14ac:dyDescent="0.25">
      <c r="B470" s="6"/>
      <c r="C470" s="6"/>
    </row>
    <row r="471" spans="2:3" x14ac:dyDescent="0.25">
      <c r="B471" s="6"/>
      <c r="C471" s="6"/>
    </row>
    <row r="472" spans="2:3" x14ac:dyDescent="0.25">
      <c r="B472" s="6"/>
      <c r="C472" s="6"/>
    </row>
    <row r="473" spans="2:3" x14ac:dyDescent="0.25">
      <c r="B473" s="6"/>
      <c r="C473" s="6"/>
    </row>
    <row r="474" spans="2:3" x14ac:dyDescent="0.25">
      <c r="B474" s="6"/>
      <c r="C474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203"/>
  <sheetViews>
    <sheetView tabSelected="1" zoomScale="85" zoomScaleNormal="85" workbookViewId="0">
      <pane xSplit="3" ySplit="6" topLeftCell="D7" activePane="bottomRight" state="frozen"/>
      <selection pane="topRight" activeCell="D1" sqref="D1"/>
      <selection pane="bottomLeft" activeCell="A6" sqref="A6"/>
      <selection pane="bottomRight" activeCell="A12" sqref="A12"/>
    </sheetView>
  </sheetViews>
  <sheetFormatPr defaultRowHeight="15" outlineLevelRow="1" outlineLevelCol="1" x14ac:dyDescent="0.25"/>
  <cols>
    <col min="1" max="1" width="27.28515625" bestFit="1" customWidth="1"/>
    <col min="2" max="2" width="12.7109375" style="26" bestFit="1" customWidth="1"/>
    <col min="3" max="3" width="34.140625" bestFit="1" customWidth="1"/>
    <col min="4" max="15" width="9.7109375" customWidth="1" outlineLevel="1"/>
    <col min="16" max="16" width="9.7109375" style="16" customWidth="1" outlineLevel="1"/>
    <col min="17" max="27" width="9.7109375" customWidth="1" outlineLevel="1"/>
    <col min="28" max="29" width="9.7109375" customWidth="1"/>
  </cols>
  <sheetData>
    <row r="1" spans="1:27" s="195" customFormat="1" ht="18.75" x14ac:dyDescent="0.3">
      <c r="A1" s="196" t="s">
        <v>211</v>
      </c>
      <c r="B1" s="194" t="s">
        <v>210</v>
      </c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</row>
    <row r="2" spans="1:27" x14ac:dyDescent="0.25">
      <c r="A2" s="62" t="s">
        <v>90</v>
      </c>
      <c r="B2" s="175">
        <v>0</v>
      </c>
      <c r="C2" s="206">
        <v>44622.47592704861</v>
      </c>
      <c r="D2" s="174" t="str">
        <f>IF($B$2&gt;0,"Virtuelle ressourcer er blevet brugt","")</f>
        <v/>
      </c>
      <c r="E2" s="9"/>
    </row>
    <row r="3" spans="1:27" x14ac:dyDescent="0.25">
      <c r="A3" s="63" t="s">
        <v>89</v>
      </c>
      <c r="B3" s="61">
        <v>44197</v>
      </c>
      <c r="C3" s="64">
        <v>44531</v>
      </c>
      <c r="E3" s="80"/>
    </row>
    <row r="4" spans="1:27" x14ac:dyDescent="0.25">
      <c r="A4" s="63" t="s">
        <v>201</v>
      </c>
      <c r="B4" s="69">
        <v>-4427533.515414427</v>
      </c>
      <c r="C4" s="70" t="s">
        <v>55</v>
      </c>
      <c r="D4" s="80"/>
      <c r="E4" s="80"/>
      <c r="F4" s="16"/>
      <c r="G4" s="16"/>
      <c r="H4" s="16"/>
      <c r="I4" s="16"/>
      <c r="J4" s="16"/>
      <c r="K4" s="16"/>
      <c r="L4" s="16"/>
      <c r="M4" s="16"/>
      <c r="N4" s="16"/>
      <c r="O4" s="16"/>
      <c r="Q4" s="16"/>
      <c r="R4" s="16"/>
      <c r="S4" s="16"/>
      <c r="T4" s="16"/>
    </row>
    <row r="5" spans="1:27" x14ac:dyDescent="0.25">
      <c r="A5" s="65" t="s">
        <v>202</v>
      </c>
      <c r="B5" s="66">
        <v>-2613133.515414427</v>
      </c>
      <c r="C5" s="67" t="s">
        <v>55</v>
      </c>
      <c r="P5" s="55"/>
    </row>
    <row r="6" spans="1:27" x14ac:dyDescent="0.25">
      <c r="D6" s="79" t="str">
        <f>_xlfn.LET(_xlpm.mo,COLUMN(D7)-COLUMN($D$7)+MONTH($B$3),_xlpm.dd,DATE(YEAR($B$3),_xlpm.mo,1),UPPER(TEXT(_xlpm.dd,"åå'mmm")))</f>
        <v>21'JAN</v>
      </c>
      <c r="E6" s="79" t="str">
        <f t="shared" ref="E6:AA6" si="0">_xlfn.LET(_xlpm.mo,COLUMN(E7)-COLUMN($D$7)+MONTH($B$3),_xlpm.dd,DATE(YEAR($B$3),_xlpm.mo,1),UPPER(TEXT(_xlpm.dd,"åå'mmm")))</f>
        <v>21'FEB</v>
      </c>
      <c r="F6" s="79" t="str">
        <f t="shared" si="0"/>
        <v>21'MAR</v>
      </c>
      <c r="G6" s="79" t="str">
        <f t="shared" si="0"/>
        <v>21'APR</v>
      </c>
      <c r="H6" s="79" t="str">
        <f t="shared" si="0"/>
        <v>21'MAJ</v>
      </c>
      <c r="I6" s="79" t="str">
        <f t="shared" si="0"/>
        <v>21'JUN</v>
      </c>
      <c r="J6" s="79" t="str">
        <f t="shared" si="0"/>
        <v>21'JUL</v>
      </c>
      <c r="K6" s="79" t="str">
        <f t="shared" si="0"/>
        <v>21'AUG</v>
      </c>
      <c r="L6" s="79" t="str">
        <f t="shared" si="0"/>
        <v>21'SEP</v>
      </c>
      <c r="M6" s="79" t="str">
        <f t="shared" si="0"/>
        <v>21'OKT</v>
      </c>
      <c r="N6" s="79" t="str">
        <f t="shared" si="0"/>
        <v>21'NOV</v>
      </c>
      <c r="O6" s="79" t="str">
        <f t="shared" si="0"/>
        <v>21'DEC</v>
      </c>
      <c r="P6" s="79" t="str">
        <f t="shared" si="0"/>
        <v>22'JAN</v>
      </c>
      <c r="Q6" s="79" t="str">
        <f t="shared" si="0"/>
        <v>22'FEB</v>
      </c>
      <c r="R6" s="79" t="str">
        <f t="shared" si="0"/>
        <v>22'MAR</v>
      </c>
      <c r="S6" s="79" t="str">
        <f t="shared" si="0"/>
        <v>22'APR</v>
      </c>
      <c r="T6" s="79" t="str">
        <f t="shared" si="0"/>
        <v>22'MAJ</v>
      </c>
      <c r="U6" s="79" t="str">
        <f t="shared" si="0"/>
        <v>22'JUN</v>
      </c>
      <c r="V6" s="79" t="str">
        <f t="shared" si="0"/>
        <v>22'JUL</v>
      </c>
      <c r="W6" s="79" t="str">
        <f t="shared" si="0"/>
        <v>22'AUG</v>
      </c>
      <c r="X6" s="79" t="str">
        <f t="shared" si="0"/>
        <v>22'SEP</v>
      </c>
      <c r="Y6" s="79" t="str">
        <f t="shared" si="0"/>
        <v>22'OKT</v>
      </c>
      <c r="Z6" s="79" t="str">
        <f t="shared" si="0"/>
        <v>22'NOV</v>
      </c>
      <c r="AA6" s="79" t="str">
        <f t="shared" si="0"/>
        <v>22'DEC</v>
      </c>
    </row>
    <row r="7" spans="1:27" s="75" customFormat="1" ht="18.75" x14ac:dyDescent="0.3">
      <c r="A7" s="74" t="s">
        <v>95</v>
      </c>
      <c r="B7" s="74" t="s">
        <v>66</v>
      </c>
      <c r="C7" s="74" t="s">
        <v>71</v>
      </c>
      <c r="D7" s="78" t="s">
        <v>230</v>
      </c>
      <c r="E7" s="78" t="s">
        <v>231</v>
      </c>
      <c r="F7" s="78" t="s">
        <v>232</v>
      </c>
      <c r="G7" s="78" t="s">
        <v>233</v>
      </c>
      <c r="H7" s="78" t="s">
        <v>224</v>
      </c>
      <c r="I7" s="78" t="s">
        <v>234</v>
      </c>
      <c r="J7" s="78" t="s">
        <v>235</v>
      </c>
      <c r="K7" s="78" t="s">
        <v>236</v>
      </c>
      <c r="L7" s="78" t="s">
        <v>237</v>
      </c>
      <c r="M7" s="78" t="s">
        <v>238</v>
      </c>
      <c r="N7" s="78" t="s">
        <v>239</v>
      </c>
      <c r="O7" s="78" t="s">
        <v>240</v>
      </c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</row>
    <row r="8" spans="1:27" s="16" customFormat="1" outlineLevel="1" x14ac:dyDescent="0.25">
      <c r="A8" s="10">
        <f>SUM(D8:AA8)</f>
        <v>240000</v>
      </c>
      <c r="B8" s="50" t="s">
        <v>56</v>
      </c>
      <c r="C8" s="56" t="s">
        <v>28</v>
      </c>
      <c r="D8" s="10">
        <v>35300</v>
      </c>
      <c r="E8" s="10">
        <v>32000</v>
      </c>
      <c r="F8" s="10">
        <v>29500</v>
      </c>
      <c r="G8" s="10">
        <v>20000</v>
      </c>
      <c r="H8" s="10">
        <v>13000</v>
      </c>
      <c r="I8" s="10">
        <v>7500</v>
      </c>
      <c r="J8" s="10">
        <v>7500</v>
      </c>
      <c r="K8" s="10">
        <v>7000</v>
      </c>
      <c r="L8" s="10">
        <v>8000</v>
      </c>
      <c r="M8" s="10">
        <v>19700</v>
      </c>
      <c r="N8" s="10">
        <v>27500</v>
      </c>
      <c r="O8" s="10">
        <v>33000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3">
        <f>-(A12-A43)/A8</f>
        <v>18.448056314226694</v>
      </c>
      <c r="B9" s="50" t="s">
        <v>29</v>
      </c>
      <c r="C9" s="56" t="s">
        <v>229</v>
      </c>
      <c r="D9" s="12">
        <v>105.20580602857385</v>
      </c>
      <c r="E9" s="12">
        <v>96.042718785130972</v>
      </c>
      <c r="F9" s="12">
        <v>89.231627352530637</v>
      </c>
      <c r="G9" s="12">
        <v>40.552086402471225</v>
      </c>
      <c r="H9" s="12">
        <v>-3.4740071221676727</v>
      </c>
      <c r="I9" s="12">
        <v>48.738160577221336</v>
      </c>
      <c r="J9" s="12">
        <v>101.05135565432801</v>
      </c>
      <c r="K9" s="12">
        <v>98.694904177751653</v>
      </c>
      <c r="L9" s="12">
        <v>-258.79348461113705</v>
      </c>
      <c r="M9" s="12">
        <v>-108.07144814360971</v>
      </c>
      <c r="N9" s="12">
        <v>-41.413848522592573</v>
      </c>
      <c r="O9" s="12">
        <v>-67.692743702142977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s="16" customFormat="1" outlineLevel="1" x14ac:dyDescent="0.25">
      <c r="A10" s="3">
        <f>-A12/(A8-A48)</f>
        <v>10.888056314226693</v>
      </c>
      <c r="B10" s="50" t="s">
        <v>29</v>
      </c>
      <c r="C10" s="58" t="s">
        <v>228</v>
      </c>
      <c r="D10" s="12">
        <v>94.497282837337281</v>
      </c>
      <c r="E10" s="12">
        <v>96.042718785130972</v>
      </c>
      <c r="F10" s="12">
        <v>89.231627352530637</v>
      </c>
      <c r="G10" s="12">
        <v>40.552086402471225</v>
      </c>
      <c r="H10" s="12">
        <v>-3.4740071221676727</v>
      </c>
      <c r="I10" s="12">
        <v>48.738160577221336</v>
      </c>
      <c r="J10" s="12">
        <v>101.05135565432801</v>
      </c>
      <c r="K10" s="12">
        <v>98.694904177751653</v>
      </c>
      <c r="L10" s="12">
        <v>-258.79348461113705</v>
      </c>
      <c r="M10" s="12">
        <v>-108.07144814360971</v>
      </c>
      <c r="N10" s="12">
        <v>-41.413848522592573</v>
      </c>
      <c r="O10" s="12">
        <v>-120.15549423980724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s="16" customFormat="1" outlineLevel="1" x14ac:dyDescent="0.25">
      <c r="A11" s="3">
        <f>-A13/(A9-A49)</f>
        <v>7330.801926910176</v>
      </c>
      <c r="B11" s="50" t="s">
        <v>29</v>
      </c>
      <c r="C11" s="58" t="s">
        <v>227</v>
      </c>
      <c r="D11" s="12">
        <v>108.9775152058629</v>
      </c>
      <c r="E11" s="12">
        <v>116.16435645800161</v>
      </c>
      <c r="F11" s="12">
        <v>96.987121986788807</v>
      </c>
      <c r="G11" s="12">
        <v>40.552086402471225</v>
      </c>
      <c r="H11" s="12">
        <v>-3.4740071221676727</v>
      </c>
      <c r="I11" s="12">
        <v>48.738160577221336</v>
      </c>
      <c r="J11" s="12">
        <v>101.05135565432801</v>
      </c>
      <c r="K11" s="12">
        <v>98.694904177751653</v>
      </c>
      <c r="L11" s="12">
        <v>-258.79348461113705</v>
      </c>
      <c r="M11" s="12">
        <v>-108.07144814360971</v>
      </c>
      <c r="N11" s="12">
        <v>-42.317037192262859</v>
      </c>
      <c r="O11" s="12">
        <v>-121.30185427864259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s="16" customFormat="1" outlineLevel="1" x14ac:dyDescent="0.25">
      <c r="A12" s="14">
        <f>SUM(D12:AA12)</f>
        <v>-2613133.5154144065</v>
      </c>
      <c r="B12" s="49" t="s">
        <v>55</v>
      </c>
      <c r="C12" s="58" t="s">
        <v>79</v>
      </c>
      <c r="D12" s="14">
        <v>-2957764.9528086567</v>
      </c>
      <c r="E12" s="14">
        <v>-3073367.0011241911</v>
      </c>
      <c r="F12" s="14">
        <v>-2632333.0068996539</v>
      </c>
      <c r="G12" s="14">
        <v>-811041.72804942448</v>
      </c>
      <c r="H12" s="14">
        <v>45162.092588179745</v>
      </c>
      <c r="I12" s="14">
        <v>-365536.20432916004</v>
      </c>
      <c r="J12" s="14">
        <v>-757885.16740746005</v>
      </c>
      <c r="K12" s="14">
        <v>-690864.32924426161</v>
      </c>
      <c r="L12" s="14">
        <v>2070347.8768890966</v>
      </c>
      <c r="M12" s="14">
        <v>2129007.5284291115</v>
      </c>
      <c r="N12" s="14">
        <v>1138880.8343712958</v>
      </c>
      <c r="O12" s="14">
        <v>3292260.5421707183</v>
      </c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s="16" customFormat="1" outlineLevel="1" x14ac:dyDescent="0.25">
      <c r="A13" s="81">
        <f t="shared" ref="A13:A53" si="1">SUM(D13:AA13)</f>
        <v>70240459.451561615</v>
      </c>
      <c r="B13" s="49" t="s">
        <v>55</v>
      </c>
      <c r="C13" s="68" t="s">
        <v>87</v>
      </c>
      <c r="D13" s="14">
        <v>6338110.9306013463</v>
      </c>
      <c r="E13" s="14">
        <v>6350953.5452078814</v>
      </c>
      <c r="F13" s="14">
        <v>6233554.6412162324</v>
      </c>
      <c r="G13" s="14">
        <v>5529253.034904574</v>
      </c>
      <c r="H13" s="14">
        <v>4205068.9617762975</v>
      </c>
      <c r="I13" s="14">
        <v>2366654.5156611279</v>
      </c>
      <c r="J13" s="14">
        <v>2134583.75644026</v>
      </c>
      <c r="K13" s="14">
        <v>2151161.339891688</v>
      </c>
      <c r="L13" s="14">
        <v>5401911.6626568083</v>
      </c>
      <c r="M13" s="14">
        <v>8377942.6831355169</v>
      </c>
      <c r="N13" s="14">
        <v>9504424.6472486872</v>
      </c>
      <c r="O13" s="14">
        <v>11646839.732821196</v>
      </c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outlineLevel="1" x14ac:dyDescent="0.25">
      <c r="A14" s="14">
        <f t="shared" si="1"/>
        <v>46087403.696579538</v>
      </c>
      <c r="B14" s="49" t="s">
        <v>55</v>
      </c>
      <c r="C14" s="60" t="s">
        <v>80</v>
      </c>
      <c r="D14" s="14">
        <v>4853092.9296450689</v>
      </c>
      <c r="E14" s="14">
        <v>4920038.0509455334</v>
      </c>
      <c r="F14" s="14">
        <v>4853092.947365419</v>
      </c>
      <c r="G14" s="14">
        <v>4171368.1610050062</v>
      </c>
      <c r="H14" s="14">
        <v>3242550.6602445072</v>
      </c>
      <c r="I14" s="14">
        <v>2127857.6022912604</v>
      </c>
      <c r="J14" s="14">
        <v>2127857.4171233643</v>
      </c>
      <c r="K14" s="14">
        <v>2127857.4171233666</v>
      </c>
      <c r="L14" s="14">
        <v>2875148.7477502166</v>
      </c>
      <c r="M14" s="14">
        <v>4750953.0198396211</v>
      </c>
      <c r="N14" s="14">
        <v>4826545.0967153609</v>
      </c>
      <c r="O14" s="14">
        <v>5211041.6465308219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s="16" customFormat="1" outlineLevel="1" x14ac:dyDescent="0.25">
      <c r="A15" s="14">
        <f t="shared" si="1"/>
        <v>1574179.6137648886</v>
      </c>
      <c r="B15" s="49" t="s">
        <v>55</v>
      </c>
      <c r="C15" s="60" t="s">
        <v>81</v>
      </c>
      <c r="D15" s="14">
        <v>228784.57911906694</v>
      </c>
      <c r="E15" s="14">
        <v>222912.93862626512</v>
      </c>
      <c r="F15" s="14">
        <v>228784.57911906694</v>
      </c>
      <c r="G15" s="14">
        <v>167487.12590237358</v>
      </c>
      <c r="H15" s="14">
        <v>108586.38441667592</v>
      </c>
      <c r="I15" s="14">
        <v>1E-14</v>
      </c>
      <c r="J15" s="14">
        <v>1E-14</v>
      </c>
      <c r="K15" s="14">
        <v>1E-14</v>
      </c>
      <c r="L15" s="14">
        <v>1E-14</v>
      </c>
      <c r="M15" s="14">
        <v>163947.20960800507</v>
      </c>
      <c r="N15" s="14">
        <v>225859.82188474946</v>
      </c>
      <c r="O15" s="14">
        <v>227816.97508868549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s="16" customFormat="1" outlineLevel="1" x14ac:dyDescent="0.25">
      <c r="A16" s="14">
        <f t="shared" ref="A16" si="2">SUM(D16:AA16)</f>
        <v>22578876.14121718</v>
      </c>
      <c r="B16" s="49" t="s">
        <v>55</v>
      </c>
      <c r="C16" s="60" t="s">
        <v>82</v>
      </c>
      <c r="D16" s="14">
        <v>1256233.4218372107</v>
      </c>
      <c r="E16" s="14">
        <v>1208002.555636083</v>
      </c>
      <c r="F16" s="14">
        <v>1151677.1147317465</v>
      </c>
      <c r="G16" s="14">
        <v>1190397.7479971943</v>
      </c>
      <c r="H16" s="14">
        <v>853931.91711511393</v>
      </c>
      <c r="I16" s="14">
        <v>238796.91336986772</v>
      </c>
      <c r="J16" s="14">
        <v>6726.3393168956491</v>
      </c>
      <c r="K16" s="14">
        <v>23303.922768321459</v>
      </c>
      <c r="L16" s="14">
        <v>2526762.9149065912</v>
      </c>
      <c r="M16" s="14">
        <v>3463042.45368789</v>
      </c>
      <c r="N16" s="14">
        <v>4452019.7286485769</v>
      </c>
      <c r="O16" s="14">
        <v>6207981.1112016886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s="16" customFormat="1" outlineLevel="1" x14ac:dyDescent="0.25">
      <c r="A17" s="14">
        <f t="shared" si="1"/>
        <v>1.1999999999999997E-13</v>
      </c>
      <c r="B17" s="49" t="s">
        <v>55</v>
      </c>
      <c r="C17" s="60" t="s">
        <v>204</v>
      </c>
      <c r="D17" s="14">
        <v>1E-14</v>
      </c>
      <c r="E17" s="14">
        <v>1E-14</v>
      </c>
      <c r="F17" s="14">
        <v>1E-14</v>
      </c>
      <c r="G17" s="14">
        <v>1E-14</v>
      </c>
      <c r="H17" s="14">
        <v>1E-14</v>
      </c>
      <c r="I17" s="14">
        <v>1E-14</v>
      </c>
      <c r="J17" s="14">
        <v>1E-14</v>
      </c>
      <c r="K17" s="14">
        <v>1E-14</v>
      </c>
      <c r="L17" s="14">
        <v>1E-14</v>
      </c>
      <c r="M17" s="14">
        <v>1E-14</v>
      </c>
      <c r="N17" s="14">
        <v>1E-14</v>
      </c>
      <c r="O17" s="14">
        <v>1E-14</v>
      </c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s="16" customFormat="1" outlineLevel="1" x14ac:dyDescent="0.25">
      <c r="A18" s="81">
        <f t="shared" si="1"/>
        <v>72853592.966976017</v>
      </c>
      <c r="B18" s="49" t="s">
        <v>55</v>
      </c>
      <c r="C18" s="68" t="s">
        <v>86</v>
      </c>
      <c r="D18" s="14">
        <v>9295875.883410003</v>
      </c>
      <c r="E18" s="14">
        <v>9424320.5463320725</v>
      </c>
      <c r="F18" s="14">
        <v>8865887.6481158864</v>
      </c>
      <c r="G18" s="14">
        <v>6340294.7629539985</v>
      </c>
      <c r="H18" s="14">
        <v>4159906.8691881178</v>
      </c>
      <c r="I18" s="14">
        <v>2732190.7199902879</v>
      </c>
      <c r="J18" s="14">
        <v>2892468.92384772</v>
      </c>
      <c r="K18" s="14">
        <v>2842025.6691359496</v>
      </c>
      <c r="L18" s="14">
        <v>3331563.7857677117</v>
      </c>
      <c r="M18" s="14">
        <v>6248935.1547064055</v>
      </c>
      <c r="N18" s="14">
        <v>8365543.8128773915</v>
      </c>
      <c r="O18" s="14">
        <v>8354579.190650478</v>
      </c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outlineLevel="1" x14ac:dyDescent="0.25">
      <c r="A19" s="14">
        <f t="shared" si="1"/>
        <v>10502252.770292629</v>
      </c>
      <c r="B19" s="49" t="s">
        <v>55</v>
      </c>
      <c r="C19" s="60" t="s">
        <v>72</v>
      </c>
      <c r="D19" s="14">
        <v>1292902.3791928396</v>
      </c>
      <c r="E19" s="14">
        <v>1306982.3791928396</v>
      </c>
      <c r="F19" s="14">
        <v>1247902.3791928396</v>
      </c>
      <c r="G19" s="14">
        <v>933094.27493562107</v>
      </c>
      <c r="H19" s="14">
        <v>615919.77380779875</v>
      </c>
      <c r="I19" s="14">
        <v>347411.55165931676</v>
      </c>
      <c r="J19" s="14">
        <v>453821.89250458137</v>
      </c>
      <c r="K19" s="14">
        <v>455730.86417781189</v>
      </c>
      <c r="L19" s="14">
        <v>534169.41877826769</v>
      </c>
      <c r="M19" s="14">
        <v>922153.09846503288</v>
      </c>
      <c r="N19" s="14">
        <v>1196762.3791928396</v>
      </c>
      <c r="O19" s="14">
        <v>1195402.3791928396</v>
      </c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outlineLevel="1" x14ac:dyDescent="0.25">
      <c r="A20" s="14">
        <f t="shared" si="1"/>
        <v>2733186.6972548985</v>
      </c>
      <c r="B20" s="49" t="s">
        <v>55</v>
      </c>
      <c r="C20" s="60" t="s">
        <v>73</v>
      </c>
      <c r="D20" s="14">
        <v>880717.33945097972</v>
      </c>
      <c r="E20" s="14">
        <v>1173799.692392156</v>
      </c>
      <c r="F20" s="14">
        <v>499540.86886274442</v>
      </c>
      <c r="G20" s="14">
        <v>1E-14</v>
      </c>
      <c r="H20" s="14">
        <v>1E-14</v>
      </c>
      <c r="I20" s="14">
        <v>1E-14</v>
      </c>
      <c r="J20" s="14">
        <v>1E-14</v>
      </c>
      <c r="K20" s="14">
        <v>1E-14</v>
      </c>
      <c r="L20" s="14">
        <v>1E-14</v>
      </c>
      <c r="M20" s="14">
        <v>1E-14</v>
      </c>
      <c r="N20" s="14">
        <v>124293.81003921508</v>
      </c>
      <c r="O20" s="14">
        <v>54834.986509803311</v>
      </c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s="16" customFormat="1" outlineLevel="1" x14ac:dyDescent="0.25">
      <c r="A21" s="81">
        <f t="shared" ref="A21:A24" si="3">SUM(D21:AA21)</f>
        <v>44616525.660009116</v>
      </c>
      <c r="B21" s="49" t="s">
        <v>55</v>
      </c>
      <c r="C21" s="210" t="s">
        <v>74</v>
      </c>
      <c r="D21" s="14">
        <v>5415057.4387757545</v>
      </c>
      <c r="E21" s="14">
        <v>5280571.7757708654</v>
      </c>
      <c r="F21" s="14">
        <v>5411245.6740698721</v>
      </c>
      <c r="G21" s="14">
        <v>3978359.7173165339</v>
      </c>
      <c r="H21" s="14">
        <v>2583357.7292348286</v>
      </c>
      <c r="I21" s="14">
        <v>1762141.4889737824</v>
      </c>
      <c r="J21" s="14">
        <v>1816009.4081316339</v>
      </c>
      <c r="K21" s="14">
        <v>1763657.1817466321</v>
      </c>
      <c r="L21" s="14">
        <v>1948166.7717409092</v>
      </c>
      <c r="M21" s="14">
        <v>3908782.4686312489</v>
      </c>
      <c r="N21" s="14">
        <v>5352032.906659646</v>
      </c>
      <c r="O21" s="14">
        <v>5397143.0989574054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s="16" customFormat="1" outlineLevel="1" x14ac:dyDescent="0.25">
      <c r="A22" s="14">
        <f t="shared" si="3"/>
        <v>20158894.358702086</v>
      </c>
      <c r="B22" s="49" t="s">
        <v>55</v>
      </c>
      <c r="C22" s="211" t="s">
        <v>221</v>
      </c>
      <c r="D22" s="14">
        <v>2517371.2119266409</v>
      </c>
      <c r="E22" s="14">
        <v>2453841.291926641</v>
      </c>
      <c r="F22" s="14">
        <v>2517371.2119266409</v>
      </c>
      <c r="G22" s="14">
        <v>1854109.8370098406</v>
      </c>
      <c r="H22" s="14">
        <v>1203949.8370098409</v>
      </c>
      <c r="I22" s="14">
        <v>693109.83700984064</v>
      </c>
      <c r="J22" s="14">
        <v>693109.83700984053</v>
      </c>
      <c r="K22" s="14">
        <v>646669.83700984053</v>
      </c>
      <c r="L22" s="14">
        <v>739549.83700984053</v>
      </c>
      <c r="M22" s="14">
        <v>1826245.8370098406</v>
      </c>
      <c r="N22" s="14">
        <v>2496194.5719266408</v>
      </c>
      <c r="O22" s="14">
        <v>2517371.2119266409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s="16" customFormat="1" outlineLevel="1" x14ac:dyDescent="0.25">
      <c r="A23" s="14">
        <f t="shared" si="3"/>
        <v>19395418.013092771</v>
      </c>
      <c r="B23" s="49" t="s">
        <v>55</v>
      </c>
      <c r="C23" s="211" t="s">
        <v>222</v>
      </c>
      <c r="D23" s="14">
        <v>2287845.7911906694</v>
      </c>
      <c r="E23" s="14">
        <v>2229129.3862626511</v>
      </c>
      <c r="F23" s="14">
        <v>2287845.7911906694</v>
      </c>
      <c r="G23" s="14">
        <v>1674871.2590237358</v>
      </c>
      <c r="H23" s="14">
        <v>1085863.8441667592</v>
      </c>
      <c r="I23" s="14">
        <v>865149.98463674926</v>
      </c>
      <c r="J23" s="14">
        <v>909754.12984390685</v>
      </c>
      <c r="K23" s="14">
        <v>904858.64105891902</v>
      </c>
      <c r="L23" s="14">
        <v>973859.119904313</v>
      </c>
      <c r="M23" s="14">
        <v>1639472.0960800506</v>
      </c>
      <c r="N23" s="14">
        <v>2258598.2188474946</v>
      </c>
      <c r="O23" s="14">
        <v>2278169.7508868547</v>
      </c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</row>
    <row r="24" spans="1:27" s="16" customFormat="1" outlineLevel="1" x14ac:dyDescent="0.25">
      <c r="A24" s="14">
        <f t="shared" si="3"/>
        <v>4468710.4569239188</v>
      </c>
      <c r="B24" s="49" t="s">
        <v>55</v>
      </c>
      <c r="C24" s="211" t="s">
        <v>218</v>
      </c>
      <c r="D24" s="14">
        <v>537113.14849374373</v>
      </c>
      <c r="E24" s="14">
        <v>523562.91376626841</v>
      </c>
      <c r="F24" s="14">
        <v>537113.14849374373</v>
      </c>
      <c r="G24" s="14">
        <v>395652.92011694546</v>
      </c>
      <c r="H24" s="14">
        <v>256965.83685377019</v>
      </c>
      <c r="I24" s="14">
        <v>179681.85765828338</v>
      </c>
      <c r="J24" s="14">
        <v>188945.63366522276</v>
      </c>
      <c r="K24" s="14">
        <v>187928.89606520851</v>
      </c>
      <c r="L24" s="14">
        <v>202259.5143839005</v>
      </c>
      <c r="M24" s="14">
        <v>389735.87527701387</v>
      </c>
      <c r="N24" s="14">
        <v>532617.03964119742</v>
      </c>
      <c r="O24" s="14">
        <v>537133.67250862089</v>
      </c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s="16" customFormat="1" outlineLevel="1" x14ac:dyDescent="0.25">
      <c r="A25" s="14">
        <f t="shared" si="1"/>
        <v>593502.83129033167</v>
      </c>
      <c r="B25" s="49" t="s">
        <v>55</v>
      </c>
      <c r="C25" s="211" t="s">
        <v>219</v>
      </c>
      <c r="D25" s="14">
        <v>72727.287164700741</v>
      </c>
      <c r="E25" s="14">
        <v>74038.183815304103</v>
      </c>
      <c r="F25" s="14">
        <v>68915.522458818377</v>
      </c>
      <c r="G25" s="14">
        <v>53725.701166012026</v>
      </c>
      <c r="H25" s="14">
        <v>36578.211204458494</v>
      </c>
      <c r="I25" s="14">
        <v>24199.809668909202</v>
      </c>
      <c r="J25" s="14">
        <v>24199.807612663801</v>
      </c>
      <c r="K25" s="14">
        <v>24199.80761266383</v>
      </c>
      <c r="L25" s="14">
        <v>32498.300442855227</v>
      </c>
      <c r="M25" s="14">
        <v>53328.660264343293</v>
      </c>
      <c r="N25" s="14">
        <v>64623.076244313619</v>
      </c>
      <c r="O25" s="14">
        <v>64468.463635288972</v>
      </c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</row>
    <row r="26" spans="1:27" s="16" customFormat="1" outlineLevel="1" x14ac:dyDescent="0.25">
      <c r="A26" s="14">
        <f t="shared" si="1"/>
        <v>15001627.839419385</v>
      </c>
      <c r="B26" s="49" t="s">
        <v>55</v>
      </c>
      <c r="C26" s="60" t="s">
        <v>83</v>
      </c>
      <c r="D26" s="14">
        <v>1707198.72599043</v>
      </c>
      <c r="E26" s="14">
        <v>1662966.6989762119</v>
      </c>
      <c r="F26" s="14">
        <v>1707198.72599043</v>
      </c>
      <c r="G26" s="14">
        <v>1428840.7707018438</v>
      </c>
      <c r="H26" s="14">
        <v>960629.3661454909</v>
      </c>
      <c r="I26" s="14">
        <v>622637.67935718852</v>
      </c>
      <c r="J26" s="14">
        <v>622637.62321150478</v>
      </c>
      <c r="K26" s="14">
        <v>622637.62321150559</v>
      </c>
      <c r="L26" s="14">
        <v>849227.59524853458</v>
      </c>
      <c r="M26" s="14">
        <v>1417999.5876101234</v>
      </c>
      <c r="N26" s="14">
        <v>1692454.7169856906</v>
      </c>
      <c r="O26" s="14">
        <v>1707198.72599043</v>
      </c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</row>
    <row r="27" spans="1:27" s="16" customFormat="1" outlineLevel="1" x14ac:dyDescent="0.25">
      <c r="A27" s="14">
        <f t="shared" ref="A27:A28" si="4">SUM(D27:AA27)</f>
        <v>1.1999999999999997E-13</v>
      </c>
      <c r="B27" s="49" t="s">
        <v>55</v>
      </c>
      <c r="C27" s="60" t="s">
        <v>120</v>
      </c>
      <c r="D27" s="14">
        <v>1E-14</v>
      </c>
      <c r="E27" s="14">
        <v>1E-14</v>
      </c>
      <c r="F27" s="14">
        <v>1E-14</v>
      </c>
      <c r="G27" s="14">
        <v>1E-14</v>
      </c>
      <c r="H27" s="14">
        <v>1E-14</v>
      </c>
      <c r="I27" s="14">
        <v>1E-14</v>
      </c>
      <c r="J27" s="14">
        <v>1E-14</v>
      </c>
      <c r="K27" s="14">
        <v>1E-14</v>
      </c>
      <c r="L27" s="14">
        <v>1E-14</v>
      </c>
      <c r="M27" s="14">
        <v>1E-14</v>
      </c>
      <c r="N27" s="14">
        <v>1E-14</v>
      </c>
      <c r="O27" s="14">
        <v>1E-14</v>
      </c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</row>
    <row r="28" spans="1:27" s="16" customFormat="1" outlineLevel="1" x14ac:dyDescent="0.25">
      <c r="A28" s="7">
        <f t="shared" si="4"/>
        <v>36611.660376862441</v>
      </c>
      <c r="B28" s="50" t="s">
        <v>220</v>
      </c>
      <c r="C28" s="58" t="s">
        <v>134</v>
      </c>
      <c r="D28" s="7">
        <v>4166.4398437838436</v>
      </c>
      <c r="E28" s="7">
        <v>4058.4910286179661</v>
      </c>
      <c r="F28" s="7">
        <v>4166.4398437838436</v>
      </c>
      <c r="G28" s="7">
        <v>3487.103772304682</v>
      </c>
      <c r="H28" s="7">
        <v>2344.4279832714847</v>
      </c>
      <c r="I28" s="7">
        <v>1519.5550441908201</v>
      </c>
      <c r="J28" s="7">
        <v>1519.5549071665766</v>
      </c>
      <c r="K28" s="7">
        <v>1519.5549071665785</v>
      </c>
      <c r="L28" s="7">
        <v>2072.5505680257093</v>
      </c>
      <c r="M28" s="7">
        <v>3460.6457293718695</v>
      </c>
      <c r="N28" s="7">
        <v>4130.4569053952182</v>
      </c>
      <c r="O28" s="7">
        <v>4166.4398437838445</v>
      </c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outlineLevel="1" x14ac:dyDescent="0.25">
      <c r="A29" s="7">
        <f t="shared" si="1"/>
        <v>36611.660376862441</v>
      </c>
      <c r="B29" s="50" t="s">
        <v>220</v>
      </c>
      <c r="C29" s="58" t="s">
        <v>135</v>
      </c>
      <c r="D29" s="7">
        <v>4166.4398437838436</v>
      </c>
      <c r="E29" s="7">
        <v>4058.4910286179661</v>
      </c>
      <c r="F29" s="7">
        <v>4166.4398437838436</v>
      </c>
      <c r="G29" s="7">
        <v>3487.103772304682</v>
      </c>
      <c r="H29" s="7">
        <v>2344.4279832714847</v>
      </c>
      <c r="I29" s="7">
        <v>1519.5550441908201</v>
      </c>
      <c r="J29" s="7">
        <v>1519.5549071665766</v>
      </c>
      <c r="K29" s="7">
        <v>1519.5549071665785</v>
      </c>
      <c r="L29" s="7">
        <v>2072.5505680257093</v>
      </c>
      <c r="M29" s="7">
        <v>3460.6457293718695</v>
      </c>
      <c r="N29" s="7">
        <v>4130.4569053952182</v>
      </c>
      <c r="O29" s="7">
        <v>4166.4398437838445</v>
      </c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s="16" customFormat="1" outlineLevel="1" x14ac:dyDescent="0.25">
      <c r="A30" s="7">
        <f t="shared" ref="A30" si="5">SUM(D30:AA30)</f>
        <v>38999.993844495984</v>
      </c>
      <c r="B30" s="50" t="s">
        <v>62</v>
      </c>
      <c r="C30" s="58" t="s">
        <v>169</v>
      </c>
      <c r="D30" s="7">
        <v>4130.8882562500003</v>
      </c>
      <c r="E30" s="7">
        <v>4130.8882562500003</v>
      </c>
      <c r="F30" s="7">
        <v>4130.8882562500003</v>
      </c>
      <c r="G30" s="7">
        <v>4130.8882562500003</v>
      </c>
      <c r="H30" s="7">
        <v>2875.8910833235946</v>
      </c>
      <c r="I30" s="7">
        <v>528.62378048780477</v>
      </c>
      <c r="J30" s="7">
        <v>22.018283971513107</v>
      </c>
      <c r="K30" s="7">
        <v>73.535422751015048</v>
      </c>
      <c r="L30" s="7">
        <v>3506.1957293058117</v>
      </c>
      <c r="M30" s="7">
        <v>5156.725506552084</v>
      </c>
      <c r="N30" s="7">
        <v>5156.725506552084</v>
      </c>
      <c r="O30" s="7">
        <v>5156.725506552084</v>
      </c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outlineLevel="1" x14ac:dyDescent="0.25">
      <c r="A31" s="7">
        <f t="shared" si="1"/>
        <v>32038.788288940439</v>
      </c>
      <c r="B31" s="50" t="s">
        <v>62</v>
      </c>
      <c r="C31" s="58" t="s">
        <v>168</v>
      </c>
      <c r="D31" s="7">
        <v>3355.8882562500003</v>
      </c>
      <c r="E31" s="7">
        <v>3430.8882562500003</v>
      </c>
      <c r="F31" s="7">
        <v>3355.8882562500003</v>
      </c>
      <c r="G31" s="7">
        <v>3380.8882562500003</v>
      </c>
      <c r="H31" s="7">
        <v>2100.8910833235946</v>
      </c>
      <c r="I31" s="7">
        <v>439.4321138211381</v>
      </c>
      <c r="J31" s="7">
        <v>11.184950638179773</v>
      </c>
      <c r="K31" s="7">
        <v>37.354867195459491</v>
      </c>
      <c r="L31" s="7">
        <v>2756.1957293058117</v>
      </c>
      <c r="M31" s="7">
        <v>4381.725506552084</v>
      </c>
      <c r="N31" s="7">
        <v>4406.725506552084</v>
      </c>
      <c r="O31" s="7">
        <v>4381.725506552084</v>
      </c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s="16" customFormat="1" outlineLevel="1" x14ac:dyDescent="0.25">
      <c r="A32" s="82">
        <f t="shared" ref="A32:A37" si="6">SUM(D32:AA32)</f>
        <v>97113.278999999995</v>
      </c>
      <c r="B32" s="50" t="s">
        <v>57</v>
      </c>
      <c r="C32" s="68" t="s">
        <v>172</v>
      </c>
      <c r="D32" s="10">
        <v>8092.7732499999993</v>
      </c>
      <c r="E32" s="10">
        <v>8092.7732499999993</v>
      </c>
      <c r="F32" s="10">
        <v>8092.7732499999993</v>
      </c>
      <c r="G32" s="10">
        <v>8092.7732499999993</v>
      </c>
      <c r="H32" s="10">
        <v>8092.7732499999993</v>
      </c>
      <c r="I32" s="10">
        <v>8092.7732499999993</v>
      </c>
      <c r="J32" s="10">
        <v>8092.7732499999993</v>
      </c>
      <c r="K32" s="10">
        <v>8092.7732499999993</v>
      </c>
      <c r="L32" s="10">
        <v>8092.7732499999993</v>
      </c>
      <c r="M32" s="10">
        <v>8092.7732499999993</v>
      </c>
      <c r="N32" s="10">
        <v>8092.7732499999993</v>
      </c>
      <c r="O32" s="10">
        <v>8092.7732499999993</v>
      </c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:27" s="16" customFormat="1" outlineLevel="1" x14ac:dyDescent="0.25">
      <c r="A33" s="7">
        <f t="shared" si="6"/>
        <v>97113.372953307509</v>
      </c>
      <c r="B33" s="50" t="s">
        <v>57</v>
      </c>
      <c r="C33" s="60" t="s">
        <v>173</v>
      </c>
      <c r="D33" s="10">
        <v>10963.998931422117</v>
      </c>
      <c r="E33" s="10">
        <v>10686.138403324621</v>
      </c>
      <c r="F33" s="10">
        <v>10963.998931422115</v>
      </c>
      <c r="G33" s="10">
        <v>9215.386134821958</v>
      </c>
      <c r="H33" s="10">
        <v>6274.1357126000858</v>
      </c>
      <c r="I33" s="10">
        <v>4150.9107493840838</v>
      </c>
      <c r="J33" s="10">
        <v>4150.9103966833291</v>
      </c>
      <c r="K33" s="10">
        <v>4150.9103966833336</v>
      </c>
      <c r="L33" s="10">
        <v>5574.3225459442938</v>
      </c>
      <c r="M33" s="10">
        <v>9147.283064209827</v>
      </c>
      <c r="N33" s="10">
        <v>10871.378755389618</v>
      </c>
      <c r="O33" s="10">
        <v>10963.998931422117</v>
      </c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:27" s="16" customFormat="1" outlineLevel="1" x14ac:dyDescent="0.25">
      <c r="A34" s="7">
        <f t="shared" si="6"/>
        <v>1.1999999999999997E-13</v>
      </c>
      <c r="B34" s="50" t="s">
        <v>57</v>
      </c>
      <c r="C34" s="60" t="s">
        <v>174</v>
      </c>
      <c r="D34" s="10">
        <v>1E-14</v>
      </c>
      <c r="E34" s="10">
        <v>1E-14</v>
      </c>
      <c r="F34" s="10">
        <v>1E-14</v>
      </c>
      <c r="G34" s="10">
        <v>1E-14</v>
      </c>
      <c r="H34" s="10">
        <v>1E-14</v>
      </c>
      <c r="I34" s="10">
        <v>1E-14</v>
      </c>
      <c r="J34" s="10">
        <v>1E-14</v>
      </c>
      <c r="K34" s="10">
        <v>1E-14</v>
      </c>
      <c r="L34" s="10">
        <v>1E-14</v>
      </c>
      <c r="M34" s="10">
        <v>1E-14</v>
      </c>
      <c r="N34" s="10">
        <v>1E-14</v>
      </c>
      <c r="O34" s="10">
        <v>1E-14</v>
      </c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:27" s="16" customFormat="1" outlineLevel="1" x14ac:dyDescent="0.25">
      <c r="A35" s="7">
        <f t="shared" si="6"/>
        <v>1.1999999999999997E-13</v>
      </c>
      <c r="B35" s="50" t="s">
        <v>57</v>
      </c>
      <c r="C35" s="60" t="s">
        <v>175</v>
      </c>
      <c r="D35" s="10">
        <v>1E-14</v>
      </c>
      <c r="E35" s="10">
        <v>1E-14</v>
      </c>
      <c r="F35" s="10">
        <v>1E-14</v>
      </c>
      <c r="G35" s="10">
        <v>1E-14</v>
      </c>
      <c r="H35" s="10">
        <v>1E-14</v>
      </c>
      <c r="I35" s="10">
        <v>1E-14</v>
      </c>
      <c r="J35" s="10">
        <v>1E-14</v>
      </c>
      <c r="K35" s="10">
        <v>1E-14</v>
      </c>
      <c r="L35" s="10">
        <v>1E-14</v>
      </c>
      <c r="M35" s="10">
        <v>1E-14</v>
      </c>
      <c r="N35" s="10">
        <v>1E-14</v>
      </c>
      <c r="O35" s="10">
        <v>1E-14</v>
      </c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7" s="16" customFormat="1" outlineLevel="1" x14ac:dyDescent="0.25">
      <c r="A36" s="82">
        <f t="shared" si="6"/>
        <v>238836.20802680289</v>
      </c>
      <c r="B36" s="50" t="s">
        <v>56</v>
      </c>
      <c r="C36" s="68" t="s">
        <v>85</v>
      </c>
      <c r="D36" s="10">
        <v>31300</v>
      </c>
      <c r="E36" s="10">
        <v>32000</v>
      </c>
      <c r="F36" s="10">
        <v>29500</v>
      </c>
      <c r="G36" s="10">
        <v>20000</v>
      </c>
      <c r="H36" s="10">
        <v>13000</v>
      </c>
      <c r="I36" s="10">
        <v>9104.1731024585297</v>
      </c>
      <c r="J36" s="10">
        <v>9573.6977084096889</v>
      </c>
      <c r="K36" s="10">
        <v>9522.1805696301981</v>
      </c>
      <c r="L36" s="10">
        <v>10236.156646304462</v>
      </c>
      <c r="M36" s="10">
        <v>19700</v>
      </c>
      <c r="N36" s="10">
        <v>27500</v>
      </c>
      <c r="O36" s="10">
        <v>27400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7" s="16" customFormat="1" outlineLevel="1" x14ac:dyDescent="0.25">
      <c r="A37" s="166">
        <f t="shared" si="6"/>
        <v>230400</v>
      </c>
      <c r="B37" s="50" t="s">
        <v>56</v>
      </c>
      <c r="C37" s="164" t="s">
        <v>194</v>
      </c>
      <c r="D37" s="10">
        <v>31300</v>
      </c>
      <c r="E37" s="10">
        <v>32000</v>
      </c>
      <c r="F37" s="10">
        <v>29500</v>
      </c>
      <c r="G37" s="10">
        <v>20000</v>
      </c>
      <c r="H37" s="10">
        <v>13000</v>
      </c>
      <c r="I37" s="10">
        <v>7500.0000000000009</v>
      </c>
      <c r="J37" s="10">
        <v>7500</v>
      </c>
      <c r="K37" s="10">
        <v>7000</v>
      </c>
      <c r="L37" s="10">
        <v>8000</v>
      </c>
      <c r="M37" s="10">
        <v>19700</v>
      </c>
      <c r="N37" s="10">
        <v>27500</v>
      </c>
      <c r="O37" s="10">
        <v>27400</v>
      </c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7" outlineLevel="1" x14ac:dyDescent="0.25">
      <c r="A38" s="166">
        <f t="shared" si="1"/>
        <v>192228.80972292542</v>
      </c>
      <c r="B38" s="50" t="s">
        <v>56</v>
      </c>
      <c r="C38" s="164" t="s">
        <v>91</v>
      </c>
      <c r="D38" s="10">
        <v>22122.792756111114</v>
      </c>
      <c r="E38" s="10">
        <v>21438.792756111114</v>
      </c>
      <c r="F38" s="10">
        <v>22122.792756111114</v>
      </c>
      <c r="G38" s="10">
        <v>17818.290921813725</v>
      </c>
      <c r="H38" s="10">
        <v>11888.687624167349</v>
      </c>
      <c r="I38" s="10">
        <v>8891.9432244097479</v>
      </c>
      <c r="J38" s="10">
        <v>8020.5618313421874</v>
      </c>
      <c r="K38" s="10">
        <v>8020.5618313421965</v>
      </c>
      <c r="L38" s="10">
        <v>10236.156646304462</v>
      </c>
      <c r="M38" s="10">
        <v>17650.643862990197</v>
      </c>
      <c r="N38" s="10">
        <v>21894.792756111114</v>
      </c>
      <c r="O38" s="10">
        <v>22122.792756111114</v>
      </c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7" s="16" customFormat="1" outlineLevel="1" x14ac:dyDescent="0.25">
      <c r="A39" s="7">
        <f t="shared" si="1"/>
        <v>3266.984493404284</v>
      </c>
      <c r="B39" s="50" t="s">
        <v>56</v>
      </c>
      <c r="C39" s="60" t="s">
        <v>171</v>
      </c>
      <c r="D39" s="10">
        <v>1E-14</v>
      </c>
      <c r="E39" s="10">
        <v>1E-14</v>
      </c>
      <c r="F39" s="10">
        <v>1E-14</v>
      </c>
      <c r="G39" s="10">
        <v>1E-14</v>
      </c>
      <c r="H39" s="10">
        <v>1E-14</v>
      </c>
      <c r="I39" s="10">
        <v>212.22987804878051</v>
      </c>
      <c r="J39" s="10">
        <v>1553.1358770675015</v>
      </c>
      <c r="K39" s="10">
        <v>1501.6187382880021</v>
      </c>
      <c r="L39" s="10">
        <v>1E-14</v>
      </c>
      <c r="M39" s="10">
        <v>1E-14</v>
      </c>
      <c r="N39" s="10">
        <v>1E-14</v>
      </c>
      <c r="O39" s="10">
        <v>1E-14</v>
      </c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7" s="16" customFormat="1" outlineLevel="1" x14ac:dyDescent="0.25">
      <c r="A40" s="7">
        <f t="shared" ref="A40:A42" si="7">SUM(D40:AA40)</f>
        <v>30433.698851213914</v>
      </c>
      <c r="B40" s="50" t="s">
        <v>56</v>
      </c>
      <c r="C40" s="60" t="s">
        <v>92</v>
      </c>
      <c r="D40" s="10">
        <v>5018.2642520370373</v>
      </c>
      <c r="E40" s="10">
        <v>5018.2642520370373</v>
      </c>
      <c r="F40" s="10">
        <v>5018.2642520370373</v>
      </c>
      <c r="G40" s="10">
        <v>2181.7090781862753</v>
      </c>
      <c r="H40" s="10">
        <v>1111.3123758326517</v>
      </c>
      <c r="I40" s="10">
        <v>1E-14</v>
      </c>
      <c r="J40" s="10">
        <v>1E-14</v>
      </c>
      <c r="K40" s="10">
        <v>1E-14</v>
      </c>
      <c r="L40" s="10">
        <v>1E-14</v>
      </c>
      <c r="M40" s="10">
        <v>2049.3561370098041</v>
      </c>
      <c r="N40" s="10">
        <v>5018.2642520370373</v>
      </c>
      <c r="O40" s="10">
        <v>5018.2642520370373</v>
      </c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7" outlineLevel="1" x14ac:dyDescent="0.25">
      <c r="A41" s="7"/>
      <c r="B41" s="50"/>
      <c r="C41" s="60" t="s">
        <v>93</v>
      </c>
      <c r="D41" s="48">
        <v>0.18489568223265879</v>
      </c>
      <c r="E41" s="48">
        <v>0.18967583017610501</v>
      </c>
      <c r="F41" s="48">
        <v>0.18489568223265879</v>
      </c>
      <c r="G41" s="48">
        <v>0.10908545390931376</v>
      </c>
      <c r="H41" s="48">
        <v>8.5485567371742441E-2</v>
      </c>
      <c r="I41" s="48">
        <v>1E-14</v>
      </c>
      <c r="J41" s="48">
        <v>1E-14</v>
      </c>
      <c r="K41" s="48">
        <v>1E-14</v>
      </c>
      <c r="L41" s="48">
        <v>1E-14</v>
      </c>
      <c r="M41" s="48">
        <v>0.10402823030506619</v>
      </c>
      <c r="N41" s="48">
        <v>0.18646206748336752</v>
      </c>
      <c r="O41" s="48">
        <v>0.18489568223265879</v>
      </c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7" outlineLevel="1" x14ac:dyDescent="0.25">
      <c r="A42" s="7">
        <f t="shared" si="7"/>
        <v>8436.2080268028767</v>
      </c>
      <c r="B42" s="50" t="s">
        <v>56</v>
      </c>
      <c r="C42" s="60" t="s">
        <v>84</v>
      </c>
      <c r="D42" s="7">
        <v>1E-14</v>
      </c>
      <c r="E42" s="7">
        <v>1E-14</v>
      </c>
      <c r="F42" s="7">
        <v>1E-14</v>
      </c>
      <c r="G42" s="7">
        <v>1E-14</v>
      </c>
      <c r="H42" s="7">
        <v>1E-14</v>
      </c>
      <c r="I42" s="7">
        <v>1604.1731024585288</v>
      </c>
      <c r="J42" s="7">
        <v>2073.6977084096889</v>
      </c>
      <c r="K42" s="7">
        <v>2522.1805696301981</v>
      </c>
      <c r="L42" s="7">
        <v>2236.1566463044619</v>
      </c>
      <c r="M42" s="7">
        <v>1E-14</v>
      </c>
      <c r="N42" s="7">
        <v>1E-14</v>
      </c>
      <c r="O42" s="7">
        <v>1E-14</v>
      </c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</row>
    <row r="43" spans="1:27" outlineLevel="1" x14ac:dyDescent="0.25">
      <c r="A43" s="82">
        <f t="shared" si="1"/>
        <v>1814400</v>
      </c>
      <c r="B43" s="49" t="s">
        <v>55</v>
      </c>
      <c r="C43" s="167" t="s">
        <v>88</v>
      </c>
      <c r="D43" s="14">
        <v>756000</v>
      </c>
      <c r="E43" s="14">
        <v>1E-14</v>
      </c>
      <c r="F43" s="14">
        <v>1E-14</v>
      </c>
      <c r="G43" s="14">
        <v>1E-14</v>
      </c>
      <c r="H43" s="14">
        <v>1E-14</v>
      </c>
      <c r="I43" s="14">
        <v>1E-14</v>
      </c>
      <c r="J43" s="14">
        <v>1E-14</v>
      </c>
      <c r="K43" s="14">
        <v>1E-14</v>
      </c>
      <c r="L43" s="14">
        <v>1E-14</v>
      </c>
      <c r="M43" s="14">
        <v>1E-14</v>
      </c>
      <c r="N43" s="14">
        <v>1E-14</v>
      </c>
      <c r="O43" s="14">
        <v>1058400</v>
      </c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s="16" customFormat="1" outlineLevel="1" x14ac:dyDescent="0.25">
      <c r="A44" s="81">
        <f t="shared" si="1"/>
        <v>1.1999999999999997E-13</v>
      </c>
      <c r="B44" s="49" t="s">
        <v>55</v>
      </c>
      <c r="C44" s="165" t="s">
        <v>75</v>
      </c>
      <c r="D44" s="14">
        <v>1E-14</v>
      </c>
      <c r="E44" s="14">
        <v>1E-14</v>
      </c>
      <c r="F44" s="14">
        <v>1E-14</v>
      </c>
      <c r="G44" s="14">
        <v>1E-14</v>
      </c>
      <c r="H44" s="14">
        <v>1E-14</v>
      </c>
      <c r="I44" s="14">
        <v>1E-14</v>
      </c>
      <c r="J44" s="14">
        <v>1E-14</v>
      </c>
      <c r="K44" s="14">
        <v>1E-14</v>
      </c>
      <c r="L44" s="14">
        <v>1E-14</v>
      </c>
      <c r="M44" s="14">
        <v>1E-14</v>
      </c>
      <c r="N44" s="14">
        <v>1E-14</v>
      </c>
      <c r="O44" s="14">
        <v>1E-14</v>
      </c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</row>
    <row r="45" spans="1:27" s="16" customFormat="1" outlineLevel="1" x14ac:dyDescent="0.25">
      <c r="A45" s="14">
        <f t="shared" si="1"/>
        <v>1814400</v>
      </c>
      <c r="B45" s="49" t="s">
        <v>55</v>
      </c>
      <c r="C45" s="59" t="s">
        <v>76</v>
      </c>
      <c r="D45" s="14">
        <v>756000</v>
      </c>
      <c r="E45" s="14">
        <v>1E-14</v>
      </c>
      <c r="F45" s="14">
        <v>1E-14</v>
      </c>
      <c r="G45" s="14">
        <v>1E-14</v>
      </c>
      <c r="H45" s="14">
        <v>1E-14</v>
      </c>
      <c r="I45" s="14">
        <v>1E-14</v>
      </c>
      <c r="J45" s="14">
        <v>1E-14</v>
      </c>
      <c r="K45" s="14">
        <v>1E-14</v>
      </c>
      <c r="L45" s="14">
        <v>1E-14</v>
      </c>
      <c r="M45" s="14">
        <v>1E-14</v>
      </c>
      <c r="N45" s="14">
        <v>1E-14</v>
      </c>
      <c r="O45" s="14">
        <v>1058400</v>
      </c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</row>
    <row r="46" spans="1:27" s="16" customFormat="1" outlineLevel="1" x14ac:dyDescent="0.25">
      <c r="A46" s="14">
        <f t="shared" si="1"/>
        <v>1.1999999999999997E-13</v>
      </c>
      <c r="B46" s="49" t="s">
        <v>55</v>
      </c>
      <c r="C46" s="59" t="s">
        <v>77</v>
      </c>
      <c r="D46" s="14">
        <v>1E-14</v>
      </c>
      <c r="E46" s="14">
        <v>1E-14</v>
      </c>
      <c r="F46" s="14">
        <v>1E-14</v>
      </c>
      <c r="G46" s="14">
        <v>1E-14</v>
      </c>
      <c r="H46" s="14">
        <v>1E-14</v>
      </c>
      <c r="I46" s="14">
        <v>1E-14</v>
      </c>
      <c r="J46" s="14">
        <v>1E-14</v>
      </c>
      <c r="K46" s="14">
        <v>1E-14</v>
      </c>
      <c r="L46" s="14">
        <v>1E-14</v>
      </c>
      <c r="M46" s="14">
        <v>1E-14</v>
      </c>
      <c r="N46" s="14">
        <v>1E-14</v>
      </c>
      <c r="O46" s="14">
        <v>1E-14</v>
      </c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</row>
    <row r="47" spans="1:27" s="16" customFormat="1" outlineLevel="1" x14ac:dyDescent="0.25">
      <c r="A47" s="7">
        <f t="shared" si="1"/>
        <v>1.1999999999999997E-13</v>
      </c>
      <c r="B47" s="50" t="s">
        <v>57</v>
      </c>
      <c r="C47" s="57" t="s">
        <v>78</v>
      </c>
      <c r="D47" s="7">
        <v>1E-14</v>
      </c>
      <c r="E47" s="7">
        <v>1E-14</v>
      </c>
      <c r="F47" s="7">
        <v>1E-14</v>
      </c>
      <c r="G47" s="7">
        <v>1E-14</v>
      </c>
      <c r="H47" s="7">
        <v>1E-14</v>
      </c>
      <c r="I47" s="7">
        <v>1E-14</v>
      </c>
      <c r="J47" s="7">
        <v>1E-14</v>
      </c>
      <c r="K47" s="7">
        <v>1E-14</v>
      </c>
      <c r="L47" s="7">
        <v>1E-14</v>
      </c>
      <c r="M47" s="7">
        <v>1E-14</v>
      </c>
      <c r="N47" s="7">
        <v>1E-14</v>
      </c>
      <c r="O47" s="7">
        <v>1E-14</v>
      </c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</row>
    <row r="48" spans="1:27" s="16" customFormat="1" outlineLevel="1" x14ac:dyDescent="0.25">
      <c r="A48" s="7">
        <f t="shared" si="1"/>
        <v>1.1999999999999997E-13</v>
      </c>
      <c r="B48" s="50" t="s">
        <v>56</v>
      </c>
      <c r="C48" s="57" t="s">
        <v>94</v>
      </c>
      <c r="D48" s="7">
        <v>1E-14</v>
      </c>
      <c r="E48" s="7">
        <v>1E-14</v>
      </c>
      <c r="F48" s="7">
        <v>1E-14</v>
      </c>
      <c r="G48" s="7">
        <v>1E-14</v>
      </c>
      <c r="H48" s="7">
        <v>1E-14</v>
      </c>
      <c r="I48" s="7">
        <v>1E-14</v>
      </c>
      <c r="J48" s="7">
        <v>1E-14</v>
      </c>
      <c r="K48" s="7">
        <v>1E-14</v>
      </c>
      <c r="L48" s="7">
        <v>1E-14</v>
      </c>
      <c r="M48" s="7">
        <v>1E-14</v>
      </c>
      <c r="N48" s="7">
        <v>1E-14</v>
      </c>
      <c r="O48" s="7">
        <v>1E-14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s="16" customFormat="1" outlineLevel="1" x14ac:dyDescent="0.25">
      <c r="A49" s="168">
        <f t="shared" si="1"/>
        <v>9600</v>
      </c>
      <c r="B49" s="50" t="s">
        <v>56</v>
      </c>
      <c r="C49" s="167" t="s">
        <v>193</v>
      </c>
      <c r="D49" s="7">
        <v>4000</v>
      </c>
      <c r="E49" s="7">
        <v>1E-14</v>
      </c>
      <c r="F49" s="7">
        <v>1E-14</v>
      </c>
      <c r="G49" s="7">
        <v>1E-14</v>
      </c>
      <c r="H49" s="7">
        <v>1E-14</v>
      </c>
      <c r="I49" s="7">
        <v>1E-14</v>
      </c>
      <c r="J49" s="7">
        <v>1E-14</v>
      </c>
      <c r="K49" s="7">
        <v>1E-14</v>
      </c>
      <c r="L49" s="7">
        <v>1E-14</v>
      </c>
      <c r="M49" s="7">
        <v>1E-14</v>
      </c>
      <c r="N49" s="7">
        <v>1E-14</v>
      </c>
      <c r="O49" s="7">
        <v>5600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s="171" customFormat="1" outlineLevel="1" x14ac:dyDescent="0.25">
      <c r="A50" s="169">
        <f t="shared" si="1"/>
        <v>1.1999999999999997E-13</v>
      </c>
      <c r="B50" s="170" t="s">
        <v>56</v>
      </c>
      <c r="C50" s="172" t="s">
        <v>196</v>
      </c>
      <c r="D50" s="169">
        <v>1E-14</v>
      </c>
      <c r="E50" s="169">
        <v>1E-14</v>
      </c>
      <c r="F50" s="169">
        <v>1E-14</v>
      </c>
      <c r="G50" s="169">
        <v>1E-14</v>
      </c>
      <c r="H50" s="169">
        <v>1E-14</v>
      </c>
      <c r="I50" s="169">
        <v>1E-14</v>
      </c>
      <c r="J50" s="169">
        <v>1E-14</v>
      </c>
      <c r="K50" s="169">
        <v>1E-14</v>
      </c>
      <c r="L50" s="169">
        <v>1E-14</v>
      </c>
      <c r="M50" s="169">
        <v>1E-14</v>
      </c>
      <c r="N50" s="169">
        <v>1E-14</v>
      </c>
      <c r="O50" s="169">
        <v>1E-14</v>
      </c>
      <c r="P50" s="169"/>
      <c r="Q50" s="169"/>
      <c r="R50" s="169"/>
      <c r="S50" s="169"/>
      <c r="T50" s="169"/>
      <c r="U50" s="169"/>
      <c r="V50" s="169"/>
      <c r="W50" s="169"/>
      <c r="X50" s="169"/>
      <c r="Y50" s="169"/>
      <c r="Z50" s="169"/>
      <c r="AA50" s="169"/>
    </row>
    <row r="51" spans="1:27" s="16" customFormat="1" outlineLevel="1" x14ac:dyDescent="0.25">
      <c r="A51" s="7">
        <f t="shared" si="1"/>
        <v>1.1999999999999997E-13</v>
      </c>
      <c r="B51" s="50" t="s">
        <v>56</v>
      </c>
      <c r="C51" s="173" t="s">
        <v>198</v>
      </c>
      <c r="D51" s="7">
        <v>1E-14</v>
      </c>
      <c r="E51" s="7">
        <v>1E-14</v>
      </c>
      <c r="F51" s="7">
        <v>1E-14</v>
      </c>
      <c r="G51" s="7">
        <v>1E-14</v>
      </c>
      <c r="H51" s="7">
        <v>1E-14</v>
      </c>
      <c r="I51" s="7">
        <v>1E-14</v>
      </c>
      <c r="J51" s="7">
        <v>1E-14</v>
      </c>
      <c r="K51" s="7">
        <v>1E-14</v>
      </c>
      <c r="L51" s="7">
        <v>1E-14</v>
      </c>
      <c r="M51" s="7">
        <v>1E-14</v>
      </c>
      <c r="N51" s="7">
        <v>1E-14</v>
      </c>
      <c r="O51" s="7">
        <v>1E-14</v>
      </c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s="16" customFormat="1" outlineLevel="1" x14ac:dyDescent="0.25">
      <c r="A52" s="7">
        <f t="shared" si="1"/>
        <v>1.1999999999999997E-13</v>
      </c>
      <c r="B52" s="50" t="s">
        <v>57</v>
      </c>
      <c r="C52" s="173" t="s">
        <v>197</v>
      </c>
      <c r="D52" s="7">
        <v>1E-14</v>
      </c>
      <c r="E52" s="7">
        <v>1E-14</v>
      </c>
      <c r="F52" s="7">
        <v>1E-14</v>
      </c>
      <c r="G52" s="7">
        <v>1E-14</v>
      </c>
      <c r="H52" s="7">
        <v>1E-14</v>
      </c>
      <c r="I52" s="7">
        <v>1E-14</v>
      </c>
      <c r="J52" s="7">
        <v>1E-14</v>
      </c>
      <c r="K52" s="7">
        <v>1E-14</v>
      </c>
      <c r="L52" s="7">
        <v>1E-14</v>
      </c>
      <c r="M52" s="7">
        <v>1E-14</v>
      </c>
      <c r="N52" s="7">
        <v>1E-14</v>
      </c>
      <c r="O52" s="7">
        <v>1E-14</v>
      </c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s="16" customFormat="1" outlineLevel="1" x14ac:dyDescent="0.25">
      <c r="A53" s="7">
        <f t="shared" si="1"/>
        <v>1.1999999999999997E-13</v>
      </c>
      <c r="B53" s="50" t="s">
        <v>57</v>
      </c>
      <c r="C53" s="173" t="s">
        <v>199</v>
      </c>
      <c r="D53" s="7">
        <v>1E-14</v>
      </c>
      <c r="E53" s="7">
        <v>1E-14</v>
      </c>
      <c r="F53" s="7">
        <v>1E-14</v>
      </c>
      <c r="G53" s="7">
        <v>1E-14</v>
      </c>
      <c r="H53" s="7">
        <v>1E-14</v>
      </c>
      <c r="I53" s="7">
        <v>1E-14</v>
      </c>
      <c r="J53" s="7">
        <v>1E-14</v>
      </c>
      <c r="K53" s="7">
        <v>1E-14</v>
      </c>
      <c r="L53" s="7">
        <v>1E-14</v>
      </c>
      <c r="M53" s="7">
        <v>1E-14</v>
      </c>
      <c r="N53" s="7">
        <v>1E-14</v>
      </c>
      <c r="O53" s="7">
        <v>1E-14</v>
      </c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outlineLevel="1" x14ac:dyDescent="0.25">
      <c r="B54" s="51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1:27" s="75" customFormat="1" ht="18.75" x14ac:dyDescent="0.3">
      <c r="A55" s="77" t="s">
        <v>213</v>
      </c>
      <c r="B55" s="74" t="s">
        <v>66</v>
      </c>
      <c r="C55" s="76"/>
      <c r="D55" s="78" t="s">
        <v>230</v>
      </c>
      <c r="E55" s="78" t="s">
        <v>231</v>
      </c>
      <c r="F55" s="78" t="s">
        <v>232</v>
      </c>
      <c r="G55" s="78" t="s">
        <v>233</v>
      </c>
      <c r="H55" s="78" t="s">
        <v>224</v>
      </c>
      <c r="I55" s="78" t="s">
        <v>234</v>
      </c>
      <c r="J55" s="78" t="s">
        <v>235</v>
      </c>
      <c r="K55" s="78" t="s">
        <v>236</v>
      </c>
      <c r="L55" s="78" t="s">
        <v>237</v>
      </c>
      <c r="M55" s="78" t="s">
        <v>238</v>
      </c>
      <c r="N55" s="78" t="s">
        <v>239</v>
      </c>
      <c r="O55" s="78" t="s">
        <v>240</v>
      </c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</row>
    <row r="56" spans="1:27" outlineLevel="1" x14ac:dyDescent="0.25">
      <c r="A56" s="13">
        <f t="shared" ref="A56:A92" si="8">SUM(D56:O56)</f>
        <v>60062.607866703176</v>
      </c>
      <c r="B56" s="50" t="s">
        <v>56</v>
      </c>
      <c r="C56" s="5" t="s">
        <v>109</v>
      </c>
      <c r="D56" s="13">
        <v>8406.2038005432096</v>
      </c>
      <c r="E56" s="13">
        <v>7722.2038005432096</v>
      </c>
      <c r="F56" s="13">
        <v>8406.2038005432096</v>
      </c>
      <c r="G56" s="13">
        <v>3345.2872532189517</v>
      </c>
      <c r="H56" s="13">
        <v>1704.012309610066</v>
      </c>
      <c r="I56" s="13">
        <v>6191.9432244097488</v>
      </c>
      <c r="J56" s="13">
        <v>2280</v>
      </c>
      <c r="K56" s="13">
        <v>2280</v>
      </c>
      <c r="L56" s="13">
        <v>1E-14</v>
      </c>
      <c r="M56" s="13">
        <v>3142.3460767483639</v>
      </c>
      <c r="N56" s="13">
        <v>8178.2038005432096</v>
      </c>
      <c r="O56" s="13">
        <v>8406.2038005432096</v>
      </c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outlineLevel="1" x14ac:dyDescent="0.25">
      <c r="A57" s="13">
        <f t="shared" si="8"/>
        <v>165866.88520084042</v>
      </c>
      <c r="B57" s="50" t="s">
        <v>56</v>
      </c>
      <c r="C57" s="5" t="s">
        <v>110</v>
      </c>
      <c r="D57" s="13">
        <v>18734.853207604941</v>
      </c>
      <c r="E57" s="13">
        <v>18734.853207604941</v>
      </c>
      <c r="F57" s="13">
        <v>18734.853207604941</v>
      </c>
      <c r="G57" s="13">
        <v>16654.71274678105</v>
      </c>
      <c r="H57" s="13">
        <v>11295.987690389935</v>
      </c>
      <c r="I57" s="13">
        <v>2912.2298780487804</v>
      </c>
      <c r="J57" s="13">
        <v>7293.6977084096889</v>
      </c>
      <c r="K57" s="13">
        <v>7242.1805696301981</v>
      </c>
      <c r="L57" s="13">
        <v>10236.156646304462</v>
      </c>
      <c r="M57" s="13">
        <v>16557.653923251637</v>
      </c>
      <c r="N57" s="13">
        <v>18734.853207604941</v>
      </c>
      <c r="O57" s="13">
        <v>18734.853207604941</v>
      </c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1:27" outlineLevel="1" x14ac:dyDescent="0.25">
      <c r="A58" s="13">
        <f t="shared" si="8"/>
        <v>12906.714959259245</v>
      </c>
      <c r="B58" s="50" t="s">
        <v>56</v>
      </c>
      <c r="C58" s="5" t="s">
        <v>111</v>
      </c>
      <c r="D58" s="13">
        <v>4158.942991851849</v>
      </c>
      <c r="E58" s="13">
        <v>5542.942991851849</v>
      </c>
      <c r="F58" s="13">
        <v>2358.942991851849</v>
      </c>
      <c r="G58" s="13">
        <v>1E-14</v>
      </c>
      <c r="H58" s="13">
        <v>1E-14</v>
      </c>
      <c r="I58" s="13">
        <v>1E-14</v>
      </c>
      <c r="J58" s="13">
        <v>1E-14</v>
      </c>
      <c r="K58" s="13">
        <v>1E-14</v>
      </c>
      <c r="L58" s="13">
        <v>1E-14</v>
      </c>
      <c r="M58" s="13">
        <v>1E-14</v>
      </c>
      <c r="N58" s="13">
        <v>586.942991851849</v>
      </c>
      <c r="O58" s="13">
        <v>258.942991851849</v>
      </c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1:27" outlineLevel="1" x14ac:dyDescent="0.25">
      <c r="A59" s="13">
        <f t="shared" si="8"/>
        <v>9600</v>
      </c>
      <c r="B59" s="50" t="s">
        <v>56</v>
      </c>
      <c r="C59" s="5" t="s">
        <v>70</v>
      </c>
      <c r="D59" s="197">
        <v>4000</v>
      </c>
      <c r="E59" s="13">
        <v>1E-14</v>
      </c>
      <c r="F59" s="13">
        <v>1E-14</v>
      </c>
      <c r="G59" s="13">
        <v>1E-14</v>
      </c>
      <c r="H59" s="13">
        <v>1E-14</v>
      </c>
      <c r="I59" s="13">
        <v>1E-14</v>
      </c>
      <c r="J59" s="13">
        <v>1E-14</v>
      </c>
      <c r="K59" s="13">
        <v>1E-14</v>
      </c>
      <c r="L59" s="13">
        <v>1E-14</v>
      </c>
      <c r="M59" s="13">
        <v>1E-14</v>
      </c>
      <c r="N59" s="13">
        <v>1E-14</v>
      </c>
      <c r="O59" s="13">
        <v>5600</v>
      </c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1:27" outlineLevel="1" x14ac:dyDescent="0.25">
      <c r="A60" s="13">
        <f t="shared" si="8"/>
        <v>-8436.2080268028767</v>
      </c>
      <c r="B60" s="50" t="s">
        <v>56</v>
      </c>
      <c r="C60" s="5" t="s">
        <v>112</v>
      </c>
      <c r="D60" s="13">
        <v>-1E-14</v>
      </c>
      <c r="E60" s="13">
        <v>-1E-14</v>
      </c>
      <c r="F60" s="13">
        <v>-1E-14</v>
      </c>
      <c r="G60" s="13">
        <v>-1E-14</v>
      </c>
      <c r="H60" s="13">
        <v>-1E-14</v>
      </c>
      <c r="I60" s="13">
        <v>-1604.1731024585288</v>
      </c>
      <c r="J60" s="13">
        <v>-2073.6977084096889</v>
      </c>
      <c r="K60" s="13">
        <v>-2522.1805696301981</v>
      </c>
      <c r="L60" s="13">
        <v>-2236.1566463044619</v>
      </c>
      <c r="M60" s="13">
        <v>-1E-14</v>
      </c>
      <c r="N60" s="13">
        <v>-1E-14</v>
      </c>
      <c r="O60" s="13">
        <v>-1E-14</v>
      </c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1:27" outlineLevel="1" x14ac:dyDescent="0.25">
      <c r="A61" s="13">
        <f t="shared" si="8"/>
        <v>1.1999999999999997E-13</v>
      </c>
      <c r="B61" s="50" t="s">
        <v>56</v>
      </c>
      <c r="C61" s="5" t="s">
        <v>113</v>
      </c>
      <c r="D61" s="13">
        <v>1E-14</v>
      </c>
      <c r="E61" s="13">
        <v>1E-14</v>
      </c>
      <c r="F61" s="13">
        <v>1E-14</v>
      </c>
      <c r="G61" s="13">
        <v>1E-14</v>
      </c>
      <c r="H61" s="13">
        <v>1E-14</v>
      </c>
      <c r="I61" s="13">
        <v>1E-14</v>
      </c>
      <c r="J61" s="13">
        <v>1E-14</v>
      </c>
      <c r="K61" s="13">
        <v>1E-14</v>
      </c>
      <c r="L61" s="13">
        <v>1E-14</v>
      </c>
      <c r="M61" s="13">
        <v>1E-14</v>
      </c>
      <c r="N61" s="13">
        <v>1E-14</v>
      </c>
      <c r="O61" s="13">
        <v>1E-14</v>
      </c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1:27" outlineLevel="1" x14ac:dyDescent="0.25">
      <c r="A62" s="4"/>
      <c r="B62" s="27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</row>
    <row r="63" spans="1:27" s="75" customFormat="1" ht="18.75" x14ac:dyDescent="0.3">
      <c r="A63" s="77" t="s">
        <v>214</v>
      </c>
      <c r="B63" s="74" t="s">
        <v>66</v>
      </c>
      <c r="C63" s="76"/>
      <c r="D63" s="78" t="s">
        <v>230</v>
      </c>
      <c r="E63" s="78" t="s">
        <v>231</v>
      </c>
      <c r="F63" s="78" t="s">
        <v>232</v>
      </c>
      <c r="G63" s="78" t="s">
        <v>233</v>
      </c>
      <c r="H63" s="78" t="s">
        <v>224</v>
      </c>
      <c r="I63" s="78" t="s">
        <v>234</v>
      </c>
      <c r="J63" s="78" t="s">
        <v>235</v>
      </c>
      <c r="K63" s="78" t="s">
        <v>236</v>
      </c>
      <c r="L63" s="78" t="s">
        <v>237</v>
      </c>
      <c r="M63" s="78" t="s">
        <v>238</v>
      </c>
      <c r="N63" s="78" t="s">
        <v>239</v>
      </c>
      <c r="O63" s="78" t="s">
        <v>240</v>
      </c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</row>
    <row r="64" spans="1:27" outlineLevel="1" x14ac:dyDescent="0.25">
      <c r="A64" s="199">
        <f t="shared" si="8"/>
        <v>12915.312915299997</v>
      </c>
      <c r="B64" s="52" t="s">
        <v>57</v>
      </c>
      <c r="C64" s="8" t="s">
        <v>0</v>
      </c>
      <c r="D64" s="199">
        <v>1E-14</v>
      </c>
      <c r="E64" s="199">
        <v>1424.7146603156957</v>
      </c>
      <c r="F64" s="199">
        <v>1E-14</v>
      </c>
      <c r="G64" s="199">
        <v>1E-14</v>
      </c>
      <c r="H64" s="199">
        <v>2123.2241450260017</v>
      </c>
      <c r="I64" s="199">
        <v>1E-14</v>
      </c>
      <c r="J64" s="199">
        <v>1E-14</v>
      </c>
      <c r="K64" s="199">
        <v>1E-14</v>
      </c>
      <c r="L64" s="199">
        <v>1423.4109783702097</v>
      </c>
      <c r="M64" s="199">
        <v>4996.3714966357429</v>
      </c>
      <c r="N64" s="199">
        <v>84.001899866326411</v>
      </c>
      <c r="O64" s="199">
        <v>2863.5897350860187</v>
      </c>
      <c r="P64" s="199"/>
      <c r="Q64" s="199"/>
      <c r="R64" s="199"/>
      <c r="S64" s="199"/>
      <c r="T64" s="199"/>
      <c r="U64" s="199"/>
      <c r="V64" s="199"/>
      <c r="W64" s="199"/>
      <c r="X64" s="199"/>
      <c r="Y64" s="199"/>
      <c r="Z64" s="199"/>
      <c r="AA64" s="199"/>
    </row>
    <row r="65" spans="1:27" outlineLevel="1" x14ac:dyDescent="0.25">
      <c r="A65" s="199">
        <f t="shared" si="8"/>
        <v>-1.1999999999999997E-13</v>
      </c>
      <c r="B65" s="52" t="s">
        <v>57</v>
      </c>
      <c r="C65" s="8" t="s">
        <v>1</v>
      </c>
      <c r="D65" s="199">
        <v>-1E-14</v>
      </c>
      <c r="E65" s="199">
        <v>-1E-14</v>
      </c>
      <c r="F65" s="199">
        <v>-1E-14</v>
      </c>
      <c r="G65" s="199">
        <v>-1E-14</v>
      </c>
      <c r="H65" s="199">
        <v>-1E-14</v>
      </c>
      <c r="I65" s="199">
        <v>-1E-14</v>
      </c>
      <c r="J65" s="199">
        <v>-1E-14</v>
      </c>
      <c r="K65" s="199">
        <v>-1E-14</v>
      </c>
      <c r="L65" s="199">
        <v>-1E-14</v>
      </c>
      <c r="M65" s="199">
        <v>-1E-14</v>
      </c>
      <c r="N65" s="199">
        <v>-1E-14</v>
      </c>
      <c r="O65" s="199">
        <v>-1E-14</v>
      </c>
      <c r="P65" s="199"/>
      <c r="Q65" s="199"/>
      <c r="R65" s="199"/>
      <c r="S65" s="199"/>
      <c r="T65" s="199"/>
      <c r="U65" s="199"/>
      <c r="V65" s="199"/>
      <c r="W65" s="199"/>
      <c r="X65" s="199"/>
      <c r="Y65" s="199"/>
      <c r="Z65" s="199"/>
      <c r="AA65" s="199"/>
    </row>
    <row r="66" spans="1:27" outlineLevel="1" x14ac:dyDescent="0.25">
      <c r="A66" s="199">
        <f t="shared" si="8"/>
        <v>-1.1999999999999997E-13</v>
      </c>
      <c r="B66" s="52" t="s">
        <v>57</v>
      </c>
      <c r="C66" s="8" t="s">
        <v>2</v>
      </c>
      <c r="D66" s="199">
        <v>-1E-14</v>
      </c>
      <c r="E66" s="199">
        <v>-1E-14</v>
      </c>
      <c r="F66" s="199">
        <v>-1E-14</v>
      </c>
      <c r="G66" s="199">
        <v>-1E-14</v>
      </c>
      <c r="H66" s="199">
        <v>-1E-14</v>
      </c>
      <c r="I66" s="199">
        <v>-1E-14</v>
      </c>
      <c r="J66" s="199">
        <v>-1E-14</v>
      </c>
      <c r="K66" s="199">
        <v>-1E-14</v>
      </c>
      <c r="L66" s="199">
        <v>-1E-14</v>
      </c>
      <c r="M66" s="199">
        <v>-1E-14</v>
      </c>
      <c r="N66" s="199">
        <v>-1E-14</v>
      </c>
      <c r="O66" s="199">
        <v>-1E-14</v>
      </c>
      <c r="P66" s="199"/>
      <c r="Q66" s="199"/>
      <c r="R66" s="199"/>
      <c r="S66" s="199"/>
      <c r="T66" s="199"/>
      <c r="U66" s="199"/>
      <c r="V66" s="199"/>
      <c r="W66" s="199"/>
      <c r="X66" s="199"/>
      <c r="Y66" s="199"/>
      <c r="Z66" s="199"/>
      <c r="AA66" s="199"/>
    </row>
    <row r="67" spans="1:27" outlineLevel="1" x14ac:dyDescent="0.25">
      <c r="A67" s="199">
        <f t="shared" si="8"/>
        <v>28766.808766779995</v>
      </c>
      <c r="B67" s="52" t="s">
        <v>57</v>
      </c>
      <c r="C67" s="8" t="s">
        <v>3</v>
      </c>
      <c r="D67" s="199">
        <v>2397.2340638983333</v>
      </c>
      <c r="E67" s="199">
        <v>2397.2340638983333</v>
      </c>
      <c r="F67" s="199">
        <v>2397.2340638983333</v>
      </c>
      <c r="G67" s="199">
        <v>2397.2340638983333</v>
      </c>
      <c r="H67" s="199">
        <v>2397.2340638983333</v>
      </c>
      <c r="I67" s="199">
        <v>2397.2340638983333</v>
      </c>
      <c r="J67" s="199">
        <v>2397.2340638983296</v>
      </c>
      <c r="K67" s="199">
        <v>2397.2340638983333</v>
      </c>
      <c r="L67" s="199">
        <v>2397.2340638983333</v>
      </c>
      <c r="M67" s="199">
        <v>2397.2340638983333</v>
      </c>
      <c r="N67" s="199">
        <v>2397.2340638983333</v>
      </c>
      <c r="O67" s="199">
        <v>2397.2340638983333</v>
      </c>
      <c r="P67" s="199"/>
      <c r="Q67" s="199"/>
      <c r="R67" s="199"/>
      <c r="S67" s="199"/>
      <c r="T67" s="199"/>
      <c r="U67" s="199"/>
      <c r="V67" s="199"/>
      <c r="W67" s="199"/>
      <c r="X67" s="199"/>
      <c r="Y67" s="199"/>
      <c r="Z67" s="199"/>
      <c r="AA67" s="199"/>
    </row>
    <row r="68" spans="1:27" outlineLevel="1" x14ac:dyDescent="0.25">
      <c r="A68" s="199">
        <f t="shared" si="8"/>
        <v>4232.4125270075001</v>
      </c>
      <c r="B68" s="52" t="s">
        <v>57</v>
      </c>
      <c r="C68" s="8" t="s">
        <v>4</v>
      </c>
      <c r="D68" s="199">
        <v>352.70110270074997</v>
      </c>
      <c r="E68" s="199">
        <v>352.70110270074997</v>
      </c>
      <c r="F68" s="199">
        <v>352.70110270074997</v>
      </c>
      <c r="G68" s="199">
        <v>352.70110270074997</v>
      </c>
      <c r="H68" s="199">
        <v>352.70110270074997</v>
      </c>
      <c r="I68" s="199">
        <v>352.70110270074997</v>
      </c>
      <c r="J68" s="199">
        <v>352.70075000000003</v>
      </c>
      <c r="K68" s="199">
        <v>352.70075000000003</v>
      </c>
      <c r="L68" s="199">
        <v>352.70110270074997</v>
      </c>
      <c r="M68" s="199">
        <v>352.70110270074997</v>
      </c>
      <c r="N68" s="199">
        <v>352.70110270074997</v>
      </c>
      <c r="O68" s="199">
        <v>352.70110270074997</v>
      </c>
      <c r="P68" s="199"/>
      <c r="Q68" s="199"/>
      <c r="R68" s="199"/>
      <c r="S68" s="199"/>
      <c r="T68" s="199"/>
      <c r="U68" s="199"/>
      <c r="V68" s="199"/>
      <c r="W68" s="199"/>
      <c r="X68" s="199"/>
      <c r="Y68" s="199"/>
      <c r="Z68" s="199"/>
      <c r="AA68" s="199"/>
    </row>
    <row r="69" spans="1:27" outlineLevel="1" x14ac:dyDescent="0.25">
      <c r="A69" s="199">
        <f t="shared" si="8"/>
        <v>33.350025012499998</v>
      </c>
      <c r="B69" s="52" t="s">
        <v>57</v>
      </c>
      <c r="C69" s="8" t="s">
        <v>5</v>
      </c>
      <c r="D69" s="199">
        <v>2.7791694458333334</v>
      </c>
      <c r="E69" s="199">
        <v>2.7791694458333334</v>
      </c>
      <c r="F69" s="199">
        <v>2.7791694458333334</v>
      </c>
      <c r="G69" s="199">
        <v>2.7791694458333334</v>
      </c>
      <c r="H69" s="199">
        <v>2.7791694458333334</v>
      </c>
      <c r="I69" s="199">
        <v>2.7791666666666668</v>
      </c>
      <c r="J69" s="199">
        <v>2.7791666666666668</v>
      </c>
      <c r="K69" s="199">
        <v>2.7791666666666668</v>
      </c>
      <c r="L69" s="199">
        <v>2.7791694458333334</v>
      </c>
      <c r="M69" s="199">
        <v>2.7791694458333334</v>
      </c>
      <c r="N69" s="199">
        <v>2.7791694458333334</v>
      </c>
      <c r="O69" s="199">
        <v>2.7791694458333334</v>
      </c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  <c r="AA69" s="199"/>
    </row>
    <row r="70" spans="1:27" outlineLevel="1" x14ac:dyDescent="0.25">
      <c r="A70" s="199">
        <f t="shared" si="8"/>
        <v>4289.7832173349989</v>
      </c>
      <c r="B70" s="52" t="s">
        <v>57</v>
      </c>
      <c r="C70" s="8" t="s">
        <v>6</v>
      </c>
      <c r="D70" s="199">
        <v>357.48202414833327</v>
      </c>
      <c r="E70" s="199">
        <v>357.48202414833327</v>
      </c>
      <c r="F70" s="199">
        <v>357.48202414833327</v>
      </c>
      <c r="G70" s="199">
        <v>357.48202414833327</v>
      </c>
      <c r="H70" s="199">
        <v>357.48202414833327</v>
      </c>
      <c r="I70" s="199">
        <v>357.48166666666663</v>
      </c>
      <c r="J70" s="199">
        <v>357.48166666666663</v>
      </c>
      <c r="K70" s="199">
        <v>357.48166666666663</v>
      </c>
      <c r="L70" s="199">
        <v>357.48202414833327</v>
      </c>
      <c r="M70" s="199">
        <v>357.48202414833327</v>
      </c>
      <c r="N70" s="199">
        <v>357.48202414833327</v>
      </c>
      <c r="O70" s="199">
        <v>357.48202414833327</v>
      </c>
      <c r="P70" s="199"/>
      <c r="Q70" s="199"/>
      <c r="R70" s="199"/>
      <c r="S70" s="199"/>
      <c r="T70" s="199"/>
      <c r="U70" s="199"/>
      <c r="V70" s="199"/>
      <c r="W70" s="199"/>
      <c r="X70" s="199"/>
      <c r="Y70" s="199"/>
      <c r="Z70" s="199"/>
      <c r="AA70" s="199"/>
    </row>
    <row r="71" spans="1:27" outlineLevel="1" x14ac:dyDescent="0.25">
      <c r="A71" s="199">
        <f t="shared" si="8"/>
        <v>106.90010689999995</v>
      </c>
      <c r="B71" s="52" t="s">
        <v>57</v>
      </c>
      <c r="C71" s="8" t="s">
        <v>7</v>
      </c>
      <c r="D71" s="199">
        <v>8.9083422416666647</v>
      </c>
      <c r="E71" s="199">
        <v>8.9083422416666647</v>
      </c>
      <c r="F71" s="199">
        <v>8.9083422416666647</v>
      </c>
      <c r="G71" s="199">
        <v>8.9083422416666647</v>
      </c>
      <c r="H71" s="199">
        <v>8.9083422416666647</v>
      </c>
      <c r="I71" s="199">
        <v>8.9083422416666647</v>
      </c>
      <c r="J71" s="199">
        <v>8.9083422416666647</v>
      </c>
      <c r="K71" s="199">
        <v>8.9083422416666647</v>
      </c>
      <c r="L71" s="199">
        <v>8.9083422416666647</v>
      </c>
      <c r="M71" s="199">
        <v>8.9083422416666647</v>
      </c>
      <c r="N71" s="199">
        <v>8.9083422416666647</v>
      </c>
      <c r="O71" s="199">
        <v>8.9083422416666647</v>
      </c>
      <c r="P71" s="199"/>
      <c r="Q71" s="199"/>
      <c r="R71" s="199"/>
      <c r="S71" s="199"/>
      <c r="T71" s="199"/>
      <c r="U71" s="199"/>
      <c r="V71" s="199"/>
      <c r="W71" s="199"/>
      <c r="X71" s="199"/>
      <c r="Y71" s="199"/>
      <c r="Z71" s="199"/>
      <c r="AA71" s="199"/>
    </row>
    <row r="72" spans="1:27" outlineLevel="1" x14ac:dyDescent="0.25">
      <c r="A72" s="199">
        <f t="shared" si="8"/>
        <v>4266.0131995074998</v>
      </c>
      <c r="B72" s="52" t="s">
        <v>57</v>
      </c>
      <c r="C72" s="8" t="s">
        <v>8</v>
      </c>
      <c r="D72" s="199">
        <v>355.50118883416661</v>
      </c>
      <c r="E72" s="199">
        <v>355.50118883416661</v>
      </c>
      <c r="F72" s="199">
        <v>355.50118883416661</v>
      </c>
      <c r="G72" s="199">
        <v>355.50118883416661</v>
      </c>
      <c r="H72" s="199">
        <v>355.50118883416661</v>
      </c>
      <c r="I72" s="199">
        <v>355.50083333333333</v>
      </c>
      <c r="J72" s="199">
        <v>355.50083333333333</v>
      </c>
      <c r="K72" s="199">
        <v>355.50083333333333</v>
      </c>
      <c r="L72" s="199">
        <v>355.50118883416661</v>
      </c>
      <c r="M72" s="199">
        <v>355.50118883416661</v>
      </c>
      <c r="N72" s="199">
        <v>355.50118883416661</v>
      </c>
      <c r="O72" s="199">
        <v>355.50118883416661</v>
      </c>
      <c r="P72" s="199"/>
      <c r="Q72" s="199"/>
      <c r="R72" s="199"/>
      <c r="S72" s="199"/>
      <c r="T72" s="199"/>
      <c r="U72" s="199"/>
      <c r="V72" s="199"/>
      <c r="W72" s="199"/>
      <c r="X72" s="199"/>
      <c r="Y72" s="199"/>
      <c r="Z72" s="199"/>
      <c r="AA72" s="199"/>
    </row>
    <row r="73" spans="1:27" outlineLevel="1" x14ac:dyDescent="0.25">
      <c r="A73" s="199">
        <f t="shared" si="8"/>
        <v>398.46039846000002</v>
      </c>
      <c r="B73" s="52" t="s">
        <v>57</v>
      </c>
      <c r="C73" s="8" t="s">
        <v>9</v>
      </c>
      <c r="D73" s="199">
        <v>33.205033204999992</v>
      </c>
      <c r="E73" s="199">
        <v>33.205033204999992</v>
      </c>
      <c r="F73" s="199">
        <v>33.205033204999992</v>
      </c>
      <c r="G73" s="199">
        <v>33.205033204999992</v>
      </c>
      <c r="H73" s="199">
        <v>33.205033204999992</v>
      </c>
      <c r="I73" s="199">
        <v>33.205033204999992</v>
      </c>
      <c r="J73" s="199">
        <v>33.205033204999992</v>
      </c>
      <c r="K73" s="199">
        <v>33.205033204999992</v>
      </c>
      <c r="L73" s="199">
        <v>33.205033204999992</v>
      </c>
      <c r="M73" s="199">
        <v>33.205033204999992</v>
      </c>
      <c r="N73" s="199">
        <v>33.205033204999992</v>
      </c>
      <c r="O73" s="199">
        <v>33.205033204999992</v>
      </c>
      <c r="P73" s="199"/>
      <c r="Q73" s="199"/>
      <c r="R73" s="199"/>
      <c r="S73" s="199"/>
      <c r="T73" s="199"/>
      <c r="U73" s="199"/>
      <c r="V73" s="199"/>
      <c r="W73" s="199"/>
      <c r="X73" s="199"/>
      <c r="Y73" s="199"/>
      <c r="Z73" s="199"/>
      <c r="AA73" s="199"/>
    </row>
    <row r="74" spans="1:27" outlineLevel="1" x14ac:dyDescent="0.25">
      <c r="A74" s="199">
        <f t="shared" si="8"/>
        <v>6141.6761416699974</v>
      </c>
      <c r="B74" s="52" t="s">
        <v>57</v>
      </c>
      <c r="C74" s="8" t="s">
        <v>10</v>
      </c>
      <c r="D74" s="199">
        <v>511.80634513916658</v>
      </c>
      <c r="E74" s="199">
        <v>511.80634513916658</v>
      </c>
      <c r="F74" s="199">
        <v>511.80634513916658</v>
      </c>
      <c r="G74" s="199">
        <v>511.80634513916658</v>
      </c>
      <c r="H74" s="199">
        <v>511.80634513916658</v>
      </c>
      <c r="I74" s="199">
        <v>511.80634513916658</v>
      </c>
      <c r="J74" s="199">
        <v>511.80634513916533</v>
      </c>
      <c r="K74" s="199">
        <v>511.80634513916658</v>
      </c>
      <c r="L74" s="199">
        <v>511.80634513916658</v>
      </c>
      <c r="M74" s="199">
        <v>511.80634513916658</v>
      </c>
      <c r="N74" s="199">
        <v>511.80634513916658</v>
      </c>
      <c r="O74" s="199">
        <v>511.80634513916658</v>
      </c>
      <c r="P74" s="199"/>
      <c r="Q74" s="199"/>
      <c r="R74" s="199"/>
      <c r="S74" s="199"/>
      <c r="T74" s="199"/>
      <c r="U74" s="199"/>
      <c r="V74" s="199"/>
      <c r="W74" s="199"/>
      <c r="X74" s="199"/>
      <c r="Y74" s="199"/>
      <c r="Z74" s="199"/>
      <c r="AA74" s="199"/>
    </row>
    <row r="75" spans="1:27" outlineLevel="1" x14ac:dyDescent="0.25">
      <c r="A75" s="199">
        <f t="shared" si="8"/>
        <v>134.19013418999995</v>
      </c>
      <c r="B75" s="52" t="s">
        <v>57</v>
      </c>
      <c r="C75" s="8" t="s">
        <v>11</v>
      </c>
      <c r="D75" s="199">
        <v>11.182511182499999</v>
      </c>
      <c r="E75" s="199">
        <v>11.182511182499999</v>
      </c>
      <c r="F75" s="199">
        <v>11.182511182499999</v>
      </c>
      <c r="G75" s="199">
        <v>11.182511182499999</v>
      </c>
      <c r="H75" s="199">
        <v>11.182511182499999</v>
      </c>
      <c r="I75" s="199">
        <v>11.182511182499999</v>
      </c>
      <c r="J75" s="199">
        <v>11.182511182499999</v>
      </c>
      <c r="K75" s="199">
        <v>11.182511182499999</v>
      </c>
      <c r="L75" s="199">
        <v>11.182511182499999</v>
      </c>
      <c r="M75" s="199">
        <v>11.182511182499999</v>
      </c>
      <c r="N75" s="199">
        <v>11.182511182499999</v>
      </c>
      <c r="O75" s="199">
        <v>11.182511182499999</v>
      </c>
      <c r="P75" s="199"/>
      <c r="Q75" s="199"/>
      <c r="R75" s="199"/>
      <c r="S75" s="199"/>
      <c r="T75" s="199"/>
      <c r="U75" s="199"/>
      <c r="V75" s="199"/>
      <c r="W75" s="199"/>
      <c r="X75" s="199"/>
      <c r="Y75" s="199"/>
      <c r="Z75" s="199"/>
      <c r="AA75" s="199"/>
    </row>
    <row r="76" spans="1:27" outlineLevel="1" x14ac:dyDescent="0.25">
      <c r="A76" s="199">
        <f t="shared" si="8"/>
        <v>57.780043335000009</v>
      </c>
      <c r="B76" s="52" t="s">
        <v>57</v>
      </c>
      <c r="C76" s="8" t="s">
        <v>12</v>
      </c>
      <c r="D76" s="199">
        <v>4.815004815</v>
      </c>
      <c r="E76" s="199">
        <v>4.815004815</v>
      </c>
      <c r="F76" s="199">
        <v>4.815004815</v>
      </c>
      <c r="G76" s="199">
        <v>4.815004815</v>
      </c>
      <c r="H76" s="199">
        <v>4.815004815</v>
      </c>
      <c r="I76" s="199">
        <v>4.8150000000000004</v>
      </c>
      <c r="J76" s="199">
        <v>4.8150000000000004</v>
      </c>
      <c r="K76" s="199">
        <v>4.8150000000000004</v>
      </c>
      <c r="L76" s="199">
        <v>4.815004815</v>
      </c>
      <c r="M76" s="199">
        <v>4.815004815</v>
      </c>
      <c r="N76" s="199">
        <v>4.815004815</v>
      </c>
      <c r="O76" s="199">
        <v>4.815004815</v>
      </c>
      <c r="P76" s="199"/>
      <c r="Q76" s="199"/>
      <c r="R76" s="199"/>
      <c r="S76" s="199"/>
      <c r="T76" s="199"/>
      <c r="U76" s="199"/>
      <c r="V76" s="199"/>
      <c r="W76" s="199"/>
      <c r="X76" s="199"/>
      <c r="Y76" s="199"/>
      <c r="Z76" s="199"/>
      <c r="AA76" s="199"/>
    </row>
    <row r="77" spans="1:27" outlineLevel="1" x14ac:dyDescent="0.25">
      <c r="A77" s="199">
        <f t="shared" si="8"/>
        <v>12.890009667499999</v>
      </c>
      <c r="B77" s="52" t="s">
        <v>57</v>
      </c>
      <c r="C77" s="8" t="s">
        <v>13</v>
      </c>
      <c r="D77" s="199">
        <v>1.0741677408333332</v>
      </c>
      <c r="E77" s="199">
        <v>1.0741677408333332</v>
      </c>
      <c r="F77" s="199">
        <v>1.0741677408333332</v>
      </c>
      <c r="G77" s="199">
        <v>1.0741677408333332</v>
      </c>
      <c r="H77" s="199">
        <v>1.0741677408333332</v>
      </c>
      <c r="I77" s="199">
        <v>1.0741666666666667</v>
      </c>
      <c r="J77" s="199">
        <v>1.0741666666666667</v>
      </c>
      <c r="K77" s="199">
        <v>1.0741666666666667</v>
      </c>
      <c r="L77" s="199">
        <v>1.0741677408333332</v>
      </c>
      <c r="M77" s="199">
        <v>1.0741677408333332</v>
      </c>
      <c r="N77" s="199">
        <v>1.0741677408333332</v>
      </c>
      <c r="O77" s="199">
        <v>1.0741677408333332</v>
      </c>
      <c r="P77" s="199"/>
      <c r="Q77" s="199"/>
      <c r="R77" s="199"/>
      <c r="S77" s="199"/>
      <c r="T77" s="199"/>
      <c r="U77" s="199"/>
      <c r="V77" s="199"/>
      <c r="W77" s="199"/>
      <c r="X77" s="199"/>
      <c r="Y77" s="199"/>
      <c r="Z77" s="199"/>
      <c r="AA77" s="199"/>
    </row>
    <row r="78" spans="1:27" outlineLevel="1" x14ac:dyDescent="0.25">
      <c r="A78" s="199">
        <f t="shared" si="8"/>
        <v>34233.034232999998</v>
      </c>
      <c r="B78" s="52" t="s">
        <v>57</v>
      </c>
      <c r="C78" s="8" t="s">
        <v>14</v>
      </c>
      <c r="D78" s="199">
        <v>6813.0873638480316</v>
      </c>
      <c r="E78" s="199">
        <v>5110.5121754348402</v>
      </c>
      <c r="F78" s="199">
        <v>6813.0872097580313</v>
      </c>
      <c r="G78" s="199">
        <v>4910.3845672478747</v>
      </c>
      <c r="H78" s="199">
        <v>1E-14</v>
      </c>
      <c r="I78" s="199">
        <v>1E-14</v>
      </c>
      <c r="J78" s="199">
        <v>1E-14</v>
      </c>
      <c r="K78" s="199">
        <v>1E-14</v>
      </c>
      <c r="L78" s="199">
        <v>1E-14</v>
      </c>
      <c r="M78" s="199">
        <v>1E-14</v>
      </c>
      <c r="N78" s="199">
        <v>6636.4652879492069</v>
      </c>
      <c r="O78" s="199">
        <v>3949.4976287620125</v>
      </c>
      <c r="P78" s="199"/>
      <c r="Q78" s="199"/>
      <c r="R78" s="199"/>
      <c r="S78" s="199"/>
      <c r="T78" s="199"/>
      <c r="U78" s="199"/>
      <c r="V78" s="199"/>
      <c r="W78" s="199"/>
      <c r="X78" s="199"/>
      <c r="Y78" s="199"/>
      <c r="Z78" s="199"/>
      <c r="AA78" s="199"/>
    </row>
    <row r="79" spans="1:27" outlineLevel="1" x14ac:dyDescent="0.25">
      <c r="A79" s="199">
        <f t="shared" si="8"/>
        <v>154.09015409000003</v>
      </c>
      <c r="B79" s="52" t="s">
        <v>57</v>
      </c>
      <c r="C79" s="8" t="s">
        <v>15</v>
      </c>
      <c r="D79" s="199">
        <v>1E-14</v>
      </c>
      <c r="E79" s="199">
        <v>1E-14</v>
      </c>
      <c r="F79" s="199">
        <v>1.5408999999522166E-4</v>
      </c>
      <c r="G79" s="199">
        <v>154.09</v>
      </c>
      <c r="H79" s="199">
        <v>1E-14</v>
      </c>
      <c r="I79" s="199">
        <v>1E-14</v>
      </c>
      <c r="J79" s="199">
        <v>1E-14</v>
      </c>
      <c r="K79" s="199">
        <v>1E-14</v>
      </c>
      <c r="L79" s="199">
        <v>1E-14</v>
      </c>
      <c r="M79" s="199">
        <v>1E-14</v>
      </c>
      <c r="N79" s="199">
        <v>1E-14</v>
      </c>
      <c r="O79" s="199">
        <v>1E-14</v>
      </c>
      <c r="P79" s="199"/>
      <c r="Q79" s="199"/>
      <c r="R79" s="199"/>
      <c r="S79" s="199"/>
      <c r="T79" s="199"/>
      <c r="U79" s="199"/>
      <c r="V79" s="199"/>
      <c r="W79" s="199"/>
      <c r="X79" s="199"/>
      <c r="Y79" s="199"/>
      <c r="Z79" s="199"/>
      <c r="AA79" s="199"/>
    </row>
    <row r="80" spans="1:27" outlineLevel="1" x14ac:dyDescent="0.25">
      <c r="A80" s="199">
        <f t="shared" si="8"/>
        <v>-1.1999999999999997E-13</v>
      </c>
      <c r="B80" s="52" t="s">
        <v>57</v>
      </c>
      <c r="C80" s="8" t="s">
        <v>16</v>
      </c>
      <c r="D80" s="199">
        <v>-1E-14</v>
      </c>
      <c r="E80" s="199">
        <v>-1E-14</v>
      </c>
      <c r="F80" s="199">
        <v>-1E-14</v>
      </c>
      <c r="G80" s="199">
        <v>-1E-14</v>
      </c>
      <c r="H80" s="199">
        <v>-1E-14</v>
      </c>
      <c r="I80" s="199">
        <v>-1E-14</v>
      </c>
      <c r="J80" s="199">
        <v>-1E-14</v>
      </c>
      <c r="K80" s="199">
        <v>-1E-14</v>
      </c>
      <c r="L80" s="199">
        <v>-1E-14</v>
      </c>
      <c r="M80" s="199">
        <v>-1E-14</v>
      </c>
      <c r="N80" s="199">
        <v>-1E-14</v>
      </c>
      <c r="O80" s="199">
        <v>-1E-14</v>
      </c>
      <c r="P80" s="199"/>
      <c r="Q80" s="199"/>
      <c r="R80" s="199"/>
      <c r="S80" s="199"/>
      <c r="T80" s="199"/>
      <c r="U80" s="199"/>
      <c r="V80" s="199"/>
      <c r="W80" s="199"/>
      <c r="X80" s="199"/>
      <c r="Y80" s="199"/>
      <c r="Z80" s="199"/>
      <c r="AA80" s="199"/>
    </row>
    <row r="81" spans="1:27" outlineLevel="1" x14ac:dyDescent="0.25">
      <c r="A81" s="199">
        <f t="shared" si="8"/>
        <v>1044.5307833975</v>
      </c>
      <c r="B81" s="52" t="s">
        <v>57</v>
      </c>
      <c r="C81" s="8" t="s">
        <v>18</v>
      </c>
      <c r="D81" s="199">
        <v>87.044253710833331</v>
      </c>
      <c r="E81" s="199">
        <v>87.044253710833331</v>
      </c>
      <c r="F81" s="199">
        <v>87.044253710833331</v>
      </c>
      <c r="G81" s="199">
        <v>87.044253710833331</v>
      </c>
      <c r="H81" s="199">
        <v>87.044253710833331</v>
      </c>
      <c r="I81" s="199">
        <v>87.044166666666669</v>
      </c>
      <c r="J81" s="199">
        <v>87.044166666666669</v>
      </c>
      <c r="K81" s="199">
        <v>87.044166666666669</v>
      </c>
      <c r="L81" s="199">
        <v>87.044253710833331</v>
      </c>
      <c r="M81" s="199">
        <v>87.044253710833331</v>
      </c>
      <c r="N81" s="199">
        <v>87.044253710833331</v>
      </c>
      <c r="O81" s="199">
        <v>87.044253710833331</v>
      </c>
      <c r="P81" s="199"/>
      <c r="Q81" s="199"/>
      <c r="R81" s="199"/>
      <c r="S81" s="199"/>
      <c r="T81" s="199"/>
      <c r="U81" s="199"/>
      <c r="V81" s="199"/>
      <c r="W81" s="199"/>
      <c r="X81" s="199"/>
      <c r="Y81" s="199"/>
      <c r="Z81" s="199"/>
      <c r="AA81" s="199"/>
    </row>
    <row r="82" spans="1:27" outlineLevel="1" x14ac:dyDescent="0.25">
      <c r="A82" s="199">
        <f t="shared" si="8"/>
        <v>-1.1999999999999997E-13</v>
      </c>
      <c r="B82" s="52" t="s">
        <v>57</v>
      </c>
      <c r="C82" s="8" t="s">
        <v>19</v>
      </c>
      <c r="D82" s="199">
        <v>-1E-14</v>
      </c>
      <c r="E82" s="199">
        <v>-1E-14</v>
      </c>
      <c r="F82" s="199">
        <v>-1E-14</v>
      </c>
      <c r="G82" s="199">
        <v>-1E-14</v>
      </c>
      <c r="H82" s="199">
        <v>-1E-14</v>
      </c>
      <c r="I82" s="199">
        <v>-1E-14</v>
      </c>
      <c r="J82" s="199">
        <v>-1E-14</v>
      </c>
      <c r="K82" s="199">
        <v>-1E-14</v>
      </c>
      <c r="L82" s="199">
        <v>-1E-14</v>
      </c>
      <c r="M82" s="199">
        <v>-1E-14</v>
      </c>
      <c r="N82" s="199">
        <v>-1E-14</v>
      </c>
      <c r="O82" s="199">
        <v>-1E-14</v>
      </c>
      <c r="P82" s="199"/>
      <c r="Q82" s="199"/>
      <c r="R82" s="199"/>
      <c r="S82" s="199"/>
      <c r="T82" s="199"/>
      <c r="U82" s="199"/>
      <c r="V82" s="199"/>
      <c r="W82" s="199"/>
      <c r="X82" s="199"/>
      <c r="Y82" s="199"/>
      <c r="Z82" s="199"/>
      <c r="AA82" s="199"/>
    </row>
    <row r="83" spans="1:27" outlineLevel="1" x14ac:dyDescent="0.25">
      <c r="A83" s="199">
        <f t="shared" si="8"/>
        <v>113.940085455</v>
      </c>
      <c r="B83" s="52" t="s">
        <v>57</v>
      </c>
      <c r="C83" s="8" t="s">
        <v>20</v>
      </c>
      <c r="D83" s="199">
        <v>9.4950094949999979</v>
      </c>
      <c r="E83" s="199">
        <v>9.4950094949999979</v>
      </c>
      <c r="F83" s="199">
        <v>9.4950094949999979</v>
      </c>
      <c r="G83" s="199">
        <v>9.4950094949999979</v>
      </c>
      <c r="H83" s="199">
        <v>9.4950094949999979</v>
      </c>
      <c r="I83" s="199">
        <v>9.4949999999999992</v>
      </c>
      <c r="J83" s="199">
        <v>9.4949999999999992</v>
      </c>
      <c r="K83" s="199">
        <v>9.4949999999999992</v>
      </c>
      <c r="L83" s="199">
        <v>9.4950094949999979</v>
      </c>
      <c r="M83" s="199">
        <v>9.4950094949999979</v>
      </c>
      <c r="N83" s="199">
        <v>9.4950094949999979</v>
      </c>
      <c r="O83" s="199">
        <v>9.4950094949999979</v>
      </c>
      <c r="P83" s="199"/>
      <c r="Q83" s="199"/>
      <c r="R83" s="199"/>
      <c r="S83" s="199"/>
      <c r="T83" s="199"/>
      <c r="U83" s="199"/>
      <c r="V83" s="199"/>
      <c r="W83" s="199"/>
      <c r="X83" s="199"/>
      <c r="Y83" s="199"/>
      <c r="Z83" s="199"/>
      <c r="AA83" s="199"/>
    </row>
    <row r="84" spans="1:27" outlineLevel="1" x14ac:dyDescent="0.25">
      <c r="A84" s="199">
        <f t="shared" si="8"/>
        <v>212.20021220000004</v>
      </c>
      <c r="B84" s="52" t="s">
        <v>57</v>
      </c>
      <c r="C84" s="8" t="s">
        <v>17</v>
      </c>
      <c r="D84" s="199">
        <v>17.683351016666666</v>
      </c>
      <c r="E84" s="199">
        <v>17.683351016666666</v>
      </c>
      <c r="F84" s="199">
        <v>17.683351016666666</v>
      </c>
      <c r="G84" s="199">
        <v>17.683351016666666</v>
      </c>
      <c r="H84" s="199">
        <v>17.683351016666666</v>
      </c>
      <c r="I84" s="199">
        <v>17.683351016666666</v>
      </c>
      <c r="J84" s="199">
        <v>17.683351016666666</v>
      </c>
      <c r="K84" s="199">
        <v>17.683351016666666</v>
      </c>
      <c r="L84" s="199">
        <v>17.683351016666666</v>
      </c>
      <c r="M84" s="199">
        <v>17.683351016666666</v>
      </c>
      <c r="N84" s="199">
        <v>17.683351016666666</v>
      </c>
      <c r="O84" s="199">
        <v>17.683351016666666</v>
      </c>
      <c r="P84" s="199"/>
      <c r="Q84" s="199"/>
      <c r="R84" s="199"/>
      <c r="S84" s="199"/>
      <c r="T84" s="199"/>
      <c r="U84" s="199"/>
      <c r="V84" s="199"/>
      <c r="W84" s="199"/>
      <c r="X84" s="199"/>
      <c r="Y84" s="199"/>
      <c r="Z84" s="199"/>
      <c r="AA84" s="199"/>
    </row>
    <row r="85" spans="1:27" outlineLevel="1" x14ac:dyDescent="0.25">
      <c r="A85" s="199">
        <f t="shared" si="8"/>
        <v>-1.1999999999999997E-13</v>
      </c>
      <c r="B85" s="52" t="s">
        <v>57</v>
      </c>
      <c r="C85" s="8" t="s">
        <v>26</v>
      </c>
      <c r="D85" s="199">
        <v>-1E-14</v>
      </c>
      <c r="E85" s="199">
        <v>-1E-14</v>
      </c>
      <c r="F85" s="199">
        <v>-1E-14</v>
      </c>
      <c r="G85" s="199">
        <v>-1E-14</v>
      </c>
      <c r="H85" s="199">
        <v>-1E-14</v>
      </c>
      <c r="I85" s="199">
        <v>-1E-14</v>
      </c>
      <c r="J85" s="199">
        <v>-1E-14</v>
      </c>
      <c r="K85" s="199">
        <v>-1E-14</v>
      </c>
      <c r="L85" s="199">
        <v>-1E-14</v>
      </c>
      <c r="M85" s="199">
        <v>-1E-14</v>
      </c>
      <c r="N85" s="199">
        <v>-1E-14</v>
      </c>
      <c r="O85" s="199">
        <v>-1E-14</v>
      </c>
      <c r="P85" s="199"/>
      <c r="Q85" s="199"/>
      <c r="R85" s="199"/>
      <c r="S85" s="199"/>
      <c r="T85" s="199"/>
      <c r="U85" s="199"/>
      <c r="V85" s="199"/>
      <c r="W85" s="199"/>
      <c r="X85" s="199"/>
      <c r="Y85" s="199"/>
      <c r="Z85" s="199"/>
      <c r="AA85" s="199"/>
    </row>
    <row r="86" spans="1:27" outlineLevel="1" x14ac:dyDescent="0.25">
      <c r="A86" s="199">
        <f t="shared" si="8"/>
        <v>-1.1999999999999997E-13</v>
      </c>
      <c r="B86" s="52" t="s">
        <v>57</v>
      </c>
      <c r="C86" s="8" t="s">
        <v>27</v>
      </c>
      <c r="D86" s="199">
        <v>-1E-14</v>
      </c>
      <c r="E86" s="199">
        <v>-1E-14</v>
      </c>
      <c r="F86" s="199">
        <v>-1E-14</v>
      </c>
      <c r="G86" s="199">
        <v>-1E-14</v>
      </c>
      <c r="H86" s="199">
        <v>-1E-14</v>
      </c>
      <c r="I86" s="199">
        <v>-1E-14</v>
      </c>
      <c r="J86" s="199">
        <v>-1E-14</v>
      </c>
      <c r="K86" s="199">
        <v>-1E-14</v>
      </c>
      <c r="L86" s="199">
        <v>-1E-14</v>
      </c>
      <c r="M86" s="199">
        <v>-1E-14</v>
      </c>
      <c r="N86" s="199">
        <v>-1E-14</v>
      </c>
      <c r="O86" s="199">
        <v>-1E-14</v>
      </c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  <c r="AA86" s="199"/>
    </row>
    <row r="87" spans="1:27" s="16" customFormat="1" outlineLevel="1" x14ac:dyDescent="0.25">
      <c r="A87" s="199">
        <f t="shared" si="8"/>
        <v>-1.1999999999999997E-13</v>
      </c>
      <c r="B87" s="52" t="s">
        <v>57</v>
      </c>
      <c r="C87" s="8" t="s">
        <v>59</v>
      </c>
      <c r="D87" s="199">
        <v>-1E-14</v>
      </c>
      <c r="E87" s="199">
        <v>-1E-14</v>
      </c>
      <c r="F87" s="199">
        <v>-1E-14</v>
      </c>
      <c r="G87" s="199">
        <v>-1E-14</v>
      </c>
      <c r="H87" s="199">
        <v>-1E-14</v>
      </c>
      <c r="I87" s="199">
        <v>-1E-14</v>
      </c>
      <c r="J87" s="199">
        <v>-1E-14</v>
      </c>
      <c r="K87" s="199">
        <v>-1E-14</v>
      </c>
      <c r="L87" s="199">
        <v>-1E-14</v>
      </c>
      <c r="M87" s="199">
        <v>-1E-14</v>
      </c>
      <c r="N87" s="199">
        <v>-1E-14</v>
      </c>
      <c r="O87" s="199">
        <v>-1E-14</v>
      </c>
      <c r="P87" s="199"/>
      <c r="Q87" s="199"/>
      <c r="R87" s="199"/>
      <c r="S87" s="199"/>
      <c r="T87" s="199"/>
      <c r="U87" s="199"/>
      <c r="V87" s="199"/>
      <c r="W87" s="199"/>
      <c r="X87" s="199"/>
      <c r="Y87" s="199"/>
      <c r="Z87" s="199"/>
      <c r="AA87" s="199"/>
    </row>
    <row r="88" spans="1:27" s="16" customFormat="1" outlineLevel="1" x14ac:dyDescent="0.25">
      <c r="A88" s="199">
        <f t="shared" si="8"/>
        <v>-1.1999999999999997E-13</v>
      </c>
      <c r="B88" s="52" t="s">
        <v>57</v>
      </c>
      <c r="C88" s="8" t="s">
        <v>60</v>
      </c>
      <c r="D88" s="199">
        <v>-1E-14</v>
      </c>
      <c r="E88" s="199">
        <v>-1E-14</v>
      </c>
      <c r="F88" s="199">
        <v>-1E-14</v>
      </c>
      <c r="G88" s="199">
        <v>-1E-14</v>
      </c>
      <c r="H88" s="199">
        <v>-1E-14</v>
      </c>
      <c r="I88" s="199">
        <v>-1E-14</v>
      </c>
      <c r="J88" s="199">
        <v>-1E-14</v>
      </c>
      <c r="K88" s="199">
        <v>-1E-14</v>
      </c>
      <c r="L88" s="199">
        <v>-1E-14</v>
      </c>
      <c r="M88" s="199">
        <v>-1E-14</v>
      </c>
      <c r="N88" s="199">
        <v>-1E-14</v>
      </c>
      <c r="O88" s="199">
        <v>-1E-14</v>
      </c>
      <c r="P88" s="199"/>
      <c r="Q88" s="199"/>
      <c r="R88" s="199"/>
      <c r="S88" s="199"/>
      <c r="T88" s="199"/>
      <c r="U88" s="199"/>
      <c r="V88" s="199"/>
      <c r="W88" s="199"/>
      <c r="X88" s="199"/>
      <c r="Y88" s="199"/>
      <c r="Z88" s="199"/>
      <c r="AA88" s="199"/>
    </row>
    <row r="89" spans="1:27" s="16" customFormat="1" outlineLevel="1" x14ac:dyDescent="0.25">
      <c r="A89" s="199">
        <f t="shared" si="8"/>
        <v>-1.1999999999999997E-13</v>
      </c>
      <c r="B89" s="52" t="s">
        <v>57</v>
      </c>
      <c r="C89" s="8" t="s">
        <v>61</v>
      </c>
      <c r="D89" s="199">
        <v>-1E-14</v>
      </c>
      <c r="E89" s="199">
        <v>-1E-14</v>
      </c>
      <c r="F89" s="199">
        <v>-1E-14</v>
      </c>
      <c r="G89" s="199">
        <v>-1E-14</v>
      </c>
      <c r="H89" s="199">
        <v>-1E-14</v>
      </c>
      <c r="I89" s="199">
        <v>-1E-14</v>
      </c>
      <c r="J89" s="199">
        <v>-1E-14</v>
      </c>
      <c r="K89" s="199">
        <v>-1E-14</v>
      </c>
      <c r="L89" s="199">
        <v>-1E-14</v>
      </c>
      <c r="M89" s="199">
        <v>-1E-14</v>
      </c>
      <c r="N89" s="199">
        <v>-1E-14</v>
      </c>
      <c r="O89" s="199">
        <v>-1E-14</v>
      </c>
      <c r="P89" s="199"/>
      <c r="Q89" s="199"/>
      <c r="R89" s="199"/>
      <c r="S89" s="199"/>
      <c r="T89" s="199"/>
      <c r="U89" s="199"/>
      <c r="V89" s="199"/>
      <c r="W89" s="199"/>
      <c r="X89" s="199"/>
      <c r="Y89" s="199"/>
      <c r="Z89" s="199"/>
      <c r="AA89" s="199"/>
    </row>
    <row r="90" spans="1:27" outlineLevel="1" x14ac:dyDescent="0.25">
      <c r="A90" s="199">
        <f t="shared" si="8"/>
        <v>5815.2908452231886</v>
      </c>
      <c r="B90" s="52" t="s">
        <v>57</v>
      </c>
      <c r="C90" s="8" t="s">
        <v>21</v>
      </c>
      <c r="D90" s="199">
        <v>1873.8666796829355</v>
      </c>
      <c r="E90" s="199">
        <v>2497.446154025864</v>
      </c>
      <c r="F90" s="199">
        <v>1062.8529124739243</v>
      </c>
      <c r="G90" s="199">
        <v>1E-14</v>
      </c>
      <c r="H90" s="199">
        <v>1E-14</v>
      </c>
      <c r="I90" s="199">
        <v>1E-14</v>
      </c>
      <c r="J90" s="199">
        <v>1E-14</v>
      </c>
      <c r="K90" s="199">
        <v>1E-14</v>
      </c>
      <c r="L90" s="199">
        <v>1E-14</v>
      </c>
      <c r="M90" s="199">
        <v>1E-14</v>
      </c>
      <c r="N90" s="199">
        <v>264.45491497705336</v>
      </c>
      <c r="O90" s="199">
        <v>116.6701840634113</v>
      </c>
      <c r="P90" s="199"/>
      <c r="Q90" s="199"/>
      <c r="R90" s="199"/>
      <c r="S90" s="199"/>
      <c r="T90" s="199"/>
      <c r="U90" s="199"/>
      <c r="V90" s="199"/>
      <c r="W90" s="199"/>
      <c r="X90" s="199"/>
      <c r="Y90" s="199"/>
      <c r="Z90" s="199"/>
      <c r="AA90" s="199"/>
    </row>
    <row r="91" spans="1:27" outlineLevel="1" x14ac:dyDescent="0.25">
      <c r="A91" s="199">
        <f t="shared" si="8"/>
        <v>9600</v>
      </c>
      <c r="B91" s="52" t="s">
        <v>57</v>
      </c>
      <c r="C91" s="8" t="s">
        <v>22</v>
      </c>
      <c r="D91" s="199">
        <v>4000</v>
      </c>
      <c r="E91" s="199">
        <v>1E-14</v>
      </c>
      <c r="F91" s="199">
        <v>1E-14</v>
      </c>
      <c r="G91" s="199">
        <v>1E-14</v>
      </c>
      <c r="H91" s="199">
        <v>1E-14</v>
      </c>
      <c r="I91" s="199">
        <v>1E-14</v>
      </c>
      <c r="J91" s="199">
        <v>1E-14</v>
      </c>
      <c r="K91" s="199">
        <v>1E-14</v>
      </c>
      <c r="L91" s="199">
        <v>1E-14</v>
      </c>
      <c r="M91" s="199">
        <v>1E-14</v>
      </c>
      <c r="N91" s="199">
        <v>1E-14</v>
      </c>
      <c r="O91" s="199">
        <v>5600</v>
      </c>
      <c r="P91" s="199"/>
      <c r="Q91" s="199"/>
      <c r="R91" s="199"/>
      <c r="S91" s="199"/>
      <c r="T91" s="199"/>
      <c r="U91" s="199"/>
      <c r="V91" s="199"/>
      <c r="W91" s="199"/>
      <c r="X91" s="199"/>
      <c r="Y91" s="199"/>
      <c r="Z91" s="199"/>
      <c r="AA91" s="199"/>
    </row>
    <row r="92" spans="1:27" outlineLevel="1" x14ac:dyDescent="0.25">
      <c r="A92" s="199">
        <f t="shared" si="8"/>
        <v>1.1999999999999997E-13</v>
      </c>
      <c r="B92" s="52" t="s">
        <v>57</v>
      </c>
      <c r="C92" s="8" t="s">
        <v>25</v>
      </c>
      <c r="D92" s="199">
        <v>1E-14</v>
      </c>
      <c r="E92" s="199">
        <v>1E-14</v>
      </c>
      <c r="F92" s="199">
        <v>1E-14</v>
      </c>
      <c r="G92" s="199">
        <v>1E-14</v>
      </c>
      <c r="H92" s="199">
        <v>1E-14</v>
      </c>
      <c r="I92" s="199">
        <v>1E-14</v>
      </c>
      <c r="J92" s="199">
        <v>1E-14</v>
      </c>
      <c r="K92" s="199">
        <v>1E-14</v>
      </c>
      <c r="L92" s="199">
        <v>1E-14</v>
      </c>
      <c r="M92" s="199">
        <v>1E-14</v>
      </c>
      <c r="N92" s="199">
        <v>1E-14</v>
      </c>
      <c r="O92" s="199">
        <v>1E-14</v>
      </c>
      <c r="P92" s="199"/>
      <c r="Q92" s="199"/>
      <c r="R92" s="199"/>
      <c r="S92" s="199"/>
      <c r="T92" s="199"/>
      <c r="U92" s="199"/>
      <c r="V92" s="199"/>
      <c r="W92" s="199"/>
      <c r="X92" s="199"/>
      <c r="Y92" s="199"/>
      <c r="Z92" s="199"/>
      <c r="AA92" s="199"/>
    </row>
    <row r="93" spans="1:27" outlineLevel="1" x14ac:dyDescent="0.25">
      <c r="A93" s="200"/>
      <c r="B93" s="52"/>
      <c r="C93" s="8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</row>
    <row r="94" spans="1:27" outlineLevel="1" x14ac:dyDescent="0.25">
      <c r="A94" s="7"/>
      <c r="B94" s="50"/>
      <c r="C94" s="198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</row>
    <row r="95" spans="1:27" s="75" customFormat="1" ht="18.75" x14ac:dyDescent="0.3">
      <c r="A95" s="77" t="s">
        <v>215</v>
      </c>
      <c r="B95" s="74" t="s">
        <v>66</v>
      </c>
      <c r="C95" s="76"/>
      <c r="D95" s="78" t="s">
        <v>230</v>
      </c>
      <c r="E95" s="78" t="s">
        <v>231</v>
      </c>
      <c r="F95" s="78" t="s">
        <v>232</v>
      </c>
      <c r="G95" s="78" t="s">
        <v>233</v>
      </c>
      <c r="H95" s="78" t="s">
        <v>224</v>
      </c>
      <c r="I95" s="78" t="s">
        <v>234</v>
      </c>
      <c r="J95" s="78" t="s">
        <v>235</v>
      </c>
      <c r="K95" s="78" t="s">
        <v>236</v>
      </c>
      <c r="L95" s="78" t="s">
        <v>237</v>
      </c>
      <c r="M95" s="78" t="s">
        <v>238</v>
      </c>
      <c r="N95" s="78" t="s">
        <v>239</v>
      </c>
      <c r="O95" s="78" t="s">
        <v>240</v>
      </c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</row>
    <row r="96" spans="1:27" outlineLevel="1" x14ac:dyDescent="0.25">
      <c r="A96" s="201">
        <f t="shared" ref="A96:A124" si="9">SUM(D96:O96)</f>
        <v>6780539.2805324979</v>
      </c>
      <c r="B96" s="205" t="s">
        <v>55</v>
      </c>
      <c r="C96" s="202" t="s">
        <v>0</v>
      </c>
      <c r="D96" s="201">
        <v>1E-14</v>
      </c>
      <c r="E96" s="201">
        <v>747975.19666574022</v>
      </c>
      <c r="F96" s="201">
        <v>1E-14</v>
      </c>
      <c r="G96" s="201">
        <v>1E-14</v>
      </c>
      <c r="H96" s="201">
        <v>1114692.6761386509</v>
      </c>
      <c r="I96" s="201">
        <v>1E-14</v>
      </c>
      <c r="J96" s="201">
        <v>1E-14</v>
      </c>
      <c r="K96" s="201">
        <v>1E-14</v>
      </c>
      <c r="L96" s="201">
        <v>747290.76364436012</v>
      </c>
      <c r="M96" s="201">
        <v>2623095.035733765</v>
      </c>
      <c r="N96" s="201">
        <v>44100.997429821364</v>
      </c>
      <c r="O96" s="201">
        <v>1503384.6109201598</v>
      </c>
      <c r="P96" s="201"/>
      <c r="Q96" s="201"/>
      <c r="R96" s="201"/>
      <c r="S96" s="201"/>
      <c r="T96" s="201"/>
      <c r="U96" s="201"/>
      <c r="V96" s="201"/>
      <c r="W96" s="201"/>
      <c r="X96" s="201"/>
      <c r="Y96" s="201"/>
      <c r="Z96" s="201"/>
      <c r="AA96" s="201"/>
    </row>
    <row r="97" spans="1:27" outlineLevel="1" x14ac:dyDescent="0.25">
      <c r="A97" s="201">
        <f t="shared" si="9"/>
        <v>-1.1999999999999997E-13</v>
      </c>
      <c r="B97" s="205" t="s">
        <v>55</v>
      </c>
      <c r="C97" s="202" t="s">
        <v>1</v>
      </c>
      <c r="D97" s="201">
        <v>-1E-14</v>
      </c>
      <c r="E97" s="201">
        <v>-1E-14</v>
      </c>
      <c r="F97" s="201">
        <v>-1E-14</v>
      </c>
      <c r="G97" s="201">
        <v>-1E-14</v>
      </c>
      <c r="H97" s="201">
        <v>-1E-14</v>
      </c>
      <c r="I97" s="201">
        <v>-1E-14</v>
      </c>
      <c r="J97" s="201">
        <v>-1E-14</v>
      </c>
      <c r="K97" s="201">
        <v>-1E-14</v>
      </c>
      <c r="L97" s="201">
        <v>-1E-14</v>
      </c>
      <c r="M97" s="201">
        <v>-1E-14</v>
      </c>
      <c r="N97" s="201">
        <v>-1E-14</v>
      </c>
      <c r="O97" s="201">
        <v>-1E-14</v>
      </c>
      <c r="P97" s="201"/>
      <c r="Q97" s="201"/>
      <c r="R97" s="201"/>
      <c r="S97" s="201"/>
      <c r="T97" s="201"/>
      <c r="U97" s="201"/>
      <c r="V97" s="201"/>
      <c r="W97" s="201"/>
      <c r="X97" s="201"/>
      <c r="Y97" s="201"/>
      <c r="Z97" s="201"/>
      <c r="AA97" s="201"/>
    </row>
    <row r="98" spans="1:27" outlineLevel="1" x14ac:dyDescent="0.25">
      <c r="A98" s="201">
        <f t="shared" si="9"/>
        <v>-1.1999999999999997E-13</v>
      </c>
      <c r="B98" s="205" t="s">
        <v>55</v>
      </c>
      <c r="C98" s="202" t="s">
        <v>2</v>
      </c>
      <c r="D98" s="201">
        <v>-1E-14</v>
      </c>
      <c r="E98" s="201">
        <v>-1E-14</v>
      </c>
      <c r="F98" s="201">
        <v>-1E-14</v>
      </c>
      <c r="G98" s="201">
        <v>-1E-14</v>
      </c>
      <c r="H98" s="201">
        <v>-1E-14</v>
      </c>
      <c r="I98" s="201">
        <v>-1E-14</v>
      </c>
      <c r="J98" s="201">
        <v>-1E-14</v>
      </c>
      <c r="K98" s="201">
        <v>-1E-14</v>
      </c>
      <c r="L98" s="201">
        <v>-1E-14</v>
      </c>
      <c r="M98" s="201">
        <v>-1E-14</v>
      </c>
      <c r="N98" s="201">
        <v>-1E-14</v>
      </c>
      <c r="O98" s="201">
        <v>-1E-14</v>
      </c>
      <c r="P98" s="201"/>
      <c r="Q98" s="201"/>
      <c r="R98" s="201"/>
      <c r="S98" s="201"/>
      <c r="T98" s="201"/>
      <c r="U98" s="201"/>
      <c r="V98" s="201"/>
      <c r="W98" s="201"/>
      <c r="X98" s="201"/>
      <c r="Y98" s="201"/>
      <c r="Z98" s="201"/>
      <c r="AA98" s="201"/>
    </row>
    <row r="99" spans="1:27" outlineLevel="1" x14ac:dyDescent="0.25">
      <c r="A99" s="201">
        <f t="shared" si="9"/>
        <v>15102574.602559496</v>
      </c>
      <c r="B99" s="205" t="s">
        <v>55</v>
      </c>
      <c r="C99" s="202" t="s">
        <v>3</v>
      </c>
      <c r="D99" s="201">
        <v>1258547.883546625</v>
      </c>
      <c r="E99" s="201">
        <v>1258547.883546625</v>
      </c>
      <c r="F99" s="201">
        <v>1258547.883546625</v>
      </c>
      <c r="G99" s="201">
        <v>1258547.883546625</v>
      </c>
      <c r="H99" s="201">
        <v>1258547.883546625</v>
      </c>
      <c r="I99" s="201">
        <v>1258547.883546625</v>
      </c>
      <c r="J99" s="201">
        <v>1258547.8835466229</v>
      </c>
      <c r="K99" s="201">
        <v>1258547.883546625</v>
      </c>
      <c r="L99" s="201">
        <v>1258547.883546625</v>
      </c>
      <c r="M99" s="201">
        <v>1258547.883546625</v>
      </c>
      <c r="N99" s="201">
        <v>1258547.883546625</v>
      </c>
      <c r="O99" s="201">
        <v>1258547.883546625</v>
      </c>
      <c r="P99" s="201"/>
      <c r="Q99" s="201"/>
      <c r="R99" s="201"/>
      <c r="S99" s="201"/>
      <c r="T99" s="201"/>
      <c r="U99" s="201"/>
      <c r="V99" s="201"/>
      <c r="W99" s="201"/>
      <c r="X99" s="201"/>
      <c r="Y99" s="201"/>
      <c r="Z99" s="201"/>
      <c r="AA99" s="201"/>
    </row>
    <row r="100" spans="1:27" outlineLevel="1" x14ac:dyDescent="0.25">
      <c r="A100" s="201">
        <f t="shared" si="9"/>
        <v>2222016.5766789378</v>
      </c>
      <c r="B100" s="205" t="s">
        <v>55</v>
      </c>
      <c r="C100" s="202" t="s">
        <v>4</v>
      </c>
      <c r="D100" s="201">
        <v>185168.07891789373</v>
      </c>
      <c r="E100" s="201">
        <v>185168.07891789373</v>
      </c>
      <c r="F100" s="201">
        <v>185168.07891789373</v>
      </c>
      <c r="G100" s="201">
        <v>185168.07891789373</v>
      </c>
      <c r="H100" s="201">
        <v>185168.07891789373</v>
      </c>
      <c r="I100" s="201">
        <v>185168.07891789373</v>
      </c>
      <c r="J100" s="201">
        <v>185167.89375000002</v>
      </c>
      <c r="K100" s="201">
        <v>185167.89375000002</v>
      </c>
      <c r="L100" s="201">
        <v>185168.07891789373</v>
      </c>
      <c r="M100" s="201">
        <v>185168.07891789373</v>
      </c>
      <c r="N100" s="201">
        <v>185168.07891789373</v>
      </c>
      <c r="O100" s="201">
        <v>185168.07891789373</v>
      </c>
      <c r="P100" s="201"/>
      <c r="Q100" s="201"/>
      <c r="R100" s="201"/>
      <c r="S100" s="201"/>
      <c r="T100" s="201"/>
      <c r="U100" s="201"/>
      <c r="V100" s="201"/>
      <c r="W100" s="201"/>
      <c r="X100" s="201"/>
      <c r="Y100" s="201"/>
      <c r="Z100" s="201"/>
      <c r="AA100" s="201"/>
    </row>
    <row r="101" spans="1:27" outlineLevel="1" x14ac:dyDescent="0.25">
      <c r="A101" s="201">
        <f t="shared" si="9"/>
        <v>5169.2538769375005</v>
      </c>
      <c r="B101" s="205" t="s">
        <v>55</v>
      </c>
      <c r="C101" s="202" t="s">
        <v>5</v>
      </c>
      <c r="D101" s="201">
        <v>430.77126410416668</v>
      </c>
      <c r="E101" s="201">
        <v>430.77126410416668</v>
      </c>
      <c r="F101" s="201">
        <v>430.77126410416668</v>
      </c>
      <c r="G101" s="201">
        <v>430.77126410416668</v>
      </c>
      <c r="H101" s="201">
        <v>430.77126410416668</v>
      </c>
      <c r="I101" s="201">
        <v>430.77083333333337</v>
      </c>
      <c r="J101" s="201">
        <v>430.77083333333337</v>
      </c>
      <c r="K101" s="201">
        <v>430.77083333333337</v>
      </c>
      <c r="L101" s="201">
        <v>430.77126410416668</v>
      </c>
      <c r="M101" s="201">
        <v>430.77126410416668</v>
      </c>
      <c r="N101" s="201">
        <v>430.77126410416668</v>
      </c>
      <c r="O101" s="201">
        <v>430.77126410416668</v>
      </c>
      <c r="P101" s="201"/>
      <c r="Q101" s="201"/>
      <c r="R101" s="201"/>
      <c r="S101" s="201"/>
      <c r="T101" s="201"/>
      <c r="U101" s="201"/>
      <c r="V101" s="201"/>
      <c r="W101" s="201"/>
      <c r="X101" s="201"/>
      <c r="Y101" s="201"/>
      <c r="Z101" s="201"/>
      <c r="AA101" s="201"/>
    </row>
    <row r="102" spans="1:27" outlineLevel="1" x14ac:dyDescent="0.25">
      <c r="A102" s="201">
        <f t="shared" si="9"/>
        <v>2252136.1891008746</v>
      </c>
      <c r="B102" s="205" t="s">
        <v>55</v>
      </c>
      <c r="C102" s="202" t="s">
        <v>6</v>
      </c>
      <c r="D102" s="201">
        <v>187678.06267787496</v>
      </c>
      <c r="E102" s="201">
        <v>187678.06267787496</v>
      </c>
      <c r="F102" s="201">
        <v>187678.06267787496</v>
      </c>
      <c r="G102" s="201">
        <v>187678.06267787496</v>
      </c>
      <c r="H102" s="201">
        <v>187678.06267787496</v>
      </c>
      <c r="I102" s="201">
        <v>187677.87499999997</v>
      </c>
      <c r="J102" s="201">
        <v>187677.87499999997</v>
      </c>
      <c r="K102" s="201">
        <v>187677.87499999997</v>
      </c>
      <c r="L102" s="201">
        <v>187678.06267787496</v>
      </c>
      <c r="M102" s="201">
        <v>187678.06267787496</v>
      </c>
      <c r="N102" s="201">
        <v>187678.06267787496</v>
      </c>
      <c r="O102" s="201">
        <v>187678.06267787496</v>
      </c>
      <c r="P102" s="201"/>
      <c r="Q102" s="201"/>
      <c r="R102" s="201"/>
      <c r="S102" s="201"/>
      <c r="T102" s="201"/>
      <c r="U102" s="201"/>
      <c r="V102" s="201"/>
      <c r="W102" s="201"/>
      <c r="X102" s="201"/>
      <c r="Y102" s="201"/>
      <c r="Z102" s="201"/>
      <c r="AA102" s="201"/>
    </row>
    <row r="103" spans="1:27" outlineLevel="1" x14ac:dyDescent="0.25">
      <c r="A103" s="201">
        <f t="shared" si="9"/>
        <v>56122.556122499976</v>
      </c>
      <c r="B103" s="205" t="s">
        <v>55</v>
      </c>
      <c r="C103" s="202" t="s">
        <v>7</v>
      </c>
      <c r="D103" s="201">
        <v>4676.8796768749989</v>
      </c>
      <c r="E103" s="201">
        <v>4676.8796768749989</v>
      </c>
      <c r="F103" s="201">
        <v>4676.8796768749989</v>
      </c>
      <c r="G103" s="201">
        <v>4676.8796768749989</v>
      </c>
      <c r="H103" s="201">
        <v>4676.8796768749989</v>
      </c>
      <c r="I103" s="201">
        <v>4676.8796768749989</v>
      </c>
      <c r="J103" s="201">
        <v>4676.8796768749989</v>
      </c>
      <c r="K103" s="201">
        <v>4676.8796768749989</v>
      </c>
      <c r="L103" s="201">
        <v>4676.8796768749989</v>
      </c>
      <c r="M103" s="201">
        <v>4676.8796768749989</v>
      </c>
      <c r="N103" s="201">
        <v>4676.8796768749989</v>
      </c>
      <c r="O103" s="201">
        <v>4676.8796768749989</v>
      </c>
      <c r="P103" s="201"/>
      <c r="Q103" s="201"/>
      <c r="R103" s="201"/>
      <c r="S103" s="201"/>
      <c r="T103" s="201"/>
      <c r="U103" s="201"/>
      <c r="V103" s="201"/>
      <c r="W103" s="201"/>
      <c r="X103" s="201"/>
      <c r="Y103" s="201"/>
      <c r="Z103" s="201"/>
      <c r="AA103" s="201"/>
    </row>
    <row r="104" spans="1:27" outlineLevel="1" x14ac:dyDescent="0.25">
      <c r="A104" s="201">
        <f t="shared" si="9"/>
        <v>2239656.9297414375</v>
      </c>
      <c r="B104" s="205" t="s">
        <v>55</v>
      </c>
      <c r="C104" s="202" t="s">
        <v>8</v>
      </c>
      <c r="D104" s="201">
        <v>186638.12413793747</v>
      </c>
      <c r="E104" s="201">
        <v>186638.12413793747</v>
      </c>
      <c r="F104" s="201">
        <v>186638.12413793747</v>
      </c>
      <c r="G104" s="201">
        <v>186638.12413793747</v>
      </c>
      <c r="H104" s="201">
        <v>186638.12413793747</v>
      </c>
      <c r="I104" s="201">
        <v>186637.9375</v>
      </c>
      <c r="J104" s="201">
        <v>186637.9375</v>
      </c>
      <c r="K104" s="201">
        <v>186637.9375</v>
      </c>
      <c r="L104" s="201">
        <v>186638.12413793747</v>
      </c>
      <c r="M104" s="201">
        <v>186638.12413793747</v>
      </c>
      <c r="N104" s="201">
        <v>186638.12413793747</v>
      </c>
      <c r="O104" s="201">
        <v>186638.12413793747</v>
      </c>
      <c r="P104" s="201"/>
      <c r="Q104" s="201"/>
      <c r="R104" s="201"/>
      <c r="S104" s="201"/>
      <c r="T104" s="201"/>
      <c r="U104" s="201"/>
      <c r="V104" s="201"/>
      <c r="W104" s="201"/>
      <c r="X104" s="201"/>
      <c r="Y104" s="201"/>
      <c r="Z104" s="201"/>
      <c r="AA104" s="201"/>
    </row>
    <row r="105" spans="1:27" outlineLevel="1" x14ac:dyDescent="0.25">
      <c r="A105" s="201">
        <f t="shared" si="9"/>
        <v>209191.70919149995</v>
      </c>
      <c r="B105" s="205" t="s">
        <v>55</v>
      </c>
      <c r="C105" s="202" t="s">
        <v>9</v>
      </c>
      <c r="D105" s="201">
        <v>17432.642432624994</v>
      </c>
      <c r="E105" s="201">
        <v>17432.642432624994</v>
      </c>
      <c r="F105" s="201">
        <v>17432.642432624994</v>
      </c>
      <c r="G105" s="201">
        <v>17432.642432624994</v>
      </c>
      <c r="H105" s="201">
        <v>17432.642432624994</v>
      </c>
      <c r="I105" s="201">
        <v>17432.642432624994</v>
      </c>
      <c r="J105" s="201">
        <v>17432.642432624994</v>
      </c>
      <c r="K105" s="201">
        <v>17432.642432624994</v>
      </c>
      <c r="L105" s="201">
        <v>17432.642432624994</v>
      </c>
      <c r="M105" s="201">
        <v>17432.642432624994</v>
      </c>
      <c r="N105" s="201">
        <v>17432.642432624994</v>
      </c>
      <c r="O105" s="201">
        <v>17432.642432624994</v>
      </c>
      <c r="P105" s="201"/>
      <c r="Q105" s="201"/>
      <c r="R105" s="201"/>
      <c r="S105" s="201"/>
      <c r="T105" s="201"/>
      <c r="U105" s="201"/>
      <c r="V105" s="201"/>
      <c r="W105" s="201"/>
      <c r="X105" s="201"/>
      <c r="Y105" s="201"/>
      <c r="Z105" s="201"/>
      <c r="AA105" s="201"/>
    </row>
    <row r="106" spans="1:27" outlineLevel="1" x14ac:dyDescent="0.25">
      <c r="A106" s="201">
        <f t="shared" si="9"/>
        <v>3224379.9743767483</v>
      </c>
      <c r="B106" s="205" t="s">
        <v>55</v>
      </c>
      <c r="C106" s="202" t="s">
        <v>10</v>
      </c>
      <c r="D106" s="201">
        <v>268698.33119806246</v>
      </c>
      <c r="E106" s="201">
        <v>268698.33119806246</v>
      </c>
      <c r="F106" s="201">
        <v>268698.33119806246</v>
      </c>
      <c r="G106" s="201">
        <v>268698.33119806246</v>
      </c>
      <c r="H106" s="201">
        <v>268698.33119806246</v>
      </c>
      <c r="I106" s="201">
        <v>268698.33119806246</v>
      </c>
      <c r="J106" s="201">
        <v>268698.33119806182</v>
      </c>
      <c r="K106" s="201">
        <v>268698.33119806246</v>
      </c>
      <c r="L106" s="201">
        <v>268698.33119806246</v>
      </c>
      <c r="M106" s="201">
        <v>268698.33119806246</v>
      </c>
      <c r="N106" s="201">
        <v>268698.33119806246</v>
      </c>
      <c r="O106" s="201">
        <v>268698.33119806246</v>
      </c>
      <c r="P106" s="201"/>
      <c r="Q106" s="201"/>
      <c r="R106" s="201"/>
      <c r="S106" s="201"/>
      <c r="T106" s="201"/>
      <c r="U106" s="201"/>
      <c r="V106" s="201"/>
      <c r="W106" s="201"/>
      <c r="X106" s="201"/>
      <c r="Y106" s="201"/>
      <c r="Z106" s="201"/>
      <c r="AA106" s="201"/>
    </row>
    <row r="107" spans="1:27" outlineLevel="1" x14ac:dyDescent="0.25">
      <c r="A107" s="201">
        <f t="shared" si="9"/>
        <v>105339.25533915001</v>
      </c>
      <c r="B107" s="205" t="s">
        <v>55</v>
      </c>
      <c r="C107" s="202" t="s">
        <v>11</v>
      </c>
      <c r="D107" s="201">
        <v>8778.2712782624985</v>
      </c>
      <c r="E107" s="201">
        <v>8778.2712782624985</v>
      </c>
      <c r="F107" s="201">
        <v>8778.2712782624985</v>
      </c>
      <c r="G107" s="201">
        <v>8778.2712782624985</v>
      </c>
      <c r="H107" s="201">
        <v>8778.2712782624985</v>
      </c>
      <c r="I107" s="201">
        <v>8778.2712782624985</v>
      </c>
      <c r="J107" s="201">
        <v>8778.2712782624985</v>
      </c>
      <c r="K107" s="201">
        <v>8778.2712782624985</v>
      </c>
      <c r="L107" s="201">
        <v>8778.2712782624985</v>
      </c>
      <c r="M107" s="201">
        <v>8778.2712782624985</v>
      </c>
      <c r="N107" s="201">
        <v>8778.2712782624985</v>
      </c>
      <c r="O107" s="201">
        <v>8778.2712782624985</v>
      </c>
      <c r="P107" s="201"/>
      <c r="Q107" s="201"/>
      <c r="R107" s="201"/>
      <c r="S107" s="201"/>
      <c r="T107" s="201"/>
      <c r="U107" s="201"/>
      <c r="V107" s="201"/>
      <c r="W107" s="201"/>
      <c r="X107" s="201"/>
      <c r="Y107" s="201"/>
      <c r="Z107" s="201"/>
      <c r="AA107" s="201"/>
    </row>
    <row r="108" spans="1:27" outlineLevel="1" x14ac:dyDescent="0.25">
      <c r="A108" s="201">
        <f t="shared" si="9"/>
        <v>1.1999999999999997E-13</v>
      </c>
      <c r="B108" s="205" t="s">
        <v>55</v>
      </c>
      <c r="C108" s="202" t="s">
        <v>12</v>
      </c>
      <c r="D108" s="201">
        <v>1E-14</v>
      </c>
      <c r="E108" s="201">
        <v>1E-14</v>
      </c>
      <c r="F108" s="201">
        <v>1E-14</v>
      </c>
      <c r="G108" s="201">
        <v>1E-14</v>
      </c>
      <c r="H108" s="201">
        <v>1E-14</v>
      </c>
      <c r="I108" s="201">
        <v>1E-14</v>
      </c>
      <c r="J108" s="201">
        <v>1E-14</v>
      </c>
      <c r="K108" s="201">
        <v>1E-14</v>
      </c>
      <c r="L108" s="201">
        <v>1E-14</v>
      </c>
      <c r="M108" s="201">
        <v>1E-14</v>
      </c>
      <c r="N108" s="201">
        <v>1E-14</v>
      </c>
      <c r="O108" s="201">
        <v>1E-14</v>
      </c>
      <c r="P108" s="201"/>
      <c r="Q108" s="201"/>
      <c r="R108" s="201"/>
      <c r="S108" s="201"/>
      <c r="T108" s="201"/>
      <c r="U108" s="201"/>
      <c r="V108" s="201"/>
      <c r="W108" s="201"/>
      <c r="X108" s="201"/>
      <c r="Y108" s="201"/>
      <c r="Z108" s="201"/>
      <c r="AA108" s="201"/>
    </row>
    <row r="109" spans="1:27" outlineLevel="1" x14ac:dyDescent="0.25">
      <c r="A109" s="201">
        <f t="shared" si="9"/>
        <v>6767.255075437497</v>
      </c>
      <c r="B109" s="205" t="s">
        <v>55</v>
      </c>
      <c r="C109" s="202" t="s">
        <v>13</v>
      </c>
      <c r="D109" s="201">
        <v>563.93806393749992</v>
      </c>
      <c r="E109" s="201">
        <v>563.93806393749992</v>
      </c>
      <c r="F109" s="201">
        <v>563.93806393749992</v>
      </c>
      <c r="G109" s="201">
        <v>563.93806393749992</v>
      </c>
      <c r="H109" s="201">
        <v>563.93806393749992</v>
      </c>
      <c r="I109" s="201">
        <v>563.9375</v>
      </c>
      <c r="J109" s="201">
        <v>563.9375</v>
      </c>
      <c r="K109" s="201">
        <v>563.9375</v>
      </c>
      <c r="L109" s="201">
        <v>563.93806393749992</v>
      </c>
      <c r="M109" s="201">
        <v>563.93806393749992</v>
      </c>
      <c r="N109" s="201">
        <v>563.93806393749992</v>
      </c>
      <c r="O109" s="201">
        <v>563.93806393749992</v>
      </c>
      <c r="P109" s="201"/>
      <c r="Q109" s="201"/>
      <c r="R109" s="201"/>
      <c r="S109" s="201"/>
      <c r="T109" s="201"/>
      <c r="U109" s="201"/>
      <c r="V109" s="201"/>
      <c r="W109" s="201"/>
      <c r="X109" s="201"/>
      <c r="Y109" s="201"/>
      <c r="Z109" s="201"/>
      <c r="AA109" s="201"/>
    </row>
    <row r="110" spans="1:27" outlineLevel="1" x14ac:dyDescent="0.25">
      <c r="A110" s="201">
        <f t="shared" si="9"/>
        <v>13693213.6932</v>
      </c>
      <c r="B110" s="205" t="s">
        <v>55</v>
      </c>
      <c r="C110" s="202" t="s">
        <v>14</v>
      </c>
      <c r="D110" s="201">
        <v>2725234.9455392128</v>
      </c>
      <c r="E110" s="201">
        <v>2044204.870173936</v>
      </c>
      <c r="F110" s="201">
        <v>2725234.8839032124</v>
      </c>
      <c r="G110" s="201">
        <v>1964153.8268991499</v>
      </c>
      <c r="H110" s="201">
        <v>1E-14</v>
      </c>
      <c r="I110" s="201">
        <v>1E-14</v>
      </c>
      <c r="J110" s="201">
        <v>1E-14</v>
      </c>
      <c r="K110" s="201">
        <v>1E-14</v>
      </c>
      <c r="L110" s="201">
        <v>1E-14</v>
      </c>
      <c r="M110" s="201">
        <v>1E-14</v>
      </c>
      <c r="N110" s="201">
        <v>2654586.1151796826</v>
      </c>
      <c r="O110" s="201">
        <v>1579799.051504805</v>
      </c>
      <c r="P110" s="201"/>
      <c r="Q110" s="201"/>
      <c r="R110" s="201"/>
      <c r="S110" s="201"/>
      <c r="T110" s="201"/>
      <c r="U110" s="201"/>
      <c r="V110" s="201"/>
      <c r="W110" s="201"/>
      <c r="X110" s="201"/>
      <c r="Y110" s="201"/>
      <c r="Z110" s="201"/>
      <c r="AA110" s="201"/>
    </row>
    <row r="111" spans="1:27" outlineLevel="1" x14ac:dyDescent="0.25">
      <c r="A111" s="201">
        <f t="shared" si="9"/>
        <v>79356.42935635001</v>
      </c>
      <c r="B111" s="205" t="s">
        <v>55</v>
      </c>
      <c r="C111" s="202" t="s">
        <v>15</v>
      </c>
      <c r="D111" s="201">
        <v>1E-14</v>
      </c>
      <c r="E111" s="201">
        <v>1E-14</v>
      </c>
      <c r="F111" s="201">
        <v>7.9356349997539155E-2</v>
      </c>
      <c r="G111" s="201">
        <v>79356.350000000006</v>
      </c>
      <c r="H111" s="201">
        <v>1E-14</v>
      </c>
      <c r="I111" s="201">
        <v>1E-14</v>
      </c>
      <c r="J111" s="201">
        <v>1E-14</v>
      </c>
      <c r="K111" s="201">
        <v>1E-14</v>
      </c>
      <c r="L111" s="201">
        <v>1E-14</v>
      </c>
      <c r="M111" s="201">
        <v>1E-14</v>
      </c>
      <c r="N111" s="201">
        <v>1E-14</v>
      </c>
      <c r="O111" s="201">
        <v>1E-14</v>
      </c>
      <c r="P111" s="201"/>
      <c r="Q111" s="201"/>
      <c r="R111" s="201"/>
      <c r="S111" s="201"/>
      <c r="T111" s="201"/>
      <c r="U111" s="201"/>
      <c r="V111" s="201"/>
      <c r="W111" s="201"/>
      <c r="X111" s="201"/>
      <c r="Y111" s="201"/>
      <c r="Z111" s="201"/>
      <c r="AA111" s="201"/>
    </row>
    <row r="112" spans="1:27" outlineLevel="1" x14ac:dyDescent="0.25">
      <c r="A112" s="201">
        <f t="shared" si="9"/>
        <v>-1.1999999999999997E-13</v>
      </c>
      <c r="B112" s="205" t="s">
        <v>55</v>
      </c>
      <c r="C112" s="202" t="s">
        <v>16</v>
      </c>
      <c r="D112" s="201">
        <v>-1E-14</v>
      </c>
      <c r="E112" s="201">
        <v>-1E-14</v>
      </c>
      <c r="F112" s="201">
        <v>-1E-14</v>
      </c>
      <c r="G112" s="201">
        <v>-1E-14</v>
      </c>
      <c r="H112" s="201">
        <v>-1E-14</v>
      </c>
      <c r="I112" s="201">
        <v>-1E-14</v>
      </c>
      <c r="J112" s="201">
        <v>-1E-14</v>
      </c>
      <c r="K112" s="201">
        <v>-1E-14</v>
      </c>
      <c r="L112" s="201">
        <v>-1E-14</v>
      </c>
      <c r="M112" s="201">
        <v>-1E-14</v>
      </c>
      <c r="N112" s="201">
        <v>-1E-14</v>
      </c>
      <c r="O112" s="201">
        <v>-1E-14</v>
      </c>
      <c r="P112" s="201"/>
      <c r="Q112" s="201"/>
      <c r="R112" s="201"/>
      <c r="S112" s="201"/>
      <c r="T112" s="201"/>
      <c r="U112" s="201"/>
      <c r="V112" s="201"/>
      <c r="W112" s="201"/>
      <c r="X112" s="201"/>
      <c r="Y112" s="201"/>
      <c r="Z112" s="201"/>
      <c r="AA112" s="201"/>
    </row>
    <row r="113" spans="1:27" outlineLevel="1" x14ac:dyDescent="0.25">
      <c r="A113" s="201">
        <f t="shared" si="9"/>
        <v>1.1999999999999997E-13</v>
      </c>
      <c r="B113" s="205" t="s">
        <v>55</v>
      </c>
      <c r="C113" s="202" t="s">
        <v>18</v>
      </c>
      <c r="D113" s="201">
        <v>1E-14</v>
      </c>
      <c r="E113" s="201">
        <v>1E-14</v>
      </c>
      <c r="F113" s="201">
        <v>1E-14</v>
      </c>
      <c r="G113" s="201">
        <v>1E-14</v>
      </c>
      <c r="H113" s="201">
        <v>1E-14</v>
      </c>
      <c r="I113" s="201">
        <v>1E-14</v>
      </c>
      <c r="J113" s="201">
        <v>1E-14</v>
      </c>
      <c r="K113" s="201">
        <v>1E-14</v>
      </c>
      <c r="L113" s="201">
        <v>1E-14</v>
      </c>
      <c r="M113" s="201">
        <v>1E-14</v>
      </c>
      <c r="N113" s="201">
        <v>1E-14</v>
      </c>
      <c r="O113" s="201">
        <v>1E-14</v>
      </c>
      <c r="P113" s="201"/>
      <c r="Q113" s="201"/>
      <c r="R113" s="201"/>
      <c r="S113" s="201"/>
      <c r="T113" s="201"/>
      <c r="U113" s="201"/>
      <c r="V113" s="201"/>
      <c r="W113" s="201"/>
      <c r="X113" s="201"/>
      <c r="Y113" s="201"/>
      <c r="Z113" s="201"/>
      <c r="AA113" s="201"/>
    </row>
    <row r="114" spans="1:27" outlineLevel="1" x14ac:dyDescent="0.25">
      <c r="A114" s="201">
        <f t="shared" si="9"/>
        <v>-1.1999999999999997E-13</v>
      </c>
      <c r="B114" s="205" t="s">
        <v>55</v>
      </c>
      <c r="C114" s="202" t="s">
        <v>19</v>
      </c>
      <c r="D114" s="201">
        <v>-1E-14</v>
      </c>
      <c r="E114" s="201">
        <v>-1E-14</v>
      </c>
      <c r="F114" s="201">
        <v>-1E-14</v>
      </c>
      <c r="G114" s="201">
        <v>-1E-14</v>
      </c>
      <c r="H114" s="201">
        <v>-1E-14</v>
      </c>
      <c r="I114" s="201">
        <v>-1E-14</v>
      </c>
      <c r="J114" s="201">
        <v>-1E-14</v>
      </c>
      <c r="K114" s="201">
        <v>-1E-14</v>
      </c>
      <c r="L114" s="201">
        <v>-1E-14</v>
      </c>
      <c r="M114" s="201">
        <v>-1E-14</v>
      </c>
      <c r="N114" s="201">
        <v>-1E-14</v>
      </c>
      <c r="O114" s="201">
        <v>-1E-14</v>
      </c>
      <c r="P114" s="201"/>
      <c r="Q114" s="201"/>
      <c r="R114" s="201"/>
      <c r="S114" s="201"/>
      <c r="T114" s="201"/>
      <c r="U114" s="201"/>
      <c r="V114" s="201"/>
      <c r="W114" s="201"/>
      <c r="X114" s="201"/>
      <c r="Y114" s="201"/>
      <c r="Z114" s="201"/>
      <c r="AA114" s="201"/>
    </row>
    <row r="115" spans="1:27" outlineLevel="1" x14ac:dyDescent="0.25">
      <c r="A115" s="201">
        <f t="shared" si="9"/>
        <v>78048.958536674996</v>
      </c>
      <c r="B115" s="205" t="s">
        <v>55</v>
      </c>
      <c r="C115" s="202" t="s">
        <v>20</v>
      </c>
      <c r="D115" s="201">
        <v>6504.0815040749985</v>
      </c>
      <c r="E115" s="201">
        <v>6504.0815040749985</v>
      </c>
      <c r="F115" s="201">
        <v>6504.0815040749985</v>
      </c>
      <c r="G115" s="201">
        <v>6504.0815040749985</v>
      </c>
      <c r="H115" s="201">
        <v>6504.0815040749985</v>
      </c>
      <c r="I115" s="201">
        <v>6504.0749999999998</v>
      </c>
      <c r="J115" s="201">
        <v>6504.0749999999998</v>
      </c>
      <c r="K115" s="201">
        <v>6504.0749999999998</v>
      </c>
      <c r="L115" s="201">
        <v>6504.0815040749985</v>
      </c>
      <c r="M115" s="201">
        <v>6504.0815040749985</v>
      </c>
      <c r="N115" s="201">
        <v>6504.0815040749985</v>
      </c>
      <c r="O115" s="201">
        <v>6504.0815040749985</v>
      </c>
      <c r="P115" s="201"/>
      <c r="Q115" s="201"/>
      <c r="R115" s="201"/>
      <c r="S115" s="201"/>
      <c r="T115" s="201"/>
      <c r="U115" s="201"/>
      <c r="V115" s="201"/>
      <c r="W115" s="201"/>
      <c r="X115" s="201"/>
      <c r="Y115" s="201"/>
      <c r="Z115" s="201"/>
      <c r="AA115" s="201"/>
    </row>
    <row r="116" spans="1:27" outlineLevel="1" x14ac:dyDescent="0.25">
      <c r="A116" s="201">
        <f t="shared" si="9"/>
        <v>32891.032891000003</v>
      </c>
      <c r="B116" s="205" t="s">
        <v>55</v>
      </c>
      <c r="C116" s="202" t="s">
        <v>17</v>
      </c>
      <c r="D116" s="201">
        <v>2740.9194075833334</v>
      </c>
      <c r="E116" s="201">
        <v>2740.9194075833334</v>
      </c>
      <c r="F116" s="201">
        <v>2740.9194075833334</v>
      </c>
      <c r="G116" s="201">
        <v>2740.9194075833334</v>
      </c>
      <c r="H116" s="201">
        <v>2740.9194075833334</v>
      </c>
      <c r="I116" s="201">
        <v>2740.9194075833334</v>
      </c>
      <c r="J116" s="201">
        <v>2740.9194075833334</v>
      </c>
      <c r="K116" s="201">
        <v>2740.9194075833334</v>
      </c>
      <c r="L116" s="201">
        <v>2740.9194075833334</v>
      </c>
      <c r="M116" s="201">
        <v>2740.9194075833334</v>
      </c>
      <c r="N116" s="201">
        <v>2740.9194075833334</v>
      </c>
      <c r="O116" s="201">
        <v>2740.9194075833334</v>
      </c>
      <c r="P116" s="201"/>
      <c r="Q116" s="201"/>
      <c r="R116" s="201"/>
      <c r="S116" s="201"/>
      <c r="T116" s="201"/>
      <c r="U116" s="201"/>
      <c r="V116" s="201"/>
      <c r="W116" s="201"/>
      <c r="X116" s="201"/>
      <c r="Y116" s="201"/>
      <c r="Z116" s="201"/>
      <c r="AA116" s="201"/>
    </row>
    <row r="117" spans="1:27" outlineLevel="1" x14ac:dyDescent="0.25">
      <c r="A117" s="201">
        <f t="shared" si="9"/>
        <v>-1.1999999999999997E-13</v>
      </c>
      <c r="B117" s="205" t="s">
        <v>55</v>
      </c>
      <c r="C117" s="202" t="s">
        <v>26</v>
      </c>
      <c r="D117" s="201">
        <v>-1E-14</v>
      </c>
      <c r="E117" s="201">
        <v>-1E-14</v>
      </c>
      <c r="F117" s="201">
        <v>-1E-14</v>
      </c>
      <c r="G117" s="201">
        <v>-1E-14</v>
      </c>
      <c r="H117" s="201">
        <v>-1E-14</v>
      </c>
      <c r="I117" s="201">
        <v>-1E-14</v>
      </c>
      <c r="J117" s="201">
        <v>-1E-14</v>
      </c>
      <c r="K117" s="201">
        <v>-1E-14</v>
      </c>
      <c r="L117" s="201">
        <v>-1E-14</v>
      </c>
      <c r="M117" s="201">
        <v>-1E-14</v>
      </c>
      <c r="N117" s="201">
        <v>-1E-14</v>
      </c>
      <c r="O117" s="201">
        <v>-1E-14</v>
      </c>
      <c r="P117" s="201"/>
      <c r="Q117" s="201"/>
      <c r="R117" s="201"/>
      <c r="S117" s="201"/>
      <c r="T117" s="201"/>
      <c r="U117" s="201"/>
      <c r="V117" s="201"/>
      <c r="W117" s="201"/>
      <c r="X117" s="201"/>
      <c r="Y117" s="201"/>
      <c r="Z117" s="201"/>
      <c r="AA117" s="201"/>
    </row>
    <row r="118" spans="1:27" outlineLevel="1" x14ac:dyDescent="0.25">
      <c r="A118" s="201">
        <f t="shared" si="9"/>
        <v>-1.1999999999999997E-13</v>
      </c>
      <c r="B118" s="205" t="s">
        <v>55</v>
      </c>
      <c r="C118" s="202" t="s">
        <v>27</v>
      </c>
      <c r="D118" s="201">
        <v>-1E-14</v>
      </c>
      <c r="E118" s="201">
        <v>-1E-14</v>
      </c>
      <c r="F118" s="201">
        <v>-1E-14</v>
      </c>
      <c r="G118" s="201">
        <v>-1E-14</v>
      </c>
      <c r="H118" s="201">
        <v>-1E-14</v>
      </c>
      <c r="I118" s="201">
        <v>-1E-14</v>
      </c>
      <c r="J118" s="201">
        <v>-1E-14</v>
      </c>
      <c r="K118" s="201">
        <v>-1E-14</v>
      </c>
      <c r="L118" s="201">
        <v>-1E-14</v>
      </c>
      <c r="M118" s="201">
        <v>-1E-14</v>
      </c>
      <c r="N118" s="201">
        <v>-1E-14</v>
      </c>
      <c r="O118" s="201">
        <v>-1E-14</v>
      </c>
      <c r="P118" s="201"/>
      <c r="Q118" s="201"/>
      <c r="R118" s="201"/>
      <c r="S118" s="201"/>
      <c r="T118" s="201"/>
      <c r="U118" s="201"/>
      <c r="V118" s="201"/>
      <c r="W118" s="201"/>
      <c r="X118" s="201"/>
      <c r="Y118" s="201"/>
      <c r="Z118" s="201"/>
      <c r="AA118" s="201"/>
    </row>
    <row r="119" spans="1:27" outlineLevel="1" x14ac:dyDescent="0.25">
      <c r="A119" s="201">
        <f t="shared" si="9"/>
        <v>-1.1999999999999997E-13</v>
      </c>
      <c r="B119" s="205" t="s">
        <v>55</v>
      </c>
      <c r="C119" s="202" t="s">
        <v>59</v>
      </c>
      <c r="D119" s="201">
        <v>-1E-14</v>
      </c>
      <c r="E119" s="201">
        <v>-1E-14</v>
      </c>
      <c r="F119" s="201">
        <v>-1E-14</v>
      </c>
      <c r="G119" s="201">
        <v>-1E-14</v>
      </c>
      <c r="H119" s="201">
        <v>-1E-14</v>
      </c>
      <c r="I119" s="201">
        <v>-1E-14</v>
      </c>
      <c r="J119" s="201">
        <v>-1E-14</v>
      </c>
      <c r="K119" s="201">
        <v>-1E-14</v>
      </c>
      <c r="L119" s="201">
        <v>-1E-14</v>
      </c>
      <c r="M119" s="201">
        <v>-1E-14</v>
      </c>
      <c r="N119" s="201">
        <v>-1E-14</v>
      </c>
      <c r="O119" s="201">
        <v>-1E-14</v>
      </c>
      <c r="P119" s="201"/>
      <c r="Q119" s="201"/>
      <c r="R119" s="201"/>
      <c r="S119" s="201"/>
      <c r="T119" s="201"/>
      <c r="U119" s="201"/>
      <c r="V119" s="201"/>
      <c r="W119" s="201"/>
      <c r="X119" s="201"/>
      <c r="Y119" s="201"/>
      <c r="Z119" s="201"/>
      <c r="AA119" s="201"/>
    </row>
    <row r="120" spans="1:27" outlineLevel="1" x14ac:dyDescent="0.25">
      <c r="A120" s="201">
        <f t="shared" si="9"/>
        <v>-1.1999999999999997E-13</v>
      </c>
      <c r="B120" s="205" t="s">
        <v>55</v>
      </c>
      <c r="C120" s="202" t="s">
        <v>60</v>
      </c>
      <c r="D120" s="201">
        <v>-1E-14</v>
      </c>
      <c r="E120" s="201">
        <v>-1E-14</v>
      </c>
      <c r="F120" s="201">
        <v>-1E-14</v>
      </c>
      <c r="G120" s="201">
        <v>-1E-14</v>
      </c>
      <c r="H120" s="201">
        <v>-1E-14</v>
      </c>
      <c r="I120" s="201">
        <v>-1E-14</v>
      </c>
      <c r="J120" s="201">
        <v>-1E-14</v>
      </c>
      <c r="K120" s="201">
        <v>-1E-14</v>
      </c>
      <c r="L120" s="201">
        <v>-1E-14</v>
      </c>
      <c r="M120" s="201">
        <v>-1E-14</v>
      </c>
      <c r="N120" s="201">
        <v>-1E-14</v>
      </c>
      <c r="O120" s="201">
        <v>-1E-14</v>
      </c>
      <c r="P120" s="201"/>
      <c r="Q120" s="201"/>
      <c r="R120" s="201"/>
      <c r="S120" s="201"/>
      <c r="T120" s="201"/>
      <c r="U120" s="201"/>
      <c r="V120" s="201"/>
      <c r="W120" s="201"/>
      <c r="X120" s="201"/>
      <c r="Y120" s="201"/>
      <c r="Z120" s="201"/>
      <c r="AA120" s="201"/>
    </row>
    <row r="121" spans="1:27" outlineLevel="1" x14ac:dyDescent="0.25">
      <c r="A121" s="201">
        <f t="shared" si="9"/>
        <v>-1.1999999999999997E-13</v>
      </c>
      <c r="B121" s="205" t="s">
        <v>55</v>
      </c>
      <c r="C121" s="202" t="s">
        <v>61</v>
      </c>
      <c r="D121" s="201">
        <v>-1E-14</v>
      </c>
      <c r="E121" s="201">
        <v>-1E-14</v>
      </c>
      <c r="F121" s="201">
        <v>-1E-14</v>
      </c>
      <c r="G121" s="201">
        <v>-1E-14</v>
      </c>
      <c r="H121" s="201">
        <v>-1E-14</v>
      </c>
      <c r="I121" s="201">
        <v>-1E-14</v>
      </c>
      <c r="J121" s="201">
        <v>-1E-14</v>
      </c>
      <c r="K121" s="201">
        <v>-1E-14</v>
      </c>
      <c r="L121" s="201">
        <v>-1E-14</v>
      </c>
      <c r="M121" s="201">
        <v>-1E-14</v>
      </c>
      <c r="N121" s="201">
        <v>-1E-14</v>
      </c>
      <c r="O121" s="201">
        <v>-1E-14</v>
      </c>
      <c r="P121" s="201"/>
      <c r="Q121" s="201"/>
      <c r="R121" s="201"/>
      <c r="S121" s="201"/>
      <c r="T121" s="201"/>
      <c r="U121" s="201"/>
      <c r="V121" s="201"/>
      <c r="W121" s="201"/>
      <c r="X121" s="201"/>
      <c r="Y121" s="201"/>
      <c r="Z121" s="201"/>
      <c r="AA121" s="201"/>
    </row>
    <row r="122" spans="1:27" outlineLevel="1" x14ac:dyDescent="0.25">
      <c r="A122" s="201">
        <f t="shared" si="9"/>
        <v>-2733186.6972548985</v>
      </c>
      <c r="B122" s="205" t="s">
        <v>55</v>
      </c>
      <c r="C122" s="202" t="s">
        <v>21</v>
      </c>
      <c r="D122" s="201">
        <v>-880717.33945097972</v>
      </c>
      <c r="E122" s="201">
        <v>-1173799.692392156</v>
      </c>
      <c r="F122" s="201">
        <v>-499540.86886274442</v>
      </c>
      <c r="G122" s="201">
        <v>1E-14</v>
      </c>
      <c r="H122" s="201">
        <v>1E-14</v>
      </c>
      <c r="I122" s="201">
        <v>1E-14</v>
      </c>
      <c r="J122" s="201">
        <v>1E-14</v>
      </c>
      <c r="K122" s="201">
        <v>1E-14</v>
      </c>
      <c r="L122" s="201">
        <v>1E-14</v>
      </c>
      <c r="M122" s="201">
        <v>1E-14</v>
      </c>
      <c r="N122" s="201">
        <v>-124293.81003921508</v>
      </c>
      <c r="O122" s="201">
        <v>-54834.986509803311</v>
      </c>
      <c r="P122" s="201"/>
      <c r="Q122" s="201"/>
      <c r="R122" s="201"/>
      <c r="S122" s="201"/>
      <c r="T122" s="201"/>
      <c r="U122" s="201"/>
      <c r="V122" s="201"/>
      <c r="W122" s="201"/>
      <c r="X122" s="201"/>
      <c r="Y122" s="201"/>
      <c r="Z122" s="201"/>
      <c r="AA122" s="201"/>
    </row>
    <row r="123" spans="1:27" s="16" customFormat="1" outlineLevel="1" x14ac:dyDescent="0.25">
      <c r="A123" s="201">
        <f t="shared" si="9"/>
        <v>-1814400</v>
      </c>
      <c r="B123" s="205" t="s">
        <v>55</v>
      </c>
      <c r="C123" s="202" t="s">
        <v>22</v>
      </c>
      <c r="D123" s="201">
        <v>-756000</v>
      </c>
      <c r="E123" s="201">
        <v>1E-14</v>
      </c>
      <c r="F123" s="201">
        <v>1E-14</v>
      </c>
      <c r="G123" s="201">
        <v>1E-14</v>
      </c>
      <c r="H123" s="201">
        <v>1E-14</v>
      </c>
      <c r="I123" s="201">
        <v>1E-14</v>
      </c>
      <c r="J123" s="201">
        <v>1E-14</v>
      </c>
      <c r="K123" s="201">
        <v>1E-14</v>
      </c>
      <c r="L123" s="201">
        <v>1E-14</v>
      </c>
      <c r="M123" s="201">
        <v>1E-14</v>
      </c>
      <c r="N123" s="201">
        <v>1E-14</v>
      </c>
      <c r="O123" s="201">
        <v>-1058400</v>
      </c>
      <c r="P123" s="201"/>
      <c r="Q123" s="201"/>
      <c r="R123" s="201"/>
      <c r="S123" s="201"/>
      <c r="T123" s="201"/>
      <c r="U123" s="201"/>
      <c r="V123" s="201"/>
      <c r="W123" s="201"/>
      <c r="X123" s="201"/>
      <c r="Y123" s="201"/>
      <c r="Z123" s="201"/>
      <c r="AA123" s="201"/>
    </row>
    <row r="124" spans="1:27" s="16" customFormat="1" outlineLevel="1" x14ac:dyDescent="0.25">
      <c r="A124" s="201">
        <f t="shared" si="9"/>
        <v>1.1999999999999997E-13</v>
      </c>
      <c r="B124" s="205" t="s">
        <v>55</v>
      </c>
      <c r="C124" s="202" t="s">
        <v>25</v>
      </c>
      <c r="D124" s="201">
        <v>1E-14</v>
      </c>
      <c r="E124" s="201">
        <v>1E-14</v>
      </c>
      <c r="F124" s="201">
        <v>1E-14</v>
      </c>
      <c r="G124" s="201">
        <v>1E-14</v>
      </c>
      <c r="H124" s="201">
        <v>1E-14</v>
      </c>
      <c r="I124" s="201">
        <v>1E-14</v>
      </c>
      <c r="J124" s="201">
        <v>1E-14</v>
      </c>
      <c r="K124" s="201">
        <v>1E-14</v>
      </c>
      <c r="L124" s="201">
        <v>1E-14</v>
      </c>
      <c r="M124" s="201">
        <v>1E-14</v>
      </c>
      <c r="N124" s="201">
        <v>1E-14</v>
      </c>
      <c r="O124" s="201">
        <v>1E-14</v>
      </c>
      <c r="P124" s="201"/>
      <c r="Q124" s="201"/>
      <c r="R124" s="201"/>
      <c r="S124" s="201"/>
      <c r="T124" s="201"/>
      <c r="U124" s="201"/>
      <c r="V124" s="201"/>
      <c r="W124" s="201"/>
      <c r="X124" s="201"/>
      <c r="Y124" s="201"/>
      <c r="Z124" s="201"/>
      <c r="AA124" s="201"/>
    </row>
    <row r="125" spans="1:27" s="16" customFormat="1" outlineLevel="1" x14ac:dyDescent="0.25">
      <c r="A125" s="201"/>
      <c r="B125" s="203"/>
      <c r="C125" s="204"/>
      <c r="D125" s="201"/>
      <c r="E125" s="201"/>
      <c r="F125" s="201"/>
      <c r="G125" s="201"/>
      <c r="H125" s="201"/>
      <c r="I125" s="201"/>
      <c r="J125" s="201"/>
      <c r="K125" s="201"/>
      <c r="L125" s="201"/>
      <c r="M125" s="201"/>
      <c r="N125" s="201"/>
      <c r="O125" s="201"/>
      <c r="P125" s="201"/>
      <c r="Q125" s="201"/>
      <c r="R125" s="201"/>
      <c r="S125" s="201"/>
      <c r="T125" s="201"/>
      <c r="U125" s="201"/>
      <c r="V125" s="201"/>
      <c r="W125" s="201"/>
      <c r="X125" s="201"/>
      <c r="Y125" s="201"/>
      <c r="Z125" s="201"/>
      <c r="AA125" s="201"/>
    </row>
    <row r="126" spans="1:27" s="16" customFormat="1" outlineLevel="1" x14ac:dyDescent="0.25">
      <c r="B126" s="51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</row>
    <row r="127" spans="1:27" s="75" customFormat="1" ht="18.75" x14ac:dyDescent="0.3">
      <c r="A127" s="77" t="s">
        <v>223</v>
      </c>
      <c r="B127" s="74"/>
      <c r="C127" s="76"/>
      <c r="D127" s="78" t="s">
        <v>230</v>
      </c>
      <c r="E127" s="78" t="s">
        <v>231</v>
      </c>
      <c r="F127" s="78" t="s">
        <v>232</v>
      </c>
      <c r="G127" s="78" t="s">
        <v>233</v>
      </c>
      <c r="H127" s="78" t="s">
        <v>224</v>
      </c>
      <c r="I127" s="78" t="s">
        <v>234</v>
      </c>
      <c r="J127" s="78" t="s">
        <v>235</v>
      </c>
      <c r="K127" s="78" t="s">
        <v>236</v>
      </c>
      <c r="L127" s="78" t="s">
        <v>237</v>
      </c>
      <c r="M127" s="78" t="s">
        <v>238</v>
      </c>
      <c r="N127" s="78" t="s">
        <v>239</v>
      </c>
      <c r="O127" s="78" t="s">
        <v>240</v>
      </c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</row>
    <row r="128" spans="1:27" outlineLevel="1" x14ac:dyDescent="0.25">
      <c r="C128" s="5" t="s">
        <v>109</v>
      </c>
      <c r="D128" s="88">
        <v>0.98249226280308666</v>
      </c>
      <c r="E128" s="88">
        <v>0.99924997419037387</v>
      </c>
      <c r="F128" s="88">
        <v>0.98249226280308666</v>
      </c>
      <c r="G128" s="88">
        <v>0.40402019966412461</v>
      </c>
      <c r="H128" s="88">
        <v>0.1991599239843462</v>
      </c>
      <c r="I128" s="88">
        <v>0.74781923000117745</v>
      </c>
      <c r="J128" s="88">
        <v>0.26647966339410939</v>
      </c>
      <c r="K128" s="88">
        <v>0.26647966339410939</v>
      </c>
      <c r="L128" s="88">
        <v>1E-14</v>
      </c>
      <c r="M128" s="88">
        <v>0.36726812491215099</v>
      </c>
      <c r="N128" s="88">
        <v>0.98770577301246487</v>
      </c>
      <c r="O128" s="88">
        <v>0.98249226280308666</v>
      </c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</row>
    <row r="129" spans="1:27" outlineLevel="1" x14ac:dyDescent="0.25">
      <c r="C129" s="5" t="s">
        <v>110</v>
      </c>
      <c r="D129" s="88">
        <v>0.89933051111774875</v>
      </c>
      <c r="E129" s="88">
        <v>0.99568735159465038</v>
      </c>
      <c r="F129" s="88">
        <v>0.89933051111774875</v>
      </c>
      <c r="G129" s="88">
        <v>0.82612662434429807</v>
      </c>
      <c r="H129" s="88">
        <v>0.54224211263392541</v>
      </c>
      <c r="I129" s="88">
        <v>0.14445584712543555</v>
      </c>
      <c r="J129" s="88">
        <v>0.35011989767711638</v>
      </c>
      <c r="K129" s="88">
        <v>0.34764691674492121</v>
      </c>
      <c r="L129" s="88">
        <v>0.50774586539208644</v>
      </c>
      <c r="M129" s="88">
        <v>0.79481825668450634</v>
      </c>
      <c r="N129" s="88">
        <v>0.92930819482167371</v>
      </c>
      <c r="O129" s="88">
        <v>0.89933051111774875</v>
      </c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</row>
    <row r="130" spans="1:27" outlineLevel="1" x14ac:dyDescent="0.25">
      <c r="C130" s="5" t="s">
        <v>111</v>
      </c>
      <c r="D130" s="88">
        <v>0.5323787751986494</v>
      </c>
      <c r="E130" s="88">
        <v>0.78556448297220083</v>
      </c>
      <c r="F130" s="88">
        <v>0.3019640286548706</v>
      </c>
      <c r="G130" s="88">
        <v>1E-14</v>
      </c>
      <c r="H130" s="88">
        <v>1E-14</v>
      </c>
      <c r="I130" s="88">
        <v>1E-14</v>
      </c>
      <c r="J130" s="88">
        <v>1E-14</v>
      </c>
      <c r="K130" s="88">
        <v>1E-14</v>
      </c>
      <c r="L130" s="88">
        <v>1E-14</v>
      </c>
      <c r="M130" s="88">
        <v>1E-14</v>
      </c>
      <c r="N130" s="88">
        <v>7.763796188516521E-2</v>
      </c>
      <c r="O130" s="88">
        <v>3.3146824353795318E-2</v>
      </c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88"/>
    </row>
    <row r="131" spans="1:27" outlineLevel="1" x14ac:dyDescent="0.25">
      <c r="C131" s="5" t="s">
        <v>70</v>
      </c>
      <c r="D131" s="88">
        <v>0.67204301075268813</v>
      </c>
      <c r="E131" s="88">
        <v>1E-14</v>
      </c>
      <c r="F131" s="88">
        <v>1E-14</v>
      </c>
      <c r="G131" s="88">
        <v>1E-14</v>
      </c>
      <c r="H131" s="88">
        <v>1E-14</v>
      </c>
      <c r="I131" s="88">
        <v>1E-14</v>
      </c>
      <c r="J131" s="88">
        <v>1E-14</v>
      </c>
      <c r="K131" s="88">
        <v>1E-14</v>
      </c>
      <c r="L131" s="88">
        <v>1E-14</v>
      </c>
      <c r="M131" s="88">
        <v>1E-14</v>
      </c>
      <c r="N131" s="88">
        <v>1E-14</v>
      </c>
      <c r="O131" s="88">
        <v>0.94086021505376349</v>
      </c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  <c r="AA131" s="88"/>
    </row>
    <row r="132" spans="1:27" outlineLevel="1" x14ac:dyDescent="0.25">
      <c r="C132" s="5" t="s">
        <v>112</v>
      </c>
      <c r="D132" s="88">
        <v>1E-14</v>
      </c>
      <c r="E132" s="88">
        <v>1E-14</v>
      </c>
      <c r="F132" s="88">
        <v>1E-14</v>
      </c>
      <c r="G132" s="88">
        <v>1E-14</v>
      </c>
      <c r="H132" s="88">
        <v>1E-14</v>
      </c>
      <c r="I132" s="88">
        <v>0.14853454652393785</v>
      </c>
      <c r="J132" s="88">
        <v>0.18581520684674632</v>
      </c>
      <c r="K132" s="88">
        <v>0.22600184315682778</v>
      </c>
      <c r="L132" s="88">
        <v>0.20705154132448722</v>
      </c>
      <c r="M132" s="88">
        <v>1E-14</v>
      </c>
      <c r="N132" s="88">
        <v>1E-14</v>
      </c>
      <c r="O132" s="88">
        <v>1E-14</v>
      </c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  <c r="AA132" s="88"/>
    </row>
    <row r="133" spans="1:27" outlineLevel="1" x14ac:dyDescent="0.25">
      <c r="C133" s="5" t="s">
        <v>113</v>
      </c>
      <c r="D133" s="88">
        <v>1E-14</v>
      </c>
      <c r="E133" s="88">
        <v>1E-14</v>
      </c>
      <c r="F133" s="88">
        <v>1E-14</v>
      </c>
      <c r="G133" s="88">
        <v>1E-14</v>
      </c>
      <c r="H133" s="88">
        <v>1E-14</v>
      </c>
      <c r="I133" s="88">
        <v>1E-14</v>
      </c>
      <c r="J133" s="88">
        <v>1E-14</v>
      </c>
      <c r="K133" s="88">
        <v>1E-14</v>
      </c>
      <c r="L133" s="88">
        <v>1E-14</v>
      </c>
      <c r="M133" s="88">
        <v>1E-14</v>
      </c>
      <c r="N133" s="88">
        <v>1E-14</v>
      </c>
      <c r="O133" s="88">
        <v>1E-14</v>
      </c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  <c r="AA133" s="88"/>
    </row>
    <row r="135" spans="1:27" x14ac:dyDescent="0.25"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</row>
    <row r="136" spans="1:27" s="75" customFormat="1" ht="18.75" x14ac:dyDescent="0.3">
      <c r="A136" s="77" t="s">
        <v>122</v>
      </c>
      <c r="B136" s="74"/>
      <c r="C136" s="107" t="s">
        <v>121</v>
      </c>
      <c r="D136" s="78" t="s">
        <v>230</v>
      </c>
      <c r="E136" s="78" t="s">
        <v>231</v>
      </c>
      <c r="F136" s="78" t="s">
        <v>232</v>
      </c>
      <c r="G136" s="78" t="s">
        <v>233</v>
      </c>
      <c r="H136" s="78" t="s">
        <v>224</v>
      </c>
      <c r="I136" s="78" t="s">
        <v>234</v>
      </c>
      <c r="J136" s="78" t="s">
        <v>235</v>
      </c>
      <c r="K136" s="78" t="s">
        <v>236</v>
      </c>
      <c r="L136" s="78" t="s">
        <v>237</v>
      </c>
      <c r="M136" s="78" t="s">
        <v>238</v>
      </c>
      <c r="N136" s="78" t="s">
        <v>239</v>
      </c>
      <c r="O136" s="78" t="s">
        <v>240</v>
      </c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</row>
    <row r="137" spans="1:27" s="16" customFormat="1" x14ac:dyDescent="0.25">
      <c r="A137" s="106">
        <f>MAX(D137:AA137)</f>
        <v>1E-14</v>
      </c>
      <c r="B137" s="95"/>
      <c r="C137" s="100" t="s">
        <v>96</v>
      </c>
      <c r="D137" s="93">
        <v>1E-14</v>
      </c>
      <c r="E137" s="91">
        <v>1E-14</v>
      </c>
      <c r="F137" s="91">
        <v>1E-14</v>
      </c>
      <c r="G137" s="91">
        <v>1E-14</v>
      </c>
      <c r="H137" s="91">
        <v>1E-14</v>
      </c>
      <c r="I137" s="91">
        <v>1E-14</v>
      </c>
      <c r="J137" s="91">
        <v>1E-14</v>
      </c>
      <c r="K137" s="91">
        <v>1E-14</v>
      </c>
      <c r="L137" s="91">
        <v>1E-14</v>
      </c>
      <c r="M137" s="91">
        <v>1E-14</v>
      </c>
      <c r="N137" s="91">
        <v>1E-14</v>
      </c>
      <c r="O137" s="91">
        <v>1E-14</v>
      </c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</row>
    <row r="138" spans="1:27" s="16" customFormat="1" x14ac:dyDescent="0.25">
      <c r="A138" s="106">
        <f t="shared" ref="A138:A142" si="10">MAX(D138:AA138)</f>
        <v>1E-14</v>
      </c>
      <c r="B138" s="96"/>
      <c r="C138" s="101" t="s">
        <v>97</v>
      </c>
      <c r="D138" s="94">
        <v>1E-14</v>
      </c>
      <c r="E138" s="92">
        <v>1E-14</v>
      </c>
      <c r="F138" s="92">
        <v>1E-14</v>
      </c>
      <c r="G138" s="92">
        <v>1E-14</v>
      </c>
      <c r="H138" s="92">
        <v>1E-14</v>
      </c>
      <c r="I138" s="92">
        <v>1E-14</v>
      </c>
      <c r="J138" s="92">
        <v>1E-14</v>
      </c>
      <c r="K138" s="92">
        <v>1E-14</v>
      </c>
      <c r="L138" s="92">
        <v>1E-14</v>
      </c>
      <c r="M138" s="92">
        <v>1E-14</v>
      </c>
      <c r="N138" s="92">
        <v>1E-14</v>
      </c>
      <c r="O138" s="92">
        <v>1E-14</v>
      </c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</row>
    <row r="139" spans="1:27" s="16" customFormat="1" x14ac:dyDescent="0.25">
      <c r="A139" s="106">
        <f t="shared" si="10"/>
        <v>0</v>
      </c>
      <c r="B139" s="96"/>
      <c r="C139" s="101"/>
      <c r="D139" s="94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</row>
    <row r="140" spans="1:27" s="16" customFormat="1" x14ac:dyDescent="0.25">
      <c r="A140" s="106">
        <f t="shared" si="10"/>
        <v>0</v>
      </c>
      <c r="B140" s="96"/>
      <c r="C140" s="101"/>
      <c r="D140" s="94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</row>
    <row r="141" spans="1:27" s="16" customFormat="1" x14ac:dyDescent="0.25">
      <c r="A141" s="106">
        <f t="shared" si="10"/>
        <v>0</v>
      </c>
      <c r="B141" s="96"/>
      <c r="C141" s="101"/>
      <c r="D141" s="94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</row>
    <row r="142" spans="1:27" s="16" customFormat="1" x14ac:dyDescent="0.25">
      <c r="A142" s="106">
        <f t="shared" si="10"/>
        <v>0</v>
      </c>
      <c r="B142" s="96"/>
      <c r="C142" s="101"/>
      <c r="D142" s="94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</row>
    <row r="143" spans="1:27" s="16" customFormat="1" x14ac:dyDescent="0.25">
      <c r="A143" s="106"/>
      <c r="B143" s="97"/>
      <c r="C143" s="108"/>
      <c r="D143" s="93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91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</row>
    <row r="144" spans="1:27" s="75" customFormat="1" ht="18.75" x14ac:dyDescent="0.3">
      <c r="A144" s="77" t="s">
        <v>123</v>
      </c>
      <c r="B144" s="76" t="s">
        <v>121</v>
      </c>
      <c r="C144" s="107" t="s">
        <v>124</v>
      </c>
      <c r="D144" s="78" t="s">
        <v>230</v>
      </c>
      <c r="E144" s="78" t="s">
        <v>231</v>
      </c>
      <c r="F144" s="78" t="s">
        <v>232</v>
      </c>
      <c r="G144" s="78" t="s">
        <v>233</v>
      </c>
      <c r="H144" s="78" t="s">
        <v>224</v>
      </c>
      <c r="I144" s="78" t="s">
        <v>234</v>
      </c>
      <c r="J144" s="78" t="s">
        <v>235</v>
      </c>
      <c r="K144" s="78" t="s">
        <v>236</v>
      </c>
      <c r="L144" s="78" t="s">
        <v>237</v>
      </c>
      <c r="M144" s="78" t="s">
        <v>238</v>
      </c>
      <c r="N144" s="78" t="s">
        <v>239</v>
      </c>
      <c r="O144" s="78" t="s">
        <v>240</v>
      </c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</row>
    <row r="145" spans="1:27" x14ac:dyDescent="0.25">
      <c r="A145" s="106">
        <f>MAX(D145:AA145)</f>
        <v>1E-14</v>
      </c>
      <c r="B145" s="95" t="s">
        <v>96</v>
      </c>
      <c r="C145" s="100" t="s">
        <v>10</v>
      </c>
      <c r="D145" s="91">
        <v>1E-14</v>
      </c>
      <c r="E145" s="91">
        <v>1E-14</v>
      </c>
      <c r="F145" s="91">
        <v>1E-14</v>
      </c>
      <c r="G145" s="91">
        <v>1E-14</v>
      </c>
      <c r="H145" s="91">
        <v>1E-14</v>
      </c>
      <c r="I145" s="91">
        <v>1E-14</v>
      </c>
      <c r="J145" s="91">
        <v>1E-14</v>
      </c>
      <c r="K145" s="91">
        <v>1E-14</v>
      </c>
      <c r="L145" s="91">
        <v>1E-14</v>
      </c>
      <c r="M145" s="91">
        <v>1E-14</v>
      </c>
      <c r="N145" s="91">
        <v>1E-14</v>
      </c>
      <c r="O145" s="91">
        <v>1E-14</v>
      </c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</row>
    <row r="146" spans="1:27" x14ac:dyDescent="0.25">
      <c r="A146" s="106">
        <f t="shared" ref="A146:A202" si="11">MAX(D146:AA146)</f>
        <v>1E-14</v>
      </c>
      <c r="B146" s="96" t="s">
        <v>96</v>
      </c>
      <c r="C146" s="101" t="s">
        <v>18</v>
      </c>
      <c r="D146" s="92">
        <v>1E-14</v>
      </c>
      <c r="E146" s="92">
        <v>1E-14</v>
      </c>
      <c r="F146" s="92">
        <v>1E-14</v>
      </c>
      <c r="G146" s="92">
        <v>1E-14</v>
      </c>
      <c r="H146" s="92">
        <v>1E-14</v>
      </c>
      <c r="I146" s="92">
        <v>1E-14</v>
      </c>
      <c r="J146" s="92">
        <v>1E-14</v>
      </c>
      <c r="K146" s="92">
        <v>1E-14</v>
      </c>
      <c r="L146" s="92">
        <v>1E-14</v>
      </c>
      <c r="M146" s="92">
        <v>1E-14</v>
      </c>
      <c r="N146" s="92">
        <v>1E-14</v>
      </c>
      <c r="O146" s="92">
        <v>1E-14</v>
      </c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</row>
    <row r="147" spans="1:27" x14ac:dyDescent="0.25">
      <c r="A147" s="106">
        <f t="shared" si="11"/>
        <v>1E-14</v>
      </c>
      <c r="B147" s="96" t="s">
        <v>96</v>
      </c>
      <c r="C147" s="101" t="s">
        <v>17</v>
      </c>
      <c r="D147" s="92">
        <v>1E-14</v>
      </c>
      <c r="E147" s="92">
        <v>1E-14</v>
      </c>
      <c r="F147" s="92">
        <v>1E-14</v>
      </c>
      <c r="G147" s="92">
        <v>1E-14</v>
      </c>
      <c r="H147" s="92">
        <v>1E-14</v>
      </c>
      <c r="I147" s="92">
        <v>1E-14</v>
      </c>
      <c r="J147" s="92">
        <v>1E-14</v>
      </c>
      <c r="K147" s="92">
        <v>1E-14</v>
      </c>
      <c r="L147" s="92">
        <v>1E-14</v>
      </c>
      <c r="M147" s="92">
        <v>1E-14</v>
      </c>
      <c r="N147" s="92">
        <v>1E-14</v>
      </c>
      <c r="O147" s="92">
        <v>1E-14</v>
      </c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</row>
    <row r="148" spans="1:27" x14ac:dyDescent="0.25">
      <c r="A148" s="106">
        <f t="shared" si="11"/>
        <v>1E-14</v>
      </c>
      <c r="B148" s="96" t="s">
        <v>97</v>
      </c>
      <c r="C148" s="101" t="s">
        <v>10</v>
      </c>
      <c r="D148" s="92">
        <v>1E-14</v>
      </c>
      <c r="E148" s="92">
        <v>1E-14</v>
      </c>
      <c r="F148" s="92">
        <v>1E-14</v>
      </c>
      <c r="G148" s="92">
        <v>1E-14</v>
      </c>
      <c r="H148" s="92">
        <v>1E-14</v>
      </c>
      <c r="I148" s="92">
        <v>1E-14</v>
      </c>
      <c r="J148" s="92">
        <v>1E-14</v>
      </c>
      <c r="K148" s="92">
        <v>1E-14</v>
      </c>
      <c r="L148" s="92">
        <v>1E-14</v>
      </c>
      <c r="M148" s="92">
        <v>1E-14</v>
      </c>
      <c r="N148" s="92">
        <v>1E-14</v>
      </c>
      <c r="O148" s="92">
        <v>1E-14</v>
      </c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</row>
    <row r="149" spans="1:27" x14ac:dyDescent="0.25">
      <c r="A149" s="106">
        <f t="shared" si="11"/>
        <v>1E-14</v>
      </c>
      <c r="B149" s="96" t="s">
        <v>97</v>
      </c>
      <c r="C149" s="101" t="s">
        <v>18</v>
      </c>
      <c r="D149" s="92">
        <v>1E-14</v>
      </c>
      <c r="E149" s="92">
        <v>1E-14</v>
      </c>
      <c r="F149" s="92">
        <v>1E-14</v>
      </c>
      <c r="G149" s="92">
        <v>1E-14</v>
      </c>
      <c r="H149" s="92">
        <v>1E-14</v>
      </c>
      <c r="I149" s="92">
        <v>1E-14</v>
      </c>
      <c r="J149" s="92">
        <v>1E-14</v>
      </c>
      <c r="K149" s="92">
        <v>1E-14</v>
      </c>
      <c r="L149" s="92">
        <v>1E-14</v>
      </c>
      <c r="M149" s="92">
        <v>1E-14</v>
      </c>
      <c r="N149" s="92">
        <v>1E-14</v>
      </c>
      <c r="O149" s="92">
        <v>1E-14</v>
      </c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</row>
    <row r="150" spans="1:27" x14ac:dyDescent="0.25">
      <c r="A150" s="106">
        <f t="shared" si="11"/>
        <v>1E-14</v>
      </c>
      <c r="B150" s="96" t="s">
        <v>97</v>
      </c>
      <c r="C150" s="101" t="s">
        <v>17</v>
      </c>
      <c r="D150" s="92">
        <v>1E-14</v>
      </c>
      <c r="E150" s="92">
        <v>1E-14</v>
      </c>
      <c r="F150" s="92">
        <v>1E-14</v>
      </c>
      <c r="G150" s="92">
        <v>1E-14</v>
      </c>
      <c r="H150" s="92">
        <v>1E-14</v>
      </c>
      <c r="I150" s="92">
        <v>1E-14</v>
      </c>
      <c r="J150" s="92">
        <v>1E-14</v>
      </c>
      <c r="K150" s="92">
        <v>1E-14</v>
      </c>
      <c r="L150" s="92">
        <v>1E-14</v>
      </c>
      <c r="M150" s="92">
        <v>1E-14</v>
      </c>
      <c r="N150" s="92">
        <v>1E-14</v>
      </c>
      <c r="O150" s="92">
        <v>1E-14</v>
      </c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</row>
    <row r="151" spans="1:27" x14ac:dyDescent="0.25">
      <c r="A151" s="106">
        <f t="shared" si="11"/>
        <v>0</v>
      </c>
      <c r="B151" s="98"/>
      <c r="C151" s="10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</row>
    <row r="152" spans="1:27" x14ac:dyDescent="0.25">
      <c r="A152" s="106">
        <f t="shared" si="11"/>
        <v>0</v>
      </c>
      <c r="B152" s="104"/>
      <c r="C152" s="105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</row>
    <row r="153" spans="1:27" x14ac:dyDescent="0.25">
      <c r="A153" s="106">
        <f t="shared" si="11"/>
        <v>0</v>
      </c>
      <c r="B153" s="98"/>
      <c r="C153" s="10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</row>
    <row r="154" spans="1:27" x14ac:dyDescent="0.25">
      <c r="A154" s="106">
        <f t="shared" si="11"/>
        <v>0</v>
      </c>
      <c r="B154" s="98"/>
      <c r="C154" s="10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</row>
    <row r="155" spans="1:27" x14ac:dyDescent="0.25">
      <c r="A155" s="106">
        <f t="shared" si="11"/>
        <v>0</v>
      </c>
      <c r="B155" s="98"/>
      <c r="C155" s="10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</row>
    <row r="156" spans="1:27" x14ac:dyDescent="0.25">
      <c r="A156" s="106">
        <f t="shared" si="11"/>
        <v>0</v>
      </c>
      <c r="B156" s="98"/>
      <c r="C156" s="10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</row>
    <row r="157" spans="1:27" x14ac:dyDescent="0.25">
      <c r="A157" s="106">
        <f t="shared" si="11"/>
        <v>0</v>
      </c>
      <c r="B157" s="98"/>
      <c r="C157" s="10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</row>
    <row r="158" spans="1:27" x14ac:dyDescent="0.25">
      <c r="A158" s="106">
        <f t="shared" si="11"/>
        <v>0</v>
      </c>
      <c r="B158" s="98"/>
      <c r="C158" s="10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</row>
    <row r="159" spans="1:27" x14ac:dyDescent="0.25">
      <c r="A159" s="106">
        <f t="shared" si="11"/>
        <v>0</v>
      </c>
      <c r="B159" s="98"/>
      <c r="C159" s="10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</row>
    <row r="160" spans="1:27" x14ac:dyDescent="0.25">
      <c r="A160" s="106">
        <f t="shared" si="11"/>
        <v>0</v>
      </c>
      <c r="B160" s="98"/>
      <c r="C160" s="10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</row>
    <row r="161" spans="1:27" x14ac:dyDescent="0.25">
      <c r="A161" s="106">
        <f t="shared" si="11"/>
        <v>0</v>
      </c>
      <c r="B161" s="98"/>
      <c r="C161" s="10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</row>
    <row r="162" spans="1:27" x14ac:dyDescent="0.25">
      <c r="A162" s="106">
        <f t="shared" si="11"/>
        <v>0</v>
      </c>
      <c r="B162" s="98"/>
      <c r="C162" s="10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</row>
    <row r="163" spans="1:27" x14ac:dyDescent="0.25">
      <c r="A163" s="106">
        <f t="shared" si="11"/>
        <v>0</v>
      </c>
      <c r="B163" s="98"/>
      <c r="C163" s="10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</row>
    <row r="164" spans="1:27" x14ac:dyDescent="0.25">
      <c r="A164" s="106">
        <f t="shared" si="11"/>
        <v>0</v>
      </c>
      <c r="B164" s="98"/>
      <c r="C164" s="10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</row>
    <row r="165" spans="1:27" x14ac:dyDescent="0.25">
      <c r="A165" s="106">
        <f t="shared" si="11"/>
        <v>0</v>
      </c>
      <c r="B165" s="98"/>
      <c r="C165" s="10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</row>
    <row r="166" spans="1:27" x14ac:dyDescent="0.25">
      <c r="A166" s="106">
        <f t="shared" si="11"/>
        <v>0</v>
      </c>
      <c r="B166" s="98"/>
      <c r="C166" s="10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</row>
    <row r="167" spans="1:27" x14ac:dyDescent="0.25">
      <c r="A167" s="106">
        <f t="shared" si="11"/>
        <v>0</v>
      </c>
      <c r="B167" s="98"/>
      <c r="C167" s="10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</row>
    <row r="168" spans="1:27" x14ac:dyDescent="0.25">
      <c r="A168" s="106">
        <f t="shared" si="11"/>
        <v>0</v>
      </c>
      <c r="B168" s="98"/>
      <c r="C168" s="10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</row>
    <row r="169" spans="1:27" x14ac:dyDescent="0.25">
      <c r="A169" s="106">
        <f t="shared" si="11"/>
        <v>0</v>
      </c>
      <c r="B169" s="98"/>
      <c r="C169" s="10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</row>
    <row r="170" spans="1:27" x14ac:dyDescent="0.25">
      <c r="A170" s="106">
        <f t="shared" si="11"/>
        <v>0</v>
      </c>
      <c r="B170" s="98"/>
      <c r="C170" s="10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</row>
    <row r="171" spans="1:27" x14ac:dyDescent="0.25">
      <c r="A171" s="106">
        <f t="shared" si="11"/>
        <v>0</v>
      </c>
      <c r="B171" s="98"/>
      <c r="C171" s="10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</row>
    <row r="172" spans="1:27" x14ac:dyDescent="0.25">
      <c r="A172" s="106">
        <f t="shared" si="11"/>
        <v>0</v>
      </c>
      <c r="B172" s="98"/>
      <c r="C172" s="10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</row>
    <row r="173" spans="1:27" x14ac:dyDescent="0.25">
      <c r="A173" s="106">
        <f t="shared" si="11"/>
        <v>0</v>
      </c>
      <c r="B173" s="98"/>
      <c r="C173" s="10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</row>
    <row r="174" spans="1:27" x14ac:dyDescent="0.25">
      <c r="A174" s="106">
        <f t="shared" si="11"/>
        <v>0</v>
      </c>
      <c r="B174" s="98"/>
      <c r="C174" s="10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</row>
    <row r="175" spans="1:27" x14ac:dyDescent="0.25">
      <c r="A175" s="106">
        <f t="shared" si="11"/>
        <v>0</v>
      </c>
      <c r="B175" s="98"/>
      <c r="C175" s="10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</row>
    <row r="176" spans="1:27" x14ac:dyDescent="0.25">
      <c r="A176" s="106">
        <f t="shared" si="11"/>
        <v>0</v>
      </c>
      <c r="B176" s="98"/>
      <c r="C176" s="10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</row>
    <row r="177" spans="1:27" x14ac:dyDescent="0.25">
      <c r="A177" s="106">
        <f t="shared" si="11"/>
        <v>0</v>
      </c>
      <c r="B177" s="98"/>
      <c r="C177" s="10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</row>
    <row r="178" spans="1:27" x14ac:dyDescent="0.25">
      <c r="A178" s="106">
        <f t="shared" si="11"/>
        <v>0</v>
      </c>
      <c r="B178" s="98"/>
      <c r="C178" s="10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</row>
    <row r="179" spans="1:27" x14ac:dyDescent="0.25">
      <c r="A179" s="106">
        <f t="shared" si="11"/>
        <v>0</v>
      </c>
      <c r="B179" s="98"/>
      <c r="C179" s="10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</row>
    <row r="180" spans="1:27" x14ac:dyDescent="0.25">
      <c r="A180" s="106">
        <f t="shared" si="11"/>
        <v>0</v>
      </c>
      <c r="B180" s="98"/>
      <c r="C180" s="10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</row>
    <row r="181" spans="1:27" x14ac:dyDescent="0.25">
      <c r="A181" s="106">
        <f t="shared" si="11"/>
        <v>0</v>
      </c>
      <c r="B181" s="98"/>
      <c r="C181" s="10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</row>
    <row r="182" spans="1:27" x14ac:dyDescent="0.25">
      <c r="A182" s="106">
        <f t="shared" si="11"/>
        <v>0</v>
      </c>
      <c r="B182" s="98"/>
      <c r="C182" s="10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</row>
    <row r="183" spans="1:27" x14ac:dyDescent="0.25">
      <c r="A183" s="106">
        <f t="shared" si="11"/>
        <v>0</v>
      </c>
      <c r="B183" s="98"/>
      <c r="C183" s="10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</row>
    <row r="184" spans="1:27" x14ac:dyDescent="0.25">
      <c r="A184" s="106">
        <f t="shared" si="11"/>
        <v>0</v>
      </c>
      <c r="B184" s="98"/>
      <c r="C184" s="10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</row>
    <row r="185" spans="1:27" x14ac:dyDescent="0.25">
      <c r="A185" s="106">
        <f t="shared" si="11"/>
        <v>0</v>
      </c>
      <c r="B185" s="98"/>
      <c r="C185" s="10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</row>
    <row r="186" spans="1:27" x14ac:dyDescent="0.25">
      <c r="A186" s="106">
        <f t="shared" si="11"/>
        <v>0</v>
      </c>
      <c r="B186" s="98"/>
      <c r="C186" s="10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</row>
    <row r="187" spans="1:27" x14ac:dyDescent="0.25">
      <c r="A187" s="106">
        <f t="shared" si="11"/>
        <v>0</v>
      </c>
      <c r="B187" s="98"/>
      <c r="C187" s="10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</row>
    <row r="188" spans="1:27" x14ac:dyDescent="0.25">
      <c r="A188" s="106">
        <f t="shared" si="11"/>
        <v>0</v>
      </c>
      <c r="B188" s="98"/>
      <c r="C188" s="10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</row>
    <row r="189" spans="1:27" x14ac:dyDescent="0.25">
      <c r="A189" s="106">
        <f t="shared" si="11"/>
        <v>0</v>
      </c>
      <c r="B189" s="98"/>
      <c r="C189" s="10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</row>
    <row r="190" spans="1:27" x14ac:dyDescent="0.25">
      <c r="A190" s="106">
        <f t="shared" si="11"/>
        <v>0</v>
      </c>
      <c r="B190" s="98"/>
      <c r="C190" s="10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</row>
    <row r="191" spans="1:27" x14ac:dyDescent="0.25">
      <c r="A191" s="106">
        <f t="shared" si="11"/>
        <v>0</v>
      </c>
      <c r="B191" s="98"/>
      <c r="C191" s="10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</row>
    <row r="192" spans="1:27" x14ac:dyDescent="0.25">
      <c r="A192" s="106">
        <f t="shared" si="11"/>
        <v>0</v>
      </c>
      <c r="B192" s="98"/>
      <c r="C192" s="10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</row>
    <row r="193" spans="1:27" x14ac:dyDescent="0.25">
      <c r="A193" s="106">
        <f t="shared" si="11"/>
        <v>0</v>
      </c>
      <c r="B193" s="98"/>
      <c r="C193" s="10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</row>
    <row r="194" spans="1:27" x14ac:dyDescent="0.25">
      <c r="A194" s="106">
        <f t="shared" si="11"/>
        <v>0</v>
      </c>
      <c r="B194" s="98"/>
      <c r="C194" s="10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</row>
    <row r="195" spans="1:27" x14ac:dyDescent="0.25">
      <c r="A195" s="106">
        <f t="shared" si="11"/>
        <v>0</v>
      </c>
      <c r="B195" s="98"/>
      <c r="C195" s="10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</row>
    <row r="196" spans="1:27" x14ac:dyDescent="0.25">
      <c r="A196" s="106">
        <f t="shared" si="11"/>
        <v>0</v>
      </c>
      <c r="B196" s="98"/>
      <c r="C196" s="10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</row>
    <row r="197" spans="1:27" x14ac:dyDescent="0.25">
      <c r="A197" s="106">
        <f t="shared" si="11"/>
        <v>0</v>
      </c>
      <c r="B197" s="98"/>
      <c r="C197" s="10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</row>
    <row r="198" spans="1:27" x14ac:dyDescent="0.25">
      <c r="A198" s="106">
        <f t="shared" si="11"/>
        <v>0</v>
      </c>
      <c r="B198" s="99"/>
      <c r="C198" s="103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</row>
    <row r="199" spans="1:27" x14ac:dyDescent="0.25">
      <c r="A199" s="106">
        <f t="shared" si="11"/>
        <v>0</v>
      </c>
      <c r="B199" s="99"/>
      <c r="C199" s="103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</row>
    <row r="200" spans="1:27" x14ac:dyDescent="0.25">
      <c r="A200" s="106">
        <f t="shared" si="11"/>
        <v>0</v>
      </c>
      <c r="B200" s="99"/>
      <c r="C200" s="103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</row>
    <row r="201" spans="1:27" x14ac:dyDescent="0.25">
      <c r="A201" s="106">
        <f t="shared" si="11"/>
        <v>0</v>
      </c>
      <c r="B201" s="99"/>
      <c r="C201" s="103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</row>
    <row r="202" spans="1:27" x14ac:dyDescent="0.25">
      <c r="A202" s="106">
        <f t="shared" si="11"/>
        <v>0</v>
      </c>
      <c r="B202" s="99"/>
      <c r="C202" s="103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</row>
    <row r="203" spans="1:27" x14ac:dyDescent="0.25">
      <c r="A203" s="106"/>
    </row>
  </sheetData>
  <phoneticPr fontId="8" type="noConversion"/>
  <conditionalFormatting sqref="D56:AA62">
    <cfRule type="cellIs" dxfId="108" priority="13" operator="between">
      <formula>-0.00000000001</formula>
      <formula>0.00000000001</formula>
    </cfRule>
    <cfRule type="colorScale" priority="14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28:AA133">
    <cfRule type="cellIs" dxfId="107" priority="148" operator="lessThan">
      <formula>0.0000000000001</formula>
    </cfRule>
  </conditionalFormatting>
  <conditionalFormatting sqref="D64:AA94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96:A126">
    <cfRule type="colorScale" priority="140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64:A92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56:A61">
    <cfRule type="colorScale" priority="13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4">
    <cfRule type="cellIs" dxfId="106" priority="136" operator="between">
      <formula>-0.0000000000001</formula>
      <formula>0.0000000000001</formula>
    </cfRule>
  </conditionalFormatting>
  <conditionalFormatting sqref="A8:AA53">
    <cfRule type="cellIs" dxfId="105" priority="135" operator="between">
      <formula>-0.0000000000001</formula>
      <formula>0.0000000000001</formula>
    </cfRule>
  </conditionalFormatting>
  <conditionalFormatting sqref="A17 C17:O17">
    <cfRule type="cellIs" dxfId="104" priority="134" operator="between">
      <formula>-0.0000000000001</formula>
      <formula>0.0000000000001</formula>
    </cfRule>
  </conditionalFormatting>
  <conditionalFormatting sqref="P17:AA17">
    <cfRule type="cellIs" dxfId="103" priority="133" operator="between">
      <formula>-0.0000000000001</formula>
      <formula>0.0000000000001</formula>
    </cfRule>
  </conditionalFormatting>
  <conditionalFormatting sqref="C8:O8 A8">
    <cfRule type="cellIs" dxfId="102" priority="132" operator="between">
      <formula>-0.0000000000001</formula>
      <formula>0.0000000000001</formula>
    </cfRule>
  </conditionalFormatting>
  <conditionalFormatting sqref="P8:AA8">
    <cfRule type="cellIs" dxfId="101" priority="131" operator="between">
      <formula>-0.0000000000001</formula>
      <formula>0.0000000000001</formula>
    </cfRule>
  </conditionalFormatting>
  <conditionalFormatting sqref="C14">
    <cfRule type="cellIs" dxfId="100" priority="130" operator="between">
      <formula>-0.0000000000001</formula>
      <formula>0.0000000000001</formula>
    </cfRule>
  </conditionalFormatting>
  <conditionalFormatting sqref="C15">
    <cfRule type="cellIs" dxfId="99" priority="128" operator="between">
      <formula>-0.0000000000001</formula>
      <formula>0.0000000000001</formula>
    </cfRule>
  </conditionalFormatting>
  <conditionalFormatting sqref="A15 C15:O15">
    <cfRule type="cellIs" dxfId="98" priority="127" operator="between">
      <formula>-0.0000000000001</formula>
      <formula>0.0000000000001</formula>
    </cfRule>
  </conditionalFormatting>
  <conditionalFormatting sqref="P15:AA15">
    <cfRule type="cellIs" dxfId="97" priority="126" operator="between">
      <formula>-0.0000000000001</formula>
      <formula>0.0000000000001</formula>
    </cfRule>
  </conditionalFormatting>
  <conditionalFormatting sqref="C25:O26 A25:A26">
    <cfRule type="cellIs" dxfId="96" priority="125" operator="between">
      <formula>-0.0000000000001</formula>
      <formula>0.0000000000001</formula>
    </cfRule>
  </conditionalFormatting>
  <conditionalFormatting sqref="P25:AA26">
    <cfRule type="cellIs" dxfId="95" priority="124" operator="between">
      <formula>-0.0000000000001</formula>
      <formula>0.0000000000001</formula>
    </cfRule>
  </conditionalFormatting>
  <conditionalFormatting sqref="C45:O46 A45:A46 A48 C48:AA48 D44:O45 D47:O47">
    <cfRule type="cellIs" dxfId="94" priority="123" operator="between">
      <formula>-0.0000000000001</formula>
      <formula>0.0000000000001</formula>
    </cfRule>
  </conditionalFormatting>
  <conditionalFormatting sqref="P45:AA46">
    <cfRule type="cellIs" dxfId="93" priority="122" operator="between">
      <formula>-0.0000000000001</formula>
      <formula>0.0000000000001</formula>
    </cfRule>
  </conditionalFormatting>
  <conditionalFormatting sqref="C47:O47">
    <cfRule type="cellIs" dxfId="92" priority="121" operator="between">
      <formula>-0.0000000000001</formula>
      <formula>0.0000000000001</formula>
    </cfRule>
  </conditionalFormatting>
  <conditionalFormatting sqref="P47:AA47">
    <cfRule type="cellIs" dxfId="91" priority="120" operator="between">
      <formula>-0.0000000000001</formula>
      <formula>0.0000000000001</formula>
    </cfRule>
  </conditionalFormatting>
  <conditionalFormatting sqref="C12:O12">
    <cfRule type="cellIs" dxfId="90" priority="119" operator="between">
      <formula>-0.0000000000001</formula>
      <formula>0.0000000000001</formula>
    </cfRule>
  </conditionalFormatting>
  <conditionalFormatting sqref="P12:AA12">
    <cfRule type="cellIs" dxfId="89" priority="118" operator="between">
      <formula>-0.0000000000001</formula>
      <formula>0.0000000000001</formula>
    </cfRule>
  </conditionalFormatting>
  <conditionalFormatting sqref="C12">
    <cfRule type="cellIs" dxfId="88" priority="117" operator="between">
      <formula>-0.0000000000001</formula>
      <formula>0.0000000000001</formula>
    </cfRule>
  </conditionalFormatting>
  <conditionalFormatting sqref="A64:AA94">
    <cfRule type="cellIs" dxfId="87" priority="116" operator="between">
      <formula>-0.00000000001</formula>
      <formula>0.00000000001</formula>
    </cfRule>
  </conditionalFormatting>
  <conditionalFormatting sqref="P13:AA13">
    <cfRule type="cellIs" dxfId="86" priority="113" operator="between">
      <formula>-0.0000000000001</formula>
      <formula>0.0000000000001</formula>
    </cfRule>
  </conditionalFormatting>
  <conditionalFormatting sqref="C13">
    <cfRule type="cellIs" dxfId="85" priority="112" operator="between">
      <formula>-0.0000000000001</formula>
      <formula>0.0000000000001</formula>
    </cfRule>
  </conditionalFormatting>
  <conditionalFormatting sqref="C18:O18 A18">
    <cfRule type="cellIs" dxfId="84" priority="111" operator="between">
      <formula>-0.0000000000001</formula>
      <formula>0.0000000000001</formula>
    </cfRule>
  </conditionalFormatting>
  <conditionalFormatting sqref="P18:AA18">
    <cfRule type="cellIs" dxfId="83" priority="110" operator="between">
      <formula>-0.0000000000001</formula>
      <formula>0.0000000000001</formula>
    </cfRule>
  </conditionalFormatting>
  <conditionalFormatting sqref="C18">
    <cfRule type="cellIs" dxfId="82" priority="109" operator="between">
      <formula>-0.0000000000001</formula>
      <formula>0.0000000000001</formula>
    </cfRule>
  </conditionalFormatting>
  <conditionalFormatting sqref="C44:O44 A44">
    <cfRule type="cellIs" dxfId="81" priority="108" operator="between">
      <formula>-0.0000000000001</formula>
      <formula>0.0000000000001</formula>
    </cfRule>
  </conditionalFormatting>
  <conditionalFormatting sqref="P44:AA44">
    <cfRule type="cellIs" dxfId="80" priority="107" operator="between">
      <formula>-0.0000000000001</formula>
      <formula>0.0000000000001</formula>
    </cfRule>
  </conditionalFormatting>
  <conditionalFormatting sqref="D10:O11">
    <cfRule type="cellIs" dxfId="79" priority="106" operator="between">
      <formula>-0.0000000000001</formula>
      <formula>0.0000000000001</formula>
    </cfRule>
  </conditionalFormatting>
  <conditionalFormatting sqref="P10:AA11">
    <cfRule type="cellIs" dxfId="78" priority="105" operator="between">
      <formula>-0.0000000000001</formula>
      <formula>0.0000000000001</formula>
    </cfRule>
  </conditionalFormatting>
  <conditionalFormatting sqref="C39:AA39 A39">
    <cfRule type="cellIs" dxfId="77" priority="102" operator="between">
      <formula>-0.0000000000001</formula>
      <formula>0.0000000000001</formula>
    </cfRule>
  </conditionalFormatting>
  <conditionalFormatting sqref="P39:AA39">
    <cfRule type="cellIs" dxfId="76" priority="101" operator="between">
      <formula>-0.0000000000001</formula>
      <formula>0.0000000000001</formula>
    </cfRule>
  </conditionalFormatting>
  <conditionalFormatting sqref="B5">
    <cfRule type="cellIs" dxfId="75" priority="100" operator="between">
      <formula>-0.0000000000001</formula>
      <formula>0.0000000000001</formula>
    </cfRule>
  </conditionalFormatting>
  <conditionalFormatting sqref="C10:C11">
    <cfRule type="cellIs" dxfId="74" priority="99" operator="between">
      <formula>-0.0000000000001</formula>
      <formula>0.0000000000001</formula>
    </cfRule>
  </conditionalFormatting>
  <conditionalFormatting sqref="A12">
    <cfRule type="cellIs" dxfId="73" priority="98" operator="between">
      <formula>-0.0000000000001</formula>
      <formula>0.0000000000001</formula>
    </cfRule>
  </conditionalFormatting>
  <conditionalFormatting sqref="B152:B202">
    <cfRule type="containsText" dxfId="72" priority="96" operator="containsText" text="sto2">
      <formula>NOT(ISERROR(SEARCH("sto2",B152)))</formula>
    </cfRule>
    <cfRule type="containsText" dxfId="71" priority="97" operator="containsText" text="sto1">
      <formula>NOT(ISERROR(SEARCH("sto1",B152)))</formula>
    </cfRule>
  </conditionalFormatting>
  <conditionalFormatting sqref="A27 D27:AA27">
    <cfRule type="cellIs" dxfId="70" priority="95" operator="between">
      <formula>-0.0000000000001</formula>
      <formula>0.0000000000001</formula>
    </cfRule>
  </conditionalFormatting>
  <conditionalFormatting sqref="D27:AA27 A27">
    <cfRule type="cellIs" dxfId="69" priority="94" operator="between">
      <formula>-0.0000000000001</formula>
      <formula>0.0000000000001</formula>
    </cfRule>
  </conditionalFormatting>
  <conditionalFormatting sqref="C27:O27 A27">
    <cfRule type="cellIs" dxfId="68" priority="93" operator="between">
      <formula>-0.0000000000001</formula>
      <formula>0.0000000000001</formula>
    </cfRule>
  </conditionalFormatting>
  <conditionalFormatting sqref="P27:AA27">
    <cfRule type="cellIs" dxfId="67" priority="92" operator="between">
      <formula>-0.0000000000001</formula>
      <formula>0.0000000000001</formula>
    </cfRule>
  </conditionalFormatting>
  <conditionalFormatting sqref="D145:AA202">
    <cfRule type="colorScale" priority="89">
      <colorScale>
        <cfvo type="min"/>
        <cfvo type="max"/>
        <color rgb="FFFCFCFF"/>
        <color theme="9" tint="0.39997558519241921"/>
      </colorScale>
    </cfRule>
  </conditionalFormatting>
  <conditionalFormatting sqref="B138:B140 B142:B143">
    <cfRule type="containsText" dxfId="66" priority="87" operator="containsText" text="sto2">
      <formula>NOT(ISERROR(SEARCH("sto2",B138)))</formula>
    </cfRule>
    <cfRule type="containsText" dxfId="65" priority="88" operator="containsText" text="sto1">
      <formula>NOT(ISERROR(SEARCH("sto1",B138)))</formula>
    </cfRule>
  </conditionalFormatting>
  <conditionalFormatting sqref="B137">
    <cfRule type="containsText" dxfId="64" priority="85" operator="containsText" text="sto2">
      <formula>NOT(ISERROR(SEARCH("sto2",B137)))</formula>
    </cfRule>
    <cfRule type="containsText" dxfId="63" priority="86" operator="containsText" text="sto1">
      <formula>NOT(ISERROR(SEARCH("sto1",B137)))</formula>
    </cfRule>
  </conditionalFormatting>
  <conditionalFormatting sqref="D137:AA140 D142:AA143">
    <cfRule type="colorScale" priority="84">
      <colorScale>
        <cfvo type="min"/>
        <cfvo type="max"/>
        <color rgb="FFFCFCFF"/>
        <color rgb="FF63BE7B"/>
      </colorScale>
    </cfRule>
  </conditionalFormatting>
  <conditionalFormatting sqref="B141">
    <cfRule type="containsText" dxfId="62" priority="82" operator="containsText" text="sto2">
      <formula>NOT(ISERROR(SEARCH("sto2",B141)))</formula>
    </cfRule>
    <cfRule type="containsText" dxfId="61" priority="83" operator="containsText" text="sto1">
      <formula>NOT(ISERROR(SEARCH("sto1",B141)))</formula>
    </cfRule>
  </conditionalFormatting>
  <conditionalFormatting sqref="D141:AA141">
    <cfRule type="colorScale" priority="81">
      <colorScale>
        <cfvo type="min"/>
        <cfvo type="max"/>
        <color rgb="FFFCFCFF"/>
        <color theme="9" tint="0.39997558519241921"/>
      </colorScale>
    </cfRule>
  </conditionalFormatting>
  <conditionalFormatting sqref="B146:B148 B150:B151">
    <cfRule type="containsText" dxfId="60" priority="76" operator="containsText" text="sto2">
      <formula>NOT(ISERROR(SEARCH("sto2",B146)))</formula>
    </cfRule>
    <cfRule type="containsText" dxfId="59" priority="77" operator="containsText" text="sto1">
      <formula>NOT(ISERROR(SEARCH("sto1",B146)))</formula>
    </cfRule>
  </conditionalFormatting>
  <conditionalFormatting sqref="B145">
    <cfRule type="containsText" dxfId="58" priority="74" operator="containsText" text="sto2">
      <formula>NOT(ISERROR(SEARCH("sto2",B145)))</formula>
    </cfRule>
    <cfRule type="containsText" dxfId="57" priority="75" operator="containsText" text="sto1">
      <formula>NOT(ISERROR(SEARCH("sto1",B145)))</formula>
    </cfRule>
  </conditionalFormatting>
  <conditionalFormatting sqref="B149">
    <cfRule type="containsText" dxfId="56" priority="72" operator="containsText" text="sto2">
      <formula>NOT(ISERROR(SEARCH("sto2",B149)))</formula>
    </cfRule>
    <cfRule type="containsText" dxfId="55" priority="73" operator="containsText" text="sto1">
      <formula>NOT(ISERROR(SEARCH("sto1",B149)))</formula>
    </cfRule>
  </conditionalFormatting>
  <conditionalFormatting sqref="E28:AA28 A28">
    <cfRule type="cellIs" dxfId="54" priority="70" operator="between">
      <formula>-0.0000000000001</formula>
      <formula>0.0000000000001</formula>
    </cfRule>
  </conditionalFormatting>
  <conditionalFormatting sqref="A28 E28:AA28">
    <cfRule type="cellIs" dxfId="53" priority="69" operator="between">
      <formula>-0.0000000000001</formula>
      <formula>0.0000000000001</formula>
    </cfRule>
  </conditionalFormatting>
  <conditionalFormatting sqref="D30:AA30 A30">
    <cfRule type="cellIs" dxfId="52" priority="68" operator="between">
      <formula>-0.0000000000001</formula>
      <formula>0.0000000000001</formula>
    </cfRule>
  </conditionalFormatting>
  <conditionalFormatting sqref="A30 D30:AA30">
    <cfRule type="cellIs" dxfId="51" priority="67" operator="between">
      <formula>-0.0000000000001</formula>
      <formula>0.0000000000001</formula>
    </cfRule>
  </conditionalFormatting>
  <conditionalFormatting sqref="A40 D40:AA40">
    <cfRule type="cellIs" dxfId="50" priority="66" operator="between">
      <formula>-0.0000000000001</formula>
      <formula>0.0000000000001</formula>
    </cfRule>
  </conditionalFormatting>
  <conditionalFormatting sqref="D40:AA40 A40">
    <cfRule type="cellIs" dxfId="49" priority="65" operator="between">
      <formula>-0.0000000000001</formula>
      <formula>0.0000000000001</formula>
    </cfRule>
  </conditionalFormatting>
  <conditionalFormatting sqref="A32:A33 D32:AA34 D36:AA36 A36">
    <cfRule type="cellIs" dxfId="48" priority="62" operator="between">
      <formula>-0.0000000000001</formula>
      <formula>0.0000000000001</formula>
    </cfRule>
  </conditionalFormatting>
  <conditionalFormatting sqref="D32:AA34 A32:A33 A36 D36:AA36">
    <cfRule type="cellIs" dxfId="47" priority="61" operator="between">
      <formula>-0.0000000000001</formula>
      <formula>0.0000000000001</formula>
    </cfRule>
  </conditionalFormatting>
  <conditionalFormatting sqref="C33:AA34 A33">
    <cfRule type="cellIs" dxfId="46" priority="60" operator="between">
      <formula>-0.0000000000001</formula>
      <formula>0.0000000000001</formula>
    </cfRule>
  </conditionalFormatting>
  <conditionalFormatting sqref="P33:AA34">
    <cfRule type="cellIs" dxfId="45" priority="59" operator="between">
      <formula>-0.0000000000001</formula>
      <formula>0.0000000000001</formula>
    </cfRule>
  </conditionalFormatting>
  <conditionalFormatting sqref="A35 D35:AA35">
    <cfRule type="cellIs" dxfId="44" priority="58" operator="between">
      <formula>-0.0000000000001</formula>
      <formula>0.0000000000001</formula>
    </cfRule>
  </conditionalFormatting>
  <conditionalFormatting sqref="D35:AA35 A35">
    <cfRule type="cellIs" dxfId="43" priority="57" operator="between">
      <formula>-0.0000000000001</formula>
      <formula>0.0000000000001</formula>
    </cfRule>
  </conditionalFormatting>
  <conditionalFormatting sqref="D46:O46">
    <cfRule type="cellIs" dxfId="42" priority="56" operator="between">
      <formula>-0.0000000000001</formula>
      <formula>0.0000000000001</formula>
    </cfRule>
  </conditionalFormatting>
  <conditionalFormatting sqref="D43:O43">
    <cfRule type="cellIs" dxfId="41" priority="55" operator="between">
      <formula>-0.0000000000001</formula>
      <formula>0.0000000000001</formula>
    </cfRule>
  </conditionalFormatting>
  <conditionalFormatting sqref="A34">
    <cfRule type="cellIs" dxfId="40" priority="54" operator="between">
      <formula>-0.0000000000001</formula>
      <formula>0.0000000000001</formula>
    </cfRule>
  </conditionalFormatting>
  <conditionalFormatting sqref="A34">
    <cfRule type="cellIs" dxfId="39" priority="53" operator="between">
      <formula>-0.0000000000001</formula>
      <formula>0.0000000000001</formula>
    </cfRule>
  </conditionalFormatting>
  <conditionalFormatting sqref="A42">
    <cfRule type="cellIs" dxfId="38" priority="52" operator="between">
      <formula>-0.0000000000001</formula>
      <formula>0.0000000000001</formula>
    </cfRule>
  </conditionalFormatting>
  <conditionalFormatting sqref="A42">
    <cfRule type="cellIs" dxfId="37" priority="51" operator="between">
      <formula>-0.0000000000001</formula>
      <formula>0.0000000000001</formula>
    </cfRule>
  </conditionalFormatting>
  <conditionalFormatting sqref="A47">
    <cfRule type="cellIs" dxfId="36" priority="50" operator="between">
      <formula>-0.0000000000001</formula>
      <formula>0.0000000000001</formula>
    </cfRule>
  </conditionalFormatting>
  <conditionalFormatting sqref="A47">
    <cfRule type="cellIs" dxfId="35" priority="49" operator="between">
      <formula>-0.0000000000001</formula>
      <formula>0.0000000000001</formula>
    </cfRule>
  </conditionalFormatting>
  <conditionalFormatting sqref="D29">
    <cfRule type="cellIs" dxfId="34" priority="48" operator="between">
      <formula>-0.0000000000001</formula>
      <formula>0.0000000000001</formula>
    </cfRule>
  </conditionalFormatting>
  <conditionalFormatting sqref="D29">
    <cfRule type="cellIs" dxfId="33" priority="47" operator="between">
      <formula>-0.0000000000001</formula>
      <formula>0.0000000000001</formula>
    </cfRule>
  </conditionalFormatting>
  <conditionalFormatting sqref="D28">
    <cfRule type="cellIs" dxfId="32" priority="46" operator="between">
      <formula>-0.0000000000001</formula>
      <formula>0.0000000000001</formula>
    </cfRule>
  </conditionalFormatting>
  <conditionalFormatting sqref="D28">
    <cfRule type="cellIs" dxfId="31" priority="45" operator="between">
      <formula>-0.0000000000001</formula>
      <formula>0.0000000000001</formula>
    </cfRule>
  </conditionalFormatting>
  <conditionalFormatting sqref="D49:AA49">
    <cfRule type="cellIs" dxfId="30" priority="44" operator="between">
      <formula>-0.0000000000001</formula>
      <formula>0.0000000000001</formula>
    </cfRule>
  </conditionalFormatting>
  <conditionalFormatting sqref="D49:AA49">
    <cfRule type="cellIs" dxfId="29" priority="43" operator="between">
      <formula>-0.0000000000001</formula>
      <formula>0.0000000000001</formula>
    </cfRule>
  </conditionalFormatting>
  <conditionalFormatting sqref="C49:AA49">
    <cfRule type="cellIs" dxfId="28" priority="42" operator="between">
      <formula>-0.0000000000001</formula>
      <formula>0.0000000000001</formula>
    </cfRule>
  </conditionalFormatting>
  <conditionalFormatting sqref="D49:AA49">
    <cfRule type="cellIs" dxfId="27" priority="41" operator="between">
      <formula>-0.0000000000001</formula>
      <formula>0.0000000000001</formula>
    </cfRule>
  </conditionalFormatting>
  <conditionalFormatting sqref="P49:AA49">
    <cfRule type="cellIs" dxfId="26" priority="40" operator="between">
      <formula>-0.0000000000001</formula>
      <formula>0.0000000000001</formula>
    </cfRule>
  </conditionalFormatting>
  <conditionalFormatting sqref="D37:AA37 A37">
    <cfRule type="cellIs" dxfId="25" priority="39" operator="between">
      <formula>-0.0000000000001</formula>
      <formula>0.0000000000001</formula>
    </cfRule>
  </conditionalFormatting>
  <conditionalFormatting sqref="A37 D37:AA37">
    <cfRule type="cellIs" dxfId="24" priority="38" operator="between">
      <formula>-0.0000000000001</formula>
      <formula>0.0000000000001</formula>
    </cfRule>
  </conditionalFormatting>
  <conditionalFormatting sqref="A50:A53">
    <cfRule type="cellIs" dxfId="23" priority="24" operator="greaterThan">
      <formula>0.00000000001</formula>
    </cfRule>
    <cfRule type="cellIs" dxfId="22" priority="27" operator="between">
      <formula>-0.0000000000001</formula>
      <formula>0.0000000000001</formula>
    </cfRule>
  </conditionalFormatting>
  <conditionalFormatting sqref="A50:A53">
    <cfRule type="cellIs" dxfId="21" priority="26" operator="between">
      <formula>-0.0000000000001</formula>
      <formula>0.0000000000001</formula>
    </cfRule>
  </conditionalFormatting>
  <conditionalFormatting sqref="A50:A53">
    <cfRule type="cellIs" dxfId="20" priority="25" operator="between">
      <formula>-0.0000000000001</formula>
      <formula>0.0000000000001</formula>
    </cfRule>
  </conditionalFormatting>
  <conditionalFormatting sqref="D50:AA53">
    <cfRule type="cellIs" dxfId="19" priority="20" operator="greaterThan">
      <formula>0.0000000000001</formula>
    </cfRule>
    <cfRule type="cellIs" dxfId="18" priority="23" operator="between">
      <formula>-0.0000000000001</formula>
      <formula>0.0000000000001</formula>
    </cfRule>
  </conditionalFormatting>
  <conditionalFormatting sqref="D50:AA53">
    <cfRule type="cellIs" dxfId="17" priority="22" operator="between">
      <formula>-0.0000000000001</formula>
      <formula>0.0000000000001</formula>
    </cfRule>
  </conditionalFormatting>
  <conditionalFormatting sqref="D50:AA53">
    <cfRule type="cellIs" dxfId="16" priority="21" operator="between">
      <formula>-0.0000000000001</formula>
      <formula>0.0000000000001</formula>
    </cfRule>
  </conditionalFormatting>
  <conditionalFormatting sqref="B2">
    <cfRule type="cellIs" dxfId="15" priority="19" operator="greaterThan">
      <formula>0</formula>
    </cfRule>
  </conditionalFormatting>
  <conditionalFormatting sqref="A16 D16:AA16">
    <cfRule type="cellIs" dxfId="14" priority="18" operator="between">
      <formula>-0.0000000000001</formula>
      <formula>0.0000000000001</formula>
    </cfRule>
  </conditionalFormatting>
  <conditionalFormatting sqref="D16:AA16 A16">
    <cfRule type="cellIs" dxfId="13" priority="17" operator="between">
      <formula>-0.0000000000001</formula>
      <formula>0.0000000000001</formula>
    </cfRule>
  </conditionalFormatting>
  <conditionalFormatting sqref="A16 C16:O16">
    <cfRule type="cellIs" dxfId="12" priority="16" operator="between">
      <formula>-0.0000000000001</formula>
      <formula>0.0000000000001</formula>
    </cfRule>
  </conditionalFormatting>
  <conditionalFormatting sqref="P16:AA16">
    <cfRule type="cellIs" dxfId="11" priority="15" operator="between">
      <formula>-0.0000000000001</formula>
      <formula>0.0000000000001</formula>
    </cfRule>
  </conditionalFormatting>
  <conditionalFormatting sqref="D96:AA125">
    <cfRule type="colorScale" priority="1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96:AA125">
    <cfRule type="cellIs" dxfId="10" priority="11" operator="between">
      <formula>-0.00000000001</formula>
      <formula>0.00000000001</formula>
    </cfRule>
  </conditionalFormatting>
  <conditionalFormatting sqref="C21:O22 A21:A22">
    <cfRule type="cellIs" dxfId="9" priority="10" operator="between">
      <formula>-0.0000000000001</formula>
      <formula>0.0000000000001</formula>
    </cfRule>
  </conditionalFormatting>
  <conditionalFormatting sqref="P21:AA22">
    <cfRule type="cellIs" dxfId="8" priority="9" operator="between">
      <formula>-0.0000000000001</formula>
      <formula>0.0000000000001</formula>
    </cfRule>
  </conditionalFormatting>
  <conditionalFormatting sqref="D23:AA23 A23:A24 D24:O24">
    <cfRule type="cellIs" dxfId="7" priority="8" operator="between">
      <formula>-0.0000000000001</formula>
      <formula>0.0000000000001</formula>
    </cfRule>
  </conditionalFormatting>
  <conditionalFormatting sqref="D23:AA23 A23:A24 D24:O24">
    <cfRule type="cellIs" dxfId="6" priority="7" operator="between">
      <formula>-0.0000000000001</formula>
      <formula>0.0000000000001</formula>
    </cfRule>
  </conditionalFormatting>
  <conditionalFormatting sqref="C23:O23 A23:A24 D24:O24">
    <cfRule type="cellIs" dxfId="5" priority="6" operator="between">
      <formula>-0.0000000000001</formula>
      <formula>0.0000000000001</formula>
    </cfRule>
  </conditionalFormatting>
  <conditionalFormatting sqref="P23:AA23">
    <cfRule type="cellIs" dxfId="4" priority="5" operator="between">
      <formula>-0.0000000000001</formula>
      <formula>0.0000000000001</formula>
    </cfRule>
  </conditionalFormatting>
  <conditionalFormatting sqref="E24:AA24 A24">
    <cfRule type="cellIs" dxfId="3" priority="4" operator="between">
      <formula>-0.0000000000001</formula>
      <formula>0.0000000000001</formula>
    </cfRule>
  </conditionalFormatting>
  <conditionalFormatting sqref="A24 E24:AA24">
    <cfRule type="cellIs" dxfId="2" priority="3" operator="between">
      <formula>-0.0000000000001</formula>
      <formula>0.0000000000001</formula>
    </cfRule>
  </conditionalFormatting>
  <conditionalFormatting sqref="D24">
    <cfRule type="cellIs" dxfId="1" priority="2" operator="between">
      <formula>-0.0000000000001</formula>
      <formula>0.0000000000001</formula>
    </cfRule>
  </conditionalFormatting>
  <conditionalFormatting sqref="D24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Lister</vt:lpstr>
      <vt:lpstr>Inputs</vt:lpstr>
      <vt:lpstr>DataU</vt:lpstr>
      <vt:lpstr>DataSto</vt:lpstr>
      <vt:lpstr>DataFuel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2022-03-03T10:25:21Z</dcterms:modified>
</cp:coreProperties>
</file>