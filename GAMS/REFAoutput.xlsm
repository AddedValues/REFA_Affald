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BF132C5F-9E68-4994-902E-95C1C51A7FF4}" xr6:coauthVersionLast="47" xr6:coauthVersionMax="47" xr10:uidLastSave="{00000000-0000-0000-0000-000000000000}"/>
  <bookViews>
    <workbookView xWindow="1020" yWindow="-120" windowWidth="27900" windowHeight="18240" tabRatio="731" activeTab="1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Brændsler" sheetId="9" r:id="rId8"/>
    <sheet name="cKapacUdnyttelse" sheetId="10" r:id="rId9"/>
    <sheet name="cLagerStand" sheetId="11" r:id="rId10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2" l="1" a="1"/>
  <c r="E9" i="12" s="1"/>
  <c r="F9" i="12" a="1"/>
  <c r="F9" i="12" s="1"/>
  <c r="G9" i="12" a="1"/>
  <c r="G9" i="12"/>
  <c r="H9" i="12" a="1"/>
  <c r="H9" i="12"/>
  <c r="I9" i="12" a="1"/>
  <c r="I9" i="12" s="1"/>
  <c r="J9" i="12" a="1"/>
  <c r="J9" i="12" s="1"/>
  <c r="K9" i="12" a="1"/>
  <c r="K9" i="12"/>
  <c r="L9" i="12" a="1"/>
  <c r="L9" i="12"/>
  <c r="M9" i="12" a="1"/>
  <c r="M9" i="12" s="1"/>
  <c r="N9" i="12" a="1"/>
  <c r="N9" i="12" s="1"/>
  <c r="O9" i="12" a="1"/>
  <c r="O9" i="12"/>
  <c r="P9" i="12" a="1"/>
  <c r="P9" i="12"/>
  <c r="Q9" i="12" a="1"/>
  <c r="Q9" i="12" s="1"/>
  <c r="R9" i="12" a="1"/>
  <c r="R9" i="12" s="1"/>
  <c r="S9" i="12" a="1"/>
  <c r="S9" i="12"/>
  <c r="T9" i="12" a="1"/>
  <c r="T9" i="12"/>
  <c r="U9" i="12" a="1"/>
  <c r="U9" i="12" s="1"/>
  <c r="V9" i="12" a="1"/>
  <c r="V9" i="12" s="1"/>
  <c r="W9" i="12" a="1"/>
  <c r="W9" i="12"/>
  <c r="X9" i="12" a="1"/>
  <c r="X9" i="12"/>
  <c r="Y9" i="12" a="1"/>
  <c r="Y9" i="12" s="1"/>
  <c r="Z9" i="12" a="1"/>
  <c r="Z9" i="12" s="1"/>
  <c r="AA9" i="12" a="1"/>
  <c r="AA9" i="12"/>
  <c r="AB9" i="12" a="1"/>
  <c r="AB9" i="12"/>
  <c r="E9" i="13" a="1"/>
  <c r="E9" i="13" s="1"/>
  <c r="F9" i="13" a="1"/>
  <c r="F9" i="13" s="1"/>
  <c r="G9" i="13" a="1"/>
  <c r="G9" i="13" s="1"/>
  <c r="H9" i="13" a="1"/>
  <c r="H9" i="13"/>
  <c r="I9" i="13" a="1"/>
  <c r="I9" i="13" s="1"/>
  <c r="J9" i="13" a="1"/>
  <c r="J9" i="13" s="1"/>
  <c r="K9" i="13" a="1"/>
  <c r="K9" i="13" s="1"/>
  <c r="L9" i="13" a="1"/>
  <c r="L9" i="13"/>
  <c r="M9" i="13" a="1"/>
  <c r="M9" i="13" s="1"/>
  <c r="N9" i="13" a="1"/>
  <c r="N9" i="13" s="1"/>
  <c r="O9" i="13" a="1"/>
  <c r="O9" i="13" s="1"/>
  <c r="P9" i="13" a="1"/>
  <c r="P9" i="13"/>
  <c r="Q9" i="13" a="1"/>
  <c r="Q9" i="13" s="1"/>
  <c r="R9" i="13" a="1"/>
  <c r="R9" i="13" s="1"/>
  <c r="S9" i="13" a="1"/>
  <c r="S9" i="13" s="1"/>
  <c r="T9" i="13" a="1"/>
  <c r="T9" i="13"/>
  <c r="U9" i="13" a="1"/>
  <c r="U9" i="13" s="1"/>
  <c r="V9" i="13" a="1"/>
  <c r="V9" i="13" s="1"/>
  <c r="W9" i="13" a="1"/>
  <c r="W9" i="13" s="1"/>
  <c r="X9" i="13" a="1"/>
  <c r="X9" i="13"/>
  <c r="Y9" i="13" a="1"/>
  <c r="Y9" i="13" s="1"/>
  <c r="Z9" i="13" a="1"/>
  <c r="Z9" i="13" s="1"/>
  <c r="AA9" i="13" a="1"/>
  <c r="AA9" i="13" s="1"/>
  <c r="AB9" i="13" a="1"/>
  <c r="AB9" i="13"/>
  <c r="E9" i="14" a="1"/>
  <c r="E9" i="14" s="1"/>
  <c r="F9" i="14" a="1"/>
  <c r="F9" i="14" s="1"/>
  <c r="G9" i="14" a="1"/>
  <c r="G9" i="14"/>
  <c r="H9" i="14" a="1"/>
  <c r="H9" i="14"/>
  <c r="I9" i="14" a="1"/>
  <c r="I9" i="14" s="1"/>
  <c r="J9" i="14" a="1"/>
  <c r="J9" i="14" s="1"/>
  <c r="K9" i="14" a="1"/>
  <c r="K9" i="14"/>
  <c r="L9" i="14" a="1"/>
  <c r="L9" i="14"/>
  <c r="M9" i="14" a="1"/>
  <c r="M9" i="14" s="1"/>
  <c r="N9" i="14" a="1"/>
  <c r="N9" i="14" s="1"/>
  <c r="O9" i="14" a="1"/>
  <c r="O9" i="14"/>
  <c r="P9" i="14" a="1"/>
  <c r="P9" i="14"/>
  <c r="Q9" i="14" a="1"/>
  <c r="Q9" i="14" s="1"/>
  <c r="R9" i="14" a="1"/>
  <c r="R9" i="14" s="1"/>
  <c r="S9" i="14" a="1"/>
  <c r="S9" i="14"/>
  <c r="T9" i="14" a="1"/>
  <c r="T9" i="14"/>
  <c r="U9" i="14" a="1"/>
  <c r="U9" i="14" s="1"/>
  <c r="V9" i="14" a="1"/>
  <c r="V9" i="14" s="1"/>
  <c r="W9" i="14" a="1"/>
  <c r="W9" i="14"/>
  <c r="X9" i="14" a="1"/>
  <c r="X9" i="14"/>
  <c r="Y9" i="14" a="1"/>
  <c r="Y9" i="14" s="1"/>
  <c r="Z9" i="14" a="1"/>
  <c r="Z9" i="14" s="1"/>
  <c r="AA9" i="14" a="1"/>
  <c r="AA9" i="14"/>
  <c r="AB9" i="14" a="1"/>
  <c r="AB9" i="14"/>
  <c r="A15" i="4"/>
  <c r="D2" i="4"/>
  <c r="A46" i="4"/>
  <c r="A47" i="4"/>
  <c r="A48" i="4"/>
  <c r="A45" i="4"/>
  <c r="A32" i="4"/>
  <c r="A37" i="4"/>
  <c r="A29" i="4"/>
  <c r="A31" i="4"/>
  <c r="A30" i="4"/>
  <c r="A28" i="4"/>
  <c r="A27" i="4"/>
  <c r="A35" i="4"/>
  <c r="A25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D6" i="4"/>
  <c r="D9" i="12" s="1" a="1"/>
  <c r="D9" i="12" s="1"/>
  <c r="A23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40" i="4"/>
  <c r="A133" i="4"/>
  <c r="A134" i="4"/>
  <c r="A135" i="4"/>
  <c r="A136" i="4"/>
  <c r="A137" i="4"/>
  <c r="A132" i="4"/>
  <c r="A22" i="4"/>
  <c r="A117" i="4"/>
  <c r="A118" i="4"/>
  <c r="A119" i="4"/>
  <c r="A24" i="4"/>
  <c r="A26" i="4"/>
  <c r="A33" i="4"/>
  <c r="A34" i="4"/>
  <c r="A38" i="4"/>
  <c r="A39" i="4"/>
  <c r="A40" i="4"/>
  <c r="A41" i="4"/>
  <c r="A43" i="4"/>
  <c r="A44" i="4"/>
  <c r="A12" i="4"/>
  <c r="A13" i="4"/>
  <c r="A14" i="4"/>
  <c r="A16" i="4"/>
  <c r="A17" i="4"/>
  <c r="A18" i="4"/>
  <c r="A19" i="4"/>
  <c r="A20" i="4"/>
  <c r="A21" i="4"/>
  <c r="A11" i="4"/>
  <c r="A8" i="4"/>
  <c r="D9" i="14" l="1" a="1"/>
  <c r="D9" i="14" s="1"/>
  <c r="D9" i="13" a="1"/>
  <c r="D9" i="13" s="1"/>
  <c r="A10" i="4"/>
  <c r="A9" i="4"/>
  <c r="A42" i="4"/>
  <c r="A82" i="4"/>
  <c r="A83" i="4"/>
  <c r="A84" i="4"/>
  <c r="A108" i="4" l="1"/>
  <c r="A109" i="4"/>
  <c r="A110" i="4"/>
  <c r="A74" i="4"/>
  <c r="A75" i="4"/>
  <c r="A76" i="4"/>
  <c r="A77" i="4"/>
  <c r="A78" i="4"/>
  <c r="A79" i="4"/>
  <c r="A116" i="4"/>
  <c r="A115" i="4"/>
  <c r="A114" i="4"/>
  <c r="A113" i="4"/>
  <c r="A112" i="4"/>
  <c r="A111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73" i="4"/>
  <c r="A80" i="4"/>
  <c r="A81" i="4"/>
  <c r="A85" i="4"/>
  <c r="A86" i="4"/>
  <c r="A87" i="4"/>
  <c r="A51" i="4"/>
  <c r="A52" i="4"/>
  <c r="A53" i="4"/>
  <c r="A54" i="4"/>
  <c r="A55" i="4"/>
  <c r="A56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6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<sst xmlns="http://schemas.openxmlformats.org/spreadsheetml/2006/main" count="2196" uniqueCount="234">
  <si>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</si>
  <si>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</si>
  <si>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</si>
  <si>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</si>
  <si>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</si>
  <si>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</si>
  <si>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</si>
  <si>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</si>
  <si>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</si>
  <si>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</si>
  <si>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</si>
  <si>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</si>
  <si>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</si>
  <si>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</si>
  <si>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</si>
  <si>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</si>
  <si>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</si>
  <si>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</si>
  <si>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</si>
  <si>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</si>
  <si>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</si>
  <si>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</si>
  <si>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</si>
  <si>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</si>
  <si>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</si>
  <si>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</si>
  <si>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</si>
  <si>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</si>
  <si>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</si>
  <si>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</si>
  <si>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</si>
  <si>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</si>
  <si>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</si>
  <si>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</si>
  <si>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</si>
  <si>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</si>
  <si>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</si>
  <si>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</si>
  <si>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</si>
  <si>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</si>
  <si>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</si>
  <si>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</si>
  <si>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</si>
  <si>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</si>
  <si>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</si>
  <si>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</si>
  <si>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</si>
  <si>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</si>
  <si>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</si>
  <si>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</si>
  <si>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</si>
  <si>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</si>
  <si>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</si>
  <si>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</si>
  <si>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</si>
  <si>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</si>
  <si>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</si>
  <si>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</si>
  <si>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</si>
  <si>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</si>
  <si>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</si>
  <si>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</si>
  <si>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</si>
  <si>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</si>
  <si>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</si>
  <si>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</si>
  <si>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</si>
  <si>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</si>
  <si>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</si>
  <si>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</si>
  <si>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</si>
  <si>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</si>
  <si>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</si>
  <si>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</si>
  <si>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</si>
  <si>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</si>
  <si>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</si>
  <si>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</si>
  <si>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</si>
  <si>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</si>
  <si>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</si>
  <si>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</si>
  <si>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</si>
  <si>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</si>
  <si>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</si>
  <si>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</si>
  <si>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</si>
  <si>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</si>
  <si>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</si>
  <si>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</si>
  <si>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</si>
  <si>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</si>
  <si>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</si>
  <si>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</si>
  <si>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</si>
  <si>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</si>
  <si>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</si>
  <si>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</si>
  <si>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</si>
  <si>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</si>
  <si>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</si>
  <si>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</si>
  <si>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</si>
  <si>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</si>
  <si>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</si>
  <si>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</si>
  <si>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</si>
  <si>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</si>
  <si>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</si>
  <si>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</si>
  <si>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</si>
  <si>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</si>
  <si>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</si>
  <si>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</si>
  <si>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</si>
  <si>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</si>
  <si>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</si>
  <si>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</si>
  <si>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</si>
  <si>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</si>
  <si>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</si>
  <si>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</si>
  <si>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</si>
  <si>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</si>
  <si>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</si>
  <si>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</si>
  <si>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</si>
  <si>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</si>
  <si>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</si>
  <si>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</si>
  <si>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</si>
  <si>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</si>
  <si>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</si>
  <si>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</si>
  <si>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</si>
  <si>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</si>
  <si>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</si>
  <si>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</si>
  <si>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</si>
  <si>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</si>
  <si>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</si>
  <si>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</si>
  <si>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</si>
  <si>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</si>
  <si>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</si>
  <si>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</si>
  <si>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</si>
  <si>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</si>
  <si>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</si>
  <si>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</si>
  <si>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</si>
  <si>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</si>
  <si>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</si>
  <si>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</si>
  <si>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</si>
  <si>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</si>
  <si>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</si>
  <si>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</si>
  <si>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</si>
  <si>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</si>
  <si>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</si>
  <si>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</si>
  <si>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</si>
  <si>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</si>
  <si>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</si>
  <si>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</si>
  <si>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</si>
  <si>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</si>
  <si>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</si>
  <si>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</si>
  <si>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</si>
  <si>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</si>
  <si>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</si>
  <si>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</si>
  <si>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</si>
  <si>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</si>
  <si>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</si>
  <si>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</si>
  <si>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</si>
  <si>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</si>
  <si>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</si>
  <si>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</si>
  <si>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</si>
  <si>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</si>
  <si>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</si>
  <si>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</si>
  <si>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</si>
  <si>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</si>
  <si>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</si>
  <si>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</si>
  <si>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</si>
  <si>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</si>
  <si>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</si>
  <si>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</si>
  <si>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</si>
  <si>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</si>
  <si>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</si>
  <si>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</si>
  <si>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</si>
  <si>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</si>
  <si>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</si>
  <si>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</si>
  <si>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</si>
  <si>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</si>
  <si>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</si>
  <si>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</si>
  <si>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</si>
  <si>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</si>
  <si>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</si>
  <si>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</si>
  <si>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</si>
  <si>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</si>
  <si>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</si>
  <si>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</si>
  <si>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</si>
  <si>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</si>
  <si>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mo1</t>
  </si>
  <si>
    <t>LHV</t>
  </si>
  <si>
    <t>Varmemængder</t>
  </si>
  <si>
    <t>Brændselsforbrug</t>
  </si>
  <si>
    <t>Brændselsindkomst</t>
  </si>
  <si>
    <t>MinLast</t>
  </si>
  <si>
    <t>KapMin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</si>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</sst>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11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8" borderId="0" xfId="0" applyFont="1" applyFill="1"/>
    <xf numFmtId="0" fontId="2" fillId="8" borderId="0" xfId="0" applyFont="1" applyFill="1"/>
    <xf numFmtId="0" fontId="19" fillId="8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  <xf numFmtId="0" fontId="20" fillId="0" borderId="0" xfId="0" applyFont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0" fillId="2" borderId="2" xfId="0" quotePrefix="1" applyFont="1" applyFill="1" applyBorder="1" applyAlignment="1">
      <alignment horizontal="center" vertic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E2E3"/>
      <color rgb="FFFBABAD"/>
      <color rgb="FFECF5E7"/>
      <color rgb="FFEAF3FA"/>
      <color rgb="FF00FFFF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Overblik!$C$51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Overblik!$D$51:$O$51</c:f>
              <c:numCache>
                <c:formatCode>_-* #,##0_-;\-#,##0_-;_-* "-"??_-;_-@_-</c:formatCode>
                <c:ptCount val="12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6840</c:v>
                </c:pt>
                <c:pt idx="4">
                  <c:v>7068</c:v>
                </c:pt>
                <c:pt idx="5">
                  <c:v>6840</c:v>
                </c:pt>
                <c:pt idx="6">
                  <c:v>2280</c:v>
                </c:pt>
                <c:pt idx="7">
                  <c:v>2280</c:v>
                </c:pt>
                <c:pt idx="8">
                  <c:v>3388.0191851851855</c:v>
                </c:pt>
                <c:pt idx="9">
                  <c:v>7068</c:v>
                </c:pt>
                <c:pt idx="10">
                  <c:v>8029.3333333333321</c:v>
                </c:pt>
                <c:pt idx="11">
                  <c:v>8025.866666666665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Overblik!$C$52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Overblik!$D$52:$O$52</c:f>
              <c:numCache>
                <c:formatCode>_-* #,##0_-;\-#,##0_-;_-* "-"??_-;_-@_-</c:formatCode>
                <c:ptCount val="12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16200</c:v>
                </c:pt>
                <c:pt idx="4">
                  <c:v>16740</c:v>
                </c:pt>
                <c:pt idx="5">
                  <c:v>2912.2298780487804</c:v>
                </c:pt>
                <c:pt idx="6">
                  <c:v>16380</c:v>
                </c:pt>
                <c:pt idx="7">
                  <c:v>15880</c:v>
                </c:pt>
                <c:pt idx="8">
                  <c:v>15411.980814814815</c:v>
                </c:pt>
                <c:pt idx="9">
                  <c:v>16740</c:v>
                </c:pt>
                <c:pt idx="10">
                  <c:v>19470.666666666668</c:v>
                </c:pt>
                <c:pt idx="11">
                  <c:v>19374.133333333335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Overblik!$C$53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Overblik!$D$53:$O$53</c:f>
              <c:numCache>
                <c:formatCode>_-* #,##0_-;\-#,##0_-;_-* "-"??_-;_-@_-</c:formatCode>
                <c:ptCount val="12"/>
                <c:pt idx="0">
                  <c:v>1912</c:v>
                </c:pt>
                <c:pt idx="1">
                  <c:v>5456</c:v>
                </c:pt>
                <c:pt idx="2">
                  <c:v>112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Overblik!$D$54:$O$54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Overblik!$D$55:$O$55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-3040</c:v>
                </c:pt>
                <c:pt idx="4">
                  <c:v>-10808</c:v>
                </c:pt>
                <c:pt idx="5">
                  <c:v>-2252.2298780487799</c:v>
                </c:pt>
                <c:pt idx="6">
                  <c:v>-11160</c:v>
                </c:pt>
                <c:pt idx="7">
                  <c:v>-11160</c:v>
                </c:pt>
                <c:pt idx="8">
                  <c:v>-10800</c:v>
                </c:pt>
                <c:pt idx="9">
                  <c:v>-4108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Overblik!$C$56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Overblik!$C$59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#,##0;\-#,##0;0</c:formatCode>
                <c:ptCount val="12"/>
                <c:pt idx="0">
                  <c:v>757.75</c:v>
                </c:pt>
                <c:pt idx="1">
                  <c:v>757.75</c:v>
                </c:pt>
                <c:pt idx="2">
                  <c:v>757.75</c:v>
                </c:pt>
                <c:pt idx="3">
                  <c:v>757.75</c:v>
                </c:pt>
                <c:pt idx="4">
                  <c:v>757.75</c:v>
                </c:pt>
                <c:pt idx="5">
                  <c:v>757.75</c:v>
                </c:pt>
                <c:pt idx="6">
                  <c:v>757.75</c:v>
                </c:pt>
                <c:pt idx="7">
                  <c:v>757.75</c:v>
                </c:pt>
                <c:pt idx="8">
                  <c:v>757.75</c:v>
                </c:pt>
                <c:pt idx="9">
                  <c:v>757.75</c:v>
                </c:pt>
                <c:pt idx="10">
                  <c:v>757.75</c:v>
                </c:pt>
                <c:pt idx="11">
                  <c:v>757.75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Overblik!$C$60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Overblik!$C$61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Overblik!$C$62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Overblik!$D$62:$O$62</c:f>
              <c:numCache>
                <c:formatCode>#,##0;\-#,##0;0</c:formatCode>
                <c:ptCount val="12"/>
                <c:pt idx="0">
                  <c:v>2405.75</c:v>
                </c:pt>
                <c:pt idx="1">
                  <c:v>2405.75</c:v>
                </c:pt>
                <c:pt idx="2">
                  <c:v>2405.75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2405.75</c:v>
                </c:pt>
                <c:pt idx="11">
                  <c:v>2405.75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Overblik!$C$63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Overblik!$D$63:$O$63</c:f>
              <c:numCache>
                <c:formatCode>#,##0;\-#,##0;0</c:formatCode>
                <c:ptCount val="12"/>
                <c:pt idx="0">
                  <c:v>291.66666666666669</c:v>
                </c:pt>
                <c:pt idx="1">
                  <c:v>291.66666666666669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Overblik!$C$64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Overblik!$C$65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Overblik!$C$66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650</c:v>
                </c:pt>
                <c:pt idx="1">
                  <c:v>650</c:v>
                </c:pt>
                <c:pt idx="2">
                  <c:v>650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Overblik!$C$67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Overblik!$C$68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Overblik!$C$69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433.33333333333331</c:v>
                </c:pt>
                <c:pt idx="1">
                  <c:v>433.33333333333331</c:v>
                </c:pt>
                <c:pt idx="2">
                  <c:v>433.33333333333331</c:v>
                </c:pt>
                <c:pt idx="3">
                  <c:v>433.33333333333331</c:v>
                </c:pt>
                <c:pt idx="4">
                  <c:v>433.33333333333331</c:v>
                </c:pt>
                <c:pt idx="5">
                  <c:v>433.33333333333331</c:v>
                </c:pt>
                <c:pt idx="6">
                  <c:v>433.33333333333331</c:v>
                </c:pt>
                <c:pt idx="7">
                  <c:v>433.33333333333331</c:v>
                </c:pt>
                <c:pt idx="8">
                  <c:v>433.33333333333343</c:v>
                </c:pt>
                <c:pt idx="9">
                  <c:v>433.33333333333331</c:v>
                </c:pt>
                <c:pt idx="10">
                  <c:v>433.33333333333331</c:v>
                </c:pt>
                <c:pt idx="11">
                  <c:v>433.33333333333331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Overblik!$C$70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41.666666666666664</c:v>
                </c:pt>
                <c:pt idx="1">
                  <c:v>41.666666666666664</c:v>
                </c:pt>
                <c:pt idx="2">
                  <c:v>41.666666666666664</c:v>
                </c:pt>
                <c:pt idx="3">
                  <c:v>41.666666666666679</c:v>
                </c:pt>
                <c:pt idx="4">
                  <c:v>41.666666666666664</c:v>
                </c:pt>
                <c:pt idx="5">
                  <c:v>1E-14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Overblik!$C$71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Overblik!$C$72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Overblik!$C$73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7263.6472340109303</c:v>
                </c:pt>
                <c:pt idx="1">
                  <c:v>6139.0968104430522</c:v>
                </c:pt>
                <c:pt idx="2">
                  <c:v>7263.6472340109303</c:v>
                </c:pt>
                <c:pt idx="3">
                  <c:v>6888.7970928216382</c:v>
                </c:pt>
                <c:pt idx="4">
                  <c:v>7263.6472340109303</c:v>
                </c:pt>
                <c:pt idx="5">
                  <c:v>1E-14</c:v>
                </c:pt>
                <c:pt idx="6">
                  <c:v>3307.477433475271</c:v>
                </c:pt>
                <c:pt idx="7">
                  <c:v>3148.2677571733329</c:v>
                </c:pt>
                <c:pt idx="8">
                  <c:v>5074.646205962059</c:v>
                </c:pt>
                <c:pt idx="9">
                  <c:v>7263.6472340109303</c:v>
                </c:pt>
                <c:pt idx="10">
                  <c:v>6888.7970928216382</c:v>
                </c:pt>
                <c:pt idx="11">
                  <c:v>7263.6472340109303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Overblik!$C$74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166.66666666666666</c:v>
                </c:pt>
                <c:pt idx="1">
                  <c:v>166.66666666666666</c:v>
                </c:pt>
                <c:pt idx="2">
                  <c:v>166.66666666666666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47.333678187492701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166.66666666666671</c:v>
                </c:pt>
                <c:pt idx="9">
                  <c:v>166.66666666666666</c:v>
                </c:pt>
                <c:pt idx="10">
                  <c:v>166.66666666666666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Overblik!$C$75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Overblik!$C$79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12.5</c:v>
                </c:pt>
                <c:pt idx="5">
                  <c:v>12.5</c:v>
                </c:pt>
                <c:pt idx="6">
                  <c:v>12.5</c:v>
                </c:pt>
                <c:pt idx="7">
                  <c:v>12.5</c:v>
                </c:pt>
                <c:pt idx="8">
                  <c:v>12.5</c:v>
                </c:pt>
                <c:pt idx="9">
                  <c:v>12.5</c:v>
                </c:pt>
                <c:pt idx="10">
                  <c:v>12.5</c:v>
                </c:pt>
                <c:pt idx="11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Overblik!$C$80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Overblik!$C$81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Overblik!$C$82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Overblik!$C$83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Overblik!$C$84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Overblik!$C$85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861.47684605757183</c:v>
                </c:pt>
                <c:pt idx="1">
                  <c:v>2458.2728410513141</c:v>
                </c:pt>
                <c:pt idx="2">
                  <c:v>50.463078848560698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Overblik!$C$86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Overblik!$C$87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Overblik!$C$123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Overblik!$D$123:$O$123</c:f>
              <c:numCache>
                <c:formatCode>0\ %\ </c:formatCode>
                <c:ptCount val="12"/>
                <c:pt idx="0">
                  <c:v>1.2105263157894737</c:v>
                </c:pt>
                <c:pt idx="1">
                  <c:v>1.2105263157894737</c:v>
                </c:pt>
                <c:pt idx="2">
                  <c:v>1.2105263157894737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0.49532444227853589</c:v>
                </c:pt>
                <c:pt idx="9">
                  <c:v>1</c:v>
                </c:pt>
                <c:pt idx="10">
                  <c:v>1.1738791423001949</c:v>
                </c:pt>
                <c:pt idx="11">
                  <c:v>1.13552159969817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Overblik!$C$124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Overblik!$D$124:$O$124</c:f>
              <c:numCache>
                <c:formatCode>0\ %\ </c:formatCode>
                <c:ptCount val="12"/>
                <c:pt idx="0">
                  <c:v>1.2444444444444445</c:v>
                </c:pt>
                <c:pt idx="1">
                  <c:v>1.2444444444444445</c:v>
                </c:pt>
                <c:pt idx="2">
                  <c:v>1.2444444444444445</c:v>
                </c:pt>
                <c:pt idx="3">
                  <c:v>1</c:v>
                </c:pt>
                <c:pt idx="4">
                  <c:v>1</c:v>
                </c:pt>
                <c:pt idx="5">
                  <c:v>1.0786036585365852</c:v>
                </c:pt>
                <c:pt idx="6">
                  <c:v>0.978494623655914</c:v>
                </c:pt>
                <c:pt idx="7">
                  <c:v>0.94862604540023898</c:v>
                </c:pt>
                <c:pt idx="8">
                  <c:v>0.95135684042066759</c:v>
                </c:pt>
                <c:pt idx="9">
                  <c:v>1</c:v>
                </c:pt>
                <c:pt idx="10">
                  <c:v>1.2018930041152265</c:v>
                </c:pt>
                <c:pt idx="11">
                  <c:v>1.1573556352050978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Overblik!$C$125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Overblik!$D$125:$O$125</c:f>
              <c:numCache>
                <c:formatCode>0\ %\ </c:formatCode>
                <c:ptCount val="12"/>
                <c:pt idx="0">
                  <c:v>0.24475166410650281</c:v>
                </c:pt>
                <c:pt idx="1">
                  <c:v>0.77324263038548757</c:v>
                </c:pt>
                <c:pt idx="2">
                  <c:v>1.4336917562724014E-2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Overblik!$C$126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Overblik!$D$126:$O$126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Overblik!$C$127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Overblik!$D$127:$O$127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0.2814814814814815</c:v>
                </c:pt>
                <c:pt idx="4">
                  <c:v>0.96845878136200714</c:v>
                </c:pt>
                <c:pt idx="5">
                  <c:v>0.20853980352303517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0.36810035842293909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Overblik!$C$128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Overblik!$C$132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Overblik!$C$133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55</v>
      </c>
    </row>
    <row r="3" spans="2:4" x14ac:dyDescent="0.25">
      <c r="B3" s="18" t="s">
        <v>0</v>
      </c>
      <c r="C3" s="18" t="s">
        <v>31</v>
      </c>
      <c r="D3" s="18" t="s">
        <v>0</v>
      </c>
    </row>
    <row r="4" spans="2:4" x14ac:dyDescent="0.25">
      <c r="B4" s="19" t="s">
        <v>1</v>
      </c>
      <c r="C4" s="18" t="s">
        <v>32</v>
      </c>
      <c r="D4" s="19" t="s">
        <v>1</v>
      </c>
    </row>
    <row r="5" spans="2:4" x14ac:dyDescent="0.25">
      <c r="B5" s="19" t="s">
        <v>2</v>
      </c>
      <c r="C5" s="18" t="s">
        <v>33</v>
      </c>
      <c r="D5" s="19" t="s">
        <v>2</v>
      </c>
    </row>
    <row r="6" spans="2:4" x14ac:dyDescent="0.25">
      <c r="B6" s="20" t="s">
        <v>3</v>
      </c>
      <c r="C6" s="18" t="s">
        <v>34</v>
      </c>
      <c r="D6" s="20" t="s">
        <v>3</v>
      </c>
    </row>
    <row r="7" spans="2:4" x14ac:dyDescent="0.25">
      <c r="B7" s="20" t="s">
        <v>4</v>
      </c>
      <c r="C7" s="18" t="s">
        <v>35</v>
      </c>
      <c r="D7" s="20" t="s">
        <v>4</v>
      </c>
    </row>
    <row r="8" spans="2:4" x14ac:dyDescent="0.25">
      <c r="B8" s="20" t="s">
        <v>5</v>
      </c>
      <c r="C8" s="18" t="s">
        <v>36</v>
      </c>
      <c r="D8" s="20" t="s">
        <v>5</v>
      </c>
    </row>
    <row r="9" spans="2:4" x14ac:dyDescent="0.25">
      <c r="B9" s="20" t="s">
        <v>6</v>
      </c>
      <c r="C9" s="18" t="s">
        <v>37</v>
      </c>
      <c r="D9" s="20" t="s">
        <v>6</v>
      </c>
    </row>
    <row r="10" spans="2:4" x14ac:dyDescent="0.25">
      <c r="B10" s="20" t="s">
        <v>7</v>
      </c>
      <c r="C10" s="18" t="s">
        <v>38</v>
      </c>
      <c r="D10" s="20" t="s">
        <v>7</v>
      </c>
    </row>
    <row r="11" spans="2:4" x14ac:dyDescent="0.25">
      <c r="B11" s="20" t="s">
        <v>8</v>
      </c>
      <c r="C11" s="18" t="s">
        <v>39</v>
      </c>
      <c r="D11" s="20" t="s">
        <v>8</v>
      </c>
    </row>
    <row r="12" spans="2:4" x14ac:dyDescent="0.25">
      <c r="B12" s="20" t="s">
        <v>9</v>
      </c>
      <c r="C12" s="18" t="s">
        <v>40</v>
      </c>
      <c r="D12" s="20" t="s">
        <v>9</v>
      </c>
    </row>
    <row r="13" spans="2:4" x14ac:dyDescent="0.25">
      <c r="B13" s="20" t="s">
        <v>10</v>
      </c>
      <c r="C13" s="18" t="s">
        <v>41</v>
      </c>
      <c r="D13" s="20" t="s">
        <v>10</v>
      </c>
    </row>
    <row r="14" spans="2:4" x14ac:dyDescent="0.25">
      <c r="B14" s="20" t="s">
        <v>11</v>
      </c>
      <c r="C14" s="18" t="s">
        <v>42</v>
      </c>
      <c r="D14" s="20" t="s">
        <v>11</v>
      </c>
    </row>
    <row r="15" spans="2:4" x14ac:dyDescent="0.25">
      <c r="B15" s="19" t="s">
        <v>12</v>
      </c>
      <c r="C15" s="18" t="s">
        <v>43</v>
      </c>
      <c r="D15" s="19" t="s">
        <v>12</v>
      </c>
    </row>
    <row r="16" spans="2:4" x14ac:dyDescent="0.25">
      <c r="B16" s="20" t="s">
        <v>13</v>
      </c>
      <c r="C16" s="18" t="s">
        <v>44</v>
      </c>
      <c r="D16" s="20" t="s">
        <v>13</v>
      </c>
    </row>
    <row r="17" spans="2:4" x14ac:dyDescent="0.25">
      <c r="B17" s="20" t="s">
        <v>14</v>
      </c>
      <c r="C17" s="18" t="s">
        <v>45</v>
      </c>
      <c r="D17" s="20" t="s">
        <v>14</v>
      </c>
    </row>
    <row r="18" spans="2:4" x14ac:dyDescent="0.25">
      <c r="B18" s="20" t="s">
        <v>15</v>
      </c>
      <c r="C18" s="18" t="s">
        <v>46</v>
      </c>
      <c r="D18" s="20" t="s">
        <v>15</v>
      </c>
    </row>
    <row r="19" spans="2:4" x14ac:dyDescent="0.25">
      <c r="B19" s="19" t="s">
        <v>16</v>
      </c>
      <c r="C19" s="18" t="s">
        <v>47</v>
      </c>
      <c r="D19" s="19" t="s">
        <v>16</v>
      </c>
    </row>
    <row r="20" spans="2:4" x14ac:dyDescent="0.25">
      <c r="B20" s="19" t="s">
        <v>18</v>
      </c>
      <c r="C20" s="18" t="s">
        <v>48</v>
      </c>
      <c r="D20" s="19" t="s">
        <v>18</v>
      </c>
    </row>
    <row r="21" spans="2:4" x14ac:dyDescent="0.25">
      <c r="B21" s="20" t="s">
        <v>19</v>
      </c>
      <c r="C21" s="18" t="s">
        <v>49</v>
      </c>
      <c r="D21" s="20" t="s">
        <v>19</v>
      </c>
    </row>
    <row r="22" spans="2:4" x14ac:dyDescent="0.25">
      <c r="B22" s="18" t="s">
        <v>20</v>
      </c>
      <c r="C22" s="18" t="s">
        <v>50</v>
      </c>
      <c r="D22" s="18" t="s">
        <v>20</v>
      </c>
    </row>
    <row r="23" spans="2:4" x14ac:dyDescent="0.25">
      <c r="B23" s="18" t="s">
        <v>17</v>
      </c>
      <c r="C23" s="18" t="s">
        <v>51</v>
      </c>
      <c r="D23" s="18" t="s">
        <v>17</v>
      </c>
    </row>
    <row r="24" spans="2:4" x14ac:dyDescent="0.25">
      <c r="B24" s="18" t="s">
        <v>26</v>
      </c>
      <c r="C24" s="18" t="s">
        <v>52</v>
      </c>
      <c r="D24" s="18" t="s">
        <v>26</v>
      </c>
    </row>
    <row r="25" spans="2:4" x14ac:dyDescent="0.25">
      <c r="B25" s="18" t="s">
        <v>27</v>
      </c>
      <c r="C25" s="18" t="s">
        <v>53</v>
      </c>
      <c r="D25" s="18" t="s">
        <v>27</v>
      </c>
    </row>
    <row r="26" spans="2:4" s="16" customFormat="1" x14ac:dyDescent="0.25">
      <c r="B26" s="18" t="s">
        <v>60</v>
      </c>
      <c r="C26" s="18" t="s">
        <v>64</v>
      </c>
      <c r="D26" s="18" t="s">
        <v>60</v>
      </c>
    </row>
    <row r="27" spans="2:4" s="16" customFormat="1" x14ac:dyDescent="0.25">
      <c r="B27" s="18" t="s">
        <v>61</v>
      </c>
      <c r="C27" s="18" t="s">
        <v>65</v>
      </c>
      <c r="D27" s="18" t="s">
        <v>61</v>
      </c>
    </row>
    <row r="28" spans="2:4" s="16" customFormat="1" x14ac:dyDescent="0.25">
      <c r="B28" s="18" t="s">
        <v>62</v>
      </c>
      <c r="C28" s="18" t="s">
        <v>66</v>
      </c>
      <c r="D28" s="18" t="s">
        <v>62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54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E246"/>
  <sheetViews>
    <sheetView tabSelected="1" zoomScale="85" zoomScaleNormal="85" workbookViewId="0">
      <selection activeCell="L17" sqref="L17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4" style="23" customWidth="1"/>
    <col min="20" max="20" width="16.42578125" style="16" bestFit="1" customWidth="1"/>
    <col min="21" max="21" width="12.7109375" style="16" bestFit="1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28"/>
      <c r="T1"/>
      <c r="U1"/>
      <c r="V1" s="16"/>
    </row>
    <row r="2" spans="2:57" s="16" customFormat="1" x14ac:dyDescent="0.25">
      <c r="B2" s="145" t="s">
        <v>134</v>
      </c>
      <c r="C2" s="109" t="s">
        <v>143</v>
      </c>
      <c r="D2" s="109" t="s">
        <v>126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</row>
    <row r="3" spans="2:57" s="16" customFormat="1" x14ac:dyDescent="0.25">
      <c r="B3" s="177" t="s">
        <v>210</v>
      </c>
      <c r="C3" s="178">
        <v>1</v>
      </c>
      <c r="D3" s="179" t="s">
        <v>127</v>
      </c>
      <c r="E3" s="172"/>
      <c r="F3" s="172"/>
      <c r="G3" s="172"/>
      <c r="H3" s="180"/>
      <c r="I3" s="172"/>
      <c r="J3" s="172"/>
      <c r="K3" s="172"/>
      <c r="L3" s="172"/>
      <c r="M3" s="172"/>
      <c r="N3" s="172"/>
      <c r="O3" s="181"/>
      <c r="Q3" s="23"/>
      <c r="R3" s="23"/>
      <c r="S3" s="23"/>
    </row>
    <row r="4" spans="2:57" s="16" customFormat="1" x14ac:dyDescent="0.25">
      <c r="B4" s="136" t="s">
        <v>142</v>
      </c>
      <c r="C4" s="141">
        <v>1E-14</v>
      </c>
      <c r="D4" s="115" t="s">
        <v>128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</row>
    <row r="5" spans="2:57" s="16" customFormat="1" x14ac:dyDescent="0.25">
      <c r="B5" s="136" t="s">
        <v>144</v>
      </c>
      <c r="C5" s="141">
        <v>1E-14</v>
      </c>
      <c r="D5" s="115" t="s">
        <v>137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</row>
    <row r="6" spans="2:57" s="16" customFormat="1" x14ac:dyDescent="0.25">
      <c r="B6" s="136" t="s">
        <v>197</v>
      </c>
      <c r="C6" s="141">
        <v>1</v>
      </c>
      <c r="D6" s="115" t="s">
        <v>131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</row>
    <row r="7" spans="2:57" s="16" customFormat="1" x14ac:dyDescent="0.25">
      <c r="B7" s="136" t="s">
        <v>140</v>
      </c>
      <c r="C7" s="141">
        <v>1E-14</v>
      </c>
      <c r="D7" s="115" t="s">
        <v>132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</row>
    <row r="8" spans="2:57" s="16" customFormat="1" x14ac:dyDescent="0.25">
      <c r="B8" s="136" t="s">
        <v>196</v>
      </c>
      <c r="C8" s="30">
        <v>1E-14</v>
      </c>
      <c r="D8" s="115" t="s">
        <v>133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</row>
    <row r="9" spans="2:57" s="16" customFormat="1" x14ac:dyDescent="0.25">
      <c r="B9" s="136" t="s">
        <v>129</v>
      </c>
      <c r="C9" s="182">
        <v>0.1</v>
      </c>
      <c r="D9" s="115" t="s">
        <v>177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</row>
    <row r="10" spans="2:57" s="16" customFormat="1" x14ac:dyDescent="0.25">
      <c r="B10" s="136" t="s">
        <v>130</v>
      </c>
      <c r="C10" s="182">
        <v>7.0000000000000007E-2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</row>
    <row r="11" spans="2:57" s="16" customFormat="1" x14ac:dyDescent="0.25">
      <c r="B11" s="136" t="s">
        <v>211</v>
      </c>
      <c r="C11" s="193">
        <v>1E-14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</row>
    <row r="12" spans="2:57" s="16" customFormat="1" x14ac:dyDescent="0.25">
      <c r="B12" s="136" t="s">
        <v>212</v>
      </c>
      <c r="C12" s="193">
        <v>25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</row>
    <row r="13" spans="2:57" s="16" customFormat="1" x14ac:dyDescent="0.25">
      <c r="B13" s="192"/>
      <c r="C13" s="194"/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</row>
    <row r="14" spans="2:57" x14ac:dyDescent="0.25">
      <c r="B14" s="6"/>
      <c r="T14"/>
      <c r="U14"/>
      <c r="V14" s="21" t="str">
        <f>IF(ISBLANK(V$15),"",_xlfn.LET(_xlpm.mo,MID(V$15,3,4),_xlpm.dd,DATE(YEAR(Inputs!$C$18),_xlpm.mo,1),UPPER(TEXT(_xlpm.dd,"åå'mmm"))))</f>
        <v>21'JAN</v>
      </c>
      <c r="W14" s="21" t="str">
        <f>IF(ISBLANK(W$15),"",_xlfn.LET(_xlpm.mo,MID(W$15,3,4),_xlpm.dd,DATE(YEAR(Inputs!$C$18),_xlpm.mo,1),UPPER(TEXT(_xlpm.dd,"åå'mmm"))))</f>
        <v>21'FEB</v>
      </c>
      <c r="X14" s="21" t="str">
        <f>IF(ISBLANK(X$15),"",_xlfn.LET(_xlpm.mo,MID(X$15,3,4),_xlpm.dd,DATE(YEAR(Inputs!$C$18),_xlpm.mo,1),UPPER(TEXT(_xlpm.dd,"åå'mmm"))))</f>
        <v>21'MAR</v>
      </c>
      <c r="Y14" s="21" t="str">
        <f>IF(ISBLANK(Y$15),"",_xlfn.LET(_xlpm.mo,MID(Y$15,3,4),_xlpm.dd,DATE(YEAR(Inputs!$C$18),_xlpm.mo,1),UPPER(TEXT(_xlpm.dd,"åå'mmm"))))</f>
        <v>21'APR</v>
      </c>
      <c r="Z14" s="21" t="str">
        <f>IF(ISBLANK(Z$15),"",_xlfn.LET(_xlpm.mo,MID(Z$15,3,4),_xlpm.dd,DATE(YEAR(Inputs!$C$18),_xlpm.mo,1),UPPER(TEXT(_xlpm.dd,"åå'mmm"))))</f>
        <v>21'MAJ</v>
      </c>
      <c r="AA14" s="21" t="str">
        <f>IF(ISBLANK(AA$15),"",_xlfn.LET(_xlpm.mo,MID(AA$15,3,4),_xlpm.dd,DATE(YEAR(Inputs!$C$18),_xlpm.mo,1),UPPER(TEXT(_xlpm.dd,"åå'mmm"))))</f>
        <v>21'JUN</v>
      </c>
      <c r="AB14" s="21" t="str">
        <f>IF(ISBLANK(AB$15),"",_xlfn.LET(_xlpm.mo,MID(AB$15,3,4),_xlpm.dd,DATE(YEAR(Inputs!$C$18),_xlpm.mo,1),UPPER(TEXT(_xlpm.dd,"åå'mmm"))))</f>
        <v>21'JUL</v>
      </c>
      <c r="AC14" s="21" t="str">
        <f>IF(ISBLANK(AC$15),"",_xlfn.LET(_xlpm.mo,MID(AC$15,3,4),_xlpm.dd,DATE(YEAR(Inputs!$C$18),_xlpm.mo,1),UPPER(TEXT(_xlpm.dd,"åå'mmm"))))</f>
        <v>21'AUG</v>
      </c>
      <c r="AD14" s="21" t="str">
        <f>IF(ISBLANK(AD$15),"",_xlfn.LET(_xlpm.mo,MID(AD$15,3,4),_xlpm.dd,DATE(YEAR(Inputs!$C$18),_xlpm.mo,1),UPPER(TEXT(_xlpm.dd,"åå'mmm"))))</f>
        <v>21'SEP</v>
      </c>
      <c r="AE14" s="21" t="str">
        <f>IF(ISBLANK(AE$15),"",_xlfn.LET(_xlpm.mo,MID(AE$15,3,4),_xlpm.dd,DATE(YEAR(Inputs!$C$18),_xlpm.mo,1),UPPER(TEXT(_xlpm.dd,"åå'mmm"))))</f>
        <v>21'OKT</v>
      </c>
      <c r="AF14" s="21" t="str">
        <f>IF(ISBLANK(AF$15),"",_xlfn.LET(_xlpm.mo,MID(AF$15,3,4),_xlpm.dd,DATE(YEAR(Inputs!$C$18),_xlpm.mo,1),UPPER(TEXT(_xlpm.dd,"åå'mmm"))))</f>
        <v>21'NOV</v>
      </c>
      <c r="AG14" s="21" t="str">
        <f>IF(ISBLANK(AG$15),"",_xlfn.LET(_xlpm.mo,MID(AG$15,3,4),_xlpm.dd,DATE(YEAR(Inputs!$C$18),_xlpm.mo,1),UPPER(TEXT(_xlpm.dd,"åå'mmm"))))</f>
        <v>21'DEC</v>
      </c>
      <c r="AH14" s="21" t="str">
        <f>IF(ISBLANK(AH$15),"",_xlfn.LET(_xlpm.mo,MID(AH$15,3,4),_xlpm.dd,DATE(YEAR(Inputs!$C$18),_xlpm.mo,1),UPPER(TEXT(_xlpm.dd,"åå'mmm"))))</f>
        <v/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</row>
    <row r="15" spans="2:57" x14ac:dyDescent="0.25">
      <c r="B15" s="146" t="s">
        <v>59</v>
      </c>
      <c r="C15" s="142" t="s">
        <v>106</v>
      </c>
      <c r="D15" s="142" t="s">
        <v>107</v>
      </c>
      <c r="E15" s="142" t="s">
        <v>108</v>
      </c>
      <c r="F15" s="143" t="s">
        <v>109</v>
      </c>
      <c r="S15" s="152"/>
      <c r="T15" s="153" t="s">
        <v>164</v>
      </c>
      <c r="U15" s="151" t="s">
        <v>163</v>
      </c>
      <c r="V15" s="89" t="s">
        <v>216</v>
      </c>
      <c r="W15" s="89" t="s">
        <v>223</v>
      </c>
      <c r="X15" s="89" t="s">
        <v>224</v>
      </c>
      <c r="Y15" s="89" t="s">
        <v>225</v>
      </c>
      <c r="Z15" s="89" t="s">
        <v>226</v>
      </c>
      <c r="AA15" s="89" t="s">
        <v>227</v>
      </c>
      <c r="AB15" s="89" t="s">
        <v>228</v>
      </c>
      <c r="AC15" s="89" t="s">
        <v>229</v>
      </c>
      <c r="AD15" s="89" t="s">
        <v>230</v>
      </c>
      <c r="AE15" s="89" t="s">
        <v>231</v>
      </c>
      <c r="AF15" s="89" t="s">
        <v>232</v>
      </c>
      <c r="AG15" s="89" t="s">
        <v>233</v>
      </c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116"/>
    </row>
    <row r="16" spans="2:57" x14ac:dyDescent="0.25">
      <c r="B16" s="134" t="s">
        <v>68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T16" s="150" t="s">
        <v>99</v>
      </c>
      <c r="U16" s="53">
        <v>1E-14</v>
      </c>
      <c r="V16" s="2">
        <v>1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4" t="s">
        <v>69</v>
      </c>
      <c r="C17" s="30"/>
      <c r="D17" s="30"/>
      <c r="E17" s="32">
        <v>1</v>
      </c>
      <c r="F17" s="33">
        <v>12</v>
      </c>
      <c r="R17" s="152"/>
      <c r="T17" s="24" t="s">
        <v>110</v>
      </c>
      <c r="U17" s="53">
        <v>1E-14</v>
      </c>
      <c r="V17" s="22">
        <v>31</v>
      </c>
      <c r="W17" s="22">
        <v>28</v>
      </c>
      <c r="X17" s="22">
        <v>31</v>
      </c>
      <c r="Y17" s="22">
        <v>30</v>
      </c>
      <c r="Z17" s="22">
        <v>31</v>
      </c>
      <c r="AA17" s="22">
        <v>30</v>
      </c>
      <c r="AB17" s="22">
        <v>10</v>
      </c>
      <c r="AC17" s="22">
        <v>10</v>
      </c>
      <c r="AD17" s="22">
        <v>30</v>
      </c>
      <c r="AE17" s="22">
        <v>31</v>
      </c>
      <c r="AF17" s="22">
        <v>30</v>
      </c>
      <c r="AG17" s="22">
        <v>31</v>
      </c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</row>
    <row r="18" spans="1:57" x14ac:dyDescent="0.25">
      <c r="B18" s="135" t="s">
        <v>70</v>
      </c>
      <c r="C18" s="34">
        <v>44197</v>
      </c>
      <c r="D18" s="34">
        <v>44927</v>
      </c>
      <c r="E18" s="34">
        <v>44197</v>
      </c>
      <c r="F18" s="35">
        <v>44531</v>
      </c>
      <c r="R18" s="152"/>
      <c r="T18" s="144" t="s">
        <v>111</v>
      </c>
      <c r="U18" s="53">
        <v>1E-14</v>
      </c>
      <c r="V18" s="22">
        <v>31</v>
      </c>
      <c r="W18" s="22">
        <v>28</v>
      </c>
      <c r="X18" s="22">
        <v>31</v>
      </c>
      <c r="Y18" s="22">
        <v>30</v>
      </c>
      <c r="Z18" s="22">
        <v>31</v>
      </c>
      <c r="AA18" s="22">
        <v>5</v>
      </c>
      <c r="AB18" s="22">
        <v>31</v>
      </c>
      <c r="AC18" s="22">
        <v>31</v>
      </c>
      <c r="AD18" s="22">
        <v>30</v>
      </c>
      <c r="AE18" s="22">
        <v>31</v>
      </c>
      <c r="AF18" s="22">
        <v>30</v>
      </c>
      <c r="AG18" s="22">
        <v>31</v>
      </c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</row>
    <row r="19" spans="1:57" x14ac:dyDescent="0.25">
      <c r="R19" s="152"/>
      <c r="T19" s="144" t="s">
        <v>112</v>
      </c>
      <c r="U19" s="53">
        <v>1E-14</v>
      </c>
      <c r="V19" s="22">
        <v>31</v>
      </c>
      <c r="W19" s="22">
        <v>28</v>
      </c>
      <c r="X19" s="22">
        <v>31</v>
      </c>
      <c r="Y19" s="22">
        <v>30</v>
      </c>
      <c r="Z19" s="22">
        <v>31</v>
      </c>
      <c r="AA19" s="22">
        <v>30</v>
      </c>
      <c r="AB19" s="22">
        <v>31</v>
      </c>
      <c r="AC19" s="22">
        <v>31</v>
      </c>
      <c r="AD19" s="22">
        <v>30</v>
      </c>
      <c r="AE19" s="22">
        <v>31</v>
      </c>
      <c r="AF19" s="22">
        <v>30</v>
      </c>
      <c r="AG19" s="22">
        <v>31</v>
      </c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</row>
    <row r="20" spans="1:57" x14ac:dyDescent="0.25">
      <c r="R20" s="152"/>
      <c r="T20" s="144" t="s">
        <v>71</v>
      </c>
      <c r="U20" s="53">
        <v>1E-14</v>
      </c>
      <c r="V20" s="22">
        <v>20.833333333333332</v>
      </c>
      <c r="W20" s="22">
        <v>1E-14</v>
      </c>
      <c r="X20" s="22">
        <v>1E-14</v>
      </c>
      <c r="Y20" s="22">
        <v>1E-14</v>
      </c>
      <c r="Z20" s="22">
        <v>1E-14</v>
      </c>
      <c r="AA20" s="22">
        <v>1E-14</v>
      </c>
      <c r="AB20" s="22">
        <v>1E-14</v>
      </c>
      <c r="AC20" s="22">
        <v>1E-14</v>
      </c>
      <c r="AD20" s="22">
        <v>1E-14</v>
      </c>
      <c r="AE20" s="22">
        <v>1E-14</v>
      </c>
      <c r="AF20" s="22">
        <v>1E-14</v>
      </c>
      <c r="AG20" s="22">
        <v>29.166666666666668</v>
      </c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</row>
    <row r="21" spans="1:57" x14ac:dyDescent="0.25">
      <c r="B21" s="146" t="s">
        <v>24</v>
      </c>
      <c r="C21" s="89" t="s">
        <v>99</v>
      </c>
      <c r="D21" s="89" t="s">
        <v>115</v>
      </c>
      <c r="E21" s="89" t="s">
        <v>116</v>
      </c>
      <c r="F21" s="90" t="s">
        <v>165</v>
      </c>
      <c r="G21" s="90" t="s">
        <v>166</v>
      </c>
      <c r="H21" s="89" t="s">
        <v>167</v>
      </c>
      <c r="I21" s="89" t="s">
        <v>168</v>
      </c>
      <c r="J21" s="89" t="s">
        <v>192</v>
      </c>
      <c r="K21" s="89" t="s">
        <v>23</v>
      </c>
      <c r="L21" s="89" t="s">
        <v>193</v>
      </c>
      <c r="M21" s="89" t="s">
        <v>141</v>
      </c>
      <c r="N21" s="89" t="s">
        <v>117</v>
      </c>
      <c r="O21" s="89" t="s">
        <v>145</v>
      </c>
      <c r="P21" s="116" t="s">
        <v>146</v>
      </c>
      <c r="S21" s="152"/>
      <c r="T21" s="144" t="s">
        <v>113</v>
      </c>
      <c r="U21" s="53">
        <v>1E-14</v>
      </c>
      <c r="V21" s="22">
        <v>31</v>
      </c>
      <c r="W21" s="22">
        <v>28</v>
      </c>
      <c r="X21" s="22">
        <v>31</v>
      </c>
      <c r="Y21" s="22">
        <v>30</v>
      </c>
      <c r="Z21" s="22">
        <v>31</v>
      </c>
      <c r="AA21" s="22">
        <v>30</v>
      </c>
      <c r="AB21" s="22">
        <v>31</v>
      </c>
      <c r="AC21" s="22">
        <v>31</v>
      </c>
      <c r="AD21" s="22">
        <v>30</v>
      </c>
      <c r="AE21" s="22">
        <v>31</v>
      </c>
      <c r="AF21" s="22">
        <v>30</v>
      </c>
      <c r="AG21" s="22">
        <v>31</v>
      </c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</row>
    <row r="22" spans="1:57" x14ac:dyDescent="0.25">
      <c r="B22" s="134" t="s">
        <v>110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0.84399999999999997</v>
      </c>
      <c r="O22" s="37">
        <v>30</v>
      </c>
      <c r="P22" s="40">
        <v>0.01</v>
      </c>
      <c r="T22" s="144" t="s">
        <v>114</v>
      </c>
      <c r="U22" s="53">
        <v>1E-14</v>
      </c>
      <c r="V22" s="22">
        <v>31</v>
      </c>
      <c r="W22" s="22">
        <v>28</v>
      </c>
      <c r="X22" s="22">
        <v>31</v>
      </c>
      <c r="Y22" s="22">
        <v>30</v>
      </c>
      <c r="Z22" s="22">
        <v>31</v>
      </c>
      <c r="AA22" s="22">
        <v>30</v>
      </c>
      <c r="AB22" s="22">
        <v>31</v>
      </c>
      <c r="AC22" s="22">
        <v>31</v>
      </c>
      <c r="AD22" s="22">
        <v>30</v>
      </c>
      <c r="AE22" s="22">
        <v>31</v>
      </c>
      <c r="AF22" s="22">
        <v>30</v>
      </c>
      <c r="AG22" s="22">
        <v>31</v>
      </c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</row>
    <row r="23" spans="1:57" x14ac:dyDescent="0.25">
      <c r="B23" s="134" t="s">
        <v>111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0.22470000000000001</v>
      </c>
      <c r="N23" s="156">
        <v>0.65600000000000003</v>
      </c>
      <c r="O23" s="37">
        <v>50</v>
      </c>
      <c r="P23" s="40">
        <v>0.01</v>
      </c>
      <c r="T23" s="144" t="s">
        <v>147</v>
      </c>
      <c r="U23" s="53">
        <v>1E-14</v>
      </c>
      <c r="V23" s="22">
        <v>31</v>
      </c>
      <c r="W23" s="22">
        <v>28</v>
      </c>
      <c r="X23" s="22">
        <v>31</v>
      </c>
      <c r="Y23" s="22">
        <v>30</v>
      </c>
      <c r="Z23" s="22">
        <v>31</v>
      </c>
      <c r="AA23" s="22">
        <v>30</v>
      </c>
      <c r="AB23" s="22">
        <v>31</v>
      </c>
      <c r="AC23" s="22">
        <v>31</v>
      </c>
      <c r="AD23" s="22">
        <v>30</v>
      </c>
      <c r="AE23" s="22">
        <v>31</v>
      </c>
      <c r="AF23" s="22">
        <v>30</v>
      </c>
      <c r="AG23" s="22">
        <v>31</v>
      </c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</row>
    <row r="24" spans="1:57" x14ac:dyDescent="0.25">
      <c r="B24" s="134" t="s">
        <v>112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0.85</v>
      </c>
      <c r="O24" s="37">
        <v>25</v>
      </c>
      <c r="P24" s="40">
        <v>0.01</v>
      </c>
      <c r="T24" s="144" t="s">
        <v>209</v>
      </c>
      <c r="U24" s="53">
        <v>1E-14</v>
      </c>
      <c r="V24" s="185">
        <v>31</v>
      </c>
      <c r="W24" s="185">
        <v>28</v>
      </c>
      <c r="X24" s="185">
        <v>31</v>
      </c>
      <c r="Y24" s="185">
        <v>30</v>
      </c>
      <c r="Z24" s="185">
        <v>31</v>
      </c>
      <c r="AA24" s="185">
        <v>3.5676666666666663</v>
      </c>
      <c r="AB24" s="185">
        <v>0.43333333333333335</v>
      </c>
      <c r="AC24" s="185">
        <v>1.4472222222222222</v>
      </c>
      <c r="AD24" s="185">
        <v>30</v>
      </c>
      <c r="AE24" s="185">
        <v>31</v>
      </c>
      <c r="AF24" s="185">
        <v>30</v>
      </c>
      <c r="AG24" s="185">
        <v>31</v>
      </c>
      <c r="AH24" s="185"/>
      <c r="AI24" s="185"/>
      <c r="AJ24" s="185"/>
      <c r="AK24" s="185"/>
      <c r="AL24" s="185"/>
      <c r="AM24" s="185"/>
      <c r="AN24" s="185"/>
      <c r="AO24" s="185"/>
      <c r="AP24" s="185"/>
      <c r="AQ24" s="185"/>
      <c r="AR24" s="185"/>
      <c r="AS24" s="185"/>
      <c r="AT24" s="185"/>
      <c r="AU24" s="185"/>
      <c r="AV24" s="185"/>
      <c r="AW24" s="185"/>
      <c r="AX24" s="185"/>
      <c r="AY24" s="185"/>
      <c r="AZ24" s="185"/>
      <c r="BA24" s="185"/>
      <c r="BB24" s="185"/>
      <c r="BC24" s="185"/>
      <c r="BD24" s="185"/>
      <c r="BE24" s="185"/>
    </row>
    <row r="25" spans="1:57" x14ac:dyDescent="0.25">
      <c r="B25" s="134" t="s">
        <v>71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</v>
      </c>
      <c r="O25" s="37">
        <v>5</v>
      </c>
      <c r="P25" s="40">
        <v>0.01</v>
      </c>
      <c r="T25" s="24" t="s">
        <v>148</v>
      </c>
      <c r="U25" s="53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4" t="s">
        <v>113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</v>
      </c>
      <c r="O26" s="37">
        <v>10</v>
      </c>
      <c r="P26" s="40">
        <v>0.01</v>
      </c>
      <c r="T26" s="24" t="s">
        <v>149</v>
      </c>
      <c r="U26" s="53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35" t="s">
        <v>114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</v>
      </c>
      <c r="O27" s="46">
        <v>10</v>
      </c>
      <c r="P27" s="47">
        <v>0.01</v>
      </c>
      <c r="T27" s="161" t="s">
        <v>150</v>
      </c>
      <c r="U27" s="183">
        <v>1E-14</v>
      </c>
      <c r="V27" s="184">
        <v>4076.9</v>
      </c>
      <c r="W27" s="184">
        <v>4120.58</v>
      </c>
      <c r="X27" s="184">
        <v>4939.28</v>
      </c>
      <c r="Y27" s="184">
        <v>4131.42</v>
      </c>
      <c r="Z27" s="184">
        <v>2587.7199999999998</v>
      </c>
      <c r="AA27" s="184">
        <v>642.17999999999995</v>
      </c>
      <c r="AB27" s="184">
        <v>78</v>
      </c>
      <c r="AC27" s="184">
        <v>260.5</v>
      </c>
      <c r="AD27" s="184">
        <v>4821.5600000000004</v>
      </c>
      <c r="AE27" s="184">
        <v>4868.74</v>
      </c>
      <c r="AF27" s="184">
        <v>5228.4799999999996</v>
      </c>
      <c r="AG27" s="184">
        <v>5402.7626666666665</v>
      </c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</row>
    <row r="28" spans="1:5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T28" s="190" t="s">
        <v>171</v>
      </c>
      <c r="U28" s="183">
        <v>1E-14</v>
      </c>
      <c r="V28" s="191">
        <v>1</v>
      </c>
      <c r="W28" s="191">
        <v>1E-14</v>
      </c>
      <c r="X28" s="191">
        <v>1</v>
      </c>
      <c r="Y28" s="191">
        <v>1</v>
      </c>
      <c r="Z28" s="191">
        <v>1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</row>
    <row r="29" spans="1:57" x14ac:dyDescent="0.25">
      <c r="A29" s="16"/>
      <c r="B29" s="146" t="s">
        <v>118</v>
      </c>
      <c r="C29" s="89" t="s">
        <v>99</v>
      </c>
      <c r="D29" s="89" t="s">
        <v>105</v>
      </c>
      <c r="E29" s="89" t="s">
        <v>207</v>
      </c>
      <c r="F29" s="89" t="s">
        <v>138</v>
      </c>
      <c r="G29" s="89" t="s">
        <v>100</v>
      </c>
      <c r="H29" s="89" t="s">
        <v>101</v>
      </c>
      <c r="I29" s="89" t="s">
        <v>139</v>
      </c>
      <c r="J29" s="89" t="s">
        <v>102</v>
      </c>
      <c r="K29" s="90" t="s">
        <v>103</v>
      </c>
      <c r="L29" s="89" t="s">
        <v>119</v>
      </c>
      <c r="M29" s="89" t="s">
        <v>104</v>
      </c>
      <c r="N29" s="116" t="s">
        <v>120</v>
      </c>
      <c r="R29" s="152"/>
      <c r="T29" s="24" t="s">
        <v>151</v>
      </c>
      <c r="U29" s="53">
        <v>1E-14</v>
      </c>
      <c r="V29" s="1">
        <v>378.33708333333323</v>
      </c>
      <c r="W29" s="1">
        <v>356.0961527777776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6"/>
      <c r="B30" s="137" t="s">
        <v>97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T30" s="24" t="s">
        <v>152</v>
      </c>
      <c r="U30" s="53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38" t="s">
        <v>98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T31" s="24" t="s">
        <v>153</v>
      </c>
      <c r="U31" s="53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23"/>
      <c r="T32" s="24" t="s">
        <v>154</v>
      </c>
      <c r="U32" s="53">
        <v>1E-14</v>
      </c>
      <c r="V32" s="25">
        <v>31.8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</row>
    <row r="33" spans="1:57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23"/>
      <c r="T33" s="24" t="s">
        <v>155</v>
      </c>
      <c r="U33" s="53">
        <v>1E-14</v>
      </c>
      <c r="V33" s="25">
        <v>37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</row>
    <row r="34" spans="1:57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23"/>
      <c r="T34" s="24" t="s">
        <v>156</v>
      </c>
      <c r="U34" s="53">
        <v>1E-14</v>
      </c>
      <c r="V34" s="25">
        <v>37</v>
      </c>
      <c r="W34" s="25">
        <v>37</v>
      </c>
      <c r="X34" s="25">
        <v>37</v>
      </c>
      <c r="Y34" s="25">
        <v>37</v>
      </c>
      <c r="Z34" s="25">
        <v>37</v>
      </c>
      <c r="AA34" s="25">
        <v>37</v>
      </c>
      <c r="AB34" s="25">
        <v>37</v>
      </c>
      <c r="AC34" s="25">
        <v>37</v>
      </c>
      <c r="AD34" s="25">
        <v>37</v>
      </c>
      <c r="AE34" s="25">
        <v>37</v>
      </c>
      <c r="AF34" s="25">
        <v>37</v>
      </c>
      <c r="AG34" s="25">
        <v>37</v>
      </c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</row>
    <row r="35" spans="1:57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T35" s="24" t="s">
        <v>157</v>
      </c>
      <c r="U35" s="53">
        <v>1E-14</v>
      </c>
      <c r="V35" s="25">
        <v>178.5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</row>
    <row r="36" spans="1:57" s="16" customFormat="1" x14ac:dyDescent="0.25">
      <c r="Q36" s="23"/>
      <c r="R36" s="152"/>
      <c r="S36" s="23"/>
      <c r="T36" s="24" t="s">
        <v>158</v>
      </c>
      <c r="U36" s="53">
        <v>1E-14</v>
      </c>
      <c r="V36" s="25">
        <v>5.3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</row>
    <row r="37" spans="1:57" s="16" customFormat="1" x14ac:dyDescent="0.25">
      <c r="Q37" s="23"/>
      <c r="R37" s="152"/>
      <c r="S37" s="23"/>
      <c r="T37" s="24" t="s">
        <v>159</v>
      </c>
      <c r="U37" s="53">
        <v>1E-14</v>
      </c>
      <c r="V37" s="25">
        <v>0.5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</row>
    <row r="38" spans="1:57" s="16" customFormat="1" x14ac:dyDescent="0.25">
      <c r="Q38" s="23"/>
      <c r="R38" s="152"/>
      <c r="S38" s="23"/>
      <c r="T38" s="24" t="s">
        <v>160</v>
      </c>
      <c r="U38" s="53">
        <v>1E-14</v>
      </c>
      <c r="V38" s="25">
        <v>62.37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</row>
    <row r="39" spans="1:57" s="16" customFormat="1" x14ac:dyDescent="0.25">
      <c r="Q39" s="23"/>
      <c r="R39" s="152"/>
      <c r="S39" s="23"/>
      <c r="T39" s="24" t="s">
        <v>161</v>
      </c>
      <c r="U39" s="53">
        <v>1E-14</v>
      </c>
      <c r="V39" s="25">
        <v>680.72289156626493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</row>
    <row r="40" spans="1:5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T40" s="160" t="s">
        <v>162</v>
      </c>
      <c r="U40" s="53">
        <v>1E-14</v>
      </c>
      <c r="V40" s="162">
        <v>10.843373493975903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</row>
    <row r="41" spans="1:57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T41" s="6"/>
      <c r="U41" s="53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</row>
    <row r="42" spans="1:57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6"/>
      <c r="U42" s="53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</row>
    <row r="43" spans="1:57" x14ac:dyDescent="0.25">
      <c r="B43" s="147" t="s">
        <v>191</v>
      </c>
      <c r="C43" s="54" t="s">
        <v>99</v>
      </c>
      <c r="D43" s="54" t="s">
        <v>178</v>
      </c>
      <c r="E43" s="54" t="s">
        <v>179</v>
      </c>
      <c r="F43" s="54" t="s">
        <v>180</v>
      </c>
      <c r="G43" s="54" t="s">
        <v>202</v>
      </c>
      <c r="H43" s="54" t="s">
        <v>181</v>
      </c>
      <c r="I43" s="54" t="s">
        <v>182</v>
      </c>
      <c r="J43" s="54" t="s">
        <v>183</v>
      </c>
      <c r="K43" s="54" t="s">
        <v>184</v>
      </c>
      <c r="L43" s="54" t="s">
        <v>185</v>
      </c>
      <c r="M43" s="54" t="s">
        <v>186</v>
      </c>
      <c r="N43" s="54" t="s">
        <v>187</v>
      </c>
      <c r="O43" s="54" t="s">
        <v>188</v>
      </c>
      <c r="P43" s="54" t="s">
        <v>217</v>
      </c>
      <c r="Q43" s="87" t="s">
        <v>189</v>
      </c>
      <c r="R43" s="87" t="s">
        <v>190</v>
      </c>
      <c r="S43" s="6"/>
      <c r="T43" s="148" t="s">
        <v>213</v>
      </c>
      <c r="U43" s="90"/>
      <c r="V43" s="90" t="s">
        <v>216</v>
      </c>
      <c r="W43" s="90" t="s">
        <v>223</v>
      </c>
      <c r="X43" s="90" t="s">
        <v>224</v>
      </c>
      <c r="Y43" s="90" t="s">
        <v>225</v>
      </c>
      <c r="Z43" s="90" t="s">
        <v>226</v>
      </c>
      <c r="AA43" s="90" t="s">
        <v>227</v>
      </c>
      <c r="AB43" s="90" t="s">
        <v>228</v>
      </c>
      <c r="AC43" s="90" t="s">
        <v>229</v>
      </c>
      <c r="AD43" s="90" t="s">
        <v>230</v>
      </c>
      <c r="AE43" s="90" t="s">
        <v>231</v>
      </c>
      <c r="AF43" s="90" t="s">
        <v>232</v>
      </c>
      <c r="AG43" s="90" t="s">
        <v>233</v>
      </c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149"/>
    </row>
    <row r="44" spans="1:57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1E-14</v>
      </c>
      <c r="H44" s="129">
        <v>1</v>
      </c>
      <c r="I44" s="129">
        <v>1</v>
      </c>
      <c r="J44" s="129">
        <v>1</v>
      </c>
      <c r="K44" s="86">
        <v>9093</v>
      </c>
      <c r="L44" s="86">
        <v>9093</v>
      </c>
      <c r="M44" s="86">
        <v>-1</v>
      </c>
      <c r="N44" s="86">
        <v>-1</v>
      </c>
      <c r="O44" s="86">
        <v>525</v>
      </c>
      <c r="P44" s="186">
        <v>10.5</v>
      </c>
      <c r="Q44" s="86">
        <v>1.1000000000000001</v>
      </c>
      <c r="R44" s="188">
        <v>37</v>
      </c>
      <c r="S44" s="6"/>
      <c r="T44" s="131" t="s">
        <v>0</v>
      </c>
      <c r="U44" s="72" t="s">
        <v>182</v>
      </c>
      <c r="V44" s="73">
        <v>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</row>
    <row r="45" spans="1:57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1E-14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-1</v>
      </c>
      <c r="N45" s="15">
        <v>-1</v>
      </c>
      <c r="O45" s="15">
        <v>1E-14</v>
      </c>
      <c r="P45" s="187">
        <v>10.5</v>
      </c>
      <c r="Q45" s="15">
        <v>1.1000000000000001</v>
      </c>
      <c r="R45" s="189">
        <v>37</v>
      </c>
      <c r="S45" s="6"/>
      <c r="T45" s="131" t="s">
        <v>0</v>
      </c>
      <c r="U45" s="72" t="s">
        <v>183</v>
      </c>
      <c r="V45" s="73">
        <v>1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</row>
    <row r="46" spans="1:57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1E-14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-1</v>
      </c>
      <c r="N46" s="15">
        <v>-1</v>
      </c>
      <c r="O46" s="15">
        <v>1E-14</v>
      </c>
      <c r="P46" s="187">
        <v>10.5</v>
      </c>
      <c r="Q46" s="15">
        <v>1.1000000000000001</v>
      </c>
      <c r="R46" s="189">
        <v>37</v>
      </c>
      <c r="S46" s="6"/>
      <c r="T46" s="131" t="s">
        <v>0</v>
      </c>
      <c r="U46" s="72" t="s">
        <v>184</v>
      </c>
      <c r="V46" s="73">
        <v>757.75</v>
      </c>
      <c r="W46" s="73">
        <v>757.75</v>
      </c>
      <c r="X46" s="73">
        <v>757.75</v>
      </c>
      <c r="Y46" s="73">
        <v>757.75</v>
      </c>
      <c r="Z46" s="73">
        <v>757.75</v>
      </c>
      <c r="AA46" s="73">
        <v>757.75</v>
      </c>
      <c r="AB46" s="73">
        <v>757.75</v>
      </c>
      <c r="AC46" s="73">
        <v>757.75</v>
      </c>
      <c r="AD46" s="73">
        <v>757.75</v>
      </c>
      <c r="AE46" s="73">
        <v>757.75</v>
      </c>
      <c r="AF46" s="73">
        <v>757.75</v>
      </c>
      <c r="AG46" s="73">
        <v>757.75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</row>
    <row r="47" spans="1:57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28869</v>
      </c>
      <c r="L47" s="15">
        <v>28869</v>
      </c>
      <c r="M47" s="15">
        <v>-1</v>
      </c>
      <c r="N47" s="15">
        <v>-1</v>
      </c>
      <c r="O47" s="15">
        <v>525</v>
      </c>
      <c r="P47" s="187">
        <v>9.4</v>
      </c>
      <c r="Q47" s="15">
        <v>1.1000000000000001</v>
      </c>
      <c r="R47" s="189">
        <v>37</v>
      </c>
      <c r="S47" s="6"/>
      <c r="T47" s="131" t="s">
        <v>0</v>
      </c>
      <c r="U47" s="72" t="s">
        <v>185</v>
      </c>
      <c r="V47" s="73">
        <v>757.75</v>
      </c>
      <c r="W47" s="73">
        <v>757.75</v>
      </c>
      <c r="X47" s="73">
        <v>757.75</v>
      </c>
      <c r="Y47" s="73">
        <v>757.75</v>
      </c>
      <c r="Z47" s="73">
        <v>757.75</v>
      </c>
      <c r="AA47" s="73">
        <v>757.75</v>
      </c>
      <c r="AB47" s="73">
        <v>757.75</v>
      </c>
      <c r="AC47" s="73">
        <v>757.75</v>
      </c>
      <c r="AD47" s="73">
        <v>757.75</v>
      </c>
      <c r="AE47" s="73">
        <v>757.75</v>
      </c>
      <c r="AF47" s="73">
        <v>757.75</v>
      </c>
      <c r="AG47" s="73">
        <v>757.75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</row>
    <row r="48" spans="1:57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3500</v>
      </c>
      <c r="L48" s="15">
        <v>3500</v>
      </c>
      <c r="M48" s="15">
        <v>-1</v>
      </c>
      <c r="N48" s="15">
        <v>-1</v>
      </c>
      <c r="O48" s="15">
        <v>525</v>
      </c>
      <c r="P48" s="187">
        <v>10.5</v>
      </c>
      <c r="Q48" s="15">
        <v>1.1000000000000001</v>
      </c>
      <c r="R48" s="189">
        <v>37</v>
      </c>
      <c r="S48" s="6"/>
      <c r="T48" s="131" t="s">
        <v>0</v>
      </c>
      <c r="U48" s="72" t="s">
        <v>188</v>
      </c>
      <c r="V48" s="73">
        <v>525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</row>
    <row r="49" spans="2:57" x14ac:dyDescent="0.25">
      <c r="B49" s="133" t="s">
        <v>5</v>
      </c>
      <c r="C49" s="130">
        <v>1E-14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1E-14</v>
      </c>
      <c r="L49" s="15">
        <v>1E-14</v>
      </c>
      <c r="M49" s="15">
        <v>-1</v>
      </c>
      <c r="N49" s="15">
        <v>-1</v>
      </c>
      <c r="O49" s="15">
        <v>155</v>
      </c>
      <c r="P49" s="187">
        <v>14.5</v>
      </c>
      <c r="Q49" s="15">
        <v>1.1000000000000001</v>
      </c>
      <c r="R49" s="189">
        <v>37</v>
      </c>
      <c r="S49" s="6"/>
      <c r="T49" s="131" t="s">
        <v>0</v>
      </c>
      <c r="U49" s="72" t="s">
        <v>217</v>
      </c>
      <c r="V49" s="73">
        <v>10.5</v>
      </c>
      <c r="W49" s="73">
        <v>10.5</v>
      </c>
      <c r="X49" s="73">
        <v>10.5</v>
      </c>
      <c r="Y49" s="73">
        <v>10.5</v>
      </c>
      <c r="Z49" s="73">
        <v>10.5</v>
      </c>
      <c r="AA49" s="73">
        <v>10.5</v>
      </c>
      <c r="AB49" s="73">
        <v>10.5</v>
      </c>
      <c r="AC49" s="73">
        <v>10.5</v>
      </c>
      <c r="AD49" s="73">
        <v>10.5</v>
      </c>
      <c r="AE49" s="73">
        <v>10.5</v>
      </c>
      <c r="AF49" s="73">
        <v>10.5</v>
      </c>
      <c r="AG49" s="73">
        <v>10.5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</row>
    <row r="50" spans="2:57" x14ac:dyDescent="0.25">
      <c r="B50" s="133" t="s">
        <v>6</v>
      </c>
      <c r="C50" s="130">
        <v>1E-14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1E-14</v>
      </c>
      <c r="L50" s="15">
        <v>1E-14</v>
      </c>
      <c r="M50" s="15">
        <v>-1</v>
      </c>
      <c r="N50" s="15">
        <v>-1</v>
      </c>
      <c r="O50" s="15">
        <v>525</v>
      </c>
      <c r="P50" s="187">
        <v>12</v>
      </c>
      <c r="Q50" s="15">
        <v>1.1000000000000001</v>
      </c>
      <c r="R50" s="189">
        <v>37</v>
      </c>
      <c r="S50" s="6"/>
      <c r="T50" s="131" t="s">
        <v>0</v>
      </c>
      <c r="U50" s="72" t="s">
        <v>190</v>
      </c>
      <c r="V50" s="73">
        <v>37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</row>
    <row r="51" spans="2:57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7800</v>
      </c>
      <c r="L51" s="15">
        <v>7800</v>
      </c>
      <c r="M51" s="15">
        <v>-1</v>
      </c>
      <c r="N51" s="15">
        <v>-1</v>
      </c>
      <c r="O51" s="15">
        <v>525</v>
      </c>
      <c r="P51" s="187">
        <v>9</v>
      </c>
      <c r="Q51" s="15">
        <v>1.1000000000000001</v>
      </c>
      <c r="R51" s="189">
        <v>37</v>
      </c>
      <c r="S51" s="6"/>
      <c r="T51" s="131" t="s">
        <v>1</v>
      </c>
      <c r="U51" s="72" t="s">
        <v>182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</row>
    <row r="52" spans="2:57" x14ac:dyDescent="0.25">
      <c r="B52" s="133" t="s">
        <v>8</v>
      </c>
      <c r="C52" s="130">
        <v>1E-14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1E-14</v>
      </c>
      <c r="L52" s="15">
        <v>1E-14</v>
      </c>
      <c r="M52" s="15">
        <v>-1</v>
      </c>
      <c r="N52" s="15">
        <v>-1</v>
      </c>
      <c r="O52" s="15">
        <v>525</v>
      </c>
      <c r="P52" s="187">
        <v>11</v>
      </c>
      <c r="Q52" s="15">
        <v>1.1000000000000001</v>
      </c>
      <c r="R52" s="189">
        <v>37</v>
      </c>
      <c r="S52" s="6"/>
      <c r="T52" s="131" t="s">
        <v>1</v>
      </c>
      <c r="U52" s="72" t="s">
        <v>183</v>
      </c>
      <c r="V52" s="73">
        <v>1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</row>
    <row r="53" spans="2:57" x14ac:dyDescent="0.25">
      <c r="B53" s="133" t="s">
        <v>9</v>
      </c>
      <c r="C53" s="130">
        <v>1E-14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1E-14</v>
      </c>
      <c r="L53" s="15">
        <v>1E-14</v>
      </c>
      <c r="M53" s="15">
        <v>-1</v>
      </c>
      <c r="N53" s="15">
        <v>-1</v>
      </c>
      <c r="O53" s="15">
        <v>525</v>
      </c>
      <c r="P53" s="187">
        <v>9.5</v>
      </c>
      <c r="Q53" s="15">
        <v>1.1000000000000001</v>
      </c>
      <c r="R53" s="189">
        <v>37</v>
      </c>
      <c r="S53" s="6"/>
      <c r="T53" s="131" t="s">
        <v>1</v>
      </c>
      <c r="U53" s="72" t="s">
        <v>184</v>
      </c>
      <c r="V53" s="73">
        <v>1E-14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</row>
    <row r="54" spans="2:57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5200</v>
      </c>
      <c r="L54" s="15">
        <v>5200</v>
      </c>
      <c r="M54" s="15">
        <v>1E-14</v>
      </c>
      <c r="N54" s="15">
        <v>1E-14</v>
      </c>
      <c r="O54" s="15">
        <v>525</v>
      </c>
      <c r="P54" s="187">
        <v>9</v>
      </c>
      <c r="Q54" s="15">
        <v>1.1000000000000001</v>
      </c>
      <c r="R54" s="189">
        <v>37</v>
      </c>
      <c r="S54" s="6"/>
      <c r="T54" s="131" t="s">
        <v>1</v>
      </c>
      <c r="U54" s="72" t="s">
        <v>185</v>
      </c>
      <c r="V54" s="73">
        <v>1E-14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</row>
    <row r="55" spans="2:57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500</v>
      </c>
      <c r="L55" s="15">
        <v>500</v>
      </c>
      <c r="M55" s="15">
        <v>-1</v>
      </c>
      <c r="N55" s="15">
        <v>-1</v>
      </c>
      <c r="O55" s="15">
        <v>785</v>
      </c>
      <c r="P55" s="187">
        <v>12</v>
      </c>
      <c r="Q55" s="15">
        <v>1.1000000000000001</v>
      </c>
      <c r="R55" s="189">
        <v>37</v>
      </c>
      <c r="S55" s="6"/>
      <c r="T55" s="131" t="s">
        <v>1</v>
      </c>
      <c r="U55" s="72" t="s">
        <v>188</v>
      </c>
      <c r="V55" s="73">
        <v>1E-14</v>
      </c>
      <c r="W55" s="73">
        <v>1E-14</v>
      </c>
      <c r="X55" s="73">
        <v>1E-14</v>
      </c>
      <c r="Y55" s="73">
        <v>1E-14</v>
      </c>
      <c r="Z55" s="73">
        <v>1E-14</v>
      </c>
      <c r="AA55" s="73">
        <v>1E-14</v>
      </c>
      <c r="AB55" s="73">
        <v>1E-14</v>
      </c>
      <c r="AC55" s="73">
        <v>1E-14</v>
      </c>
      <c r="AD55" s="73">
        <v>1E-14</v>
      </c>
      <c r="AE55" s="73">
        <v>1E-14</v>
      </c>
      <c r="AF55" s="73">
        <v>1E-14</v>
      </c>
      <c r="AG55" s="73">
        <v>1E-14</v>
      </c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</row>
    <row r="56" spans="2:57" x14ac:dyDescent="0.25">
      <c r="B56" s="133" t="s">
        <v>12</v>
      </c>
      <c r="C56" s="130">
        <v>1E-14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1E-14</v>
      </c>
      <c r="L56" s="15">
        <v>1E-14</v>
      </c>
      <c r="M56" s="15">
        <v>-1</v>
      </c>
      <c r="N56" s="15">
        <v>-1</v>
      </c>
      <c r="O56" s="15">
        <v>1E-14</v>
      </c>
      <c r="P56" s="187">
        <v>10</v>
      </c>
      <c r="Q56" s="15">
        <v>1.1000000000000001</v>
      </c>
      <c r="R56" s="189">
        <v>37</v>
      </c>
      <c r="S56" s="6"/>
      <c r="T56" s="131" t="s">
        <v>1</v>
      </c>
      <c r="U56" s="72" t="s">
        <v>217</v>
      </c>
      <c r="V56" s="73">
        <v>10.5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</row>
    <row r="57" spans="2:57" x14ac:dyDescent="0.25">
      <c r="B57" s="133" t="s">
        <v>13</v>
      </c>
      <c r="C57" s="130">
        <v>1E-14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1E-14</v>
      </c>
      <c r="L57" s="15">
        <v>1E-14</v>
      </c>
      <c r="M57" s="15">
        <v>-1</v>
      </c>
      <c r="N57" s="15">
        <v>-1</v>
      </c>
      <c r="O57" s="15">
        <v>525</v>
      </c>
      <c r="P57" s="187">
        <v>11</v>
      </c>
      <c r="Q57" s="15">
        <v>1.1000000000000001</v>
      </c>
      <c r="R57" s="189">
        <v>37</v>
      </c>
      <c r="S57" s="6"/>
      <c r="T57" s="131" t="s">
        <v>1</v>
      </c>
      <c r="U57" s="72" t="s">
        <v>190</v>
      </c>
      <c r="V57" s="73">
        <v>37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</row>
    <row r="58" spans="2:57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40000</v>
      </c>
      <c r="L58" s="15">
        <v>40000</v>
      </c>
      <c r="M58" s="15">
        <v>-1</v>
      </c>
      <c r="N58" s="15">
        <v>-1</v>
      </c>
      <c r="O58" s="15">
        <v>400</v>
      </c>
      <c r="P58" s="187">
        <v>10.5</v>
      </c>
      <c r="Q58" s="15">
        <v>1.1000000000000001</v>
      </c>
      <c r="R58" s="189">
        <v>37</v>
      </c>
      <c r="S58" s="6"/>
      <c r="T58" s="131" t="s">
        <v>2</v>
      </c>
      <c r="U58" s="72" t="s">
        <v>182</v>
      </c>
      <c r="V58" s="73">
        <v>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</row>
    <row r="59" spans="2:57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1E-14</v>
      </c>
      <c r="H59" s="130">
        <v>1</v>
      </c>
      <c r="I59" s="130">
        <v>1</v>
      </c>
      <c r="J59" s="130">
        <v>1</v>
      </c>
      <c r="K59" s="15">
        <v>2000</v>
      </c>
      <c r="L59" s="15">
        <v>2000</v>
      </c>
      <c r="M59" s="15">
        <v>-1</v>
      </c>
      <c r="N59" s="15">
        <v>-1</v>
      </c>
      <c r="O59" s="15">
        <v>515</v>
      </c>
      <c r="P59" s="187">
        <v>10.5</v>
      </c>
      <c r="Q59" s="15">
        <v>1.1000000000000001</v>
      </c>
      <c r="R59" s="189">
        <v>37</v>
      </c>
      <c r="S59" s="6"/>
      <c r="T59" s="131" t="s">
        <v>2</v>
      </c>
      <c r="U59" s="72" t="s">
        <v>183</v>
      </c>
      <c r="V59" s="73">
        <v>1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</row>
    <row r="60" spans="2:57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87">
        <v>13</v>
      </c>
      <c r="Q60" s="15">
        <v>1.1000000000000001</v>
      </c>
      <c r="R60" s="189">
        <v>37</v>
      </c>
      <c r="S60" s="6"/>
      <c r="T60" s="131" t="s">
        <v>2</v>
      </c>
      <c r="U60" s="72" t="s">
        <v>184</v>
      </c>
      <c r="V60" s="73">
        <v>1E-14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</row>
    <row r="61" spans="2:57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1500</v>
      </c>
      <c r="L61" s="15">
        <v>1500</v>
      </c>
      <c r="M61" s="15">
        <v>1E-14</v>
      </c>
      <c r="N61" s="15">
        <v>1E-14</v>
      </c>
      <c r="O61" s="15">
        <v>1E-14</v>
      </c>
      <c r="P61" s="187">
        <v>14.5</v>
      </c>
      <c r="Q61" s="15">
        <v>1.1000000000000001</v>
      </c>
      <c r="R61" s="189">
        <v>37</v>
      </c>
      <c r="S61" s="6"/>
      <c r="T61" s="131" t="s">
        <v>2</v>
      </c>
      <c r="U61" s="72" t="s">
        <v>185</v>
      </c>
      <c r="V61" s="73">
        <v>1E-14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</row>
    <row r="62" spans="2:57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-1</v>
      </c>
      <c r="N62" s="15">
        <v>-1</v>
      </c>
      <c r="O62" s="15">
        <v>1E-14</v>
      </c>
      <c r="P62" s="187">
        <v>14.7</v>
      </c>
      <c r="Q62" s="15">
        <v>1.1000000000000001</v>
      </c>
      <c r="R62" s="189">
        <v>37</v>
      </c>
      <c r="S62" s="6"/>
      <c r="T62" s="131" t="s">
        <v>2</v>
      </c>
      <c r="U62" s="72" t="s">
        <v>188</v>
      </c>
      <c r="V62" s="73">
        <v>1E-14</v>
      </c>
      <c r="W62" s="73">
        <v>1E-14</v>
      </c>
      <c r="X62" s="73">
        <v>1E-14</v>
      </c>
      <c r="Y62" s="73">
        <v>1E-14</v>
      </c>
      <c r="Z62" s="73">
        <v>1E-14</v>
      </c>
      <c r="AA62" s="73">
        <v>1E-14</v>
      </c>
      <c r="AB62" s="73">
        <v>1E-14</v>
      </c>
      <c r="AC62" s="73">
        <v>1E-14</v>
      </c>
      <c r="AD62" s="73">
        <v>1E-14</v>
      </c>
      <c r="AE62" s="73">
        <v>1E-14</v>
      </c>
      <c r="AF62" s="73">
        <v>1E-14</v>
      </c>
      <c r="AG62" s="73">
        <v>1E-14</v>
      </c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</row>
    <row r="63" spans="2:57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120</v>
      </c>
      <c r="L63" s="15">
        <v>120</v>
      </c>
      <c r="M63" s="15">
        <v>-1</v>
      </c>
      <c r="N63" s="15">
        <v>-1</v>
      </c>
      <c r="O63" s="15">
        <v>685</v>
      </c>
      <c r="P63" s="187">
        <v>14</v>
      </c>
      <c r="Q63" s="15">
        <v>1.1000000000000001</v>
      </c>
      <c r="R63" s="189">
        <v>37</v>
      </c>
      <c r="S63" s="6"/>
      <c r="T63" s="131" t="s">
        <v>2</v>
      </c>
      <c r="U63" s="72" t="s">
        <v>217</v>
      </c>
      <c r="V63" s="73">
        <v>10.5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</row>
    <row r="64" spans="2:57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150</v>
      </c>
      <c r="L64" s="15">
        <v>150</v>
      </c>
      <c r="M64" s="15">
        <v>1E-14</v>
      </c>
      <c r="N64" s="15">
        <v>1E-14</v>
      </c>
      <c r="O64" s="15">
        <v>155</v>
      </c>
      <c r="P64" s="187">
        <v>9</v>
      </c>
      <c r="Q64" s="15">
        <v>1.1000000000000001</v>
      </c>
      <c r="R64" s="189">
        <v>1E-14</v>
      </c>
      <c r="S64" s="6"/>
      <c r="T64" s="131" t="s">
        <v>2</v>
      </c>
      <c r="U64" s="72" t="s">
        <v>190</v>
      </c>
      <c r="V64" s="73">
        <v>37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</row>
    <row r="65" spans="2:57" x14ac:dyDescent="0.25">
      <c r="B65" s="133" t="s">
        <v>26</v>
      </c>
      <c r="C65" s="130">
        <v>1E-14</v>
      </c>
      <c r="D65" s="130">
        <v>1</v>
      </c>
      <c r="E65" s="130">
        <v>1</v>
      </c>
      <c r="F65" s="130">
        <v>1</v>
      </c>
      <c r="G65" s="130">
        <v>1</v>
      </c>
      <c r="H65" s="130">
        <v>1E-14</v>
      </c>
      <c r="I65" s="130">
        <v>1</v>
      </c>
      <c r="J65" s="130">
        <v>1</v>
      </c>
      <c r="K65" s="15">
        <v>1E-14</v>
      </c>
      <c r="L65" s="15">
        <v>10000</v>
      </c>
      <c r="M65" s="15">
        <v>1</v>
      </c>
      <c r="N65" s="15">
        <v>1E-14</v>
      </c>
      <c r="O65" s="15">
        <v>-402.5</v>
      </c>
      <c r="P65" s="187">
        <v>11.5</v>
      </c>
      <c r="Q65" s="15">
        <v>1E-14</v>
      </c>
      <c r="R65" s="189">
        <v>1E-14</v>
      </c>
      <c r="S65" s="6"/>
      <c r="T65" s="131" t="s">
        <v>3</v>
      </c>
      <c r="U65" s="72" t="s">
        <v>182</v>
      </c>
      <c r="V65" s="73">
        <v>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</row>
    <row r="66" spans="2:57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10000</v>
      </c>
      <c r="M66" s="15">
        <v>-1</v>
      </c>
      <c r="N66" s="15">
        <v>-1</v>
      </c>
      <c r="O66" s="15">
        <v>450</v>
      </c>
      <c r="P66" s="187">
        <v>10.5</v>
      </c>
      <c r="Q66" s="15">
        <v>1E-14</v>
      </c>
      <c r="R66" s="189">
        <v>37</v>
      </c>
      <c r="S66" s="6"/>
      <c r="T66" s="131" t="s">
        <v>3</v>
      </c>
      <c r="U66" s="72" t="s">
        <v>183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</row>
    <row r="67" spans="2:57" x14ac:dyDescent="0.25">
      <c r="B67" s="133" t="s">
        <v>60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10000</v>
      </c>
      <c r="M67" s="15">
        <v>-1</v>
      </c>
      <c r="N67" s="15">
        <v>-1</v>
      </c>
      <c r="O67" s="15">
        <v>500</v>
      </c>
      <c r="P67" s="187">
        <v>9.5</v>
      </c>
      <c r="Q67" s="15">
        <v>1E-14</v>
      </c>
      <c r="R67" s="189">
        <v>37</v>
      </c>
      <c r="S67" s="6"/>
      <c r="T67" s="131" t="s">
        <v>3</v>
      </c>
      <c r="U67" s="72" t="s">
        <v>184</v>
      </c>
      <c r="V67" s="73">
        <v>2405.75</v>
      </c>
      <c r="W67" s="73">
        <v>2405.75</v>
      </c>
      <c r="X67" s="73">
        <v>2405.75</v>
      </c>
      <c r="Y67" s="73">
        <v>2405.75</v>
      </c>
      <c r="Z67" s="73">
        <v>2405.75</v>
      </c>
      <c r="AA67" s="73">
        <v>2405.75</v>
      </c>
      <c r="AB67" s="73">
        <v>2405.75</v>
      </c>
      <c r="AC67" s="73">
        <v>2405.75</v>
      </c>
      <c r="AD67" s="73">
        <v>2405.75</v>
      </c>
      <c r="AE67" s="73">
        <v>2405.75</v>
      </c>
      <c r="AF67" s="73">
        <v>2405.75</v>
      </c>
      <c r="AG67" s="73">
        <v>2405.75</v>
      </c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</row>
    <row r="68" spans="2:57" x14ac:dyDescent="0.25">
      <c r="B68" s="133" t="s">
        <v>61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10000</v>
      </c>
      <c r="M68" s="15">
        <v>-1</v>
      </c>
      <c r="N68" s="15">
        <v>-1</v>
      </c>
      <c r="O68" s="15">
        <v>550</v>
      </c>
      <c r="P68" s="187">
        <v>8.5</v>
      </c>
      <c r="Q68" s="15">
        <v>1E-14</v>
      </c>
      <c r="R68" s="189">
        <v>37</v>
      </c>
      <c r="S68" s="6"/>
      <c r="T68" s="131" t="s">
        <v>3</v>
      </c>
      <c r="U68" s="72" t="s">
        <v>185</v>
      </c>
      <c r="V68" s="73">
        <v>2405.75</v>
      </c>
      <c r="W68" s="73">
        <v>2405.75</v>
      </c>
      <c r="X68" s="73">
        <v>2405.75</v>
      </c>
      <c r="Y68" s="73">
        <v>2405.75</v>
      </c>
      <c r="Z68" s="73">
        <v>2405.75</v>
      </c>
      <c r="AA68" s="73">
        <v>2405.75</v>
      </c>
      <c r="AB68" s="73">
        <v>2405.75</v>
      </c>
      <c r="AC68" s="73">
        <v>2405.75</v>
      </c>
      <c r="AD68" s="73">
        <v>2405.75</v>
      </c>
      <c r="AE68" s="73">
        <v>2405.75</v>
      </c>
      <c r="AF68" s="73">
        <v>2405.75</v>
      </c>
      <c r="AG68" s="73">
        <v>2405.75</v>
      </c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</row>
    <row r="69" spans="2:57" x14ac:dyDescent="0.25">
      <c r="B69" s="133" t="s">
        <v>62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10000</v>
      </c>
      <c r="M69" s="15">
        <v>-1</v>
      </c>
      <c r="N69" s="15">
        <v>-1</v>
      </c>
      <c r="O69" s="15">
        <v>600</v>
      </c>
      <c r="P69" s="187">
        <v>7.5</v>
      </c>
      <c r="Q69" s="15">
        <v>1E-14</v>
      </c>
      <c r="R69" s="189">
        <v>37</v>
      </c>
      <c r="S69" s="6"/>
      <c r="T69" s="131" t="s">
        <v>3</v>
      </c>
      <c r="U69" s="72" t="s">
        <v>188</v>
      </c>
      <c r="V69" s="73">
        <v>525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</row>
    <row r="70" spans="2:57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-1</v>
      </c>
      <c r="N70" s="15">
        <v>-1</v>
      </c>
      <c r="O70" s="15">
        <v>-470</v>
      </c>
      <c r="P70" s="187">
        <v>9.4</v>
      </c>
      <c r="Q70" s="15">
        <v>1E-14</v>
      </c>
      <c r="R70" s="189">
        <v>1E-14</v>
      </c>
      <c r="S70" s="6"/>
      <c r="T70" s="131" t="s">
        <v>3</v>
      </c>
      <c r="U70" s="72" t="s">
        <v>217</v>
      </c>
      <c r="V70" s="73">
        <v>9.4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</row>
    <row r="71" spans="2:57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11000</v>
      </c>
      <c r="M71" s="15">
        <v>-1</v>
      </c>
      <c r="N71" s="15">
        <v>-1</v>
      </c>
      <c r="O71" s="15">
        <v>-189</v>
      </c>
      <c r="P71" s="187">
        <v>3.6</v>
      </c>
      <c r="Q71" s="15">
        <v>1E-14</v>
      </c>
      <c r="R71" s="189">
        <v>1E-14</v>
      </c>
      <c r="S71" s="6"/>
      <c r="T71" s="131" t="s">
        <v>3</v>
      </c>
      <c r="U71" s="72" t="s">
        <v>190</v>
      </c>
      <c r="V71" s="73">
        <v>37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</row>
    <row r="72" spans="2:57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20000</v>
      </c>
      <c r="M72" s="15">
        <v>-1</v>
      </c>
      <c r="N72" s="15">
        <v>-1</v>
      </c>
      <c r="O72" s="15">
        <v>-5000</v>
      </c>
      <c r="P72" s="15">
        <v>44</v>
      </c>
      <c r="Q72" s="15">
        <v>1E-14</v>
      </c>
      <c r="R72" s="189">
        <v>72.727272727272734</v>
      </c>
      <c r="S72" s="6"/>
      <c r="T72" s="131" t="s">
        <v>4</v>
      </c>
      <c r="U72" s="72" t="s">
        <v>182</v>
      </c>
      <c r="V72" s="73">
        <v>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</row>
    <row r="73" spans="2:57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131" t="s">
        <v>4</v>
      </c>
      <c r="U73" s="72" t="s">
        <v>183</v>
      </c>
      <c r="V73" s="73">
        <v>1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</row>
    <row r="74" spans="2:57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131" t="s">
        <v>4</v>
      </c>
      <c r="U74" s="72" t="s">
        <v>184</v>
      </c>
      <c r="V74" s="73">
        <v>291.66666666666669</v>
      </c>
      <c r="W74" s="73">
        <v>291.66666666666669</v>
      </c>
      <c r="X74" s="73">
        <v>291.66666666666669</v>
      </c>
      <c r="Y74" s="73">
        <v>291.66666666666669</v>
      </c>
      <c r="Z74" s="73">
        <v>291.66666666666669</v>
      </c>
      <c r="AA74" s="73">
        <v>291.66666666666669</v>
      </c>
      <c r="AB74" s="73">
        <v>291.66666666666669</v>
      </c>
      <c r="AC74" s="73">
        <v>291.66666666666669</v>
      </c>
      <c r="AD74" s="73">
        <v>291.66666666666669</v>
      </c>
      <c r="AE74" s="73">
        <v>291.66666666666669</v>
      </c>
      <c r="AF74" s="73">
        <v>291.66666666666669</v>
      </c>
      <c r="AG74" s="73">
        <v>291.66666666666669</v>
      </c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</row>
    <row r="75" spans="2:57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131" t="s">
        <v>4</v>
      </c>
      <c r="U75" s="72" t="s">
        <v>185</v>
      </c>
      <c r="V75" s="73">
        <v>291.66666666666669</v>
      </c>
      <c r="W75" s="73">
        <v>291.66666666666669</v>
      </c>
      <c r="X75" s="73">
        <v>291.66666666666669</v>
      </c>
      <c r="Y75" s="73">
        <v>291.66666666666669</v>
      </c>
      <c r="Z75" s="73">
        <v>291.66666666666669</v>
      </c>
      <c r="AA75" s="73">
        <v>291.66666666666669</v>
      </c>
      <c r="AB75" s="73">
        <v>291.66666666666669</v>
      </c>
      <c r="AC75" s="73">
        <v>291.66666666666669</v>
      </c>
      <c r="AD75" s="73">
        <v>291.66666666666669</v>
      </c>
      <c r="AE75" s="73">
        <v>291.66666666666669</v>
      </c>
      <c r="AF75" s="73">
        <v>291.66666666666669</v>
      </c>
      <c r="AG75" s="73">
        <v>291.66666666666669</v>
      </c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</row>
    <row r="76" spans="2:57" x14ac:dyDescent="0.25">
      <c r="Q76"/>
      <c r="R76" s="6"/>
      <c r="S76" s="6"/>
      <c r="T76" s="131" t="s">
        <v>4</v>
      </c>
      <c r="U76" s="72" t="s">
        <v>188</v>
      </c>
      <c r="V76" s="73">
        <v>525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</row>
    <row r="77" spans="2:57" x14ac:dyDescent="0.25">
      <c r="Q77"/>
      <c r="R77" s="6"/>
      <c r="S77" s="6"/>
      <c r="T77" s="131" t="s">
        <v>4</v>
      </c>
      <c r="U77" s="72" t="s">
        <v>217</v>
      </c>
      <c r="V77" s="73">
        <v>10.5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</row>
    <row r="78" spans="2:57" x14ac:dyDescent="0.25">
      <c r="Q78"/>
      <c r="R78" s="6"/>
      <c r="S78" s="6"/>
      <c r="T78" s="131" t="s">
        <v>4</v>
      </c>
      <c r="U78" s="72" t="s">
        <v>190</v>
      </c>
      <c r="V78" s="73">
        <v>37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</row>
    <row r="79" spans="2:57" x14ac:dyDescent="0.25">
      <c r="Q79"/>
      <c r="R79" s="6"/>
      <c r="S79" s="6"/>
      <c r="T79" s="131" t="s">
        <v>5</v>
      </c>
      <c r="U79" s="72" t="s">
        <v>182</v>
      </c>
      <c r="V79" s="73">
        <v>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</row>
    <row r="80" spans="2:57" x14ac:dyDescent="0.25">
      <c r="Q80"/>
      <c r="R80" s="6"/>
      <c r="S80" s="6"/>
      <c r="T80" s="131" t="s">
        <v>5</v>
      </c>
      <c r="U80" s="72" t="s">
        <v>183</v>
      </c>
      <c r="V80" s="73">
        <v>1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</row>
    <row r="81" spans="17:57" x14ac:dyDescent="0.25">
      <c r="Q81"/>
      <c r="R81" s="6"/>
      <c r="S81" s="6"/>
      <c r="T81" s="131" t="s">
        <v>5</v>
      </c>
      <c r="U81" s="72" t="s">
        <v>184</v>
      </c>
      <c r="V81" s="73">
        <v>1E-14</v>
      </c>
      <c r="W81" s="73">
        <v>1E-14</v>
      </c>
      <c r="X81" s="73">
        <v>1E-14</v>
      </c>
      <c r="Y81" s="73">
        <v>1E-14</v>
      </c>
      <c r="Z81" s="73">
        <v>1E-14</v>
      </c>
      <c r="AA81" s="73">
        <v>1E-14</v>
      </c>
      <c r="AB81" s="73">
        <v>1E-14</v>
      </c>
      <c r="AC81" s="73">
        <v>1E-14</v>
      </c>
      <c r="AD81" s="73">
        <v>1E-14</v>
      </c>
      <c r="AE81" s="73">
        <v>1E-14</v>
      </c>
      <c r="AF81" s="73">
        <v>1E-14</v>
      </c>
      <c r="AG81" s="73">
        <v>1E-14</v>
      </c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</row>
    <row r="82" spans="17:57" x14ac:dyDescent="0.25">
      <c r="Q82"/>
      <c r="R82" s="6"/>
      <c r="S82" s="6"/>
      <c r="T82" s="131" t="s">
        <v>5</v>
      </c>
      <c r="U82" s="72" t="s">
        <v>185</v>
      </c>
      <c r="V82" s="73">
        <v>1E-14</v>
      </c>
      <c r="W82" s="73">
        <v>1E-14</v>
      </c>
      <c r="X82" s="73">
        <v>1E-14</v>
      </c>
      <c r="Y82" s="73">
        <v>1E-14</v>
      </c>
      <c r="Z82" s="73">
        <v>1E-14</v>
      </c>
      <c r="AA82" s="73">
        <v>1E-14</v>
      </c>
      <c r="AB82" s="73">
        <v>1E-14</v>
      </c>
      <c r="AC82" s="73">
        <v>1E-14</v>
      </c>
      <c r="AD82" s="73">
        <v>1E-14</v>
      </c>
      <c r="AE82" s="73">
        <v>1E-14</v>
      </c>
      <c r="AF82" s="73">
        <v>1E-14</v>
      </c>
      <c r="AG82" s="73">
        <v>1E-14</v>
      </c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</row>
    <row r="83" spans="17:57" x14ac:dyDescent="0.25">
      <c r="Q83"/>
      <c r="R83" s="6"/>
      <c r="S83" s="6"/>
      <c r="T83" s="131" t="s">
        <v>5</v>
      </c>
      <c r="U83" s="72" t="s">
        <v>188</v>
      </c>
      <c r="V83" s="73">
        <v>155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</row>
    <row r="84" spans="17:57" x14ac:dyDescent="0.25">
      <c r="Q84"/>
      <c r="R84" s="6"/>
      <c r="S84" s="6"/>
      <c r="T84" s="131" t="s">
        <v>5</v>
      </c>
      <c r="U84" s="72" t="s">
        <v>217</v>
      </c>
      <c r="V84" s="73">
        <v>14.5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</row>
    <row r="85" spans="17:57" x14ac:dyDescent="0.25">
      <c r="Q85"/>
      <c r="R85" s="6"/>
      <c r="S85" s="6"/>
      <c r="T85" s="131" t="s">
        <v>5</v>
      </c>
      <c r="U85" s="72" t="s">
        <v>190</v>
      </c>
      <c r="V85" s="73">
        <v>37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</row>
    <row r="86" spans="17:57" x14ac:dyDescent="0.25">
      <c r="Q86"/>
      <c r="R86" s="6"/>
      <c r="S86" s="6"/>
      <c r="T86" s="131" t="s">
        <v>6</v>
      </c>
      <c r="U86" s="72" t="s">
        <v>182</v>
      </c>
      <c r="V86" s="73">
        <v>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</row>
    <row r="87" spans="17:57" x14ac:dyDescent="0.25">
      <c r="Q87"/>
      <c r="R87" s="6"/>
      <c r="S87" s="6"/>
      <c r="T87" s="131" t="s">
        <v>6</v>
      </c>
      <c r="U87" s="72" t="s">
        <v>183</v>
      </c>
      <c r="V87" s="73">
        <v>1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</row>
    <row r="88" spans="17:57" x14ac:dyDescent="0.25">
      <c r="Q88"/>
      <c r="R88" s="6"/>
      <c r="S88" s="6"/>
      <c r="T88" s="131" t="s">
        <v>6</v>
      </c>
      <c r="U88" s="72" t="s">
        <v>184</v>
      </c>
      <c r="V88" s="73">
        <v>1E-14</v>
      </c>
      <c r="W88" s="73">
        <v>1E-14</v>
      </c>
      <c r="X88" s="73">
        <v>1E-14</v>
      </c>
      <c r="Y88" s="73">
        <v>1E-14</v>
      </c>
      <c r="Z88" s="73">
        <v>1E-14</v>
      </c>
      <c r="AA88" s="73">
        <v>1E-14</v>
      </c>
      <c r="AB88" s="73">
        <v>1E-14</v>
      </c>
      <c r="AC88" s="73">
        <v>1E-14</v>
      </c>
      <c r="AD88" s="73">
        <v>1E-14</v>
      </c>
      <c r="AE88" s="73">
        <v>1E-14</v>
      </c>
      <c r="AF88" s="73">
        <v>1E-14</v>
      </c>
      <c r="AG88" s="73">
        <v>1E-14</v>
      </c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</row>
    <row r="89" spans="17:57" x14ac:dyDescent="0.25">
      <c r="Q89"/>
      <c r="R89" s="6"/>
      <c r="S89" s="6"/>
      <c r="T89" s="131" t="s">
        <v>6</v>
      </c>
      <c r="U89" s="72" t="s">
        <v>185</v>
      </c>
      <c r="V89" s="73">
        <v>1E-14</v>
      </c>
      <c r="W89" s="73">
        <v>1E-14</v>
      </c>
      <c r="X89" s="73">
        <v>1E-14</v>
      </c>
      <c r="Y89" s="73">
        <v>1E-14</v>
      </c>
      <c r="Z89" s="73">
        <v>1E-14</v>
      </c>
      <c r="AA89" s="73">
        <v>1E-14</v>
      </c>
      <c r="AB89" s="73">
        <v>1E-14</v>
      </c>
      <c r="AC89" s="73">
        <v>1E-14</v>
      </c>
      <c r="AD89" s="73">
        <v>1E-14</v>
      </c>
      <c r="AE89" s="73">
        <v>1E-14</v>
      </c>
      <c r="AF89" s="73">
        <v>1E-14</v>
      </c>
      <c r="AG89" s="73">
        <v>1E-14</v>
      </c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</row>
    <row r="90" spans="17:57" x14ac:dyDescent="0.25">
      <c r="Q90"/>
      <c r="R90" s="6"/>
      <c r="S90" s="6"/>
      <c r="T90" s="131" t="s">
        <v>6</v>
      </c>
      <c r="U90" s="72" t="s">
        <v>188</v>
      </c>
      <c r="V90" s="73">
        <v>525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</row>
    <row r="91" spans="17:57" x14ac:dyDescent="0.25">
      <c r="Q91"/>
      <c r="R91" s="6"/>
      <c r="S91" s="6"/>
      <c r="T91" s="131" t="s">
        <v>6</v>
      </c>
      <c r="U91" s="72" t="s">
        <v>217</v>
      </c>
      <c r="V91" s="73">
        <v>12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</row>
    <row r="92" spans="17:57" x14ac:dyDescent="0.25">
      <c r="Q92"/>
      <c r="R92" s="6"/>
      <c r="S92" s="6"/>
      <c r="T92" s="131" t="s">
        <v>6</v>
      </c>
      <c r="U92" s="72" t="s">
        <v>190</v>
      </c>
      <c r="V92" s="73">
        <v>37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</row>
    <row r="93" spans="17:57" x14ac:dyDescent="0.25">
      <c r="Q93"/>
      <c r="R93" s="6"/>
      <c r="S93" s="6"/>
      <c r="T93" s="131" t="s">
        <v>7</v>
      </c>
      <c r="U93" s="72" t="s">
        <v>182</v>
      </c>
      <c r="V93" s="73">
        <v>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</row>
    <row r="94" spans="17:57" x14ac:dyDescent="0.25">
      <c r="Q94"/>
      <c r="R94" s="6"/>
      <c r="S94" s="6"/>
      <c r="T94" s="131" t="s">
        <v>7</v>
      </c>
      <c r="U94" s="72" t="s">
        <v>183</v>
      </c>
      <c r="V94" s="73">
        <v>1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</row>
    <row r="95" spans="17:57" x14ac:dyDescent="0.25">
      <c r="Q95"/>
      <c r="R95" s="6"/>
      <c r="S95" s="6"/>
      <c r="T95" s="131" t="s">
        <v>7</v>
      </c>
      <c r="U95" s="72" t="s">
        <v>184</v>
      </c>
      <c r="V95" s="73">
        <v>650</v>
      </c>
      <c r="W95" s="73">
        <v>650</v>
      </c>
      <c r="X95" s="73">
        <v>650</v>
      </c>
      <c r="Y95" s="73">
        <v>650</v>
      </c>
      <c r="Z95" s="73">
        <v>650</v>
      </c>
      <c r="AA95" s="73">
        <v>650</v>
      </c>
      <c r="AB95" s="73">
        <v>650</v>
      </c>
      <c r="AC95" s="73">
        <v>650</v>
      </c>
      <c r="AD95" s="73">
        <v>650</v>
      </c>
      <c r="AE95" s="73">
        <v>650</v>
      </c>
      <c r="AF95" s="73">
        <v>650</v>
      </c>
      <c r="AG95" s="73">
        <v>650</v>
      </c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</row>
    <row r="96" spans="17:57" x14ac:dyDescent="0.25">
      <c r="Q96"/>
      <c r="R96" s="6"/>
      <c r="S96" s="6"/>
      <c r="T96" s="131" t="s">
        <v>7</v>
      </c>
      <c r="U96" s="72" t="s">
        <v>185</v>
      </c>
      <c r="V96" s="73">
        <v>650</v>
      </c>
      <c r="W96" s="73">
        <v>650</v>
      </c>
      <c r="X96" s="73">
        <v>650</v>
      </c>
      <c r="Y96" s="73">
        <v>650</v>
      </c>
      <c r="Z96" s="73">
        <v>650</v>
      </c>
      <c r="AA96" s="73">
        <v>650</v>
      </c>
      <c r="AB96" s="73">
        <v>650</v>
      </c>
      <c r="AC96" s="73">
        <v>650</v>
      </c>
      <c r="AD96" s="73">
        <v>650</v>
      </c>
      <c r="AE96" s="73">
        <v>650</v>
      </c>
      <c r="AF96" s="73">
        <v>650</v>
      </c>
      <c r="AG96" s="73">
        <v>650</v>
      </c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</row>
    <row r="97" spans="17:57" x14ac:dyDescent="0.25">
      <c r="Q97"/>
      <c r="R97" s="6"/>
      <c r="S97" s="6"/>
      <c r="T97" s="131" t="s">
        <v>7</v>
      </c>
      <c r="U97" s="72" t="s">
        <v>188</v>
      </c>
      <c r="V97" s="73">
        <v>525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</row>
    <row r="98" spans="17:57" x14ac:dyDescent="0.25">
      <c r="Q98"/>
      <c r="R98" s="6"/>
      <c r="S98" s="6"/>
      <c r="T98" s="131" t="s">
        <v>7</v>
      </c>
      <c r="U98" s="72" t="s">
        <v>217</v>
      </c>
      <c r="V98" s="73">
        <v>9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</row>
    <row r="99" spans="17:57" x14ac:dyDescent="0.25">
      <c r="Q99"/>
      <c r="R99" s="6"/>
      <c r="S99" s="6"/>
      <c r="T99" s="131" t="s">
        <v>7</v>
      </c>
      <c r="U99" s="72" t="s">
        <v>190</v>
      </c>
      <c r="V99" s="73">
        <v>37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</row>
    <row r="100" spans="17:57" x14ac:dyDescent="0.25">
      <c r="Q100"/>
      <c r="R100" s="6"/>
      <c r="S100" s="6"/>
      <c r="T100" s="131" t="s">
        <v>8</v>
      </c>
      <c r="U100" s="72" t="s">
        <v>182</v>
      </c>
      <c r="V100" s="73">
        <v>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</row>
    <row r="101" spans="17:57" x14ac:dyDescent="0.25">
      <c r="Q101"/>
      <c r="R101" s="6"/>
      <c r="S101" s="6"/>
      <c r="T101" s="131" t="s">
        <v>8</v>
      </c>
      <c r="U101" s="72" t="s">
        <v>183</v>
      </c>
      <c r="V101" s="73">
        <v>1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</row>
    <row r="102" spans="17:57" x14ac:dyDescent="0.25">
      <c r="Q102"/>
      <c r="R102" s="6"/>
      <c r="S102" s="6"/>
      <c r="T102" s="131" t="s">
        <v>8</v>
      </c>
      <c r="U102" s="72" t="s">
        <v>184</v>
      </c>
      <c r="V102" s="73">
        <v>1E-14</v>
      </c>
      <c r="W102" s="73">
        <v>1E-14</v>
      </c>
      <c r="X102" s="73">
        <v>1E-14</v>
      </c>
      <c r="Y102" s="73">
        <v>1E-14</v>
      </c>
      <c r="Z102" s="73">
        <v>1E-14</v>
      </c>
      <c r="AA102" s="73">
        <v>1E-14</v>
      </c>
      <c r="AB102" s="73">
        <v>1E-14</v>
      </c>
      <c r="AC102" s="73">
        <v>1E-14</v>
      </c>
      <c r="AD102" s="73">
        <v>1E-14</v>
      </c>
      <c r="AE102" s="73">
        <v>1E-14</v>
      </c>
      <c r="AF102" s="73">
        <v>1E-14</v>
      </c>
      <c r="AG102" s="73">
        <v>1E-14</v>
      </c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</row>
    <row r="103" spans="17:57" x14ac:dyDescent="0.25">
      <c r="Q103"/>
      <c r="R103" s="6"/>
      <c r="S103" s="6"/>
      <c r="T103" s="131" t="s">
        <v>8</v>
      </c>
      <c r="U103" s="72" t="s">
        <v>185</v>
      </c>
      <c r="V103" s="73">
        <v>1E-14</v>
      </c>
      <c r="W103" s="73">
        <v>1E-14</v>
      </c>
      <c r="X103" s="73">
        <v>1E-14</v>
      </c>
      <c r="Y103" s="73">
        <v>1E-14</v>
      </c>
      <c r="Z103" s="73">
        <v>1E-14</v>
      </c>
      <c r="AA103" s="73">
        <v>1E-14</v>
      </c>
      <c r="AB103" s="73">
        <v>1E-14</v>
      </c>
      <c r="AC103" s="73">
        <v>1E-14</v>
      </c>
      <c r="AD103" s="73">
        <v>1E-14</v>
      </c>
      <c r="AE103" s="73">
        <v>1E-14</v>
      </c>
      <c r="AF103" s="73">
        <v>1E-14</v>
      </c>
      <c r="AG103" s="73">
        <v>1E-14</v>
      </c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</row>
    <row r="104" spans="17:57" x14ac:dyDescent="0.25">
      <c r="Q104"/>
      <c r="R104" s="6"/>
      <c r="S104" s="6"/>
      <c r="T104" s="131" t="s">
        <v>8</v>
      </c>
      <c r="U104" s="72" t="s">
        <v>188</v>
      </c>
      <c r="V104" s="73">
        <v>525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</row>
    <row r="105" spans="17:57" x14ac:dyDescent="0.25">
      <c r="Q105"/>
      <c r="R105" s="6"/>
      <c r="S105" s="6"/>
      <c r="T105" s="131" t="s">
        <v>8</v>
      </c>
      <c r="U105" s="72" t="s">
        <v>217</v>
      </c>
      <c r="V105" s="73">
        <v>11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</row>
    <row r="106" spans="17:57" x14ac:dyDescent="0.25">
      <c r="Q106"/>
      <c r="R106" s="6"/>
      <c r="S106" s="6"/>
      <c r="T106" s="131" t="s">
        <v>8</v>
      </c>
      <c r="U106" s="72" t="s">
        <v>190</v>
      </c>
      <c r="V106" s="73">
        <v>37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</row>
    <row r="107" spans="17:57" x14ac:dyDescent="0.25">
      <c r="Q107"/>
      <c r="R107" s="6"/>
      <c r="S107" s="6"/>
      <c r="T107" s="131" t="s">
        <v>9</v>
      </c>
      <c r="U107" s="72" t="s">
        <v>182</v>
      </c>
      <c r="V107" s="73">
        <v>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</row>
    <row r="108" spans="17:57" x14ac:dyDescent="0.25">
      <c r="Q108"/>
      <c r="R108" s="6"/>
      <c r="S108" s="6"/>
      <c r="T108" s="131" t="s">
        <v>9</v>
      </c>
      <c r="U108" s="72" t="s">
        <v>183</v>
      </c>
      <c r="V108" s="73">
        <v>1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</row>
    <row r="109" spans="17:57" x14ac:dyDescent="0.25">
      <c r="Q109"/>
      <c r="R109" s="6"/>
      <c r="S109" s="6"/>
      <c r="T109" s="131" t="s">
        <v>9</v>
      </c>
      <c r="U109" s="72" t="s">
        <v>184</v>
      </c>
      <c r="V109" s="73">
        <v>1E-14</v>
      </c>
      <c r="W109" s="73">
        <v>1E-14</v>
      </c>
      <c r="X109" s="73">
        <v>1E-14</v>
      </c>
      <c r="Y109" s="73">
        <v>1E-14</v>
      </c>
      <c r="Z109" s="73">
        <v>1E-14</v>
      </c>
      <c r="AA109" s="73">
        <v>1E-14</v>
      </c>
      <c r="AB109" s="73">
        <v>1E-14</v>
      </c>
      <c r="AC109" s="73">
        <v>1E-14</v>
      </c>
      <c r="AD109" s="73">
        <v>1E-14</v>
      </c>
      <c r="AE109" s="73">
        <v>1E-14</v>
      </c>
      <c r="AF109" s="73">
        <v>1E-14</v>
      </c>
      <c r="AG109" s="73">
        <v>1E-14</v>
      </c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</row>
    <row r="110" spans="17:57" x14ac:dyDescent="0.25">
      <c r="Q110"/>
      <c r="R110" s="6"/>
      <c r="S110" s="6"/>
      <c r="T110" s="131" t="s">
        <v>9</v>
      </c>
      <c r="U110" s="72" t="s">
        <v>185</v>
      </c>
      <c r="V110" s="73">
        <v>1E-14</v>
      </c>
      <c r="W110" s="73">
        <v>1E-14</v>
      </c>
      <c r="X110" s="73">
        <v>1E-14</v>
      </c>
      <c r="Y110" s="73">
        <v>1E-14</v>
      </c>
      <c r="Z110" s="73">
        <v>1E-14</v>
      </c>
      <c r="AA110" s="73">
        <v>1E-14</v>
      </c>
      <c r="AB110" s="73">
        <v>1E-14</v>
      </c>
      <c r="AC110" s="73">
        <v>1E-14</v>
      </c>
      <c r="AD110" s="73">
        <v>1E-14</v>
      </c>
      <c r="AE110" s="73">
        <v>1E-14</v>
      </c>
      <c r="AF110" s="73">
        <v>1E-14</v>
      </c>
      <c r="AG110" s="73">
        <v>1E-14</v>
      </c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</row>
    <row r="111" spans="17:57" x14ac:dyDescent="0.25">
      <c r="Q111"/>
      <c r="R111" s="6"/>
      <c r="S111" s="6"/>
      <c r="T111" s="131" t="s">
        <v>9</v>
      </c>
      <c r="U111" s="72" t="s">
        <v>188</v>
      </c>
      <c r="V111" s="73">
        <v>525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</row>
    <row r="112" spans="17:57" x14ac:dyDescent="0.25">
      <c r="Q112"/>
      <c r="R112" s="6"/>
      <c r="S112" s="6"/>
      <c r="T112" s="131" t="s">
        <v>9</v>
      </c>
      <c r="U112" s="72" t="s">
        <v>217</v>
      </c>
      <c r="V112" s="73">
        <v>9.5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</row>
    <row r="113" spans="17:57" x14ac:dyDescent="0.25">
      <c r="Q113"/>
      <c r="R113" s="6"/>
      <c r="S113" s="6"/>
      <c r="T113" s="131" t="s">
        <v>9</v>
      </c>
      <c r="U113" s="72" t="s">
        <v>190</v>
      </c>
      <c r="V113" s="73">
        <v>37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</row>
    <row r="114" spans="17:57" x14ac:dyDescent="0.25">
      <c r="Q114"/>
      <c r="R114" s="6"/>
      <c r="S114" s="6"/>
      <c r="T114" s="131" t="s">
        <v>10</v>
      </c>
      <c r="U114" s="72" t="s">
        <v>182</v>
      </c>
      <c r="V114" s="73">
        <v>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</row>
    <row r="115" spans="17:57" x14ac:dyDescent="0.25">
      <c r="Q115"/>
      <c r="R115" s="6"/>
      <c r="S115" s="6"/>
      <c r="T115" s="131" t="s">
        <v>10</v>
      </c>
      <c r="U115" s="72" t="s">
        <v>183</v>
      </c>
      <c r="V115" s="73">
        <v>1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</row>
    <row r="116" spans="17:57" x14ac:dyDescent="0.25">
      <c r="Q116"/>
      <c r="R116" s="6"/>
      <c r="S116" s="6"/>
      <c r="T116" s="131" t="s">
        <v>10</v>
      </c>
      <c r="U116" s="72" t="s">
        <v>184</v>
      </c>
      <c r="V116" s="73">
        <v>433.33333333333331</v>
      </c>
      <c r="W116" s="73">
        <v>433.33333333333331</v>
      </c>
      <c r="X116" s="73">
        <v>433.33333333333331</v>
      </c>
      <c r="Y116" s="73">
        <v>433.33333333333331</v>
      </c>
      <c r="Z116" s="73">
        <v>433.33333333333331</v>
      </c>
      <c r="AA116" s="73">
        <v>433.33333333333331</v>
      </c>
      <c r="AB116" s="73">
        <v>433.33333333333331</v>
      </c>
      <c r="AC116" s="73">
        <v>433.33333333333331</v>
      </c>
      <c r="AD116" s="73">
        <v>433.33333333333331</v>
      </c>
      <c r="AE116" s="73">
        <v>433.33333333333331</v>
      </c>
      <c r="AF116" s="73">
        <v>433.33333333333331</v>
      </c>
      <c r="AG116" s="73">
        <v>433.33333333333331</v>
      </c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</row>
    <row r="117" spans="17:57" x14ac:dyDescent="0.25">
      <c r="Q117"/>
      <c r="R117" s="6"/>
      <c r="S117" s="6"/>
      <c r="T117" s="131" t="s">
        <v>10</v>
      </c>
      <c r="U117" s="72" t="s">
        <v>185</v>
      </c>
      <c r="V117" s="73">
        <v>433.33333333333331</v>
      </c>
      <c r="W117" s="73">
        <v>433.33333333333331</v>
      </c>
      <c r="X117" s="73">
        <v>433.33333333333331</v>
      </c>
      <c r="Y117" s="73">
        <v>433.33333333333331</v>
      </c>
      <c r="Z117" s="73">
        <v>433.33333333333331</v>
      </c>
      <c r="AA117" s="73">
        <v>433.33333333333331</v>
      </c>
      <c r="AB117" s="73">
        <v>433.33333333333331</v>
      </c>
      <c r="AC117" s="73">
        <v>433.33333333333331</v>
      </c>
      <c r="AD117" s="73">
        <v>433.33333333333331</v>
      </c>
      <c r="AE117" s="73">
        <v>433.33333333333331</v>
      </c>
      <c r="AF117" s="73">
        <v>433.33333333333331</v>
      </c>
      <c r="AG117" s="73">
        <v>433.33333333333331</v>
      </c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</row>
    <row r="118" spans="17:57" x14ac:dyDescent="0.25">
      <c r="Q118"/>
      <c r="R118" s="6"/>
      <c r="S118" s="6"/>
      <c r="T118" s="131" t="s">
        <v>10</v>
      </c>
      <c r="U118" s="72" t="s">
        <v>188</v>
      </c>
      <c r="V118" s="73">
        <v>525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</row>
    <row r="119" spans="17:57" x14ac:dyDescent="0.25">
      <c r="Q119"/>
      <c r="R119" s="6"/>
      <c r="S119" s="6"/>
      <c r="T119" s="131" t="s">
        <v>10</v>
      </c>
      <c r="U119" s="72" t="s">
        <v>217</v>
      </c>
      <c r="V119" s="73">
        <v>9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</row>
    <row r="120" spans="17:57" x14ac:dyDescent="0.25">
      <c r="Q120"/>
      <c r="R120" s="6"/>
      <c r="S120" s="6"/>
      <c r="T120" s="131" t="s">
        <v>10</v>
      </c>
      <c r="U120" s="72" t="s">
        <v>190</v>
      </c>
      <c r="V120" s="73">
        <v>37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</row>
    <row r="121" spans="17:57" x14ac:dyDescent="0.25">
      <c r="Q121"/>
      <c r="R121" s="6"/>
      <c r="S121" s="6"/>
      <c r="T121" s="131" t="s">
        <v>11</v>
      </c>
      <c r="U121" s="72" t="s">
        <v>182</v>
      </c>
      <c r="V121" s="73">
        <v>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</row>
    <row r="122" spans="17:57" x14ac:dyDescent="0.25">
      <c r="Q122"/>
      <c r="R122" s="6"/>
      <c r="S122" s="6"/>
      <c r="T122" s="131" t="s">
        <v>11</v>
      </c>
      <c r="U122" s="72" t="s">
        <v>183</v>
      </c>
      <c r="V122" s="73">
        <v>1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</row>
    <row r="123" spans="17:57" x14ac:dyDescent="0.25">
      <c r="Q123"/>
      <c r="R123" s="6"/>
      <c r="S123" s="6"/>
      <c r="T123" s="131" t="s">
        <v>11</v>
      </c>
      <c r="U123" s="72" t="s">
        <v>184</v>
      </c>
      <c r="V123" s="73">
        <v>41.666666666666664</v>
      </c>
      <c r="W123" s="73">
        <v>41.666666666666664</v>
      </c>
      <c r="X123" s="73">
        <v>41.666666666666664</v>
      </c>
      <c r="Y123" s="73">
        <v>41.666666666666664</v>
      </c>
      <c r="Z123" s="73">
        <v>41.666666666666664</v>
      </c>
      <c r="AA123" s="73">
        <v>41.666666666666664</v>
      </c>
      <c r="AB123" s="73">
        <v>41.666666666666664</v>
      </c>
      <c r="AC123" s="73">
        <v>41.666666666666664</v>
      </c>
      <c r="AD123" s="73">
        <v>41.666666666666664</v>
      </c>
      <c r="AE123" s="73">
        <v>41.666666666666664</v>
      </c>
      <c r="AF123" s="73">
        <v>41.666666666666664</v>
      </c>
      <c r="AG123" s="73">
        <v>41.666666666666664</v>
      </c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</row>
    <row r="124" spans="17:57" x14ac:dyDescent="0.25">
      <c r="Q124"/>
      <c r="R124" s="6"/>
      <c r="S124" s="6"/>
      <c r="T124" s="131" t="s">
        <v>11</v>
      </c>
      <c r="U124" s="72" t="s">
        <v>185</v>
      </c>
      <c r="V124" s="73">
        <v>41.666666666666664</v>
      </c>
      <c r="W124" s="73">
        <v>41.666666666666664</v>
      </c>
      <c r="X124" s="73">
        <v>41.666666666666664</v>
      </c>
      <c r="Y124" s="73">
        <v>41.666666666666664</v>
      </c>
      <c r="Z124" s="73">
        <v>41.666666666666664</v>
      </c>
      <c r="AA124" s="73">
        <v>41.666666666666664</v>
      </c>
      <c r="AB124" s="73">
        <v>41.666666666666664</v>
      </c>
      <c r="AC124" s="73">
        <v>41.666666666666664</v>
      </c>
      <c r="AD124" s="73">
        <v>41.666666666666664</v>
      </c>
      <c r="AE124" s="73">
        <v>41.666666666666664</v>
      </c>
      <c r="AF124" s="73">
        <v>41.666666666666664</v>
      </c>
      <c r="AG124" s="73">
        <v>41.666666666666664</v>
      </c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</row>
    <row r="125" spans="17:57" x14ac:dyDescent="0.25">
      <c r="Q125"/>
      <c r="R125" s="6"/>
      <c r="S125" s="6"/>
      <c r="T125" s="131" t="s">
        <v>11</v>
      </c>
      <c r="U125" s="72" t="s">
        <v>188</v>
      </c>
      <c r="V125" s="73">
        <v>785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</row>
    <row r="126" spans="17:57" x14ac:dyDescent="0.25">
      <c r="Q126"/>
      <c r="R126" s="6"/>
      <c r="S126" s="6"/>
      <c r="T126" s="131" t="s">
        <v>11</v>
      </c>
      <c r="U126" s="72" t="s">
        <v>217</v>
      </c>
      <c r="V126" s="73">
        <v>12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</row>
    <row r="127" spans="17:57" x14ac:dyDescent="0.25">
      <c r="Q127"/>
      <c r="R127" s="6"/>
      <c r="S127" s="6"/>
      <c r="T127" s="131" t="s">
        <v>11</v>
      </c>
      <c r="U127" s="72" t="s">
        <v>190</v>
      </c>
      <c r="V127" s="73">
        <v>37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</row>
    <row r="128" spans="17:57" x14ac:dyDescent="0.25">
      <c r="Q128"/>
      <c r="R128" s="6"/>
      <c r="S128" s="6"/>
      <c r="T128" s="131" t="s">
        <v>12</v>
      </c>
      <c r="U128" s="72" t="s">
        <v>182</v>
      </c>
      <c r="V128" s="73">
        <v>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</row>
    <row r="129" spans="17:57" x14ac:dyDescent="0.25">
      <c r="Q129"/>
      <c r="R129" s="6"/>
      <c r="S129" s="6"/>
      <c r="T129" s="131" t="s">
        <v>12</v>
      </c>
      <c r="U129" s="72" t="s">
        <v>183</v>
      </c>
      <c r="V129" s="73">
        <v>1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</row>
    <row r="130" spans="17:57" x14ac:dyDescent="0.25">
      <c r="Q130"/>
      <c r="R130" s="6"/>
      <c r="S130" s="6"/>
      <c r="T130" s="131" t="s">
        <v>12</v>
      </c>
      <c r="U130" s="72" t="s">
        <v>184</v>
      </c>
      <c r="V130" s="73">
        <v>1E-14</v>
      </c>
      <c r="W130" s="73">
        <v>1E-14</v>
      </c>
      <c r="X130" s="73">
        <v>1E-14</v>
      </c>
      <c r="Y130" s="73">
        <v>1E-14</v>
      </c>
      <c r="Z130" s="73">
        <v>1E-14</v>
      </c>
      <c r="AA130" s="73">
        <v>1E-14</v>
      </c>
      <c r="AB130" s="73">
        <v>1E-14</v>
      </c>
      <c r="AC130" s="73">
        <v>1E-14</v>
      </c>
      <c r="AD130" s="73">
        <v>1E-14</v>
      </c>
      <c r="AE130" s="73">
        <v>1E-14</v>
      </c>
      <c r="AF130" s="73">
        <v>1E-14</v>
      </c>
      <c r="AG130" s="73">
        <v>1E-14</v>
      </c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</row>
    <row r="131" spans="17:57" x14ac:dyDescent="0.25">
      <c r="Q131"/>
      <c r="R131" s="6"/>
      <c r="S131" s="6"/>
      <c r="T131" s="131" t="s">
        <v>12</v>
      </c>
      <c r="U131" s="72" t="s">
        <v>185</v>
      </c>
      <c r="V131" s="73">
        <v>1E-14</v>
      </c>
      <c r="W131" s="73">
        <v>1E-14</v>
      </c>
      <c r="X131" s="73">
        <v>1E-14</v>
      </c>
      <c r="Y131" s="73">
        <v>1E-14</v>
      </c>
      <c r="Z131" s="73">
        <v>1E-14</v>
      </c>
      <c r="AA131" s="73">
        <v>1E-14</v>
      </c>
      <c r="AB131" s="73">
        <v>1E-14</v>
      </c>
      <c r="AC131" s="73">
        <v>1E-14</v>
      </c>
      <c r="AD131" s="73">
        <v>1E-14</v>
      </c>
      <c r="AE131" s="73">
        <v>1E-14</v>
      </c>
      <c r="AF131" s="73">
        <v>1E-14</v>
      </c>
      <c r="AG131" s="73">
        <v>1E-14</v>
      </c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</row>
    <row r="132" spans="17:57" x14ac:dyDescent="0.25">
      <c r="Q132"/>
      <c r="R132" s="6"/>
      <c r="S132" s="6"/>
      <c r="T132" s="131" t="s">
        <v>12</v>
      </c>
      <c r="U132" s="72" t="s">
        <v>188</v>
      </c>
      <c r="V132" s="73">
        <v>1E-14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</row>
    <row r="133" spans="17:57" x14ac:dyDescent="0.25">
      <c r="Q133"/>
      <c r="R133" s="6"/>
      <c r="S133" s="6"/>
      <c r="T133" s="131" t="s">
        <v>12</v>
      </c>
      <c r="U133" s="72" t="s">
        <v>217</v>
      </c>
      <c r="V133" s="73">
        <v>10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</row>
    <row r="134" spans="17:57" x14ac:dyDescent="0.25">
      <c r="Q134"/>
      <c r="R134" s="6"/>
      <c r="S134" s="6"/>
      <c r="T134" s="131" t="s">
        <v>12</v>
      </c>
      <c r="U134" s="72" t="s">
        <v>190</v>
      </c>
      <c r="V134" s="73">
        <v>37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</row>
    <row r="135" spans="17:57" x14ac:dyDescent="0.25">
      <c r="Q135"/>
      <c r="R135" s="6"/>
      <c r="S135" s="6"/>
      <c r="T135" s="131" t="s">
        <v>13</v>
      </c>
      <c r="U135" s="72" t="s">
        <v>182</v>
      </c>
      <c r="V135" s="73">
        <v>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</row>
    <row r="136" spans="17:57" x14ac:dyDescent="0.25">
      <c r="Q136"/>
      <c r="R136" s="6"/>
      <c r="S136" s="6"/>
      <c r="T136" s="131" t="s">
        <v>13</v>
      </c>
      <c r="U136" s="72" t="s">
        <v>183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</row>
    <row r="137" spans="17:57" x14ac:dyDescent="0.25">
      <c r="Q137"/>
      <c r="R137" s="6"/>
      <c r="S137" s="6"/>
      <c r="T137" s="131" t="s">
        <v>13</v>
      </c>
      <c r="U137" s="72" t="s">
        <v>184</v>
      </c>
      <c r="V137" s="73">
        <v>1E-14</v>
      </c>
      <c r="W137" s="73">
        <v>1E-14</v>
      </c>
      <c r="X137" s="73">
        <v>1E-14</v>
      </c>
      <c r="Y137" s="73">
        <v>1E-14</v>
      </c>
      <c r="Z137" s="73">
        <v>1E-14</v>
      </c>
      <c r="AA137" s="73">
        <v>1E-14</v>
      </c>
      <c r="AB137" s="73">
        <v>1E-14</v>
      </c>
      <c r="AC137" s="73">
        <v>1E-14</v>
      </c>
      <c r="AD137" s="73">
        <v>1E-14</v>
      </c>
      <c r="AE137" s="73">
        <v>1E-14</v>
      </c>
      <c r="AF137" s="73">
        <v>1E-14</v>
      </c>
      <c r="AG137" s="73">
        <v>1E-14</v>
      </c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</row>
    <row r="138" spans="17:57" x14ac:dyDescent="0.25">
      <c r="Q138"/>
      <c r="R138" s="6"/>
      <c r="S138" s="6"/>
      <c r="T138" s="131" t="s">
        <v>13</v>
      </c>
      <c r="U138" s="72" t="s">
        <v>185</v>
      </c>
      <c r="V138" s="73">
        <v>1E-14</v>
      </c>
      <c r="W138" s="73">
        <v>1E-14</v>
      </c>
      <c r="X138" s="73">
        <v>1E-14</v>
      </c>
      <c r="Y138" s="73">
        <v>1E-14</v>
      </c>
      <c r="Z138" s="73">
        <v>1E-14</v>
      </c>
      <c r="AA138" s="73">
        <v>1E-14</v>
      </c>
      <c r="AB138" s="73">
        <v>1E-14</v>
      </c>
      <c r="AC138" s="73">
        <v>1E-14</v>
      </c>
      <c r="AD138" s="73">
        <v>1E-14</v>
      </c>
      <c r="AE138" s="73">
        <v>1E-14</v>
      </c>
      <c r="AF138" s="73">
        <v>1E-14</v>
      </c>
      <c r="AG138" s="73">
        <v>1E-14</v>
      </c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</row>
    <row r="139" spans="17:57" x14ac:dyDescent="0.25">
      <c r="Q139"/>
      <c r="R139" s="6"/>
      <c r="S139" s="6"/>
      <c r="T139" s="131" t="s">
        <v>13</v>
      </c>
      <c r="U139" s="72" t="s">
        <v>188</v>
      </c>
      <c r="V139" s="73">
        <v>525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</row>
    <row r="140" spans="17:57" x14ac:dyDescent="0.25">
      <c r="Q140"/>
      <c r="R140" s="6"/>
      <c r="S140" s="6"/>
      <c r="T140" s="131" t="s">
        <v>13</v>
      </c>
      <c r="U140" s="72" t="s">
        <v>217</v>
      </c>
      <c r="V140" s="73">
        <v>11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</row>
    <row r="141" spans="17:57" x14ac:dyDescent="0.25">
      <c r="Q141"/>
      <c r="R141" s="6"/>
      <c r="S141" s="6"/>
      <c r="T141" s="131" t="s">
        <v>13</v>
      </c>
      <c r="U141" s="72" t="s">
        <v>190</v>
      </c>
      <c r="V141" s="73">
        <v>37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</row>
    <row r="142" spans="17:57" x14ac:dyDescent="0.25">
      <c r="Q142"/>
      <c r="R142" s="6"/>
      <c r="S142" s="6"/>
      <c r="T142" s="131" t="s">
        <v>14</v>
      </c>
      <c r="U142" s="72" t="s">
        <v>182</v>
      </c>
      <c r="V142" s="73">
        <v>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</row>
    <row r="143" spans="17:57" x14ac:dyDescent="0.25">
      <c r="Q143"/>
      <c r="R143" s="6"/>
      <c r="S143" s="6"/>
      <c r="T143" s="131" t="s">
        <v>14</v>
      </c>
      <c r="U143" s="72" t="s">
        <v>183</v>
      </c>
      <c r="V143" s="73">
        <v>1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</row>
    <row r="144" spans="17:57" x14ac:dyDescent="0.25">
      <c r="Q144"/>
      <c r="R144" s="6"/>
      <c r="S144" s="6"/>
      <c r="T144" s="131" t="s">
        <v>14</v>
      </c>
      <c r="U144" s="72" t="s">
        <v>184</v>
      </c>
      <c r="V144" s="73">
        <v>30000</v>
      </c>
      <c r="W144" s="73">
        <v>30000</v>
      </c>
      <c r="X144" s="73">
        <v>30000</v>
      </c>
      <c r="Y144" s="73">
        <v>30000</v>
      </c>
      <c r="Z144" s="73">
        <v>30000</v>
      </c>
      <c r="AA144" s="73">
        <v>30000</v>
      </c>
      <c r="AB144" s="73">
        <v>30000</v>
      </c>
      <c r="AC144" s="73">
        <v>30000</v>
      </c>
      <c r="AD144" s="73">
        <v>30000</v>
      </c>
      <c r="AE144" s="73">
        <v>30000</v>
      </c>
      <c r="AF144" s="73">
        <v>30000</v>
      </c>
      <c r="AG144" s="73">
        <v>30000</v>
      </c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</row>
    <row r="145" spans="17:57" x14ac:dyDescent="0.25">
      <c r="Q145"/>
      <c r="R145" s="6"/>
      <c r="S145" s="6"/>
      <c r="T145" s="131" t="s">
        <v>14</v>
      </c>
      <c r="U145" s="72" t="s">
        <v>185</v>
      </c>
      <c r="V145" s="73">
        <v>40000</v>
      </c>
      <c r="W145" s="73">
        <v>40000</v>
      </c>
      <c r="X145" s="73">
        <v>40000</v>
      </c>
      <c r="Y145" s="73">
        <v>40000</v>
      </c>
      <c r="Z145" s="73">
        <v>40000</v>
      </c>
      <c r="AA145" s="73">
        <v>40000</v>
      </c>
      <c r="AB145" s="73">
        <v>40000</v>
      </c>
      <c r="AC145" s="73">
        <v>40000</v>
      </c>
      <c r="AD145" s="73">
        <v>40000</v>
      </c>
      <c r="AE145" s="73">
        <v>40000</v>
      </c>
      <c r="AF145" s="73">
        <v>40000</v>
      </c>
      <c r="AG145" s="73">
        <v>40000</v>
      </c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</row>
    <row r="146" spans="17:57" x14ac:dyDescent="0.25">
      <c r="Q146"/>
      <c r="R146" s="6"/>
      <c r="S146" s="6"/>
      <c r="T146" s="131" t="s">
        <v>14</v>
      </c>
      <c r="U146" s="72" t="s">
        <v>188</v>
      </c>
      <c r="V146" s="73">
        <v>400</v>
      </c>
      <c r="W146" s="73">
        <v>400</v>
      </c>
      <c r="X146" s="73">
        <v>400</v>
      </c>
      <c r="Y146" s="73">
        <v>400</v>
      </c>
      <c r="Z146" s="73">
        <v>400</v>
      </c>
      <c r="AA146" s="73">
        <v>400</v>
      </c>
      <c r="AB146" s="73">
        <v>400</v>
      </c>
      <c r="AC146" s="73">
        <v>400</v>
      </c>
      <c r="AD146" s="73">
        <v>400</v>
      </c>
      <c r="AE146" s="73">
        <v>400</v>
      </c>
      <c r="AF146" s="73">
        <v>400</v>
      </c>
      <c r="AG146" s="73">
        <v>400</v>
      </c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</row>
    <row r="147" spans="17:57" x14ac:dyDescent="0.25">
      <c r="Q147"/>
      <c r="R147" s="6"/>
      <c r="S147" s="6"/>
      <c r="T147" s="131" t="s">
        <v>14</v>
      </c>
      <c r="U147" s="72" t="s">
        <v>217</v>
      </c>
      <c r="V147" s="73">
        <v>10.5</v>
      </c>
      <c r="W147" s="73">
        <v>10.5</v>
      </c>
      <c r="X147" s="73">
        <v>10.5</v>
      </c>
      <c r="Y147" s="73">
        <v>10.5</v>
      </c>
      <c r="Z147" s="73">
        <v>10.5</v>
      </c>
      <c r="AA147" s="73">
        <v>10.5</v>
      </c>
      <c r="AB147" s="73">
        <v>10.5</v>
      </c>
      <c r="AC147" s="73">
        <v>10.5</v>
      </c>
      <c r="AD147" s="73">
        <v>10.5</v>
      </c>
      <c r="AE147" s="73">
        <v>10.5</v>
      </c>
      <c r="AF147" s="73">
        <v>10.5</v>
      </c>
      <c r="AG147" s="73">
        <v>10.5</v>
      </c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</row>
    <row r="148" spans="17:57" x14ac:dyDescent="0.25">
      <c r="Q148"/>
      <c r="R148" s="6"/>
      <c r="S148" s="6"/>
      <c r="T148" s="131" t="s">
        <v>14</v>
      </c>
      <c r="U148" s="72" t="s">
        <v>190</v>
      </c>
      <c r="V148" s="73">
        <v>37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</row>
    <row r="149" spans="17:57" x14ac:dyDescent="0.25">
      <c r="Q149"/>
      <c r="R149" s="6"/>
      <c r="S149" s="6"/>
      <c r="T149" s="131" t="s">
        <v>15</v>
      </c>
      <c r="U149" s="72" t="s">
        <v>182</v>
      </c>
      <c r="V149" s="73">
        <v>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</row>
    <row r="150" spans="17:57" x14ac:dyDescent="0.25">
      <c r="Q150"/>
      <c r="R150" s="6"/>
      <c r="S150" s="6"/>
      <c r="T150" s="131" t="s">
        <v>15</v>
      </c>
      <c r="U150" s="72" t="s">
        <v>183</v>
      </c>
      <c r="V150" s="73">
        <v>1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</row>
    <row r="151" spans="17:57" x14ac:dyDescent="0.25">
      <c r="Q151"/>
      <c r="R151" s="6"/>
      <c r="S151" s="6"/>
      <c r="T151" s="131" t="s">
        <v>15</v>
      </c>
      <c r="U151" s="72" t="s">
        <v>184</v>
      </c>
      <c r="V151" s="73">
        <v>166.66666666666666</v>
      </c>
      <c r="W151" s="73">
        <v>166.66666666666666</v>
      </c>
      <c r="X151" s="73">
        <v>166.66666666666666</v>
      </c>
      <c r="Y151" s="73">
        <v>166.66666666666666</v>
      </c>
      <c r="Z151" s="73">
        <v>166.66666666666666</v>
      </c>
      <c r="AA151" s="73">
        <v>166.66666666666666</v>
      </c>
      <c r="AB151" s="73">
        <v>166.66666666666666</v>
      </c>
      <c r="AC151" s="73">
        <v>166.66666666666666</v>
      </c>
      <c r="AD151" s="73">
        <v>166.66666666666666</v>
      </c>
      <c r="AE151" s="73">
        <v>166.66666666666666</v>
      </c>
      <c r="AF151" s="73">
        <v>166.66666666666666</v>
      </c>
      <c r="AG151" s="73">
        <v>166.66666666666666</v>
      </c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</row>
    <row r="152" spans="17:57" x14ac:dyDescent="0.25">
      <c r="Q152"/>
      <c r="R152" s="6"/>
      <c r="S152" s="6"/>
      <c r="T152" s="131" t="s">
        <v>15</v>
      </c>
      <c r="U152" s="72" t="s">
        <v>185</v>
      </c>
      <c r="V152" s="73">
        <v>166.66666666666666</v>
      </c>
      <c r="W152" s="73">
        <v>166.66666666666666</v>
      </c>
      <c r="X152" s="73">
        <v>166.66666666666666</v>
      </c>
      <c r="Y152" s="73">
        <v>166.66666666666666</v>
      </c>
      <c r="Z152" s="73">
        <v>166.66666666666666</v>
      </c>
      <c r="AA152" s="73">
        <v>166.66666666666666</v>
      </c>
      <c r="AB152" s="73">
        <v>166.66666666666666</v>
      </c>
      <c r="AC152" s="73">
        <v>166.66666666666666</v>
      </c>
      <c r="AD152" s="73">
        <v>166.66666666666666</v>
      </c>
      <c r="AE152" s="73">
        <v>166.66666666666666</v>
      </c>
      <c r="AF152" s="73">
        <v>166.66666666666666</v>
      </c>
      <c r="AG152" s="73">
        <v>166.66666666666666</v>
      </c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</row>
    <row r="153" spans="17:57" x14ac:dyDescent="0.25">
      <c r="Q153"/>
      <c r="R153" s="6"/>
      <c r="S153" s="6"/>
      <c r="T153" s="131" t="s">
        <v>15</v>
      </c>
      <c r="U153" s="72" t="s">
        <v>188</v>
      </c>
      <c r="V153" s="73">
        <v>515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</row>
    <row r="154" spans="17:57" x14ac:dyDescent="0.25">
      <c r="Q154"/>
      <c r="R154" s="6"/>
      <c r="S154" s="6"/>
      <c r="T154" s="131" t="s">
        <v>15</v>
      </c>
      <c r="U154" s="72" t="s">
        <v>217</v>
      </c>
      <c r="V154" s="73">
        <v>10.5</v>
      </c>
      <c r="W154" s="73">
        <v>10.5</v>
      </c>
      <c r="X154" s="73">
        <v>10.5</v>
      </c>
      <c r="Y154" s="73">
        <v>10.5</v>
      </c>
      <c r="Z154" s="73">
        <v>10.5</v>
      </c>
      <c r="AA154" s="73">
        <v>10.5</v>
      </c>
      <c r="AB154" s="73">
        <v>10.5</v>
      </c>
      <c r="AC154" s="73">
        <v>10.5</v>
      </c>
      <c r="AD154" s="73">
        <v>10.5</v>
      </c>
      <c r="AE154" s="73">
        <v>10.5</v>
      </c>
      <c r="AF154" s="73">
        <v>10.5</v>
      </c>
      <c r="AG154" s="73">
        <v>10.5</v>
      </c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</row>
    <row r="155" spans="17:57" x14ac:dyDescent="0.25">
      <c r="Q155"/>
      <c r="R155" s="6"/>
      <c r="S155" s="6"/>
      <c r="T155" s="131" t="s">
        <v>15</v>
      </c>
      <c r="U155" s="72" t="s">
        <v>190</v>
      </c>
      <c r="V155" s="73">
        <v>37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</row>
    <row r="156" spans="17:57" x14ac:dyDescent="0.25">
      <c r="Q156"/>
      <c r="R156" s="6"/>
      <c r="S156" s="6"/>
      <c r="T156" s="131" t="s">
        <v>16</v>
      </c>
      <c r="U156" s="72" t="s">
        <v>182</v>
      </c>
      <c r="V156" s="73">
        <v>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</row>
    <row r="157" spans="17:57" x14ac:dyDescent="0.25">
      <c r="Q157"/>
      <c r="R157" s="6"/>
      <c r="S157" s="6"/>
      <c r="T157" s="131" t="s">
        <v>16</v>
      </c>
      <c r="U157" s="72" t="s">
        <v>183</v>
      </c>
      <c r="V157" s="73">
        <v>1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</row>
    <row r="158" spans="17:57" x14ac:dyDescent="0.25">
      <c r="R158" s="152"/>
      <c r="S158" s="152"/>
      <c r="T158" s="131" t="s">
        <v>16</v>
      </c>
      <c r="U158" s="72" t="s">
        <v>184</v>
      </c>
      <c r="V158" s="73">
        <v>1E-14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</row>
    <row r="159" spans="17:57" x14ac:dyDescent="0.25">
      <c r="R159" s="152"/>
      <c r="S159" s="152"/>
      <c r="T159" s="131" t="s">
        <v>16</v>
      </c>
      <c r="U159" s="72" t="s">
        <v>185</v>
      </c>
      <c r="V159" s="73">
        <v>1E-14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</row>
    <row r="160" spans="17:57" x14ac:dyDescent="0.25">
      <c r="R160" s="152"/>
      <c r="S160" s="152"/>
      <c r="T160" s="131" t="s">
        <v>16</v>
      </c>
      <c r="U160" s="72" t="s">
        <v>188</v>
      </c>
      <c r="V160" s="73">
        <v>1E-14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</row>
    <row r="161" spans="18:57" x14ac:dyDescent="0.25">
      <c r="R161" s="152"/>
      <c r="S161" s="152"/>
      <c r="T161" s="131" t="s">
        <v>16</v>
      </c>
      <c r="U161" s="72" t="s">
        <v>217</v>
      </c>
      <c r="V161" s="73">
        <v>13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</row>
    <row r="162" spans="18:57" x14ac:dyDescent="0.25">
      <c r="R162" s="152"/>
      <c r="S162" s="152"/>
      <c r="T162" s="131" t="s">
        <v>16</v>
      </c>
      <c r="U162" s="72" t="s">
        <v>190</v>
      </c>
      <c r="V162" s="73">
        <v>37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</row>
    <row r="163" spans="18:57" x14ac:dyDescent="0.25">
      <c r="R163" s="152"/>
      <c r="S163" s="152"/>
      <c r="T163" s="131" t="s">
        <v>18</v>
      </c>
      <c r="U163" s="72" t="s">
        <v>182</v>
      </c>
      <c r="V163" s="73">
        <v>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</row>
    <row r="164" spans="18:57" x14ac:dyDescent="0.25">
      <c r="R164" s="152"/>
      <c r="S164" s="152"/>
      <c r="T164" s="131" t="s">
        <v>18</v>
      </c>
      <c r="U164" s="72" t="s">
        <v>183</v>
      </c>
      <c r="V164" s="73">
        <v>1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</row>
    <row r="165" spans="18:57" x14ac:dyDescent="0.25">
      <c r="R165" s="152"/>
      <c r="S165" s="152"/>
      <c r="T165" s="131" t="s">
        <v>18</v>
      </c>
      <c r="U165" s="72" t="s">
        <v>184</v>
      </c>
      <c r="V165" s="73">
        <v>125</v>
      </c>
      <c r="W165" s="73">
        <v>125</v>
      </c>
      <c r="X165" s="73">
        <v>125</v>
      </c>
      <c r="Y165" s="73">
        <v>125</v>
      </c>
      <c r="Z165" s="73">
        <v>125</v>
      </c>
      <c r="AA165" s="73">
        <v>125</v>
      </c>
      <c r="AB165" s="73">
        <v>125</v>
      </c>
      <c r="AC165" s="73">
        <v>125</v>
      </c>
      <c r="AD165" s="73">
        <v>125</v>
      </c>
      <c r="AE165" s="73">
        <v>125</v>
      </c>
      <c r="AF165" s="73">
        <v>125</v>
      </c>
      <c r="AG165" s="73">
        <v>125</v>
      </c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</row>
    <row r="166" spans="18:57" x14ac:dyDescent="0.25">
      <c r="R166" s="152"/>
      <c r="S166" s="152"/>
      <c r="T166" s="131" t="s">
        <v>18</v>
      </c>
      <c r="U166" s="72" t="s">
        <v>185</v>
      </c>
      <c r="V166" s="73">
        <v>125</v>
      </c>
      <c r="W166" s="73">
        <v>125</v>
      </c>
      <c r="X166" s="73">
        <v>125</v>
      </c>
      <c r="Y166" s="73">
        <v>125</v>
      </c>
      <c r="Z166" s="73">
        <v>125</v>
      </c>
      <c r="AA166" s="73">
        <v>125</v>
      </c>
      <c r="AB166" s="73">
        <v>125</v>
      </c>
      <c r="AC166" s="73">
        <v>125</v>
      </c>
      <c r="AD166" s="73">
        <v>125</v>
      </c>
      <c r="AE166" s="73">
        <v>125</v>
      </c>
      <c r="AF166" s="73">
        <v>125</v>
      </c>
      <c r="AG166" s="73">
        <v>125</v>
      </c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</row>
    <row r="167" spans="18:57" x14ac:dyDescent="0.25">
      <c r="R167" s="152"/>
      <c r="S167" s="152"/>
      <c r="T167" s="131" t="s">
        <v>18</v>
      </c>
      <c r="U167" s="72" t="s">
        <v>188</v>
      </c>
      <c r="V167" s="73">
        <v>1E-14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</row>
    <row r="168" spans="18:57" x14ac:dyDescent="0.25">
      <c r="R168" s="152"/>
      <c r="S168" s="152"/>
      <c r="T168" s="131" t="s">
        <v>18</v>
      </c>
      <c r="U168" s="72" t="s">
        <v>217</v>
      </c>
      <c r="V168" s="73">
        <v>14.5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</row>
    <row r="169" spans="18:57" x14ac:dyDescent="0.25">
      <c r="R169" s="152"/>
      <c r="S169" s="152"/>
      <c r="T169" s="131" t="s">
        <v>18</v>
      </c>
      <c r="U169" s="72" t="s">
        <v>190</v>
      </c>
      <c r="V169" s="73">
        <v>37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</row>
    <row r="170" spans="18:57" x14ac:dyDescent="0.25">
      <c r="R170" s="152"/>
      <c r="S170" s="152"/>
      <c r="T170" s="131" t="s">
        <v>19</v>
      </c>
      <c r="U170" s="72" t="s">
        <v>182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</row>
    <row r="171" spans="18:57" x14ac:dyDescent="0.25">
      <c r="R171" s="152"/>
      <c r="S171" s="152"/>
      <c r="T171" s="131" t="s">
        <v>19</v>
      </c>
      <c r="U171" s="72" t="s">
        <v>183</v>
      </c>
      <c r="V171" s="73">
        <v>1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</row>
    <row r="172" spans="18:57" x14ac:dyDescent="0.25">
      <c r="R172" s="152"/>
      <c r="S172" s="152"/>
      <c r="T172" s="131" t="s">
        <v>19</v>
      </c>
      <c r="U172" s="72" t="s">
        <v>184</v>
      </c>
      <c r="V172" s="73">
        <v>1E-14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</row>
    <row r="173" spans="18:57" x14ac:dyDescent="0.25">
      <c r="R173" s="152"/>
      <c r="S173" s="152"/>
      <c r="T173" s="131" t="s">
        <v>19</v>
      </c>
      <c r="U173" s="72" t="s">
        <v>185</v>
      </c>
      <c r="V173" s="73">
        <v>1E-14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</row>
    <row r="174" spans="18:57" x14ac:dyDescent="0.25">
      <c r="R174" s="152"/>
      <c r="S174" s="152"/>
      <c r="T174" s="131" t="s">
        <v>19</v>
      </c>
      <c r="U174" s="72" t="s">
        <v>188</v>
      </c>
      <c r="V174" s="73">
        <v>1E-14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</row>
    <row r="175" spans="18:57" x14ac:dyDescent="0.25">
      <c r="R175" s="152"/>
      <c r="S175" s="152"/>
      <c r="T175" s="131" t="s">
        <v>19</v>
      </c>
      <c r="U175" s="72" t="s">
        <v>217</v>
      </c>
      <c r="V175" s="73">
        <v>14.7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</row>
    <row r="176" spans="18:57" x14ac:dyDescent="0.25">
      <c r="R176" s="152"/>
      <c r="S176" s="152"/>
      <c r="T176" s="131" t="s">
        <v>19</v>
      </c>
      <c r="U176" s="72" t="s">
        <v>190</v>
      </c>
      <c r="V176" s="73">
        <v>37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</row>
    <row r="177" spans="18:57" x14ac:dyDescent="0.25">
      <c r="R177" s="152"/>
      <c r="S177" s="152"/>
      <c r="T177" s="131" t="s">
        <v>20</v>
      </c>
      <c r="U177" s="72" t="s">
        <v>182</v>
      </c>
      <c r="V177" s="73">
        <v>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</row>
    <row r="178" spans="18:57" x14ac:dyDescent="0.25">
      <c r="R178" s="152"/>
      <c r="S178" s="152"/>
      <c r="T178" s="131" t="s">
        <v>20</v>
      </c>
      <c r="U178" s="72" t="s">
        <v>183</v>
      </c>
      <c r="V178" s="73">
        <v>1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</row>
    <row r="179" spans="18:57" x14ac:dyDescent="0.25">
      <c r="R179" s="152"/>
      <c r="S179" s="152"/>
      <c r="T179" s="131" t="s">
        <v>20</v>
      </c>
      <c r="U179" s="72" t="s">
        <v>184</v>
      </c>
      <c r="V179" s="73">
        <v>10</v>
      </c>
      <c r="W179" s="73">
        <v>10</v>
      </c>
      <c r="X179" s="73">
        <v>10</v>
      </c>
      <c r="Y179" s="73">
        <v>10</v>
      </c>
      <c r="Z179" s="73">
        <v>10</v>
      </c>
      <c r="AA179" s="73">
        <v>10</v>
      </c>
      <c r="AB179" s="73">
        <v>10</v>
      </c>
      <c r="AC179" s="73">
        <v>10</v>
      </c>
      <c r="AD179" s="73">
        <v>10</v>
      </c>
      <c r="AE179" s="73">
        <v>10</v>
      </c>
      <c r="AF179" s="73">
        <v>10</v>
      </c>
      <c r="AG179" s="73">
        <v>10</v>
      </c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</row>
    <row r="180" spans="18:57" x14ac:dyDescent="0.25">
      <c r="R180" s="152"/>
      <c r="S180" s="152"/>
      <c r="T180" s="131" t="s">
        <v>20</v>
      </c>
      <c r="U180" s="72" t="s">
        <v>185</v>
      </c>
      <c r="V180" s="73">
        <v>10</v>
      </c>
      <c r="W180" s="73">
        <v>10</v>
      </c>
      <c r="X180" s="73">
        <v>10</v>
      </c>
      <c r="Y180" s="73">
        <v>10</v>
      </c>
      <c r="Z180" s="73">
        <v>10</v>
      </c>
      <c r="AA180" s="73">
        <v>10</v>
      </c>
      <c r="AB180" s="73">
        <v>10</v>
      </c>
      <c r="AC180" s="73">
        <v>10</v>
      </c>
      <c r="AD180" s="73">
        <v>10</v>
      </c>
      <c r="AE180" s="73">
        <v>10</v>
      </c>
      <c r="AF180" s="73">
        <v>10</v>
      </c>
      <c r="AG180" s="73">
        <v>10</v>
      </c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</row>
    <row r="181" spans="18:57" x14ac:dyDescent="0.25">
      <c r="R181" s="152"/>
      <c r="S181" s="152"/>
      <c r="T181" s="131" t="s">
        <v>20</v>
      </c>
      <c r="U181" s="72" t="s">
        <v>188</v>
      </c>
      <c r="V181" s="73">
        <v>685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</row>
    <row r="182" spans="18:57" x14ac:dyDescent="0.25">
      <c r="R182" s="152"/>
      <c r="S182" s="152"/>
      <c r="T182" s="131" t="s">
        <v>20</v>
      </c>
      <c r="U182" s="72" t="s">
        <v>217</v>
      </c>
      <c r="V182" s="73">
        <v>14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</row>
    <row r="183" spans="18:57" x14ac:dyDescent="0.25">
      <c r="R183" s="152"/>
      <c r="S183" s="152"/>
      <c r="T183" s="131" t="s">
        <v>20</v>
      </c>
      <c r="U183" s="72" t="s">
        <v>190</v>
      </c>
      <c r="V183" s="73">
        <v>37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</row>
    <row r="184" spans="18:57" x14ac:dyDescent="0.25">
      <c r="R184" s="152"/>
      <c r="S184" s="152"/>
      <c r="T184" s="131" t="s">
        <v>17</v>
      </c>
      <c r="U184" s="72" t="s">
        <v>182</v>
      </c>
      <c r="V184" s="73">
        <v>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</row>
    <row r="185" spans="18:57" x14ac:dyDescent="0.25">
      <c r="R185" s="152"/>
      <c r="S185" s="152"/>
      <c r="T185" s="131" t="s">
        <v>17</v>
      </c>
      <c r="U185" s="72" t="s">
        <v>183</v>
      </c>
      <c r="V185" s="73">
        <v>1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</row>
    <row r="186" spans="18:57" x14ac:dyDescent="0.25">
      <c r="R186" s="152"/>
      <c r="S186" s="152"/>
      <c r="T186" s="131" t="s">
        <v>17</v>
      </c>
      <c r="U186" s="72" t="s">
        <v>184</v>
      </c>
      <c r="V186" s="73">
        <v>12.5</v>
      </c>
      <c r="W186" s="73">
        <v>12.5</v>
      </c>
      <c r="X186" s="73">
        <v>12.5</v>
      </c>
      <c r="Y186" s="73">
        <v>12.5</v>
      </c>
      <c r="Z186" s="73">
        <v>12.5</v>
      </c>
      <c r="AA186" s="73">
        <v>12.5</v>
      </c>
      <c r="AB186" s="73">
        <v>12.5</v>
      </c>
      <c r="AC186" s="73">
        <v>12.5</v>
      </c>
      <c r="AD186" s="73">
        <v>12.5</v>
      </c>
      <c r="AE186" s="73">
        <v>12.5</v>
      </c>
      <c r="AF186" s="73">
        <v>12.5</v>
      </c>
      <c r="AG186" s="73">
        <v>12.5</v>
      </c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</row>
    <row r="187" spans="18:57" x14ac:dyDescent="0.25">
      <c r="R187" s="152"/>
      <c r="S187" s="152"/>
      <c r="T187" s="131" t="s">
        <v>17</v>
      </c>
      <c r="U187" s="72" t="s">
        <v>185</v>
      </c>
      <c r="V187" s="73">
        <v>12.5</v>
      </c>
      <c r="W187" s="73">
        <v>12.5</v>
      </c>
      <c r="X187" s="73">
        <v>12.5</v>
      </c>
      <c r="Y187" s="73">
        <v>12.5</v>
      </c>
      <c r="Z187" s="73">
        <v>12.5</v>
      </c>
      <c r="AA187" s="73">
        <v>12.5</v>
      </c>
      <c r="AB187" s="73">
        <v>12.5</v>
      </c>
      <c r="AC187" s="73">
        <v>12.5</v>
      </c>
      <c r="AD187" s="73">
        <v>12.5</v>
      </c>
      <c r="AE187" s="73">
        <v>12.5</v>
      </c>
      <c r="AF187" s="73">
        <v>12.5</v>
      </c>
      <c r="AG187" s="73">
        <v>12.5</v>
      </c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</row>
    <row r="188" spans="18:57" x14ac:dyDescent="0.25">
      <c r="R188" s="152"/>
      <c r="S188" s="152"/>
      <c r="T188" s="131" t="s">
        <v>17</v>
      </c>
      <c r="U188" s="72" t="s">
        <v>188</v>
      </c>
      <c r="V188" s="73">
        <v>155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</row>
    <row r="189" spans="18:57" x14ac:dyDescent="0.25">
      <c r="T189" s="71" t="s">
        <v>17</v>
      </c>
      <c r="U189" s="72" t="s">
        <v>217</v>
      </c>
      <c r="V189" s="73">
        <v>9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</row>
    <row r="190" spans="18:57" x14ac:dyDescent="0.25">
      <c r="T190" s="71" t="s">
        <v>17</v>
      </c>
      <c r="U190" s="72" t="s">
        <v>190</v>
      </c>
      <c r="V190" s="73">
        <v>1E-14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</row>
    <row r="191" spans="18:57" x14ac:dyDescent="0.25">
      <c r="T191" s="71" t="s">
        <v>26</v>
      </c>
      <c r="U191" s="72" t="s">
        <v>182</v>
      </c>
      <c r="V191" s="73">
        <v>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</row>
    <row r="192" spans="18:57" x14ac:dyDescent="0.25">
      <c r="T192" s="71" t="s">
        <v>26</v>
      </c>
      <c r="U192" s="72" t="s">
        <v>183</v>
      </c>
      <c r="V192" s="73">
        <v>1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</row>
    <row r="193" spans="20:57" x14ac:dyDescent="0.25">
      <c r="T193" s="71" t="s">
        <v>26</v>
      </c>
      <c r="U193" s="72" t="s">
        <v>184</v>
      </c>
      <c r="V193" s="73">
        <v>1E-14</v>
      </c>
      <c r="W193" s="73">
        <v>1E-14</v>
      </c>
      <c r="X193" s="73">
        <v>1E-14</v>
      </c>
      <c r="Y193" s="73">
        <v>1E-14</v>
      </c>
      <c r="Z193" s="73">
        <v>1E-14</v>
      </c>
      <c r="AA193" s="73">
        <v>1E-14</v>
      </c>
      <c r="AB193" s="73">
        <v>1E-14</v>
      </c>
      <c r="AC193" s="73">
        <v>1E-14</v>
      </c>
      <c r="AD193" s="73">
        <v>1E-14</v>
      </c>
      <c r="AE193" s="73">
        <v>1E-14</v>
      </c>
      <c r="AF193" s="73">
        <v>1E-14</v>
      </c>
      <c r="AG193" s="73">
        <v>1E-14</v>
      </c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</row>
    <row r="194" spans="20:57" x14ac:dyDescent="0.25">
      <c r="T194" s="71" t="s">
        <v>26</v>
      </c>
      <c r="U194" s="72" t="s">
        <v>185</v>
      </c>
      <c r="V194" s="73">
        <v>10000</v>
      </c>
      <c r="W194" s="73">
        <v>10000</v>
      </c>
      <c r="X194" s="73">
        <v>10000</v>
      </c>
      <c r="Y194" s="73">
        <v>10000</v>
      </c>
      <c r="Z194" s="73">
        <v>10000</v>
      </c>
      <c r="AA194" s="73">
        <v>10000</v>
      </c>
      <c r="AB194" s="73">
        <v>10000</v>
      </c>
      <c r="AC194" s="73">
        <v>10000</v>
      </c>
      <c r="AD194" s="73">
        <v>10000</v>
      </c>
      <c r="AE194" s="73">
        <v>10000</v>
      </c>
      <c r="AF194" s="73">
        <v>10000</v>
      </c>
      <c r="AG194" s="73">
        <v>10000</v>
      </c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</row>
    <row r="195" spans="20:57" x14ac:dyDescent="0.25">
      <c r="T195" s="6" t="s">
        <v>26</v>
      </c>
      <c r="U195" s="6" t="s">
        <v>188</v>
      </c>
      <c r="V195">
        <v>1E-14</v>
      </c>
      <c r="W195">
        <v>1E-14</v>
      </c>
      <c r="X195">
        <v>1E-14</v>
      </c>
      <c r="Y195">
        <v>1E-14</v>
      </c>
      <c r="Z195">
        <v>1E-14</v>
      </c>
      <c r="AA195">
        <v>1E-14</v>
      </c>
      <c r="AB195">
        <v>1E-14</v>
      </c>
      <c r="AC195">
        <v>1E-14</v>
      </c>
      <c r="AD195">
        <v>1E-14</v>
      </c>
      <c r="AE195">
        <v>1E-14</v>
      </c>
      <c r="AF195">
        <v>1E-14</v>
      </c>
      <c r="AG195">
        <v>1E-14</v>
      </c>
    </row>
    <row r="196" spans="20:57" x14ac:dyDescent="0.25">
      <c r="T196" s="6" t="s">
        <v>26</v>
      </c>
      <c r="U196" s="6" t="s">
        <v>217</v>
      </c>
      <c r="V196">
        <v>11.5</v>
      </c>
      <c r="W196">
        <v>11.5</v>
      </c>
      <c r="X196">
        <v>11.5</v>
      </c>
      <c r="Y196">
        <v>11.5</v>
      </c>
      <c r="Z196">
        <v>11.5</v>
      </c>
      <c r="AA196">
        <v>11.5</v>
      </c>
      <c r="AB196">
        <v>11.5</v>
      </c>
      <c r="AC196">
        <v>11.5</v>
      </c>
      <c r="AD196">
        <v>11.5</v>
      </c>
      <c r="AE196">
        <v>11.5</v>
      </c>
      <c r="AF196">
        <v>11.5</v>
      </c>
      <c r="AG196">
        <v>11.5</v>
      </c>
    </row>
    <row r="197" spans="20:57" x14ac:dyDescent="0.25">
      <c r="T197" s="6" t="s">
        <v>26</v>
      </c>
      <c r="U197" s="6" t="s">
        <v>190</v>
      </c>
      <c r="V197">
        <v>1E-14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</row>
    <row r="198" spans="20:57" x14ac:dyDescent="0.25">
      <c r="T198" s="6" t="s">
        <v>27</v>
      </c>
      <c r="U198" s="6" t="s">
        <v>182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</row>
    <row r="199" spans="20:57" x14ac:dyDescent="0.25">
      <c r="T199" s="6" t="s">
        <v>27</v>
      </c>
      <c r="U199" s="6" t="s">
        <v>183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</row>
    <row r="200" spans="20:57" x14ac:dyDescent="0.25">
      <c r="T200" s="6" t="s">
        <v>27</v>
      </c>
      <c r="U200" s="6" t="s">
        <v>184</v>
      </c>
      <c r="V200">
        <v>1E-14</v>
      </c>
      <c r="W200">
        <v>1E-14</v>
      </c>
      <c r="X200">
        <v>1E-14</v>
      </c>
      <c r="Y200">
        <v>1E-14</v>
      </c>
      <c r="Z200">
        <v>1E-14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1E-14</v>
      </c>
      <c r="AG200">
        <v>1E-14</v>
      </c>
    </row>
    <row r="201" spans="20:57" x14ac:dyDescent="0.25">
      <c r="T201" s="6" t="s">
        <v>27</v>
      </c>
      <c r="U201" s="6" t="s">
        <v>185</v>
      </c>
      <c r="V201">
        <v>833.33333333333337</v>
      </c>
      <c r="W201">
        <v>833.33333333333337</v>
      </c>
      <c r="X201">
        <v>833.33333333333337</v>
      </c>
      <c r="Y201">
        <v>833.33333333333337</v>
      </c>
      <c r="Z201">
        <v>833.33333333333337</v>
      </c>
      <c r="AA201">
        <v>833.33333333333337</v>
      </c>
      <c r="AB201">
        <v>833.33333333333337</v>
      </c>
      <c r="AC201">
        <v>833.33333333333337</v>
      </c>
      <c r="AD201">
        <v>833.33333333333337</v>
      </c>
      <c r="AE201">
        <v>833.33333333333337</v>
      </c>
      <c r="AF201">
        <v>833.33333333333337</v>
      </c>
      <c r="AG201">
        <v>833.33333333333337</v>
      </c>
    </row>
    <row r="202" spans="20:57" x14ac:dyDescent="0.25">
      <c r="T202" s="6" t="s">
        <v>27</v>
      </c>
      <c r="U202" s="6" t="s">
        <v>188</v>
      </c>
      <c r="V202">
        <v>450</v>
      </c>
      <c r="W202">
        <v>450</v>
      </c>
      <c r="X202">
        <v>450</v>
      </c>
      <c r="Y202">
        <v>450</v>
      </c>
      <c r="Z202">
        <v>450</v>
      </c>
      <c r="AA202">
        <v>450</v>
      </c>
      <c r="AB202">
        <v>450</v>
      </c>
      <c r="AC202">
        <v>450</v>
      </c>
      <c r="AD202">
        <v>450</v>
      </c>
      <c r="AE202">
        <v>450</v>
      </c>
      <c r="AF202">
        <v>450</v>
      </c>
      <c r="AG202">
        <v>450</v>
      </c>
    </row>
    <row r="203" spans="20:57" x14ac:dyDescent="0.25">
      <c r="T203" s="6" t="s">
        <v>27</v>
      </c>
      <c r="U203" s="6" t="s">
        <v>217</v>
      </c>
      <c r="V203">
        <v>10.5</v>
      </c>
      <c r="W203">
        <v>10.5</v>
      </c>
      <c r="X203">
        <v>10.5</v>
      </c>
      <c r="Y203">
        <v>10.5</v>
      </c>
      <c r="Z203">
        <v>10.5</v>
      </c>
      <c r="AA203">
        <v>10.5</v>
      </c>
      <c r="AB203">
        <v>10.5</v>
      </c>
      <c r="AC203">
        <v>10.5</v>
      </c>
      <c r="AD203">
        <v>10.5</v>
      </c>
      <c r="AE203">
        <v>10.5</v>
      </c>
      <c r="AF203">
        <v>10.5</v>
      </c>
      <c r="AG203">
        <v>10.5</v>
      </c>
    </row>
    <row r="204" spans="20:57" x14ac:dyDescent="0.25">
      <c r="T204" s="6" t="s">
        <v>27</v>
      </c>
      <c r="U204" s="6" t="s">
        <v>190</v>
      </c>
      <c r="V204">
        <v>37</v>
      </c>
      <c r="W204">
        <v>37</v>
      </c>
      <c r="X204">
        <v>37</v>
      </c>
      <c r="Y204">
        <v>37</v>
      </c>
      <c r="Z204">
        <v>37</v>
      </c>
      <c r="AA204">
        <v>37</v>
      </c>
      <c r="AB204">
        <v>37</v>
      </c>
      <c r="AC204">
        <v>37</v>
      </c>
      <c r="AD204">
        <v>37</v>
      </c>
      <c r="AE204">
        <v>37</v>
      </c>
      <c r="AF204">
        <v>37</v>
      </c>
      <c r="AG204">
        <v>37</v>
      </c>
    </row>
    <row r="205" spans="20:57" x14ac:dyDescent="0.25">
      <c r="T205" s="6" t="s">
        <v>60</v>
      </c>
      <c r="U205" s="6" t="s">
        <v>182</v>
      </c>
      <c r="V205">
        <v>1E-14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</row>
    <row r="206" spans="20:57" x14ac:dyDescent="0.25">
      <c r="T206" s="6" t="s">
        <v>60</v>
      </c>
      <c r="U206" s="6" t="s">
        <v>183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</row>
    <row r="207" spans="20:57" x14ac:dyDescent="0.25">
      <c r="T207" s="6" t="s">
        <v>60</v>
      </c>
      <c r="U207" s="6" t="s">
        <v>184</v>
      </c>
      <c r="V207">
        <v>1E-14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</row>
    <row r="208" spans="20:57" x14ac:dyDescent="0.25">
      <c r="T208" s="6" t="s">
        <v>60</v>
      </c>
      <c r="U208" s="6" t="s">
        <v>185</v>
      </c>
      <c r="V208">
        <v>833.33333333333337</v>
      </c>
      <c r="W208">
        <v>833.33333333333337</v>
      </c>
      <c r="X208">
        <v>833.33333333333337</v>
      </c>
      <c r="Y208">
        <v>833.33333333333337</v>
      </c>
      <c r="Z208">
        <v>833.33333333333337</v>
      </c>
      <c r="AA208">
        <v>833.33333333333337</v>
      </c>
      <c r="AB208">
        <v>833.33333333333337</v>
      </c>
      <c r="AC208">
        <v>833.33333333333337</v>
      </c>
      <c r="AD208">
        <v>833.33333333333337</v>
      </c>
      <c r="AE208">
        <v>833.33333333333337</v>
      </c>
      <c r="AF208">
        <v>833.33333333333337</v>
      </c>
      <c r="AG208">
        <v>833.33333333333337</v>
      </c>
    </row>
    <row r="209" spans="20:33" x14ac:dyDescent="0.25">
      <c r="T209" s="6" t="s">
        <v>60</v>
      </c>
      <c r="U209" s="6" t="s">
        <v>188</v>
      </c>
      <c r="V209">
        <v>500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</row>
    <row r="210" spans="20:33" x14ac:dyDescent="0.25">
      <c r="T210" s="6" t="s">
        <v>60</v>
      </c>
      <c r="U210" s="6" t="s">
        <v>217</v>
      </c>
      <c r="V210">
        <v>9.5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</row>
    <row r="211" spans="20:33" x14ac:dyDescent="0.25">
      <c r="T211" s="6" t="s">
        <v>60</v>
      </c>
      <c r="U211" s="6" t="s">
        <v>190</v>
      </c>
      <c r="V211">
        <v>37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</row>
    <row r="212" spans="20:33" x14ac:dyDescent="0.25">
      <c r="T212" s="6" t="s">
        <v>61</v>
      </c>
      <c r="U212" s="6" t="s">
        <v>182</v>
      </c>
      <c r="V212">
        <v>1E-14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</row>
    <row r="213" spans="20:33" x14ac:dyDescent="0.25">
      <c r="T213" s="6" t="s">
        <v>61</v>
      </c>
      <c r="U213" s="6" t="s">
        <v>183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</row>
    <row r="214" spans="20:33" x14ac:dyDescent="0.25">
      <c r="T214" s="6" t="s">
        <v>61</v>
      </c>
      <c r="U214" s="6" t="s">
        <v>184</v>
      </c>
      <c r="V214">
        <v>1E-14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</row>
    <row r="215" spans="20:33" x14ac:dyDescent="0.25">
      <c r="T215" s="6" t="s">
        <v>61</v>
      </c>
      <c r="U215" s="6" t="s">
        <v>185</v>
      </c>
      <c r="V215">
        <v>833.33333333333337</v>
      </c>
      <c r="W215">
        <v>833.33333333333337</v>
      </c>
      <c r="X215">
        <v>833.33333333333337</v>
      </c>
      <c r="Y215">
        <v>833.33333333333337</v>
      </c>
      <c r="Z215">
        <v>833.33333333333337</v>
      </c>
      <c r="AA215">
        <v>833.33333333333337</v>
      </c>
      <c r="AB215">
        <v>833.33333333333337</v>
      </c>
      <c r="AC215">
        <v>833.33333333333337</v>
      </c>
      <c r="AD215">
        <v>833.33333333333337</v>
      </c>
      <c r="AE215">
        <v>833.33333333333337</v>
      </c>
      <c r="AF215">
        <v>833.33333333333337</v>
      </c>
      <c r="AG215">
        <v>833.33333333333337</v>
      </c>
    </row>
    <row r="216" spans="20:33" x14ac:dyDescent="0.25">
      <c r="T216" s="6" t="s">
        <v>61</v>
      </c>
      <c r="U216" s="6" t="s">
        <v>188</v>
      </c>
      <c r="V216">
        <v>550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</row>
    <row r="217" spans="20:33" x14ac:dyDescent="0.25">
      <c r="T217" s="6" t="s">
        <v>61</v>
      </c>
      <c r="U217" s="6" t="s">
        <v>217</v>
      </c>
      <c r="V217">
        <v>8.5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</row>
    <row r="218" spans="20:33" x14ac:dyDescent="0.25">
      <c r="T218" s="6" t="s">
        <v>61</v>
      </c>
      <c r="U218" s="6" t="s">
        <v>190</v>
      </c>
      <c r="V218">
        <v>37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</row>
    <row r="219" spans="20:33" x14ac:dyDescent="0.25">
      <c r="T219" s="6" t="s">
        <v>62</v>
      </c>
      <c r="U219" s="6" t="s">
        <v>182</v>
      </c>
      <c r="V219">
        <v>1E-14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</row>
    <row r="220" spans="20:33" x14ac:dyDescent="0.25">
      <c r="T220" s="6" t="s">
        <v>62</v>
      </c>
      <c r="U220" s="6" t="s">
        <v>183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</row>
    <row r="221" spans="20:33" x14ac:dyDescent="0.25">
      <c r="T221" s="6" t="s">
        <v>62</v>
      </c>
      <c r="U221" s="6" t="s">
        <v>184</v>
      </c>
      <c r="V221">
        <v>1E-14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</row>
    <row r="222" spans="20:33" x14ac:dyDescent="0.25">
      <c r="T222" s="6" t="s">
        <v>62</v>
      </c>
      <c r="U222" s="6" t="s">
        <v>185</v>
      </c>
      <c r="V222">
        <v>833.33333333333337</v>
      </c>
      <c r="W222">
        <v>833.33333333333337</v>
      </c>
      <c r="X222">
        <v>833.33333333333337</v>
      </c>
      <c r="Y222">
        <v>833.33333333333337</v>
      </c>
      <c r="Z222">
        <v>833.33333333333337</v>
      </c>
      <c r="AA222">
        <v>833.33333333333337</v>
      </c>
      <c r="AB222">
        <v>833.33333333333337</v>
      </c>
      <c r="AC222">
        <v>833.33333333333337</v>
      </c>
      <c r="AD222">
        <v>833.33333333333337</v>
      </c>
      <c r="AE222">
        <v>833.33333333333337</v>
      </c>
      <c r="AF222">
        <v>833.33333333333337</v>
      </c>
      <c r="AG222">
        <v>833.33333333333337</v>
      </c>
    </row>
    <row r="223" spans="20:33" x14ac:dyDescent="0.25">
      <c r="T223" s="6" t="s">
        <v>62</v>
      </c>
      <c r="U223" s="6" t="s">
        <v>188</v>
      </c>
      <c r="V223">
        <v>600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</row>
    <row r="224" spans="20:33" x14ac:dyDescent="0.25">
      <c r="T224" s="6" t="s">
        <v>62</v>
      </c>
      <c r="U224" s="6" t="s">
        <v>217</v>
      </c>
      <c r="V224">
        <v>7.5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</row>
    <row r="225" spans="20:33" x14ac:dyDescent="0.25">
      <c r="T225" s="6" t="s">
        <v>62</v>
      </c>
      <c r="U225" s="6" t="s">
        <v>190</v>
      </c>
      <c r="V225">
        <v>37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</row>
    <row r="226" spans="20:33" x14ac:dyDescent="0.25">
      <c r="T226" s="6" t="s">
        <v>21</v>
      </c>
      <c r="U226" s="6" t="s">
        <v>182</v>
      </c>
      <c r="V226">
        <v>1E-14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</row>
    <row r="227" spans="20:33" x14ac:dyDescent="0.25">
      <c r="T227" s="6" t="s">
        <v>21</v>
      </c>
      <c r="U227" s="6" t="s">
        <v>183</v>
      </c>
      <c r="V227">
        <v>1E-14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</row>
    <row r="228" spans="20:33" x14ac:dyDescent="0.25">
      <c r="T228" s="6" t="s">
        <v>21</v>
      </c>
      <c r="U228" s="6" t="s">
        <v>184</v>
      </c>
      <c r="V228">
        <v>1E-14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</row>
    <row r="229" spans="20:33" x14ac:dyDescent="0.25">
      <c r="T229" s="6" t="s">
        <v>21</v>
      </c>
      <c r="U229" s="6" t="s">
        <v>185</v>
      </c>
      <c r="V229">
        <v>1E-14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</row>
    <row r="230" spans="20:33" x14ac:dyDescent="0.25">
      <c r="T230" s="6" t="s">
        <v>21</v>
      </c>
      <c r="U230" s="6" t="s">
        <v>188</v>
      </c>
      <c r="V230">
        <v>1E-14</v>
      </c>
      <c r="W230">
        <v>1E-14</v>
      </c>
      <c r="X230">
        <v>1E-14</v>
      </c>
      <c r="Y230">
        <v>1E-14</v>
      </c>
      <c r="Z230">
        <v>1E-14</v>
      </c>
      <c r="AA230">
        <v>1E-14</v>
      </c>
      <c r="AB230">
        <v>1E-14</v>
      </c>
      <c r="AC230">
        <v>1E-14</v>
      </c>
      <c r="AD230">
        <v>1E-14</v>
      </c>
      <c r="AE230">
        <v>1E-14</v>
      </c>
      <c r="AF230">
        <v>1E-14</v>
      </c>
      <c r="AG230">
        <v>1E-14</v>
      </c>
    </row>
    <row r="231" spans="20:33" x14ac:dyDescent="0.25">
      <c r="T231" s="6" t="s">
        <v>21</v>
      </c>
      <c r="U231" s="6" t="s">
        <v>217</v>
      </c>
      <c r="V231">
        <v>9.4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</row>
    <row r="232" spans="20:33" x14ac:dyDescent="0.25">
      <c r="T232" s="6" t="s">
        <v>21</v>
      </c>
      <c r="U232" s="6" t="s">
        <v>190</v>
      </c>
      <c r="V232">
        <v>1E-14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</row>
    <row r="233" spans="20:33" x14ac:dyDescent="0.25">
      <c r="T233" s="6" t="s">
        <v>22</v>
      </c>
      <c r="U233" s="6" t="s">
        <v>182</v>
      </c>
      <c r="V233">
        <v>1E-14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</row>
    <row r="234" spans="20:33" x14ac:dyDescent="0.25">
      <c r="T234" s="6" t="s">
        <v>22</v>
      </c>
      <c r="U234" s="6" t="s">
        <v>183</v>
      </c>
      <c r="V234">
        <v>1E-14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</row>
    <row r="235" spans="20:33" x14ac:dyDescent="0.25">
      <c r="T235" s="6" t="s">
        <v>22</v>
      </c>
      <c r="U235" s="6" t="s">
        <v>184</v>
      </c>
      <c r="V235">
        <v>1E-14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</row>
    <row r="236" spans="20:33" x14ac:dyDescent="0.25">
      <c r="T236" s="6" t="s">
        <v>22</v>
      </c>
      <c r="U236" s="6" t="s">
        <v>185</v>
      </c>
      <c r="V236">
        <v>20.833333333333332</v>
      </c>
      <c r="W236">
        <v>1E-14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29.166666666666668</v>
      </c>
    </row>
    <row r="237" spans="20:33" x14ac:dyDescent="0.25">
      <c r="T237" s="6" t="s">
        <v>22</v>
      </c>
      <c r="U237" s="6" t="s">
        <v>188</v>
      </c>
      <c r="V237">
        <v>1E-14</v>
      </c>
      <c r="W237">
        <v>1E-14</v>
      </c>
      <c r="X237">
        <v>1E-14</v>
      </c>
      <c r="Y237">
        <v>1E-14</v>
      </c>
      <c r="Z237">
        <v>1E-14</v>
      </c>
      <c r="AA237">
        <v>1E-14</v>
      </c>
      <c r="AB237">
        <v>1E-14</v>
      </c>
      <c r="AC237">
        <v>1E-14</v>
      </c>
      <c r="AD237">
        <v>1E-14</v>
      </c>
      <c r="AE237">
        <v>1E-14</v>
      </c>
      <c r="AF237">
        <v>1E-14</v>
      </c>
      <c r="AG237">
        <v>1E-14</v>
      </c>
    </row>
    <row r="238" spans="20:33" x14ac:dyDescent="0.25">
      <c r="T238" s="6" t="s">
        <v>22</v>
      </c>
      <c r="U238" s="6" t="s">
        <v>217</v>
      </c>
      <c r="V238">
        <v>3.6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</row>
    <row r="239" spans="20:33" x14ac:dyDescent="0.25">
      <c r="T239" s="6" t="s">
        <v>22</v>
      </c>
      <c r="U239" s="6" t="s">
        <v>190</v>
      </c>
      <c r="V239">
        <v>1E-14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</row>
    <row r="240" spans="20:33" x14ac:dyDescent="0.25">
      <c r="T240" s="6" t="s">
        <v>25</v>
      </c>
      <c r="U240" s="6" t="s">
        <v>182</v>
      </c>
      <c r="V240">
        <v>1E-14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</row>
    <row r="241" spans="20:33" x14ac:dyDescent="0.25">
      <c r="T241" s="6" t="s">
        <v>25</v>
      </c>
      <c r="U241" s="6" t="s">
        <v>183</v>
      </c>
      <c r="V241">
        <v>1E-14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</row>
    <row r="242" spans="20:33" x14ac:dyDescent="0.25">
      <c r="T242" s="6" t="s">
        <v>25</v>
      </c>
      <c r="U242" s="6" t="s">
        <v>184</v>
      </c>
      <c r="V242">
        <v>1E-14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</row>
    <row r="243" spans="20:33" x14ac:dyDescent="0.25">
      <c r="T243" s="6" t="s">
        <v>25</v>
      </c>
      <c r="U243" s="6" t="s">
        <v>185</v>
      </c>
      <c r="V243">
        <v>20000</v>
      </c>
      <c r="W243">
        <v>20000</v>
      </c>
      <c r="X243">
        <v>20000</v>
      </c>
      <c r="Y243">
        <v>20000</v>
      </c>
      <c r="Z243">
        <v>20000</v>
      </c>
      <c r="AA243">
        <v>20000</v>
      </c>
      <c r="AB243">
        <v>20000</v>
      </c>
      <c r="AC243">
        <v>20000</v>
      </c>
      <c r="AD243">
        <v>20000</v>
      </c>
      <c r="AE243">
        <v>20000</v>
      </c>
      <c r="AF243">
        <v>20000</v>
      </c>
      <c r="AG243">
        <v>20000</v>
      </c>
    </row>
    <row r="244" spans="20:33" x14ac:dyDescent="0.25">
      <c r="T244" s="6" t="s">
        <v>25</v>
      </c>
      <c r="U244" s="6" t="s">
        <v>188</v>
      </c>
      <c r="V244">
        <v>1E-14</v>
      </c>
      <c r="W244">
        <v>1E-14</v>
      </c>
      <c r="X244">
        <v>1E-14</v>
      </c>
      <c r="Y244">
        <v>1E-14</v>
      </c>
      <c r="Z244">
        <v>1E-14</v>
      </c>
      <c r="AA244">
        <v>1E-14</v>
      </c>
      <c r="AB244">
        <v>1E-14</v>
      </c>
      <c r="AC244">
        <v>1E-14</v>
      </c>
      <c r="AD244">
        <v>1E-14</v>
      </c>
      <c r="AE244">
        <v>1E-14</v>
      </c>
      <c r="AF244">
        <v>1E-14</v>
      </c>
      <c r="AG244">
        <v>1E-14</v>
      </c>
    </row>
    <row r="245" spans="20:33" x14ac:dyDescent="0.25">
      <c r="T245" s="6" t="s">
        <v>25</v>
      </c>
      <c r="U245" s="6" t="s">
        <v>217</v>
      </c>
      <c r="V245">
        <v>44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</row>
    <row r="246" spans="20:33" x14ac:dyDescent="0.25">
      <c r="T246" s="6" t="s">
        <v>25</v>
      </c>
      <c r="U246" s="6" t="s">
        <v>190</v>
      </c>
      <c r="V246">
        <v>72.727272727272734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06" priority="13" operator="lessThanOrEqual">
      <formula>0</formula>
    </cfRule>
  </conditionalFormatting>
  <conditionalFormatting sqref="V16:BE16">
    <cfRule type="cellIs" dxfId="105" priority="8" operator="greaterThan">
      <formula>0</formula>
    </cfRule>
  </conditionalFormatting>
  <conditionalFormatting sqref="C30:C35">
    <cfRule type="cellIs" dxfId="104" priority="6" operator="greaterThan">
      <formula>0.0000000000001</formula>
    </cfRule>
  </conditionalFormatting>
  <conditionalFormatting sqref="B44:Q75">
    <cfRule type="expression" dxfId="103" priority="5">
      <formula>$C44&gt;0.0000000000001</formula>
    </cfRule>
  </conditionalFormatting>
  <conditionalFormatting sqref="C3:C8">
    <cfRule type="cellIs" dxfId="102" priority="4" operator="greaterThan">
      <formula>0.0000000000001</formula>
    </cfRule>
  </conditionalFormatting>
  <conditionalFormatting sqref="C4:C7">
    <cfRule type="cellIs" dxfId="101" priority="3" operator="greaterThan">
      <formula>0.000000000001</formula>
    </cfRule>
  </conditionalFormatting>
  <conditionalFormatting sqref="R44:R72">
    <cfRule type="expression" dxfId="100" priority="2">
      <formula>$C44&gt;0.0000000000001</formula>
    </cfRule>
  </conditionalFormatting>
  <conditionalFormatting sqref="C44:J75">
    <cfRule type="cellIs" dxfId="9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9:AB106"/>
  <sheetViews>
    <sheetView zoomScale="85" zoomScaleNormal="85" workbookViewId="0">
      <selection activeCell="R17" sqref="R17"/>
    </sheetView>
  </sheetViews>
  <sheetFormatPr defaultRowHeight="15" x14ac:dyDescent="0.25"/>
  <cols>
    <col min="2" max="2" width="7" bestFit="1" customWidth="1"/>
    <col min="3" max="3" width="11.140625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110</v>
      </c>
      <c r="C11" s="6" t="s">
        <v>99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110</v>
      </c>
      <c r="C12" s="6" t="s">
        <v>115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110</v>
      </c>
      <c r="C13" s="6" t="s">
        <v>116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110</v>
      </c>
      <c r="C14" s="6" t="s">
        <v>165</v>
      </c>
      <c r="D14">
        <v>8.5</v>
      </c>
      <c r="E14">
        <v>8.5</v>
      </c>
      <c r="F14">
        <v>8.5</v>
      </c>
      <c r="G14">
        <v>8.5</v>
      </c>
      <c r="H14">
        <v>8.5</v>
      </c>
      <c r="I14">
        <v>8.5</v>
      </c>
      <c r="J14">
        <v>8.5</v>
      </c>
      <c r="K14">
        <v>8.5</v>
      </c>
      <c r="L14">
        <v>8.5</v>
      </c>
      <c r="M14">
        <v>8.5</v>
      </c>
      <c r="N14">
        <v>8.5</v>
      </c>
      <c r="O14">
        <v>8.5</v>
      </c>
    </row>
    <row r="15" spans="2:28" x14ac:dyDescent="0.25">
      <c r="B15" s="6" t="s">
        <v>110</v>
      </c>
      <c r="C15" s="6" t="s">
        <v>166</v>
      </c>
      <c r="D15">
        <v>14.5</v>
      </c>
      <c r="E15">
        <v>14.5</v>
      </c>
      <c r="F15">
        <v>14.5</v>
      </c>
      <c r="G15">
        <v>14.5</v>
      </c>
      <c r="H15">
        <v>14.5</v>
      </c>
      <c r="I15">
        <v>14.5</v>
      </c>
      <c r="J15">
        <v>14.5</v>
      </c>
      <c r="K15">
        <v>14.5</v>
      </c>
      <c r="L15">
        <v>14.5</v>
      </c>
      <c r="M15">
        <v>14.5</v>
      </c>
      <c r="N15">
        <v>14.5</v>
      </c>
      <c r="O15">
        <v>14.5</v>
      </c>
    </row>
    <row r="16" spans="2:28" x14ac:dyDescent="0.25">
      <c r="B16" s="6" t="s">
        <v>110</v>
      </c>
      <c r="C16" s="6" t="s">
        <v>167</v>
      </c>
      <c r="D16">
        <v>2.2000000000000002</v>
      </c>
      <c r="E16">
        <v>2.2000000000000002</v>
      </c>
      <c r="F16">
        <v>2.2000000000000002</v>
      </c>
      <c r="G16">
        <v>2.2000000000000002</v>
      </c>
      <c r="H16">
        <v>2.2000000000000002</v>
      </c>
      <c r="I16">
        <v>2.2000000000000002</v>
      </c>
      <c r="J16">
        <v>2.2000000000000002</v>
      </c>
      <c r="K16">
        <v>2.2000000000000002</v>
      </c>
      <c r="L16">
        <v>2.2000000000000002</v>
      </c>
      <c r="M16">
        <v>2.2000000000000002</v>
      </c>
      <c r="N16">
        <v>2.2000000000000002</v>
      </c>
      <c r="O16">
        <v>2.2000000000000002</v>
      </c>
    </row>
    <row r="17" spans="2:15" x14ac:dyDescent="0.25">
      <c r="B17" s="6" t="s">
        <v>110</v>
      </c>
      <c r="C17" s="6" t="s">
        <v>168</v>
      </c>
      <c r="D17">
        <v>4.7672149428491775</v>
      </c>
      <c r="E17">
        <v>4.7672149428491775</v>
      </c>
      <c r="F17">
        <v>4.7672149428491775</v>
      </c>
      <c r="G17">
        <v>4.7672149428491775</v>
      </c>
      <c r="H17">
        <v>4.7672149428491775</v>
      </c>
      <c r="I17">
        <v>4.7672149428491775</v>
      </c>
      <c r="J17">
        <v>4.7672149428491775</v>
      </c>
      <c r="K17">
        <v>4.7672149428491775</v>
      </c>
      <c r="L17">
        <v>4.7672149428491775</v>
      </c>
      <c r="M17">
        <v>4.7672149428491775</v>
      </c>
      <c r="N17">
        <v>4.7672149428491775</v>
      </c>
      <c r="O17">
        <v>4.7672149428491775</v>
      </c>
    </row>
    <row r="18" spans="2:15" x14ac:dyDescent="0.25">
      <c r="B18" s="6" t="s">
        <v>110</v>
      </c>
      <c r="C18" s="6" t="s">
        <v>192</v>
      </c>
      <c r="D18">
        <v>9.5</v>
      </c>
      <c r="E18">
        <v>9.5</v>
      </c>
      <c r="F18">
        <v>9.5</v>
      </c>
      <c r="G18">
        <v>9.5</v>
      </c>
      <c r="H18">
        <v>9.5</v>
      </c>
      <c r="I18">
        <v>9.5</v>
      </c>
      <c r="J18">
        <v>9.5</v>
      </c>
      <c r="K18">
        <v>9.5</v>
      </c>
      <c r="L18">
        <v>9.5</v>
      </c>
      <c r="M18">
        <v>9.5</v>
      </c>
      <c r="N18">
        <v>9.5</v>
      </c>
      <c r="O18">
        <v>9.5</v>
      </c>
    </row>
    <row r="19" spans="2:15" x14ac:dyDescent="0.25">
      <c r="B19" s="6" t="s">
        <v>110</v>
      </c>
      <c r="C19" s="6" t="s">
        <v>23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2:15" x14ac:dyDescent="0.25">
      <c r="B20" s="6" t="s">
        <v>110</v>
      </c>
      <c r="C20" s="6" t="s">
        <v>193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110</v>
      </c>
      <c r="C21" s="6" t="s">
        <v>221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110</v>
      </c>
      <c r="C22" s="6" t="s">
        <v>222</v>
      </c>
      <c r="D22">
        <v>1E-14</v>
      </c>
      <c r="E22">
        <v>1E-14</v>
      </c>
      <c r="F22">
        <v>1E-14</v>
      </c>
      <c r="G22">
        <v>1E-14</v>
      </c>
      <c r="H22">
        <v>1E-14</v>
      </c>
      <c r="I22">
        <v>1E-14</v>
      </c>
      <c r="J22">
        <v>1E-14</v>
      </c>
      <c r="K22">
        <v>1E-14</v>
      </c>
      <c r="L22">
        <v>1E-14</v>
      </c>
      <c r="M22">
        <v>1E-14</v>
      </c>
      <c r="N22">
        <v>1E-14</v>
      </c>
      <c r="O22">
        <v>1E-14</v>
      </c>
    </row>
    <row r="23" spans="2:15" x14ac:dyDescent="0.25">
      <c r="B23" s="6" t="s">
        <v>110</v>
      </c>
      <c r="C23" s="6" t="s">
        <v>141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110</v>
      </c>
      <c r="C24" s="6" t="s">
        <v>117</v>
      </c>
      <c r="D24">
        <v>0.84399999999999997</v>
      </c>
      <c r="E24">
        <v>0.84399999999999997</v>
      </c>
      <c r="F24">
        <v>0.84399999999999997</v>
      </c>
      <c r="G24">
        <v>0.84399999999999997</v>
      </c>
      <c r="H24">
        <v>0.84399999999999997</v>
      </c>
      <c r="I24">
        <v>0.84399999999999997</v>
      </c>
      <c r="J24">
        <v>0.84399999999999997</v>
      </c>
      <c r="K24">
        <v>0.84399999999999997</v>
      </c>
      <c r="L24">
        <v>0.84399999999999997</v>
      </c>
      <c r="M24">
        <v>0.84399999999999997</v>
      </c>
      <c r="N24">
        <v>0.84399999999999997</v>
      </c>
      <c r="O24">
        <v>0.84399999999999997</v>
      </c>
    </row>
    <row r="25" spans="2:15" x14ac:dyDescent="0.25">
      <c r="B25" s="6" t="s">
        <v>110</v>
      </c>
      <c r="C25" s="6" t="s">
        <v>145</v>
      </c>
      <c r="D25">
        <v>30</v>
      </c>
      <c r="E25">
        <v>30</v>
      </c>
      <c r="F25">
        <v>30</v>
      </c>
      <c r="G25">
        <v>30</v>
      </c>
      <c r="H25">
        <v>30</v>
      </c>
      <c r="I25">
        <v>30</v>
      </c>
      <c r="J25">
        <v>30</v>
      </c>
      <c r="K25">
        <v>30</v>
      </c>
      <c r="L25">
        <v>30</v>
      </c>
      <c r="M25">
        <v>30</v>
      </c>
      <c r="N25">
        <v>30</v>
      </c>
      <c r="O25">
        <v>30</v>
      </c>
    </row>
    <row r="26" spans="2:15" x14ac:dyDescent="0.25">
      <c r="B26" s="6" t="s">
        <v>110</v>
      </c>
      <c r="C26" s="6" t="s">
        <v>146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</row>
    <row r="27" spans="2:15" x14ac:dyDescent="0.25">
      <c r="B27" s="6" t="s">
        <v>111</v>
      </c>
      <c r="C27" s="6" t="s">
        <v>99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  <row r="28" spans="2:15" x14ac:dyDescent="0.25">
      <c r="B28" s="6" t="s">
        <v>111</v>
      </c>
      <c r="C28" s="6" t="s">
        <v>115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111</v>
      </c>
      <c r="C29" s="6" t="s">
        <v>116</v>
      </c>
      <c r="D29">
        <v>10</v>
      </c>
      <c r="E29">
        <v>10</v>
      </c>
      <c r="F29">
        <v>10</v>
      </c>
      <c r="G29">
        <v>10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10</v>
      </c>
      <c r="O29">
        <v>10</v>
      </c>
    </row>
    <row r="30" spans="2:15" x14ac:dyDescent="0.25">
      <c r="B30" s="6" t="s">
        <v>111</v>
      </c>
      <c r="C30" s="6" t="s">
        <v>165</v>
      </c>
      <c r="D30">
        <v>8.5</v>
      </c>
      <c r="E30">
        <v>8.5</v>
      </c>
      <c r="F30">
        <v>8.5</v>
      </c>
      <c r="G30">
        <v>8.5</v>
      </c>
      <c r="H30">
        <v>8.5</v>
      </c>
      <c r="I30">
        <v>8.5</v>
      </c>
      <c r="J30">
        <v>8.5</v>
      </c>
      <c r="K30">
        <v>8.5</v>
      </c>
      <c r="L30">
        <v>8.5</v>
      </c>
      <c r="M30">
        <v>8.5</v>
      </c>
      <c r="N30">
        <v>8.5</v>
      </c>
      <c r="O30">
        <v>8.5</v>
      </c>
    </row>
    <row r="31" spans="2:15" x14ac:dyDescent="0.25">
      <c r="B31" s="6" t="s">
        <v>111</v>
      </c>
      <c r="C31" s="6" t="s">
        <v>166</v>
      </c>
      <c r="D31">
        <v>14.5</v>
      </c>
      <c r="E31">
        <v>14.5</v>
      </c>
      <c r="F31">
        <v>14.5</v>
      </c>
      <c r="G31">
        <v>14.5</v>
      </c>
      <c r="H31">
        <v>14.5</v>
      </c>
      <c r="I31">
        <v>14.5</v>
      </c>
      <c r="J31">
        <v>14.5</v>
      </c>
      <c r="K31">
        <v>14.5</v>
      </c>
      <c r="L31">
        <v>14.5</v>
      </c>
      <c r="M31">
        <v>14.5</v>
      </c>
      <c r="N31">
        <v>14.5</v>
      </c>
      <c r="O31">
        <v>14.5</v>
      </c>
    </row>
    <row r="32" spans="2:15" x14ac:dyDescent="0.25">
      <c r="B32" s="6" t="s">
        <v>111</v>
      </c>
      <c r="C32" s="6" t="s">
        <v>167</v>
      </c>
      <c r="D32">
        <v>6.3</v>
      </c>
      <c r="E32">
        <v>6.3</v>
      </c>
      <c r="F32">
        <v>6.3</v>
      </c>
      <c r="G32">
        <v>6.3</v>
      </c>
      <c r="H32">
        <v>6.3</v>
      </c>
      <c r="I32">
        <v>6.3</v>
      </c>
      <c r="J32">
        <v>6.3</v>
      </c>
      <c r="K32">
        <v>6.3</v>
      </c>
      <c r="L32">
        <v>6.3</v>
      </c>
      <c r="M32">
        <v>6.3</v>
      </c>
      <c r="N32">
        <v>6.3</v>
      </c>
      <c r="O32">
        <v>6.3</v>
      </c>
    </row>
    <row r="33" spans="2:15" x14ac:dyDescent="0.25">
      <c r="B33" s="6" t="s">
        <v>111</v>
      </c>
      <c r="C33" s="6" t="s">
        <v>168</v>
      </c>
      <c r="D33">
        <v>12.4</v>
      </c>
      <c r="E33">
        <v>12.4</v>
      </c>
      <c r="F33">
        <v>12.4</v>
      </c>
      <c r="G33">
        <v>12.4</v>
      </c>
      <c r="H33">
        <v>12.4</v>
      </c>
      <c r="I33">
        <v>12.4</v>
      </c>
      <c r="J33">
        <v>12.4</v>
      </c>
      <c r="K33">
        <v>12.4</v>
      </c>
      <c r="L33">
        <v>12.4</v>
      </c>
      <c r="M33">
        <v>12.4</v>
      </c>
      <c r="N33">
        <v>12.4</v>
      </c>
      <c r="O33">
        <v>12.4</v>
      </c>
    </row>
    <row r="34" spans="2:15" x14ac:dyDescent="0.25">
      <c r="B34" s="6" t="s">
        <v>111</v>
      </c>
      <c r="C34" s="6" t="s">
        <v>192</v>
      </c>
      <c r="D34">
        <v>22.5</v>
      </c>
      <c r="E34">
        <v>22.5</v>
      </c>
      <c r="F34">
        <v>22.5</v>
      </c>
      <c r="G34">
        <v>22.5</v>
      </c>
      <c r="H34">
        <v>22.5</v>
      </c>
      <c r="I34">
        <v>22.5</v>
      </c>
      <c r="J34">
        <v>22.5</v>
      </c>
      <c r="K34">
        <v>22.5</v>
      </c>
      <c r="L34">
        <v>22.5</v>
      </c>
      <c r="M34">
        <v>22.5</v>
      </c>
      <c r="N34">
        <v>22.5</v>
      </c>
      <c r="O34">
        <v>22.5</v>
      </c>
    </row>
    <row r="35" spans="2:15" x14ac:dyDescent="0.25">
      <c r="B35" s="6" t="s">
        <v>111</v>
      </c>
      <c r="C35" s="6" t="s">
        <v>23</v>
      </c>
      <c r="D35">
        <v>5.5</v>
      </c>
      <c r="E35">
        <v>5.5</v>
      </c>
      <c r="F35">
        <v>5.5</v>
      </c>
      <c r="G35">
        <v>5.5</v>
      </c>
      <c r="H35">
        <v>5.5</v>
      </c>
      <c r="I35">
        <v>5.5</v>
      </c>
      <c r="J35">
        <v>5.5</v>
      </c>
      <c r="K35">
        <v>5.5</v>
      </c>
      <c r="L35">
        <v>5.5</v>
      </c>
      <c r="M35">
        <v>5.5</v>
      </c>
      <c r="N35">
        <v>5.5</v>
      </c>
      <c r="O35">
        <v>5.5</v>
      </c>
    </row>
    <row r="36" spans="2:15" x14ac:dyDescent="0.25">
      <c r="B36" s="6" t="s">
        <v>111</v>
      </c>
      <c r="C36" s="6" t="s">
        <v>193</v>
      </c>
      <c r="D36">
        <v>8</v>
      </c>
      <c r="E36">
        <v>8</v>
      </c>
      <c r="F36">
        <v>8</v>
      </c>
      <c r="G36">
        <v>8</v>
      </c>
      <c r="H36">
        <v>8</v>
      </c>
      <c r="I36">
        <v>8</v>
      </c>
      <c r="J36">
        <v>8</v>
      </c>
      <c r="K36">
        <v>8</v>
      </c>
      <c r="L36">
        <v>8</v>
      </c>
      <c r="M36">
        <v>8</v>
      </c>
      <c r="N36">
        <v>8</v>
      </c>
      <c r="O36">
        <v>8</v>
      </c>
    </row>
    <row r="37" spans="2:15" x14ac:dyDescent="0.25">
      <c r="B37" s="6" t="s">
        <v>111</v>
      </c>
      <c r="C37" s="6" t="s">
        <v>221</v>
      </c>
      <c r="D37">
        <v>1E-14</v>
      </c>
      <c r="E37">
        <v>1E-14</v>
      </c>
      <c r="F37">
        <v>1E-14</v>
      </c>
      <c r="G37">
        <v>1E-14</v>
      </c>
      <c r="H37">
        <v>1E-14</v>
      </c>
      <c r="I37">
        <v>1E-14</v>
      </c>
      <c r="J37">
        <v>1E-14</v>
      </c>
      <c r="K37">
        <v>1E-14</v>
      </c>
      <c r="L37">
        <v>1E-14</v>
      </c>
      <c r="M37">
        <v>1E-14</v>
      </c>
      <c r="N37">
        <v>1E-14</v>
      </c>
      <c r="O37">
        <v>1E-14</v>
      </c>
    </row>
    <row r="38" spans="2:15" x14ac:dyDescent="0.25">
      <c r="B38" s="6" t="s">
        <v>111</v>
      </c>
      <c r="C38" s="6" t="s">
        <v>222</v>
      </c>
      <c r="D38">
        <v>1E-14</v>
      </c>
      <c r="E38">
        <v>1E-14</v>
      </c>
      <c r="F38">
        <v>1E-14</v>
      </c>
      <c r="G38">
        <v>1E-14</v>
      </c>
      <c r="H38">
        <v>1E-14</v>
      </c>
      <c r="I38">
        <v>1E-14</v>
      </c>
      <c r="J38">
        <v>1E-14</v>
      </c>
      <c r="K38">
        <v>1E-14</v>
      </c>
      <c r="L38">
        <v>1E-14</v>
      </c>
      <c r="M38">
        <v>1E-14</v>
      </c>
      <c r="N38">
        <v>1E-14</v>
      </c>
      <c r="O38">
        <v>1E-14</v>
      </c>
    </row>
    <row r="39" spans="2:15" x14ac:dyDescent="0.25">
      <c r="B39" s="6" t="s">
        <v>111</v>
      </c>
      <c r="C39" s="6" t="s">
        <v>141</v>
      </c>
      <c r="D39">
        <v>0.22470000000000001</v>
      </c>
      <c r="E39">
        <v>0.22470000000000001</v>
      </c>
      <c r="F39">
        <v>0.22470000000000001</v>
      </c>
      <c r="G39">
        <v>0.22470000000000001</v>
      </c>
      <c r="H39">
        <v>0.22470000000000001</v>
      </c>
      <c r="I39">
        <v>0.22470000000000001</v>
      </c>
      <c r="J39">
        <v>0.22470000000000001</v>
      </c>
      <c r="K39">
        <v>0.22470000000000001</v>
      </c>
      <c r="L39">
        <v>0.22470000000000001</v>
      </c>
      <c r="M39">
        <v>0.22470000000000001</v>
      </c>
      <c r="N39">
        <v>0.22470000000000001</v>
      </c>
      <c r="O39">
        <v>0.22470000000000001</v>
      </c>
    </row>
    <row r="40" spans="2:15" x14ac:dyDescent="0.25">
      <c r="B40" s="6" t="s">
        <v>111</v>
      </c>
      <c r="C40" s="6" t="s">
        <v>117</v>
      </c>
      <c r="D40">
        <v>0.65600000000000003</v>
      </c>
      <c r="E40">
        <v>0.65600000000000003</v>
      </c>
      <c r="F40">
        <v>0.65600000000000003</v>
      </c>
      <c r="G40">
        <v>0.65600000000000003</v>
      </c>
      <c r="H40">
        <v>0.65600000000000003</v>
      </c>
      <c r="I40">
        <v>0.65600000000000003</v>
      </c>
      <c r="J40">
        <v>0.65600000000000003</v>
      </c>
      <c r="K40">
        <v>0.65600000000000003</v>
      </c>
      <c r="L40">
        <v>0.65600000000000003</v>
      </c>
      <c r="M40">
        <v>0.65600000000000003</v>
      </c>
      <c r="N40">
        <v>0.65600000000000003</v>
      </c>
      <c r="O40">
        <v>0.65600000000000003</v>
      </c>
    </row>
    <row r="41" spans="2:15" x14ac:dyDescent="0.25">
      <c r="B41" s="6" t="s">
        <v>111</v>
      </c>
      <c r="C41" s="6" t="s">
        <v>145</v>
      </c>
      <c r="D41">
        <v>50</v>
      </c>
      <c r="E41">
        <v>50</v>
      </c>
      <c r="F41">
        <v>50</v>
      </c>
      <c r="G41">
        <v>50</v>
      </c>
      <c r="H41">
        <v>50</v>
      </c>
      <c r="I41">
        <v>50</v>
      </c>
      <c r="J41">
        <v>50</v>
      </c>
      <c r="K41">
        <v>50</v>
      </c>
      <c r="L41">
        <v>50</v>
      </c>
      <c r="M41">
        <v>50</v>
      </c>
      <c r="N41">
        <v>50</v>
      </c>
      <c r="O41">
        <v>50</v>
      </c>
    </row>
    <row r="42" spans="2:15" x14ac:dyDescent="0.25">
      <c r="B42" s="6" t="s">
        <v>111</v>
      </c>
      <c r="C42" s="6" t="s">
        <v>146</v>
      </c>
      <c r="D42">
        <v>0.01</v>
      </c>
      <c r="E42">
        <v>0.01</v>
      </c>
      <c r="F42">
        <v>0.01</v>
      </c>
      <c r="G42">
        <v>0.01</v>
      </c>
      <c r="H42">
        <v>0.01</v>
      </c>
      <c r="I42">
        <v>0.01</v>
      </c>
      <c r="J42">
        <v>0.01</v>
      </c>
      <c r="K42">
        <v>0.01</v>
      </c>
      <c r="L42">
        <v>0.01</v>
      </c>
      <c r="M42">
        <v>0.01</v>
      </c>
      <c r="N42">
        <v>0.01</v>
      </c>
      <c r="O42">
        <v>0.01</v>
      </c>
    </row>
    <row r="43" spans="2:15" x14ac:dyDescent="0.25">
      <c r="B43" s="6" t="s">
        <v>112</v>
      </c>
      <c r="C43" s="6" t="s">
        <v>99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</row>
    <row r="44" spans="2:15" x14ac:dyDescent="0.25">
      <c r="B44" s="6" t="s">
        <v>112</v>
      </c>
      <c r="C44" s="6" t="s">
        <v>115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</row>
    <row r="45" spans="2:15" x14ac:dyDescent="0.25">
      <c r="B45" s="6" t="s">
        <v>112</v>
      </c>
      <c r="C45" s="6" t="s">
        <v>116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112</v>
      </c>
      <c r="C46" s="6" t="s">
        <v>165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112</v>
      </c>
      <c r="C47" s="6" t="s">
        <v>166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112</v>
      </c>
      <c r="C48" s="6" t="s">
        <v>167</v>
      </c>
      <c r="D48">
        <v>1E-14</v>
      </c>
      <c r="E48">
        <v>1E-14</v>
      </c>
      <c r="F48">
        <v>1E-14</v>
      </c>
      <c r="G48">
        <v>1E-14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112</v>
      </c>
      <c r="C49" s="6" t="s">
        <v>168</v>
      </c>
      <c r="D49">
        <v>1E-14</v>
      </c>
      <c r="E49">
        <v>1E-14</v>
      </c>
      <c r="F49">
        <v>1E-14</v>
      </c>
      <c r="G49">
        <v>1E-14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112</v>
      </c>
      <c r="C50" s="6" t="s">
        <v>192</v>
      </c>
      <c r="D50">
        <v>10.5</v>
      </c>
      <c r="E50">
        <v>10.5</v>
      </c>
      <c r="F50">
        <v>10.5</v>
      </c>
      <c r="G50">
        <v>10.5</v>
      </c>
      <c r="H50">
        <v>10.5</v>
      </c>
      <c r="I50">
        <v>10.5</v>
      </c>
      <c r="J50">
        <v>10.5</v>
      </c>
      <c r="K50">
        <v>10.5</v>
      </c>
      <c r="L50">
        <v>10.5</v>
      </c>
      <c r="M50">
        <v>10.5</v>
      </c>
      <c r="N50">
        <v>10.5</v>
      </c>
      <c r="O50">
        <v>10.5</v>
      </c>
    </row>
    <row r="51" spans="2:15" x14ac:dyDescent="0.25">
      <c r="B51" s="6" t="s">
        <v>112</v>
      </c>
      <c r="C51" s="6" t="s">
        <v>23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112</v>
      </c>
      <c r="C52" s="6" t="s">
        <v>193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112</v>
      </c>
      <c r="C53" s="6" t="s">
        <v>221</v>
      </c>
      <c r="D53">
        <v>1E-14</v>
      </c>
      <c r="E53">
        <v>1E-14</v>
      </c>
      <c r="F53">
        <v>1E-14</v>
      </c>
      <c r="G53">
        <v>1E-14</v>
      </c>
      <c r="H53">
        <v>1E-14</v>
      </c>
      <c r="I53">
        <v>1E-14</v>
      </c>
      <c r="J53">
        <v>1E-14</v>
      </c>
      <c r="K53">
        <v>1E-14</v>
      </c>
      <c r="L53">
        <v>1E-14</v>
      </c>
      <c r="M53">
        <v>1E-14</v>
      </c>
      <c r="N53">
        <v>1E-14</v>
      </c>
      <c r="O53">
        <v>1E-14</v>
      </c>
    </row>
    <row r="54" spans="2:15" x14ac:dyDescent="0.25">
      <c r="B54" s="6" t="s">
        <v>112</v>
      </c>
      <c r="C54" s="6" t="s">
        <v>222</v>
      </c>
      <c r="D54">
        <v>1E-14</v>
      </c>
      <c r="E54">
        <v>1E-14</v>
      </c>
      <c r="F54">
        <v>1E-14</v>
      </c>
      <c r="G54">
        <v>1E-14</v>
      </c>
      <c r="H54">
        <v>1E-14</v>
      </c>
      <c r="I54">
        <v>1E-14</v>
      </c>
      <c r="J54">
        <v>1E-14</v>
      </c>
      <c r="K54">
        <v>1E-14</v>
      </c>
      <c r="L54">
        <v>1E-14</v>
      </c>
      <c r="M54">
        <v>1E-14</v>
      </c>
      <c r="N54">
        <v>1E-14</v>
      </c>
      <c r="O54">
        <v>1E-14</v>
      </c>
    </row>
    <row r="55" spans="2:15" x14ac:dyDescent="0.25">
      <c r="B55" s="6" t="s">
        <v>112</v>
      </c>
      <c r="C55" s="6" t="s">
        <v>141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112</v>
      </c>
      <c r="C56" s="6" t="s">
        <v>117</v>
      </c>
      <c r="D56">
        <v>0.85</v>
      </c>
      <c r="E56">
        <v>0.85</v>
      </c>
      <c r="F56">
        <v>0.85</v>
      </c>
      <c r="G56">
        <v>0.85</v>
      </c>
      <c r="H56">
        <v>0.85</v>
      </c>
      <c r="I56">
        <v>0.85</v>
      </c>
      <c r="J56">
        <v>0.85</v>
      </c>
      <c r="K56">
        <v>0.85</v>
      </c>
      <c r="L56">
        <v>0.85</v>
      </c>
      <c r="M56">
        <v>0.85</v>
      </c>
      <c r="N56">
        <v>0.85</v>
      </c>
      <c r="O56">
        <v>0.85</v>
      </c>
    </row>
    <row r="57" spans="2:15" x14ac:dyDescent="0.25">
      <c r="B57" s="6" t="s">
        <v>112</v>
      </c>
      <c r="C57" s="6" t="s">
        <v>145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</row>
    <row r="58" spans="2:15" x14ac:dyDescent="0.25">
      <c r="B58" s="6" t="s">
        <v>112</v>
      </c>
      <c r="C58" s="6" t="s">
        <v>146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</row>
    <row r="59" spans="2:15" x14ac:dyDescent="0.25">
      <c r="B59" s="6" t="s">
        <v>71</v>
      </c>
      <c r="C59" s="6" t="s">
        <v>99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71</v>
      </c>
      <c r="C60" s="6" t="s">
        <v>115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</row>
    <row r="61" spans="2:15" x14ac:dyDescent="0.25">
      <c r="B61" s="6" t="s">
        <v>71</v>
      </c>
      <c r="C61" s="6" t="s">
        <v>116</v>
      </c>
      <c r="D61">
        <v>9</v>
      </c>
      <c r="E61">
        <v>9</v>
      </c>
      <c r="F61">
        <v>9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</row>
    <row r="62" spans="2:15" x14ac:dyDescent="0.25">
      <c r="B62" s="6" t="s">
        <v>71</v>
      </c>
      <c r="C62" s="6" t="s">
        <v>165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71</v>
      </c>
      <c r="C63" s="6" t="s">
        <v>166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71</v>
      </c>
      <c r="C64" s="6" t="s">
        <v>167</v>
      </c>
      <c r="D64">
        <v>1E-14</v>
      </c>
      <c r="E64">
        <v>1E-14</v>
      </c>
      <c r="F64">
        <v>1E-14</v>
      </c>
      <c r="G64">
        <v>1E-14</v>
      </c>
      <c r="H64">
        <v>1E-14</v>
      </c>
      <c r="I64">
        <v>1E-14</v>
      </c>
      <c r="J64">
        <v>1E-14</v>
      </c>
      <c r="K64">
        <v>1E-14</v>
      </c>
      <c r="L64">
        <v>1E-14</v>
      </c>
      <c r="M64">
        <v>1E-14</v>
      </c>
      <c r="N64">
        <v>1E-14</v>
      </c>
      <c r="O64">
        <v>1E-14</v>
      </c>
    </row>
    <row r="65" spans="2:15" x14ac:dyDescent="0.25">
      <c r="B65" s="6" t="s">
        <v>71</v>
      </c>
      <c r="C65" s="6" t="s">
        <v>168</v>
      </c>
      <c r="D65">
        <v>1E-14</v>
      </c>
      <c r="E65">
        <v>1E-14</v>
      </c>
      <c r="F65">
        <v>1E-14</v>
      </c>
      <c r="G65">
        <v>1E-14</v>
      </c>
      <c r="H65">
        <v>1E-14</v>
      </c>
      <c r="I65">
        <v>1E-14</v>
      </c>
      <c r="J65">
        <v>1E-14</v>
      </c>
      <c r="K65">
        <v>1E-14</v>
      </c>
      <c r="L65">
        <v>1E-14</v>
      </c>
      <c r="M65">
        <v>1E-14</v>
      </c>
      <c r="N65">
        <v>1E-14</v>
      </c>
      <c r="O65">
        <v>1E-14</v>
      </c>
    </row>
    <row r="66" spans="2:15" x14ac:dyDescent="0.25">
      <c r="B66" s="6" t="s">
        <v>71</v>
      </c>
      <c r="C66" s="6" t="s">
        <v>192</v>
      </c>
      <c r="D66">
        <v>8</v>
      </c>
      <c r="E66">
        <v>8</v>
      </c>
      <c r="F66">
        <v>8</v>
      </c>
      <c r="G66">
        <v>8</v>
      </c>
      <c r="H66">
        <v>8</v>
      </c>
      <c r="I66">
        <v>8</v>
      </c>
      <c r="J66">
        <v>8</v>
      </c>
      <c r="K66">
        <v>8</v>
      </c>
      <c r="L66">
        <v>8</v>
      </c>
      <c r="M66">
        <v>8</v>
      </c>
      <c r="N66">
        <v>8</v>
      </c>
      <c r="O66">
        <v>8</v>
      </c>
    </row>
    <row r="67" spans="2:15" x14ac:dyDescent="0.25">
      <c r="B67" s="6" t="s">
        <v>71</v>
      </c>
      <c r="C67" s="6" t="s">
        <v>23</v>
      </c>
      <c r="D67">
        <v>1E-14</v>
      </c>
      <c r="E67">
        <v>1E-14</v>
      </c>
      <c r="F67">
        <v>1E-14</v>
      </c>
      <c r="G67">
        <v>1E-14</v>
      </c>
      <c r="H67">
        <v>1E-14</v>
      </c>
      <c r="I67">
        <v>1E-14</v>
      </c>
      <c r="J67">
        <v>1E-14</v>
      </c>
      <c r="K67">
        <v>1E-14</v>
      </c>
      <c r="L67">
        <v>1E-14</v>
      </c>
      <c r="M67">
        <v>1E-14</v>
      </c>
      <c r="N67">
        <v>1E-14</v>
      </c>
      <c r="O67">
        <v>1E-14</v>
      </c>
    </row>
    <row r="68" spans="2:15" x14ac:dyDescent="0.25">
      <c r="B68" s="6" t="s">
        <v>71</v>
      </c>
      <c r="C68" s="6" t="s">
        <v>193</v>
      </c>
      <c r="D68">
        <v>1E-14</v>
      </c>
      <c r="E68">
        <v>1E-14</v>
      </c>
      <c r="F68">
        <v>1E-14</v>
      </c>
      <c r="G68">
        <v>1E-14</v>
      </c>
      <c r="H68">
        <v>1E-14</v>
      </c>
      <c r="I68">
        <v>1E-14</v>
      </c>
      <c r="J68">
        <v>1E-14</v>
      </c>
      <c r="K68">
        <v>1E-14</v>
      </c>
      <c r="L68">
        <v>1E-14</v>
      </c>
      <c r="M68">
        <v>1E-14</v>
      </c>
      <c r="N68">
        <v>1E-14</v>
      </c>
      <c r="O68">
        <v>1E-14</v>
      </c>
    </row>
    <row r="69" spans="2:15" x14ac:dyDescent="0.25">
      <c r="B69" s="6" t="s">
        <v>71</v>
      </c>
      <c r="C69" s="6" t="s">
        <v>221</v>
      </c>
      <c r="D69">
        <v>1E-14</v>
      </c>
      <c r="E69">
        <v>1E-14</v>
      </c>
      <c r="F69">
        <v>1E-14</v>
      </c>
      <c r="G69">
        <v>1E-14</v>
      </c>
      <c r="H69">
        <v>1E-14</v>
      </c>
      <c r="I69">
        <v>1E-14</v>
      </c>
      <c r="J69">
        <v>1E-14</v>
      </c>
      <c r="K69">
        <v>1E-14</v>
      </c>
      <c r="L69">
        <v>1E-14</v>
      </c>
      <c r="M69">
        <v>1E-14</v>
      </c>
      <c r="N69">
        <v>1E-14</v>
      </c>
      <c r="O69">
        <v>1E-14</v>
      </c>
    </row>
    <row r="70" spans="2:15" x14ac:dyDescent="0.25">
      <c r="B70" s="6" t="s">
        <v>71</v>
      </c>
      <c r="C70" s="6" t="s">
        <v>222</v>
      </c>
      <c r="D70">
        <v>1E-14</v>
      </c>
      <c r="E70">
        <v>1E-14</v>
      </c>
      <c r="F70">
        <v>1E-14</v>
      </c>
      <c r="G70">
        <v>1E-14</v>
      </c>
      <c r="H70">
        <v>1E-14</v>
      </c>
      <c r="I70">
        <v>1E-14</v>
      </c>
      <c r="J70">
        <v>1E-14</v>
      </c>
      <c r="K70">
        <v>1E-14</v>
      </c>
      <c r="L70">
        <v>1E-14</v>
      </c>
      <c r="M70">
        <v>1E-14</v>
      </c>
      <c r="N70">
        <v>1E-14</v>
      </c>
      <c r="O70">
        <v>1E-14</v>
      </c>
    </row>
    <row r="71" spans="2:15" x14ac:dyDescent="0.25">
      <c r="B71" s="6" t="s">
        <v>71</v>
      </c>
      <c r="C71" s="6" t="s">
        <v>141</v>
      </c>
      <c r="D71">
        <v>1E-14</v>
      </c>
      <c r="E71">
        <v>1E-14</v>
      </c>
      <c r="F71">
        <v>1E-14</v>
      </c>
      <c r="G71">
        <v>1E-14</v>
      </c>
      <c r="H71">
        <v>1E-14</v>
      </c>
      <c r="I71">
        <v>1E-14</v>
      </c>
      <c r="J71">
        <v>1E-14</v>
      </c>
      <c r="K71">
        <v>1E-14</v>
      </c>
      <c r="L71">
        <v>1E-14</v>
      </c>
      <c r="M71">
        <v>1E-14</v>
      </c>
      <c r="N71">
        <v>1E-14</v>
      </c>
      <c r="O71">
        <v>1E-14</v>
      </c>
    </row>
    <row r="72" spans="2:15" x14ac:dyDescent="0.25">
      <c r="B72" s="6" t="s">
        <v>71</v>
      </c>
      <c r="C72" s="6" t="s">
        <v>117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</row>
    <row r="73" spans="2:15" x14ac:dyDescent="0.25">
      <c r="B73" s="6" t="s">
        <v>71</v>
      </c>
      <c r="C73" s="6" t="s">
        <v>145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2:15" x14ac:dyDescent="0.25">
      <c r="B74" s="6" t="s">
        <v>71</v>
      </c>
      <c r="C74" s="6" t="s">
        <v>146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</row>
    <row r="75" spans="2:15" x14ac:dyDescent="0.25">
      <c r="B75" s="6" t="s">
        <v>113</v>
      </c>
      <c r="C75" s="6" t="s">
        <v>99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113</v>
      </c>
      <c r="C76" s="6" t="s">
        <v>115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  <c r="J76">
        <v>4</v>
      </c>
      <c r="K76">
        <v>4</v>
      </c>
      <c r="L76">
        <v>4</v>
      </c>
      <c r="M76">
        <v>4</v>
      </c>
      <c r="N76">
        <v>4</v>
      </c>
      <c r="O76">
        <v>4</v>
      </c>
    </row>
    <row r="77" spans="2:15" x14ac:dyDescent="0.25">
      <c r="B77" s="6" t="s">
        <v>113</v>
      </c>
      <c r="C77" s="6" t="s">
        <v>116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113</v>
      </c>
      <c r="C78" s="6" t="s">
        <v>165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113</v>
      </c>
      <c r="C79" s="6" t="s">
        <v>166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113</v>
      </c>
      <c r="C80" s="6" t="s">
        <v>167</v>
      </c>
      <c r="D80">
        <v>1E-14</v>
      </c>
      <c r="E80">
        <v>1E-14</v>
      </c>
      <c r="F80">
        <v>1E-14</v>
      </c>
      <c r="G80">
        <v>1E-14</v>
      </c>
      <c r="H80">
        <v>1E-14</v>
      </c>
      <c r="I80">
        <v>1E-14</v>
      </c>
      <c r="J80">
        <v>1E-14</v>
      </c>
      <c r="K80">
        <v>1E-14</v>
      </c>
      <c r="L80">
        <v>1E-14</v>
      </c>
      <c r="M80">
        <v>1E-14</v>
      </c>
      <c r="N80">
        <v>1E-14</v>
      </c>
      <c r="O80">
        <v>1E-14</v>
      </c>
    </row>
    <row r="81" spans="2:15" x14ac:dyDescent="0.25">
      <c r="B81" s="6" t="s">
        <v>113</v>
      </c>
      <c r="C81" s="6" t="s">
        <v>168</v>
      </c>
      <c r="D81">
        <v>1E-14</v>
      </c>
      <c r="E81">
        <v>1E-14</v>
      </c>
      <c r="F81">
        <v>1E-14</v>
      </c>
      <c r="G81">
        <v>1E-14</v>
      </c>
      <c r="H81">
        <v>1E-14</v>
      </c>
      <c r="I81">
        <v>1E-14</v>
      </c>
      <c r="J81">
        <v>1E-14</v>
      </c>
      <c r="K81">
        <v>1E-14</v>
      </c>
      <c r="L81">
        <v>1E-14</v>
      </c>
      <c r="M81">
        <v>1E-14</v>
      </c>
      <c r="N81">
        <v>1E-14</v>
      </c>
      <c r="O81">
        <v>1E-14</v>
      </c>
    </row>
    <row r="82" spans="2:15" x14ac:dyDescent="0.25">
      <c r="B82" s="6" t="s">
        <v>113</v>
      </c>
      <c r="C82" s="6" t="s">
        <v>192</v>
      </c>
      <c r="D82">
        <v>15</v>
      </c>
      <c r="E82">
        <v>15</v>
      </c>
      <c r="F82">
        <v>15</v>
      </c>
      <c r="G82">
        <v>15</v>
      </c>
      <c r="H82">
        <v>15</v>
      </c>
      <c r="I82">
        <v>15</v>
      </c>
      <c r="J82">
        <v>15</v>
      </c>
      <c r="K82">
        <v>15</v>
      </c>
      <c r="L82">
        <v>15</v>
      </c>
      <c r="M82">
        <v>15</v>
      </c>
      <c r="N82">
        <v>15</v>
      </c>
      <c r="O82">
        <v>15</v>
      </c>
    </row>
    <row r="83" spans="2:15" x14ac:dyDescent="0.25">
      <c r="B83" s="6" t="s">
        <v>113</v>
      </c>
      <c r="C83" s="6" t="s">
        <v>23</v>
      </c>
      <c r="D83">
        <v>1E-14</v>
      </c>
      <c r="E83">
        <v>1E-14</v>
      </c>
      <c r="F83">
        <v>1E-14</v>
      </c>
      <c r="G83">
        <v>1E-14</v>
      </c>
      <c r="H83">
        <v>1E-14</v>
      </c>
      <c r="I83">
        <v>1E-14</v>
      </c>
      <c r="J83">
        <v>1E-14</v>
      </c>
      <c r="K83">
        <v>1E-14</v>
      </c>
      <c r="L83">
        <v>1E-14</v>
      </c>
      <c r="M83">
        <v>1E-14</v>
      </c>
      <c r="N83">
        <v>1E-14</v>
      </c>
      <c r="O83">
        <v>1E-14</v>
      </c>
    </row>
    <row r="84" spans="2:15" x14ac:dyDescent="0.25">
      <c r="B84" s="6" t="s">
        <v>113</v>
      </c>
      <c r="C84" s="6" t="s">
        <v>193</v>
      </c>
      <c r="D84">
        <v>1E-14</v>
      </c>
      <c r="E84">
        <v>1E-14</v>
      </c>
      <c r="F84">
        <v>1E-14</v>
      </c>
      <c r="G84">
        <v>1E-14</v>
      </c>
      <c r="H84">
        <v>1E-14</v>
      </c>
      <c r="I84">
        <v>1E-14</v>
      </c>
      <c r="J84">
        <v>1E-14</v>
      </c>
      <c r="K84">
        <v>1E-14</v>
      </c>
      <c r="L84">
        <v>1E-14</v>
      </c>
      <c r="M84">
        <v>1E-14</v>
      </c>
      <c r="N84">
        <v>1E-14</v>
      </c>
      <c r="O84">
        <v>1E-14</v>
      </c>
    </row>
    <row r="85" spans="2:15" x14ac:dyDescent="0.25">
      <c r="B85" s="6" t="s">
        <v>113</v>
      </c>
      <c r="C85" s="6" t="s">
        <v>221</v>
      </c>
      <c r="D85">
        <v>1E-14</v>
      </c>
      <c r="E85">
        <v>1E-14</v>
      </c>
      <c r="F85">
        <v>1E-14</v>
      </c>
      <c r="G85">
        <v>1E-14</v>
      </c>
      <c r="H85">
        <v>1E-14</v>
      </c>
      <c r="I85">
        <v>1E-14</v>
      </c>
      <c r="J85">
        <v>1E-14</v>
      </c>
      <c r="K85">
        <v>1E-14</v>
      </c>
      <c r="L85">
        <v>1E-14</v>
      </c>
      <c r="M85">
        <v>1E-14</v>
      </c>
      <c r="N85">
        <v>1E-14</v>
      </c>
      <c r="O85">
        <v>1E-14</v>
      </c>
    </row>
    <row r="86" spans="2:15" x14ac:dyDescent="0.25">
      <c r="B86" s="6" t="s">
        <v>113</v>
      </c>
      <c r="C86" s="6" t="s">
        <v>222</v>
      </c>
      <c r="D86">
        <v>1E-14</v>
      </c>
      <c r="E86">
        <v>1E-14</v>
      </c>
      <c r="F86">
        <v>1E-14</v>
      </c>
      <c r="G86">
        <v>1E-14</v>
      </c>
      <c r="H86">
        <v>1E-14</v>
      </c>
      <c r="I86">
        <v>1E-14</v>
      </c>
      <c r="J86">
        <v>1E-14</v>
      </c>
      <c r="K86">
        <v>1E-14</v>
      </c>
      <c r="L86">
        <v>1E-14</v>
      </c>
      <c r="M86">
        <v>1E-14</v>
      </c>
      <c r="N86">
        <v>1E-14</v>
      </c>
      <c r="O86">
        <v>1E-14</v>
      </c>
    </row>
    <row r="87" spans="2:15" x14ac:dyDescent="0.25">
      <c r="B87" s="6" t="s">
        <v>113</v>
      </c>
      <c r="C87" s="6" t="s">
        <v>141</v>
      </c>
      <c r="D87">
        <v>1E-14</v>
      </c>
      <c r="E87">
        <v>1E-14</v>
      </c>
      <c r="F87">
        <v>1E-14</v>
      </c>
      <c r="G87">
        <v>1E-14</v>
      </c>
      <c r="H87">
        <v>1E-14</v>
      </c>
      <c r="I87">
        <v>1E-14</v>
      </c>
      <c r="J87">
        <v>1E-14</v>
      </c>
      <c r="K87">
        <v>1E-14</v>
      </c>
      <c r="L87">
        <v>1E-14</v>
      </c>
      <c r="M87">
        <v>1E-14</v>
      </c>
      <c r="N87">
        <v>1E-14</v>
      </c>
      <c r="O87">
        <v>1E-14</v>
      </c>
    </row>
    <row r="88" spans="2:15" x14ac:dyDescent="0.25">
      <c r="B88" s="6" t="s">
        <v>113</v>
      </c>
      <c r="C88" s="6" t="s">
        <v>117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113</v>
      </c>
      <c r="C89" s="6" t="s">
        <v>145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</row>
    <row r="90" spans="2:15" x14ac:dyDescent="0.25">
      <c r="B90" s="6" t="s">
        <v>113</v>
      </c>
      <c r="C90" s="6" t="s">
        <v>146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</row>
    <row r="91" spans="2:15" x14ac:dyDescent="0.25">
      <c r="B91" s="6" t="s">
        <v>114</v>
      </c>
      <c r="C91" s="6" t="s">
        <v>99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</row>
    <row r="92" spans="2:15" x14ac:dyDescent="0.25">
      <c r="B92" s="6" t="s">
        <v>114</v>
      </c>
      <c r="C92" s="6" t="s">
        <v>115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2:15" x14ac:dyDescent="0.25">
      <c r="B93" s="6" t="s">
        <v>114</v>
      </c>
      <c r="C93" s="6" t="s">
        <v>116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114</v>
      </c>
      <c r="C94" s="6" t="s">
        <v>165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114</v>
      </c>
      <c r="C95" s="6" t="s">
        <v>166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114</v>
      </c>
      <c r="C96" s="6" t="s">
        <v>167</v>
      </c>
      <c r="D96">
        <v>1E-14</v>
      </c>
      <c r="E96">
        <v>1E-14</v>
      </c>
      <c r="F96">
        <v>1E-14</v>
      </c>
      <c r="G96">
        <v>1E-14</v>
      </c>
      <c r="H96">
        <v>1E-14</v>
      </c>
      <c r="I96">
        <v>1E-14</v>
      </c>
      <c r="J96">
        <v>1E-14</v>
      </c>
      <c r="K96">
        <v>1E-14</v>
      </c>
      <c r="L96">
        <v>1E-14</v>
      </c>
      <c r="M96">
        <v>1E-14</v>
      </c>
      <c r="N96">
        <v>1E-14</v>
      </c>
      <c r="O96">
        <v>1E-14</v>
      </c>
    </row>
    <row r="97" spans="2:15" x14ac:dyDescent="0.25">
      <c r="B97" s="6" t="s">
        <v>114</v>
      </c>
      <c r="C97" s="6" t="s">
        <v>168</v>
      </c>
      <c r="D97">
        <v>1E-14</v>
      </c>
      <c r="E97">
        <v>1E-14</v>
      </c>
      <c r="F97">
        <v>1E-14</v>
      </c>
      <c r="G97">
        <v>1E-14</v>
      </c>
      <c r="H97">
        <v>1E-14</v>
      </c>
      <c r="I97">
        <v>1E-14</v>
      </c>
      <c r="J97">
        <v>1E-14</v>
      </c>
      <c r="K97">
        <v>1E-14</v>
      </c>
      <c r="L97">
        <v>1E-14</v>
      </c>
      <c r="M97">
        <v>1E-14</v>
      </c>
      <c r="N97">
        <v>1E-14</v>
      </c>
      <c r="O97">
        <v>1E-14</v>
      </c>
    </row>
    <row r="98" spans="2:15" x14ac:dyDescent="0.25">
      <c r="B98" s="6" t="s">
        <v>114</v>
      </c>
      <c r="C98" s="6" t="s">
        <v>192</v>
      </c>
      <c r="D98">
        <v>100</v>
      </c>
      <c r="E98">
        <v>100</v>
      </c>
      <c r="F98">
        <v>100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</row>
    <row r="99" spans="2:15" x14ac:dyDescent="0.25">
      <c r="B99" s="6" t="s">
        <v>114</v>
      </c>
      <c r="C99" s="6" t="s">
        <v>23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114</v>
      </c>
      <c r="C100" s="6" t="s">
        <v>193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114</v>
      </c>
      <c r="C101" s="6" t="s">
        <v>221</v>
      </c>
      <c r="D101">
        <v>1E-14</v>
      </c>
      <c r="E101">
        <v>1E-14</v>
      </c>
      <c r="F101">
        <v>1E-14</v>
      </c>
      <c r="G101">
        <v>1E-14</v>
      </c>
      <c r="H101">
        <v>1E-14</v>
      </c>
      <c r="I101">
        <v>1E-14</v>
      </c>
      <c r="J101">
        <v>1E-14</v>
      </c>
      <c r="K101">
        <v>1E-14</v>
      </c>
      <c r="L101">
        <v>1E-14</v>
      </c>
      <c r="M101">
        <v>1E-14</v>
      </c>
      <c r="N101">
        <v>1E-14</v>
      </c>
      <c r="O101">
        <v>1E-14</v>
      </c>
    </row>
    <row r="102" spans="2:15" x14ac:dyDescent="0.25">
      <c r="B102" s="6" t="s">
        <v>114</v>
      </c>
      <c r="C102" s="6" t="s">
        <v>222</v>
      </c>
      <c r="D102">
        <v>1E-14</v>
      </c>
      <c r="E102">
        <v>1E-14</v>
      </c>
      <c r="F102">
        <v>1E-14</v>
      </c>
      <c r="G102">
        <v>1E-14</v>
      </c>
      <c r="H102">
        <v>1E-14</v>
      </c>
      <c r="I102">
        <v>1E-14</v>
      </c>
      <c r="J102">
        <v>1E-14</v>
      </c>
      <c r="K102">
        <v>1E-14</v>
      </c>
      <c r="L102">
        <v>1E-14</v>
      </c>
      <c r="M102">
        <v>1E-14</v>
      </c>
      <c r="N102">
        <v>1E-14</v>
      </c>
      <c r="O102">
        <v>1E-14</v>
      </c>
    </row>
    <row r="103" spans="2:15" x14ac:dyDescent="0.25">
      <c r="B103" s="6" t="s">
        <v>114</v>
      </c>
      <c r="C103" s="6" t="s">
        <v>141</v>
      </c>
      <c r="D103">
        <v>1E-14</v>
      </c>
      <c r="E103">
        <v>1E-14</v>
      </c>
      <c r="F103">
        <v>1E-14</v>
      </c>
      <c r="G103">
        <v>1E-14</v>
      </c>
      <c r="H103">
        <v>1E-14</v>
      </c>
      <c r="I103">
        <v>1E-14</v>
      </c>
      <c r="J103">
        <v>1E-14</v>
      </c>
      <c r="K103">
        <v>1E-14</v>
      </c>
      <c r="L103">
        <v>1E-14</v>
      </c>
      <c r="M103">
        <v>1E-14</v>
      </c>
      <c r="N103">
        <v>1E-14</v>
      </c>
      <c r="O103">
        <v>1E-14</v>
      </c>
    </row>
    <row r="104" spans="2:15" x14ac:dyDescent="0.25">
      <c r="B104" s="6" t="s">
        <v>114</v>
      </c>
      <c r="C104" s="6" t="s">
        <v>117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</row>
    <row r="105" spans="2:15" x14ac:dyDescent="0.25">
      <c r="B105" s="6" t="s">
        <v>114</v>
      </c>
      <c r="C105" s="6" t="s">
        <v>145</v>
      </c>
      <c r="D105">
        <v>10</v>
      </c>
      <c r="E105">
        <v>10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</row>
    <row r="106" spans="2:15" x14ac:dyDescent="0.25">
      <c r="B106" s="6" t="s">
        <v>114</v>
      </c>
      <c r="C106" s="6" t="s">
        <v>146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9:AB34"/>
  <sheetViews>
    <sheetView zoomScale="85" zoomScaleNormal="85" workbookViewId="0">
      <selection activeCell="D9" sqref="D9:AB9"/>
    </sheetView>
  </sheetViews>
  <sheetFormatPr defaultRowHeight="15" x14ac:dyDescent="0.25"/>
  <cols>
    <col min="2" max="2" width="5" bestFit="1" customWidth="1"/>
    <col min="3" max="3" width="10.710937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97</v>
      </c>
      <c r="C11" s="6" t="s">
        <v>99</v>
      </c>
      <c r="D11">
        <v>1E-14</v>
      </c>
      <c r="E11">
        <v>1E-14</v>
      </c>
      <c r="F11">
        <v>1E-14</v>
      </c>
      <c r="G11">
        <v>1E-14</v>
      </c>
      <c r="H11">
        <v>1E-14</v>
      </c>
      <c r="I11">
        <v>1E-14</v>
      </c>
      <c r="J11">
        <v>1E-14</v>
      </c>
      <c r="K11">
        <v>1E-14</v>
      </c>
      <c r="L11">
        <v>1E-14</v>
      </c>
      <c r="M11">
        <v>1E-14</v>
      </c>
      <c r="N11">
        <v>1E-14</v>
      </c>
      <c r="O11">
        <v>1E-14</v>
      </c>
    </row>
    <row r="12" spans="2:28" x14ac:dyDescent="0.25">
      <c r="B12" s="6" t="s">
        <v>97</v>
      </c>
      <c r="C12" s="6" t="s">
        <v>105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97</v>
      </c>
      <c r="C13" s="6" t="s">
        <v>207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97</v>
      </c>
      <c r="C14" s="6" t="s">
        <v>138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97</v>
      </c>
      <c r="C15" s="6" t="s">
        <v>100</v>
      </c>
      <c r="D15">
        <v>2000</v>
      </c>
      <c r="E15">
        <v>2000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</row>
    <row r="16" spans="2:28" x14ac:dyDescent="0.25">
      <c r="B16" s="6" t="s">
        <v>97</v>
      </c>
      <c r="C16" s="6" t="s">
        <v>101</v>
      </c>
      <c r="D16">
        <v>2000</v>
      </c>
      <c r="E16">
        <v>2000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</row>
    <row r="17" spans="2:15" x14ac:dyDescent="0.25">
      <c r="B17" s="6" t="s">
        <v>97</v>
      </c>
      <c r="C17" s="6" t="s">
        <v>139</v>
      </c>
      <c r="D17">
        <v>1E-14</v>
      </c>
      <c r="E17">
        <v>1E-14</v>
      </c>
      <c r="F17">
        <v>1E-14</v>
      </c>
      <c r="G17">
        <v>1E-14</v>
      </c>
      <c r="H17">
        <v>1E-14</v>
      </c>
      <c r="I17">
        <v>1E-14</v>
      </c>
      <c r="J17">
        <v>1E-14</v>
      </c>
      <c r="K17">
        <v>1E-14</v>
      </c>
      <c r="L17">
        <v>1E-14</v>
      </c>
      <c r="M17">
        <v>1E-14</v>
      </c>
      <c r="N17">
        <v>1E-14</v>
      </c>
      <c r="O17">
        <v>1E-14</v>
      </c>
    </row>
    <row r="18" spans="2:15" x14ac:dyDescent="0.25">
      <c r="B18" s="6" t="s">
        <v>97</v>
      </c>
      <c r="C18" s="6" t="s">
        <v>102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97</v>
      </c>
      <c r="C19" s="6" t="s">
        <v>103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97</v>
      </c>
      <c r="C20" s="6" t="s">
        <v>119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</row>
    <row r="21" spans="2:15" x14ac:dyDescent="0.25">
      <c r="B21" s="6" t="s">
        <v>97</v>
      </c>
      <c r="C21" s="6" t="s">
        <v>104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  <c r="M21">
        <v>12</v>
      </c>
      <c r="N21">
        <v>12</v>
      </c>
      <c r="O21">
        <v>12</v>
      </c>
    </row>
    <row r="22" spans="2:15" x14ac:dyDescent="0.25">
      <c r="B22" s="6" t="s">
        <v>97</v>
      </c>
      <c r="C22" s="6" t="s">
        <v>120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2:15" x14ac:dyDescent="0.25">
      <c r="B23" s="6" t="s">
        <v>98</v>
      </c>
      <c r="C23" s="6" t="s">
        <v>99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98</v>
      </c>
      <c r="C24" s="6" t="s">
        <v>105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2:15" x14ac:dyDescent="0.25">
      <c r="B25" s="6" t="s">
        <v>98</v>
      </c>
      <c r="C25" s="6" t="s">
        <v>207</v>
      </c>
      <c r="D25">
        <v>1E-14</v>
      </c>
      <c r="E25">
        <v>1E-14</v>
      </c>
      <c r="F25">
        <v>1E-14</v>
      </c>
      <c r="G25">
        <v>1E-14</v>
      </c>
      <c r="H25">
        <v>1E-14</v>
      </c>
      <c r="I25">
        <v>1E-14</v>
      </c>
      <c r="J25">
        <v>1E-14</v>
      </c>
      <c r="K25">
        <v>1E-14</v>
      </c>
      <c r="L25">
        <v>1E-14</v>
      </c>
      <c r="M25">
        <v>1E-14</v>
      </c>
      <c r="N25">
        <v>1E-14</v>
      </c>
      <c r="O25">
        <v>1E-14</v>
      </c>
    </row>
    <row r="26" spans="2:15" x14ac:dyDescent="0.25">
      <c r="B26" s="6" t="s">
        <v>98</v>
      </c>
      <c r="C26" s="6" t="s">
        <v>138</v>
      </c>
      <c r="D26">
        <v>1E-14</v>
      </c>
      <c r="E26">
        <v>1E-14</v>
      </c>
      <c r="F26">
        <v>1E-14</v>
      </c>
      <c r="G26">
        <v>1E-14</v>
      </c>
      <c r="H26">
        <v>1E-14</v>
      </c>
      <c r="I26">
        <v>1E-14</v>
      </c>
      <c r="J26">
        <v>1E-14</v>
      </c>
      <c r="K26">
        <v>1E-14</v>
      </c>
      <c r="L26">
        <v>1E-14</v>
      </c>
      <c r="M26">
        <v>1E-14</v>
      </c>
      <c r="N26">
        <v>1E-14</v>
      </c>
      <c r="O26">
        <v>1E-14</v>
      </c>
    </row>
    <row r="27" spans="2:15" x14ac:dyDescent="0.25">
      <c r="B27" s="6" t="s">
        <v>98</v>
      </c>
      <c r="C27" s="6" t="s">
        <v>100</v>
      </c>
      <c r="D27">
        <v>10000</v>
      </c>
      <c r="E27">
        <v>10000</v>
      </c>
      <c r="F27">
        <v>10000</v>
      </c>
      <c r="G27">
        <v>10000</v>
      </c>
      <c r="H27">
        <v>10000</v>
      </c>
      <c r="I27">
        <v>10000</v>
      </c>
      <c r="J27">
        <v>10000</v>
      </c>
      <c r="K27">
        <v>10000</v>
      </c>
      <c r="L27">
        <v>10000</v>
      </c>
      <c r="M27">
        <v>10000</v>
      </c>
      <c r="N27">
        <v>10000</v>
      </c>
      <c r="O27">
        <v>10000</v>
      </c>
    </row>
    <row r="28" spans="2:15" x14ac:dyDescent="0.25">
      <c r="B28" s="6" t="s">
        <v>98</v>
      </c>
      <c r="C28" s="6" t="s">
        <v>101</v>
      </c>
      <c r="D28">
        <v>2000</v>
      </c>
      <c r="E28">
        <v>2000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</row>
    <row r="29" spans="2:15" x14ac:dyDescent="0.25">
      <c r="B29" s="6" t="s">
        <v>98</v>
      </c>
      <c r="C29" s="6" t="s">
        <v>139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98</v>
      </c>
      <c r="C30" s="6" t="s">
        <v>102</v>
      </c>
      <c r="D30">
        <v>10</v>
      </c>
      <c r="E30">
        <v>10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</row>
    <row r="31" spans="2:15" x14ac:dyDescent="0.25">
      <c r="B31" s="6" t="s">
        <v>98</v>
      </c>
      <c r="C31" s="6" t="s">
        <v>103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  <c r="N31">
        <v>30</v>
      </c>
      <c r="O31">
        <v>30</v>
      </c>
    </row>
    <row r="32" spans="2:15" x14ac:dyDescent="0.25">
      <c r="B32" s="6" t="s">
        <v>98</v>
      </c>
      <c r="C32" s="6" t="s">
        <v>119</v>
      </c>
      <c r="D32">
        <v>1E-14</v>
      </c>
      <c r="E32">
        <v>1E-14</v>
      </c>
      <c r="F32">
        <v>1E-14</v>
      </c>
      <c r="G32">
        <v>1E-14</v>
      </c>
      <c r="H32">
        <v>1E-14</v>
      </c>
      <c r="I32">
        <v>1E-14</v>
      </c>
      <c r="J32">
        <v>1E-14</v>
      </c>
      <c r="K32">
        <v>1E-14</v>
      </c>
      <c r="L32">
        <v>1E-14</v>
      </c>
      <c r="M32">
        <v>1E-14</v>
      </c>
      <c r="N32">
        <v>1E-14</v>
      </c>
      <c r="O32">
        <v>1E-14</v>
      </c>
    </row>
    <row r="33" spans="2:15" x14ac:dyDescent="0.25">
      <c r="B33" s="6" t="s">
        <v>98</v>
      </c>
      <c r="C33" s="6" t="s">
        <v>104</v>
      </c>
      <c r="D33">
        <v>12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</row>
    <row r="34" spans="2:15" x14ac:dyDescent="0.25">
      <c r="B34" s="6" t="s">
        <v>98</v>
      </c>
      <c r="C34" s="6" t="s">
        <v>120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9:AB474"/>
  <sheetViews>
    <sheetView zoomScale="85" zoomScaleNormal="85" workbookViewId="0">
      <selection activeCell="D9" sqref="D9:AB9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12.2851562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0</v>
      </c>
      <c r="C11" s="6" t="s">
        <v>99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0</v>
      </c>
      <c r="C12" s="6" t="s">
        <v>178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0</v>
      </c>
      <c r="C13" s="6" t="s">
        <v>179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0</v>
      </c>
      <c r="C14" s="6" t="s">
        <v>180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0</v>
      </c>
      <c r="C15" s="6" t="s">
        <v>202</v>
      </c>
      <c r="D15">
        <v>1E-14</v>
      </c>
      <c r="E15">
        <v>1E-14</v>
      </c>
      <c r="F15">
        <v>1E-14</v>
      </c>
      <c r="G15">
        <v>1E-14</v>
      </c>
      <c r="H15">
        <v>1E-14</v>
      </c>
      <c r="I15">
        <v>1E-14</v>
      </c>
      <c r="J15">
        <v>1E-14</v>
      </c>
      <c r="K15">
        <v>1E-14</v>
      </c>
      <c r="L15">
        <v>1E-14</v>
      </c>
      <c r="M15">
        <v>1E-14</v>
      </c>
      <c r="N15">
        <v>1E-14</v>
      </c>
      <c r="O15">
        <v>1E-14</v>
      </c>
    </row>
    <row r="16" spans="2:28" x14ac:dyDescent="0.25">
      <c r="B16" s="6" t="s">
        <v>0</v>
      </c>
      <c r="C16" s="6" t="s">
        <v>181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</row>
    <row r="17" spans="2:15" x14ac:dyDescent="0.25">
      <c r="B17" s="6" t="s">
        <v>0</v>
      </c>
      <c r="C17" s="6" t="s">
        <v>182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</row>
    <row r="18" spans="2:15" x14ac:dyDescent="0.25">
      <c r="B18" s="6" t="s">
        <v>0</v>
      </c>
      <c r="C18" s="6" t="s">
        <v>183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0</v>
      </c>
      <c r="C19" s="6" t="s">
        <v>184</v>
      </c>
      <c r="D19">
        <v>757.75</v>
      </c>
      <c r="E19">
        <v>757.75</v>
      </c>
      <c r="F19">
        <v>757.75</v>
      </c>
      <c r="G19">
        <v>757.75</v>
      </c>
      <c r="H19">
        <v>757.75</v>
      </c>
      <c r="I19">
        <v>757.75</v>
      </c>
      <c r="J19">
        <v>757.75</v>
      </c>
      <c r="K19">
        <v>757.75</v>
      </c>
      <c r="L19">
        <v>757.75</v>
      </c>
      <c r="M19">
        <v>757.75</v>
      </c>
      <c r="N19">
        <v>757.75</v>
      </c>
      <c r="O19">
        <v>757.75</v>
      </c>
    </row>
    <row r="20" spans="2:15" x14ac:dyDescent="0.25">
      <c r="B20" s="6" t="s">
        <v>0</v>
      </c>
      <c r="C20" s="6" t="s">
        <v>185</v>
      </c>
      <c r="D20">
        <v>757.75</v>
      </c>
      <c r="E20">
        <v>757.75</v>
      </c>
      <c r="F20">
        <v>757.75</v>
      </c>
      <c r="G20">
        <v>757.75</v>
      </c>
      <c r="H20">
        <v>757.75</v>
      </c>
      <c r="I20">
        <v>757.75</v>
      </c>
      <c r="J20">
        <v>757.75</v>
      </c>
      <c r="K20">
        <v>757.75</v>
      </c>
      <c r="L20">
        <v>757.75</v>
      </c>
      <c r="M20">
        <v>757.75</v>
      </c>
      <c r="N20">
        <v>757.75</v>
      </c>
      <c r="O20">
        <v>757.75</v>
      </c>
    </row>
    <row r="21" spans="2:15" x14ac:dyDescent="0.25">
      <c r="B21" s="6" t="s">
        <v>0</v>
      </c>
      <c r="C21" s="6" t="s">
        <v>186</v>
      </c>
      <c r="D21">
        <v>-1</v>
      </c>
      <c r="E21">
        <v>-1</v>
      </c>
      <c r="F21">
        <v>-1</v>
      </c>
      <c r="G21">
        <v>-1</v>
      </c>
      <c r="H21">
        <v>-1</v>
      </c>
      <c r="I21">
        <v>-1</v>
      </c>
      <c r="J21">
        <v>-1</v>
      </c>
      <c r="K21">
        <v>-1</v>
      </c>
      <c r="L21">
        <v>-1</v>
      </c>
      <c r="M21">
        <v>-1</v>
      </c>
      <c r="N21">
        <v>-1</v>
      </c>
      <c r="O21">
        <v>-1</v>
      </c>
    </row>
    <row r="22" spans="2:15" x14ac:dyDescent="0.25">
      <c r="B22" s="6" t="s">
        <v>0</v>
      </c>
      <c r="C22" s="6" t="s">
        <v>187</v>
      </c>
      <c r="D22">
        <v>-1</v>
      </c>
      <c r="E22">
        <v>-1</v>
      </c>
      <c r="F22">
        <v>-1</v>
      </c>
      <c r="G22">
        <v>-1</v>
      </c>
      <c r="H22">
        <v>-1</v>
      </c>
      <c r="I22">
        <v>-1</v>
      </c>
      <c r="J22">
        <v>-1</v>
      </c>
      <c r="K22">
        <v>-1</v>
      </c>
      <c r="L22">
        <v>-1</v>
      </c>
      <c r="M22">
        <v>-1</v>
      </c>
      <c r="N22">
        <v>-1</v>
      </c>
      <c r="O22">
        <v>-1</v>
      </c>
    </row>
    <row r="23" spans="2:15" x14ac:dyDescent="0.25">
      <c r="B23" s="6" t="s">
        <v>0</v>
      </c>
      <c r="C23" s="6" t="s">
        <v>188</v>
      </c>
      <c r="D23">
        <v>525</v>
      </c>
      <c r="E23">
        <v>525</v>
      </c>
      <c r="F23">
        <v>525</v>
      </c>
      <c r="G23">
        <v>525</v>
      </c>
      <c r="H23">
        <v>525</v>
      </c>
      <c r="I23">
        <v>525</v>
      </c>
      <c r="J23">
        <v>525</v>
      </c>
      <c r="K23">
        <v>525</v>
      </c>
      <c r="L23">
        <v>525</v>
      </c>
      <c r="M23">
        <v>525</v>
      </c>
      <c r="N23">
        <v>525</v>
      </c>
      <c r="O23">
        <v>525</v>
      </c>
    </row>
    <row r="24" spans="2:15" x14ac:dyDescent="0.25">
      <c r="B24" s="6" t="s">
        <v>0</v>
      </c>
      <c r="C24" s="6" t="s">
        <v>217</v>
      </c>
      <c r="D24">
        <v>10.5</v>
      </c>
      <c r="E24">
        <v>10.5</v>
      </c>
      <c r="F24">
        <v>10.5</v>
      </c>
      <c r="G24">
        <v>10.5</v>
      </c>
      <c r="H24">
        <v>10.5</v>
      </c>
      <c r="I24">
        <v>10.5</v>
      </c>
      <c r="J24">
        <v>10.5</v>
      </c>
      <c r="K24">
        <v>10.5</v>
      </c>
      <c r="L24">
        <v>10.5</v>
      </c>
      <c r="M24">
        <v>10.5</v>
      </c>
      <c r="N24">
        <v>10.5</v>
      </c>
      <c r="O24">
        <v>10.5</v>
      </c>
    </row>
    <row r="25" spans="2:15" x14ac:dyDescent="0.25">
      <c r="B25" s="6" t="s">
        <v>0</v>
      </c>
      <c r="C25" s="6" t="s">
        <v>189</v>
      </c>
      <c r="D25">
        <v>1.1000000000000001</v>
      </c>
      <c r="E25">
        <v>1.1000000000000001</v>
      </c>
      <c r="F25">
        <v>1.1000000000000001</v>
      </c>
      <c r="G25">
        <v>1.1000000000000001</v>
      </c>
      <c r="H25">
        <v>1.1000000000000001</v>
      </c>
      <c r="I25">
        <v>1.1000000000000001</v>
      </c>
      <c r="J25">
        <v>1.1000000000000001</v>
      </c>
      <c r="K25">
        <v>1.1000000000000001</v>
      </c>
      <c r="L25">
        <v>1.1000000000000001</v>
      </c>
      <c r="M25">
        <v>1.1000000000000001</v>
      </c>
      <c r="N25">
        <v>1.1000000000000001</v>
      </c>
      <c r="O25">
        <v>1.1000000000000001</v>
      </c>
    </row>
    <row r="26" spans="2:15" x14ac:dyDescent="0.25">
      <c r="B26" s="6" t="s">
        <v>0</v>
      </c>
      <c r="C26" s="6" t="s">
        <v>190</v>
      </c>
      <c r="D26">
        <v>37</v>
      </c>
      <c r="E26">
        <v>37</v>
      </c>
      <c r="F26">
        <v>37</v>
      </c>
      <c r="G26">
        <v>37</v>
      </c>
      <c r="H26">
        <v>37</v>
      </c>
      <c r="I26">
        <v>37</v>
      </c>
      <c r="J26">
        <v>37</v>
      </c>
      <c r="K26">
        <v>37</v>
      </c>
      <c r="L26">
        <v>37</v>
      </c>
      <c r="M26">
        <v>37</v>
      </c>
      <c r="N26">
        <v>37</v>
      </c>
      <c r="O26">
        <v>37</v>
      </c>
    </row>
    <row r="27" spans="2:15" x14ac:dyDescent="0.25">
      <c r="B27" s="6" t="s">
        <v>1</v>
      </c>
      <c r="C27" s="6" t="s">
        <v>99</v>
      </c>
      <c r="D27">
        <v>1E-14</v>
      </c>
      <c r="E27">
        <v>1E-14</v>
      </c>
      <c r="F27">
        <v>1E-14</v>
      </c>
      <c r="G27">
        <v>1E-14</v>
      </c>
      <c r="H27">
        <v>1E-14</v>
      </c>
      <c r="I27">
        <v>1E-14</v>
      </c>
      <c r="J27">
        <v>1E-14</v>
      </c>
      <c r="K27">
        <v>1E-14</v>
      </c>
      <c r="L27">
        <v>1E-14</v>
      </c>
      <c r="M27">
        <v>1E-14</v>
      </c>
      <c r="N27">
        <v>1E-14</v>
      </c>
      <c r="O27">
        <v>1E-14</v>
      </c>
    </row>
    <row r="28" spans="2:15" x14ac:dyDescent="0.25">
      <c r="B28" s="6" t="s">
        <v>1</v>
      </c>
      <c r="C28" s="6" t="s">
        <v>178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</v>
      </c>
      <c r="C29" s="6" t="s">
        <v>179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1</v>
      </c>
      <c r="C30" s="6" t="s">
        <v>180</v>
      </c>
      <c r="D30">
        <v>1E-14</v>
      </c>
      <c r="E30">
        <v>1E-14</v>
      </c>
      <c r="F30">
        <v>1E-14</v>
      </c>
      <c r="G30">
        <v>1E-14</v>
      </c>
      <c r="H30">
        <v>1E-14</v>
      </c>
      <c r="I30">
        <v>1E-14</v>
      </c>
      <c r="J30">
        <v>1E-14</v>
      </c>
      <c r="K30">
        <v>1E-14</v>
      </c>
      <c r="L30">
        <v>1E-14</v>
      </c>
      <c r="M30">
        <v>1E-14</v>
      </c>
      <c r="N30">
        <v>1E-14</v>
      </c>
      <c r="O30">
        <v>1E-14</v>
      </c>
    </row>
    <row r="31" spans="2:15" x14ac:dyDescent="0.25">
      <c r="B31" s="6" t="s">
        <v>1</v>
      </c>
      <c r="C31" s="6" t="s">
        <v>202</v>
      </c>
      <c r="D31">
        <v>1E-14</v>
      </c>
      <c r="E31">
        <v>1E-14</v>
      </c>
      <c r="F31">
        <v>1E-14</v>
      </c>
      <c r="G31">
        <v>1E-14</v>
      </c>
      <c r="H31">
        <v>1E-14</v>
      </c>
      <c r="I31">
        <v>1E-14</v>
      </c>
      <c r="J31">
        <v>1E-14</v>
      </c>
      <c r="K31">
        <v>1E-14</v>
      </c>
      <c r="L31">
        <v>1E-14</v>
      </c>
      <c r="M31">
        <v>1E-14</v>
      </c>
      <c r="N31">
        <v>1E-14</v>
      </c>
      <c r="O31">
        <v>1E-14</v>
      </c>
    </row>
    <row r="32" spans="2:15" x14ac:dyDescent="0.25">
      <c r="B32" s="6" t="s">
        <v>1</v>
      </c>
      <c r="C32" s="6" t="s">
        <v>181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</row>
    <row r="33" spans="2:15" x14ac:dyDescent="0.25">
      <c r="B33" s="6" t="s">
        <v>1</v>
      </c>
      <c r="C33" s="6" t="s">
        <v>182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</row>
    <row r="34" spans="2:15" x14ac:dyDescent="0.25">
      <c r="B34" s="6" t="s">
        <v>1</v>
      </c>
      <c r="C34" s="6" t="s">
        <v>183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  <row r="35" spans="2:15" x14ac:dyDescent="0.25">
      <c r="B35" s="6" t="s">
        <v>1</v>
      </c>
      <c r="C35" s="6" t="s">
        <v>184</v>
      </c>
      <c r="D35">
        <v>1E-14</v>
      </c>
      <c r="E35">
        <v>1E-14</v>
      </c>
      <c r="F35">
        <v>1E-14</v>
      </c>
      <c r="G35">
        <v>1E-14</v>
      </c>
      <c r="H35">
        <v>1E-14</v>
      </c>
      <c r="I35">
        <v>1E-14</v>
      </c>
      <c r="J35">
        <v>1E-14</v>
      </c>
      <c r="K35">
        <v>1E-14</v>
      </c>
      <c r="L35">
        <v>1E-14</v>
      </c>
      <c r="M35">
        <v>1E-14</v>
      </c>
      <c r="N35">
        <v>1E-14</v>
      </c>
      <c r="O35">
        <v>1E-14</v>
      </c>
    </row>
    <row r="36" spans="2:15" x14ac:dyDescent="0.25">
      <c r="B36" s="6" t="s">
        <v>1</v>
      </c>
      <c r="C36" s="6" t="s">
        <v>185</v>
      </c>
      <c r="D36">
        <v>1E-14</v>
      </c>
      <c r="E36">
        <v>1E-14</v>
      </c>
      <c r="F36">
        <v>1E-14</v>
      </c>
      <c r="G36">
        <v>1E-14</v>
      </c>
      <c r="H36">
        <v>1E-14</v>
      </c>
      <c r="I36">
        <v>1E-14</v>
      </c>
      <c r="J36">
        <v>1E-14</v>
      </c>
      <c r="K36">
        <v>1E-14</v>
      </c>
      <c r="L36">
        <v>1E-14</v>
      </c>
      <c r="M36">
        <v>1E-14</v>
      </c>
      <c r="N36">
        <v>1E-14</v>
      </c>
      <c r="O36">
        <v>1E-14</v>
      </c>
    </row>
    <row r="37" spans="2:15" x14ac:dyDescent="0.25">
      <c r="B37" s="6" t="s">
        <v>1</v>
      </c>
      <c r="C37" s="6" t="s">
        <v>186</v>
      </c>
      <c r="D37">
        <v>-1</v>
      </c>
      <c r="E37">
        <v>-1</v>
      </c>
      <c r="F37">
        <v>-1</v>
      </c>
      <c r="G37">
        <v>-1</v>
      </c>
      <c r="H37">
        <v>-1</v>
      </c>
      <c r="I37">
        <v>-1</v>
      </c>
      <c r="J37">
        <v>-1</v>
      </c>
      <c r="K37">
        <v>-1</v>
      </c>
      <c r="L37">
        <v>-1</v>
      </c>
      <c r="M37">
        <v>-1</v>
      </c>
      <c r="N37">
        <v>-1</v>
      </c>
      <c r="O37">
        <v>-1</v>
      </c>
    </row>
    <row r="38" spans="2:15" x14ac:dyDescent="0.25">
      <c r="B38" s="6" t="s">
        <v>1</v>
      </c>
      <c r="C38" s="6" t="s">
        <v>187</v>
      </c>
      <c r="D38">
        <v>-1</v>
      </c>
      <c r="E38">
        <v>-1</v>
      </c>
      <c r="F38">
        <v>-1</v>
      </c>
      <c r="G38">
        <v>-1</v>
      </c>
      <c r="H38">
        <v>-1</v>
      </c>
      <c r="I38">
        <v>-1</v>
      </c>
      <c r="J38">
        <v>-1</v>
      </c>
      <c r="K38">
        <v>-1</v>
      </c>
      <c r="L38">
        <v>-1</v>
      </c>
      <c r="M38">
        <v>-1</v>
      </c>
      <c r="N38">
        <v>-1</v>
      </c>
      <c r="O38">
        <v>-1</v>
      </c>
    </row>
    <row r="39" spans="2:15" x14ac:dyDescent="0.25">
      <c r="B39" s="6" t="s">
        <v>1</v>
      </c>
      <c r="C39" s="6" t="s">
        <v>188</v>
      </c>
      <c r="D39">
        <v>1E-14</v>
      </c>
      <c r="E39">
        <v>1E-14</v>
      </c>
      <c r="F39">
        <v>1E-14</v>
      </c>
      <c r="G39">
        <v>1E-14</v>
      </c>
      <c r="H39">
        <v>1E-14</v>
      </c>
      <c r="I39">
        <v>1E-14</v>
      </c>
      <c r="J39">
        <v>1E-14</v>
      </c>
      <c r="K39">
        <v>1E-14</v>
      </c>
      <c r="L39">
        <v>1E-14</v>
      </c>
      <c r="M39">
        <v>1E-14</v>
      </c>
      <c r="N39">
        <v>1E-14</v>
      </c>
      <c r="O39">
        <v>1E-14</v>
      </c>
    </row>
    <row r="40" spans="2:15" x14ac:dyDescent="0.25">
      <c r="B40" s="6" t="s">
        <v>1</v>
      </c>
      <c r="C40" s="6" t="s">
        <v>217</v>
      </c>
      <c r="D40">
        <v>10.5</v>
      </c>
      <c r="E40">
        <v>10.5</v>
      </c>
      <c r="F40">
        <v>10.5</v>
      </c>
      <c r="G40">
        <v>10.5</v>
      </c>
      <c r="H40">
        <v>10.5</v>
      </c>
      <c r="I40">
        <v>10.5</v>
      </c>
      <c r="J40">
        <v>10.5</v>
      </c>
      <c r="K40">
        <v>10.5</v>
      </c>
      <c r="L40">
        <v>10.5</v>
      </c>
      <c r="M40">
        <v>10.5</v>
      </c>
      <c r="N40">
        <v>10.5</v>
      </c>
      <c r="O40">
        <v>10.5</v>
      </c>
    </row>
    <row r="41" spans="2:15" x14ac:dyDescent="0.25">
      <c r="B41" s="6" t="s">
        <v>1</v>
      </c>
      <c r="C41" s="6" t="s">
        <v>189</v>
      </c>
      <c r="D41">
        <v>1.1000000000000001</v>
      </c>
      <c r="E41">
        <v>1.1000000000000001</v>
      </c>
      <c r="F41">
        <v>1.1000000000000001</v>
      </c>
      <c r="G41">
        <v>1.1000000000000001</v>
      </c>
      <c r="H41">
        <v>1.1000000000000001</v>
      </c>
      <c r="I41">
        <v>1.1000000000000001</v>
      </c>
      <c r="J41">
        <v>1.1000000000000001</v>
      </c>
      <c r="K41">
        <v>1.1000000000000001</v>
      </c>
      <c r="L41">
        <v>1.1000000000000001</v>
      </c>
      <c r="M41">
        <v>1.1000000000000001</v>
      </c>
      <c r="N41">
        <v>1.1000000000000001</v>
      </c>
      <c r="O41">
        <v>1.1000000000000001</v>
      </c>
    </row>
    <row r="42" spans="2:15" x14ac:dyDescent="0.25">
      <c r="B42" s="6" t="s">
        <v>1</v>
      </c>
      <c r="C42" s="6" t="s">
        <v>190</v>
      </c>
      <c r="D42">
        <v>37</v>
      </c>
      <c r="E42">
        <v>37</v>
      </c>
      <c r="F42">
        <v>37</v>
      </c>
      <c r="G42">
        <v>37</v>
      </c>
      <c r="H42">
        <v>37</v>
      </c>
      <c r="I42">
        <v>37</v>
      </c>
      <c r="J42">
        <v>37</v>
      </c>
      <c r="K42">
        <v>37</v>
      </c>
      <c r="L42">
        <v>37</v>
      </c>
      <c r="M42">
        <v>37</v>
      </c>
      <c r="N42">
        <v>37</v>
      </c>
      <c r="O42">
        <v>37</v>
      </c>
    </row>
    <row r="43" spans="2:15" x14ac:dyDescent="0.25">
      <c r="B43" s="6" t="s">
        <v>2</v>
      </c>
      <c r="C43" s="6" t="s">
        <v>99</v>
      </c>
      <c r="D43">
        <v>1E-14</v>
      </c>
      <c r="E43">
        <v>1E-14</v>
      </c>
      <c r="F43">
        <v>1E-14</v>
      </c>
      <c r="G43">
        <v>1E-14</v>
      </c>
      <c r="H43">
        <v>1E-14</v>
      </c>
      <c r="I43">
        <v>1E-14</v>
      </c>
      <c r="J43">
        <v>1E-14</v>
      </c>
      <c r="K43">
        <v>1E-14</v>
      </c>
      <c r="L43">
        <v>1E-14</v>
      </c>
      <c r="M43">
        <v>1E-14</v>
      </c>
      <c r="N43">
        <v>1E-14</v>
      </c>
      <c r="O43">
        <v>1E-14</v>
      </c>
    </row>
    <row r="44" spans="2:15" x14ac:dyDescent="0.25">
      <c r="B44" s="6" t="s">
        <v>2</v>
      </c>
      <c r="C44" s="6" t="s">
        <v>178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</row>
    <row r="45" spans="2:15" x14ac:dyDescent="0.25">
      <c r="B45" s="6" t="s">
        <v>2</v>
      </c>
      <c r="C45" s="6" t="s">
        <v>179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2</v>
      </c>
      <c r="C46" s="6" t="s">
        <v>180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2</v>
      </c>
      <c r="C47" s="6" t="s">
        <v>202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2</v>
      </c>
      <c r="C48" s="6" t="s">
        <v>181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</row>
    <row r="49" spans="2:15" x14ac:dyDescent="0.25">
      <c r="B49" s="6" t="s">
        <v>2</v>
      </c>
      <c r="C49" s="6" t="s">
        <v>182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</row>
    <row r="50" spans="2:15" x14ac:dyDescent="0.25">
      <c r="B50" s="6" t="s">
        <v>2</v>
      </c>
      <c r="C50" s="6" t="s">
        <v>183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</row>
    <row r="51" spans="2:15" x14ac:dyDescent="0.25">
      <c r="B51" s="6" t="s">
        <v>2</v>
      </c>
      <c r="C51" s="6" t="s">
        <v>184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2</v>
      </c>
      <c r="C52" s="6" t="s">
        <v>185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2</v>
      </c>
      <c r="C53" s="6" t="s">
        <v>186</v>
      </c>
      <c r="D53">
        <v>-1</v>
      </c>
      <c r="E53">
        <v>-1</v>
      </c>
      <c r="F53">
        <v>-1</v>
      </c>
      <c r="G53">
        <v>-1</v>
      </c>
      <c r="H53">
        <v>-1</v>
      </c>
      <c r="I53">
        <v>-1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</row>
    <row r="54" spans="2:15" x14ac:dyDescent="0.25">
      <c r="B54" s="6" t="s">
        <v>2</v>
      </c>
      <c r="C54" s="6" t="s">
        <v>187</v>
      </c>
      <c r="D54">
        <v>-1</v>
      </c>
      <c r="E54">
        <v>-1</v>
      </c>
      <c r="F54">
        <v>-1</v>
      </c>
      <c r="G54">
        <v>-1</v>
      </c>
      <c r="H54">
        <v>-1</v>
      </c>
      <c r="I54">
        <v>-1</v>
      </c>
      <c r="J54">
        <v>-1</v>
      </c>
      <c r="K54">
        <v>-1</v>
      </c>
      <c r="L54">
        <v>-1</v>
      </c>
      <c r="M54">
        <v>-1</v>
      </c>
      <c r="N54">
        <v>-1</v>
      </c>
      <c r="O54">
        <v>-1</v>
      </c>
    </row>
    <row r="55" spans="2:15" x14ac:dyDescent="0.25">
      <c r="B55" s="6" t="s">
        <v>2</v>
      </c>
      <c r="C55" s="6" t="s">
        <v>188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2</v>
      </c>
      <c r="C56" s="6" t="s">
        <v>217</v>
      </c>
      <c r="D56">
        <v>10.5</v>
      </c>
      <c r="E56">
        <v>10.5</v>
      </c>
      <c r="F56">
        <v>10.5</v>
      </c>
      <c r="G56">
        <v>10.5</v>
      </c>
      <c r="H56">
        <v>10.5</v>
      </c>
      <c r="I56">
        <v>10.5</v>
      </c>
      <c r="J56">
        <v>10.5</v>
      </c>
      <c r="K56">
        <v>10.5</v>
      </c>
      <c r="L56">
        <v>10.5</v>
      </c>
      <c r="M56">
        <v>10.5</v>
      </c>
      <c r="N56">
        <v>10.5</v>
      </c>
      <c r="O56">
        <v>10.5</v>
      </c>
    </row>
    <row r="57" spans="2:15" x14ac:dyDescent="0.25">
      <c r="B57" s="6" t="s">
        <v>2</v>
      </c>
      <c r="C57" s="6" t="s">
        <v>189</v>
      </c>
      <c r="D57">
        <v>1.1000000000000001</v>
      </c>
      <c r="E57">
        <v>1.1000000000000001</v>
      </c>
      <c r="F57">
        <v>1.1000000000000001</v>
      </c>
      <c r="G57">
        <v>1.1000000000000001</v>
      </c>
      <c r="H57">
        <v>1.1000000000000001</v>
      </c>
      <c r="I57">
        <v>1.1000000000000001</v>
      </c>
      <c r="J57">
        <v>1.1000000000000001</v>
      </c>
      <c r="K57">
        <v>1.1000000000000001</v>
      </c>
      <c r="L57">
        <v>1.1000000000000001</v>
      </c>
      <c r="M57">
        <v>1.1000000000000001</v>
      </c>
      <c r="N57">
        <v>1.1000000000000001</v>
      </c>
      <c r="O57">
        <v>1.1000000000000001</v>
      </c>
    </row>
    <row r="58" spans="2:15" x14ac:dyDescent="0.25">
      <c r="B58" s="6" t="s">
        <v>2</v>
      </c>
      <c r="C58" s="6" t="s">
        <v>190</v>
      </c>
      <c r="D58">
        <v>37</v>
      </c>
      <c r="E58">
        <v>37</v>
      </c>
      <c r="F58">
        <v>37</v>
      </c>
      <c r="G58">
        <v>37</v>
      </c>
      <c r="H58">
        <v>37</v>
      </c>
      <c r="I58">
        <v>37</v>
      </c>
      <c r="J58">
        <v>37</v>
      </c>
      <c r="K58">
        <v>37</v>
      </c>
      <c r="L58">
        <v>37</v>
      </c>
      <c r="M58">
        <v>37</v>
      </c>
      <c r="N58">
        <v>37</v>
      </c>
      <c r="O58">
        <v>37</v>
      </c>
    </row>
    <row r="59" spans="2:15" x14ac:dyDescent="0.25">
      <c r="B59" s="6" t="s">
        <v>3</v>
      </c>
      <c r="C59" s="6" t="s">
        <v>99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3</v>
      </c>
      <c r="C60" s="6" t="s">
        <v>178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</row>
    <row r="61" spans="2:15" x14ac:dyDescent="0.25">
      <c r="B61" s="6" t="s">
        <v>3</v>
      </c>
      <c r="C61" s="6" t="s">
        <v>179</v>
      </c>
      <c r="D61">
        <v>1E-14</v>
      </c>
      <c r="E61">
        <v>1E-14</v>
      </c>
      <c r="F61">
        <v>1E-14</v>
      </c>
      <c r="G61">
        <v>1E-14</v>
      </c>
      <c r="H61">
        <v>1E-14</v>
      </c>
      <c r="I61">
        <v>1E-14</v>
      </c>
      <c r="J61">
        <v>1E-14</v>
      </c>
      <c r="K61">
        <v>1E-14</v>
      </c>
      <c r="L61">
        <v>1E-14</v>
      </c>
      <c r="M61">
        <v>1E-14</v>
      </c>
      <c r="N61">
        <v>1E-14</v>
      </c>
      <c r="O61">
        <v>1E-14</v>
      </c>
    </row>
    <row r="62" spans="2:15" x14ac:dyDescent="0.25">
      <c r="B62" s="6" t="s">
        <v>3</v>
      </c>
      <c r="C62" s="6" t="s">
        <v>180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3</v>
      </c>
      <c r="C63" s="6" t="s">
        <v>202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3</v>
      </c>
      <c r="C64" s="6" t="s">
        <v>181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</row>
    <row r="65" spans="2:15" x14ac:dyDescent="0.25">
      <c r="B65" s="6" t="s">
        <v>3</v>
      </c>
      <c r="C65" s="6" t="s">
        <v>182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</row>
    <row r="66" spans="2:15" x14ac:dyDescent="0.25">
      <c r="B66" s="6" t="s">
        <v>3</v>
      </c>
      <c r="C66" s="6" t="s">
        <v>183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</row>
    <row r="67" spans="2:15" x14ac:dyDescent="0.25">
      <c r="B67" s="6" t="s">
        <v>3</v>
      </c>
      <c r="C67" s="6" t="s">
        <v>184</v>
      </c>
      <c r="D67">
        <v>2405.75</v>
      </c>
      <c r="E67">
        <v>2405.75</v>
      </c>
      <c r="F67">
        <v>2405.75</v>
      </c>
      <c r="G67">
        <v>2405.75</v>
      </c>
      <c r="H67">
        <v>2405.75</v>
      </c>
      <c r="I67">
        <v>2405.75</v>
      </c>
      <c r="J67">
        <v>2405.75</v>
      </c>
      <c r="K67">
        <v>2405.75</v>
      </c>
      <c r="L67">
        <v>2405.75</v>
      </c>
      <c r="M67">
        <v>2405.75</v>
      </c>
      <c r="N67">
        <v>2405.75</v>
      </c>
      <c r="O67">
        <v>2405.75</v>
      </c>
    </row>
    <row r="68" spans="2:15" x14ac:dyDescent="0.25">
      <c r="B68" s="6" t="s">
        <v>3</v>
      </c>
      <c r="C68" s="6" t="s">
        <v>185</v>
      </c>
      <c r="D68">
        <v>2405.75</v>
      </c>
      <c r="E68">
        <v>2405.75</v>
      </c>
      <c r="F68">
        <v>2405.75</v>
      </c>
      <c r="G68">
        <v>2405.75</v>
      </c>
      <c r="H68">
        <v>2405.75</v>
      </c>
      <c r="I68">
        <v>2405.75</v>
      </c>
      <c r="J68">
        <v>2405.75</v>
      </c>
      <c r="K68">
        <v>2405.75</v>
      </c>
      <c r="L68">
        <v>2405.75</v>
      </c>
      <c r="M68">
        <v>2405.75</v>
      </c>
      <c r="N68">
        <v>2405.75</v>
      </c>
      <c r="O68">
        <v>2405.75</v>
      </c>
    </row>
    <row r="69" spans="2:15" x14ac:dyDescent="0.25">
      <c r="B69" s="6" t="s">
        <v>3</v>
      </c>
      <c r="C69" s="6" t="s">
        <v>186</v>
      </c>
      <c r="D69">
        <v>-1</v>
      </c>
      <c r="E69">
        <v>-1</v>
      </c>
      <c r="F69">
        <v>-1</v>
      </c>
      <c r="G69">
        <v>-1</v>
      </c>
      <c r="H69">
        <v>-1</v>
      </c>
      <c r="I69">
        <v>-1</v>
      </c>
      <c r="J69">
        <v>-1</v>
      </c>
      <c r="K69">
        <v>-1</v>
      </c>
      <c r="L69">
        <v>-1</v>
      </c>
      <c r="M69">
        <v>-1</v>
      </c>
      <c r="N69">
        <v>-1</v>
      </c>
      <c r="O69">
        <v>-1</v>
      </c>
    </row>
    <row r="70" spans="2:15" x14ac:dyDescent="0.25">
      <c r="B70" s="6" t="s">
        <v>3</v>
      </c>
      <c r="C70" s="6" t="s">
        <v>187</v>
      </c>
      <c r="D70">
        <v>-1</v>
      </c>
      <c r="E70">
        <v>-1</v>
      </c>
      <c r="F70">
        <v>-1</v>
      </c>
      <c r="G70">
        <v>-1</v>
      </c>
      <c r="H70">
        <v>-1</v>
      </c>
      <c r="I70">
        <v>-1</v>
      </c>
      <c r="J70">
        <v>-1</v>
      </c>
      <c r="K70">
        <v>-1</v>
      </c>
      <c r="L70">
        <v>-1</v>
      </c>
      <c r="M70">
        <v>-1</v>
      </c>
      <c r="N70">
        <v>-1</v>
      </c>
      <c r="O70">
        <v>-1</v>
      </c>
    </row>
    <row r="71" spans="2:15" x14ac:dyDescent="0.25">
      <c r="B71" s="6" t="s">
        <v>3</v>
      </c>
      <c r="C71" s="6" t="s">
        <v>188</v>
      </c>
      <c r="D71">
        <v>525</v>
      </c>
      <c r="E71">
        <v>525</v>
      </c>
      <c r="F71">
        <v>525</v>
      </c>
      <c r="G71">
        <v>525</v>
      </c>
      <c r="H71">
        <v>525</v>
      </c>
      <c r="I71">
        <v>525</v>
      </c>
      <c r="J71">
        <v>525</v>
      </c>
      <c r="K71">
        <v>525</v>
      </c>
      <c r="L71">
        <v>525</v>
      </c>
      <c r="M71">
        <v>525</v>
      </c>
      <c r="N71">
        <v>525</v>
      </c>
      <c r="O71">
        <v>525</v>
      </c>
    </row>
    <row r="72" spans="2:15" x14ac:dyDescent="0.25">
      <c r="B72" s="6" t="s">
        <v>3</v>
      </c>
      <c r="C72" s="6" t="s">
        <v>217</v>
      </c>
      <c r="D72">
        <v>9.4</v>
      </c>
      <c r="E72">
        <v>9.4</v>
      </c>
      <c r="F72">
        <v>9.4</v>
      </c>
      <c r="G72">
        <v>9.4</v>
      </c>
      <c r="H72">
        <v>9.4</v>
      </c>
      <c r="I72">
        <v>9.4</v>
      </c>
      <c r="J72">
        <v>9.4</v>
      </c>
      <c r="K72">
        <v>9.4</v>
      </c>
      <c r="L72">
        <v>9.4</v>
      </c>
      <c r="M72">
        <v>9.4</v>
      </c>
      <c r="N72">
        <v>9.4</v>
      </c>
      <c r="O72">
        <v>9.4</v>
      </c>
    </row>
    <row r="73" spans="2:15" x14ac:dyDescent="0.25">
      <c r="B73" s="6" t="s">
        <v>3</v>
      </c>
      <c r="C73" s="6" t="s">
        <v>189</v>
      </c>
      <c r="D73">
        <v>1.1000000000000001</v>
      </c>
      <c r="E73">
        <v>1.1000000000000001</v>
      </c>
      <c r="F73">
        <v>1.1000000000000001</v>
      </c>
      <c r="G73">
        <v>1.1000000000000001</v>
      </c>
      <c r="H73">
        <v>1.1000000000000001</v>
      </c>
      <c r="I73">
        <v>1.1000000000000001</v>
      </c>
      <c r="J73">
        <v>1.1000000000000001</v>
      </c>
      <c r="K73">
        <v>1.1000000000000001</v>
      </c>
      <c r="L73">
        <v>1.1000000000000001</v>
      </c>
      <c r="M73">
        <v>1.1000000000000001</v>
      </c>
      <c r="N73">
        <v>1.1000000000000001</v>
      </c>
      <c r="O73">
        <v>1.1000000000000001</v>
      </c>
    </row>
    <row r="74" spans="2:15" x14ac:dyDescent="0.25">
      <c r="B74" s="6" t="s">
        <v>3</v>
      </c>
      <c r="C74" s="6" t="s">
        <v>190</v>
      </c>
      <c r="D74">
        <v>37</v>
      </c>
      <c r="E74">
        <v>37</v>
      </c>
      <c r="F74">
        <v>37</v>
      </c>
      <c r="G74">
        <v>37</v>
      </c>
      <c r="H74">
        <v>37</v>
      </c>
      <c r="I74">
        <v>37</v>
      </c>
      <c r="J74">
        <v>37</v>
      </c>
      <c r="K74">
        <v>37</v>
      </c>
      <c r="L74">
        <v>37</v>
      </c>
      <c r="M74">
        <v>37</v>
      </c>
      <c r="N74">
        <v>37</v>
      </c>
      <c r="O74">
        <v>37</v>
      </c>
    </row>
    <row r="75" spans="2:15" x14ac:dyDescent="0.25">
      <c r="B75" s="6" t="s">
        <v>4</v>
      </c>
      <c r="C75" s="6" t="s">
        <v>99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4</v>
      </c>
      <c r="C76" s="6" t="s">
        <v>178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</row>
    <row r="77" spans="2:15" x14ac:dyDescent="0.25">
      <c r="B77" s="6" t="s">
        <v>4</v>
      </c>
      <c r="C77" s="6" t="s">
        <v>179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4</v>
      </c>
      <c r="C78" s="6" t="s">
        <v>180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4</v>
      </c>
      <c r="C79" s="6" t="s">
        <v>202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4</v>
      </c>
      <c r="C80" s="6" t="s">
        <v>181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</row>
    <row r="81" spans="2:15" x14ac:dyDescent="0.25">
      <c r="B81" s="6" t="s">
        <v>4</v>
      </c>
      <c r="C81" s="6" t="s">
        <v>182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</row>
    <row r="82" spans="2:15" x14ac:dyDescent="0.25">
      <c r="B82" s="6" t="s">
        <v>4</v>
      </c>
      <c r="C82" s="6" t="s">
        <v>183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</row>
    <row r="83" spans="2:15" x14ac:dyDescent="0.25">
      <c r="B83" s="6" t="s">
        <v>4</v>
      </c>
      <c r="C83" s="6" t="s">
        <v>184</v>
      </c>
      <c r="D83">
        <v>291.66666666666669</v>
      </c>
      <c r="E83">
        <v>291.66666666666669</v>
      </c>
      <c r="F83">
        <v>291.66666666666669</v>
      </c>
      <c r="G83">
        <v>291.66666666666669</v>
      </c>
      <c r="H83">
        <v>291.66666666666669</v>
      </c>
      <c r="I83">
        <v>291.66666666666669</v>
      </c>
      <c r="J83">
        <v>291.66666666666669</v>
      </c>
      <c r="K83">
        <v>291.66666666666669</v>
      </c>
      <c r="L83">
        <v>291.66666666666669</v>
      </c>
      <c r="M83">
        <v>291.66666666666669</v>
      </c>
      <c r="N83">
        <v>291.66666666666669</v>
      </c>
      <c r="O83">
        <v>291.66666666666669</v>
      </c>
    </row>
    <row r="84" spans="2:15" x14ac:dyDescent="0.25">
      <c r="B84" s="6" t="s">
        <v>4</v>
      </c>
      <c r="C84" s="6" t="s">
        <v>185</v>
      </c>
      <c r="D84">
        <v>291.66666666666669</v>
      </c>
      <c r="E84">
        <v>291.66666666666669</v>
      </c>
      <c r="F84">
        <v>291.66666666666669</v>
      </c>
      <c r="G84">
        <v>291.66666666666669</v>
      </c>
      <c r="H84">
        <v>291.66666666666669</v>
      </c>
      <c r="I84">
        <v>291.66666666666669</v>
      </c>
      <c r="J84">
        <v>291.66666666666669</v>
      </c>
      <c r="K84">
        <v>291.66666666666669</v>
      </c>
      <c r="L84">
        <v>291.66666666666669</v>
      </c>
      <c r="M84">
        <v>291.66666666666669</v>
      </c>
      <c r="N84">
        <v>291.66666666666669</v>
      </c>
      <c r="O84">
        <v>291.66666666666669</v>
      </c>
    </row>
    <row r="85" spans="2:15" x14ac:dyDescent="0.25">
      <c r="B85" s="6" t="s">
        <v>4</v>
      </c>
      <c r="C85" s="6" t="s">
        <v>186</v>
      </c>
      <c r="D85">
        <v>-1</v>
      </c>
      <c r="E85">
        <v>-1</v>
      </c>
      <c r="F85">
        <v>-1</v>
      </c>
      <c r="G85">
        <v>-1</v>
      </c>
      <c r="H85">
        <v>-1</v>
      </c>
      <c r="I85">
        <v>-1</v>
      </c>
      <c r="J85">
        <v>-1</v>
      </c>
      <c r="K85">
        <v>-1</v>
      </c>
      <c r="L85">
        <v>-1</v>
      </c>
      <c r="M85">
        <v>-1</v>
      </c>
      <c r="N85">
        <v>-1</v>
      </c>
      <c r="O85">
        <v>-1</v>
      </c>
    </row>
    <row r="86" spans="2:15" x14ac:dyDescent="0.25">
      <c r="B86" s="6" t="s">
        <v>4</v>
      </c>
      <c r="C86" s="6" t="s">
        <v>187</v>
      </c>
      <c r="D86">
        <v>-1</v>
      </c>
      <c r="E86">
        <v>-1</v>
      </c>
      <c r="F86">
        <v>-1</v>
      </c>
      <c r="G86">
        <v>-1</v>
      </c>
      <c r="H86">
        <v>-1</v>
      </c>
      <c r="I86">
        <v>-1</v>
      </c>
      <c r="J86">
        <v>-1</v>
      </c>
      <c r="K86">
        <v>-1</v>
      </c>
      <c r="L86">
        <v>-1</v>
      </c>
      <c r="M86">
        <v>-1</v>
      </c>
      <c r="N86">
        <v>-1</v>
      </c>
      <c r="O86">
        <v>-1</v>
      </c>
    </row>
    <row r="87" spans="2:15" x14ac:dyDescent="0.25">
      <c r="B87" s="6" t="s">
        <v>4</v>
      </c>
      <c r="C87" s="6" t="s">
        <v>188</v>
      </c>
      <c r="D87">
        <v>525</v>
      </c>
      <c r="E87">
        <v>525</v>
      </c>
      <c r="F87">
        <v>525</v>
      </c>
      <c r="G87">
        <v>525</v>
      </c>
      <c r="H87">
        <v>525</v>
      </c>
      <c r="I87">
        <v>525</v>
      </c>
      <c r="J87">
        <v>525</v>
      </c>
      <c r="K87">
        <v>525</v>
      </c>
      <c r="L87">
        <v>525</v>
      </c>
      <c r="M87">
        <v>525</v>
      </c>
      <c r="N87">
        <v>525</v>
      </c>
      <c r="O87">
        <v>525</v>
      </c>
    </row>
    <row r="88" spans="2:15" x14ac:dyDescent="0.25">
      <c r="B88" s="6" t="s">
        <v>4</v>
      </c>
      <c r="C88" s="6" t="s">
        <v>217</v>
      </c>
      <c r="D88">
        <v>10.5</v>
      </c>
      <c r="E88">
        <v>10.5</v>
      </c>
      <c r="F88">
        <v>10.5</v>
      </c>
      <c r="G88">
        <v>10.5</v>
      </c>
      <c r="H88">
        <v>10.5</v>
      </c>
      <c r="I88">
        <v>10.5</v>
      </c>
      <c r="J88">
        <v>10.5</v>
      </c>
      <c r="K88">
        <v>10.5</v>
      </c>
      <c r="L88">
        <v>10.5</v>
      </c>
      <c r="M88">
        <v>10.5</v>
      </c>
      <c r="N88">
        <v>10.5</v>
      </c>
      <c r="O88">
        <v>10.5</v>
      </c>
    </row>
    <row r="89" spans="2:15" x14ac:dyDescent="0.25">
      <c r="B89" s="6" t="s">
        <v>4</v>
      </c>
      <c r="C89" s="6" t="s">
        <v>189</v>
      </c>
      <c r="D89">
        <v>1.1000000000000001</v>
      </c>
      <c r="E89">
        <v>1.1000000000000001</v>
      </c>
      <c r="F89">
        <v>1.1000000000000001</v>
      </c>
      <c r="G89">
        <v>1.1000000000000001</v>
      </c>
      <c r="H89">
        <v>1.1000000000000001</v>
      </c>
      <c r="I89">
        <v>1.1000000000000001</v>
      </c>
      <c r="J89">
        <v>1.1000000000000001</v>
      </c>
      <c r="K89">
        <v>1.1000000000000001</v>
      </c>
      <c r="L89">
        <v>1.1000000000000001</v>
      </c>
      <c r="M89">
        <v>1.1000000000000001</v>
      </c>
      <c r="N89">
        <v>1.1000000000000001</v>
      </c>
      <c r="O89">
        <v>1.1000000000000001</v>
      </c>
    </row>
    <row r="90" spans="2:15" x14ac:dyDescent="0.25">
      <c r="B90" s="6" t="s">
        <v>4</v>
      </c>
      <c r="C90" s="6" t="s">
        <v>190</v>
      </c>
      <c r="D90">
        <v>37</v>
      </c>
      <c r="E90">
        <v>37</v>
      </c>
      <c r="F90">
        <v>37</v>
      </c>
      <c r="G90">
        <v>37</v>
      </c>
      <c r="H90">
        <v>37</v>
      </c>
      <c r="I90">
        <v>37</v>
      </c>
      <c r="J90">
        <v>37</v>
      </c>
      <c r="K90">
        <v>37</v>
      </c>
      <c r="L90">
        <v>37</v>
      </c>
      <c r="M90">
        <v>37</v>
      </c>
      <c r="N90">
        <v>37</v>
      </c>
      <c r="O90">
        <v>37</v>
      </c>
    </row>
    <row r="91" spans="2:15" x14ac:dyDescent="0.25">
      <c r="B91" s="6" t="s">
        <v>5</v>
      </c>
      <c r="C91" s="6" t="s">
        <v>99</v>
      </c>
      <c r="D91">
        <v>1E-14</v>
      </c>
      <c r="E91">
        <v>1E-14</v>
      </c>
      <c r="F91">
        <v>1E-14</v>
      </c>
      <c r="G91">
        <v>1E-14</v>
      </c>
      <c r="H91">
        <v>1E-14</v>
      </c>
      <c r="I91">
        <v>1E-14</v>
      </c>
      <c r="J91">
        <v>1E-14</v>
      </c>
      <c r="K91">
        <v>1E-14</v>
      </c>
      <c r="L91">
        <v>1E-14</v>
      </c>
      <c r="M91">
        <v>1E-14</v>
      </c>
      <c r="N91">
        <v>1E-14</v>
      </c>
      <c r="O91">
        <v>1E-14</v>
      </c>
    </row>
    <row r="92" spans="2:15" x14ac:dyDescent="0.25">
      <c r="B92" s="6" t="s">
        <v>5</v>
      </c>
      <c r="C92" s="6" t="s">
        <v>178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</row>
    <row r="93" spans="2:15" x14ac:dyDescent="0.25">
      <c r="B93" s="6" t="s">
        <v>5</v>
      </c>
      <c r="C93" s="6" t="s">
        <v>179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5</v>
      </c>
      <c r="C94" s="6" t="s">
        <v>180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5</v>
      </c>
      <c r="C95" s="6" t="s">
        <v>202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5</v>
      </c>
      <c r="C96" s="6" t="s">
        <v>181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</row>
    <row r="97" spans="2:15" x14ac:dyDescent="0.25">
      <c r="B97" s="6" t="s">
        <v>5</v>
      </c>
      <c r="C97" s="6" t="s">
        <v>182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</row>
    <row r="98" spans="2:15" x14ac:dyDescent="0.25">
      <c r="B98" s="6" t="s">
        <v>5</v>
      </c>
      <c r="C98" s="6" t="s">
        <v>183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</row>
    <row r="99" spans="2:15" x14ac:dyDescent="0.25">
      <c r="B99" s="6" t="s">
        <v>5</v>
      </c>
      <c r="C99" s="6" t="s">
        <v>184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5</v>
      </c>
      <c r="C100" s="6" t="s">
        <v>185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5</v>
      </c>
      <c r="C101" s="6" t="s">
        <v>186</v>
      </c>
      <c r="D101">
        <v>-1</v>
      </c>
      <c r="E101">
        <v>-1</v>
      </c>
      <c r="F101">
        <v>-1</v>
      </c>
      <c r="G101">
        <v>-1</v>
      </c>
      <c r="H101">
        <v>-1</v>
      </c>
      <c r="I101">
        <v>-1</v>
      </c>
      <c r="J101">
        <v>-1</v>
      </c>
      <c r="K101">
        <v>-1</v>
      </c>
      <c r="L101">
        <v>-1</v>
      </c>
      <c r="M101">
        <v>-1</v>
      </c>
      <c r="N101">
        <v>-1</v>
      </c>
      <c r="O101">
        <v>-1</v>
      </c>
    </row>
    <row r="102" spans="2:15" x14ac:dyDescent="0.25">
      <c r="B102" s="6" t="s">
        <v>5</v>
      </c>
      <c r="C102" s="6" t="s">
        <v>187</v>
      </c>
      <c r="D102">
        <v>-1</v>
      </c>
      <c r="E102">
        <v>-1</v>
      </c>
      <c r="F102">
        <v>-1</v>
      </c>
      <c r="G102">
        <v>-1</v>
      </c>
      <c r="H102">
        <v>-1</v>
      </c>
      <c r="I102">
        <v>-1</v>
      </c>
      <c r="J102">
        <v>-1</v>
      </c>
      <c r="K102">
        <v>-1</v>
      </c>
      <c r="L102">
        <v>-1</v>
      </c>
      <c r="M102">
        <v>-1</v>
      </c>
      <c r="N102">
        <v>-1</v>
      </c>
      <c r="O102">
        <v>-1</v>
      </c>
    </row>
    <row r="103" spans="2:15" x14ac:dyDescent="0.25">
      <c r="B103" s="6" t="s">
        <v>5</v>
      </c>
      <c r="C103" s="6" t="s">
        <v>188</v>
      </c>
      <c r="D103">
        <v>155</v>
      </c>
      <c r="E103">
        <v>155</v>
      </c>
      <c r="F103">
        <v>155</v>
      </c>
      <c r="G103">
        <v>155</v>
      </c>
      <c r="H103">
        <v>155</v>
      </c>
      <c r="I103">
        <v>155</v>
      </c>
      <c r="J103">
        <v>155</v>
      </c>
      <c r="K103">
        <v>155</v>
      </c>
      <c r="L103">
        <v>155</v>
      </c>
      <c r="M103">
        <v>155</v>
      </c>
      <c r="N103">
        <v>155</v>
      </c>
      <c r="O103">
        <v>155</v>
      </c>
    </row>
    <row r="104" spans="2:15" x14ac:dyDescent="0.25">
      <c r="B104" s="6" t="s">
        <v>5</v>
      </c>
      <c r="C104" s="6" t="s">
        <v>217</v>
      </c>
      <c r="D104">
        <v>14.5</v>
      </c>
      <c r="E104">
        <v>14.5</v>
      </c>
      <c r="F104">
        <v>14.5</v>
      </c>
      <c r="G104">
        <v>14.5</v>
      </c>
      <c r="H104">
        <v>14.5</v>
      </c>
      <c r="I104">
        <v>14.5</v>
      </c>
      <c r="J104">
        <v>14.5</v>
      </c>
      <c r="K104">
        <v>14.5</v>
      </c>
      <c r="L104">
        <v>14.5</v>
      </c>
      <c r="M104">
        <v>14.5</v>
      </c>
      <c r="N104">
        <v>14.5</v>
      </c>
      <c r="O104">
        <v>14.5</v>
      </c>
    </row>
    <row r="105" spans="2:15" x14ac:dyDescent="0.25">
      <c r="B105" s="6" t="s">
        <v>5</v>
      </c>
      <c r="C105" s="6" t="s">
        <v>189</v>
      </c>
      <c r="D105">
        <v>1.1000000000000001</v>
      </c>
      <c r="E105">
        <v>1.1000000000000001</v>
      </c>
      <c r="F105">
        <v>1.1000000000000001</v>
      </c>
      <c r="G105">
        <v>1.1000000000000001</v>
      </c>
      <c r="H105">
        <v>1.1000000000000001</v>
      </c>
      <c r="I105">
        <v>1.1000000000000001</v>
      </c>
      <c r="J105">
        <v>1.1000000000000001</v>
      </c>
      <c r="K105">
        <v>1.1000000000000001</v>
      </c>
      <c r="L105">
        <v>1.1000000000000001</v>
      </c>
      <c r="M105">
        <v>1.1000000000000001</v>
      </c>
      <c r="N105">
        <v>1.1000000000000001</v>
      </c>
      <c r="O105">
        <v>1.1000000000000001</v>
      </c>
    </row>
    <row r="106" spans="2:15" x14ac:dyDescent="0.25">
      <c r="B106" s="6" t="s">
        <v>5</v>
      </c>
      <c r="C106" s="6" t="s">
        <v>190</v>
      </c>
      <c r="D106">
        <v>37</v>
      </c>
      <c r="E106">
        <v>37</v>
      </c>
      <c r="F106">
        <v>37</v>
      </c>
      <c r="G106">
        <v>37</v>
      </c>
      <c r="H106">
        <v>37</v>
      </c>
      <c r="I106">
        <v>37</v>
      </c>
      <c r="J106">
        <v>37</v>
      </c>
      <c r="K106">
        <v>37</v>
      </c>
      <c r="L106">
        <v>37</v>
      </c>
      <c r="M106">
        <v>37</v>
      </c>
      <c r="N106">
        <v>37</v>
      </c>
      <c r="O106">
        <v>37</v>
      </c>
    </row>
    <row r="107" spans="2:15" x14ac:dyDescent="0.25">
      <c r="B107" s="6" t="s">
        <v>6</v>
      </c>
      <c r="C107" s="6" t="s">
        <v>99</v>
      </c>
      <c r="D107">
        <v>1E-14</v>
      </c>
      <c r="E107">
        <v>1E-14</v>
      </c>
      <c r="F107">
        <v>1E-14</v>
      </c>
      <c r="G107">
        <v>1E-14</v>
      </c>
      <c r="H107">
        <v>1E-14</v>
      </c>
      <c r="I107">
        <v>1E-14</v>
      </c>
      <c r="J107">
        <v>1E-14</v>
      </c>
      <c r="K107">
        <v>1E-14</v>
      </c>
      <c r="L107">
        <v>1E-14</v>
      </c>
      <c r="M107">
        <v>1E-14</v>
      </c>
      <c r="N107">
        <v>1E-14</v>
      </c>
      <c r="O107">
        <v>1E-14</v>
      </c>
    </row>
    <row r="108" spans="2:15" x14ac:dyDescent="0.25">
      <c r="B108" s="6" t="s">
        <v>6</v>
      </c>
      <c r="C108" s="6" t="s">
        <v>178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</row>
    <row r="109" spans="2:15" x14ac:dyDescent="0.25">
      <c r="B109" s="6" t="s">
        <v>6</v>
      </c>
      <c r="C109" s="6" t="s">
        <v>179</v>
      </c>
      <c r="D109">
        <v>1E-14</v>
      </c>
      <c r="E109">
        <v>1E-14</v>
      </c>
      <c r="F109">
        <v>1E-14</v>
      </c>
      <c r="G109">
        <v>1E-14</v>
      </c>
      <c r="H109">
        <v>1E-14</v>
      </c>
      <c r="I109">
        <v>1E-14</v>
      </c>
      <c r="J109">
        <v>1E-14</v>
      </c>
      <c r="K109">
        <v>1E-14</v>
      </c>
      <c r="L109">
        <v>1E-14</v>
      </c>
      <c r="M109">
        <v>1E-14</v>
      </c>
      <c r="N109">
        <v>1E-14</v>
      </c>
      <c r="O109">
        <v>1E-14</v>
      </c>
    </row>
    <row r="110" spans="2:15" x14ac:dyDescent="0.25">
      <c r="B110" s="6" t="s">
        <v>6</v>
      </c>
      <c r="C110" s="6" t="s">
        <v>180</v>
      </c>
      <c r="D110">
        <v>1E-14</v>
      </c>
      <c r="E110">
        <v>1E-14</v>
      </c>
      <c r="F110">
        <v>1E-14</v>
      </c>
      <c r="G110">
        <v>1E-14</v>
      </c>
      <c r="H110">
        <v>1E-14</v>
      </c>
      <c r="I110">
        <v>1E-14</v>
      </c>
      <c r="J110">
        <v>1E-14</v>
      </c>
      <c r="K110">
        <v>1E-14</v>
      </c>
      <c r="L110">
        <v>1E-14</v>
      </c>
      <c r="M110">
        <v>1E-14</v>
      </c>
      <c r="N110">
        <v>1E-14</v>
      </c>
      <c r="O110">
        <v>1E-14</v>
      </c>
    </row>
    <row r="111" spans="2:15" x14ac:dyDescent="0.25">
      <c r="B111" s="6" t="s">
        <v>6</v>
      </c>
      <c r="C111" s="6" t="s">
        <v>202</v>
      </c>
      <c r="D111">
        <v>1E-14</v>
      </c>
      <c r="E111">
        <v>1E-14</v>
      </c>
      <c r="F111">
        <v>1E-14</v>
      </c>
      <c r="G111">
        <v>1E-14</v>
      </c>
      <c r="H111">
        <v>1E-14</v>
      </c>
      <c r="I111">
        <v>1E-14</v>
      </c>
      <c r="J111">
        <v>1E-14</v>
      </c>
      <c r="K111">
        <v>1E-14</v>
      </c>
      <c r="L111">
        <v>1E-14</v>
      </c>
      <c r="M111">
        <v>1E-14</v>
      </c>
      <c r="N111">
        <v>1E-14</v>
      </c>
      <c r="O111">
        <v>1E-14</v>
      </c>
    </row>
    <row r="112" spans="2:15" x14ac:dyDescent="0.25">
      <c r="B112" s="6" t="s">
        <v>6</v>
      </c>
      <c r="C112" s="6" t="s">
        <v>181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</row>
    <row r="113" spans="2:15" x14ac:dyDescent="0.25">
      <c r="B113" s="6" t="s">
        <v>6</v>
      </c>
      <c r="C113" s="6" t="s">
        <v>182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</row>
    <row r="114" spans="2:15" x14ac:dyDescent="0.25">
      <c r="B114" s="6" t="s">
        <v>6</v>
      </c>
      <c r="C114" s="6" t="s">
        <v>183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</row>
    <row r="115" spans="2:15" x14ac:dyDescent="0.25">
      <c r="B115" s="6" t="s">
        <v>6</v>
      </c>
      <c r="C115" s="6" t="s">
        <v>184</v>
      </c>
      <c r="D115">
        <v>1E-14</v>
      </c>
      <c r="E115">
        <v>1E-14</v>
      </c>
      <c r="F115">
        <v>1E-14</v>
      </c>
      <c r="G115">
        <v>1E-14</v>
      </c>
      <c r="H115">
        <v>1E-14</v>
      </c>
      <c r="I115">
        <v>1E-14</v>
      </c>
      <c r="J115">
        <v>1E-14</v>
      </c>
      <c r="K115">
        <v>1E-14</v>
      </c>
      <c r="L115">
        <v>1E-14</v>
      </c>
      <c r="M115">
        <v>1E-14</v>
      </c>
      <c r="N115">
        <v>1E-14</v>
      </c>
      <c r="O115">
        <v>1E-14</v>
      </c>
    </row>
    <row r="116" spans="2:15" x14ac:dyDescent="0.25">
      <c r="B116" s="6" t="s">
        <v>6</v>
      </c>
      <c r="C116" s="6" t="s">
        <v>185</v>
      </c>
      <c r="D116">
        <v>1E-14</v>
      </c>
      <c r="E116">
        <v>1E-14</v>
      </c>
      <c r="F116">
        <v>1E-14</v>
      </c>
      <c r="G116">
        <v>1E-14</v>
      </c>
      <c r="H116">
        <v>1E-14</v>
      </c>
      <c r="I116">
        <v>1E-14</v>
      </c>
      <c r="J116">
        <v>1E-14</v>
      </c>
      <c r="K116">
        <v>1E-14</v>
      </c>
      <c r="L116">
        <v>1E-14</v>
      </c>
      <c r="M116">
        <v>1E-14</v>
      </c>
      <c r="N116">
        <v>1E-14</v>
      </c>
      <c r="O116">
        <v>1E-14</v>
      </c>
    </row>
    <row r="117" spans="2:15" x14ac:dyDescent="0.25">
      <c r="B117" s="6" t="s">
        <v>6</v>
      </c>
      <c r="C117" s="6" t="s">
        <v>186</v>
      </c>
      <c r="D117">
        <v>-1</v>
      </c>
      <c r="E117">
        <v>-1</v>
      </c>
      <c r="F117">
        <v>-1</v>
      </c>
      <c r="G117">
        <v>-1</v>
      </c>
      <c r="H117">
        <v>-1</v>
      </c>
      <c r="I117">
        <v>-1</v>
      </c>
      <c r="J117">
        <v>-1</v>
      </c>
      <c r="K117">
        <v>-1</v>
      </c>
      <c r="L117">
        <v>-1</v>
      </c>
      <c r="M117">
        <v>-1</v>
      </c>
      <c r="N117">
        <v>-1</v>
      </c>
      <c r="O117">
        <v>-1</v>
      </c>
    </row>
    <row r="118" spans="2:15" x14ac:dyDescent="0.25">
      <c r="B118" s="6" t="s">
        <v>6</v>
      </c>
      <c r="C118" s="6" t="s">
        <v>187</v>
      </c>
      <c r="D118">
        <v>-1</v>
      </c>
      <c r="E118">
        <v>-1</v>
      </c>
      <c r="F118">
        <v>-1</v>
      </c>
      <c r="G118">
        <v>-1</v>
      </c>
      <c r="H118">
        <v>-1</v>
      </c>
      <c r="I118">
        <v>-1</v>
      </c>
      <c r="J118">
        <v>-1</v>
      </c>
      <c r="K118">
        <v>-1</v>
      </c>
      <c r="L118">
        <v>-1</v>
      </c>
      <c r="M118">
        <v>-1</v>
      </c>
      <c r="N118">
        <v>-1</v>
      </c>
      <c r="O118">
        <v>-1</v>
      </c>
    </row>
    <row r="119" spans="2:15" x14ac:dyDescent="0.25">
      <c r="B119" s="6" t="s">
        <v>6</v>
      </c>
      <c r="C119" s="6" t="s">
        <v>188</v>
      </c>
      <c r="D119">
        <v>525</v>
      </c>
      <c r="E119">
        <v>525</v>
      </c>
      <c r="F119">
        <v>525</v>
      </c>
      <c r="G119">
        <v>525</v>
      </c>
      <c r="H119">
        <v>525</v>
      </c>
      <c r="I119">
        <v>525</v>
      </c>
      <c r="J119">
        <v>525</v>
      </c>
      <c r="K119">
        <v>525</v>
      </c>
      <c r="L119">
        <v>525</v>
      </c>
      <c r="M119">
        <v>525</v>
      </c>
      <c r="N119">
        <v>525</v>
      </c>
      <c r="O119">
        <v>525</v>
      </c>
    </row>
    <row r="120" spans="2:15" x14ac:dyDescent="0.25">
      <c r="B120" s="6" t="s">
        <v>6</v>
      </c>
      <c r="C120" s="6" t="s">
        <v>217</v>
      </c>
      <c r="D120">
        <v>12</v>
      </c>
      <c r="E120">
        <v>12</v>
      </c>
      <c r="F120">
        <v>12</v>
      </c>
      <c r="G120">
        <v>12</v>
      </c>
      <c r="H120">
        <v>12</v>
      </c>
      <c r="I120">
        <v>12</v>
      </c>
      <c r="J120">
        <v>12</v>
      </c>
      <c r="K120">
        <v>12</v>
      </c>
      <c r="L120">
        <v>12</v>
      </c>
      <c r="M120">
        <v>12</v>
      </c>
      <c r="N120">
        <v>12</v>
      </c>
      <c r="O120">
        <v>12</v>
      </c>
    </row>
    <row r="121" spans="2:15" x14ac:dyDescent="0.25">
      <c r="B121" s="6" t="s">
        <v>6</v>
      </c>
      <c r="C121" s="6" t="s">
        <v>189</v>
      </c>
      <c r="D121">
        <v>1.1000000000000001</v>
      </c>
      <c r="E121">
        <v>1.1000000000000001</v>
      </c>
      <c r="F121">
        <v>1.1000000000000001</v>
      </c>
      <c r="G121">
        <v>1.1000000000000001</v>
      </c>
      <c r="H121">
        <v>1.1000000000000001</v>
      </c>
      <c r="I121">
        <v>1.1000000000000001</v>
      </c>
      <c r="J121">
        <v>1.1000000000000001</v>
      </c>
      <c r="K121">
        <v>1.1000000000000001</v>
      </c>
      <c r="L121">
        <v>1.1000000000000001</v>
      </c>
      <c r="M121">
        <v>1.1000000000000001</v>
      </c>
      <c r="N121">
        <v>1.1000000000000001</v>
      </c>
      <c r="O121">
        <v>1.1000000000000001</v>
      </c>
    </row>
    <row r="122" spans="2:15" x14ac:dyDescent="0.25">
      <c r="B122" s="6" t="s">
        <v>6</v>
      </c>
      <c r="C122" s="6" t="s">
        <v>190</v>
      </c>
      <c r="D122">
        <v>37</v>
      </c>
      <c r="E122">
        <v>37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</row>
    <row r="123" spans="2:15" x14ac:dyDescent="0.25">
      <c r="B123" s="6" t="s">
        <v>7</v>
      </c>
      <c r="C123" s="6" t="s">
        <v>99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</row>
    <row r="124" spans="2:15" x14ac:dyDescent="0.25">
      <c r="B124" s="6" t="s">
        <v>7</v>
      </c>
      <c r="C124" s="6" t="s">
        <v>178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</row>
    <row r="125" spans="2:15" x14ac:dyDescent="0.25">
      <c r="B125" s="6" t="s">
        <v>7</v>
      </c>
      <c r="C125" s="6" t="s">
        <v>179</v>
      </c>
      <c r="D125">
        <v>1E-14</v>
      </c>
      <c r="E125">
        <v>1E-14</v>
      </c>
      <c r="F125">
        <v>1E-14</v>
      </c>
      <c r="G125">
        <v>1E-14</v>
      </c>
      <c r="H125">
        <v>1E-14</v>
      </c>
      <c r="I125">
        <v>1E-14</v>
      </c>
      <c r="J125">
        <v>1E-14</v>
      </c>
      <c r="K125">
        <v>1E-14</v>
      </c>
      <c r="L125">
        <v>1E-14</v>
      </c>
      <c r="M125">
        <v>1E-14</v>
      </c>
      <c r="N125">
        <v>1E-14</v>
      </c>
      <c r="O125">
        <v>1E-14</v>
      </c>
    </row>
    <row r="126" spans="2:15" x14ac:dyDescent="0.25">
      <c r="B126" s="6" t="s">
        <v>7</v>
      </c>
      <c r="C126" s="6" t="s">
        <v>180</v>
      </c>
      <c r="D126">
        <v>1E-14</v>
      </c>
      <c r="E126">
        <v>1E-14</v>
      </c>
      <c r="F126">
        <v>1E-14</v>
      </c>
      <c r="G126">
        <v>1E-14</v>
      </c>
      <c r="H126">
        <v>1E-14</v>
      </c>
      <c r="I126">
        <v>1E-14</v>
      </c>
      <c r="J126">
        <v>1E-14</v>
      </c>
      <c r="K126">
        <v>1E-14</v>
      </c>
      <c r="L126">
        <v>1E-14</v>
      </c>
      <c r="M126">
        <v>1E-14</v>
      </c>
      <c r="N126">
        <v>1E-14</v>
      </c>
      <c r="O126">
        <v>1E-14</v>
      </c>
    </row>
    <row r="127" spans="2:15" x14ac:dyDescent="0.25">
      <c r="B127" s="6" t="s">
        <v>7</v>
      </c>
      <c r="C127" s="6" t="s">
        <v>202</v>
      </c>
      <c r="D127">
        <v>1E-14</v>
      </c>
      <c r="E127">
        <v>1E-14</v>
      </c>
      <c r="F127">
        <v>1E-14</v>
      </c>
      <c r="G127">
        <v>1E-14</v>
      </c>
      <c r="H127">
        <v>1E-14</v>
      </c>
      <c r="I127">
        <v>1E-14</v>
      </c>
      <c r="J127">
        <v>1E-14</v>
      </c>
      <c r="K127">
        <v>1E-14</v>
      </c>
      <c r="L127">
        <v>1E-14</v>
      </c>
      <c r="M127">
        <v>1E-14</v>
      </c>
      <c r="N127">
        <v>1E-14</v>
      </c>
      <c r="O127">
        <v>1E-14</v>
      </c>
    </row>
    <row r="128" spans="2:15" x14ac:dyDescent="0.25">
      <c r="B128" s="6" t="s">
        <v>7</v>
      </c>
      <c r="C128" s="6" t="s">
        <v>181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</row>
    <row r="129" spans="2:15" x14ac:dyDescent="0.25">
      <c r="B129" s="6" t="s">
        <v>7</v>
      </c>
      <c r="C129" s="6" t="s">
        <v>182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M129">
        <v>1</v>
      </c>
      <c r="N129">
        <v>1</v>
      </c>
      <c r="O129">
        <v>1</v>
      </c>
    </row>
    <row r="130" spans="2:15" x14ac:dyDescent="0.25">
      <c r="B130" s="6" t="s">
        <v>7</v>
      </c>
      <c r="C130" s="6" t="s">
        <v>183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</row>
    <row r="131" spans="2:15" x14ac:dyDescent="0.25">
      <c r="B131" s="6" t="s">
        <v>7</v>
      </c>
      <c r="C131" s="6" t="s">
        <v>184</v>
      </c>
      <c r="D131">
        <v>650</v>
      </c>
      <c r="E131">
        <v>650</v>
      </c>
      <c r="F131">
        <v>650</v>
      </c>
      <c r="G131">
        <v>650</v>
      </c>
      <c r="H131">
        <v>650</v>
      </c>
      <c r="I131">
        <v>650</v>
      </c>
      <c r="J131">
        <v>650</v>
      </c>
      <c r="K131">
        <v>650</v>
      </c>
      <c r="L131">
        <v>650</v>
      </c>
      <c r="M131">
        <v>650</v>
      </c>
      <c r="N131">
        <v>650</v>
      </c>
      <c r="O131">
        <v>650</v>
      </c>
    </row>
    <row r="132" spans="2:15" x14ac:dyDescent="0.25">
      <c r="B132" s="6" t="s">
        <v>7</v>
      </c>
      <c r="C132" s="6" t="s">
        <v>185</v>
      </c>
      <c r="D132">
        <v>650</v>
      </c>
      <c r="E132">
        <v>650</v>
      </c>
      <c r="F132">
        <v>650</v>
      </c>
      <c r="G132">
        <v>650</v>
      </c>
      <c r="H132">
        <v>650</v>
      </c>
      <c r="I132">
        <v>650</v>
      </c>
      <c r="J132">
        <v>650</v>
      </c>
      <c r="K132">
        <v>650</v>
      </c>
      <c r="L132">
        <v>650</v>
      </c>
      <c r="M132">
        <v>650</v>
      </c>
      <c r="N132">
        <v>650</v>
      </c>
      <c r="O132">
        <v>650</v>
      </c>
    </row>
    <row r="133" spans="2:15" x14ac:dyDescent="0.25">
      <c r="B133" s="6" t="s">
        <v>7</v>
      </c>
      <c r="C133" s="6" t="s">
        <v>186</v>
      </c>
      <c r="D133">
        <v>-1</v>
      </c>
      <c r="E133">
        <v>-1</v>
      </c>
      <c r="F133">
        <v>-1</v>
      </c>
      <c r="G133">
        <v>-1</v>
      </c>
      <c r="H133">
        <v>-1</v>
      </c>
      <c r="I133">
        <v>-1</v>
      </c>
      <c r="J133">
        <v>-1</v>
      </c>
      <c r="K133">
        <v>-1</v>
      </c>
      <c r="L133">
        <v>-1</v>
      </c>
      <c r="M133">
        <v>-1</v>
      </c>
      <c r="N133">
        <v>-1</v>
      </c>
      <c r="O133">
        <v>-1</v>
      </c>
    </row>
    <row r="134" spans="2:15" x14ac:dyDescent="0.25">
      <c r="B134" s="6" t="s">
        <v>7</v>
      </c>
      <c r="C134" s="6" t="s">
        <v>187</v>
      </c>
      <c r="D134">
        <v>-1</v>
      </c>
      <c r="E134">
        <v>-1</v>
      </c>
      <c r="F134">
        <v>-1</v>
      </c>
      <c r="G134">
        <v>-1</v>
      </c>
      <c r="H134">
        <v>-1</v>
      </c>
      <c r="I134">
        <v>-1</v>
      </c>
      <c r="J134">
        <v>-1</v>
      </c>
      <c r="K134">
        <v>-1</v>
      </c>
      <c r="L134">
        <v>-1</v>
      </c>
      <c r="M134">
        <v>-1</v>
      </c>
      <c r="N134">
        <v>-1</v>
      </c>
      <c r="O134">
        <v>-1</v>
      </c>
    </row>
    <row r="135" spans="2:15" x14ac:dyDescent="0.25">
      <c r="B135" s="6" t="s">
        <v>7</v>
      </c>
      <c r="C135" s="6" t="s">
        <v>188</v>
      </c>
      <c r="D135">
        <v>525</v>
      </c>
      <c r="E135">
        <v>525</v>
      </c>
      <c r="F135">
        <v>525</v>
      </c>
      <c r="G135">
        <v>525</v>
      </c>
      <c r="H135">
        <v>525</v>
      </c>
      <c r="I135">
        <v>525</v>
      </c>
      <c r="J135">
        <v>525</v>
      </c>
      <c r="K135">
        <v>525</v>
      </c>
      <c r="L135">
        <v>525</v>
      </c>
      <c r="M135">
        <v>525</v>
      </c>
      <c r="N135">
        <v>525</v>
      </c>
      <c r="O135">
        <v>525</v>
      </c>
    </row>
    <row r="136" spans="2:15" x14ac:dyDescent="0.25">
      <c r="B136" s="6" t="s">
        <v>7</v>
      </c>
      <c r="C136" s="6" t="s">
        <v>217</v>
      </c>
      <c r="D136">
        <v>9</v>
      </c>
      <c r="E136">
        <v>9</v>
      </c>
      <c r="F136">
        <v>9</v>
      </c>
      <c r="G136">
        <v>9</v>
      </c>
      <c r="H136">
        <v>9</v>
      </c>
      <c r="I136">
        <v>9</v>
      </c>
      <c r="J136">
        <v>9</v>
      </c>
      <c r="K136">
        <v>9</v>
      </c>
      <c r="L136">
        <v>9</v>
      </c>
      <c r="M136">
        <v>9</v>
      </c>
      <c r="N136">
        <v>9</v>
      </c>
      <c r="O136">
        <v>9</v>
      </c>
    </row>
    <row r="137" spans="2:15" x14ac:dyDescent="0.25">
      <c r="B137" s="6" t="s">
        <v>7</v>
      </c>
      <c r="C137" s="6" t="s">
        <v>189</v>
      </c>
      <c r="D137">
        <v>1.1000000000000001</v>
      </c>
      <c r="E137">
        <v>1.1000000000000001</v>
      </c>
      <c r="F137">
        <v>1.1000000000000001</v>
      </c>
      <c r="G137">
        <v>1.1000000000000001</v>
      </c>
      <c r="H137">
        <v>1.1000000000000001</v>
      </c>
      <c r="I137">
        <v>1.1000000000000001</v>
      </c>
      <c r="J137">
        <v>1.1000000000000001</v>
      </c>
      <c r="K137">
        <v>1.1000000000000001</v>
      </c>
      <c r="L137">
        <v>1.1000000000000001</v>
      </c>
      <c r="M137">
        <v>1.1000000000000001</v>
      </c>
      <c r="N137">
        <v>1.1000000000000001</v>
      </c>
      <c r="O137">
        <v>1.1000000000000001</v>
      </c>
    </row>
    <row r="138" spans="2:15" x14ac:dyDescent="0.25">
      <c r="B138" s="6" t="s">
        <v>7</v>
      </c>
      <c r="C138" s="6" t="s">
        <v>190</v>
      </c>
      <c r="D138">
        <v>37</v>
      </c>
      <c r="E138">
        <v>37</v>
      </c>
      <c r="F138">
        <v>37</v>
      </c>
      <c r="G138">
        <v>37</v>
      </c>
      <c r="H138">
        <v>37</v>
      </c>
      <c r="I138">
        <v>37</v>
      </c>
      <c r="J138">
        <v>37</v>
      </c>
      <c r="K138">
        <v>37</v>
      </c>
      <c r="L138">
        <v>37</v>
      </c>
      <c r="M138">
        <v>37</v>
      </c>
      <c r="N138">
        <v>37</v>
      </c>
      <c r="O138">
        <v>37</v>
      </c>
    </row>
    <row r="139" spans="2:15" x14ac:dyDescent="0.25">
      <c r="B139" s="6" t="s">
        <v>8</v>
      </c>
      <c r="C139" s="6" t="s">
        <v>99</v>
      </c>
      <c r="D139">
        <v>1E-14</v>
      </c>
      <c r="E139">
        <v>1E-14</v>
      </c>
      <c r="F139">
        <v>1E-14</v>
      </c>
      <c r="G139">
        <v>1E-14</v>
      </c>
      <c r="H139">
        <v>1E-14</v>
      </c>
      <c r="I139">
        <v>1E-14</v>
      </c>
      <c r="J139">
        <v>1E-14</v>
      </c>
      <c r="K139">
        <v>1E-14</v>
      </c>
      <c r="L139">
        <v>1E-14</v>
      </c>
      <c r="M139">
        <v>1E-14</v>
      </c>
      <c r="N139">
        <v>1E-14</v>
      </c>
      <c r="O139">
        <v>1E-14</v>
      </c>
    </row>
    <row r="140" spans="2:15" x14ac:dyDescent="0.25">
      <c r="B140" s="6" t="s">
        <v>8</v>
      </c>
      <c r="C140" s="6" t="s">
        <v>178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</v>
      </c>
      <c r="J140">
        <v>1</v>
      </c>
      <c r="K140">
        <v>1</v>
      </c>
      <c r="L140">
        <v>1</v>
      </c>
      <c r="M140">
        <v>1</v>
      </c>
      <c r="N140">
        <v>1</v>
      </c>
      <c r="O140">
        <v>1</v>
      </c>
    </row>
    <row r="141" spans="2:15" x14ac:dyDescent="0.25">
      <c r="B141" s="6" t="s">
        <v>8</v>
      </c>
      <c r="C141" s="6" t="s">
        <v>179</v>
      </c>
      <c r="D141">
        <v>1E-14</v>
      </c>
      <c r="E141">
        <v>1E-14</v>
      </c>
      <c r="F141">
        <v>1E-14</v>
      </c>
      <c r="G141">
        <v>1E-14</v>
      </c>
      <c r="H141">
        <v>1E-14</v>
      </c>
      <c r="I141">
        <v>1E-14</v>
      </c>
      <c r="J141">
        <v>1E-14</v>
      </c>
      <c r="K141">
        <v>1E-14</v>
      </c>
      <c r="L141">
        <v>1E-14</v>
      </c>
      <c r="M141">
        <v>1E-14</v>
      </c>
      <c r="N141">
        <v>1E-14</v>
      </c>
      <c r="O141">
        <v>1E-14</v>
      </c>
    </row>
    <row r="142" spans="2:15" x14ac:dyDescent="0.25">
      <c r="B142" s="6" t="s">
        <v>8</v>
      </c>
      <c r="C142" s="6" t="s">
        <v>180</v>
      </c>
      <c r="D142">
        <v>1E-14</v>
      </c>
      <c r="E142">
        <v>1E-14</v>
      </c>
      <c r="F142">
        <v>1E-14</v>
      </c>
      <c r="G142">
        <v>1E-14</v>
      </c>
      <c r="H142">
        <v>1E-14</v>
      </c>
      <c r="I142">
        <v>1E-14</v>
      </c>
      <c r="J142">
        <v>1E-14</v>
      </c>
      <c r="K142">
        <v>1E-14</v>
      </c>
      <c r="L142">
        <v>1E-14</v>
      </c>
      <c r="M142">
        <v>1E-14</v>
      </c>
      <c r="N142">
        <v>1E-14</v>
      </c>
      <c r="O142">
        <v>1E-14</v>
      </c>
    </row>
    <row r="143" spans="2:15" x14ac:dyDescent="0.25">
      <c r="B143" s="6" t="s">
        <v>8</v>
      </c>
      <c r="C143" s="6" t="s">
        <v>202</v>
      </c>
      <c r="D143">
        <v>1E-14</v>
      </c>
      <c r="E143">
        <v>1E-14</v>
      </c>
      <c r="F143">
        <v>1E-14</v>
      </c>
      <c r="G143">
        <v>1E-14</v>
      </c>
      <c r="H143">
        <v>1E-14</v>
      </c>
      <c r="I143">
        <v>1E-14</v>
      </c>
      <c r="J143">
        <v>1E-14</v>
      </c>
      <c r="K143">
        <v>1E-14</v>
      </c>
      <c r="L143">
        <v>1E-14</v>
      </c>
      <c r="M143">
        <v>1E-14</v>
      </c>
      <c r="N143">
        <v>1E-14</v>
      </c>
      <c r="O143">
        <v>1E-14</v>
      </c>
    </row>
    <row r="144" spans="2:15" x14ac:dyDescent="0.25">
      <c r="B144" s="6" t="s">
        <v>8</v>
      </c>
      <c r="C144" s="6" t="s">
        <v>181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</row>
    <row r="145" spans="2:15" x14ac:dyDescent="0.25">
      <c r="B145" s="6" t="s">
        <v>8</v>
      </c>
      <c r="C145" s="6" t="s">
        <v>182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</row>
    <row r="146" spans="2:15" x14ac:dyDescent="0.25">
      <c r="B146" s="6" t="s">
        <v>8</v>
      </c>
      <c r="C146" s="6" t="s">
        <v>183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</row>
    <row r="147" spans="2:15" x14ac:dyDescent="0.25">
      <c r="B147" s="6" t="s">
        <v>8</v>
      </c>
      <c r="C147" s="6" t="s">
        <v>184</v>
      </c>
      <c r="D147">
        <v>1E-14</v>
      </c>
      <c r="E147">
        <v>1E-14</v>
      </c>
      <c r="F147">
        <v>1E-14</v>
      </c>
      <c r="G147">
        <v>1E-14</v>
      </c>
      <c r="H147">
        <v>1E-14</v>
      </c>
      <c r="I147">
        <v>1E-14</v>
      </c>
      <c r="J147">
        <v>1E-14</v>
      </c>
      <c r="K147">
        <v>1E-14</v>
      </c>
      <c r="L147">
        <v>1E-14</v>
      </c>
      <c r="M147">
        <v>1E-14</v>
      </c>
      <c r="N147">
        <v>1E-14</v>
      </c>
      <c r="O147">
        <v>1E-14</v>
      </c>
    </row>
    <row r="148" spans="2:15" x14ac:dyDescent="0.25">
      <c r="B148" s="6" t="s">
        <v>8</v>
      </c>
      <c r="C148" s="6" t="s">
        <v>185</v>
      </c>
      <c r="D148">
        <v>1E-14</v>
      </c>
      <c r="E148">
        <v>1E-14</v>
      </c>
      <c r="F148">
        <v>1E-14</v>
      </c>
      <c r="G148">
        <v>1E-14</v>
      </c>
      <c r="H148">
        <v>1E-14</v>
      </c>
      <c r="I148">
        <v>1E-14</v>
      </c>
      <c r="J148">
        <v>1E-14</v>
      </c>
      <c r="K148">
        <v>1E-14</v>
      </c>
      <c r="L148">
        <v>1E-14</v>
      </c>
      <c r="M148">
        <v>1E-14</v>
      </c>
      <c r="N148">
        <v>1E-14</v>
      </c>
      <c r="O148">
        <v>1E-14</v>
      </c>
    </row>
    <row r="149" spans="2:15" x14ac:dyDescent="0.25">
      <c r="B149" s="6" t="s">
        <v>8</v>
      </c>
      <c r="C149" s="6" t="s">
        <v>186</v>
      </c>
      <c r="D149">
        <v>-1</v>
      </c>
      <c r="E149">
        <v>-1</v>
      </c>
      <c r="F149">
        <v>-1</v>
      </c>
      <c r="G149">
        <v>-1</v>
      </c>
      <c r="H149">
        <v>-1</v>
      </c>
      <c r="I149">
        <v>-1</v>
      </c>
      <c r="J149">
        <v>-1</v>
      </c>
      <c r="K149">
        <v>-1</v>
      </c>
      <c r="L149">
        <v>-1</v>
      </c>
      <c r="M149">
        <v>-1</v>
      </c>
      <c r="N149">
        <v>-1</v>
      </c>
      <c r="O149">
        <v>-1</v>
      </c>
    </row>
    <row r="150" spans="2:15" x14ac:dyDescent="0.25">
      <c r="B150" s="6" t="s">
        <v>8</v>
      </c>
      <c r="C150" s="6" t="s">
        <v>187</v>
      </c>
      <c r="D150">
        <v>-1</v>
      </c>
      <c r="E150">
        <v>-1</v>
      </c>
      <c r="F150">
        <v>-1</v>
      </c>
      <c r="G150">
        <v>-1</v>
      </c>
      <c r="H150">
        <v>-1</v>
      </c>
      <c r="I150">
        <v>-1</v>
      </c>
      <c r="J150">
        <v>-1</v>
      </c>
      <c r="K150">
        <v>-1</v>
      </c>
      <c r="L150">
        <v>-1</v>
      </c>
      <c r="M150">
        <v>-1</v>
      </c>
      <c r="N150">
        <v>-1</v>
      </c>
      <c r="O150">
        <v>-1</v>
      </c>
    </row>
    <row r="151" spans="2:15" x14ac:dyDescent="0.25">
      <c r="B151" s="6" t="s">
        <v>8</v>
      </c>
      <c r="C151" s="6" t="s">
        <v>188</v>
      </c>
      <c r="D151">
        <v>525</v>
      </c>
      <c r="E151">
        <v>525</v>
      </c>
      <c r="F151">
        <v>525</v>
      </c>
      <c r="G151">
        <v>525</v>
      </c>
      <c r="H151">
        <v>525</v>
      </c>
      <c r="I151">
        <v>525</v>
      </c>
      <c r="J151">
        <v>525</v>
      </c>
      <c r="K151">
        <v>525</v>
      </c>
      <c r="L151">
        <v>525</v>
      </c>
      <c r="M151">
        <v>525</v>
      </c>
      <c r="N151">
        <v>525</v>
      </c>
      <c r="O151">
        <v>525</v>
      </c>
    </row>
    <row r="152" spans="2:15" x14ac:dyDescent="0.25">
      <c r="B152" s="6" t="s">
        <v>8</v>
      </c>
      <c r="C152" s="6" t="s">
        <v>217</v>
      </c>
      <c r="D152">
        <v>11</v>
      </c>
      <c r="E152">
        <v>11</v>
      </c>
      <c r="F152">
        <v>11</v>
      </c>
      <c r="G152">
        <v>11</v>
      </c>
      <c r="H152">
        <v>11</v>
      </c>
      <c r="I152">
        <v>11</v>
      </c>
      <c r="J152">
        <v>11</v>
      </c>
      <c r="K152">
        <v>11</v>
      </c>
      <c r="L152">
        <v>11</v>
      </c>
      <c r="M152">
        <v>11</v>
      </c>
      <c r="N152">
        <v>11</v>
      </c>
      <c r="O152">
        <v>11</v>
      </c>
    </row>
    <row r="153" spans="2:15" x14ac:dyDescent="0.25">
      <c r="B153" s="6" t="s">
        <v>8</v>
      </c>
      <c r="C153" s="6" t="s">
        <v>189</v>
      </c>
      <c r="D153">
        <v>1.1000000000000001</v>
      </c>
      <c r="E153">
        <v>1.1000000000000001</v>
      </c>
      <c r="F153">
        <v>1.1000000000000001</v>
      </c>
      <c r="G153">
        <v>1.1000000000000001</v>
      </c>
      <c r="H153">
        <v>1.1000000000000001</v>
      </c>
      <c r="I153">
        <v>1.1000000000000001</v>
      </c>
      <c r="J153">
        <v>1.1000000000000001</v>
      </c>
      <c r="K153">
        <v>1.1000000000000001</v>
      </c>
      <c r="L153">
        <v>1.1000000000000001</v>
      </c>
      <c r="M153">
        <v>1.1000000000000001</v>
      </c>
      <c r="N153">
        <v>1.1000000000000001</v>
      </c>
      <c r="O153">
        <v>1.1000000000000001</v>
      </c>
    </row>
    <row r="154" spans="2:15" x14ac:dyDescent="0.25">
      <c r="B154" s="6" t="s">
        <v>8</v>
      </c>
      <c r="C154" s="6" t="s">
        <v>190</v>
      </c>
      <c r="D154">
        <v>37</v>
      </c>
      <c r="E154">
        <v>37</v>
      </c>
      <c r="F154">
        <v>37</v>
      </c>
      <c r="G154">
        <v>37</v>
      </c>
      <c r="H154">
        <v>37</v>
      </c>
      <c r="I154">
        <v>37</v>
      </c>
      <c r="J154">
        <v>37</v>
      </c>
      <c r="K154">
        <v>37</v>
      </c>
      <c r="L154">
        <v>37</v>
      </c>
      <c r="M154">
        <v>37</v>
      </c>
      <c r="N154">
        <v>37</v>
      </c>
      <c r="O154">
        <v>37</v>
      </c>
    </row>
    <row r="155" spans="2:15" x14ac:dyDescent="0.25">
      <c r="B155" s="6" t="s">
        <v>9</v>
      </c>
      <c r="C155" s="6" t="s">
        <v>99</v>
      </c>
      <c r="D155">
        <v>1E-14</v>
      </c>
      <c r="E155">
        <v>1E-14</v>
      </c>
      <c r="F155">
        <v>1E-14</v>
      </c>
      <c r="G155">
        <v>1E-14</v>
      </c>
      <c r="H155">
        <v>1E-14</v>
      </c>
      <c r="I155">
        <v>1E-14</v>
      </c>
      <c r="J155">
        <v>1E-14</v>
      </c>
      <c r="K155">
        <v>1E-14</v>
      </c>
      <c r="L155">
        <v>1E-14</v>
      </c>
      <c r="M155">
        <v>1E-14</v>
      </c>
      <c r="N155">
        <v>1E-14</v>
      </c>
      <c r="O155">
        <v>1E-14</v>
      </c>
    </row>
    <row r="156" spans="2:15" x14ac:dyDescent="0.25">
      <c r="B156" s="6" t="s">
        <v>9</v>
      </c>
      <c r="C156" s="6" t="s">
        <v>178</v>
      </c>
      <c r="D156">
        <v>1</v>
      </c>
      <c r="E156">
        <v>1</v>
      </c>
      <c r="F156">
        <v>1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1</v>
      </c>
      <c r="M156">
        <v>1</v>
      </c>
      <c r="N156">
        <v>1</v>
      </c>
      <c r="O156">
        <v>1</v>
      </c>
    </row>
    <row r="157" spans="2:15" x14ac:dyDescent="0.25">
      <c r="B157" s="6" t="s">
        <v>9</v>
      </c>
      <c r="C157" s="6" t="s">
        <v>179</v>
      </c>
      <c r="D157">
        <v>1E-14</v>
      </c>
      <c r="E157">
        <v>1E-14</v>
      </c>
      <c r="F157">
        <v>1E-14</v>
      </c>
      <c r="G157">
        <v>1E-14</v>
      </c>
      <c r="H157">
        <v>1E-14</v>
      </c>
      <c r="I157">
        <v>1E-14</v>
      </c>
      <c r="J157">
        <v>1E-14</v>
      </c>
      <c r="K157">
        <v>1E-14</v>
      </c>
      <c r="L157">
        <v>1E-14</v>
      </c>
      <c r="M157">
        <v>1E-14</v>
      </c>
      <c r="N157">
        <v>1E-14</v>
      </c>
      <c r="O157">
        <v>1E-14</v>
      </c>
    </row>
    <row r="158" spans="2:15" x14ac:dyDescent="0.25">
      <c r="B158" s="6" t="s">
        <v>9</v>
      </c>
      <c r="C158" s="6" t="s">
        <v>180</v>
      </c>
      <c r="D158">
        <v>1E-14</v>
      </c>
      <c r="E158">
        <v>1E-14</v>
      </c>
      <c r="F158">
        <v>1E-14</v>
      </c>
      <c r="G158">
        <v>1E-14</v>
      </c>
      <c r="H158">
        <v>1E-14</v>
      </c>
      <c r="I158">
        <v>1E-14</v>
      </c>
      <c r="J158">
        <v>1E-14</v>
      </c>
      <c r="K158">
        <v>1E-14</v>
      </c>
      <c r="L158">
        <v>1E-14</v>
      </c>
      <c r="M158">
        <v>1E-14</v>
      </c>
      <c r="N158">
        <v>1E-14</v>
      </c>
      <c r="O158">
        <v>1E-14</v>
      </c>
    </row>
    <row r="159" spans="2:15" x14ac:dyDescent="0.25">
      <c r="B159" s="6" t="s">
        <v>9</v>
      </c>
      <c r="C159" s="6" t="s">
        <v>202</v>
      </c>
      <c r="D159">
        <v>1E-14</v>
      </c>
      <c r="E159">
        <v>1E-14</v>
      </c>
      <c r="F159">
        <v>1E-14</v>
      </c>
      <c r="G159">
        <v>1E-14</v>
      </c>
      <c r="H159">
        <v>1E-14</v>
      </c>
      <c r="I159">
        <v>1E-14</v>
      </c>
      <c r="J159">
        <v>1E-14</v>
      </c>
      <c r="K159">
        <v>1E-14</v>
      </c>
      <c r="L159">
        <v>1E-14</v>
      </c>
      <c r="M159">
        <v>1E-14</v>
      </c>
      <c r="N159">
        <v>1E-14</v>
      </c>
      <c r="O159">
        <v>1E-14</v>
      </c>
    </row>
    <row r="160" spans="2:15" x14ac:dyDescent="0.25">
      <c r="B160" s="6" t="s">
        <v>9</v>
      </c>
      <c r="C160" s="6" t="s">
        <v>181</v>
      </c>
      <c r="D160">
        <v>1</v>
      </c>
      <c r="E160">
        <v>1</v>
      </c>
      <c r="F160">
        <v>1</v>
      </c>
      <c r="G160">
        <v>1</v>
      </c>
      <c r="H160">
        <v>1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</row>
    <row r="161" spans="2:15" x14ac:dyDescent="0.25">
      <c r="B161" s="6" t="s">
        <v>9</v>
      </c>
      <c r="C161" s="6" t="s">
        <v>182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</row>
    <row r="162" spans="2:15" x14ac:dyDescent="0.25">
      <c r="B162" s="6" t="s">
        <v>9</v>
      </c>
      <c r="C162" s="6" t="s">
        <v>183</v>
      </c>
      <c r="D162">
        <v>1</v>
      </c>
      <c r="E162">
        <v>1</v>
      </c>
      <c r="F162">
        <v>1</v>
      </c>
      <c r="G162">
        <v>1</v>
      </c>
      <c r="H162">
        <v>1</v>
      </c>
      <c r="I162">
        <v>1</v>
      </c>
      <c r="J162">
        <v>1</v>
      </c>
      <c r="K162">
        <v>1</v>
      </c>
      <c r="L162">
        <v>1</v>
      </c>
      <c r="M162">
        <v>1</v>
      </c>
      <c r="N162">
        <v>1</v>
      </c>
      <c r="O162">
        <v>1</v>
      </c>
    </row>
    <row r="163" spans="2:15" x14ac:dyDescent="0.25">
      <c r="B163" s="6" t="s">
        <v>9</v>
      </c>
      <c r="C163" s="6" t="s">
        <v>184</v>
      </c>
      <c r="D163">
        <v>1E-14</v>
      </c>
      <c r="E163">
        <v>1E-14</v>
      </c>
      <c r="F163">
        <v>1E-14</v>
      </c>
      <c r="G163">
        <v>1E-14</v>
      </c>
      <c r="H163">
        <v>1E-14</v>
      </c>
      <c r="I163">
        <v>1E-14</v>
      </c>
      <c r="J163">
        <v>1E-14</v>
      </c>
      <c r="K163">
        <v>1E-14</v>
      </c>
      <c r="L163">
        <v>1E-14</v>
      </c>
      <c r="M163">
        <v>1E-14</v>
      </c>
      <c r="N163">
        <v>1E-14</v>
      </c>
      <c r="O163">
        <v>1E-14</v>
      </c>
    </row>
    <row r="164" spans="2:15" x14ac:dyDescent="0.25">
      <c r="B164" s="6" t="s">
        <v>9</v>
      </c>
      <c r="C164" s="6" t="s">
        <v>185</v>
      </c>
      <c r="D164">
        <v>1E-14</v>
      </c>
      <c r="E164">
        <v>1E-14</v>
      </c>
      <c r="F164">
        <v>1E-14</v>
      </c>
      <c r="G164">
        <v>1E-14</v>
      </c>
      <c r="H164">
        <v>1E-14</v>
      </c>
      <c r="I164">
        <v>1E-14</v>
      </c>
      <c r="J164">
        <v>1E-14</v>
      </c>
      <c r="K164">
        <v>1E-14</v>
      </c>
      <c r="L164">
        <v>1E-14</v>
      </c>
      <c r="M164">
        <v>1E-14</v>
      </c>
      <c r="N164">
        <v>1E-14</v>
      </c>
      <c r="O164">
        <v>1E-14</v>
      </c>
    </row>
    <row r="165" spans="2:15" x14ac:dyDescent="0.25">
      <c r="B165" s="6" t="s">
        <v>9</v>
      </c>
      <c r="C165" s="6" t="s">
        <v>186</v>
      </c>
      <c r="D165">
        <v>-1</v>
      </c>
      <c r="E165">
        <v>-1</v>
      </c>
      <c r="F165">
        <v>-1</v>
      </c>
      <c r="G165">
        <v>-1</v>
      </c>
      <c r="H165">
        <v>-1</v>
      </c>
      <c r="I165">
        <v>-1</v>
      </c>
      <c r="J165">
        <v>-1</v>
      </c>
      <c r="K165">
        <v>-1</v>
      </c>
      <c r="L165">
        <v>-1</v>
      </c>
      <c r="M165">
        <v>-1</v>
      </c>
      <c r="N165">
        <v>-1</v>
      </c>
      <c r="O165">
        <v>-1</v>
      </c>
    </row>
    <row r="166" spans="2:15" x14ac:dyDescent="0.25">
      <c r="B166" s="6" t="s">
        <v>9</v>
      </c>
      <c r="C166" s="6" t="s">
        <v>187</v>
      </c>
      <c r="D166">
        <v>-1</v>
      </c>
      <c r="E166">
        <v>-1</v>
      </c>
      <c r="F166">
        <v>-1</v>
      </c>
      <c r="G166">
        <v>-1</v>
      </c>
      <c r="H166">
        <v>-1</v>
      </c>
      <c r="I166">
        <v>-1</v>
      </c>
      <c r="J166">
        <v>-1</v>
      </c>
      <c r="K166">
        <v>-1</v>
      </c>
      <c r="L166">
        <v>-1</v>
      </c>
      <c r="M166">
        <v>-1</v>
      </c>
      <c r="N166">
        <v>-1</v>
      </c>
      <c r="O166">
        <v>-1</v>
      </c>
    </row>
    <row r="167" spans="2:15" x14ac:dyDescent="0.25">
      <c r="B167" s="6" t="s">
        <v>9</v>
      </c>
      <c r="C167" s="6" t="s">
        <v>188</v>
      </c>
      <c r="D167">
        <v>525</v>
      </c>
      <c r="E167">
        <v>525</v>
      </c>
      <c r="F167">
        <v>525</v>
      </c>
      <c r="G167">
        <v>525</v>
      </c>
      <c r="H167">
        <v>525</v>
      </c>
      <c r="I167">
        <v>525</v>
      </c>
      <c r="J167">
        <v>525</v>
      </c>
      <c r="K167">
        <v>525</v>
      </c>
      <c r="L167">
        <v>525</v>
      </c>
      <c r="M167">
        <v>525</v>
      </c>
      <c r="N167">
        <v>525</v>
      </c>
      <c r="O167">
        <v>525</v>
      </c>
    </row>
    <row r="168" spans="2:15" x14ac:dyDescent="0.25">
      <c r="B168" s="6" t="s">
        <v>9</v>
      </c>
      <c r="C168" s="6" t="s">
        <v>217</v>
      </c>
      <c r="D168">
        <v>9.5</v>
      </c>
      <c r="E168">
        <v>9.5</v>
      </c>
      <c r="F168">
        <v>9.5</v>
      </c>
      <c r="G168">
        <v>9.5</v>
      </c>
      <c r="H168">
        <v>9.5</v>
      </c>
      <c r="I168">
        <v>9.5</v>
      </c>
      <c r="J168">
        <v>9.5</v>
      </c>
      <c r="K168">
        <v>9.5</v>
      </c>
      <c r="L168">
        <v>9.5</v>
      </c>
      <c r="M168">
        <v>9.5</v>
      </c>
      <c r="N168">
        <v>9.5</v>
      </c>
      <c r="O168">
        <v>9.5</v>
      </c>
    </row>
    <row r="169" spans="2:15" x14ac:dyDescent="0.25">
      <c r="B169" s="6" t="s">
        <v>9</v>
      </c>
      <c r="C169" s="6" t="s">
        <v>189</v>
      </c>
      <c r="D169">
        <v>1.1000000000000001</v>
      </c>
      <c r="E169">
        <v>1.1000000000000001</v>
      </c>
      <c r="F169">
        <v>1.1000000000000001</v>
      </c>
      <c r="G169">
        <v>1.1000000000000001</v>
      </c>
      <c r="H169">
        <v>1.1000000000000001</v>
      </c>
      <c r="I169">
        <v>1.1000000000000001</v>
      </c>
      <c r="J169">
        <v>1.1000000000000001</v>
      </c>
      <c r="K169">
        <v>1.1000000000000001</v>
      </c>
      <c r="L169">
        <v>1.1000000000000001</v>
      </c>
      <c r="M169">
        <v>1.1000000000000001</v>
      </c>
      <c r="N169">
        <v>1.1000000000000001</v>
      </c>
      <c r="O169">
        <v>1.1000000000000001</v>
      </c>
    </row>
    <row r="170" spans="2:15" x14ac:dyDescent="0.25">
      <c r="B170" s="6" t="s">
        <v>9</v>
      </c>
      <c r="C170" s="6" t="s">
        <v>190</v>
      </c>
      <c r="D170">
        <v>37</v>
      </c>
      <c r="E170">
        <v>37</v>
      </c>
      <c r="F170">
        <v>37</v>
      </c>
      <c r="G170">
        <v>37</v>
      </c>
      <c r="H170">
        <v>37</v>
      </c>
      <c r="I170">
        <v>37</v>
      </c>
      <c r="J170">
        <v>37</v>
      </c>
      <c r="K170">
        <v>37</v>
      </c>
      <c r="L170">
        <v>37</v>
      </c>
      <c r="M170">
        <v>37</v>
      </c>
      <c r="N170">
        <v>37</v>
      </c>
      <c r="O170">
        <v>37</v>
      </c>
    </row>
    <row r="171" spans="2:15" x14ac:dyDescent="0.25">
      <c r="B171" s="6" t="s">
        <v>10</v>
      </c>
      <c r="C171" s="6" t="s">
        <v>99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1</v>
      </c>
      <c r="N171">
        <v>1</v>
      </c>
      <c r="O171">
        <v>1</v>
      </c>
    </row>
    <row r="172" spans="2:15" x14ac:dyDescent="0.25">
      <c r="B172" s="6" t="s">
        <v>10</v>
      </c>
      <c r="C172" s="6" t="s">
        <v>178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>
        <v>1</v>
      </c>
      <c r="O172">
        <v>1</v>
      </c>
    </row>
    <row r="173" spans="2:15" x14ac:dyDescent="0.25">
      <c r="B173" s="6" t="s">
        <v>10</v>
      </c>
      <c r="C173" s="6" t="s">
        <v>179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</row>
    <row r="174" spans="2:15" x14ac:dyDescent="0.25">
      <c r="B174" s="6" t="s">
        <v>10</v>
      </c>
      <c r="C174" s="6" t="s">
        <v>180</v>
      </c>
      <c r="D174">
        <v>1E-14</v>
      </c>
      <c r="E174">
        <v>1E-14</v>
      </c>
      <c r="F174">
        <v>1E-14</v>
      </c>
      <c r="G174">
        <v>1E-14</v>
      </c>
      <c r="H174">
        <v>1E-14</v>
      </c>
      <c r="I174">
        <v>1E-14</v>
      </c>
      <c r="J174">
        <v>1E-14</v>
      </c>
      <c r="K174">
        <v>1E-14</v>
      </c>
      <c r="L174">
        <v>1E-14</v>
      </c>
      <c r="M174">
        <v>1E-14</v>
      </c>
      <c r="N174">
        <v>1E-14</v>
      </c>
      <c r="O174">
        <v>1E-14</v>
      </c>
    </row>
    <row r="175" spans="2:15" x14ac:dyDescent="0.25">
      <c r="B175" s="6" t="s">
        <v>10</v>
      </c>
      <c r="C175" s="6" t="s">
        <v>202</v>
      </c>
      <c r="D175">
        <v>1E-14</v>
      </c>
      <c r="E175">
        <v>1E-14</v>
      </c>
      <c r="F175">
        <v>1E-14</v>
      </c>
      <c r="G175">
        <v>1E-14</v>
      </c>
      <c r="H175">
        <v>1E-14</v>
      </c>
      <c r="I175">
        <v>1E-14</v>
      </c>
      <c r="J175">
        <v>1E-14</v>
      </c>
      <c r="K175">
        <v>1E-14</v>
      </c>
      <c r="L175">
        <v>1E-14</v>
      </c>
      <c r="M175">
        <v>1E-14</v>
      </c>
      <c r="N175">
        <v>1E-14</v>
      </c>
      <c r="O175">
        <v>1E-14</v>
      </c>
    </row>
    <row r="176" spans="2:15" x14ac:dyDescent="0.25">
      <c r="B176" s="6" t="s">
        <v>10</v>
      </c>
      <c r="C176" s="6" t="s">
        <v>181</v>
      </c>
      <c r="D176">
        <v>1</v>
      </c>
      <c r="E176">
        <v>1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>
        <v>1</v>
      </c>
      <c r="O176">
        <v>1</v>
      </c>
    </row>
    <row r="177" spans="2:15" x14ac:dyDescent="0.25">
      <c r="B177" s="6" t="s">
        <v>10</v>
      </c>
      <c r="C177" s="6" t="s">
        <v>182</v>
      </c>
      <c r="D177">
        <v>1</v>
      </c>
      <c r="E177">
        <v>1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1</v>
      </c>
      <c r="O177">
        <v>1</v>
      </c>
    </row>
    <row r="178" spans="2:15" x14ac:dyDescent="0.25">
      <c r="B178" s="6" t="s">
        <v>10</v>
      </c>
      <c r="C178" s="6" t="s">
        <v>183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1</v>
      </c>
      <c r="M178">
        <v>1</v>
      </c>
      <c r="N178">
        <v>1</v>
      </c>
      <c r="O178">
        <v>1</v>
      </c>
    </row>
    <row r="179" spans="2:15" x14ac:dyDescent="0.25">
      <c r="B179" s="6" t="s">
        <v>10</v>
      </c>
      <c r="C179" s="6" t="s">
        <v>184</v>
      </c>
      <c r="D179">
        <v>433.33333333333331</v>
      </c>
      <c r="E179">
        <v>433.33333333333331</v>
      </c>
      <c r="F179">
        <v>433.33333333333331</v>
      </c>
      <c r="G179">
        <v>433.33333333333331</v>
      </c>
      <c r="H179">
        <v>433.33333333333331</v>
      </c>
      <c r="I179">
        <v>433.33333333333331</v>
      </c>
      <c r="J179">
        <v>433.33333333333331</v>
      </c>
      <c r="K179">
        <v>433.33333333333331</v>
      </c>
      <c r="L179">
        <v>433.33333333333331</v>
      </c>
      <c r="M179">
        <v>433.33333333333331</v>
      </c>
      <c r="N179">
        <v>433.33333333333331</v>
      </c>
      <c r="O179">
        <v>433.33333333333331</v>
      </c>
    </row>
    <row r="180" spans="2:15" x14ac:dyDescent="0.25">
      <c r="B180" s="6" t="s">
        <v>10</v>
      </c>
      <c r="C180" s="6" t="s">
        <v>185</v>
      </c>
      <c r="D180">
        <v>433.33333333333331</v>
      </c>
      <c r="E180">
        <v>433.33333333333331</v>
      </c>
      <c r="F180">
        <v>433.33333333333331</v>
      </c>
      <c r="G180">
        <v>433.33333333333331</v>
      </c>
      <c r="H180">
        <v>433.33333333333331</v>
      </c>
      <c r="I180">
        <v>433.33333333333331</v>
      </c>
      <c r="J180">
        <v>433.33333333333331</v>
      </c>
      <c r="K180">
        <v>433.33333333333331</v>
      </c>
      <c r="L180">
        <v>433.33333333333331</v>
      </c>
      <c r="M180">
        <v>433.33333333333331</v>
      </c>
      <c r="N180">
        <v>433.33333333333331</v>
      </c>
      <c r="O180">
        <v>433.33333333333331</v>
      </c>
    </row>
    <row r="181" spans="2:15" x14ac:dyDescent="0.25">
      <c r="B181" s="6" t="s">
        <v>10</v>
      </c>
      <c r="C181" s="6" t="s">
        <v>186</v>
      </c>
      <c r="D181">
        <v>1E-14</v>
      </c>
      <c r="E181">
        <v>1E-14</v>
      </c>
      <c r="F181">
        <v>1E-14</v>
      </c>
      <c r="G181">
        <v>1E-14</v>
      </c>
      <c r="H181">
        <v>1E-14</v>
      </c>
      <c r="I181">
        <v>1E-14</v>
      </c>
      <c r="J181">
        <v>1E-14</v>
      </c>
      <c r="K181">
        <v>1E-14</v>
      </c>
      <c r="L181">
        <v>1E-14</v>
      </c>
      <c r="M181">
        <v>1E-14</v>
      </c>
      <c r="N181">
        <v>1E-14</v>
      </c>
      <c r="O181">
        <v>1E-14</v>
      </c>
    </row>
    <row r="182" spans="2:15" x14ac:dyDescent="0.25">
      <c r="B182" s="6" t="s">
        <v>10</v>
      </c>
      <c r="C182" s="6" t="s">
        <v>187</v>
      </c>
      <c r="D182">
        <v>1E-14</v>
      </c>
      <c r="E182">
        <v>1E-14</v>
      </c>
      <c r="F182">
        <v>1E-14</v>
      </c>
      <c r="G182">
        <v>1E-14</v>
      </c>
      <c r="H182">
        <v>1E-14</v>
      </c>
      <c r="I182">
        <v>1E-14</v>
      </c>
      <c r="J182">
        <v>1E-14</v>
      </c>
      <c r="K182">
        <v>1E-14</v>
      </c>
      <c r="L182">
        <v>1E-14</v>
      </c>
      <c r="M182">
        <v>1E-14</v>
      </c>
      <c r="N182">
        <v>1E-14</v>
      </c>
      <c r="O182">
        <v>1E-14</v>
      </c>
    </row>
    <row r="183" spans="2:15" x14ac:dyDescent="0.25">
      <c r="B183" s="6" t="s">
        <v>10</v>
      </c>
      <c r="C183" s="6" t="s">
        <v>188</v>
      </c>
      <c r="D183">
        <v>525</v>
      </c>
      <c r="E183">
        <v>525</v>
      </c>
      <c r="F183">
        <v>525</v>
      </c>
      <c r="G183">
        <v>525</v>
      </c>
      <c r="H183">
        <v>525</v>
      </c>
      <c r="I183">
        <v>525</v>
      </c>
      <c r="J183">
        <v>525</v>
      </c>
      <c r="K183">
        <v>525</v>
      </c>
      <c r="L183">
        <v>525</v>
      </c>
      <c r="M183">
        <v>525</v>
      </c>
      <c r="N183">
        <v>525</v>
      </c>
      <c r="O183">
        <v>525</v>
      </c>
    </row>
    <row r="184" spans="2:15" x14ac:dyDescent="0.25">
      <c r="B184" s="6" t="s">
        <v>10</v>
      </c>
      <c r="C184" s="6" t="s">
        <v>217</v>
      </c>
      <c r="D184">
        <v>9</v>
      </c>
      <c r="E184">
        <v>9</v>
      </c>
      <c r="F184">
        <v>9</v>
      </c>
      <c r="G184">
        <v>9</v>
      </c>
      <c r="H184">
        <v>9</v>
      </c>
      <c r="I184">
        <v>9</v>
      </c>
      <c r="J184">
        <v>9</v>
      </c>
      <c r="K184">
        <v>9</v>
      </c>
      <c r="L184">
        <v>9</v>
      </c>
      <c r="M184">
        <v>9</v>
      </c>
      <c r="N184">
        <v>9</v>
      </c>
      <c r="O184">
        <v>9</v>
      </c>
    </row>
    <row r="185" spans="2:15" x14ac:dyDescent="0.25">
      <c r="B185" s="6" t="s">
        <v>10</v>
      </c>
      <c r="C185" s="6" t="s">
        <v>189</v>
      </c>
      <c r="D185">
        <v>1.1000000000000001</v>
      </c>
      <c r="E185">
        <v>1.1000000000000001</v>
      </c>
      <c r="F185">
        <v>1.1000000000000001</v>
      </c>
      <c r="G185">
        <v>1.1000000000000001</v>
      </c>
      <c r="H185">
        <v>1.1000000000000001</v>
      </c>
      <c r="I185">
        <v>1.1000000000000001</v>
      </c>
      <c r="J185">
        <v>1.1000000000000001</v>
      </c>
      <c r="K185">
        <v>1.1000000000000001</v>
      </c>
      <c r="L185">
        <v>1.1000000000000001</v>
      </c>
      <c r="M185">
        <v>1.1000000000000001</v>
      </c>
      <c r="N185">
        <v>1.1000000000000001</v>
      </c>
      <c r="O185">
        <v>1.1000000000000001</v>
      </c>
    </row>
    <row r="186" spans="2:15" x14ac:dyDescent="0.25">
      <c r="B186" s="6" t="s">
        <v>10</v>
      </c>
      <c r="C186" s="6" t="s">
        <v>190</v>
      </c>
      <c r="D186">
        <v>37</v>
      </c>
      <c r="E186">
        <v>37</v>
      </c>
      <c r="F186">
        <v>37</v>
      </c>
      <c r="G186">
        <v>37</v>
      </c>
      <c r="H186">
        <v>37</v>
      </c>
      <c r="I186">
        <v>37</v>
      </c>
      <c r="J186">
        <v>37</v>
      </c>
      <c r="K186">
        <v>37</v>
      </c>
      <c r="L186">
        <v>37</v>
      </c>
      <c r="M186">
        <v>37</v>
      </c>
      <c r="N186">
        <v>37</v>
      </c>
      <c r="O186">
        <v>37</v>
      </c>
    </row>
    <row r="187" spans="2:15" x14ac:dyDescent="0.25">
      <c r="B187" s="6" t="s">
        <v>11</v>
      </c>
      <c r="C187" s="6" t="s">
        <v>99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</row>
    <row r="188" spans="2:15" x14ac:dyDescent="0.25">
      <c r="B188" s="6" t="s">
        <v>11</v>
      </c>
      <c r="C188" s="6" t="s">
        <v>178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</row>
    <row r="189" spans="2:15" x14ac:dyDescent="0.25">
      <c r="B189" s="6" t="s">
        <v>11</v>
      </c>
      <c r="C189" s="6" t="s">
        <v>179</v>
      </c>
      <c r="D189">
        <v>1E-14</v>
      </c>
      <c r="E189">
        <v>1E-14</v>
      </c>
      <c r="F189">
        <v>1E-14</v>
      </c>
      <c r="G189">
        <v>1E-14</v>
      </c>
      <c r="H189">
        <v>1E-14</v>
      </c>
      <c r="I189">
        <v>1E-14</v>
      </c>
      <c r="J189">
        <v>1E-14</v>
      </c>
      <c r="K189">
        <v>1E-14</v>
      </c>
      <c r="L189">
        <v>1E-14</v>
      </c>
      <c r="M189">
        <v>1E-14</v>
      </c>
      <c r="N189">
        <v>1E-14</v>
      </c>
      <c r="O189">
        <v>1E-14</v>
      </c>
    </row>
    <row r="190" spans="2:15" x14ac:dyDescent="0.25">
      <c r="B190" s="6" t="s">
        <v>11</v>
      </c>
      <c r="C190" s="6" t="s">
        <v>180</v>
      </c>
      <c r="D190">
        <v>1E-14</v>
      </c>
      <c r="E190">
        <v>1E-14</v>
      </c>
      <c r="F190">
        <v>1E-14</v>
      </c>
      <c r="G190">
        <v>1E-14</v>
      </c>
      <c r="H190">
        <v>1E-14</v>
      </c>
      <c r="I190">
        <v>1E-14</v>
      </c>
      <c r="J190">
        <v>1E-14</v>
      </c>
      <c r="K190">
        <v>1E-14</v>
      </c>
      <c r="L190">
        <v>1E-14</v>
      </c>
      <c r="M190">
        <v>1E-14</v>
      </c>
      <c r="N190">
        <v>1E-14</v>
      </c>
      <c r="O190">
        <v>1E-14</v>
      </c>
    </row>
    <row r="191" spans="2:15" x14ac:dyDescent="0.25">
      <c r="B191" s="6" t="s">
        <v>11</v>
      </c>
      <c r="C191" s="6" t="s">
        <v>202</v>
      </c>
      <c r="D191">
        <v>1E-14</v>
      </c>
      <c r="E191">
        <v>1E-14</v>
      </c>
      <c r="F191">
        <v>1E-14</v>
      </c>
      <c r="G191">
        <v>1E-14</v>
      </c>
      <c r="H191">
        <v>1E-14</v>
      </c>
      <c r="I191">
        <v>1E-14</v>
      </c>
      <c r="J191">
        <v>1E-14</v>
      </c>
      <c r="K191">
        <v>1E-14</v>
      </c>
      <c r="L191">
        <v>1E-14</v>
      </c>
      <c r="M191">
        <v>1E-14</v>
      </c>
      <c r="N191">
        <v>1E-14</v>
      </c>
      <c r="O191">
        <v>1E-14</v>
      </c>
    </row>
    <row r="192" spans="2:15" x14ac:dyDescent="0.25">
      <c r="B192" s="6" t="s">
        <v>11</v>
      </c>
      <c r="C192" s="6" t="s">
        <v>181</v>
      </c>
      <c r="D192">
        <v>1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</row>
    <row r="193" spans="2:15" x14ac:dyDescent="0.25">
      <c r="B193" s="6" t="s">
        <v>11</v>
      </c>
      <c r="C193" s="6" t="s">
        <v>182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  <c r="J193">
        <v>1</v>
      </c>
      <c r="K193">
        <v>1</v>
      </c>
      <c r="L193">
        <v>1</v>
      </c>
      <c r="M193">
        <v>1</v>
      </c>
      <c r="N193">
        <v>1</v>
      </c>
      <c r="O193">
        <v>1</v>
      </c>
    </row>
    <row r="194" spans="2:15" x14ac:dyDescent="0.25">
      <c r="B194" s="6" t="s">
        <v>11</v>
      </c>
      <c r="C194" s="6" t="s">
        <v>183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</row>
    <row r="195" spans="2:15" x14ac:dyDescent="0.25">
      <c r="B195" s="6" t="s">
        <v>11</v>
      </c>
      <c r="C195" s="6" t="s">
        <v>184</v>
      </c>
      <c r="D195">
        <v>41.666666666666664</v>
      </c>
      <c r="E195">
        <v>41.666666666666664</v>
      </c>
      <c r="F195">
        <v>41.666666666666664</v>
      </c>
      <c r="G195">
        <v>41.666666666666664</v>
      </c>
      <c r="H195">
        <v>41.666666666666664</v>
      </c>
      <c r="I195">
        <v>41.666666666666664</v>
      </c>
      <c r="J195">
        <v>41.666666666666664</v>
      </c>
      <c r="K195">
        <v>41.666666666666664</v>
      </c>
      <c r="L195">
        <v>41.666666666666664</v>
      </c>
      <c r="M195">
        <v>41.666666666666664</v>
      </c>
      <c r="N195">
        <v>41.666666666666664</v>
      </c>
      <c r="O195">
        <v>41.666666666666664</v>
      </c>
    </row>
    <row r="196" spans="2:15" x14ac:dyDescent="0.25">
      <c r="B196" s="6" t="s">
        <v>11</v>
      </c>
      <c r="C196" s="6" t="s">
        <v>185</v>
      </c>
      <c r="D196">
        <v>41.666666666666664</v>
      </c>
      <c r="E196">
        <v>41.666666666666664</v>
      </c>
      <c r="F196">
        <v>41.666666666666664</v>
      </c>
      <c r="G196">
        <v>41.666666666666664</v>
      </c>
      <c r="H196">
        <v>41.666666666666664</v>
      </c>
      <c r="I196">
        <v>41.666666666666664</v>
      </c>
      <c r="J196">
        <v>41.666666666666664</v>
      </c>
      <c r="K196">
        <v>41.666666666666664</v>
      </c>
      <c r="L196">
        <v>41.666666666666664</v>
      </c>
      <c r="M196">
        <v>41.666666666666664</v>
      </c>
      <c r="N196">
        <v>41.666666666666664</v>
      </c>
      <c r="O196">
        <v>41.666666666666664</v>
      </c>
    </row>
    <row r="197" spans="2:15" x14ac:dyDescent="0.25">
      <c r="B197" s="6" t="s">
        <v>11</v>
      </c>
      <c r="C197" s="6" t="s">
        <v>186</v>
      </c>
      <c r="D197">
        <v>-1</v>
      </c>
      <c r="E197">
        <v>-1</v>
      </c>
      <c r="F197">
        <v>-1</v>
      </c>
      <c r="G197">
        <v>-1</v>
      </c>
      <c r="H197">
        <v>-1</v>
      </c>
      <c r="I197">
        <v>-1</v>
      </c>
      <c r="J197">
        <v>-1</v>
      </c>
      <c r="K197">
        <v>-1</v>
      </c>
      <c r="L197">
        <v>-1</v>
      </c>
      <c r="M197">
        <v>-1</v>
      </c>
      <c r="N197">
        <v>-1</v>
      </c>
      <c r="O197">
        <v>-1</v>
      </c>
    </row>
    <row r="198" spans="2:15" x14ac:dyDescent="0.25">
      <c r="B198" s="6" t="s">
        <v>11</v>
      </c>
      <c r="C198" s="6" t="s">
        <v>187</v>
      </c>
      <c r="D198">
        <v>-1</v>
      </c>
      <c r="E198">
        <v>-1</v>
      </c>
      <c r="F198">
        <v>-1</v>
      </c>
      <c r="G198">
        <v>-1</v>
      </c>
      <c r="H198">
        <v>-1</v>
      </c>
      <c r="I198">
        <v>-1</v>
      </c>
      <c r="J198">
        <v>-1</v>
      </c>
      <c r="K198">
        <v>-1</v>
      </c>
      <c r="L198">
        <v>-1</v>
      </c>
      <c r="M198">
        <v>-1</v>
      </c>
      <c r="N198">
        <v>-1</v>
      </c>
      <c r="O198">
        <v>-1</v>
      </c>
    </row>
    <row r="199" spans="2:15" x14ac:dyDescent="0.25">
      <c r="B199" s="6" t="s">
        <v>11</v>
      </c>
      <c r="C199" s="6" t="s">
        <v>188</v>
      </c>
      <c r="D199">
        <v>785</v>
      </c>
      <c r="E199">
        <v>785</v>
      </c>
      <c r="F199">
        <v>785</v>
      </c>
      <c r="G199">
        <v>785</v>
      </c>
      <c r="H199">
        <v>785</v>
      </c>
      <c r="I199">
        <v>785</v>
      </c>
      <c r="J199">
        <v>785</v>
      </c>
      <c r="K199">
        <v>785</v>
      </c>
      <c r="L199">
        <v>785</v>
      </c>
      <c r="M199">
        <v>785</v>
      </c>
      <c r="N199">
        <v>785</v>
      </c>
      <c r="O199">
        <v>785</v>
      </c>
    </row>
    <row r="200" spans="2:15" x14ac:dyDescent="0.25">
      <c r="B200" s="6" t="s">
        <v>11</v>
      </c>
      <c r="C200" s="6" t="s">
        <v>217</v>
      </c>
      <c r="D200">
        <v>12</v>
      </c>
      <c r="E200">
        <v>12</v>
      </c>
      <c r="F200">
        <v>12</v>
      </c>
      <c r="G200">
        <v>12</v>
      </c>
      <c r="H200">
        <v>12</v>
      </c>
      <c r="I200">
        <v>12</v>
      </c>
      <c r="J200">
        <v>12</v>
      </c>
      <c r="K200">
        <v>12</v>
      </c>
      <c r="L200">
        <v>12</v>
      </c>
      <c r="M200">
        <v>12</v>
      </c>
      <c r="N200">
        <v>12</v>
      </c>
      <c r="O200">
        <v>12</v>
      </c>
    </row>
    <row r="201" spans="2:15" x14ac:dyDescent="0.25">
      <c r="B201" s="6" t="s">
        <v>11</v>
      </c>
      <c r="C201" s="6" t="s">
        <v>189</v>
      </c>
      <c r="D201">
        <v>1.1000000000000001</v>
      </c>
      <c r="E201">
        <v>1.1000000000000001</v>
      </c>
      <c r="F201">
        <v>1.1000000000000001</v>
      </c>
      <c r="G201">
        <v>1.1000000000000001</v>
      </c>
      <c r="H201">
        <v>1.1000000000000001</v>
      </c>
      <c r="I201">
        <v>1.1000000000000001</v>
      </c>
      <c r="J201">
        <v>1.1000000000000001</v>
      </c>
      <c r="K201">
        <v>1.1000000000000001</v>
      </c>
      <c r="L201">
        <v>1.1000000000000001</v>
      </c>
      <c r="M201">
        <v>1.1000000000000001</v>
      </c>
      <c r="N201">
        <v>1.1000000000000001</v>
      </c>
      <c r="O201">
        <v>1.1000000000000001</v>
      </c>
    </row>
    <row r="202" spans="2:15" x14ac:dyDescent="0.25">
      <c r="B202" s="6" t="s">
        <v>11</v>
      </c>
      <c r="C202" s="6" t="s">
        <v>190</v>
      </c>
      <c r="D202">
        <v>37</v>
      </c>
      <c r="E202">
        <v>37</v>
      </c>
      <c r="F202">
        <v>37</v>
      </c>
      <c r="G202">
        <v>37</v>
      </c>
      <c r="H202">
        <v>37</v>
      </c>
      <c r="I202">
        <v>37</v>
      </c>
      <c r="J202">
        <v>37</v>
      </c>
      <c r="K202">
        <v>37</v>
      </c>
      <c r="L202">
        <v>37</v>
      </c>
      <c r="M202">
        <v>37</v>
      </c>
      <c r="N202">
        <v>37</v>
      </c>
      <c r="O202">
        <v>37</v>
      </c>
    </row>
    <row r="203" spans="2:15" x14ac:dyDescent="0.25">
      <c r="B203" s="6" t="s">
        <v>12</v>
      </c>
      <c r="C203" s="6" t="s">
        <v>99</v>
      </c>
      <c r="D203">
        <v>1E-14</v>
      </c>
      <c r="E203">
        <v>1E-14</v>
      </c>
      <c r="F203">
        <v>1E-14</v>
      </c>
      <c r="G203">
        <v>1E-14</v>
      </c>
      <c r="H203">
        <v>1E-14</v>
      </c>
      <c r="I203">
        <v>1E-14</v>
      </c>
      <c r="J203">
        <v>1E-14</v>
      </c>
      <c r="K203">
        <v>1E-14</v>
      </c>
      <c r="L203">
        <v>1E-14</v>
      </c>
      <c r="M203">
        <v>1E-14</v>
      </c>
      <c r="N203">
        <v>1E-14</v>
      </c>
      <c r="O203">
        <v>1E-14</v>
      </c>
    </row>
    <row r="204" spans="2:15" x14ac:dyDescent="0.25">
      <c r="B204" s="6" t="s">
        <v>12</v>
      </c>
      <c r="C204" s="6" t="s">
        <v>178</v>
      </c>
      <c r="D204">
        <v>1</v>
      </c>
      <c r="E204">
        <v>1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</row>
    <row r="205" spans="2:15" x14ac:dyDescent="0.25">
      <c r="B205" s="6" t="s">
        <v>12</v>
      </c>
      <c r="C205" s="6" t="s">
        <v>179</v>
      </c>
      <c r="D205">
        <v>1E-14</v>
      </c>
      <c r="E205">
        <v>1E-14</v>
      </c>
      <c r="F205">
        <v>1E-14</v>
      </c>
      <c r="G205">
        <v>1E-14</v>
      </c>
      <c r="H205">
        <v>1E-14</v>
      </c>
      <c r="I205">
        <v>1E-14</v>
      </c>
      <c r="J205">
        <v>1E-14</v>
      </c>
      <c r="K205">
        <v>1E-14</v>
      </c>
      <c r="L205">
        <v>1E-14</v>
      </c>
      <c r="M205">
        <v>1E-14</v>
      </c>
      <c r="N205">
        <v>1E-14</v>
      </c>
      <c r="O205">
        <v>1E-14</v>
      </c>
    </row>
    <row r="206" spans="2:15" x14ac:dyDescent="0.25">
      <c r="B206" s="6" t="s">
        <v>12</v>
      </c>
      <c r="C206" s="6" t="s">
        <v>180</v>
      </c>
      <c r="D206">
        <v>1E-14</v>
      </c>
      <c r="E206">
        <v>1E-14</v>
      </c>
      <c r="F206">
        <v>1E-14</v>
      </c>
      <c r="G206">
        <v>1E-14</v>
      </c>
      <c r="H206">
        <v>1E-14</v>
      </c>
      <c r="I206">
        <v>1E-14</v>
      </c>
      <c r="J206">
        <v>1E-14</v>
      </c>
      <c r="K206">
        <v>1E-14</v>
      </c>
      <c r="L206">
        <v>1E-14</v>
      </c>
      <c r="M206">
        <v>1E-14</v>
      </c>
      <c r="N206">
        <v>1E-14</v>
      </c>
      <c r="O206">
        <v>1E-14</v>
      </c>
    </row>
    <row r="207" spans="2:15" x14ac:dyDescent="0.25">
      <c r="B207" s="6" t="s">
        <v>12</v>
      </c>
      <c r="C207" s="6" t="s">
        <v>202</v>
      </c>
      <c r="D207">
        <v>1E-14</v>
      </c>
      <c r="E207">
        <v>1E-14</v>
      </c>
      <c r="F207">
        <v>1E-14</v>
      </c>
      <c r="G207">
        <v>1E-14</v>
      </c>
      <c r="H207">
        <v>1E-14</v>
      </c>
      <c r="I207">
        <v>1E-14</v>
      </c>
      <c r="J207">
        <v>1E-14</v>
      </c>
      <c r="K207">
        <v>1E-14</v>
      </c>
      <c r="L207">
        <v>1E-14</v>
      </c>
      <c r="M207">
        <v>1E-14</v>
      </c>
      <c r="N207">
        <v>1E-14</v>
      </c>
      <c r="O207">
        <v>1E-14</v>
      </c>
    </row>
    <row r="208" spans="2:15" x14ac:dyDescent="0.25">
      <c r="B208" s="6" t="s">
        <v>12</v>
      </c>
      <c r="C208" s="6" t="s">
        <v>181</v>
      </c>
      <c r="D208">
        <v>1</v>
      </c>
      <c r="E208">
        <v>1</v>
      </c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</v>
      </c>
    </row>
    <row r="209" spans="2:15" x14ac:dyDescent="0.25">
      <c r="B209" s="6" t="s">
        <v>12</v>
      </c>
      <c r="C209" s="6" t="s">
        <v>182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1</v>
      </c>
      <c r="O209">
        <v>1</v>
      </c>
    </row>
    <row r="210" spans="2:15" x14ac:dyDescent="0.25">
      <c r="B210" s="6" t="s">
        <v>12</v>
      </c>
      <c r="C210" s="6" t="s">
        <v>183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>
        <v>1</v>
      </c>
      <c r="M210">
        <v>1</v>
      </c>
      <c r="N210">
        <v>1</v>
      </c>
      <c r="O210">
        <v>1</v>
      </c>
    </row>
    <row r="211" spans="2:15" x14ac:dyDescent="0.25">
      <c r="B211" s="6" t="s">
        <v>12</v>
      </c>
      <c r="C211" s="6" t="s">
        <v>184</v>
      </c>
      <c r="D211">
        <v>1E-14</v>
      </c>
      <c r="E211">
        <v>1E-14</v>
      </c>
      <c r="F211">
        <v>1E-14</v>
      </c>
      <c r="G211">
        <v>1E-14</v>
      </c>
      <c r="H211">
        <v>1E-14</v>
      </c>
      <c r="I211">
        <v>1E-14</v>
      </c>
      <c r="J211">
        <v>1E-14</v>
      </c>
      <c r="K211">
        <v>1E-14</v>
      </c>
      <c r="L211">
        <v>1E-14</v>
      </c>
      <c r="M211">
        <v>1E-14</v>
      </c>
      <c r="N211">
        <v>1E-14</v>
      </c>
      <c r="O211">
        <v>1E-14</v>
      </c>
    </row>
    <row r="212" spans="2:15" x14ac:dyDescent="0.25">
      <c r="B212" s="6" t="s">
        <v>12</v>
      </c>
      <c r="C212" s="6" t="s">
        <v>185</v>
      </c>
      <c r="D212">
        <v>1E-14</v>
      </c>
      <c r="E212">
        <v>1E-14</v>
      </c>
      <c r="F212">
        <v>1E-14</v>
      </c>
      <c r="G212">
        <v>1E-14</v>
      </c>
      <c r="H212">
        <v>1E-14</v>
      </c>
      <c r="I212">
        <v>1E-14</v>
      </c>
      <c r="J212">
        <v>1E-14</v>
      </c>
      <c r="K212">
        <v>1E-14</v>
      </c>
      <c r="L212">
        <v>1E-14</v>
      </c>
      <c r="M212">
        <v>1E-14</v>
      </c>
      <c r="N212">
        <v>1E-14</v>
      </c>
      <c r="O212">
        <v>1E-14</v>
      </c>
    </row>
    <row r="213" spans="2:15" x14ac:dyDescent="0.25">
      <c r="B213" s="6" t="s">
        <v>12</v>
      </c>
      <c r="C213" s="6" t="s">
        <v>186</v>
      </c>
      <c r="D213">
        <v>-1</v>
      </c>
      <c r="E213">
        <v>-1</v>
      </c>
      <c r="F213">
        <v>-1</v>
      </c>
      <c r="G213">
        <v>-1</v>
      </c>
      <c r="H213">
        <v>-1</v>
      </c>
      <c r="I213">
        <v>-1</v>
      </c>
      <c r="J213">
        <v>-1</v>
      </c>
      <c r="K213">
        <v>-1</v>
      </c>
      <c r="L213">
        <v>-1</v>
      </c>
      <c r="M213">
        <v>-1</v>
      </c>
      <c r="N213">
        <v>-1</v>
      </c>
      <c r="O213">
        <v>-1</v>
      </c>
    </row>
    <row r="214" spans="2:15" x14ac:dyDescent="0.25">
      <c r="B214" s="6" t="s">
        <v>12</v>
      </c>
      <c r="C214" s="6" t="s">
        <v>187</v>
      </c>
      <c r="D214">
        <v>-1</v>
      </c>
      <c r="E214">
        <v>-1</v>
      </c>
      <c r="F214">
        <v>-1</v>
      </c>
      <c r="G214">
        <v>-1</v>
      </c>
      <c r="H214">
        <v>-1</v>
      </c>
      <c r="I214">
        <v>-1</v>
      </c>
      <c r="J214">
        <v>-1</v>
      </c>
      <c r="K214">
        <v>-1</v>
      </c>
      <c r="L214">
        <v>-1</v>
      </c>
      <c r="M214">
        <v>-1</v>
      </c>
      <c r="N214">
        <v>-1</v>
      </c>
      <c r="O214">
        <v>-1</v>
      </c>
    </row>
    <row r="215" spans="2:15" x14ac:dyDescent="0.25">
      <c r="B215" s="6" t="s">
        <v>12</v>
      </c>
      <c r="C215" s="6" t="s">
        <v>188</v>
      </c>
      <c r="D215">
        <v>1E-14</v>
      </c>
      <c r="E215">
        <v>1E-14</v>
      </c>
      <c r="F215">
        <v>1E-14</v>
      </c>
      <c r="G215">
        <v>1E-14</v>
      </c>
      <c r="H215">
        <v>1E-14</v>
      </c>
      <c r="I215">
        <v>1E-14</v>
      </c>
      <c r="J215">
        <v>1E-14</v>
      </c>
      <c r="K215">
        <v>1E-14</v>
      </c>
      <c r="L215">
        <v>1E-14</v>
      </c>
      <c r="M215">
        <v>1E-14</v>
      </c>
      <c r="N215">
        <v>1E-14</v>
      </c>
      <c r="O215">
        <v>1E-14</v>
      </c>
    </row>
    <row r="216" spans="2:15" x14ac:dyDescent="0.25">
      <c r="B216" s="6" t="s">
        <v>12</v>
      </c>
      <c r="C216" s="6" t="s">
        <v>217</v>
      </c>
      <c r="D216">
        <v>10</v>
      </c>
      <c r="E216">
        <v>10</v>
      </c>
      <c r="F216">
        <v>10</v>
      </c>
      <c r="G216">
        <v>10</v>
      </c>
      <c r="H216">
        <v>10</v>
      </c>
      <c r="I216">
        <v>10</v>
      </c>
      <c r="J216">
        <v>10</v>
      </c>
      <c r="K216">
        <v>10</v>
      </c>
      <c r="L216">
        <v>10</v>
      </c>
      <c r="M216">
        <v>10</v>
      </c>
      <c r="N216">
        <v>10</v>
      </c>
      <c r="O216">
        <v>10</v>
      </c>
    </row>
    <row r="217" spans="2:15" x14ac:dyDescent="0.25">
      <c r="B217" s="6" t="s">
        <v>12</v>
      </c>
      <c r="C217" s="6" t="s">
        <v>189</v>
      </c>
      <c r="D217">
        <v>1.1000000000000001</v>
      </c>
      <c r="E217">
        <v>1.1000000000000001</v>
      </c>
      <c r="F217">
        <v>1.1000000000000001</v>
      </c>
      <c r="G217">
        <v>1.1000000000000001</v>
      </c>
      <c r="H217">
        <v>1.1000000000000001</v>
      </c>
      <c r="I217">
        <v>1.1000000000000001</v>
      </c>
      <c r="J217">
        <v>1.1000000000000001</v>
      </c>
      <c r="K217">
        <v>1.1000000000000001</v>
      </c>
      <c r="L217">
        <v>1.1000000000000001</v>
      </c>
      <c r="M217">
        <v>1.1000000000000001</v>
      </c>
      <c r="N217">
        <v>1.1000000000000001</v>
      </c>
      <c r="O217">
        <v>1.1000000000000001</v>
      </c>
    </row>
    <row r="218" spans="2:15" x14ac:dyDescent="0.25">
      <c r="B218" s="6" t="s">
        <v>12</v>
      </c>
      <c r="C218" s="6" t="s">
        <v>190</v>
      </c>
      <c r="D218">
        <v>37</v>
      </c>
      <c r="E218">
        <v>37</v>
      </c>
      <c r="F218">
        <v>37</v>
      </c>
      <c r="G218">
        <v>37</v>
      </c>
      <c r="H218">
        <v>37</v>
      </c>
      <c r="I218">
        <v>37</v>
      </c>
      <c r="J218">
        <v>37</v>
      </c>
      <c r="K218">
        <v>37</v>
      </c>
      <c r="L218">
        <v>37</v>
      </c>
      <c r="M218">
        <v>37</v>
      </c>
      <c r="N218">
        <v>37</v>
      </c>
      <c r="O218">
        <v>37</v>
      </c>
    </row>
    <row r="219" spans="2:15" x14ac:dyDescent="0.25">
      <c r="B219" s="6" t="s">
        <v>13</v>
      </c>
      <c r="C219" s="6" t="s">
        <v>99</v>
      </c>
      <c r="D219">
        <v>1E-14</v>
      </c>
      <c r="E219">
        <v>1E-14</v>
      </c>
      <c r="F219">
        <v>1E-14</v>
      </c>
      <c r="G219">
        <v>1E-14</v>
      </c>
      <c r="H219">
        <v>1E-14</v>
      </c>
      <c r="I219">
        <v>1E-14</v>
      </c>
      <c r="J219">
        <v>1E-14</v>
      </c>
      <c r="K219">
        <v>1E-14</v>
      </c>
      <c r="L219">
        <v>1E-14</v>
      </c>
      <c r="M219">
        <v>1E-14</v>
      </c>
      <c r="N219">
        <v>1E-14</v>
      </c>
      <c r="O219">
        <v>1E-14</v>
      </c>
    </row>
    <row r="220" spans="2:15" x14ac:dyDescent="0.25">
      <c r="B220" s="6" t="s">
        <v>13</v>
      </c>
      <c r="C220" s="6" t="s">
        <v>178</v>
      </c>
      <c r="D220">
        <v>1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</row>
    <row r="221" spans="2:15" x14ac:dyDescent="0.25">
      <c r="B221" s="6" t="s">
        <v>13</v>
      </c>
      <c r="C221" s="6" t="s">
        <v>179</v>
      </c>
      <c r="D221">
        <v>1E-14</v>
      </c>
      <c r="E221">
        <v>1E-14</v>
      </c>
      <c r="F221">
        <v>1E-14</v>
      </c>
      <c r="G221">
        <v>1E-14</v>
      </c>
      <c r="H221">
        <v>1E-14</v>
      </c>
      <c r="I221">
        <v>1E-14</v>
      </c>
      <c r="J221">
        <v>1E-14</v>
      </c>
      <c r="K221">
        <v>1E-14</v>
      </c>
      <c r="L221">
        <v>1E-14</v>
      </c>
      <c r="M221">
        <v>1E-14</v>
      </c>
      <c r="N221">
        <v>1E-14</v>
      </c>
      <c r="O221">
        <v>1E-14</v>
      </c>
    </row>
    <row r="222" spans="2:15" x14ac:dyDescent="0.25">
      <c r="B222" s="6" t="s">
        <v>13</v>
      </c>
      <c r="C222" s="6" t="s">
        <v>180</v>
      </c>
      <c r="D222">
        <v>1E-14</v>
      </c>
      <c r="E222">
        <v>1E-14</v>
      </c>
      <c r="F222">
        <v>1E-14</v>
      </c>
      <c r="G222">
        <v>1E-14</v>
      </c>
      <c r="H222">
        <v>1E-14</v>
      </c>
      <c r="I222">
        <v>1E-14</v>
      </c>
      <c r="J222">
        <v>1E-14</v>
      </c>
      <c r="K222">
        <v>1E-14</v>
      </c>
      <c r="L222">
        <v>1E-14</v>
      </c>
      <c r="M222">
        <v>1E-14</v>
      </c>
      <c r="N222">
        <v>1E-14</v>
      </c>
      <c r="O222">
        <v>1E-14</v>
      </c>
    </row>
    <row r="223" spans="2:15" x14ac:dyDescent="0.25">
      <c r="B223" s="6" t="s">
        <v>13</v>
      </c>
      <c r="C223" s="6" t="s">
        <v>202</v>
      </c>
      <c r="D223">
        <v>1E-14</v>
      </c>
      <c r="E223">
        <v>1E-14</v>
      </c>
      <c r="F223">
        <v>1E-14</v>
      </c>
      <c r="G223">
        <v>1E-14</v>
      </c>
      <c r="H223">
        <v>1E-14</v>
      </c>
      <c r="I223">
        <v>1E-14</v>
      </c>
      <c r="J223">
        <v>1E-14</v>
      </c>
      <c r="K223">
        <v>1E-14</v>
      </c>
      <c r="L223">
        <v>1E-14</v>
      </c>
      <c r="M223">
        <v>1E-14</v>
      </c>
      <c r="N223">
        <v>1E-14</v>
      </c>
      <c r="O223">
        <v>1E-14</v>
      </c>
    </row>
    <row r="224" spans="2:15" x14ac:dyDescent="0.25">
      <c r="B224" s="6" t="s">
        <v>13</v>
      </c>
      <c r="C224" s="6" t="s">
        <v>181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1</v>
      </c>
      <c r="O224">
        <v>1</v>
      </c>
    </row>
    <row r="225" spans="2:15" x14ac:dyDescent="0.25">
      <c r="B225" s="6" t="s">
        <v>13</v>
      </c>
      <c r="C225" s="6" t="s">
        <v>182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1</v>
      </c>
      <c r="O225">
        <v>1</v>
      </c>
    </row>
    <row r="226" spans="2:15" x14ac:dyDescent="0.25">
      <c r="B226" s="6" t="s">
        <v>13</v>
      </c>
      <c r="C226" s="6" t="s">
        <v>183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</row>
    <row r="227" spans="2:15" x14ac:dyDescent="0.25">
      <c r="B227" s="6" t="s">
        <v>13</v>
      </c>
      <c r="C227" s="6" t="s">
        <v>184</v>
      </c>
      <c r="D227">
        <v>1E-14</v>
      </c>
      <c r="E227">
        <v>1E-14</v>
      </c>
      <c r="F227">
        <v>1E-14</v>
      </c>
      <c r="G227">
        <v>1E-14</v>
      </c>
      <c r="H227">
        <v>1E-14</v>
      </c>
      <c r="I227">
        <v>1E-14</v>
      </c>
      <c r="J227">
        <v>1E-14</v>
      </c>
      <c r="K227">
        <v>1E-14</v>
      </c>
      <c r="L227">
        <v>1E-14</v>
      </c>
      <c r="M227">
        <v>1E-14</v>
      </c>
      <c r="N227">
        <v>1E-14</v>
      </c>
      <c r="O227">
        <v>1E-14</v>
      </c>
    </row>
    <row r="228" spans="2:15" x14ac:dyDescent="0.25">
      <c r="B228" s="6" t="s">
        <v>13</v>
      </c>
      <c r="C228" s="6" t="s">
        <v>185</v>
      </c>
      <c r="D228">
        <v>1E-14</v>
      </c>
      <c r="E228">
        <v>1E-14</v>
      </c>
      <c r="F228">
        <v>1E-14</v>
      </c>
      <c r="G228">
        <v>1E-14</v>
      </c>
      <c r="H228">
        <v>1E-14</v>
      </c>
      <c r="I228">
        <v>1E-14</v>
      </c>
      <c r="J228">
        <v>1E-14</v>
      </c>
      <c r="K228">
        <v>1E-14</v>
      </c>
      <c r="L228">
        <v>1E-14</v>
      </c>
      <c r="M228">
        <v>1E-14</v>
      </c>
      <c r="N228">
        <v>1E-14</v>
      </c>
      <c r="O228">
        <v>1E-14</v>
      </c>
    </row>
    <row r="229" spans="2:15" x14ac:dyDescent="0.25">
      <c r="B229" s="6" t="s">
        <v>13</v>
      </c>
      <c r="C229" s="6" t="s">
        <v>186</v>
      </c>
      <c r="D229">
        <v>-1</v>
      </c>
      <c r="E229">
        <v>-1</v>
      </c>
      <c r="F229">
        <v>-1</v>
      </c>
      <c r="G229">
        <v>-1</v>
      </c>
      <c r="H229">
        <v>-1</v>
      </c>
      <c r="I229">
        <v>-1</v>
      </c>
      <c r="J229">
        <v>-1</v>
      </c>
      <c r="K229">
        <v>-1</v>
      </c>
      <c r="L229">
        <v>-1</v>
      </c>
      <c r="M229">
        <v>-1</v>
      </c>
      <c r="N229">
        <v>-1</v>
      </c>
      <c r="O229">
        <v>-1</v>
      </c>
    </row>
    <row r="230" spans="2:15" x14ac:dyDescent="0.25">
      <c r="B230" s="6" t="s">
        <v>13</v>
      </c>
      <c r="C230" s="6" t="s">
        <v>187</v>
      </c>
      <c r="D230">
        <v>-1</v>
      </c>
      <c r="E230">
        <v>-1</v>
      </c>
      <c r="F230">
        <v>-1</v>
      </c>
      <c r="G230">
        <v>-1</v>
      </c>
      <c r="H230">
        <v>-1</v>
      </c>
      <c r="I230">
        <v>-1</v>
      </c>
      <c r="J230">
        <v>-1</v>
      </c>
      <c r="K230">
        <v>-1</v>
      </c>
      <c r="L230">
        <v>-1</v>
      </c>
      <c r="M230">
        <v>-1</v>
      </c>
      <c r="N230">
        <v>-1</v>
      </c>
      <c r="O230">
        <v>-1</v>
      </c>
    </row>
    <row r="231" spans="2:15" x14ac:dyDescent="0.25">
      <c r="B231" s="6" t="s">
        <v>13</v>
      </c>
      <c r="C231" s="6" t="s">
        <v>188</v>
      </c>
      <c r="D231">
        <v>525</v>
      </c>
      <c r="E231">
        <v>525</v>
      </c>
      <c r="F231">
        <v>525</v>
      </c>
      <c r="G231">
        <v>525</v>
      </c>
      <c r="H231">
        <v>525</v>
      </c>
      <c r="I231">
        <v>525</v>
      </c>
      <c r="J231">
        <v>525</v>
      </c>
      <c r="K231">
        <v>525</v>
      </c>
      <c r="L231">
        <v>525</v>
      </c>
      <c r="M231">
        <v>525</v>
      </c>
      <c r="N231">
        <v>525</v>
      </c>
      <c r="O231">
        <v>525</v>
      </c>
    </row>
    <row r="232" spans="2:15" x14ac:dyDescent="0.25">
      <c r="B232" s="6" t="s">
        <v>13</v>
      </c>
      <c r="C232" s="6" t="s">
        <v>217</v>
      </c>
      <c r="D232">
        <v>11</v>
      </c>
      <c r="E232">
        <v>11</v>
      </c>
      <c r="F232">
        <v>11</v>
      </c>
      <c r="G232">
        <v>11</v>
      </c>
      <c r="H232">
        <v>11</v>
      </c>
      <c r="I232">
        <v>11</v>
      </c>
      <c r="J232">
        <v>11</v>
      </c>
      <c r="K232">
        <v>11</v>
      </c>
      <c r="L232">
        <v>11</v>
      </c>
      <c r="M232">
        <v>11</v>
      </c>
      <c r="N232">
        <v>11</v>
      </c>
      <c r="O232">
        <v>11</v>
      </c>
    </row>
    <row r="233" spans="2:15" x14ac:dyDescent="0.25">
      <c r="B233" s="6" t="s">
        <v>13</v>
      </c>
      <c r="C233" s="6" t="s">
        <v>189</v>
      </c>
      <c r="D233">
        <v>1.1000000000000001</v>
      </c>
      <c r="E233">
        <v>1.1000000000000001</v>
      </c>
      <c r="F233">
        <v>1.1000000000000001</v>
      </c>
      <c r="G233">
        <v>1.1000000000000001</v>
      </c>
      <c r="H233">
        <v>1.1000000000000001</v>
      </c>
      <c r="I233">
        <v>1.1000000000000001</v>
      </c>
      <c r="J233">
        <v>1.1000000000000001</v>
      </c>
      <c r="K233">
        <v>1.1000000000000001</v>
      </c>
      <c r="L233">
        <v>1.1000000000000001</v>
      </c>
      <c r="M233">
        <v>1.1000000000000001</v>
      </c>
      <c r="N233">
        <v>1.1000000000000001</v>
      </c>
      <c r="O233">
        <v>1.1000000000000001</v>
      </c>
    </row>
    <row r="234" spans="2:15" x14ac:dyDescent="0.25">
      <c r="B234" s="6" t="s">
        <v>13</v>
      </c>
      <c r="C234" s="6" t="s">
        <v>190</v>
      </c>
      <c r="D234">
        <v>37</v>
      </c>
      <c r="E234">
        <v>37</v>
      </c>
      <c r="F234">
        <v>37</v>
      </c>
      <c r="G234">
        <v>37</v>
      </c>
      <c r="H234">
        <v>37</v>
      </c>
      <c r="I234">
        <v>37</v>
      </c>
      <c r="J234">
        <v>37</v>
      </c>
      <c r="K234">
        <v>37</v>
      </c>
      <c r="L234">
        <v>37</v>
      </c>
      <c r="M234">
        <v>37</v>
      </c>
      <c r="N234">
        <v>37</v>
      </c>
      <c r="O234">
        <v>37</v>
      </c>
    </row>
    <row r="235" spans="2:15" x14ac:dyDescent="0.25">
      <c r="B235" s="6" t="s">
        <v>14</v>
      </c>
      <c r="C235" s="6" t="s">
        <v>99</v>
      </c>
      <c r="D235">
        <v>1</v>
      </c>
      <c r="E235">
        <v>1</v>
      </c>
      <c r="F235">
        <v>1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1</v>
      </c>
      <c r="M235">
        <v>1</v>
      </c>
      <c r="N235">
        <v>1</v>
      </c>
      <c r="O235">
        <v>1</v>
      </c>
    </row>
    <row r="236" spans="2:15" x14ac:dyDescent="0.25">
      <c r="B236" s="6" t="s">
        <v>14</v>
      </c>
      <c r="C236" s="6" t="s">
        <v>178</v>
      </c>
      <c r="D236">
        <v>1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</row>
    <row r="237" spans="2:15" x14ac:dyDescent="0.25">
      <c r="B237" s="6" t="s">
        <v>14</v>
      </c>
      <c r="C237" s="6" t="s">
        <v>179</v>
      </c>
      <c r="D237">
        <v>1E-14</v>
      </c>
      <c r="E237">
        <v>1E-14</v>
      </c>
      <c r="F237">
        <v>1E-14</v>
      </c>
      <c r="G237">
        <v>1E-14</v>
      </c>
      <c r="H237">
        <v>1E-14</v>
      </c>
      <c r="I237">
        <v>1E-14</v>
      </c>
      <c r="J237">
        <v>1E-14</v>
      </c>
      <c r="K237">
        <v>1E-14</v>
      </c>
      <c r="L237">
        <v>1E-14</v>
      </c>
      <c r="M237">
        <v>1E-14</v>
      </c>
      <c r="N237">
        <v>1E-14</v>
      </c>
      <c r="O237">
        <v>1E-14</v>
      </c>
    </row>
    <row r="238" spans="2:15" x14ac:dyDescent="0.25">
      <c r="B238" s="6" t="s">
        <v>14</v>
      </c>
      <c r="C238" s="6" t="s">
        <v>180</v>
      </c>
      <c r="D238">
        <v>1E-14</v>
      </c>
      <c r="E238">
        <v>1E-14</v>
      </c>
      <c r="F238">
        <v>1E-14</v>
      </c>
      <c r="G238">
        <v>1E-14</v>
      </c>
      <c r="H238">
        <v>1E-14</v>
      </c>
      <c r="I238">
        <v>1E-14</v>
      </c>
      <c r="J238">
        <v>1E-14</v>
      </c>
      <c r="K238">
        <v>1E-14</v>
      </c>
      <c r="L238">
        <v>1E-14</v>
      </c>
      <c r="M238">
        <v>1E-14</v>
      </c>
      <c r="N238">
        <v>1E-14</v>
      </c>
      <c r="O238">
        <v>1E-14</v>
      </c>
    </row>
    <row r="239" spans="2:15" x14ac:dyDescent="0.25">
      <c r="B239" s="6" t="s">
        <v>14</v>
      </c>
      <c r="C239" s="6" t="s">
        <v>202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1</v>
      </c>
      <c r="M239">
        <v>1</v>
      </c>
      <c r="N239">
        <v>1</v>
      </c>
      <c r="O239">
        <v>1</v>
      </c>
    </row>
    <row r="240" spans="2:15" x14ac:dyDescent="0.25">
      <c r="B240" s="6" t="s">
        <v>14</v>
      </c>
      <c r="C240" s="6" t="s">
        <v>181</v>
      </c>
      <c r="D240">
        <v>1</v>
      </c>
      <c r="E240">
        <v>1</v>
      </c>
      <c r="F240">
        <v>1</v>
      </c>
      <c r="G240">
        <v>1</v>
      </c>
      <c r="H240">
        <v>1</v>
      </c>
      <c r="I240">
        <v>1</v>
      </c>
      <c r="J240">
        <v>1</v>
      </c>
      <c r="K240">
        <v>1</v>
      </c>
      <c r="L240">
        <v>1</v>
      </c>
      <c r="M240">
        <v>1</v>
      </c>
      <c r="N240">
        <v>1</v>
      </c>
      <c r="O240">
        <v>1</v>
      </c>
    </row>
    <row r="241" spans="2:15" x14ac:dyDescent="0.25">
      <c r="B241" s="6" t="s">
        <v>14</v>
      </c>
      <c r="C241" s="6" t="s">
        <v>182</v>
      </c>
      <c r="D241">
        <v>1</v>
      </c>
      <c r="E241">
        <v>1</v>
      </c>
      <c r="F241">
        <v>1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</v>
      </c>
      <c r="M241">
        <v>1</v>
      </c>
      <c r="N241">
        <v>1</v>
      </c>
      <c r="O241">
        <v>1</v>
      </c>
    </row>
    <row r="242" spans="2:15" x14ac:dyDescent="0.25">
      <c r="B242" s="6" t="s">
        <v>14</v>
      </c>
      <c r="C242" s="6" t="s">
        <v>183</v>
      </c>
      <c r="D242">
        <v>1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1</v>
      </c>
      <c r="O242">
        <v>1</v>
      </c>
    </row>
    <row r="243" spans="2:15" x14ac:dyDescent="0.25">
      <c r="B243" s="6" t="s">
        <v>14</v>
      </c>
      <c r="C243" s="6" t="s">
        <v>184</v>
      </c>
      <c r="D243">
        <v>30000</v>
      </c>
      <c r="E243">
        <v>30000</v>
      </c>
      <c r="F243">
        <v>30000</v>
      </c>
      <c r="G243">
        <v>30000</v>
      </c>
      <c r="H243">
        <v>30000</v>
      </c>
      <c r="I243">
        <v>30000</v>
      </c>
      <c r="J243">
        <v>30000</v>
      </c>
      <c r="K243">
        <v>30000</v>
      </c>
      <c r="L243">
        <v>30000</v>
      </c>
      <c r="M243">
        <v>30000</v>
      </c>
      <c r="N243">
        <v>30000</v>
      </c>
      <c r="O243">
        <v>30000</v>
      </c>
    </row>
    <row r="244" spans="2:15" x14ac:dyDescent="0.25">
      <c r="B244" s="6" t="s">
        <v>14</v>
      </c>
      <c r="C244" s="6" t="s">
        <v>185</v>
      </c>
      <c r="D244">
        <v>40000</v>
      </c>
      <c r="E244">
        <v>40000</v>
      </c>
      <c r="F244">
        <v>40000</v>
      </c>
      <c r="G244">
        <v>40000</v>
      </c>
      <c r="H244">
        <v>40000</v>
      </c>
      <c r="I244">
        <v>40000</v>
      </c>
      <c r="J244">
        <v>40000</v>
      </c>
      <c r="K244">
        <v>40000</v>
      </c>
      <c r="L244">
        <v>40000</v>
      </c>
      <c r="M244">
        <v>40000</v>
      </c>
      <c r="N244">
        <v>40000</v>
      </c>
      <c r="O244">
        <v>40000</v>
      </c>
    </row>
    <row r="245" spans="2:15" x14ac:dyDescent="0.25">
      <c r="B245" s="6" t="s">
        <v>14</v>
      </c>
      <c r="C245" s="6" t="s">
        <v>186</v>
      </c>
      <c r="D245">
        <v>-1</v>
      </c>
      <c r="E245">
        <v>-1</v>
      </c>
      <c r="F245">
        <v>-1</v>
      </c>
      <c r="G245">
        <v>-1</v>
      </c>
      <c r="H245">
        <v>-1</v>
      </c>
      <c r="I245">
        <v>-1</v>
      </c>
      <c r="J245">
        <v>-1</v>
      </c>
      <c r="K245">
        <v>-1</v>
      </c>
      <c r="L245">
        <v>-1</v>
      </c>
      <c r="M245">
        <v>-1</v>
      </c>
      <c r="N245">
        <v>-1</v>
      </c>
      <c r="O245">
        <v>-1</v>
      </c>
    </row>
    <row r="246" spans="2:15" x14ac:dyDescent="0.25">
      <c r="B246" s="6" t="s">
        <v>14</v>
      </c>
      <c r="C246" s="6" t="s">
        <v>187</v>
      </c>
      <c r="D246">
        <v>-1</v>
      </c>
      <c r="E246">
        <v>-1</v>
      </c>
      <c r="F246">
        <v>-1</v>
      </c>
      <c r="G246">
        <v>-1</v>
      </c>
      <c r="H246">
        <v>-1</v>
      </c>
      <c r="I246">
        <v>-1</v>
      </c>
      <c r="J246">
        <v>-1</v>
      </c>
      <c r="K246">
        <v>-1</v>
      </c>
      <c r="L246">
        <v>-1</v>
      </c>
      <c r="M246">
        <v>-1</v>
      </c>
      <c r="N246">
        <v>-1</v>
      </c>
      <c r="O246">
        <v>-1</v>
      </c>
    </row>
    <row r="247" spans="2:15" x14ac:dyDescent="0.25">
      <c r="B247" s="6" t="s">
        <v>14</v>
      </c>
      <c r="C247" s="6" t="s">
        <v>188</v>
      </c>
      <c r="D247">
        <v>400</v>
      </c>
      <c r="E247">
        <v>400</v>
      </c>
      <c r="F247">
        <v>400</v>
      </c>
      <c r="G247">
        <v>400</v>
      </c>
      <c r="H247">
        <v>400</v>
      </c>
      <c r="I247">
        <v>400</v>
      </c>
      <c r="J247">
        <v>400</v>
      </c>
      <c r="K247">
        <v>400</v>
      </c>
      <c r="L247">
        <v>400</v>
      </c>
      <c r="M247">
        <v>400</v>
      </c>
      <c r="N247">
        <v>400</v>
      </c>
      <c r="O247">
        <v>400</v>
      </c>
    </row>
    <row r="248" spans="2:15" x14ac:dyDescent="0.25">
      <c r="B248" s="6" t="s">
        <v>14</v>
      </c>
      <c r="C248" s="6" t="s">
        <v>217</v>
      </c>
      <c r="D248">
        <v>10.5</v>
      </c>
      <c r="E248">
        <v>10.5</v>
      </c>
      <c r="F248">
        <v>10.5</v>
      </c>
      <c r="G248">
        <v>10.5</v>
      </c>
      <c r="H248">
        <v>10.5</v>
      </c>
      <c r="I248">
        <v>10.5</v>
      </c>
      <c r="J248">
        <v>10.5</v>
      </c>
      <c r="K248">
        <v>10.5</v>
      </c>
      <c r="L248">
        <v>10.5</v>
      </c>
      <c r="M248">
        <v>10.5</v>
      </c>
      <c r="N248">
        <v>10.5</v>
      </c>
      <c r="O248">
        <v>10.5</v>
      </c>
    </row>
    <row r="249" spans="2:15" x14ac:dyDescent="0.25">
      <c r="B249" s="6" t="s">
        <v>14</v>
      </c>
      <c r="C249" s="6" t="s">
        <v>189</v>
      </c>
      <c r="D249">
        <v>1.1000000000000001</v>
      </c>
      <c r="E249">
        <v>1.1000000000000001</v>
      </c>
      <c r="F249">
        <v>1.1000000000000001</v>
      </c>
      <c r="G249">
        <v>1.1000000000000001</v>
      </c>
      <c r="H249">
        <v>1.1000000000000001</v>
      </c>
      <c r="I249">
        <v>1.1000000000000001</v>
      </c>
      <c r="J249">
        <v>1.1000000000000001</v>
      </c>
      <c r="K249">
        <v>1.1000000000000001</v>
      </c>
      <c r="L249">
        <v>1.1000000000000001</v>
      </c>
      <c r="M249">
        <v>1.1000000000000001</v>
      </c>
      <c r="N249">
        <v>1.1000000000000001</v>
      </c>
      <c r="O249">
        <v>1.1000000000000001</v>
      </c>
    </row>
    <row r="250" spans="2:15" x14ac:dyDescent="0.25">
      <c r="B250" s="6" t="s">
        <v>14</v>
      </c>
      <c r="C250" s="6" t="s">
        <v>190</v>
      </c>
      <c r="D250">
        <v>37</v>
      </c>
      <c r="E250">
        <v>37</v>
      </c>
      <c r="F250">
        <v>37</v>
      </c>
      <c r="G250">
        <v>37</v>
      </c>
      <c r="H250">
        <v>37</v>
      </c>
      <c r="I250">
        <v>37</v>
      </c>
      <c r="J250">
        <v>37</v>
      </c>
      <c r="K250">
        <v>37</v>
      </c>
      <c r="L250">
        <v>37</v>
      </c>
      <c r="M250">
        <v>37</v>
      </c>
      <c r="N250">
        <v>37</v>
      </c>
      <c r="O250">
        <v>37</v>
      </c>
    </row>
    <row r="251" spans="2:15" x14ac:dyDescent="0.25">
      <c r="B251" s="6" t="s">
        <v>15</v>
      </c>
      <c r="C251" s="6" t="s">
        <v>99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</row>
    <row r="252" spans="2:15" x14ac:dyDescent="0.25">
      <c r="B252" s="6" t="s">
        <v>15</v>
      </c>
      <c r="C252" s="6" t="s">
        <v>178</v>
      </c>
      <c r="D252">
        <v>1</v>
      </c>
      <c r="E252">
        <v>1</v>
      </c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1</v>
      </c>
      <c r="M252">
        <v>1</v>
      </c>
      <c r="N252">
        <v>1</v>
      </c>
      <c r="O252">
        <v>1</v>
      </c>
    </row>
    <row r="253" spans="2:15" x14ac:dyDescent="0.25">
      <c r="B253" s="6" t="s">
        <v>15</v>
      </c>
      <c r="C253" s="6" t="s">
        <v>179</v>
      </c>
      <c r="D253">
        <v>1E-14</v>
      </c>
      <c r="E253">
        <v>1E-14</v>
      </c>
      <c r="F253">
        <v>1E-14</v>
      </c>
      <c r="G253">
        <v>1E-14</v>
      </c>
      <c r="H253">
        <v>1E-14</v>
      </c>
      <c r="I253">
        <v>1E-14</v>
      </c>
      <c r="J253">
        <v>1E-14</v>
      </c>
      <c r="K253">
        <v>1E-14</v>
      </c>
      <c r="L253">
        <v>1E-14</v>
      </c>
      <c r="M253">
        <v>1E-14</v>
      </c>
      <c r="N253">
        <v>1E-14</v>
      </c>
      <c r="O253">
        <v>1E-14</v>
      </c>
    </row>
    <row r="254" spans="2:15" x14ac:dyDescent="0.25">
      <c r="B254" s="6" t="s">
        <v>15</v>
      </c>
      <c r="C254" s="6" t="s">
        <v>180</v>
      </c>
      <c r="D254">
        <v>1E-14</v>
      </c>
      <c r="E254">
        <v>1E-14</v>
      </c>
      <c r="F254">
        <v>1E-14</v>
      </c>
      <c r="G254">
        <v>1E-14</v>
      </c>
      <c r="H254">
        <v>1E-14</v>
      </c>
      <c r="I254">
        <v>1E-14</v>
      </c>
      <c r="J254">
        <v>1E-14</v>
      </c>
      <c r="K254">
        <v>1E-14</v>
      </c>
      <c r="L254">
        <v>1E-14</v>
      </c>
      <c r="M254">
        <v>1E-14</v>
      </c>
      <c r="N254">
        <v>1E-14</v>
      </c>
      <c r="O254">
        <v>1E-14</v>
      </c>
    </row>
    <row r="255" spans="2:15" x14ac:dyDescent="0.25">
      <c r="B255" s="6" t="s">
        <v>15</v>
      </c>
      <c r="C255" s="6" t="s">
        <v>202</v>
      </c>
      <c r="D255">
        <v>1E-14</v>
      </c>
      <c r="E255">
        <v>1E-14</v>
      </c>
      <c r="F255">
        <v>1E-14</v>
      </c>
      <c r="G255">
        <v>1E-14</v>
      </c>
      <c r="H255">
        <v>1E-14</v>
      </c>
      <c r="I255">
        <v>1E-14</v>
      </c>
      <c r="J255">
        <v>1E-14</v>
      </c>
      <c r="K255">
        <v>1E-14</v>
      </c>
      <c r="L255">
        <v>1E-14</v>
      </c>
      <c r="M255">
        <v>1E-14</v>
      </c>
      <c r="N255">
        <v>1E-14</v>
      </c>
      <c r="O255">
        <v>1E-14</v>
      </c>
    </row>
    <row r="256" spans="2:15" x14ac:dyDescent="0.25">
      <c r="B256" s="6" t="s">
        <v>15</v>
      </c>
      <c r="C256" s="6" t="s">
        <v>181</v>
      </c>
      <c r="D256">
        <v>1</v>
      </c>
      <c r="E256">
        <v>1</v>
      </c>
      <c r="F256">
        <v>1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1</v>
      </c>
      <c r="O256">
        <v>1</v>
      </c>
    </row>
    <row r="257" spans="2:15" x14ac:dyDescent="0.25">
      <c r="B257" s="6" t="s">
        <v>15</v>
      </c>
      <c r="C257" s="6" t="s">
        <v>182</v>
      </c>
      <c r="D257">
        <v>1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1</v>
      </c>
      <c r="O257">
        <v>1</v>
      </c>
    </row>
    <row r="258" spans="2:15" x14ac:dyDescent="0.25">
      <c r="B258" s="6" t="s">
        <v>15</v>
      </c>
      <c r="C258" s="6" t="s">
        <v>183</v>
      </c>
      <c r="D258">
        <v>1</v>
      </c>
      <c r="E258">
        <v>1</v>
      </c>
      <c r="F258">
        <v>1</v>
      </c>
      <c r="G258">
        <v>1</v>
      </c>
      <c r="H258">
        <v>1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</row>
    <row r="259" spans="2:15" x14ac:dyDescent="0.25">
      <c r="B259" s="6" t="s">
        <v>15</v>
      </c>
      <c r="C259" s="6" t="s">
        <v>184</v>
      </c>
      <c r="D259">
        <v>166.66666666666666</v>
      </c>
      <c r="E259">
        <v>166.66666666666666</v>
      </c>
      <c r="F259">
        <v>166.66666666666666</v>
      </c>
      <c r="G259">
        <v>166.66666666666666</v>
      </c>
      <c r="H259">
        <v>166.66666666666666</v>
      </c>
      <c r="I259">
        <v>166.66666666666666</v>
      </c>
      <c r="J259">
        <v>166.66666666666666</v>
      </c>
      <c r="K259">
        <v>166.66666666666666</v>
      </c>
      <c r="L259">
        <v>166.66666666666666</v>
      </c>
      <c r="M259">
        <v>166.66666666666666</v>
      </c>
      <c r="N259">
        <v>166.66666666666666</v>
      </c>
      <c r="O259">
        <v>166.66666666666666</v>
      </c>
    </row>
    <row r="260" spans="2:15" x14ac:dyDescent="0.25">
      <c r="B260" s="6" t="s">
        <v>15</v>
      </c>
      <c r="C260" s="6" t="s">
        <v>185</v>
      </c>
      <c r="D260">
        <v>166.66666666666666</v>
      </c>
      <c r="E260">
        <v>166.66666666666666</v>
      </c>
      <c r="F260">
        <v>166.66666666666666</v>
      </c>
      <c r="G260">
        <v>166.66666666666666</v>
      </c>
      <c r="H260">
        <v>166.66666666666666</v>
      </c>
      <c r="I260">
        <v>166.66666666666666</v>
      </c>
      <c r="J260">
        <v>166.66666666666666</v>
      </c>
      <c r="K260">
        <v>166.66666666666666</v>
      </c>
      <c r="L260">
        <v>166.66666666666666</v>
      </c>
      <c r="M260">
        <v>166.66666666666666</v>
      </c>
      <c r="N260">
        <v>166.66666666666666</v>
      </c>
      <c r="O260">
        <v>166.66666666666666</v>
      </c>
    </row>
    <row r="261" spans="2:15" x14ac:dyDescent="0.25">
      <c r="B261" s="6" t="s">
        <v>15</v>
      </c>
      <c r="C261" s="6" t="s">
        <v>186</v>
      </c>
      <c r="D261">
        <v>-1</v>
      </c>
      <c r="E261">
        <v>-1</v>
      </c>
      <c r="F261">
        <v>-1</v>
      </c>
      <c r="G261">
        <v>-1</v>
      </c>
      <c r="H261">
        <v>-1</v>
      </c>
      <c r="I261">
        <v>-1</v>
      </c>
      <c r="J261">
        <v>-1</v>
      </c>
      <c r="K261">
        <v>-1</v>
      </c>
      <c r="L261">
        <v>-1</v>
      </c>
      <c r="M261">
        <v>-1</v>
      </c>
      <c r="N261">
        <v>-1</v>
      </c>
      <c r="O261">
        <v>-1</v>
      </c>
    </row>
    <row r="262" spans="2:15" x14ac:dyDescent="0.25">
      <c r="B262" s="6" t="s">
        <v>15</v>
      </c>
      <c r="C262" s="6" t="s">
        <v>187</v>
      </c>
      <c r="D262">
        <v>-1</v>
      </c>
      <c r="E262">
        <v>-1</v>
      </c>
      <c r="F262">
        <v>-1</v>
      </c>
      <c r="G262">
        <v>-1</v>
      </c>
      <c r="H262">
        <v>-1</v>
      </c>
      <c r="I262">
        <v>-1</v>
      </c>
      <c r="J262">
        <v>-1</v>
      </c>
      <c r="K262">
        <v>-1</v>
      </c>
      <c r="L262">
        <v>-1</v>
      </c>
      <c r="M262">
        <v>-1</v>
      </c>
      <c r="N262">
        <v>-1</v>
      </c>
      <c r="O262">
        <v>-1</v>
      </c>
    </row>
    <row r="263" spans="2:15" x14ac:dyDescent="0.25">
      <c r="B263" s="6" t="s">
        <v>15</v>
      </c>
      <c r="C263" s="6" t="s">
        <v>188</v>
      </c>
      <c r="D263">
        <v>515</v>
      </c>
      <c r="E263">
        <v>515</v>
      </c>
      <c r="F263">
        <v>515</v>
      </c>
      <c r="G263">
        <v>515</v>
      </c>
      <c r="H263">
        <v>515</v>
      </c>
      <c r="I263">
        <v>515</v>
      </c>
      <c r="J263">
        <v>515</v>
      </c>
      <c r="K263">
        <v>515</v>
      </c>
      <c r="L263">
        <v>515</v>
      </c>
      <c r="M263">
        <v>515</v>
      </c>
      <c r="N263">
        <v>515</v>
      </c>
      <c r="O263">
        <v>515</v>
      </c>
    </row>
    <row r="264" spans="2:15" x14ac:dyDescent="0.25">
      <c r="B264" s="6" t="s">
        <v>15</v>
      </c>
      <c r="C264" s="6" t="s">
        <v>217</v>
      </c>
      <c r="D264">
        <v>10.5</v>
      </c>
      <c r="E264">
        <v>10.5</v>
      </c>
      <c r="F264">
        <v>10.5</v>
      </c>
      <c r="G264">
        <v>10.5</v>
      </c>
      <c r="H264">
        <v>10.5</v>
      </c>
      <c r="I264">
        <v>10.5</v>
      </c>
      <c r="J264">
        <v>10.5</v>
      </c>
      <c r="K264">
        <v>10.5</v>
      </c>
      <c r="L264">
        <v>10.5</v>
      </c>
      <c r="M264">
        <v>10.5</v>
      </c>
      <c r="N264">
        <v>10.5</v>
      </c>
      <c r="O264">
        <v>10.5</v>
      </c>
    </row>
    <row r="265" spans="2:15" x14ac:dyDescent="0.25">
      <c r="B265" s="6" t="s">
        <v>15</v>
      </c>
      <c r="C265" s="6" t="s">
        <v>189</v>
      </c>
      <c r="D265">
        <v>1.1000000000000001</v>
      </c>
      <c r="E265">
        <v>1.1000000000000001</v>
      </c>
      <c r="F265">
        <v>1.1000000000000001</v>
      </c>
      <c r="G265">
        <v>1.1000000000000001</v>
      </c>
      <c r="H265">
        <v>1.1000000000000001</v>
      </c>
      <c r="I265">
        <v>1.1000000000000001</v>
      </c>
      <c r="J265">
        <v>1.1000000000000001</v>
      </c>
      <c r="K265">
        <v>1.1000000000000001</v>
      </c>
      <c r="L265">
        <v>1.1000000000000001</v>
      </c>
      <c r="M265">
        <v>1.1000000000000001</v>
      </c>
      <c r="N265">
        <v>1.1000000000000001</v>
      </c>
      <c r="O265">
        <v>1.1000000000000001</v>
      </c>
    </row>
    <row r="266" spans="2:15" x14ac:dyDescent="0.25">
      <c r="B266" s="6" t="s">
        <v>15</v>
      </c>
      <c r="C266" s="6" t="s">
        <v>190</v>
      </c>
      <c r="D266">
        <v>37</v>
      </c>
      <c r="E266">
        <v>37</v>
      </c>
      <c r="F266">
        <v>37</v>
      </c>
      <c r="G266">
        <v>37</v>
      </c>
      <c r="H266">
        <v>37</v>
      </c>
      <c r="I266">
        <v>37</v>
      </c>
      <c r="J266">
        <v>37</v>
      </c>
      <c r="K266">
        <v>37</v>
      </c>
      <c r="L266">
        <v>37</v>
      </c>
      <c r="M266">
        <v>37</v>
      </c>
      <c r="N266">
        <v>37</v>
      </c>
      <c r="O266">
        <v>37</v>
      </c>
    </row>
    <row r="267" spans="2:15" x14ac:dyDescent="0.25">
      <c r="B267" s="6" t="s">
        <v>16</v>
      </c>
      <c r="C267" s="6" t="s">
        <v>99</v>
      </c>
      <c r="D267">
        <v>1E-14</v>
      </c>
      <c r="E267">
        <v>1E-14</v>
      </c>
      <c r="F267">
        <v>1E-14</v>
      </c>
      <c r="G267">
        <v>1E-14</v>
      </c>
      <c r="H267">
        <v>1E-14</v>
      </c>
      <c r="I267">
        <v>1E-14</v>
      </c>
      <c r="J267">
        <v>1E-14</v>
      </c>
      <c r="K267">
        <v>1E-14</v>
      </c>
      <c r="L267">
        <v>1E-14</v>
      </c>
      <c r="M267">
        <v>1E-14</v>
      </c>
      <c r="N267">
        <v>1E-14</v>
      </c>
      <c r="O267">
        <v>1E-14</v>
      </c>
    </row>
    <row r="268" spans="2:15" x14ac:dyDescent="0.25">
      <c r="B268" s="6" t="s">
        <v>16</v>
      </c>
      <c r="C268" s="6" t="s">
        <v>178</v>
      </c>
      <c r="D268">
        <v>1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</row>
    <row r="269" spans="2:15" x14ac:dyDescent="0.25">
      <c r="B269" s="6" t="s">
        <v>16</v>
      </c>
      <c r="C269" s="6" t="s">
        <v>179</v>
      </c>
      <c r="D269">
        <v>1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>
        <v>1</v>
      </c>
      <c r="O269">
        <v>1</v>
      </c>
    </row>
    <row r="270" spans="2:15" x14ac:dyDescent="0.25">
      <c r="B270" s="6" t="s">
        <v>16</v>
      </c>
      <c r="C270" s="6" t="s">
        <v>180</v>
      </c>
      <c r="D270">
        <v>1E-14</v>
      </c>
      <c r="E270">
        <v>1E-14</v>
      </c>
      <c r="F270">
        <v>1E-14</v>
      </c>
      <c r="G270">
        <v>1E-14</v>
      </c>
      <c r="H270">
        <v>1E-14</v>
      </c>
      <c r="I270">
        <v>1E-14</v>
      </c>
      <c r="J270">
        <v>1E-14</v>
      </c>
      <c r="K270">
        <v>1E-14</v>
      </c>
      <c r="L270">
        <v>1E-14</v>
      </c>
      <c r="M270">
        <v>1E-14</v>
      </c>
      <c r="N270">
        <v>1E-14</v>
      </c>
      <c r="O270">
        <v>1E-14</v>
      </c>
    </row>
    <row r="271" spans="2:15" x14ac:dyDescent="0.25">
      <c r="B271" s="6" t="s">
        <v>16</v>
      </c>
      <c r="C271" s="6" t="s">
        <v>202</v>
      </c>
      <c r="D271">
        <v>1E-14</v>
      </c>
      <c r="E271">
        <v>1E-14</v>
      </c>
      <c r="F271">
        <v>1E-14</v>
      </c>
      <c r="G271">
        <v>1E-14</v>
      </c>
      <c r="H271">
        <v>1E-14</v>
      </c>
      <c r="I271">
        <v>1E-14</v>
      </c>
      <c r="J271">
        <v>1E-14</v>
      </c>
      <c r="K271">
        <v>1E-14</v>
      </c>
      <c r="L271">
        <v>1E-14</v>
      </c>
      <c r="M271">
        <v>1E-14</v>
      </c>
      <c r="N271">
        <v>1E-14</v>
      </c>
      <c r="O271">
        <v>1E-14</v>
      </c>
    </row>
    <row r="272" spans="2:15" x14ac:dyDescent="0.25">
      <c r="B272" s="6" t="s">
        <v>16</v>
      </c>
      <c r="C272" s="6" t="s">
        <v>181</v>
      </c>
      <c r="D272">
        <v>1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</row>
    <row r="273" spans="2:15" x14ac:dyDescent="0.25">
      <c r="B273" s="6" t="s">
        <v>16</v>
      </c>
      <c r="C273" s="6" t="s">
        <v>182</v>
      </c>
      <c r="D273">
        <v>1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</row>
    <row r="274" spans="2:15" x14ac:dyDescent="0.25">
      <c r="B274" s="6" t="s">
        <v>16</v>
      </c>
      <c r="C274" s="6" t="s">
        <v>183</v>
      </c>
      <c r="D274">
        <v>1</v>
      </c>
      <c r="E274">
        <v>1</v>
      </c>
      <c r="F274">
        <v>1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1</v>
      </c>
      <c r="M274">
        <v>1</v>
      </c>
      <c r="N274">
        <v>1</v>
      </c>
      <c r="O274">
        <v>1</v>
      </c>
    </row>
    <row r="275" spans="2:15" x14ac:dyDescent="0.25">
      <c r="B275" s="6" t="s">
        <v>16</v>
      </c>
      <c r="C275" s="6" t="s">
        <v>184</v>
      </c>
      <c r="D275">
        <v>1E-14</v>
      </c>
      <c r="E275">
        <v>1E-14</v>
      </c>
      <c r="F275">
        <v>1E-14</v>
      </c>
      <c r="G275">
        <v>1E-14</v>
      </c>
      <c r="H275">
        <v>1E-14</v>
      </c>
      <c r="I275">
        <v>1E-14</v>
      </c>
      <c r="J275">
        <v>1E-14</v>
      </c>
      <c r="K275">
        <v>1E-14</v>
      </c>
      <c r="L275">
        <v>1E-14</v>
      </c>
      <c r="M275">
        <v>1E-14</v>
      </c>
      <c r="N275">
        <v>1E-14</v>
      </c>
      <c r="O275">
        <v>1E-14</v>
      </c>
    </row>
    <row r="276" spans="2:15" x14ac:dyDescent="0.25">
      <c r="B276" s="6" t="s">
        <v>16</v>
      </c>
      <c r="C276" s="6" t="s">
        <v>185</v>
      </c>
      <c r="D276">
        <v>1E-14</v>
      </c>
      <c r="E276">
        <v>1E-14</v>
      </c>
      <c r="F276">
        <v>1E-14</v>
      </c>
      <c r="G276">
        <v>1E-14</v>
      </c>
      <c r="H276">
        <v>1E-14</v>
      </c>
      <c r="I276">
        <v>1E-14</v>
      </c>
      <c r="J276">
        <v>1E-14</v>
      </c>
      <c r="K276">
        <v>1E-14</v>
      </c>
      <c r="L276">
        <v>1E-14</v>
      </c>
      <c r="M276">
        <v>1E-14</v>
      </c>
      <c r="N276">
        <v>1E-14</v>
      </c>
      <c r="O276">
        <v>1E-14</v>
      </c>
    </row>
    <row r="277" spans="2:15" x14ac:dyDescent="0.25">
      <c r="B277" s="6" t="s">
        <v>16</v>
      </c>
      <c r="C277" s="6" t="s">
        <v>186</v>
      </c>
      <c r="D277">
        <v>1E-14</v>
      </c>
      <c r="E277">
        <v>1E-14</v>
      </c>
      <c r="F277">
        <v>1E-14</v>
      </c>
      <c r="G277">
        <v>1E-14</v>
      </c>
      <c r="H277">
        <v>1E-14</v>
      </c>
      <c r="I277">
        <v>1E-14</v>
      </c>
      <c r="J277">
        <v>1E-14</v>
      </c>
      <c r="K277">
        <v>1E-14</v>
      </c>
      <c r="L277">
        <v>1E-14</v>
      </c>
      <c r="M277">
        <v>1E-14</v>
      </c>
      <c r="N277">
        <v>1E-14</v>
      </c>
      <c r="O277">
        <v>1E-14</v>
      </c>
    </row>
    <row r="278" spans="2:15" x14ac:dyDescent="0.25">
      <c r="B278" s="6" t="s">
        <v>16</v>
      </c>
      <c r="C278" s="6" t="s">
        <v>187</v>
      </c>
      <c r="D278">
        <v>1E-14</v>
      </c>
      <c r="E278">
        <v>1E-14</v>
      </c>
      <c r="F278">
        <v>1E-14</v>
      </c>
      <c r="G278">
        <v>1E-14</v>
      </c>
      <c r="H278">
        <v>1E-14</v>
      </c>
      <c r="I278">
        <v>1E-14</v>
      </c>
      <c r="J278">
        <v>1E-14</v>
      </c>
      <c r="K278">
        <v>1E-14</v>
      </c>
      <c r="L278">
        <v>1E-14</v>
      </c>
      <c r="M278">
        <v>1E-14</v>
      </c>
      <c r="N278">
        <v>1E-14</v>
      </c>
      <c r="O278">
        <v>1E-14</v>
      </c>
    </row>
    <row r="279" spans="2:15" x14ac:dyDescent="0.25">
      <c r="B279" s="6" t="s">
        <v>16</v>
      </c>
      <c r="C279" s="6" t="s">
        <v>188</v>
      </c>
      <c r="D279">
        <v>1E-14</v>
      </c>
      <c r="E279">
        <v>1E-14</v>
      </c>
      <c r="F279">
        <v>1E-14</v>
      </c>
      <c r="G279">
        <v>1E-14</v>
      </c>
      <c r="H279">
        <v>1E-14</v>
      </c>
      <c r="I279">
        <v>1E-14</v>
      </c>
      <c r="J279">
        <v>1E-14</v>
      </c>
      <c r="K279">
        <v>1E-14</v>
      </c>
      <c r="L279">
        <v>1E-14</v>
      </c>
      <c r="M279">
        <v>1E-14</v>
      </c>
      <c r="N279">
        <v>1E-14</v>
      </c>
      <c r="O279">
        <v>1E-14</v>
      </c>
    </row>
    <row r="280" spans="2:15" x14ac:dyDescent="0.25">
      <c r="B280" s="6" t="s">
        <v>16</v>
      </c>
      <c r="C280" s="6" t="s">
        <v>217</v>
      </c>
      <c r="D280">
        <v>13</v>
      </c>
      <c r="E280">
        <v>13</v>
      </c>
      <c r="F280">
        <v>13</v>
      </c>
      <c r="G280">
        <v>13</v>
      </c>
      <c r="H280">
        <v>13</v>
      </c>
      <c r="I280">
        <v>13</v>
      </c>
      <c r="J280">
        <v>13</v>
      </c>
      <c r="K280">
        <v>13</v>
      </c>
      <c r="L280">
        <v>13</v>
      </c>
      <c r="M280">
        <v>13</v>
      </c>
      <c r="N280">
        <v>13</v>
      </c>
      <c r="O280">
        <v>13</v>
      </c>
    </row>
    <row r="281" spans="2:15" x14ac:dyDescent="0.25">
      <c r="B281" s="6" t="s">
        <v>16</v>
      </c>
      <c r="C281" s="6" t="s">
        <v>189</v>
      </c>
      <c r="D281">
        <v>1.1000000000000001</v>
      </c>
      <c r="E281">
        <v>1.1000000000000001</v>
      </c>
      <c r="F281">
        <v>1.1000000000000001</v>
      </c>
      <c r="G281">
        <v>1.1000000000000001</v>
      </c>
      <c r="H281">
        <v>1.1000000000000001</v>
      </c>
      <c r="I281">
        <v>1.1000000000000001</v>
      </c>
      <c r="J281">
        <v>1.1000000000000001</v>
      </c>
      <c r="K281">
        <v>1.1000000000000001</v>
      </c>
      <c r="L281">
        <v>1.1000000000000001</v>
      </c>
      <c r="M281">
        <v>1.1000000000000001</v>
      </c>
      <c r="N281">
        <v>1.1000000000000001</v>
      </c>
      <c r="O281">
        <v>1.1000000000000001</v>
      </c>
    </row>
    <row r="282" spans="2:15" x14ac:dyDescent="0.25">
      <c r="B282" s="6" t="s">
        <v>16</v>
      </c>
      <c r="C282" s="6" t="s">
        <v>190</v>
      </c>
      <c r="D282">
        <v>37</v>
      </c>
      <c r="E282">
        <v>37</v>
      </c>
      <c r="F282">
        <v>37</v>
      </c>
      <c r="G282">
        <v>37</v>
      </c>
      <c r="H282">
        <v>37</v>
      </c>
      <c r="I282">
        <v>37</v>
      </c>
      <c r="J282">
        <v>37</v>
      </c>
      <c r="K282">
        <v>37</v>
      </c>
      <c r="L282">
        <v>37</v>
      </c>
      <c r="M282">
        <v>37</v>
      </c>
      <c r="N282">
        <v>37</v>
      </c>
      <c r="O282">
        <v>37</v>
      </c>
    </row>
    <row r="283" spans="2:15" x14ac:dyDescent="0.25">
      <c r="B283" s="6" t="s">
        <v>18</v>
      </c>
      <c r="C283" s="6" t="s">
        <v>99</v>
      </c>
      <c r="D283">
        <v>1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</row>
    <row r="284" spans="2:15" x14ac:dyDescent="0.25">
      <c r="B284" s="6" t="s">
        <v>18</v>
      </c>
      <c r="C284" s="6" t="s">
        <v>178</v>
      </c>
      <c r="D284">
        <v>1</v>
      </c>
      <c r="E284">
        <v>1</v>
      </c>
      <c r="F284">
        <v>1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1</v>
      </c>
      <c r="M284">
        <v>1</v>
      </c>
      <c r="N284">
        <v>1</v>
      </c>
      <c r="O284">
        <v>1</v>
      </c>
    </row>
    <row r="285" spans="2:15" x14ac:dyDescent="0.25">
      <c r="B285" s="6" t="s">
        <v>18</v>
      </c>
      <c r="C285" s="6" t="s">
        <v>179</v>
      </c>
      <c r="D285">
        <v>1</v>
      </c>
      <c r="E285">
        <v>1</v>
      </c>
      <c r="F285">
        <v>1</v>
      </c>
      <c r="G285">
        <v>1</v>
      </c>
      <c r="H285">
        <v>1</v>
      </c>
      <c r="I285">
        <v>1</v>
      </c>
      <c r="J285">
        <v>1</v>
      </c>
      <c r="K285">
        <v>1</v>
      </c>
      <c r="L285">
        <v>1</v>
      </c>
      <c r="M285">
        <v>1</v>
      </c>
      <c r="N285">
        <v>1</v>
      </c>
      <c r="O285">
        <v>1</v>
      </c>
    </row>
    <row r="286" spans="2:15" x14ac:dyDescent="0.25">
      <c r="B286" s="6" t="s">
        <v>18</v>
      </c>
      <c r="C286" s="6" t="s">
        <v>180</v>
      </c>
      <c r="D286">
        <v>1E-14</v>
      </c>
      <c r="E286">
        <v>1E-14</v>
      </c>
      <c r="F286">
        <v>1E-14</v>
      </c>
      <c r="G286">
        <v>1E-14</v>
      </c>
      <c r="H286">
        <v>1E-14</v>
      </c>
      <c r="I286">
        <v>1E-14</v>
      </c>
      <c r="J286">
        <v>1E-14</v>
      </c>
      <c r="K286">
        <v>1E-14</v>
      </c>
      <c r="L286">
        <v>1E-14</v>
      </c>
      <c r="M286">
        <v>1E-14</v>
      </c>
      <c r="N286">
        <v>1E-14</v>
      </c>
      <c r="O286">
        <v>1E-14</v>
      </c>
    </row>
    <row r="287" spans="2:15" x14ac:dyDescent="0.25">
      <c r="B287" s="6" t="s">
        <v>18</v>
      </c>
      <c r="C287" s="6" t="s">
        <v>202</v>
      </c>
      <c r="D287">
        <v>1E-14</v>
      </c>
      <c r="E287">
        <v>1E-14</v>
      </c>
      <c r="F287">
        <v>1E-14</v>
      </c>
      <c r="G287">
        <v>1E-14</v>
      </c>
      <c r="H287">
        <v>1E-14</v>
      </c>
      <c r="I287">
        <v>1E-14</v>
      </c>
      <c r="J287">
        <v>1E-14</v>
      </c>
      <c r="K287">
        <v>1E-14</v>
      </c>
      <c r="L287">
        <v>1E-14</v>
      </c>
      <c r="M287">
        <v>1E-14</v>
      </c>
      <c r="N287">
        <v>1E-14</v>
      </c>
      <c r="O287">
        <v>1E-14</v>
      </c>
    </row>
    <row r="288" spans="2:15" x14ac:dyDescent="0.25">
      <c r="B288" s="6" t="s">
        <v>18</v>
      </c>
      <c r="C288" s="6" t="s">
        <v>181</v>
      </c>
      <c r="D288">
        <v>1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>
        <v>1</v>
      </c>
      <c r="O288">
        <v>1</v>
      </c>
    </row>
    <row r="289" spans="2:15" x14ac:dyDescent="0.25">
      <c r="B289" s="6" t="s">
        <v>18</v>
      </c>
      <c r="C289" s="6" t="s">
        <v>182</v>
      </c>
      <c r="D289">
        <v>1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</row>
    <row r="290" spans="2:15" x14ac:dyDescent="0.25">
      <c r="B290" s="6" t="s">
        <v>18</v>
      </c>
      <c r="C290" s="6" t="s">
        <v>183</v>
      </c>
      <c r="D290">
        <v>1</v>
      </c>
      <c r="E290">
        <v>1</v>
      </c>
      <c r="F290">
        <v>1</v>
      </c>
      <c r="G290">
        <v>1</v>
      </c>
      <c r="H290">
        <v>1</v>
      </c>
      <c r="I290">
        <v>1</v>
      </c>
      <c r="J290">
        <v>1</v>
      </c>
      <c r="K290">
        <v>1</v>
      </c>
      <c r="L290">
        <v>1</v>
      </c>
      <c r="M290">
        <v>1</v>
      </c>
      <c r="N290">
        <v>1</v>
      </c>
      <c r="O290">
        <v>1</v>
      </c>
    </row>
    <row r="291" spans="2:15" x14ac:dyDescent="0.25">
      <c r="B291" s="6" t="s">
        <v>18</v>
      </c>
      <c r="C291" s="6" t="s">
        <v>184</v>
      </c>
      <c r="D291">
        <v>125</v>
      </c>
      <c r="E291">
        <v>125</v>
      </c>
      <c r="F291">
        <v>125</v>
      </c>
      <c r="G291">
        <v>125</v>
      </c>
      <c r="H291">
        <v>125</v>
      </c>
      <c r="I291">
        <v>125</v>
      </c>
      <c r="J291">
        <v>125</v>
      </c>
      <c r="K291">
        <v>125</v>
      </c>
      <c r="L291">
        <v>125</v>
      </c>
      <c r="M291">
        <v>125</v>
      </c>
      <c r="N291">
        <v>125</v>
      </c>
      <c r="O291">
        <v>125</v>
      </c>
    </row>
    <row r="292" spans="2:15" x14ac:dyDescent="0.25">
      <c r="B292" s="6" t="s">
        <v>18</v>
      </c>
      <c r="C292" s="6" t="s">
        <v>185</v>
      </c>
      <c r="D292">
        <v>125</v>
      </c>
      <c r="E292">
        <v>125</v>
      </c>
      <c r="F292">
        <v>125</v>
      </c>
      <c r="G292">
        <v>125</v>
      </c>
      <c r="H292">
        <v>125</v>
      </c>
      <c r="I292">
        <v>125</v>
      </c>
      <c r="J292">
        <v>125</v>
      </c>
      <c r="K292">
        <v>125</v>
      </c>
      <c r="L292">
        <v>125</v>
      </c>
      <c r="M292">
        <v>125</v>
      </c>
      <c r="N292">
        <v>125</v>
      </c>
      <c r="O292">
        <v>125</v>
      </c>
    </row>
    <row r="293" spans="2:15" x14ac:dyDescent="0.25">
      <c r="B293" s="6" t="s">
        <v>18</v>
      </c>
      <c r="C293" s="6" t="s">
        <v>186</v>
      </c>
      <c r="D293">
        <v>1E-14</v>
      </c>
      <c r="E293">
        <v>1E-14</v>
      </c>
      <c r="F293">
        <v>1E-14</v>
      </c>
      <c r="G293">
        <v>1E-14</v>
      </c>
      <c r="H293">
        <v>1E-14</v>
      </c>
      <c r="I293">
        <v>1E-14</v>
      </c>
      <c r="J293">
        <v>1E-14</v>
      </c>
      <c r="K293">
        <v>1E-14</v>
      </c>
      <c r="L293">
        <v>1E-14</v>
      </c>
      <c r="M293">
        <v>1E-14</v>
      </c>
      <c r="N293">
        <v>1E-14</v>
      </c>
      <c r="O293">
        <v>1E-14</v>
      </c>
    </row>
    <row r="294" spans="2:15" x14ac:dyDescent="0.25">
      <c r="B294" s="6" t="s">
        <v>18</v>
      </c>
      <c r="C294" s="6" t="s">
        <v>187</v>
      </c>
      <c r="D294">
        <v>1E-14</v>
      </c>
      <c r="E294">
        <v>1E-14</v>
      </c>
      <c r="F294">
        <v>1E-14</v>
      </c>
      <c r="G294">
        <v>1E-14</v>
      </c>
      <c r="H294">
        <v>1E-14</v>
      </c>
      <c r="I294">
        <v>1E-14</v>
      </c>
      <c r="J294">
        <v>1E-14</v>
      </c>
      <c r="K294">
        <v>1E-14</v>
      </c>
      <c r="L294">
        <v>1E-14</v>
      </c>
      <c r="M294">
        <v>1E-14</v>
      </c>
      <c r="N294">
        <v>1E-14</v>
      </c>
      <c r="O294">
        <v>1E-14</v>
      </c>
    </row>
    <row r="295" spans="2:15" x14ac:dyDescent="0.25">
      <c r="B295" s="6" t="s">
        <v>18</v>
      </c>
      <c r="C295" s="6" t="s">
        <v>188</v>
      </c>
      <c r="D295">
        <v>1E-14</v>
      </c>
      <c r="E295">
        <v>1E-14</v>
      </c>
      <c r="F295">
        <v>1E-14</v>
      </c>
      <c r="G295">
        <v>1E-14</v>
      </c>
      <c r="H295">
        <v>1E-14</v>
      </c>
      <c r="I295">
        <v>1E-14</v>
      </c>
      <c r="J295">
        <v>1E-14</v>
      </c>
      <c r="K295">
        <v>1E-14</v>
      </c>
      <c r="L295">
        <v>1E-14</v>
      </c>
      <c r="M295">
        <v>1E-14</v>
      </c>
      <c r="N295">
        <v>1E-14</v>
      </c>
      <c r="O295">
        <v>1E-14</v>
      </c>
    </row>
    <row r="296" spans="2:15" x14ac:dyDescent="0.25">
      <c r="B296" s="6" t="s">
        <v>18</v>
      </c>
      <c r="C296" s="6" t="s">
        <v>217</v>
      </c>
      <c r="D296">
        <v>14.5</v>
      </c>
      <c r="E296">
        <v>14.5</v>
      </c>
      <c r="F296">
        <v>14.5</v>
      </c>
      <c r="G296">
        <v>14.5</v>
      </c>
      <c r="H296">
        <v>14.5</v>
      </c>
      <c r="I296">
        <v>14.5</v>
      </c>
      <c r="J296">
        <v>14.5</v>
      </c>
      <c r="K296">
        <v>14.5</v>
      </c>
      <c r="L296">
        <v>14.5</v>
      </c>
      <c r="M296">
        <v>14.5</v>
      </c>
      <c r="N296">
        <v>14.5</v>
      </c>
      <c r="O296">
        <v>14.5</v>
      </c>
    </row>
    <row r="297" spans="2:15" x14ac:dyDescent="0.25">
      <c r="B297" s="6" t="s">
        <v>18</v>
      </c>
      <c r="C297" s="6" t="s">
        <v>189</v>
      </c>
      <c r="D297">
        <v>1.1000000000000001</v>
      </c>
      <c r="E297">
        <v>1.1000000000000001</v>
      </c>
      <c r="F297">
        <v>1.1000000000000001</v>
      </c>
      <c r="G297">
        <v>1.1000000000000001</v>
      </c>
      <c r="H297">
        <v>1.1000000000000001</v>
      </c>
      <c r="I297">
        <v>1.1000000000000001</v>
      </c>
      <c r="J297">
        <v>1.1000000000000001</v>
      </c>
      <c r="K297">
        <v>1.1000000000000001</v>
      </c>
      <c r="L297">
        <v>1.1000000000000001</v>
      </c>
      <c r="M297">
        <v>1.1000000000000001</v>
      </c>
      <c r="N297">
        <v>1.1000000000000001</v>
      </c>
      <c r="O297">
        <v>1.1000000000000001</v>
      </c>
    </row>
    <row r="298" spans="2:15" x14ac:dyDescent="0.25">
      <c r="B298" s="6" t="s">
        <v>18</v>
      </c>
      <c r="C298" s="6" t="s">
        <v>190</v>
      </c>
      <c r="D298">
        <v>37</v>
      </c>
      <c r="E298">
        <v>37</v>
      </c>
      <c r="F298">
        <v>37</v>
      </c>
      <c r="G298">
        <v>37</v>
      </c>
      <c r="H298">
        <v>37</v>
      </c>
      <c r="I298">
        <v>37</v>
      </c>
      <c r="J298">
        <v>37</v>
      </c>
      <c r="K298">
        <v>37</v>
      </c>
      <c r="L298">
        <v>37</v>
      </c>
      <c r="M298">
        <v>37</v>
      </c>
      <c r="N298">
        <v>37</v>
      </c>
      <c r="O298">
        <v>37</v>
      </c>
    </row>
    <row r="299" spans="2:15" x14ac:dyDescent="0.25">
      <c r="B299" s="6" t="s">
        <v>19</v>
      </c>
      <c r="C299" s="6" t="s">
        <v>99</v>
      </c>
      <c r="D299">
        <v>1E-14</v>
      </c>
      <c r="E299">
        <v>1E-14</v>
      </c>
      <c r="F299">
        <v>1E-14</v>
      </c>
      <c r="G299">
        <v>1E-14</v>
      </c>
      <c r="H299">
        <v>1E-14</v>
      </c>
      <c r="I299">
        <v>1E-14</v>
      </c>
      <c r="J299">
        <v>1E-14</v>
      </c>
      <c r="K299">
        <v>1E-14</v>
      </c>
      <c r="L299">
        <v>1E-14</v>
      </c>
      <c r="M299">
        <v>1E-14</v>
      </c>
      <c r="N299">
        <v>1E-14</v>
      </c>
      <c r="O299">
        <v>1E-14</v>
      </c>
    </row>
    <row r="300" spans="2:15" x14ac:dyDescent="0.25">
      <c r="B300" s="6" t="s">
        <v>19</v>
      </c>
      <c r="C300" s="6" t="s">
        <v>178</v>
      </c>
      <c r="D300">
        <v>1</v>
      </c>
      <c r="E300">
        <v>1</v>
      </c>
      <c r="F300">
        <v>1</v>
      </c>
      <c r="G300">
        <v>1</v>
      </c>
      <c r="H300">
        <v>1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1</v>
      </c>
      <c r="O300">
        <v>1</v>
      </c>
    </row>
    <row r="301" spans="2:15" x14ac:dyDescent="0.25">
      <c r="B301" s="6" t="s">
        <v>19</v>
      </c>
      <c r="C301" s="6" t="s">
        <v>179</v>
      </c>
      <c r="D301">
        <v>1E-14</v>
      </c>
      <c r="E301">
        <v>1E-14</v>
      </c>
      <c r="F301">
        <v>1E-14</v>
      </c>
      <c r="G301">
        <v>1E-14</v>
      </c>
      <c r="H301">
        <v>1E-14</v>
      </c>
      <c r="I301">
        <v>1E-14</v>
      </c>
      <c r="J301">
        <v>1E-14</v>
      </c>
      <c r="K301">
        <v>1E-14</v>
      </c>
      <c r="L301">
        <v>1E-14</v>
      </c>
      <c r="M301">
        <v>1E-14</v>
      </c>
      <c r="N301">
        <v>1E-14</v>
      </c>
      <c r="O301">
        <v>1E-14</v>
      </c>
    </row>
    <row r="302" spans="2:15" x14ac:dyDescent="0.25">
      <c r="B302" s="6" t="s">
        <v>19</v>
      </c>
      <c r="C302" s="6" t="s">
        <v>180</v>
      </c>
      <c r="D302">
        <v>1E-14</v>
      </c>
      <c r="E302">
        <v>1E-14</v>
      </c>
      <c r="F302">
        <v>1E-14</v>
      </c>
      <c r="G302">
        <v>1E-14</v>
      </c>
      <c r="H302">
        <v>1E-14</v>
      </c>
      <c r="I302">
        <v>1E-14</v>
      </c>
      <c r="J302">
        <v>1E-14</v>
      </c>
      <c r="K302">
        <v>1E-14</v>
      </c>
      <c r="L302">
        <v>1E-14</v>
      </c>
      <c r="M302">
        <v>1E-14</v>
      </c>
      <c r="N302">
        <v>1E-14</v>
      </c>
      <c r="O302">
        <v>1E-14</v>
      </c>
    </row>
    <row r="303" spans="2:15" x14ac:dyDescent="0.25">
      <c r="B303" s="6" t="s">
        <v>19</v>
      </c>
      <c r="C303" s="6" t="s">
        <v>202</v>
      </c>
      <c r="D303">
        <v>1E-14</v>
      </c>
      <c r="E303">
        <v>1E-14</v>
      </c>
      <c r="F303">
        <v>1E-14</v>
      </c>
      <c r="G303">
        <v>1E-14</v>
      </c>
      <c r="H303">
        <v>1E-14</v>
      </c>
      <c r="I303">
        <v>1E-14</v>
      </c>
      <c r="J303">
        <v>1E-14</v>
      </c>
      <c r="K303">
        <v>1E-14</v>
      </c>
      <c r="L303">
        <v>1E-14</v>
      </c>
      <c r="M303">
        <v>1E-14</v>
      </c>
      <c r="N303">
        <v>1E-14</v>
      </c>
      <c r="O303">
        <v>1E-14</v>
      </c>
    </row>
    <row r="304" spans="2:15" x14ac:dyDescent="0.25">
      <c r="B304" s="6" t="s">
        <v>19</v>
      </c>
      <c r="C304" s="6" t="s">
        <v>181</v>
      </c>
      <c r="D304">
        <v>1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</row>
    <row r="305" spans="2:15" x14ac:dyDescent="0.25">
      <c r="B305" s="6" t="s">
        <v>19</v>
      </c>
      <c r="C305" s="6" t="s">
        <v>182</v>
      </c>
      <c r="D305">
        <v>1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</row>
    <row r="306" spans="2:15" x14ac:dyDescent="0.25">
      <c r="B306" s="6" t="s">
        <v>19</v>
      </c>
      <c r="C306" s="6" t="s">
        <v>183</v>
      </c>
      <c r="D306">
        <v>1</v>
      </c>
      <c r="E306">
        <v>1</v>
      </c>
      <c r="F306">
        <v>1</v>
      </c>
      <c r="G306">
        <v>1</v>
      </c>
      <c r="H306">
        <v>1</v>
      </c>
      <c r="I306">
        <v>1</v>
      </c>
      <c r="J306">
        <v>1</v>
      </c>
      <c r="K306">
        <v>1</v>
      </c>
      <c r="L306">
        <v>1</v>
      </c>
      <c r="M306">
        <v>1</v>
      </c>
      <c r="N306">
        <v>1</v>
      </c>
      <c r="O306">
        <v>1</v>
      </c>
    </row>
    <row r="307" spans="2:15" x14ac:dyDescent="0.25">
      <c r="B307" s="6" t="s">
        <v>19</v>
      </c>
      <c r="C307" s="6" t="s">
        <v>184</v>
      </c>
      <c r="D307">
        <v>1E-14</v>
      </c>
      <c r="E307">
        <v>1E-14</v>
      </c>
      <c r="F307">
        <v>1E-14</v>
      </c>
      <c r="G307">
        <v>1E-14</v>
      </c>
      <c r="H307">
        <v>1E-14</v>
      </c>
      <c r="I307">
        <v>1E-14</v>
      </c>
      <c r="J307">
        <v>1E-14</v>
      </c>
      <c r="K307">
        <v>1E-14</v>
      </c>
      <c r="L307">
        <v>1E-14</v>
      </c>
      <c r="M307">
        <v>1E-14</v>
      </c>
      <c r="N307">
        <v>1E-14</v>
      </c>
      <c r="O307">
        <v>1E-14</v>
      </c>
    </row>
    <row r="308" spans="2:15" x14ac:dyDescent="0.25">
      <c r="B308" s="6" t="s">
        <v>19</v>
      </c>
      <c r="C308" s="6" t="s">
        <v>185</v>
      </c>
      <c r="D308">
        <v>1E-14</v>
      </c>
      <c r="E308">
        <v>1E-14</v>
      </c>
      <c r="F308">
        <v>1E-14</v>
      </c>
      <c r="G308">
        <v>1E-14</v>
      </c>
      <c r="H308">
        <v>1E-14</v>
      </c>
      <c r="I308">
        <v>1E-14</v>
      </c>
      <c r="J308">
        <v>1E-14</v>
      </c>
      <c r="K308">
        <v>1E-14</v>
      </c>
      <c r="L308">
        <v>1E-14</v>
      </c>
      <c r="M308">
        <v>1E-14</v>
      </c>
      <c r="N308">
        <v>1E-14</v>
      </c>
      <c r="O308">
        <v>1E-14</v>
      </c>
    </row>
    <row r="309" spans="2:15" x14ac:dyDescent="0.25">
      <c r="B309" s="6" t="s">
        <v>19</v>
      </c>
      <c r="C309" s="6" t="s">
        <v>186</v>
      </c>
      <c r="D309">
        <v>-1</v>
      </c>
      <c r="E309">
        <v>-1</v>
      </c>
      <c r="F309">
        <v>-1</v>
      </c>
      <c r="G309">
        <v>-1</v>
      </c>
      <c r="H309">
        <v>-1</v>
      </c>
      <c r="I309">
        <v>-1</v>
      </c>
      <c r="J309">
        <v>-1</v>
      </c>
      <c r="K309">
        <v>-1</v>
      </c>
      <c r="L309">
        <v>-1</v>
      </c>
      <c r="M309">
        <v>-1</v>
      </c>
      <c r="N309">
        <v>-1</v>
      </c>
      <c r="O309">
        <v>-1</v>
      </c>
    </row>
    <row r="310" spans="2:15" x14ac:dyDescent="0.25">
      <c r="B310" s="6" t="s">
        <v>19</v>
      </c>
      <c r="C310" s="6" t="s">
        <v>187</v>
      </c>
      <c r="D310">
        <v>-1</v>
      </c>
      <c r="E310">
        <v>-1</v>
      </c>
      <c r="F310">
        <v>-1</v>
      </c>
      <c r="G310">
        <v>-1</v>
      </c>
      <c r="H310">
        <v>-1</v>
      </c>
      <c r="I310">
        <v>-1</v>
      </c>
      <c r="J310">
        <v>-1</v>
      </c>
      <c r="K310">
        <v>-1</v>
      </c>
      <c r="L310">
        <v>-1</v>
      </c>
      <c r="M310">
        <v>-1</v>
      </c>
      <c r="N310">
        <v>-1</v>
      </c>
      <c r="O310">
        <v>-1</v>
      </c>
    </row>
    <row r="311" spans="2:15" x14ac:dyDescent="0.25">
      <c r="B311" s="6" t="s">
        <v>19</v>
      </c>
      <c r="C311" s="6" t="s">
        <v>188</v>
      </c>
      <c r="D311">
        <v>1E-14</v>
      </c>
      <c r="E311">
        <v>1E-14</v>
      </c>
      <c r="F311">
        <v>1E-14</v>
      </c>
      <c r="G311">
        <v>1E-14</v>
      </c>
      <c r="H311">
        <v>1E-14</v>
      </c>
      <c r="I311">
        <v>1E-14</v>
      </c>
      <c r="J311">
        <v>1E-14</v>
      </c>
      <c r="K311">
        <v>1E-14</v>
      </c>
      <c r="L311">
        <v>1E-14</v>
      </c>
      <c r="M311">
        <v>1E-14</v>
      </c>
      <c r="N311">
        <v>1E-14</v>
      </c>
      <c r="O311">
        <v>1E-14</v>
      </c>
    </row>
    <row r="312" spans="2:15" x14ac:dyDescent="0.25">
      <c r="B312" s="6" t="s">
        <v>19</v>
      </c>
      <c r="C312" s="6" t="s">
        <v>217</v>
      </c>
      <c r="D312">
        <v>14.7</v>
      </c>
      <c r="E312">
        <v>14.7</v>
      </c>
      <c r="F312">
        <v>14.7</v>
      </c>
      <c r="G312">
        <v>14.7</v>
      </c>
      <c r="H312">
        <v>14.7</v>
      </c>
      <c r="I312">
        <v>14.7</v>
      </c>
      <c r="J312">
        <v>14.7</v>
      </c>
      <c r="K312">
        <v>14.7</v>
      </c>
      <c r="L312">
        <v>14.7</v>
      </c>
      <c r="M312">
        <v>14.7</v>
      </c>
      <c r="N312">
        <v>14.7</v>
      </c>
      <c r="O312">
        <v>14.7</v>
      </c>
    </row>
    <row r="313" spans="2:15" x14ac:dyDescent="0.25">
      <c r="B313" s="6" t="s">
        <v>19</v>
      </c>
      <c r="C313" s="6" t="s">
        <v>189</v>
      </c>
      <c r="D313">
        <v>1.1000000000000001</v>
      </c>
      <c r="E313">
        <v>1.1000000000000001</v>
      </c>
      <c r="F313">
        <v>1.1000000000000001</v>
      </c>
      <c r="G313">
        <v>1.1000000000000001</v>
      </c>
      <c r="H313">
        <v>1.1000000000000001</v>
      </c>
      <c r="I313">
        <v>1.1000000000000001</v>
      </c>
      <c r="J313">
        <v>1.1000000000000001</v>
      </c>
      <c r="K313">
        <v>1.1000000000000001</v>
      </c>
      <c r="L313">
        <v>1.1000000000000001</v>
      </c>
      <c r="M313">
        <v>1.1000000000000001</v>
      </c>
      <c r="N313">
        <v>1.1000000000000001</v>
      </c>
      <c r="O313">
        <v>1.1000000000000001</v>
      </c>
    </row>
    <row r="314" spans="2:15" x14ac:dyDescent="0.25">
      <c r="B314" s="6" t="s">
        <v>19</v>
      </c>
      <c r="C314" s="6" t="s">
        <v>190</v>
      </c>
      <c r="D314">
        <v>37</v>
      </c>
      <c r="E314">
        <v>37</v>
      </c>
      <c r="F314">
        <v>37</v>
      </c>
      <c r="G314">
        <v>37</v>
      </c>
      <c r="H314">
        <v>37</v>
      </c>
      <c r="I314">
        <v>37</v>
      </c>
      <c r="J314">
        <v>37</v>
      </c>
      <c r="K314">
        <v>37</v>
      </c>
      <c r="L314">
        <v>37</v>
      </c>
      <c r="M314">
        <v>37</v>
      </c>
      <c r="N314">
        <v>37</v>
      </c>
      <c r="O314">
        <v>37</v>
      </c>
    </row>
    <row r="315" spans="2:15" x14ac:dyDescent="0.25">
      <c r="B315" s="6" t="s">
        <v>20</v>
      </c>
      <c r="C315" s="6" t="s">
        <v>99</v>
      </c>
      <c r="D315">
        <v>1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</row>
    <row r="316" spans="2:15" x14ac:dyDescent="0.25">
      <c r="B316" s="6" t="s">
        <v>20</v>
      </c>
      <c r="C316" s="6" t="s">
        <v>178</v>
      </c>
      <c r="D316">
        <v>1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</row>
    <row r="317" spans="2:15" x14ac:dyDescent="0.25">
      <c r="B317" s="6" t="s">
        <v>20</v>
      </c>
      <c r="C317" s="6" t="s">
        <v>179</v>
      </c>
      <c r="D317">
        <v>1E-14</v>
      </c>
      <c r="E317">
        <v>1E-14</v>
      </c>
      <c r="F317">
        <v>1E-14</v>
      </c>
      <c r="G317">
        <v>1E-14</v>
      </c>
      <c r="H317">
        <v>1E-14</v>
      </c>
      <c r="I317">
        <v>1E-14</v>
      </c>
      <c r="J317">
        <v>1E-14</v>
      </c>
      <c r="K317">
        <v>1E-14</v>
      </c>
      <c r="L317">
        <v>1E-14</v>
      </c>
      <c r="M317">
        <v>1E-14</v>
      </c>
      <c r="N317">
        <v>1E-14</v>
      </c>
      <c r="O317">
        <v>1E-14</v>
      </c>
    </row>
    <row r="318" spans="2:15" x14ac:dyDescent="0.25">
      <c r="B318" s="6" t="s">
        <v>20</v>
      </c>
      <c r="C318" s="6" t="s">
        <v>180</v>
      </c>
      <c r="D318">
        <v>1E-14</v>
      </c>
      <c r="E318">
        <v>1E-14</v>
      </c>
      <c r="F318">
        <v>1E-14</v>
      </c>
      <c r="G318">
        <v>1E-14</v>
      </c>
      <c r="H318">
        <v>1E-14</v>
      </c>
      <c r="I318">
        <v>1E-14</v>
      </c>
      <c r="J318">
        <v>1E-14</v>
      </c>
      <c r="K318">
        <v>1E-14</v>
      </c>
      <c r="L318">
        <v>1E-14</v>
      </c>
      <c r="M318">
        <v>1E-14</v>
      </c>
      <c r="N318">
        <v>1E-14</v>
      </c>
      <c r="O318">
        <v>1E-14</v>
      </c>
    </row>
    <row r="319" spans="2:15" x14ac:dyDescent="0.25">
      <c r="B319" s="6" t="s">
        <v>20</v>
      </c>
      <c r="C319" s="6" t="s">
        <v>202</v>
      </c>
      <c r="D319">
        <v>1E-14</v>
      </c>
      <c r="E319">
        <v>1E-14</v>
      </c>
      <c r="F319">
        <v>1E-14</v>
      </c>
      <c r="G319">
        <v>1E-14</v>
      </c>
      <c r="H319">
        <v>1E-14</v>
      </c>
      <c r="I319">
        <v>1E-14</v>
      </c>
      <c r="J319">
        <v>1E-14</v>
      </c>
      <c r="K319">
        <v>1E-14</v>
      </c>
      <c r="L319">
        <v>1E-14</v>
      </c>
      <c r="M319">
        <v>1E-14</v>
      </c>
      <c r="N319">
        <v>1E-14</v>
      </c>
      <c r="O319">
        <v>1E-14</v>
      </c>
    </row>
    <row r="320" spans="2:15" x14ac:dyDescent="0.25">
      <c r="B320" s="6" t="s">
        <v>20</v>
      </c>
      <c r="C320" s="6" t="s">
        <v>181</v>
      </c>
      <c r="D320">
        <v>1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</row>
    <row r="321" spans="2:15" x14ac:dyDescent="0.25">
      <c r="B321" s="6" t="s">
        <v>20</v>
      </c>
      <c r="C321" s="6" t="s">
        <v>182</v>
      </c>
      <c r="D321">
        <v>1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</row>
    <row r="322" spans="2:15" x14ac:dyDescent="0.25">
      <c r="B322" s="6" t="s">
        <v>20</v>
      </c>
      <c r="C322" s="6" t="s">
        <v>183</v>
      </c>
      <c r="D322">
        <v>1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</row>
    <row r="323" spans="2:15" x14ac:dyDescent="0.25">
      <c r="B323" s="6" t="s">
        <v>20</v>
      </c>
      <c r="C323" s="6" t="s">
        <v>184</v>
      </c>
      <c r="D323">
        <v>10</v>
      </c>
      <c r="E323">
        <v>10</v>
      </c>
      <c r="F323">
        <v>10</v>
      </c>
      <c r="G323">
        <v>10</v>
      </c>
      <c r="H323">
        <v>10</v>
      </c>
      <c r="I323">
        <v>10</v>
      </c>
      <c r="J323">
        <v>10</v>
      </c>
      <c r="K323">
        <v>10</v>
      </c>
      <c r="L323">
        <v>10</v>
      </c>
      <c r="M323">
        <v>10</v>
      </c>
      <c r="N323">
        <v>10</v>
      </c>
      <c r="O323">
        <v>10</v>
      </c>
    </row>
    <row r="324" spans="2:15" x14ac:dyDescent="0.25">
      <c r="B324" s="6" t="s">
        <v>20</v>
      </c>
      <c r="C324" s="6" t="s">
        <v>185</v>
      </c>
      <c r="D324">
        <v>10</v>
      </c>
      <c r="E324">
        <v>10</v>
      </c>
      <c r="F324">
        <v>10</v>
      </c>
      <c r="G324">
        <v>10</v>
      </c>
      <c r="H324">
        <v>10</v>
      </c>
      <c r="I324">
        <v>10</v>
      </c>
      <c r="J324">
        <v>10</v>
      </c>
      <c r="K324">
        <v>10</v>
      </c>
      <c r="L324">
        <v>10</v>
      </c>
      <c r="M324">
        <v>10</v>
      </c>
      <c r="N324">
        <v>10</v>
      </c>
      <c r="O324">
        <v>10</v>
      </c>
    </row>
    <row r="325" spans="2:15" x14ac:dyDescent="0.25">
      <c r="B325" s="6" t="s">
        <v>20</v>
      </c>
      <c r="C325" s="6" t="s">
        <v>186</v>
      </c>
      <c r="D325">
        <v>-1</v>
      </c>
      <c r="E325">
        <v>-1</v>
      </c>
      <c r="F325">
        <v>-1</v>
      </c>
      <c r="G325">
        <v>-1</v>
      </c>
      <c r="H325">
        <v>-1</v>
      </c>
      <c r="I325">
        <v>-1</v>
      </c>
      <c r="J325">
        <v>-1</v>
      </c>
      <c r="K325">
        <v>-1</v>
      </c>
      <c r="L325">
        <v>-1</v>
      </c>
      <c r="M325">
        <v>-1</v>
      </c>
      <c r="N325">
        <v>-1</v>
      </c>
      <c r="O325">
        <v>-1</v>
      </c>
    </row>
    <row r="326" spans="2:15" x14ac:dyDescent="0.25">
      <c r="B326" s="6" t="s">
        <v>20</v>
      </c>
      <c r="C326" s="6" t="s">
        <v>187</v>
      </c>
      <c r="D326">
        <v>-1</v>
      </c>
      <c r="E326">
        <v>-1</v>
      </c>
      <c r="F326">
        <v>-1</v>
      </c>
      <c r="G326">
        <v>-1</v>
      </c>
      <c r="H326">
        <v>-1</v>
      </c>
      <c r="I326">
        <v>-1</v>
      </c>
      <c r="J326">
        <v>-1</v>
      </c>
      <c r="K326">
        <v>-1</v>
      </c>
      <c r="L326">
        <v>-1</v>
      </c>
      <c r="M326">
        <v>-1</v>
      </c>
      <c r="N326">
        <v>-1</v>
      </c>
      <c r="O326">
        <v>-1</v>
      </c>
    </row>
    <row r="327" spans="2:15" x14ac:dyDescent="0.25">
      <c r="B327" s="6" t="s">
        <v>20</v>
      </c>
      <c r="C327" s="6" t="s">
        <v>188</v>
      </c>
      <c r="D327">
        <v>685</v>
      </c>
      <c r="E327">
        <v>685</v>
      </c>
      <c r="F327">
        <v>685</v>
      </c>
      <c r="G327">
        <v>685</v>
      </c>
      <c r="H327">
        <v>685</v>
      </c>
      <c r="I327">
        <v>685</v>
      </c>
      <c r="J327">
        <v>685</v>
      </c>
      <c r="K327">
        <v>685</v>
      </c>
      <c r="L327">
        <v>685</v>
      </c>
      <c r="M327">
        <v>685</v>
      </c>
      <c r="N327">
        <v>685</v>
      </c>
      <c r="O327">
        <v>685</v>
      </c>
    </row>
    <row r="328" spans="2:15" x14ac:dyDescent="0.25">
      <c r="B328" s="6" t="s">
        <v>20</v>
      </c>
      <c r="C328" s="6" t="s">
        <v>217</v>
      </c>
      <c r="D328">
        <v>14</v>
      </c>
      <c r="E328">
        <v>14</v>
      </c>
      <c r="F328">
        <v>14</v>
      </c>
      <c r="G328">
        <v>14</v>
      </c>
      <c r="H328">
        <v>14</v>
      </c>
      <c r="I328">
        <v>14</v>
      </c>
      <c r="J328">
        <v>14</v>
      </c>
      <c r="K328">
        <v>14</v>
      </c>
      <c r="L328">
        <v>14</v>
      </c>
      <c r="M328">
        <v>14</v>
      </c>
      <c r="N328">
        <v>14</v>
      </c>
      <c r="O328">
        <v>14</v>
      </c>
    </row>
    <row r="329" spans="2:15" x14ac:dyDescent="0.25">
      <c r="B329" s="6" t="s">
        <v>20</v>
      </c>
      <c r="C329" s="6" t="s">
        <v>189</v>
      </c>
      <c r="D329">
        <v>1.1000000000000001</v>
      </c>
      <c r="E329">
        <v>1.1000000000000001</v>
      </c>
      <c r="F329">
        <v>1.1000000000000001</v>
      </c>
      <c r="G329">
        <v>1.1000000000000001</v>
      </c>
      <c r="H329">
        <v>1.1000000000000001</v>
      </c>
      <c r="I329">
        <v>1.1000000000000001</v>
      </c>
      <c r="J329">
        <v>1.1000000000000001</v>
      </c>
      <c r="K329">
        <v>1.1000000000000001</v>
      </c>
      <c r="L329">
        <v>1.1000000000000001</v>
      </c>
      <c r="M329">
        <v>1.1000000000000001</v>
      </c>
      <c r="N329">
        <v>1.1000000000000001</v>
      </c>
      <c r="O329">
        <v>1.1000000000000001</v>
      </c>
    </row>
    <row r="330" spans="2:15" x14ac:dyDescent="0.25">
      <c r="B330" s="6" t="s">
        <v>20</v>
      </c>
      <c r="C330" s="6" t="s">
        <v>190</v>
      </c>
      <c r="D330">
        <v>37</v>
      </c>
      <c r="E330">
        <v>37</v>
      </c>
      <c r="F330">
        <v>37</v>
      </c>
      <c r="G330">
        <v>37</v>
      </c>
      <c r="H330">
        <v>37</v>
      </c>
      <c r="I330">
        <v>37</v>
      </c>
      <c r="J330">
        <v>37</v>
      </c>
      <c r="K330">
        <v>37</v>
      </c>
      <c r="L330">
        <v>37</v>
      </c>
      <c r="M330">
        <v>37</v>
      </c>
      <c r="N330">
        <v>37</v>
      </c>
      <c r="O330">
        <v>37</v>
      </c>
    </row>
    <row r="331" spans="2:15" x14ac:dyDescent="0.25">
      <c r="B331" s="6" t="s">
        <v>17</v>
      </c>
      <c r="C331" s="6" t="s">
        <v>99</v>
      </c>
      <c r="D331">
        <v>1</v>
      </c>
      <c r="E331">
        <v>1</v>
      </c>
      <c r="F331">
        <v>1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1</v>
      </c>
      <c r="M331">
        <v>1</v>
      </c>
      <c r="N331">
        <v>1</v>
      </c>
      <c r="O331">
        <v>1</v>
      </c>
    </row>
    <row r="332" spans="2:15" x14ac:dyDescent="0.25">
      <c r="B332" s="6" t="s">
        <v>17</v>
      </c>
      <c r="C332" s="6" t="s">
        <v>178</v>
      </c>
      <c r="D332">
        <v>1</v>
      </c>
      <c r="E332">
        <v>1</v>
      </c>
      <c r="F332">
        <v>1</v>
      </c>
      <c r="G332">
        <v>1</v>
      </c>
      <c r="H332">
        <v>1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</row>
    <row r="333" spans="2:15" x14ac:dyDescent="0.25">
      <c r="B333" s="6" t="s">
        <v>17</v>
      </c>
      <c r="C333" s="6" t="s">
        <v>179</v>
      </c>
      <c r="D333">
        <v>1</v>
      </c>
      <c r="E333">
        <v>1</v>
      </c>
      <c r="F333">
        <v>1</v>
      </c>
      <c r="G333">
        <v>1</v>
      </c>
      <c r="H333">
        <v>1</v>
      </c>
      <c r="I333">
        <v>1</v>
      </c>
      <c r="J333">
        <v>1</v>
      </c>
      <c r="K333">
        <v>1</v>
      </c>
      <c r="L333">
        <v>1</v>
      </c>
      <c r="M333">
        <v>1</v>
      </c>
      <c r="N333">
        <v>1</v>
      </c>
      <c r="O333">
        <v>1</v>
      </c>
    </row>
    <row r="334" spans="2:15" x14ac:dyDescent="0.25">
      <c r="B334" s="6" t="s">
        <v>17</v>
      </c>
      <c r="C334" s="6" t="s">
        <v>180</v>
      </c>
      <c r="D334">
        <v>1E-14</v>
      </c>
      <c r="E334">
        <v>1E-14</v>
      </c>
      <c r="F334">
        <v>1E-14</v>
      </c>
      <c r="G334">
        <v>1E-14</v>
      </c>
      <c r="H334">
        <v>1E-14</v>
      </c>
      <c r="I334">
        <v>1E-14</v>
      </c>
      <c r="J334">
        <v>1E-14</v>
      </c>
      <c r="K334">
        <v>1E-14</v>
      </c>
      <c r="L334">
        <v>1E-14</v>
      </c>
      <c r="M334">
        <v>1E-14</v>
      </c>
      <c r="N334">
        <v>1E-14</v>
      </c>
      <c r="O334">
        <v>1E-14</v>
      </c>
    </row>
    <row r="335" spans="2:15" x14ac:dyDescent="0.25">
      <c r="B335" s="6" t="s">
        <v>17</v>
      </c>
      <c r="C335" s="6" t="s">
        <v>202</v>
      </c>
      <c r="D335">
        <v>1E-14</v>
      </c>
      <c r="E335">
        <v>1E-14</v>
      </c>
      <c r="F335">
        <v>1E-14</v>
      </c>
      <c r="G335">
        <v>1E-14</v>
      </c>
      <c r="H335">
        <v>1E-14</v>
      </c>
      <c r="I335">
        <v>1E-14</v>
      </c>
      <c r="J335">
        <v>1E-14</v>
      </c>
      <c r="K335">
        <v>1E-14</v>
      </c>
      <c r="L335">
        <v>1E-14</v>
      </c>
      <c r="M335">
        <v>1E-14</v>
      </c>
      <c r="N335">
        <v>1E-14</v>
      </c>
      <c r="O335">
        <v>1E-14</v>
      </c>
    </row>
    <row r="336" spans="2:15" x14ac:dyDescent="0.25">
      <c r="B336" s="6" t="s">
        <v>17</v>
      </c>
      <c r="C336" s="6" t="s">
        <v>181</v>
      </c>
      <c r="D336">
        <v>1</v>
      </c>
      <c r="E336">
        <v>1</v>
      </c>
      <c r="F336">
        <v>1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1</v>
      </c>
      <c r="M336">
        <v>1</v>
      </c>
      <c r="N336">
        <v>1</v>
      </c>
      <c r="O336">
        <v>1</v>
      </c>
    </row>
    <row r="337" spans="2:15" x14ac:dyDescent="0.25">
      <c r="B337" s="6" t="s">
        <v>17</v>
      </c>
      <c r="C337" s="6" t="s">
        <v>182</v>
      </c>
      <c r="D337">
        <v>1</v>
      </c>
      <c r="E337">
        <v>1</v>
      </c>
      <c r="F337">
        <v>1</v>
      </c>
      <c r="G337">
        <v>1</v>
      </c>
      <c r="H337">
        <v>1</v>
      </c>
      <c r="I337">
        <v>1</v>
      </c>
      <c r="J337">
        <v>1</v>
      </c>
      <c r="K337">
        <v>1</v>
      </c>
      <c r="L337">
        <v>1</v>
      </c>
      <c r="M337">
        <v>1</v>
      </c>
      <c r="N337">
        <v>1</v>
      </c>
      <c r="O337">
        <v>1</v>
      </c>
    </row>
    <row r="338" spans="2:15" x14ac:dyDescent="0.25">
      <c r="B338" s="6" t="s">
        <v>17</v>
      </c>
      <c r="C338" s="6" t="s">
        <v>183</v>
      </c>
      <c r="D338">
        <v>1</v>
      </c>
      <c r="E338">
        <v>1</v>
      </c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>
        <v>1</v>
      </c>
      <c r="M338">
        <v>1</v>
      </c>
      <c r="N338">
        <v>1</v>
      </c>
      <c r="O338">
        <v>1</v>
      </c>
    </row>
    <row r="339" spans="2:15" x14ac:dyDescent="0.25">
      <c r="B339" s="6" t="s">
        <v>17</v>
      </c>
      <c r="C339" s="6" t="s">
        <v>184</v>
      </c>
      <c r="D339">
        <v>12.5</v>
      </c>
      <c r="E339">
        <v>12.5</v>
      </c>
      <c r="F339">
        <v>12.5</v>
      </c>
      <c r="G339">
        <v>12.5</v>
      </c>
      <c r="H339">
        <v>12.5</v>
      </c>
      <c r="I339">
        <v>12.5</v>
      </c>
      <c r="J339">
        <v>12.5</v>
      </c>
      <c r="K339">
        <v>12.5</v>
      </c>
      <c r="L339">
        <v>12.5</v>
      </c>
      <c r="M339">
        <v>12.5</v>
      </c>
      <c r="N339">
        <v>12.5</v>
      </c>
      <c r="O339">
        <v>12.5</v>
      </c>
    </row>
    <row r="340" spans="2:15" x14ac:dyDescent="0.25">
      <c r="B340" s="6" t="s">
        <v>17</v>
      </c>
      <c r="C340" s="6" t="s">
        <v>185</v>
      </c>
      <c r="D340">
        <v>12.5</v>
      </c>
      <c r="E340">
        <v>12.5</v>
      </c>
      <c r="F340">
        <v>12.5</v>
      </c>
      <c r="G340">
        <v>12.5</v>
      </c>
      <c r="H340">
        <v>12.5</v>
      </c>
      <c r="I340">
        <v>12.5</v>
      </c>
      <c r="J340">
        <v>12.5</v>
      </c>
      <c r="K340">
        <v>12.5</v>
      </c>
      <c r="L340">
        <v>12.5</v>
      </c>
      <c r="M340">
        <v>12.5</v>
      </c>
      <c r="N340">
        <v>12.5</v>
      </c>
      <c r="O340">
        <v>12.5</v>
      </c>
    </row>
    <row r="341" spans="2:15" x14ac:dyDescent="0.25">
      <c r="B341" s="6" t="s">
        <v>17</v>
      </c>
      <c r="C341" s="6" t="s">
        <v>186</v>
      </c>
      <c r="D341">
        <v>1E-14</v>
      </c>
      <c r="E341">
        <v>1E-14</v>
      </c>
      <c r="F341">
        <v>1E-14</v>
      </c>
      <c r="G341">
        <v>1E-14</v>
      </c>
      <c r="H341">
        <v>1E-14</v>
      </c>
      <c r="I341">
        <v>1E-14</v>
      </c>
      <c r="J341">
        <v>1E-14</v>
      </c>
      <c r="K341">
        <v>1E-14</v>
      </c>
      <c r="L341">
        <v>1E-14</v>
      </c>
      <c r="M341">
        <v>1E-14</v>
      </c>
      <c r="N341">
        <v>1E-14</v>
      </c>
      <c r="O341">
        <v>1E-14</v>
      </c>
    </row>
    <row r="342" spans="2:15" x14ac:dyDescent="0.25">
      <c r="B342" s="6" t="s">
        <v>17</v>
      </c>
      <c r="C342" s="6" t="s">
        <v>187</v>
      </c>
      <c r="D342">
        <v>1E-14</v>
      </c>
      <c r="E342">
        <v>1E-14</v>
      </c>
      <c r="F342">
        <v>1E-14</v>
      </c>
      <c r="G342">
        <v>1E-14</v>
      </c>
      <c r="H342">
        <v>1E-14</v>
      </c>
      <c r="I342">
        <v>1E-14</v>
      </c>
      <c r="J342">
        <v>1E-14</v>
      </c>
      <c r="K342">
        <v>1E-14</v>
      </c>
      <c r="L342">
        <v>1E-14</v>
      </c>
      <c r="M342">
        <v>1E-14</v>
      </c>
      <c r="N342">
        <v>1E-14</v>
      </c>
      <c r="O342">
        <v>1E-14</v>
      </c>
    </row>
    <row r="343" spans="2:15" x14ac:dyDescent="0.25">
      <c r="B343" s="6" t="s">
        <v>17</v>
      </c>
      <c r="C343" s="6" t="s">
        <v>188</v>
      </c>
      <c r="D343">
        <v>155</v>
      </c>
      <c r="E343">
        <v>155</v>
      </c>
      <c r="F343">
        <v>155</v>
      </c>
      <c r="G343">
        <v>155</v>
      </c>
      <c r="H343">
        <v>155</v>
      </c>
      <c r="I343">
        <v>155</v>
      </c>
      <c r="J343">
        <v>155</v>
      </c>
      <c r="K343">
        <v>155</v>
      </c>
      <c r="L343">
        <v>155</v>
      </c>
      <c r="M343">
        <v>155</v>
      </c>
      <c r="N343">
        <v>155</v>
      </c>
      <c r="O343">
        <v>155</v>
      </c>
    </row>
    <row r="344" spans="2:15" x14ac:dyDescent="0.25">
      <c r="B344" s="6" t="s">
        <v>17</v>
      </c>
      <c r="C344" s="6" t="s">
        <v>217</v>
      </c>
      <c r="D344">
        <v>9</v>
      </c>
      <c r="E344">
        <v>9</v>
      </c>
      <c r="F344">
        <v>9</v>
      </c>
      <c r="G344">
        <v>9</v>
      </c>
      <c r="H344">
        <v>9</v>
      </c>
      <c r="I344">
        <v>9</v>
      </c>
      <c r="J344">
        <v>9</v>
      </c>
      <c r="K344">
        <v>9</v>
      </c>
      <c r="L344">
        <v>9</v>
      </c>
      <c r="M344">
        <v>9</v>
      </c>
      <c r="N344">
        <v>9</v>
      </c>
      <c r="O344">
        <v>9</v>
      </c>
    </row>
    <row r="345" spans="2:15" x14ac:dyDescent="0.25">
      <c r="B345" s="6" t="s">
        <v>17</v>
      </c>
      <c r="C345" s="6" t="s">
        <v>189</v>
      </c>
      <c r="D345">
        <v>1.1000000000000001</v>
      </c>
      <c r="E345">
        <v>1.1000000000000001</v>
      </c>
      <c r="F345">
        <v>1.1000000000000001</v>
      </c>
      <c r="G345">
        <v>1.1000000000000001</v>
      </c>
      <c r="H345">
        <v>1.1000000000000001</v>
      </c>
      <c r="I345">
        <v>1.1000000000000001</v>
      </c>
      <c r="J345">
        <v>1.1000000000000001</v>
      </c>
      <c r="K345">
        <v>1.1000000000000001</v>
      </c>
      <c r="L345">
        <v>1.1000000000000001</v>
      </c>
      <c r="M345">
        <v>1.1000000000000001</v>
      </c>
      <c r="N345">
        <v>1.1000000000000001</v>
      </c>
      <c r="O345">
        <v>1.1000000000000001</v>
      </c>
    </row>
    <row r="346" spans="2:15" x14ac:dyDescent="0.25">
      <c r="B346" s="6" t="s">
        <v>17</v>
      </c>
      <c r="C346" s="6" t="s">
        <v>190</v>
      </c>
      <c r="D346">
        <v>1E-14</v>
      </c>
      <c r="E346">
        <v>1E-14</v>
      </c>
      <c r="F346">
        <v>1E-14</v>
      </c>
      <c r="G346">
        <v>1E-14</v>
      </c>
      <c r="H346">
        <v>1E-14</v>
      </c>
      <c r="I346">
        <v>1E-14</v>
      </c>
      <c r="J346">
        <v>1E-14</v>
      </c>
      <c r="K346">
        <v>1E-14</v>
      </c>
      <c r="L346">
        <v>1E-14</v>
      </c>
      <c r="M346">
        <v>1E-14</v>
      </c>
      <c r="N346">
        <v>1E-14</v>
      </c>
      <c r="O346">
        <v>1E-14</v>
      </c>
    </row>
    <row r="347" spans="2:15" x14ac:dyDescent="0.25">
      <c r="B347" s="6" t="s">
        <v>26</v>
      </c>
      <c r="C347" s="6" t="s">
        <v>99</v>
      </c>
      <c r="D347">
        <v>1E-14</v>
      </c>
      <c r="E347">
        <v>1E-14</v>
      </c>
      <c r="F347">
        <v>1E-14</v>
      </c>
      <c r="G347">
        <v>1E-14</v>
      </c>
      <c r="H347">
        <v>1E-14</v>
      </c>
      <c r="I347">
        <v>1E-14</v>
      </c>
      <c r="J347">
        <v>1E-14</v>
      </c>
      <c r="K347">
        <v>1E-14</v>
      </c>
      <c r="L347">
        <v>1E-14</v>
      </c>
      <c r="M347">
        <v>1E-14</v>
      </c>
      <c r="N347">
        <v>1E-14</v>
      </c>
      <c r="O347">
        <v>1E-14</v>
      </c>
    </row>
    <row r="348" spans="2:15" x14ac:dyDescent="0.25">
      <c r="B348" s="6" t="s">
        <v>26</v>
      </c>
      <c r="C348" s="6" t="s">
        <v>178</v>
      </c>
      <c r="D348">
        <v>1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</row>
    <row r="349" spans="2:15" x14ac:dyDescent="0.25">
      <c r="B349" s="6" t="s">
        <v>26</v>
      </c>
      <c r="C349" s="6" t="s">
        <v>179</v>
      </c>
      <c r="D349">
        <v>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</row>
    <row r="350" spans="2:15" x14ac:dyDescent="0.25">
      <c r="B350" s="6" t="s">
        <v>26</v>
      </c>
      <c r="C350" s="6" t="s">
        <v>180</v>
      </c>
      <c r="D350">
        <v>1</v>
      </c>
      <c r="E350">
        <v>1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1</v>
      </c>
      <c r="O350">
        <v>1</v>
      </c>
    </row>
    <row r="351" spans="2:15" x14ac:dyDescent="0.25">
      <c r="B351" s="6" t="s">
        <v>26</v>
      </c>
      <c r="C351" s="6" t="s">
        <v>202</v>
      </c>
      <c r="D351">
        <v>1</v>
      </c>
      <c r="E351">
        <v>1</v>
      </c>
      <c r="F351">
        <v>1</v>
      </c>
      <c r="G351">
        <v>1</v>
      </c>
      <c r="H351">
        <v>1</v>
      </c>
      <c r="I351">
        <v>1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1</v>
      </c>
    </row>
    <row r="352" spans="2:15" x14ac:dyDescent="0.25">
      <c r="B352" s="6" t="s">
        <v>26</v>
      </c>
      <c r="C352" s="6" t="s">
        <v>181</v>
      </c>
      <c r="D352">
        <v>1E-14</v>
      </c>
      <c r="E352">
        <v>1E-14</v>
      </c>
      <c r="F352">
        <v>1E-14</v>
      </c>
      <c r="G352">
        <v>1E-14</v>
      </c>
      <c r="H352">
        <v>1E-14</v>
      </c>
      <c r="I352">
        <v>1E-14</v>
      </c>
      <c r="J352">
        <v>1E-14</v>
      </c>
      <c r="K352">
        <v>1E-14</v>
      </c>
      <c r="L352">
        <v>1E-14</v>
      </c>
      <c r="M352">
        <v>1E-14</v>
      </c>
      <c r="N352">
        <v>1E-14</v>
      </c>
      <c r="O352">
        <v>1E-14</v>
      </c>
    </row>
    <row r="353" spans="2:15" x14ac:dyDescent="0.25">
      <c r="B353" s="6" t="s">
        <v>26</v>
      </c>
      <c r="C353" s="6" t="s">
        <v>182</v>
      </c>
      <c r="D353">
        <v>1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</row>
    <row r="354" spans="2:15" x14ac:dyDescent="0.25">
      <c r="B354" s="6" t="s">
        <v>26</v>
      </c>
      <c r="C354" s="6" t="s">
        <v>183</v>
      </c>
      <c r="D354">
        <v>1</v>
      </c>
      <c r="E354">
        <v>1</v>
      </c>
      <c r="F354">
        <v>1</v>
      </c>
      <c r="G354">
        <v>1</v>
      </c>
      <c r="H354">
        <v>1</v>
      </c>
      <c r="I354">
        <v>1</v>
      </c>
      <c r="J354">
        <v>1</v>
      </c>
      <c r="K354">
        <v>1</v>
      </c>
      <c r="L354">
        <v>1</v>
      </c>
      <c r="M354">
        <v>1</v>
      </c>
      <c r="N354">
        <v>1</v>
      </c>
      <c r="O354">
        <v>1</v>
      </c>
    </row>
    <row r="355" spans="2:15" x14ac:dyDescent="0.25">
      <c r="B355" s="6" t="s">
        <v>26</v>
      </c>
      <c r="C355" s="6" t="s">
        <v>184</v>
      </c>
      <c r="D355">
        <v>1E-14</v>
      </c>
      <c r="E355">
        <v>1E-14</v>
      </c>
      <c r="F355">
        <v>1E-14</v>
      </c>
      <c r="G355">
        <v>1E-14</v>
      </c>
      <c r="H355">
        <v>1E-14</v>
      </c>
      <c r="I355">
        <v>1E-14</v>
      </c>
      <c r="J355">
        <v>1E-14</v>
      </c>
      <c r="K355">
        <v>1E-14</v>
      </c>
      <c r="L355">
        <v>1E-14</v>
      </c>
      <c r="M355">
        <v>1E-14</v>
      </c>
      <c r="N355">
        <v>1E-14</v>
      </c>
      <c r="O355">
        <v>1E-14</v>
      </c>
    </row>
    <row r="356" spans="2:15" x14ac:dyDescent="0.25">
      <c r="B356" s="6" t="s">
        <v>26</v>
      </c>
      <c r="C356" s="6" t="s">
        <v>185</v>
      </c>
      <c r="D356">
        <v>10000</v>
      </c>
      <c r="E356">
        <v>10000</v>
      </c>
      <c r="F356">
        <v>10000</v>
      </c>
      <c r="G356">
        <v>10000</v>
      </c>
      <c r="H356">
        <v>10000</v>
      </c>
      <c r="I356">
        <v>10000</v>
      </c>
      <c r="J356">
        <v>10000</v>
      </c>
      <c r="K356">
        <v>10000</v>
      </c>
      <c r="L356">
        <v>10000</v>
      </c>
      <c r="M356">
        <v>10000</v>
      </c>
      <c r="N356">
        <v>10000</v>
      </c>
      <c r="O356">
        <v>10000</v>
      </c>
    </row>
    <row r="357" spans="2:15" x14ac:dyDescent="0.25">
      <c r="B357" s="6" t="s">
        <v>26</v>
      </c>
      <c r="C357" s="6" t="s">
        <v>186</v>
      </c>
      <c r="D357">
        <v>1</v>
      </c>
      <c r="E357">
        <v>1</v>
      </c>
      <c r="F357">
        <v>1</v>
      </c>
      <c r="G357">
        <v>1</v>
      </c>
      <c r="H357">
        <v>1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1</v>
      </c>
      <c r="O357">
        <v>1</v>
      </c>
    </row>
    <row r="358" spans="2:15" x14ac:dyDescent="0.25">
      <c r="B358" s="6" t="s">
        <v>26</v>
      </c>
      <c r="C358" s="6" t="s">
        <v>187</v>
      </c>
      <c r="D358">
        <v>1E-14</v>
      </c>
      <c r="E358">
        <v>1E-14</v>
      </c>
      <c r="F358">
        <v>1E-14</v>
      </c>
      <c r="G358">
        <v>1E-14</v>
      </c>
      <c r="H358">
        <v>1E-14</v>
      </c>
      <c r="I358">
        <v>1E-14</v>
      </c>
      <c r="J358">
        <v>1E-14</v>
      </c>
      <c r="K358">
        <v>1E-14</v>
      </c>
      <c r="L358">
        <v>1E-14</v>
      </c>
      <c r="M358">
        <v>1E-14</v>
      </c>
      <c r="N358">
        <v>1E-14</v>
      </c>
      <c r="O358">
        <v>1E-14</v>
      </c>
    </row>
    <row r="359" spans="2:15" x14ac:dyDescent="0.25">
      <c r="B359" s="6" t="s">
        <v>26</v>
      </c>
      <c r="C359" s="6" t="s">
        <v>188</v>
      </c>
      <c r="D359">
        <v>-402.5</v>
      </c>
      <c r="E359">
        <v>-402.5</v>
      </c>
      <c r="F359">
        <v>-402.5</v>
      </c>
      <c r="G359">
        <v>-402.5</v>
      </c>
      <c r="H359">
        <v>-402.5</v>
      </c>
      <c r="I359">
        <v>-402.5</v>
      </c>
      <c r="J359">
        <v>-402.5</v>
      </c>
      <c r="K359">
        <v>-402.5</v>
      </c>
      <c r="L359">
        <v>-402.5</v>
      </c>
      <c r="M359">
        <v>-402.5</v>
      </c>
      <c r="N359">
        <v>-402.5</v>
      </c>
      <c r="O359">
        <v>-402.5</v>
      </c>
    </row>
    <row r="360" spans="2:15" x14ac:dyDescent="0.25">
      <c r="B360" s="6" t="s">
        <v>26</v>
      </c>
      <c r="C360" s="6" t="s">
        <v>217</v>
      </c>
      <c r="D360">
        <v>11.5</v>
      </c>
      <c r="E360">
        <v>11.5</v>
      </c>
      <c r="F360">
        <v>11.5</v>
      </c>
      <c r="G360">
        <v>11.5</v>
      </c>
      <c r="H360">
        <v>11.5</v>
      </c>
      <c r="I360">
        <v>11.5</v>
      </c>
      <c r="J360">
        <v>11.5</v>
      </c>
      <c r="K360">
        <v>11.5</v>
      </c>
      <c r="L360">
        <v>11.5</v>
      </c>
      <c r="M360">
        <v>11.5</v>
      </c>
      <c r="N360">
        <v>11.5</v>
      </c>
      <c r="O360">
        <v>11.5</v>
      </c>
    </row>
    <row r="361" spans="2:15" x14ac:dyDescent="0.25">
      <c r="B361" s="6" t="s">
        <v>26</v>
      </c>
      <c r="C361" s="6" t="s">
        <v>189</v>
      </c>
      <c r="D361">
        <v>1E-14</v>
      </c>
      <c r="E361">
        <v>1E-14</v>
      </c>
      <c r="F361">
        <v>1E-14</v>
      </c>
      <c r="G361">
        <v>1E-14</v>
      </c>
      <c r="H361">
        <v>1E-14</v>
      </c>
      <c r="I361">
        <v>1E-14</v>
      </c>
      <c r="J361">
        <v>1E-14</v>
      </c>
      <c r="K361">
        <v>1E-14</v>
      </c>
      <c r="L361">
        <v>1E-14</v>
      </c>
      <c r="M361">
        <v>1E-14</v>
      </c>
      <c r="N361">
        <v>1E-14</v>
      </c>
      <c r="O361">
        <v>1E-14</v>
      </c>
    </row>
    <row r="362" spans="2:15" x14ac:dyDescent="0.25">
      <c r="B362" s="6" t="s">
        <v>26</v>
      </c>
      <c r="C362" s="6" t="s">
        <v>190</v>
      </c>
      <c r="D362">
        <v>1E-14</v>
      </c>
      <c r="E362">
        <v>1E-14</v>
      </c>
      <c r="F362">
        <v>1E-14</v>
      </c>
      <c r="G362">
        <v>1E-14</v>
      </c>
      <c r="H362">
        <v>1E-14</v>
      </c>
      <c r="I362">
        <v>1E-14</v>
      </c>
      <c r="J362">
        <v>1E-14</v>
      </c>
      <c r="K362">
        <v>1E-14</v>
      </c>
      <c r="L362">
        <v>1E-14</v>
      </c>
      <c r="M362">
        <v>1E-14</v>
      </c>
      <c r="N362">
        <v>1E-14</v>
      </c>
      <c r="O362">
        <v>1E-14</v>
      </c>
    </row>
    <row r="363" spans="2:15" x14ac:dyDescent="0.25">
      <c r="B363" s="6" t="s">
        <v>27</v>
      </c>
      <c r="C363" s="6" t="s">
        <v>99</v>
      </c>
      <c r="D363">
        <v>1E-14</v>
      </c>
      <c r="E363">
        <v>1E-14</v>
      </c>
      <c r="F363">
        <v>1E-14</v>
      </c>
      <c r="G363">
        <v>1E-14</v>
      </c>
      <c r="H363">
        <v>1E-14</v>
      </c>
      <c r="I363">
        <v>1E-14</v>
      </c>
      <c r="J363">
        <v>1E-14</v>
      </c>
      <c r="K363">
        <v>1E-14</v>
      </c>
      <c r="L363">
        <v>1E-14</v>
      </c>
      <c r="M363">
        <v>1E-14</v>
      </c>
      <c r="N363">
        <v>1E-14</v>
      </c>
      <c r="O363">
        <v>1E-14</v>
      </c>
    </row>
    <row r="364" spans="2:15" x14ac:dyDescent="0.25">
      <c r="B364" s="6" t="s">
        <v>27</v>
      </c>
      <c r="C364" s="6" t="s">
        <v>178</v>
      </c>
      <c r="D364">
        <v>1</v>
      </c>
      <c r="E364">
        <v>1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</row>
    <row r="365" spans="2:15" x14ac:dyDescent="0.25">
      <c r="B365" s="6" t="s">
        <v>27</v>
      </c>
      <c r="C365" s="6" t="s">
        <v>179</v>
      </c>
      <c r="D365">
        <v>1E-14</v>
      </c>
      <c r="E365">
        <v>1E-14</v>
      </c>
      <c r="F365">
        <v>1E-14</v>
      </c>
      <c r="G365">
        <v>1E-14</v>
      </c>
      <c r="H365">
        <v>1E-14</v>
      </c>
      <c r="I365">
        <v>1E-14</v>
      </c>
      <c r="J365">
        <v>1E-14</v>
      </c>
      <c r="K365">
        <v>1E-14</v>
      </c>
      <c r="L365">
        <v>1E-14</v>
      </c>
      <c r="M365">
        <v>1E-14</v>
      </c>
      <c r="N365">
        <v>1E-14</v>
      </c>
      <c r="O365">
        <v>1E-14</v>
      </c>
    </row>
    <row r="366" spans="2:15" x14ac:dyDescent="0.25">
      <c r="B366" s="6" t="s">
        <v>27</v>
      </c>
      <c r="C366" s="6" t="s">
        <v>180</v>
      </c>
      <c r="D366">
        <v>1</v>
      </c>
      <c r="E366">
        <v>1</v>
      </c>
      <c r="F366">
        <v>1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1</v>
      </c>
      <c r="M366">
        <v>1</v>
      </c>
      <c r="N366">
        <v>1</v>
      </c>
      <c r="O366">
        <v>1</v>
      </c>
    </row>
    <row r="367" spans="2:15" x14ac:dyDescent="0.25">
      <c r="B367" s="6" t="s">
        <v>27</v>
      </c>
      <c r="C367" s="6" t="s">
        <v>202</v>
      </c>
      <c r="D367">
        <v>1E-14</v>
      </c>
      <c r="E367">
        <v>1E-14</v>
      </c>
      <c r="F367">
        <v>1E-14</v>
      </c>
      <c r="G367">
        <v>1E-14</v>
      </c>
      <c r="H367">
        <v>1E-14</v>
      </c>
      <c r="I367">
        <v>1E-14</v>
      </c>
      <c r="J367">
        <v>1E-14</v>
      </c>
      <c r="K367">
        <v>1E-14</v>
      </c>
      <c r="L367">
        <v>1E-14</v>
      </c>
      <c r="M367">
        <v>1E-14</v>
      </c>
      <c r="N367">
        <v>1E-14</v>
      </c>
      <c r="O367">
        <v>1E-14</v>
      </c>
    </row>
    <row r="368" spans="2:15" x14ac:dyDescent="0.25">
      <c r="B368" s="6" t="s">
        <v>27</v>
      </c>
      <c r="C368" s="6" t="s">
        <v>181</v>
      </c>
      <c r="D368">
        <v>1</v>
      </c>
      <c r="E368">
        <v>1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</row>
    <row r="369" spans="2:15" x14ac:dyDescent="0.25">
      <c r="B369" s="6" t="s">
        <v>27</v>
      </c>
      <c r="C369" s="6" t="s">
        <v>182</v>
      </c>
      <c r="D369">
        <v>1</v>
      </c>
      <c r="E369">
        <v>1</v>
      </c>
      <c r="F369">
        <v>1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1</v>
      </c>
      <c r="M369">
        <v>1</v>
      </c>
      <c r="N369">
        <v>1</v>
      </c>
      <c r="O369">
        <v>1</v>
      </c>
    </row>
    <row r="370" spans="2:15" x14ac:dyDescent="0.25">
      <c r="B370" s="6" t="s">
        <v>27</v>
      </c>
      <c r="C370" s="6" t="s">
        <v>183</v>
      </c>
      <c r="D370">
        <v>1</v>
      </c>
      <c r="E370">
        <v>1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</row>
    <row r="371" spans="2:15" x14ac:dyDescent="0.25">
      <c r="B371" s="6" t="s">
        <v>27</v>
      </c>
      <c r="C371" s="6" t="s">
        <v>184</v>
      </c>
      <c r="D371">
        <v>1E-14</v>
      </c>
      <c r="E371">
        <v>1E-14</v>
      </c>
      <c r="F371">
        <v>1E-14</v>
      </c>
      <c r="G371">
        <v>1E-14</v>
      </c>
      <c r="H371">
        <v>1E-14</v>
      </c>
      <c r="I371">
        <v>1E-14</v>
      </c>
      <c r="J371">
        <v>1E-14</v>
      </c>
      <c r="K371">
        <v>1E-14</v>
      </c>
      <c r="L371">
        <v>1E-14</v>
      </c>
      <c r="M371">
        <v>1E-14</v>
      </c>
      <c r="N371">
        <v>1E-14</v>
      </c>
      <c r="O371">
        <v>1E-14</v>
      </c>
    </row>
    <row r="372" spans="2:15" x14ac:dyDescent="0.25">
      <c r="B372" s="6" t="s">
        <v>27</v>
      </c>
      <c r="C372" s="6" t="s">
        <v>185</v>
      </c>
      <c r="D372">
        <v>833.33333333333337</v>
      </c>
      <c r="E372">
        <v>833.33333333333337</v>
      </c>
      <c r="F372">
        <v>833.33333333333337</v>
      </c>
      <c r="G372">
        <v>833.33333333333337</v>
      </c>
      <c r="H372">
        <v>833.33333333333337</v>
      </c>
      <c r="I372">
        <v>833.33333333333337</v>
      </c>
      <c r="J372">
        <v>833.33333333333337</v>
      </c>
      <c r="K372">
        <v>833.33333333333337</v>
      </c>
      <c r="L372">
        <v>833.33333333333337</v>
      </c>
      <c r="M372">
        <v>833.33333333333337</v>
      </c>
      <c r="N372">
        <v>833.33333333333337</v>
      </c>
      <c r="O372">
        <v>833.33333333333337</v>
      </c>
    </row>
    <row r="373" spans="2:15" x14ac:dyDescent="0.25">
      <c r="B373" s="6" t="s">
        <v>27</v>
      </c>
      <c r="C373" s="6" t="s">
        <v>186</v>
      </c>
      <c r="D373">
        <v>-1</v>
      </c>
      <c r="E373">
        <v>-1</v>
      </c>
      <c r="F373">
        <v>-1</v>
      </c>
      <c r="G373">
        <v>-1</v>
      </c>
      <c r="H373">
        <v>-1</v>
      </c>
      <c r="I373">
        <v>-1</v>
      </c>
      <c r="J373">
        <v>-1</v>
      </c>
      <c r="K373">
        <v>-1</v>
      </c>
      <c r="L373">
        <v>-1</v>
      </c>
      <c r="M373">
        <v>-1</v>
      </c>
      <c r="N373">
        <v>-1</v>
      </c>
      <c r="O373">
        <v>-1</v>
      </c>
    </row>
    <row r="374" spans="2:15" x14ac:dyDescent="0.25">
      <c r="B374" s="6" t="s">
        <v>27</v>
      </c>
      <c r="C374" s="6" t="s">
        <v>187</v>
      </c>
      <c r="D374">
        <v>-1</v>
      </c>
      <c r="E374">
        <v>-1</v>
      </c>
      <c r="F374">
        <v>-1</v>
      </c>
      <c r="G374">
        <v>-1</v>
      </c>
      <c r="H374">
        <v>-1</v>
      </c>
      <c r="I374">
        <v>-1</v>
      </c>
      <c r="J374">
        <v>-1</v>
      </c>
      <c r="K374">
        <v>-1</v>
      </c>
      <c r="L374">
        <v>-1</v>
      </c>
      <c r="M374">
        <v>-1</v>
      </c>
      <c r="N374">
        <v>-1</v>
      </c>
      <c r="O374">
        <v>-1</v>
      </c>
    </row>
    <row r="375" spans="2:15" x14ac:dyDescent="0.25">
      <c r="B375" s="6" t="s">
        <v>27</v>
      </c>
      <c r="C375" s="6" t="s">
        <v>188</v>
      </c>
      <c r="D375">
        <v>450</v>
      </c>
      <c r="E375">
        <v>450</v>
      </c>
      <c r="F375">
        <v>450</v>
      </c>
      <c r="G375">
        <v>450</v>
      </c>
      <c r="H375">
        <v>450</v>
      </c>
      <c r="I375">
        <v>450</v>
      </c>
      <c r="J375">
        <v>450</v>
      </c>
      <c r="K375">
        <v>450</v>
      </c>
      <c r="L375">
        <v>450</v>
      </c>
      <c r="M375">
        <v>450</v>
      </c>
      <c r="N375">
        <v>450</v>
      </c>
      <c r="O375">
        <v>450</v>
      </c>
    </row>
    <row r="376" spans="2:15" x14ac:dyDescent="0.25">
      <c r="B376" s="6" t="s">
        <v>27</v>
      </c>
      <c r="C376" s="6" t="s">
        <v>217</v>
      </c>
      <c r="D376">
        <v>10.5</v>
      </c>
      <c r="E376">
        <v>10.5</v>
      </c>
      <c r="F376">
        <v>10.5</v>
      </c>
      <c r="G376">
        <v>10.5</v>
      </c>
      <c r="H376">
        <v>10.5</v>
      </c>
      <c r="I376">
        <v>10.5</v>
      </c>
      <c r="J376">
        <v>10.5</v>
      </c>
      <c r="K376">
        <v>10.5</v>
      </c>
      <c r="L376">
        <v>10.5</v>
      </c>
      <c r="M376">
        <v>10.5</v>
      </c>
      <c r="N376">
        <v>10.5</v>
      </c>
      <c r="O376">
        <v>10.5</v>
      </c>
    </row>
    <row r="377" spans="2:15" x14ac:dyDescent="0.25">
      <c r="B377" s="6" t="s">
        <v>27</v>
      </c>
      <c r="C377" s="6" t="s">
        <v>189</v>
      </c>
      <c r="D377">
        <v>1E-14</v>
      </c>
      <c r="E377">
        <v>1E-14</v>
      </c>
      <c r="F377">
        <v>1E-14</v>
      </c>
      <c r="G377">
        <v>1E-14</v>
      </c>
      <c r="H377">
        <v>1E-14</v>
      </c>
      <c r="I377">
        <v>1E-14</v>
      </c>
      <c r="J377">
        <v>1E-14</v>
      </c>
      <c r="K377">
        <v>1E-14</v>
      </c>
      <c r="L377">
        <v>1E-14</v>
      </c>
      <c r="M377">
        <v>1E-14</v>
      </c>
      <c r="N377">
        <v>1E-14</v>
      </c>
      <c r="O377">
        <v>1E-14</v>
      </c>
    </row>
    <row r="378" spans="2:15" x14ac:dyDescent="0.25">
      <c r="B378" s="6" t="s">
        <v>27</v>
      </c>
      <c r="C378" s="6" t="s">
        <v>190</v>
      </c>
      <c r="D378">
        <v>37</v>
      </c>
      <c r="E378">
        <v>37</v>
      </c>
      <c r="F378">
        <v>37</v>
      </c>
      <c r="G378">
        <v>37</v>
      </c>
      <c r="H378">
        <v>37</v>
      </c>
      <c r="I378">
        <v>37</v>
      </c>
      <c r="J378">
        <v>37</v>
      </c>
      <c r="K378">
        <v>37</v>
      </c>
      <c r="L378">
        <v>37</v>
      </c>
      <c r="M378">
        <v>37</v>
      </c>
      <c r="N378">
        <v>37</v>
      </c>
      <c r="O378">
        <v>37</v>
      </c>
    </row>
    <row r="379" spans="2:15" x14ac:dyDescent="0.25">
      <c r="B379" s="6" t="s">
        <v>60</v>
      </c>
      <c r="C379" s="6" t="s">
        <v>99</v>
      </c>
      <c r="D379">
        <v>1E-14</v>
      </c>
      <c r="E379">
        <v>1E-14</v>
      </c>
      <c r="F379">
        <v>1E-14</v>
      </c>
      <c r="G379">
        <v>1E-14</v>
      </c>
      <c r="H379">
        <v>1E-14</v>
      </c>
      <c r="I379">
        <v>1E-14</v>
      </c>
      <c r="J379">
        <v>1E-14</v>
      </c>
      <c r="K379">
        <v>1E-14</v>
      </c>
      <c r="L379">
        <v>1E-14</v>
      </c>
      <c r="M379">
        <v>1E-14</v>
      </c>
      <c r="N379">
        <v>1E-14</v>
      </c>
      <c r="O379">
        <v>1E-14</v>
      </c>
    </row>
    <row r="380" spans="2:15" x14ac:dyDescent="0.25">
      <c r="B380" s="6" t="s">
        <v>60</v>
      </c>
      <c r="C380" s="6" t="s">
        <v>178</v>
      </c>
      <c r="D380">
        <v>1</v>
      </c>
      <c r="E380">
        <v>1</v>
      </c>
      <c r="F380">
        <v>1</v>
      </c>
      <c r="G380">
        <v>1</v>
      </c>
      <c r="H380">
        <v>1</v>
      </c>
      <c r="I380">
        <v>1</v>
      </c>
      <c r="J380">
        <v>1</v>
      </c>
      <c r="K380">
        <v>1</v>
      </c>
      <c r="L380">
        <v>1</v>
      </c>
      <c r="M380">
        <v>1</v>
      </c>
      <c r="N380">
        <v>1</v>
      </c>
      <c r="O380">
        <v>1</v>
      </c>
    </row>
    <row r="381" spans="2:15" x14ac:dyDescent="0.25">
      <c r="B381" s="6" t="s">
        <v>60</v>
      </c>
      <c r="C381" s="6" t="s">
        <v>179</v>
      </c>
      <c r="D381">
        <v>1E-14</v>
      </c>
      <c r="E381">
        <v>1E-14</v>
      </c>
      <c r="F381">
        <v>1E-14</v>
      </c>
      <c r="G381">
        <v>1E-14</v>
      </c>
      <c r="H381">
        <v>1E-14</v>
      </c>
      <c r="I381">
        <v>1E-14</v>
      </c>
      <c r="J381">
        <v>1E-14</v>
      </c>
      <c r="K381">
        <v>1E-14</v>
      </c>
      <c r="L381">
        <v>1E-14</v>
      </c>
      <c r="M381">
        <v>1E-14</v>
      </c>
      <c r="N381">
        <v>1E-14</v>
      </c>
      <c r="O381">
        <v>1E-14</v>
      </c>
    </row>
    <row r="382" spans="2:15" x14ac:dyDescent="0.25">
      <c r="B382" s="6" t="s">
        <v>60</v>
      </c>
      <c r="C382" s="6" t="s">
        <v>180</v>
      </c>
      <c r="D382">
        <v>1</v>
      </c>
      <c r="E382">
        <v>1</v>
      </c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</row>
    <row r="383" spans="2:15" x14ac:dyDescent="0.25">
      <c r="B383" s="6" t="s">
        <v>60</v>
      </c>
      <c r="C383" s="6" t="s">
        <v>202</v>
      </c>
      <c r="D383">
        <v>1E-14</v>
      </c>
      <c r="E383">
        <v>1E-14</v>
      </c>
      <c r="F383">
        <v>1E-14</v>
      </c>
      <c r="G383">
        <v>1E-14</v>
      </c>
      <c r="H383">
        <v>1E-14</v>
      </c>
      <c r="I383">
        <v>1E-14</v>
      </c>
      <c r="J383">
        <v>1E-14</v>
      </c>
      <c r="K383">
        <v>1E-14</v>
      </c>
      <c r="L383">
        <v>1E-14</v>
      </c>
      <c r="M383">
        <v>1E-14</v>
      </c>
      <c r="N383">
        <v>1E-14</v>
      </c>
      <c r="O383">
        <v>1E-14</v>
      </c>
    </row>
    <row r="384" spans="2:15" x14ac:dyDescent="0.25">
      <c r="B384" s="6" t="s">
        <v>60</v>
      </c>
      <c r="C384" s="6" t="s">
        <v>181</v>
      </c>
      <c r="D384">
        <v>1</v>
      </c>
      <c r="E384">
        <v>1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1</v>
      </c>
      <c r="O384">
        <v>1</v>
      </c>
    </row>
    <row r="385" spans="2:15" x14ac:dyDescent="0.25">
      <c r="B385" s="6" t="s">
        <v>60</v>
      </c>
      <c r="C385" s="6" t="s">
        <v>182</v>
      </c>
      <c r="D385">
        <v>1E-14</v>
      </c>
      <c r="E385">
        <v>1E-14</v>
      </c>
      <c r="F385">
        <v>1E-14</v>
      </c>
      <c r="G385">
        <v>1E-14</v>
      </c>
      <c r="H385">
        <v>1E-14</v>
      </c>
      <c r="I385">
        <v>1E-14</v>
      </c>
      <c r="J385">
        <v>1E-14</v>
      </c>
      <c r="K385">
        <v>1E-14</v>
      </c>
      <c r="L385">
        <v>1E-14</v>
      </c>
      <c r="M385">
        <v>1E-14</v>
      </c>
      <c r="N385">
        <v>1E-14</v>
      </c>
      <c r="O385">
        <v>1E-14</v>
      </c>
    </row>
    <row r="386" spans="2:15" x14ac:dyDescent="0.25">
      <c r="B386" s="6" t="s">
        <v>60</v>
      </c>
      <c r="C386" s="6" t="s">
        <v>183</v>
      </c>
      <c r="D386">
        <v>1</v>
      </c>
      <c r="E386">
        <v>1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>
        <v>1</v>
      </c>
      <c r="O386">
        <v>1</v>
      </c>
    </row>
    <row r="387" spans="2:15" x14ac:dyDescent="0.25">
      <c r="B387" s="6" t="s">
        <v>60</v>
      </c>
      <c r="C387" s="6" t="s">
        <v>184</v>
      </c>
      <c r="D387">
        <v>1E-14</v>
      </c>
      <c r="E387">
        <v>1E-14</v>
      </c>
      <c r="F387">
        <v>1E-14</v>
      </c>
      <c r="G387">
        <v>1E-14</v>
      </c>
      <c r="H387">
        <v>1E-14</v>
      </c>
      <c r="I387">
        <v>1E-14</v>
      </c>
      <c r="J387">
        <v>1E-14</v>
      </c>
      <c r="K387">
        <v>1E-14</v>
      </c>
      <c r="L387">
        <v>1E-14</v>
      </c>
      <c r="M387">
        <v>1E-14</v>
      </c>
      <c r="N387">
        <v>1E-14</v>
      </c>
      <c r="O387">
        <v>1E-14</v>
      </c>
    </row>
    <row r="388" spans="2:15" x14ac:dyDescent="0.25">
      <c r="B388" s="6" t="s">
        <v>60</v>
      </c>
      <c r="C388" s="6" t="s">
        <v>185</v>
      </c>
      <c r="D388">
        <v>833.33333333333337</v>
      </c>
      <c r="E388">
        <v>833.33333333333337</v>
      </c>
      <c r="F388">
        <v>833.33333333333337</v>
      </c>
      <c r="G388">
        <v>833.33333333333337</v>
      </c>
      <c r="H388">
        <v>833.33333333333337</v>
      </c>
      <c r="I388">
        <v>833.33333333333337</v>
      </c>
      <c r="J388">
        <v>833.33333333333337</v>
      </c>
      <c r="K388">
        <v>833.33333333333337</v>
      </c>
      <c r="L388">
        <v>833.33333333333337</v>
      </c>
      <c r="M388">
        <v>833.33333333333337</v>
      </c>
      <c r="N388">
        <v>833.33333333333337</v>
      </c>
      <c r="O388">
        <v>833.33333333333337</v>
      </c>
    </row>
    <row r="389" spans="2:15" x14ac:dyDescent="0.25">
      <c r="B389" s="6" t="s">
        <v>60</v>
      </c>
      <c r="C389" s="6" t="s">
        <v>186</v>
      </c>
      <c r="D389">
        <v>-1</v>
      </c>
      <c r="E389">
        <v>-1</v>
      </c>
      <c r="F389">
        <v>-1</v>
      </c>
      <c r="G389">
        <v>-1</v>
      </c>
      <c r="H389">
        <v>-1</v>
      </c>
      <c r="I389">
        <v>-1</v>
      </c>
      <c r="J389">
        <v>-1</v>
      </c>
      <c r="K389">
        <v>-1</v>
      </c>
      <c r="L389">
        <v>-1</v>
      </c>
      <c r="M389">
        <v>-1</v>
      </c>
      <c r="N389">
        <v>-1</v>
      </c>
      <c r="O389">
        <v>-1</v>
      </c>
    </row>
    <row r="390" spans="2:15" x14ac:dyDescent="0.25">
      <c r="B390" s="6" t="s">
        <v>60</v>
      </c>
      <c r="C390" s="6" t="s">
        <v>187</v>
      </c>
      <c r="D390">
        <v>-1</v>
      </c>
      <c r="E390">
        <v>-1</v>
      </c>
      <c r="F390">
        <v>-1</v>
      </c>
      <c r="G390">
        <v>-1</v>
      </c>
      <c r="H390">
        <v>-1</v>
      </c>
      <c r="I390">
        <v>-1</v>
      </c>
      <c r="J390">
        <v>-1</v>
      </c>
      <c r="K390">
        <v>-1</v>
      </c>
      <c r="L390">
        <v>-1</v>
      </c>
      <c r="M390">
        <v>-1</v>
      </c>
      <c r="N390">
        <v>-1</v>
      </c>
      <c r="O390">
        <v>-1</v>
      </c>
    </row>
    <row r="391" spans="2:15" x14ac:dyDescent="0.25">
      <c r="B391" s="6" t="s">
        <v>60</v>
      </c>
      <c r="C391" s="6" t="s">
        <v>188</v>
      </c>
      <c r="D391">
        <v>500</v>
      </c>
      <c r="E391">
        <v>500</v>
      </c>
      <c r="F391">
        <v>500</v>
      </c>
      <c r="G391">
        <v>500</v>
      </c>
      <c r="H391">
        <v>500</v>
      </c>
      <c r="I391">
        <v>500</v>
      </c>
      <c r="J391">
        <v>500</v>
      </c>
      <c r="K391">
        <v>500</v>
      </c>
      <c r="L391">
        <v>500</v>
      </c>
      <c r="M391">
        <v>500</v>
      </c>
      <c r="N391">
        <v>500</v>
      </c>
      <c r="O391">
        <v>500</v>
      </c>
    </row>
    <row r="392" spans="2:15" x14ac:dyDescent="0.25">
      <c r="B392" s="6" t="s">
        <v>60</v>
      </c>
      <c r="C392" s="6" t="s">
        <v>217</v>
      </c>
      <c r="D392">
        <v>9.5</v>
      </c>
      <c r="E392">
        <v>9.5</v>
      </c>
      <c r="F392">
        <v>9.5</v>
      </c>
      <c r="G392">
        <v>9.5</v>
      </c>
      <c r="H392">
        <v>9.5</v>
      </c>
      <c r="I392">
        <v>9.5</v>
      </c>
      <c r="J392">
        <v>9.5</v>
      </c>
      <c r="K392">
        <v>9.5</v>
      </c>
      <c r="L392">
        <v>9.5</v>
      </c>
      <c r="M392">
        <v>9.5</v>
      </c>
      <c r="N392">
        <v>9.5</v>
      </c>
      <c r="O392">
        <v>9.5</v>
      </c>
    </row>
    <row r="393" spans="2:15" x14ac:dyDescent="0.25">
      <c r="B393" s="6" t="s">
        <v>60</v>
      </c>
      <c r="C393" s="6" t="s">
        <v>189</v>
      </c>
      <c r="D393">
        <v>1E-14</v>
      </c>
      <c r="E393">
        <v>1E-14</v>
      </c>
      <c r="F393">
        <v>1E-14</v>
      </c>
      <c r="G393">
        <v>1E-14</v>
      </c>
      <c r="H393">
        <v>1E-14</v>
      </c>
      <c r="I393">
        <v>1E-14</v>
      </c>
      <c r="J393">
        <v>1E-14</v>
      </c>
      <c r="K393">
        <v>1E-14</v>
      </c>
      <c r="L393">
        <v>1E-14</v>
      </c>
      <c r="M393">
        <v>1E-14</v>
      </c>
      <c r="N393">
        <v>1E-14</v>
      </c>
      <c r="O393">
        <v>1E-14</v>
      </c>
    </row>
    <row r="394" spans="2:15" x14ac:dyDescent="0.25">
      <c r="B394" s="6" t="s">
        <v>60</v>
      </c>
      <c r="C394" s="6" t="s">
        <v>190</v>
      </c>
      <c r="D394">
        <v>37</v>
      </c>
      <c r="E394">
        <v>37</v>
      </c>
      <c r="F394">
        <v>37</v>
      </c>
      <c r="G394">
        <v>37</v>
      </c>
      <c r="H394">
        <v>37</v>
      </c>
      <c r="I394">
        <v>37</v>
      </c>
      <c r="J394">
        <v>37</v>
      </c>
      <c r="K394">
        <v>37</v>
      </c>
      <c r="L394">
        <v>37</v>
      </c>
      <c r="M394">
        <v>37</v>
      </c>
      <c r="N394">
        <v>37</v>
      </c>
      <c r="O394">
        <v>37</v>
      </c>
    </row>
    <row r="395" spans="2:15" x14ac:dyDescent="0.25">
      <c r="B395" s="6" t="s">
        <v>61</v>
      </c>
      <c r="C395" s="6" t="s">
        <v>99</v>
      </c>
      <c r="D395">
        <v>1E-14</v>
      </c>
      <c r="E395">
        <v>1E-14</v>
      </c>
      <c r="F395">
        <v>1E-14</v>
      </c>
      <c r="G395">
        <v>1E-14</v>
      </c>
      <c r="H395">
        <v>1E-14</v>
      </c>
      <c r="I395">
        <v>1E-14</v>
      </c>
      <c r="J395">
        <v>1E-14</v>
      </c>
      <c r="K395">
        <v>1E-14</v>
      </c>
      <c r="L395">
        <v>1E-14</v>
      </c>
      <c r="M395">
        <v>1E-14</v>
      </c>
      <c r="N395">
        <v>1E-14</v>
      </c>
      <c r="O395">
        <v>1E-14</v>
      </c>
    </row>
    <row r="396" spans="2:15" x14ac:dyDescent="0.25">
      <c r="B396" s="6" t="s">
        <v>61</v>
      </c>
      <c r="C396" s="6" t="s">
        <v>178</v>
      </c>
      <c r="D396">
        <v>1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1</v>
      </c>
      <c r="O396">
        <v>1</v>
      </c>
    </row>
    <row r="397" spans="2:15" x14ac:dyDescent="0.25">
      <c r="B397" s="6" t="s">
        <v>61</v>
      </c>
      <c r="C397" s="6" t="s">
        <v>179</v>
      </c>
      <c r="D397">
        <v>1E-14</v>
      </c>
      <c r="E397">
        <v>1E-14</v>
      </c>
      <c r="F397">
        <v>1E-14</v>
      </c>
      <c r="G397">
        <v>1E-14</v>
      </c>
      <c r="H397">
        <v>1E-14</v>
      </c>
      <c r="I397">
        <v>1E-14</v>
      </c>
      <c r="J397">
        <v>1E-14</v>
      </c>
      <c r="K397">
        <v>1E-14</v>
      </c>
      <c r="L397">
        <v>1E-14</v>
      </c>
      <c r="M397">
        <v>1E-14</v>
      </c>
      <c r="N397">
        <v>1E-14</v>
      </c>
      <c r="O397">
        <v>1E-14</v>
      </c>
    </row>
    <row r="398" spans="2:15" x14ac:dyDescent="0.25">
      <c r="B398" s="6" t="s">
        <v>61</v>
      </c>
      <c r="C398" s="6" t="s">
        <v>180</v>
      </c>
      <c r="D398">
        <v>1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</row>
    <row r="399" spans="2:15" x14ac:dyDescent="0.25">
      <c r="B399" s="6" t="s">
        <v>61</v>
      </c>
      <c r="C399" s="6" t="s">
        <v>202</v>
      </c>
      <c r="D399">
        <v>1E-14</v>
      </c>
      <c r="E399">
        <v>1E-14</v>
      </c>
      <c r="F399">
        <v>1E-14</v>
      </c>
      <c r="G399">
        <v>1E-14</v>
      </c>
      <c r="H399">
        <v>1E-14</v>
      </c>
      <c r="I399">
        <v>1E-14</v>
      </c>
      <c r="J399">
        <v>1E-14</v>
      </c>
      <c r="K399">
        <v>1E-14</v>
      </c>
      <c r="L399">
        <v>1E-14</v>
      </c>
      <c r="M399">
        <v>1E-14</v>
      </c>
      <c r="N399">
        <v>1E-14</v>
      </c>
      <c r="O399">
        <v>1E-14</v>
      </c>
    </row>
    <row r="400" spans="2:15" x14ac:dyDescent="0.25">
      <c r="B400" s="6" t="s">
        <v>61</v>
      </c>
      <c r="C400" s="6" t="s">
        <v>181</v>
      </c>
      <c r="D400">
        <v>1</v>
      </c>
      <c r="E400">
        <v>1</v>
      </c>
      <c r="F400">
        <v>1</v>
      </c>
      <c r="G400">
        <v>1</v>
      </c>
      <c r="H400">
        <v>1</v>
      </c>
      <c r="I400">
        <v>1</v>
      </c>
      <c r="J400">
        <v>1</v>
      </c>
      <c r="K400">
        <v>1</v>
      </c>
      <c r="L400">
        <v>1</v>
      </c>
      <c r="M400">
        <v>1</v>
      </c>
      <c r="N400">
        <v>1</v>
      </c>
      <c r="O400">
        <v>1</v>
      </c>
    </row>
    <row r="401" spans="2:15" x14ac:dyDescent="0.25">
      <c r="B401" s="6" t="s">
        <v>61</v>
      </c>
      <c r="C401" s="6" t="s">
        <v>182</v>
      </c>
      <c r="D401">
        <v>1E-14</v>
      </c>
      <c r="E401">
        <v>1E-14</v>
      </c>
      <c r="F401">
        <v>1E-14</v>
      </c>
      <c r="G401">
        <v>1E-14</v>
      </c>
      <c r="H401">
        <v>1E-14</v>
      </c>
      <c r="I401">
        <v>1E-14</v>
      </c>
      <c r="J401">
        <v>1E-14</v>
      </c>
      <c r="K401">
        <v>1E-14</v>
      </c>
      <c r="L401">
        <v>1E-14</v>
      </c>
      <c r="M401">
        <v>1E-14</v>
      </c>
      <c r="N401">
        <v>1E-14</v>
      </c>
      <c r="O401">
        <v>1E-14</v>
      </c>
    </row>
    <row r="402" spans="2:15" x14ac:dyDescent="0.25">
      <c r="B402" s="6" t="s">
        <v>61</v>
      </c>
      <c r="C402" s="6" t="s">
        <v>183</v>
      </c>
      <c r="D402">
        <v>1</v>
      </c>
      <c r="E402">
        <v>1</v>
      </c>
      <c r="F402">
        <v>1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1</v>
      </c>
      <c r="M402">
        <v>1</v>
      </c>
      <c r="N402">
        <v>1</v>
      </c>
      <c r="O402">
        <v>1</v>
      </c>
    </row>
    <row r="403" spans="2:15" x14ac:dyDescent="0.25">
      <c r="B403" s="6" t="s">
        <v>61</v>
      </c>
      <c r="C403" s="6" t="s">
        <v>184</v>
      </c>
      <c r="D403">
        <v>1E-14</v>
      </c>
      <c r="E403">
        <v>1E-14</v>
      </c>
      <c r="F403">
        <v>1E-14</v>
      </c>
      <c r="G403">
        <v>1E-14</v>
      </c>
      <c r="H403">
        <v>1E-14</v>
      </c>
      <c r="I403">
        <v>1E-14</v>
      </c>
      <c r="J403">
        <v>1E-14</v>
      </c>
      <c r="K403">
        <v>1E-14</v>
      </c>
      <c r="L403">
        <v>1E-14</v>
      </c>
      <c r="M403">
        <v>1E-14</v>
      </c>
      <c r="N403">
        <v>1E-14</v>
      </c>
      <c r="O403">
        <v>1E-14</v>
      </c>
    </row>
    <row r="404" spans="2:15" x14ac:dyDescent="0.25">
      <c r="B404" s="6" t="s">
        <v>61</v>
      </c>
      <c r="C404" s="6" t="s">
        <v>185</v>
      </c>
      <c r="D404">
        <v>833.33333333333337</v>
      </c>
      <c r="E404">
        <v>833.33333333333337</v>
      </c>
      <c r="F404">
        <v>833.33333333333337</v>
      </c>
      <c r="G404">
        <v>833.33333333333337</v>
      </c>
      <c r="H404">
        <v>833.33333333333337</v>
      </c>
      <c r="I404">
        <v>833.33333333333337</v>
      </c>
      <c r="J404">
        <v>833.33333333333337</v>
      </c>
      <c r="K404">
        <v>833.33333333333337</v>
      </c>
      <c r="L404">
        <v>833.33333333333337</v>
      </c>
      <c r="M404">
        <v>833.33333333333337</v>
      </c>
      <c r="N404">
        <v>833.33333333333337</v>
      </c>
      <c r="O404">
        <v>833.33333333333337</v>
      </c>
    </row>
    <row r="405" spans="2:15" x14ac:dyDescent="0.25">
      <c r="B405" s="6" t="s">
        <v>61</v>
      </c>
      <c r="C405" s="6" t="s">
        <v>186</v>
      </c>
      <c r="D405">
        <v>-1</v>
      </c>
      <c r="E405">
        <v>-1</v>
      </c>
      <c r="F405">
        <v>-1</v>
      </c>
      <c r="G405">
        <v>-1</v>
      </c>
      <c r="H405">
        <v>-1</v>
      </c>
      <c r="I405">
        <v>-1</v>
      </c>
      <c r="J405">
        <v>-1</v>
      </c>
      <c r="K405">
        <v>-1</v>
      </c>
      <c r="L405">
        <v>-1</v>
      </c>
      <c r="M405">
        <v>-1</v>
      </c>
      <c r="N405">
        <v>-1</v>
      </c>
      <c r="O405">
        <v>-1</v>
      </c>
    </row>
    <row r="406" spans="2:15" x14ac:dyDescent="0.25">
      <c r="B406" s="6" t="s">
        <v>61</v>
      </c>
      <c r="C406" s="6" t="s">
        <v>187</v>
      </c>
      <c r="D406">
        <v>-1</v>
      </c>
      <c r="E406">
        <v>-1</v>
      </c>
      <c r="F406">
        <v>-1</v>
      </c>
      <c r="G406">
        <v>-1</v>
      </c>
      <c r="H406">
        <v>-1</v>
      </c>
      <c r="I406">
        <v>-1</v>
      </c>
      <c r="J406">
        <v>-1</v>
      </c>
      <c r="K406">
        <v>-1</v>
      </c>
      <c r="L406">
        <v>-1</v>
      </c>
      <c r="M406">
        <v>-1</v>
      </c>
      <c r="N406">
        <v>-1</v>
      </c>
      <c r="O406">
        <v>-1</v>
      </c>
    </row>
    <row r="407" spans="2:15" x14ac:dyDescent="0.25">
      <c r="B407" s="6" t="s">
        <v>61</v>
      </c>
      <c r="C407" s="6" t="s">
        <v>188</v>
      </c>
      <c r="D407">
        <v>550</v>
      </c>
      <c r="E407">
        <v>550</v>
      </c>
      <c r="F407">
        <v>550</v>
      </c>
      <c r="G407">
        <v>550</v>
      </c>
      <c r="H407">
        <v>550</v>
      </c>
      <c r="I407">
        <v>550</v>
      </c>
      <c r="J407">
        <v>550</v>
      </c>
      <c r="K407">
        <v>550</v>
      </c>
      <c r="L407">
        <v>550</v>
      </c>
      <c r="M407">
        <v>550</v>
      </c>
      <c r="N407">
        <v>550</v>
      </c>
      <c r="O407">
        <v>550</v>
      </c>
    </row>
    <row r="408" spans="2:15" x14ac:dyDescent="0.25">
      <c r="B408" s="6" t="s">
        <v>61</v>
      </c>
      <c r="C408" s="6" t="s">
        <v>217</v>
      </c>
      <c r="D408">
        <v>8.5</v>
      </c>
      <c r="E408">
        <v>8.5</v>
      </c>
      <c r="F408">
        <v>8.5</v>
      </c>
      <c r="G408">
        <v>8.5</v>
      </c>
      <c r="H408">
        <v>8.5</v>
      </c>
      <c r="I408">
        <v>8.5</v>
      </c>
      <c r="J408">
        <v>8.5</v>
      </c>
      <c r="K408">
        <v>8.5</v>
      </c>
      <c r="L408">
        <v>8.5</v>
      </c>
      <c r="M408">
        <v>8.5</v>
      </c>
      <c r="N408">
        <v>8.5</v>
      </c>
      <c r="O408">
        <v>8.5</v>
      </c>
    </row>
    <row r="409" spans="2:15" x14ac:dyDescent="0.25">
      <c r="B409" s="6" t="s">
        <v>61</v>
      </c>
      <c r="C409" s="6" t="s">
        <v>189</v>
      </c>
      <c r="D409">
        <v>1E-14</v>
      </c>
      <c r="E409">
        <v>1E-14</v>
      </c>
      <c r="F409">
        <v>1E-14</v>
      </c>
      <c r="G409">
        <v>1E-14</v>
      </c>
      <c r="H409">
        <v>1E-14</v>
      </c>
      <c r="I409">
        <v>1E-14</v>
      </c>
      <c r="J409">
        <v>1E-14</v>
      </c>
      <c r="K409">
        <v>1E-14</v>
      </c>
      <c r="L409">
        <v>1E-14</v>
      </c>
      <c r="M409">
        <v>1E-14</v>
      </c>
      <c r="N409">
        <v>1E-14</v>
      </c>
      <c r="O409">
        <v>1E-14</v>
      </c>
    </row>
    <row r="410" spans="2:15" x14ac:dyDescent="0.25">
      <c r="B410" s="6" t="s">
        <v>61</v>
      </c>
      <c r="C410" s="6" t="s">
        <v>190</v>
      </c>
      <c r="D410">
        <v>37</v>
      </c>
      <c r="E410">
        <v>37</v>
      </c>
      <c r="F410">
        <v>37</v>
      </c>
      <c r="G410">
        <v>37</v>
      </c>
      <c r="H410">
        <v>37</v>
      </c>
      <c r="I410">
        <v>37</v>
      </c>
      <c r="J410">
        <v>37</v>
      </c>
      <c r="K410">
        <v>37</v>
      </c>
      <c r="L410">
        <v>37</v>
      </c>
      <c r="M410">
        <v>37</v>
      </c>
      <c r="N410">
        <v>37</v>
      </c>
      <c r="O410">
        <v>37</v>
      </c>
    </row>
    <row r="411" spans="2:15" x14ac:dyDescent="0.25">
      <c r="B411" s="6" t="s">
        <v>62</v>
      </c>
      <c r="C411" s="6" t="s">
        <v>99</v>
      </c>
      <c r="D411">
        <v>1E-14</v>
      </c>
      <c r="E411">
        <v>1E-14</v>
      </c>
      <c r="F411">
        <v>1E-14</v>
      </c>
      <c r="G411">
        <v>1E-14</v>
      </c>
      <c r="H411">
        <v>1E-14</v>
      </c>
      <c r="I411">
        <v>1E-14</v>
      </c>
      <c r="J411">
        <v>1E-14</v>
      </c>
      <c r="K411">
        <v>1E-14</v>
      </c>
      <c r="L411">
        <v>1E-14</v>
      </c>
      <c r="M411">
        <v>1E-14</v>
      </c>
      <c r="N411">
        <v>1E-14</v>
      </c>
      <c r="O411">
        <v>1E-14</v>
      </c>
    </row>
    <row r="412" spans="2:15" x14ac:dyDescent="0.25">
      <c r="B412" s="6" t="s">
        <v>62</v>
      </c>
      <c r="C412" s="6" t="s">
        <v>178</v>
      </c>
      <c r="D412">
        <v>1</v>
      </c>
      <c r="E412">
        <v>1</v>
      </c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</row>
    <row r="413" spans="2:15" x14ac:dyDescent="0.25">
      <c r="B413" s="6" t="s">
        <v>62</v>
      </c>
      <c r="C413" s="6" t="s">
        <v>179</v>
      </c>
      <c r="D413">
        <v>1E-14</v>
      </c>
      <c r="E413">
        <v>1E-14</v>
      </c>
      <c r="F413">
        <v>1E-14</v>
      </c>
      <c r="G413">
        <v>1E-14</v>
      </c>
      <c r="H413">
        <v>1E-14</v>
      </c>
      <c r="I413">
        <v>1E-14</v>
      </c>
      <c r="J413">
        <v>1E-14</v>
      </c>
      <c r="K413">
        <v>1E-14</v>
      </c>
      <c r="L413">
        <v>1E-14</v>
      </c>
      <c r="M413">
        <v>1E-14</v>
      </c>
      <c r="N413">
        <v>1E-14</v>
      </c>
      <c r="O413">
        <v>1E-14</v>
      </c>
    </row>
    <row r="414" spans="2:15" x14ac:dyDescent="0.25">
      <c r="B414" s="6" t="s">
        <v>62</v>
      </c>
      <c r="C414" s="6" t="s">
        <v>180</v>
      </c>
      <c r="D414">
        <v>1</v>
      </c>
      <c r="E414">
        <v>1</v>
      </c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M414">
        <v>1</v>
      </c>
      <c r="N414">
        <v>1</v>
      </c>
      <c r="O414">
        <v>1</v>
      </c>
    </row>
    <row r="415" spans="2:15" x14ac:dyDescent="0.25">
      <c r="B415" s="6" t="s">
        <v>62</v>
      </c>
      <c r="C415" s="6" t="s">
        <v>202</v>
      </c>
      <c r="D415">
        <v>1E-14</v>
      </c>
      <c r="E415">
        <v>1E-14</v>
      </c>
      <c r="F415">
        <v>1E-14</v>
      </c>
      <c r="G415">
        <v>1E-14</v>
      </c>
      <c r="H415">
        <v>1E-14</v>
      </c>
      <c r="I415">
        <v>1E-14</v>
      </c>
      <c r="J415">
        <v>1E-14</v>
      </c>
      <c r="K415">
        <v>1E-14</v>
      </c>
      <c r="L415">
        <v>1E-14</v>
      </c>
      <c r="M415">
        <v>1E-14</v>
      </c>
      <c r="N415">
        <v>1E-14</v>
      </c>
      <c r="O415">
        <v>1E-14</v>
      </c>
    </row>
    <row r="416" spans="2:15" x14ac:dyDescent="0.25">
      <c r="B416" s="6" t="s">
        <v>62</v>
      </c>
      <c r="C416" s="6" t="s">
        <v>181</v>
      </c>
      <c r="D416">
        <v>1</v>
      </c>
      <c r="E416">
        <v>1</v>
      </c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</row>
    <row r="417" spans="2:15" x14ac:dyDescent="0.25">
      <c r="B417" s="6" t="s">
        <v>62</v>
      </c>
      <c r="C417" s="6" t="s">
        <v>182</v>
      </c>
      <c r="D417">
        <v>1E-14</v>
      </c>
      <c r="E417">
        <v>1E-14</v>
      </c>
      <c r="F417">
        <v>1E-14</v>
      </c>
      <c r="G417">
        <v>1E-14</v>
      </c>
      <c r="H417">
        <v>1E-14</v>
      </c>
      <c r="I417">
        <v>1E-14</v>
      </c>
      <c r="J417">
        <v>1E-14</v>
      </c>
      <c r="K417">
        <v>1E-14</v>
      </c>
      <c r="L417">
        <v>1E-14</v>
      </c>
      <c r="M417">
        <v>1E-14</v>
      </c>
      <c r="N417">
        <v>1E-14</v>
      </c>
      <c r="O417">
        <v>1E-14</v>
      </c>
    </row>
    <row r="418" spans="2:15" x14ac:dyDescent="0.25">
      <c r="B418" s="6" t="s">
        <v>62</v>
      </c>
      <c r="C418" s="6" t="s">
        <v>183</v>
      </c>
      <c r="D418">
        <v>1</v>
      </c>
      <c r="E418">
        <v>1</v>
      </c>
      <c r="F418">
        <v>1</v>
      </c>
      <c r="G418">
        <v>1</v>
      </c>
      <c r="H418">
        <v>1</v>
      </c>
      <c r="I418">
        <v>1</v>
      </c>
      <c r="J418">
        <v>1</v>
      </c>
      <c r="K418">
        <v>1</v>
      </c>
      <c r="L418">
        <v>1</v>
      </c>
      <c r="M418">
        <v>1</v>
      </c>
      <c r="N418">
        <v>1</v>
      </c>
      <c r="O418">
        <v>1</v>
      </c>
    </row>
    <row r="419" spans="2:15" x14ac:dyDescent="0.25">
      <c r="B419" s="6" t="s">
        <v>62</v>
      </c>
      <c r="C419" s="6" t="s">
        <v>184</v>
      </c>
      <c r="D419">
        <v>1E-14</v>
      </c>
      <c r="E419">
        <v>1E-14</v>
      </c>
      <c r="F419">
        <v>1E-14</v>
      </c>
      <c r="G419">
        <v>1E-14</v>
      </c>
      <c r="H419">
        <v>1E-14</v>
      </c>
      <c r="I419">
        <v>1E-14</v>
      </c>
      <c r="J419">
        <v>1E-14</v>
      </c>
      <c r="K419">
        <v>1E-14</v>
      </c>
      <c r="L419">
        <v>1E-14</v>
      </c>
      <c r="M419">
        <v>1E-14</v>
      </c>
      <c r="N419">
        <v>1E-14</v>
      </c>
      <c r="O419">
        <v>1E-14</v>
      </c>
    </row>
    <row r="420" spans="2:15" x14ac:dyDescent="0.25">
      <c r="B420" s="6" t="s">
        <v>62</v>
      </c>
      <c r="C420" s="6" t="s">
        <v>185</v>
      </c>
      <c r="D420">
        <v>833.33333333333337</v>
      </c>
      <c r="E420">
        <v>833.33333333333337</v>
      </c>
      <c r="F420">
        <v>833.33333333333337</v>
      </c>
      <c r="G420">
        <v>833.33333333333337</v>
      </c>
      <c r="H420">
        <v>833.33333333333337</v>
      </c>
      <c r="I420">
        <v>833.33333333333337</v>
      </c>
      <c r="J420">
        <v>833.33333333333337</v>
      </c>
      <c r="K420">
        <v>833.33333333333337</v>
      </c>
      <c r="L420">
        <v>833.33333333333337</v>
      </c>
      <c r="M420">
        <v>833.33333333333337</v>
      </c>
      <c r="N420">
        <v>833.33333333333337</v>
      </c>
      <c r="O420">
        <v>833.33333333333337</v>
      </c>
    </row>
    <row r="421" spans="2:15" x14ac:dyDescent="0.25">
      <c r="B421" s="6" t="s">
        <v>62</v>
      </c>
      <c r="C421" s="6" t="s">
        <v>186</v>
      </c>
      <c r="D421">
        <v>-1</v>
      </c>
      <c r="E421">
        <v>-1</v>
      </c>
      <c r="F421">
        <v>-1</v>
      </c>
      <c r="G421">
        <v>-1</v>
      </c>
      <c r="H421">
        <v>-1</v>
      </c>
      <c r="I421">
        <v>-1</v>
      </c>
      <c r="J421">
        <v>-1</v>
      </c>
      <c r="K421">
        <v>-1</v>
      </c>
      <c r="L421">
        <v>-1</v>
      </c>
      <c r="M421">
        <v>-1</v>
      </c>
      <c r="N421">
        <v>-1</v>
      </c>
      <c r="O421">
        <v>-1</v>
      </c>
    </row>
    <row r="422" spans="2:15" x14ac:dyDescent="0.25">
      <c r="B422" s="6" t="s">
        <v>62</v>
      </c>
      <c r="C422" s="6" t="s">
        <v>187</v>
      </c>
      <c r="D422">
        <v>-1</v>
      </c>
      <c r="E422">
        <v>-1</v>
      </c>
      <c r="F422">
        <v>-1</v>
      </c>
      <c r="G422">
        <v>-1</v>
      </c>
      <c r="H422">
        <v>-1</v>
      </c>
      <c r="I422">
        <v>-1</v>
      </c>
      <c r="J422">
        <v>-1</v>
      </c>
      <c r="K422">
        <v>-1</v>
      </c>
      <c r="L422">
        <v>-1</v>
      </c>
      <c r="M422">
        <v>-1</v>
      </c>
      <c r="N422">
        <v>-1</v>
      </c>
      <c r="O422">
        <v>-1</v>
      </c>
    </row>
    <row r="423" spans="2:15" x14ac:dyDescent="0.25">
      <c r="B423" s="6" t="s">
        <v>62</v>
      </c>
      <c r="C423" s="6" t="s">
        <v>188</v>
      </c>
      <c r="D423">
        <v>600</v>
      </c>
      <c r="E423">
        <v>600</v>
      </c>
      <c r="F423">
        <v>600</v>
      </c>
      <c r="G423">
        <v>600</v>
      </c>
      <c r="H423">
        <v>600</v>
      </c>
      <c r="I423">
        <v>600</v>
      </c>
      <c r="J423">
        <v>600</v>
      </c>
      <c r="K423">
        <v>600</v>
      </c>
      <c r="L423">
        <v>600</v>
      </c>
      <c r="M423">
        <v>600</v>
      </c>
      <c r="N423">
        <v>600</v>
      </c>
      <c r="O423">
        <v>600</v>
      </c>
    </row>
    <row r="424" spans="2:15" x14ac:dyDescent="0.25">
      <c r="B424" s="6" t="s">
        <v>62</v>
      </c>
      <c r="C424" s="6" t="s">
        <v>217</v>
      </c>
      <c r="D424">
        <v>7.5</v>
      </c>
      <c r="E424">
        <v>7.5</v>
      </c>
      <c r="F424">
        <v>7.5</v>
      </c>
      <c r="G424">
        <v>7.5</v>
      </c>
      <c r="H424">
        <v>7.5</v>
      </c>
      <c r="I424">
        <v>7.5</v>
      </c>
      <c r="J424">
        <v>7.5</v>
      </c>
      <c r="K424">
        <v>7.5</v>
      </c>
      <c r="L424">
        <v>7.5</v>
      </c>
      <c r="M424">
        <v>7.5</v>
      </c>
      <c r="N424">
        <v>7.5</v>
      </c>
      <c r="O424">
        <v>7.5</v>
      </c>
    </row>
    <row r="425" spans="2:15" x14ac:dyDescent="0.25">
      <c r="B425" s="6" t="s">
        <v>62</v>
      </c>
      <c r="C425" s="6" t="s">
        <v>189</v>
      </c>
      <c r="D425">
        <v>1E-14</v>
      </c>
      <c r="E425">
        <v>1E-14</v>
      </c>
      <c r="F425">
        <v>1E-14</v>
      </c>
      <c r="G425">
        <v>1E-14</v>
      </c>
      <c r="H425">
        <v>1E-14</v>
      </c>
      <c r="I425">
        <v>1E-14</v>
      </c>
      <c r="J425">
        <v>1E-14</v>
      </c>
      <c r="K425">
        <v>1E-14</v>
      </c>
      <c r="L425">
        <v>1E-14</v>
      </c>
      <c r="M425">
        <v>1E-14</v>
      </c>
      <c r="N425">
        <v>1E-14</v>
      </c>
      <c r="O425">
        <v>1E-14</v>
      </c>
    </row>
    <row r="426" spans="2:15" x14ac:dyDescent="0.25">
      <c r="B426" s="6" t="s">
        <v>62</v>
      </c>
      <c r="C426" s="6" t="s">
        <v>190</v>
      </c>
      <c r="D426">
        <v>37</v>
      </c>
      <c r="E426">
        <v>37</v>
      </c>
      <c r="F426">
        <v>37</v>
      </c>
      <c r="G426">
        <v>37</v>
      </c>
      <c r="H426">
        <v>37</v>
      </c>
      <c r="I426">
        <v>37</v>
      </c>
      <c r="J426">
        <v>37</v>
      </c>
      <c r="K426">
        <v>37</v>
      </c>
      <c r="L426">
        <v>37</v>
      </c>
      <c r="M426">
        <v>37</v>
      </c>
      <c r="N426">
        <v>37</v>
      </c>
      <c r="O426">
        <v>37</v>
      </c>
    </row>
    <row r="427" spans="2:15" x14ac:dyDescent="0.25">
      <c r="B427" s="6" t="s">
        <v>21</v>
      </c>
      <c r="C427" s="6" t="s">
        <v>99</v>
      </c>
      <c r="D427">
        <v>1</v>
      </c>
      <c r="E427">
        <v>1</v>
      </c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</row>
    <row r="428" spans="2:15" x14ac:dyDescent="0.25">
      <c r="B428" s="6" t="s">
        <v>21</v>
      </c>
      <c r="C428" s="6" t="s">
        <v>178</v>
      </c>
      <c r="D428">
        <v>2</v>
      </c>
      <c r="E428">
        <v>2</v>
      </c>
      <c r="F428">
        <v>2</v>
      </c>
      <c r="G428">
        <v>2</v>
      </c>
      <c r="H428">
        <v>2</v>
      </c>
      <c r="I428">
        <v>2</v>
      </c>
      <c r="J428">
        <v>2</v>
      </c>
      <c r="K428">
        <v>2</v>
      </c>
      <c r="L428">
        <v>2</v>
      </c>
      <c r="M428">
        <v>2</v>
      </c>
      <c r="N428">
        <v>2</v>
      </c>
      <c r="O428">
        <v>2</v>
      </c>
    </row>
    <row r="429" spans="2:15" x14ac:dyDescent="0.25">
      <c r="B429" s="6" t="s">
        <v>21</v>
      </c>
      <c r="C429" s="6" t="s">
        <v>179</v>
      </c>
      <c r="D429">
        <v>1E-14</v>
      </c>
      <c r="E429">
        <v>1E-14</v>
      </c>
      <c r="F429">
        <v>1E-14</v>
      </c>
      <c r="G429">
        <v>1E-14</v>
      </c>
      <c r="H429">
        <v>1E-14</v>
      </c>
      <c r="I429">
        <v>1E-14</v>
      </c>
      <c r="J429">
        <v>1E-14</v>
      </c>
      <c r="K429">
        <v>1E-14</v>
      </c>
      <c r="L429">
        <v>1E-14</v>
      </c>
      <c r="M429">
        <v>1E-14</v>
      </c>
      <c r="N429">
        <v>1E-14</v>
      </c>
      <c r="O429">
        <v>1E-14</v>
      </c>
    </row>
    <row r="430" spans="2:15" x14ac:dyDescent="0.25">
      <c r="B430" s="6" t="s">
        <v>21</v>
      </c>
      <c r="C430" s="6" t="s">
        <v>180</v>
      </c>
      <c r="D430">
        <v>1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</row>
    <row r="431" spans="2:15" x14ac:dyDescent="0.25">
      <c r="B431" s="6" t="s">
        <v>21</v>
      </c>
      <c r="C431" s="6" t="s">
        <v>202</v>
      </c>
      <c r="D431">
        <v>1</v>
      </c>
      <c r="E431">
        <v>1</v>
      </c>
      <c r="F431">
        <v>1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1</v>
      </c>
      <c r="M431">
        <v>1</v>
      </c>
      <c r="N431">
        <v>1</v>
      </c>
      <c r="O431">
        <v>1</v>
      </c>
    </row>
    <row r="432" spans="2:15" x14ac:dyDescent="0.25">
      <c r="B432" s="6" t="s">
        <v>21</v>
      </c>
      <c r="C432" s="6" t="s">
        <v>181</v>
      </c>
      <c r="D432">
        <v>1E-14</v>
      </c>
      <c r="E432">
        <v>1E-14</v>
      </c>
      <c r="F432">
        <v>1E-14</v>
      </c>
      <c r="G432">
        <v>1E-14</v>
      </c>
      <c r="H432">
        <v>1E-14</v>
      </c>
      <c r="I432">
        <v>1E-14</v>
      </c>
      <c r="J432">
        <v>1E-14</v>
      </c>
      <c r="K432">
        <v>1E-14</v>
      </c>
      <c r="L432">
        <v>1E-14</v>
      </c>
      <c r="M432">
        <v>1E-14</v>
      </c>
      <c r="N432">
        <v>1E-14</v>
      </c>
      <c r="O432">
        <v>1E-14</v>
      </c>
    </row>
    <row r="433" spans="2:15" x14ac:dyDescent="0.25">
      <c r="B433" s="6" t="s">
        <v>21</v>
      </c>
      <c r="C433" s="6" t="s">
        <v>182</v>
      </c>
      <c r="D433">
        <v>1E-14</v>
      </c>
      <c r="E433">
        <v>1E-14</v>
      </c>
      <c r="F433">
        <v>1E-14</v>
      </c>
      <c r="G433">
        <v>1E-14</v>
      </c>
      <c r="H433">
        <v>1E-14</v>
      </c>
      <c r="I433">
        <v>1E-14</v>
      </c>
      <c r="J433">
        <v>1E-14</v>
      </c>
      <c r="K433">
        <v>1E-14</v>
      </c>
      <c r="L433">
        <v>1E-14</v>
      </c>
      <c r="M433">
        <v>1E-14</v>
      </c>
      <c r="N433">
        <v>1E-14</v>
      </c>
      <c r="O433">
        <v>1E-14</v>
      </c>
    </row>
    <row r="434" spans="2:15" x14ac:dyDescent="0.25">
      <c r="B434" s="6" t="s">
        <v>21</v>
      </c>
      <c r="C434" s="6" t="s">
        <v>183</v>
      </c>
      <c r="D434">
        <v>1E-14</v>
      </c>
      <c r="E434">
        <v>1E-14</v>
      </c>
      <c r="F434">
        <v>1E-14</v>
      </c>
      <c r="G434">
        <v>1E-14</v>
      </c>
      <c r="H434">
        <v>1E-14</v>
      </c>
      <c r="I434">
        <v>1E-14</v>
      </c>
      <c r="J434">
        <v>1E-14</v>
      </c>
      <c r="K434">
        <v>1E-14</v>
      </c>
      <c r="L434">
        <v>1E-14</v>
      </c>
      <c r="M434">
        <v>1E-14</v>
      </c>
      <c r="N434">
        <v>1E-14</v>
      </c>
      <c r="O434">
        <v>1E-14</v>
      </c>
    </row>
    <row r="435" spans="2:15" x14ac:dyDescent="0.25">
      <c r="B435" s="6" t="s">
        <v>21</v>
      </c>
      <c r="C435" s="6" t="s">
        <v>184</v>
      </c>
      <c r="D435">
        <v>1E-14</v>
      </c>
      <c r="E435">
        <v>1E-14</v>
      </c>
      <c r="F435">
        <v>1E-14</v>
      </c>
      <c r="G435">
        <v>1E-14</v>
      </c>
      <c r="H435">
        <v>1E-14</v>
      </c>
      <c r="I435">
        <v>1E-14</v>
      </c>
      <c r="J435">
        <v>1E-14</v>
      </c>
      <c r="K435">
        <v>1E-14</v>
      </c>
      <c r="L435">
        <v>1E-14</v>
      </c>
      <c r="M435">
        <v>1E-14</v>
      </c>
      <c r="N435">
        <v>1E-14</v>
      </c>
      <c r="O435">
        <v>1E-14</v>
      </c>
    </row>
    <row r="436" spans="2:15" x14ac:dyDescent="0.25">
      <c r="B436" s="6" t="s">
        <v>21</v>
      </c>
      <c r="C436" s="6" t="s">
        <v>185</v>
      </c>
      <c r="D436">
        <v>1E-14</v>
      </c>
      <c r="E436">
        <v>1E-14</v>
      </c>
      <c r="F436">
        <v>1E-14</v>
      </c>
      <c r="G436">
        <v>1E-14</v>
      </c>
      <c r="H436">
        <v>1E-14</v>
      </c>
      <c r="I436">
        <v>1E-14</v>
      </c>
      <c r="J436">
        <v>1E-14</v>
      </c>
      <c r="K436">
        <v>1E-14</v>
      </c>
      <c r="L436">
        <v>1E-14</v>
      </c>
      <c r="M436">
        <v>1E-14</v>
      </c>
      <c r="N436">
        <v>1E-14</v>
      </c>
      <c r="O436">
        <v>1E-14</v>
      </c>
    </row>
    <row r="437" spans="2:15" x14ac:dyDescent="0.25">
      <c r="B437" s="6" t="s">
        <v>21</v>
      </c>
      <c r="C437" s="6" t="s">
        <v>186</v>
      </c>
      <c r="D437">
        <v>-1</v>
      </c>
      <c r="E437">
        <v>-1</v>
      </c>
      <c r="F437">
        <v>-1</v>
      </c>
      <c r="G437">
        <v>-1</v>
      </c>
      <c r="H437">
        <v>-1</v>
      </c>
      <c r="I437">
        <v>-1</v>
      </c>
      <c r="J437">
        <v>-1</v>
      </c>
      <c r="K437">
        <v>-1</v>
      </c>
      <c r="L437">
        <v>-1</v>
      </c>
      <c r="M437">
        <v>-1</v>
      </c>
      <c r="N437">
        <v>-1</v>
      </c>
      <c r="O437">
        <v>-1</v>
      </c>
    </row>
    <row r="438" spans="2:15" x14ac:dyDescent="0.25">
      <c r="B438" s="6" t="s">
        <v>21</v>
      </c>
      <c r="C438" s="6" t="s">
        <v>187</v>
      </c>
      <c r="D438">
        <v>-1</v>
      </c>
      <c r="E438">
        <v>-1</v>
      </c>
      <c r="F438">
        <v>-1</v>
      </c>
      <c r="G438">
        <v>-1</v>
      </c>
      <c r="H438">
        <v>-1</v>
      </c>
      <c r="I438">
        <v>-1</v>
      </c>
      <c r="J438">
        <v>-1</v>
      </c>
      <c r="K438">
        <v>-1</v>
      </c>
      <c r="L438">
        <v>-1</v>
      </c>
      <c r="M438">
        <v>-1</v>
      </c>
      <c r="N438">
        <v>-1</v>
      </c>
      <c r="O438">
        <v>-1</v>
      </c>
    </row>
    <row r="439" spans="2:15" x14ac:dyDescent="0.25">
      <c r="B439" s="6" t="s">
        <v>21</v>
      </c>
      <c r="C439" s="6" t="s">
        <v>188</v>
      </c>
      <c r="D439">
        <v>-470</v>
      </c>
      <c r="E439">
        <v>-470</v>
      </c>
      <c r="F439">
        <v>-470</v>
      </c>
      <c r="G439">
        <v>-470</v>
      </c>
      <c r="H439">
        <v>-470</v>
      </c>
      <c r="I439">
        <v>-470</v>
      </c>
      <c r="J439">
        <v>-470</v>
      </c>
      <c r="K439">
        <v>-470</v>
      </c>
      <c r="L439">
        <v>-470</v>
      </c>
      <c r="M439">
        <v>-470</v>
      </c>
      <c r="N439">
        <v>-470</v>
      </c>
      <c r="O439">
        <v>-470</v>
      </c>
    </row>
    <row r="440" spans="2:15" x14ac:dyDescent="0.25">
      <c r="B440" s="6" t="s">
        <v>21</v>
      </c>
      <c r="C440" s="6" t="s">
        <v>217</v>
      </c>
      <c r="D440">
        <v>9.4</v>
      </c>
      <c r="E440">
        <v>9.4</v>
      </c>
      <c r="F440">
        <v>9.4</v>
      </c>
      <c r="G440">
        <v>9.4</v>
      </c>
      <c r="H440">
        <v>9.4</v>
      </c>
      <c r="I440">
        <v>9.4</v>
      </c>
      <c r="J440">
        <v>9.4</v>
      </c>
      <c r="K440">
        <v>9.4</v>
      </c>
      <c r="L440">
        <v>9.4</v>
      </c>
      <c r="M440">
        <v>9.4</v>
      </c>
      <c r="N440">
        <v>9.4</v>
      </c>
      <c r="O440">
        <v>9.4</v>
      </c>
    </row>
    <row r="441" spans="2:15" x14ac:dyDescent="0.25">
      <c r="B441" s="6" t="s">
        <v>21</v>
      </c>
      <c r="C441" s="6" t="s">
        <v>189</v>
      </c>
      <c r="D441">
        <v>1E-14</v>
      </c>
      <c r="E441">
        <v>1E-14</v>
      </c>
      <c r="F441">
        <v>1E-14</v>
      </c>
      <c r="G441">
        <v>1E-14</v>
      </c>
      <c r="H441">
        <v>1E-14</v>
      </c>
      <c r="I441">
        <v>1E-14</v>
      </c>
      <c r="J441">
        <v>1E-14</v>
      </c>
      <c r="K441">
        <v>1E-14</v>
      </c>
      <c r="L441">
        <v>1E-14</v>
      </c>
      <c r="M441">
        <v>1E-14</v>
      </c>
      <c r="N441">
        <v>1E-14</v>
      </c>
      <c r="O441">
        <v>1E-14</v>
      </c>
    </row>
    <row r="442" spans="2:15" x14ac:dyDescent="0.25">
      <c r="B442" s="6" t="s">
        <v>21</v>
      </c>
      <c r="C442" s="6" t="s">
        <v>190</v>
      </c>
      <c r="D442">
        <v>1E-14</v>
      </c>
      <c r="E442">
        <v>1E-14</v>
      </c>
      <c r="F442">
        <v>1E-14</v>
      </c>
      <c r="G442">
        <v>1E-14</v>
      </c>
      <c r="H442">
        <v>1E-14</v>
      </c>
      <c r="I442">
        <v>1E-14</v>
      </c>
      <c r="J442">
        <v>1E-14</v>
      </c>
      <c r="K442">
        <v>1E-14</v>
      </c>
      <c r="L442">
        <v>1E-14</v>
      </c>
      <c r="M442">
        <v>1E-14</v>
      </c>
      <c r="N442">
        <v>1E-14</v>
      </c>
      <c r="O442">
        <v>1E-14</v>
      </c>
    </row>
    <row r="443" spans="2:15" x14ac:dyDescent="0.25">
      <c r="B443" s="6" t="s">
        <v>22</v>
      </c>
      <c r="C443" s="6" t="s">
        <v>99</v>
      </c>
      <c r="D443">
        <v>1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>
        <v>1</v>
      </c>
      <c r="O443">
        <v>1</v>
      </c>
    </row>
    <row r="444" spans="2:15" x14ac:dyDescent="0.25">
      <c r="B444" s="6" t="s">
        <v>22</v>
      </c>
      <c r="C444" s="6" t="s">
        <v>178</v>
      </c>
      <c r="D444">
        <v>3</v>
      </c>
      <c r="E444">
        <v>3</v>
      </c>
      <c r="F444">
        <v>3</v>
      </c>
      <c r="G444">
        <v>3</v>
      </c>
      <c r="H444">
        <v>3</v>
      </c>
      <c r="I444">
        <v>3</v>
      </c>
      <c r="J444">
        <v>3</v>
      </c>
      <c r="K444">
        <v>3</v>
      </c>
      <c r="L444">
        <v>3</v>
      </c>
      <c r="M444">
        <v>3</v>
      </c>
      <c r="N444">
        <v>3</v>
      </c>
      <c r="O444">
        <v>3</v>
      </c>
    </row>
    <row r="445" spans="2:15" x14ac:dyDescent="0.25">
      <c r="B445" s="6" t="s">
        <v>22</v>
      </c>
      <c r="C445" s="6" t="s">
        <v>179</v>
      </c>
      <c r="D445">
        <v>1E-14</v>
      </c>
      <c r="E445">
        <v>1E-14</v>
      </c>
      <c r="F445">
        <v>1E-14</v>
      </c>
      <c r="G445">
        <v>1E-14</v>
      </c>
      <c r="H445">
        <v>1E-14</v>
      </c>
      <c r="I445">
        <v>1E-14</v>
      </c>
      <c r="J445">
        <v>1E-14</v>
      </c>
      <c r="K445">
        <v>1E-14</v>
      </c>
      <c r="L445">
        <v>1E-14</v>
      </c>
      <c r="M445">
        <v>1E-14</v>
      </c>
      <c r="N445">
        <v>1E-14</v>
      </c>
      <c r="O445">
        <v>1E-14</v>
      </c>
    </row>
    <row r="446" spans="2:15" x14ac:dyDescent="0.25">
      <c r="B446" s="6" t="s">
        <v>22</v>
      </c>
      <c r="C446" s="6" t="s">
        <v>180</v>
      </c>
      <c r="D446">
        <v>1</v>
      </c>
      <c r="E446">
        <v>1</v>
      </c>
      <c r="F446">
        <v>1</v>
      </c>
      <c r="G446">
        <v>1</v>
      </c>
      <c r="H446">
        <v>1</v>
      </c>
      <c r="I446">
        <v>1</v>
      </c>
      <c r="J446">
        <v>1</v>
      </c>
      <c r="K446">
        <v>1</v>
      </c>
      <c r="L446">
        <v>1</v>
      </c>
      <c r="M446">
        <v>1</v>
      </c>
      <c r="N446">
        <v>1</v>
      </c>
      <c r="O446">
        <v>1</v>
      </c>
    </row>
    <row r="447" spans="2:15" x14ac:dyDescent="0.25">
      <c r="B447" s="6" t="s">
        <v>22</v>
      </c>
      <c r="C447" s="6" t="s">
        <v>202</v>
      </c>
      <c r="D447">
        <v>1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</row>
    <row r="448" spans="2:15" x14ac:dyDescent="0.25">
      <c r="B448" s="6" t="s">
        <v>22</v>
      </c>
      <c r="C448" s="6" t="s">
        <v>181</v>
      </c>
      <c r="D448">
        <v>1E-14</v>
      </c>
      <c r="E448">
        <v>1E-14</v>
      </c>
      <c r="F448">
        <v>1E-14</v>
      </c>
      <c r="G448">
        <v>1E-14</v>
      </c>
      <c r="H448">
        <v>1E-14</v>
      </c>
      <c r="I448">
        <v>1E-14</v>
      </c>
      <c r="J448">
        <v>1E-14</v>
      </c>
      <c r="K448">
        <v>1E-14</v>
      </c>
      <c r="L448">
        <v>1E-14</v>
      </c>
      <c r="M448">
        <v>1E-14</v>
      </c>
      <c r="N448">
        <v>1E-14</v>
      </c>
      <c r="O448">
        <v>1E-14</v>
      </c>
    </row>
    <row r="449" spans="2:15" x14ac:dyDescent="0.25">
      <c r="B449" s="6" t="s">
        <v>22</v>
      </c>
      <c r="C449" s="6" t="s">
        <v>182</v>
      </c>
      <c r="D449">
        <v>1E-14</v>
      </c>
      <c r="E449">
        <v>1E-14</v>
      </c>
      <c r="F449">
        <v>1E-14</v>
      </c>
      <c r="G449">
        <v>1E-14</v>
      </c>
      <c r="H449">
        <v>1E-14</v>
      </c>
      <c r="I449">
        <v>1E-14</v>
      </c>
      <c r="J449">
        <v>1E-14</v>
      </c>
      <c r="K449">
        <v>1E-14</v>
      </c>
      <c r="L449">
        <v>1E-14</v>
      </c>
      <c r="M449">
        <v>1E-14</v>
      </c>
      <c r="N449">
        <v>1E-14</v>
      </c>
      <c r="O449">
        <v>1E-14</v>
      </c>
    </row>
    <row r="450" spans="2:15" x14ac:dyDescent="0.25">
      <c r="B450" s="6" t="s">
        <v>22</v>
      </c>
      <c r="C450" s="6" t="s">
        <v>183</v>
      </c>
      <c r="D450">
        <v>1E-14</v>
      </c>
      <c r="E450">
        <v>1E-14</v>
      </c>
      <c r="F450">
        <v>1E-14</v>
      </c>
      <c r="G450">
        <v>1E-14</v>
      </c>
      <c r="H450">
        <v>1E-14</v>
      </c>
      <c r="I450">
        <v>1E-14</v>
      </c>
      <c r="J450">
        <v>1E-14</v>
      </c>
      <c r="K450">
        <v>1E-14</v>
      </c>
      <c r="L450">
        <v>1E-14</v>
      </c>
      <c r="M450">
        <v>1E-14</v>
      </c>
      <c r="N450">
        <v>1E-14</v>
      </c>
      <c r="O450">
        <v>1E-14</v>
      </c>
    </row>
    <row r="451" spans="2:15" x14ac:dyDescent="0.25">
      <c r="B451" s="6" t="s">
        <v>22</v>
      </c>
      <c r="C451" s="6" t="s">
        <v>184</v>
      </c>
      <c r="D451">
        <v>1E-14</v>
      </c>
      <c r="E451">
        <v>1E-14</v>
      </c>
      <c r="F451">
        <v>1E-14</v>
      </c>
      <c r="G451">
        <v>1E-14</v>
      </c>
      <c r="H451">
        <v>1E-14</v>
      </c>
      <c r="I451">
        <v>1E-14</v>
      </c>
      <c r="J451">
        <v>1E-14</v>
      </c>
      <c r="K451">
        <v>1E-14</v>
      </c>
      <c r="L451">
        <v>1E-14</v>
      </c>
      <c r="M451">
        <v>1E-14</v>
      </c>
      <c r="N451">
        <v>1E-14</v>
      </c>
      <c r="O451">
        <v>1E-14</v>
      </c>
    </row>
    <row r="452" spans="2:15" x14ac:dyDescent="0.25">
      <c r="B452" s="6" t="s">
        <v>22</v>
      </c>
      <c r="C452" s="6" t="s">
        <v>185</v>
      </c>
      <c r="D452">
        <v>20.833333333333332</v>
      </c>
      <c r="E452">
        <v>1E-14</v>
      </c>
      <c r="F452">
        <v>1E-14</v>
      </c>
      <c r="G452">
        <v>1E-14</v>
      </c>
      <c r="H452">
        <v>1E-14</v>
      </c>
      <c r="I452">
        <v>1E-14</v>
      </c>
      <c r="J452">
        <v>1E-14</v>
      </c>
      <c r="K452">
        <v>1E-14</v>
      </c>
      <c r="L452">
        <v>1E-14</v>
      </c>
      <c r="M452">
        <v>1E-14</v>
      </c>
      <c r="N452">
        <v>1E-14</v>
      </c>
      <c r="O452">
        <v>29.166666666666668</v>
      </c>
    </row>
    <row r="453" spans="2:15" x14ac:dyDescent="0.25">
      <c r="B453" s="6" t="s">
        <v>22</v>
      </c>
      <c r="C453" s="6" t="s">
        <v>186</v>
      </c>
      <c r="D453">
        <v>-1</v>
      </c>
      <c r="E453">
        <v>-1</v>
      </c>
      <c r="F453">
        <v>-1</v>
      </c>
      <c r="G453">
        <v>-1</v>
      </c>
      <c r="H453">
        <v>-1</v>
      </c>
      <c r="I453">
        <v>-1</v>
      </c>
      <c r="J453">
        <v>-1</v>
      </c>
      <c r="K453">
        <v>-1</v>
      </c>
      <c r="L453">
        <v>-1</v>
      </c>
      <c r="M453">
        <v>-1</v>
      </c>
      <c r="N453">
        <v>-1</v>
      </c>
      <c r="O453">
        <v>-1</v>
      </c>
    </row>
    <row r="454" spans="2:15" x14ac:dyDescent="0.25">
      <c r="B454" s="6" t="s">
        <v>22</v>
      </c>
      <c r="C454" s="6" t="s">
        <v>187</v>
      </c>
      <c r="D454">
        <v>-1</v>
      </c>
      <c r="E454">
        <v>-1</v>
      </c>
      <c r="F454">
        <v>-1</v>
      </c>
      <c r="G454">
        <v>-1</v>
      </c>
      <c r="H454">
        <v>-1</v>
      </c>
      <c r="I454">
        <v>-1</v>
      </c>
      <c r="J454">
        <v>-1</v>
      </c>
      <c r="K454">
        <v>-1</v>
      </c>
      <c r="L454">
        <v>-1</v>
      </c>
      <c r="M454">
        <v>-1</v>
      </c>
      <c r="N454">
        <v>-1</v>
      </c>
      <c r="O454">
        <v>-1</v>
      </c>
    </row>
    <row r="455" spans="2:15" x14ac:dyDescent="0.25">
      <c r="B455" s="6" t="s">
        <v>22</v>
      </c>
      <c r="C455" s="6" t="s">
        <v>188</v>
      </c>
      <c r="D455">
        <v>-189</v>
      </c>
      <c r="E455">
        <v>-189</v>
      </c>
      <c r="F455">
        <v>-189</v>
      </c>
      <c r="G455">
        <v>-189</v>
      </c>
      <c r="H455">
        <v>-189</v>
      </c>
      <c r="I455">
        <v>-189</v>
      </c>
      <c r="J455">
        <v>-189</v>
      </c>
      <c r="K455">
        <v>-189</v>
      </c>
      <c r="L455">
        <v>-189</v>
      </c>
      <c r="M455">
        <v>-189</v>
      </c>
      <c r="N455">
        <v>-189</v>
      </c>
      <c r="O455">
        <v>-189</v>
      </c>
    </row>
    <row r="456" spans="2:15" x14ac:dyDescent="0.25">
      <c r="B456" s="6" t="s">
        <v>22</v>
      </c>
      <c r="C456" s="6" t="s">
        <v>217</v>
      </c>
      <c r="D456">
        <v>3.6</v>
      </c>
      <c r="E456">
        <v>3.6</v>
      </c>
      <c r="F456">
        <v>3.6</v>
      </c>
      <c r="G456">
        <v>3.6</v>
      </c>
      <c r="H456">
        <v>3.6</v>
      </c>
      <c r="I456">
        <v>3.6</v>
      </c>
      <c r="J456">
        <v>3.6</v>
      </c>
      <c r="K456">
        <v>3.6</v>
      </c>
      <c r="L456">
        <v>3.6</v>
      </c>
      <c r="M456">
        <v>3.6</v>
      </c>
      <c r="N456">
        <v>3.6</v>
      </c>
      <c r="O456">
        <v>3.6</v>
      </c>
    </row>
    <row r="457" spans="2:15" x14ac:dyDescent="0.25">
      <c r="B457" s="6" t="s">
        <v>22</v>
      </c>
      <c r="C457" s="6" t="s">
        <v>189</v>
      </c>
      <c r="D457">
        <v>1E-14</v>
      </c>
      <c r="E457">
        <v>1E-14</v>
      </c>
      <c r="F457">
        <v>1E-14</v>
      </c>
      <c r="G457">
        <v>1E-14</v>
      </c>
      <c r="H457">
        <v>1E-14</v>
      </c>
      <c r="I457">
        <v>1E-14</v>
      </c>
      <c r="J457">
        <v>1E-14</v>
      </c>
      <c r="K457">
        <v>1E-14</v>
      </c>
      <c r="L457">
        <v>1E-14</v>
      </c>
      <c r="M457">
        <v>1E-14</v>
      </c>
      <c r="N457">
        <v>1E-14</v>
      </c>
      <c r="O457">
        <v>1E-14</v>
      </c>
    </row>
    <row r="458" spans="2:15" x14ac:dyDescent="0.25">
      <c r="B458" s="6" t="s">
        <v>22</v>
      </c>
      <c r="C458" s="6" t="s">
        <v>190</v>
      </c>
      <c r="D458">
        <v>1E-14</v>
      </c>
      <c r="E458">
        <v>1E-14</v>
      </c>
      <c r="F458">
        <v>1E-14</v>
      </c>
      <c r="G458">
        <v>1E-14</v>
      </c>
      <c r="H458">
        <v>1E-14</v>
      </c>
      <c r="I458">
        <v>1E-14</v>
      </c>
      <c r="J458">
        <v>1E-14</v>
      </c>
      <c r="K458">
        <v>1E-14</v>
      </c>
      <c r="L458">
        <v>1E-14</v>
      </c>
      <c r="M458">
        <v>1E-14</v>
      </c>
      <c r="N458">
        <v>1E-14</v>
      </c>
      <c r="O458">
        <v>1E-14</v>
      </c>
    </row>
    <row r="459" spans="2:15" x14ac:dyDescent="0.25">
      <c r="B459" s="6" t="s">
        <v>25</v>
      </c>
      <c r="C459" s="6" t="s">
        <v>99</v>
      </c>
      <c r="D459">
        <v>1</v>
      </c>
      <c r="E459">
        <v>1</v>
      </c>
      <c r="F459">
        <v>1</v>
      </c>
      <c r="G459">
        <v>1</v>
      </c>
      <c r="H459">
        <v>1</v>
      </c>
      <c r="I459">
        <v>1</v>
      </c>
      <c r="J459">
        <v>1</v>
      </c>
      <c r="K459">
        <v>1</v>
      </c>
      <c r="L459">
        <v>1</v>
      </c>
      <c r="M459">
        <v>1</v>
      </c>
      <c r="N459">
        <v>1</v>
      </c>
      <c r="O459">
        <v>1</v>
      </c>
    </row>
    <row r="460" spans="2:15" x14ac:dyDescent="0.25">
      <c r="B460" s="6" t="s">
        <v>25</v>
      </c>
      <c r="C460" s="6" t="s">
        <v>178</v>
      </c>
      <c r="D460">
        <v>4</v>
      </c>
      <c r="E460">
        <v>4</v>
      </c>
      <c r="F460">
        <v>4</v>
      </c>
      <c r="G460">
        <v>4</v>
      </c>
      <c r="H460">
        <v>4</v>
      </c>
      <c r="I460">
        <v>4</v>
      </c>
      <c r="J460">
        <v>4</v>
      </c>
      <c r="K460">
        <v>4</v>
      </c>
      <c r="L460">
        <v>4</v>
      </c>
      <c r="M460">
        <v>4</v>
      </c>
      <c r="N460">
        <v>4</v>
      </c>
      <c r="O460">
        <v>4</v>
      </c>
    </row>
    <row r="461" spans="2:15" x14ac:dyDescent="0.25">
      <c r="B461" s="6" t="s">
        <v>25</v>
      </c>
      <c r="C461" s="6" t="s">
        <v>179</v>
      </c>
      <c r="D461">
        <v>1E-14</v>
      </c>
      <c r="E461">
        <v>1E-14</v>
      </c>
      <c r="F461">
        <v>1E-14</v>
      </c>
      <c r="G461">
        <v>1E-14</v>
      </c>
      <c r="H461">
        <v>1E-14</v>
      </c>
      <c r="I461">
        <v>1E-14</v>
      </c>
      <c r="J461">
        <v>1E-14</v>
      </c>
      <c r="K461">
        <v>1E-14</v>
      </c>
      <c r="L461">
        <v>1E-14</v>
      </c>
      <c r="M461">
        <v>1E-14</v>
      </c>
      <c r="N461">
        <v>1E-14</v>
      </c>
      <c r="O461">
        <v>1E-14</v>
      </c>
    </row>
    <row r="462" spans="2:15" x14ac:dyDescent="0.25">
      <c r="B462" s="6" t="s">
        <v>25</v>
      </c>
      <c r="C462" s="6" t="s">
        <v>180</v>
      </c>
      <c r="D462">
        <v>1</v>
      </c>
      <c r="E462">
        <v>1</v>
      </c>
      <c r="F462">
        <v>1</v>
      </c>
      <c r="G462">
        <v>1</v>
      </c>
      <c r="H462">
        <v>1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</row>
    <row r="463" spans="2:15" x14ac:dyDescent="0.25">
      <c r="B463" s="6" t="s">
        <v>25</v>
      </c>
      <c r="C463" s="6" t="s">
        <v>202</v>
      </c>
      <c r="D463">
        <v>1</v>
      </c>
      <c r="E463">
        <v>1</v>
      </c>
      <c r="F463">
        <v>1</v>
      </c>
      <c r="G463">
        <v>1</v>
      </c>
      <c r="H463">
        <v>1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1</v>
      </c>
      <c r="O463">
        <v>1</v>
      </c>
    </row>
    <row r="464" spans="2:15" x14ac:dyDescent="0.25">
      <c r="B464" s="6" t="s">
        <v>25</v>
      </c>
      <c r="C464" s="6" t="s">
        <v>181</v>
      </c>
      <c r="D464">
        <v>1E-14</v>
      </c>
      <c r="E464">
        <v>1E-14</v>
      </c>
      <c r="F464">
        <v>1E-14</v>
      </c>
      <c r="G464">
        <v>1E-14</v>
      </c>
      <c r="H464">
        <v>1E-14</v>
      </c>
      <c r="I464">
        <v>1E-14</v>
      </c>
      <c r="J464">
        <v>1E-14</v>
      </c>
      <c r="K464">
        <v>1E-14</v>
      </c>
      <c r="L464">
        <v>1E-14</v>
      </c>
      <c r="M464">
        <v>1E-14</v>
      </c>
      <c r="N464">
        <v>1E-14</v>
      </c>
      <c r="O464">
        <v>1E-14</v>
      </c>
    </row>
    <row r="465" spans="2:15" x14ac:dyDescent="0.25">
      <c r="B465" s="6" t="s">
        <v>25</v>
      </c>
      <c r="C465" s="6" t="s">
        <v>182</v>
      </c>
      <c r="D465">
        <v>1E-14</v>
      </c>
      <c r="E465">
        <v>1E-14</v>
      </c>
      <c r="F465">
        <v>1E-14</v>
      </c>
      <c r="G465">
        <v>1E-14</v>
      </c>
      <c r="H465">
        <v>1E-14</v>
      </c>
      <c r="I465">
        <v>1E-14</v>
      </c>
      <c r="J465">
        <v>1E-14</v>
      </c>
      <c r="K465">
        <v>1E-14</v>
      </c>
      <c r="L465">
        <v>1E-14</v>
      </c>
      <c r="M465">
        <v>1E-14</v>
      </c>
      <c r="N465">
        <v>1E-14</v>
      </c>
      <c r="O465">
        <v>1E-14</v>
      </c>
    </row>
    <row r="466" spans="2:15" x14ac:dyDescent="0.25">
      <c r="B466" s="6" t="s">
        <v>25</v>
      </c>
      <c r="C466" s="6" t="s">
        <v>183</v>
      </c>
      <c r="D466">
        <v>1E-14</v>
      </c>
      <c r="E466">
        <v>1E-14</v>
      </c>
      <c r="F466">
        <v>1E-14</v>
      </c>
      <c r="G466">
        <v>1E-14</v>
      </c>
      <c r="H466">
        <v>1E-14</v>
      </c>
      <c r="I466">
        <v>1E-14</v>
      </c>
      <c r="J466">
        <v>1E-14</v>
      </c>
      <c r="K466">
        <v>1E-14</v>
      </c>
      <c r="L466">
        <v>1E-14</v>
      </c>
      <c r="M466">
        <v>1E-14</v>
      </c>
      <c r="N466">
        <v>1E-14</v>
      </c>
      <c r="O466">
        <v>1E-14</v>
      </c>
    </row>
    <row r="467" spans="2:15" x14ac:dyDescent="0.25">
      <c r="B467" s="6" t="s">
        <v>25</v>
      </c>
      <c r="C467" s="6" t="s">
        <v>184</v>
      </c>
      <c r="D467">
        <v>1E-14</v>
      </c>
      <c r="E467">
        <v>1E-14</v>
      </c>
      <c r="F467">
        <v>1E-14</v>
      </c>
      <c r="G467">
        <v>1E-14</v>
      </c>
      <c r="H467">
        <v>1E-14</v>
      </c>
      <c r="I467">
        <v>1E-14</v>
      </c>
      <c r="J467">
        <v>1E-14</v>
      </c>
      <c r="K467">
        <v>1E-14</v>
      </c>
      <c r="L467">
        <v>1E-14</v>
      </c>
      <c r="M467">
        <v>1E-14</v>
      </c>
      <c r="N467">
        <v>1E-14</v>
      </c>
      <c r="O467">
        <v>1E-14</v>
      </c>
    </row>
    <row r="468" spans="2:15" x14ac:dyDescent="0.25">
      <c r="B468" s="6" t="s">
        <v>25</v>
      </c>
      <c r="C468" s="6" t="s">
        <v>185</v>
      </c>
      <c r="D468">
        <v>20000</v>
      </c>
      <c r="E468">
        <v>20000</v>
      </c>
      <c r="F468">
        <v>20000</v>
      </c>
      <c r="G468">
        <v>20000</v>
      </c>
      <c r="H468">
        <v>20000</v>
      </c>
      <c r="I468">
        <v>20000</v>
      </c>
      <c r="J468">
        <v>20000</v>
      </c>
      <c r="K468">
        <v>20000</v>
      </c>
      <c r="L468">
        <v>20000</v>
      </c>
      <c r="M468">
        <v>20000</v>
      </c>
      <c r="N468">
        <v>20000</v>
      </c>
      <c r="O468">
        <v>20000</v>
      </c>
    </row>
    <row r="469" spans="2:15" x14ac:dyDescent="0.25">
      <c r="B469" s="6" t="s">
        <v>25</v>
      </c>
      <c r="C469" s="6" t="s">
        <v>186</v>
      </c>
      <c r="D469">
        <v>-1</v>
      </c>
      <c r="E469">
        <v>-1</v>
      </c>
      <c r="F469">
        <v>-1</v>
      </c>
      <c r="G469">
        <v>-1</v>
      </c>
      <c r="H469">
        <v>-1</v>
      </c>
      <c r="I469">
        <v>-1</v>
      </c>
      <c r="J469">
        <v>-1</v>
      </c>
      <c r="K469">
        <v>-1</v>
      </c>
      <c r="L469">
        <v>-1</v>
      </c>
      <c r="M469">
        <v>-1</v>
      </c>
      <c r="N469">
        <v>-1</v>
      </c>
      <c r="O469">
        <v>-1</v>
      </c>
    </row>
    <row r="470" spans="2:15" x14ac:dyDescent="0.25">
      <c r="B470" s="6" t="s">
        <v>25</v>
      </c>
      <c r="C470" s="6" t="s">
        <v>187</v>
      </c>
      <c r="D470">
        <v>-1</v>
      </c>
      <c r="E470">
        <v>-1</v>
      </c>
      <c r="F470">
        <v>-1</v>
      </c>
      <c r="G470">
        <v>-1</v>
      </c>
      <c r="H470">
        <v>-1</v>
      </c>
      <c r="I470">
        <v>-1</v>
      </c>
      <c r="J470">
        <v>-1</v>
      </c>
      <c r="K470">
        <v>-1</v>
      </c>
      <c r="L470">
        <v>-1</v>
      </c>
      <c r="M470">
        <v>-1</v>
      </c>
      <c r="N470">
        <v>-1</v>
      </c>
      <c r="O470">
        <v>-1</v>
      </c>
    </row>
    <row r="471" spans="2:15" x14ac:dyDescent="0.25">
      <c r="B471" s="6" t="s">
        <v>25</v>
      </c>
      <c r="C471" s="6" t="s">
        <v>188</v>
      </c>
      <c r="D471">
        <v>-5000</v>
      </c>
      <c r="E471">
        <v>-5000</v>
      </c>
      <c r="F471">
        <v>-5000</v>
      </c>
      <c r="G471">
        <v>-5000</v>
      </c>
      <c r="H471">
        <v>-5000</v>
      </c>
      <c r="I471">
        <v>-5000</v>
      </c>
      <c r="J471">
        <v>-5000</v>
      </c>
      <c r="K471">
        <v>-5000</v>
      </c>
      <c r="L471">
        <v>-5000</v>
      </c>
      <c r="M471">
        <v>-5000</v>
      </c>
      <c r="N471">
        <v>-5000</v>
      </c>
      <c r="O471">
        <v>-5000</v>
      </c>
    </row>
    <row r="472" spans="2:15" x14ac:dyDescent="0.25">
      <c r="B472" s="6" t="s">
        <v>25</v>
      </c>
      <c r="C472" s="6" t="s">
        <v>217</v>
      </c>
      <c r="D472">
        <v>44</v>
      </c>
      <c r="E472">
        <v>44</v>
      </c>
      <c r="F472">
        <v>44</v>
      </c>
      <c r="G472">
        <v>44</v>
      </c>
      <c r="H472">
        <v>44</v>
      </c>
      <c r="I472">
        <v>44</v>
      </c>
      <c r="J472">
        <v>44</v>
      </c>
      <c r="K472">
        <v>44</v>
      </c>
      <c r="L472">
        <v>44</v>
      </c>
      <c r="M472">
        <v>44</v>
      </c>
      <c r="N472">
        <v>44</v>
      </c>
      <c r="O472">
        <v>44</v>
      </c>
    </row>
    <row r="473" spans="2:15" x14ac:dyDescent="0.25">
      <c r="B473" s="6" t="s">
        <v>25</v>
      </c>
      <c r="C473" s="6" t="s">
        <v>189</v>
      </c>
      <c r="D473">
        <v>1E-14</v>
      </c>
      <c r="E473">
        <v>1E-14</v>
      </c>
      <c r="F473">
        <v>1E-14</v>
      </c>
      <c r="G473">
        <v>1E-14</v>
      </c>
      <c r="H473">
        <v>1E-14</v>
      </c>
      <c r="I473">
        <v>1E-14</v>
      </c>
      <c r="J473">
        <v>1E-14</v>
      </c>
      <c r="K473">
        <v>1E-14</v>
      </c>
      <c r="L473">
        <v>1E-14</v>
      </c>
      <c r="M473">
        <v>1E-14</v>
      </c>
      <c r="N473">
        <v>1E-14</v>
      </c>
      <c r="O473">
        <v>1E-14</v>
      </c>
    </row>
    <row r="474" spans="2:15" x14ac:dyDescent="0.25">
      <c r="B474" s="6" t="s">
        <v>25</v>
      </c>
      <c r="C474" s="6" t="s">
        <v>190</v>
      </c>
      <c r="D474">
        <v>72.727272727272734</v>
      </c>
      <c r="E474">
        <v>72.727272727272734</v>
      </c>
      <c r="F474">
        <v>72.727272727272734</v>
      </c>
      <c r="G474">
        <v>72.727272727272734</v>
      </c>
      <c r="H474">
        <v>72.727272727272734</v>
      </c>
      <c r="I474">
        <v>72.727272727272734</v>
      </c>
      <c r="J474">
        <v>72.727272727272734</v>
      </c>
      <c r="K474">
        <v>72.727272727272734</v>
      </c>
      <c r="L474">
        <v>72.727272727272734</v>
      </c>
      <c r="M474">
        <v>72.727272727272734</v>
      </c>
      <c r="N474">
        <v>72.727272727272734</v>
      </c>
      <c r="O474">
        <v>72.727272727272734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8"/>
  <sheetViews>
    <sheetView zoomScale="85" zoomScaleNormal="85" workbookViewId="0">
      <pane xSplit="3" ySplit="6" topLeftCell="G7" activePane="bottomRight" state="frozen"/>
      <selection pane="topRight" activeCell="D1" sqref="D1"/>
      <selection pane="bottomLeft" activeCell="A6" sqref="A6"/>
      <selection pane="bottomRight" activeCell="C7" sqref="C7:AA7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6" customFormat="1" ht="18.75" x14ac:dyDescent="0.3">
      <c r="A1" s="197" t="s">
        <v>215</v>
      </c>
      <c r="B1" s="195" t="s">
        <v>214</v>
      </c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</row>
    <row r="2" spans="1:27" x14ac:dyDescent="0.25">
      <c r="A2" s="62" t="s">
        <v>91</v>
      </c>
      <c r="B2" s="176">
        <v>0</v>
      </c>
      <c r="C2" s="207">
        <v>44594.501834282404</v>
      </c>
      <c r="D2" s="175" t="str">
        <f>IF($B$2&gt;0,"Virtuelle ressourcer er blevet brugt","")</f>
        <v/>
      </c>
      <c r="E2" s="9"/>
    </row>
    <row r="3" spans="1:27" x14ac:dyDescent="0.25">
      <c r="A3" s="63" t="s">
        <v>90</v>
      </c>
      <c r="B3" s="61">
        <v>44197</v>
      </c>
      <c r="C3" s="64">
        <v>44531</v>
      </c>
      <c r="E3" s="80"/>
    </row>
    <row r="4" spans="1:27" x14ac:dyDescent="0.25">
      <c r="A4" s="63" t="s">
        <v>203</v>
      </c>
      <c r="B4" s="69">
        <v>-1579456.351663338</v>
      </c>
      <c r="C4" s="70" t="s">
        <v>56</v>
      </c>
      <c r="D4" s="16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204</v>
      </c>
      <c r="B5" s="66">
        <v>234943.64833666198</v>
      </c>
      <c r="C5" s="67" t="s">
        <v>56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96</v>
      </c>
      <c r="B7" s="74" t="s">
        <v>67</v>
      </c>
      <c r="C7" s="74" t="s">
        <v>72</v>
      </c>
      <c r="D7" s="78" t="s">
        <v>216</v>
      </c>
      <c r="E7" s="78" t="s">
        <v>223</v>
      </c>
      <c r="F7" s="78" t="s">
        <v>224</v>
      </c>
      <c r="G7" s="78" t="s">
        <v>225</v>
      </c>
      <c r="H7" s="78" t="s">
        <v>226</v>
      </c>
      <c r="I7" s="78" t="s">
        <v>227</v>
      </c>
      <c r="J7" s="78" t="s">
        <v>228</v>
      </c>
      <c r="K7" s="78" t="s">
        <v>229</v>
      </c>
      <c r="L7" s="78" t="s">
        <v>230</v>
      </c>
      <c r="M7" s="78" t="s">
        <v>231</v>
      </c>
      <c r="N7" s="78" t="s">
        <v>232</v>
      </c>
      <c r="O7" s="78" t="s">
        <v>233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240000</v>
      </c>
      <c r="B8" s="50" t="s">
        <v>57</v>
      </c>
      <c r="C8" s="56" t="s">
        <v>29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-(A11-A38)/A8</f>
        <v>5.2791999312589839</v>
      </c>
      <c r="B9" s="50" t="s">
        <v>30</v>
      </c>
      <c r="C9" s="56" t="s">
        <v>205</v>
      </c>
      <c r="D9" s="12">
        <v>87.747020029748768</v>
      </c>
      <c r="E9" s="12">
        <v>94.065720133878528</v>
      </c>
      <c r="F9" s="12">
        <v>68.91958253809004</v>
      </c>
      <c r="G9" s="12">
        <v>40.997252567097078</v>
      </c>
      <c r="H9" s="12">
        <v>1.9303199759734651</v>
      </c>
      <c r="I9" s="12">
        <v>30.267140038278079</v>
      </c>
      <c r="J9" s="12">
        <v>167.36069733450915</v>
      </c>
      <c r="K9" s="12">
        <v>158.14381455227553</v>
      </c>
      <c r="L9" s="12">
        <v>-415.01172418366957</v>
      </c>
      <c r="M9" s="12">
        <v>-92.377271943102883</v>
      </c>
      <c r="N9" s="12">
        <v>-70.864414749529487</v>
      </c>
      <c r="O9" s="12">
        <v>-97.553023925352392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-A11/(A8-A43)</f>
        <v>-2.2808000687410162</v>
      </c>
      <c r="B10" s="50" t="s">
        <v>30</v>
      </c>
      <c r="C10" s="58" t="s">
        <v>206</v>
      </c>
      <c r="D10" s="12">
        <v>74.80734207827895</v>
      </c>
      <c r="E10" s="12">
        <v>94.065720133878528</v>
      </c>
      <c r="F10" s="12">
        <v>68.91958253809004</v>
      </c>
      <c r="G10" s="12">
        <v>40.997252567097078</v>
      </c>
      <c r="H10" s="12">
        <v>1.9303199759734651</v>
      </c>
      <c r="I10" s="12">
        <v>30.267140038278079</v>
      </c>
      <c r="J10" s="12">
        <v>167.36069733450915</v>
      </c>
      <c r="K10" s="12">
        <v>158.14381455227553</v>
      </c>
      <c r="L10" s="12">
        <v>-415.01172418366957</v>
      </c>
      <c r="M10" s="12">
        <v>-92.377271943102883</v>
      </c>
      <c r="N10" s="12">
        <v>-70.864414749529487</v>
      </c>
      <c r="O10" s="12">
        <v>-156.11860545754121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14">
        <f>SUM(D11:AA11)</f>
        <v>547392.0164978439</v>
      </c>
      <c r="B11" s="49" t="s">
        <v>56</v>
      </c>
      <c r="C11" s="58" t="s">
        <v>80</v>
      </c>
      <c r="D11" s="14">
        <v>-2341469.8070501313</v>
      </c>
      <c r="E11" s="14">
        <v>-3010103.0442841128</v>
      </c>
      <c r="F11" s="14">
        <v>-2033127.6848736564</v>
      </c>
      <c r="G11" s="14">
        <v>-819945.05134194158</v>
      </c>
      <c r="H11" s="14">
        <v>-25094.159687655047</v>
      </c>
      <c r="I11" s="14">
        <v>-227003.55028708559</v>
      </c>
      <c r="J11" s="14">
        <v>-1255205.2300088187</v>
      </c>
      <c r="K11" s="14">
        <v>-1107006.7018659287</v>
      </c>
      <c r="L11" s="14">
        <v>3320093.7934693564</v>
      </c>
      <c r="M11" s="14">
        <v>1819832.2572791269</v>
      </c>
      <c r="N11" s="14">
        <v>1948771.4056120608</v>
      </c>
      <c r="O11" s="14">
        <v>4277649.7895366289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s="16" customFormat="1" outlineLevel="1" x14ac:dyDescent="0.25">
      <c r="A12" s="81">
        <f t="shared" ref="A12:A48" si="1">SUM(D12:AA12)</f>
        <v>85834957.993823916</v>
      </c>
      <c r="B12" s="49" t="s">
        <v>56</v>
      </c>
      <c r="C12" s="68" t="s">
        <v>88</v>
      </c>
      <c r="D12" s="14">
        <v>7117943.0203819424</v>
      </c>
      <c r="E12" s="14">
        <v>6424252.4130854327</v>
      </c>
      <c r="F12" s="14">
        <v>6996296.9072643006</v>
      </c>
      <c r="G12" s="14">
        <v>6589092.4202369265</v>
      </c>
      <c r="H12" s="14">
        <v>6995644.2536337208</v>
      </c>
      <c r="I12" s="14">
        <v>2653209.5974065256</v>
      </c>
      <c r="J12" s="14">
        <v>3850128.4934758893</v>
      </c>
      <c r="K12" s="14">
        <v>3843026.6744334712</v>
      </c>
      <c r="L12" s="14">
        <v>8761514.3206134662</v>
      </c>
      <c r="M12" s="14">
        <v>9395965.7257254515</v>
      </c>
      <c r="N12" s="14">
        <v>10421841.052151047</v>
      </c>
      <c r="O12" s="14">
        <v>12786043.115415741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outlineLevel="1" x14ac:dyDescent="0.25">
      <c r="A13" s="14">
        <f t="shared" si="1"/>
        <v>57050262.602700546</v>
      </c>
      <c r="B13" s="49" t="s">
        <v>56</v>
      </c>
      <c r="C13" s="60" t="s">
        <v>81</v>
      </c>
      <c r="D13" s="14">
        <v>5408650.5602710387</v>
      </c>
      <c r="E13" s="14">
        <v>4958830.3908438878</v>
      </c>
      <c r="F13" s="14">
        <v>5408650.5602710387</v>
      </c>
      <c r="G13" s="14">
        <v>5258710.5037953211</v>
      </c>
      <c r="H13" s="14">
        <v>5408650.5602710387</v>
      </c>
      <c r="I13" s="14">
        <v>2409026.8442665585</v>
      </c>
      <c r="J13" s="14">
        <v>3826182.6400567754</v>
      </c>
      <c r="K13" s="14">
        <v>3762498.7695360002</v>
      </c>
      <c r="L13" s="14">
        <v>4533050.1490514902</v>
      </c>
      <c r="M13" s="14">
        <v>5408650.5602710387</v>
      </c>
      <c r="N13" s="14">
        <v>5258710.5037953211</v>
      </c>
      <c r="O13" s="14">
        <v>5408650.5602710387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s="16" customFormat="1" outlineLevel="1" x14ac:dyDescent="0.25">
      <c r="A14" s="14">
        <f t="shared" si="1"/>
        <v>1179379.9724105445</v>
      </c>
      <c r="B14" s="49" t="s">
        <v>56</v>
      </c>
      <c r="C14" s="60" t="s">
        <v>82</v>
      </c>
      <c r="D14" s="14">
        <v>247726.75292856712</v>
      </c>
      <c r="E14" s="14">
        <v>223732.2335627134</v>
      </c>
      <c r="F14" s="14">
        <v>247726.75292856712</v>
      </c>
      <c r="G14" s="14">
        <v>1E-14</v>
      </c>
      <c r="H14" s="14">
        <v>1E-14</v>
      </c>
      <c r="I14" s="14">
        <v>1E-14</v>
      </c>
      <c r="J14" s="14">
        <v>1E-14</v>
      </c>
      <c r="K14" s="14">
        <v>1E-14</v>
      </c>
      <c r="L14" s="14">
        <v>1E-14</v>
      </c>
      <c r="M14" s="14">
        <v>1E-14</v>
      </c>
      <c r="N14" s="14">
        <v>230613.91595144605</v>
      </c>
      <c r="O14" s="14">
        <v>229580.31703925077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ref="A15" si="2">SUM(D15:AA15)</f>
        <v>27605315.418712825</v>
      </c>
      <c r="B15" s="49" t="s">
        <v>56</v>
      </c>
      <c r="C15" s="60" t="s">
        <v>83</v>
      </c>
      <c r="D15" s="14">
        <v>1461565.7071823368</v>
      </c>
      <c r="E15" s="14">
        <v>1241689.7886788312</v>
      </c>
      <c r="F15" s="14">
        <v>1339919.5940646951</v>
      </c>
      <c r="G15" s="14">
        <v>1330381.916441605</v>
      </c>
      <c r="H15" s="14">
        <v>1586993.6933626826</v>
      </c>
      <c r="I15" s="14">
        <v>244182.75313996695</v>
      </c>
      <c r="J15" s="14">
        <v>23945.853419113853</v>
      </c>
      <c r="K15" s="14">
        <v>80527.904897470828</v>
      </c>
      <c r="L15" s="14">
        <v>4228464.171561975</v>
      </c>
      <c r="M15" s="14">
        <v>3987315.1654544128</v>
      </c>
      <c r="N15" s="14">
        <v>4932516.6324042808</v>
      </c>
      <c r="O15" s="14">
        <v>7147812.2381054517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si="1"/>
        <v>1.1999999999999997E-13</v>
      </c>
      <c r="B16" s="49" t="s">
        <v>56</v>
      </c>
      <c r="C16" s="60" t="s">
        <v>208</v>
      </c>
      <c r="D16" s="14">
        <v>1E-14</v>
      </c>
      <c r="E16" s="14">
        <v>1E-14</v>
      </c>
      <c r="F16" s="14">
        <v>1E-14</v>
      </c>
      <c r="G16" s="14">
        <v>1E-14</v>
      </c>
      <c r="H16" s="14">
        <v>1E-14</v>
      </c>
      <c r="I16" s="14">
        <v>1E-14</v>
      </c>
      <c r="J16" s="14">
        <v>1E-14</v>
      </c>
      <c r="K16" s="14">
        <v>1E-14</v>
      </c>
      <c r="L16" s="14">
        <v>1E-14</v>
      </c>
      <c r="M16" s="14">
        <v>1E-14</v>
      </c>
      <c r="N16" s="14">
        <v>1E-14</v>
      </c>
      <c r="O16" s="14">
        <v>1E-14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81">
        <f t="shared" si="1"/>
        <v>85287565.977326065</v>
      </c>
      <c r="B17" s="49" t="s">
        <v>56</v>
      </c>
      <c r="C17" s="68" t="s">
        <v>87</v>
      </c>
      <c r="D17" s="14">
        <v>9459412.8274320737</v>
      </c>
      <c r="E17" s="14">
        <v>9434355.4573695455</v>
      </c>
      <c r="F17" s="14">
        <v>9029424.592137957</v>
      </c>
      <c r="G17" s="14">
        <v>7409037.4715788681</v>
      </c>
      <c r="H17" s="14">
        <v>7020738.4133213758</v>
      </c>
      <c r="I17" s="14">
        <v>2880213.1476936112</v>
      </c>
      <c r="J17" s="14">
        <v>5105333.723484708</v>
      </c>
      <c r="K17" s="14">
        <v>4950033.3762993999</v>
      </c>
      <c r="L17" s="14">
        <v>5441420.5271441098</v>
      </c>
      <c r="M17" s="14">
        <v>7576133.4684463246</v>
      </c>
      <c r="N17" s="14">
        <v>8473069.6465389859</v>
      </c>
      <c r="O17" s="14">
        <v>8508393.3258791119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outlineLevel="1" x14ac:dyDescent="0.25">
      <c r="A18" s="14">
        <f t="shared" si="1"/>
        <v>12999509.748979224</v>
      </c>
      <c r="B18" s="49" t="s">
        <v>56</v>
      </c>
      <c r="C18" s="60" t="s">
        <v>73</v>
      </c>
      <c r="D18" s="14">
        <v>1346080.03</v>
      </c>
      <c r="E18" s="14">
        <v>1309040.03</v>
      </c>
      <c r="F18" s="14">
        <v>1301080.03</v>
      </c>
      <c r="G18" s="14">
        <v>1045600.03</v>
      </c>
      <c r="H18" s="14">
        <v>1157120.03</v>
      </c>
      <c r="I18" s="14">
        <v>373333.82268292684</v>
      </c>
      <c r="J18" s="14">
        <v>999000.03</v>
      </c>
      <c r="K18" s="14">
        <v>974000.03</v>
      </c>
      <c r="L18" s="14">
        <v>980239.64629629627</v>
      </c>
      <c r="M18" s="14">
        <v>1090120.03</v>
      </c>
      <c r="N18" s="14">
        <v>1214413.3533333333</v>
      </c>
      <c r="O18" s="14">
        <v>1209482.6866666668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1584000</v>
      </c>
      <c r="B19" s="49" t="s">
        <v>56</v>
      </c>
      <c r="C19" s="60" t="s">
        <v>74</v>
      </c>
      <c r="D19" s="14">
        <v>404894.11764705874</v>
      </c>
      <c r="E19" s="14">
        <v>1155388.2352941176</v>
      </c>
      <c r="F19" s="14">
        <v>23717.647058823528</v>
      </c>
      <c r="G19" s="14">
        <v>1E-14</v>
      </c>
      <c r="H19" s="14">
        <v>1E-14</v>
      </c>
      <c r="I19" s="14">
        <v>1E-14</v>
      </c>
      <c r="J19" s="14">
        <v>1E-14</v>
      </c>
      <c r="K19" s="14">
        <v>1E-14</v>
      </c>
      <c r="L19" s="14">
        <v>1E-14</v>
      </c>
      <c r="M19" s="14">
        <v>1E-14</v>
      </c>
      <c r="N19" s="14">
        <v>1E-14</v>
      </c>
      <c r="O19" s="14">
        <v>1E-14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s="16" customFormat="1" outlineLevel="1" x14ac:dyDescent="0.25">
      <c r="A20" s="14">
        <f t="shared" si="1"/>
        <v>51641263.495172754</v>
      </c>
      <c r="B20" s="49" t="s">
        <v>56</v>
      </c>
      <c r="C20" s="60" t="s">
        <v>75</v>
      </c>
      <c r="D20" s="14">
        <v>5860324.7441594377</v>
      </c>
      <c r="E20" s="14">
        <v>5300828.0487079695</v>
      </c>
      <c r="F20" s="14">
        <v>5856512.9794535562</v>
      </c>
      <c r="G20" s="14">
        <v>4574995.1033726633</v>
      </c>
      <c r="H20" s="14">
        <v>4015504.4476957982</v>
      </c>
      <c r="I20" s="14">
        <v>1841626.6971703337</v>
      </c>
      <c r="J20" s="14">
        <v>2887994.0215455759</v>
      </c>
      <c r="K20" s="14">
        <v>2783037.9244102114</v>
      </c>
      <c r="L20" s="14">
        <v>2961529.367250151</v>
      </c>
      <c r="M20" s="14">
        <v>4637899.502820746</v>
      </c>
      <c r="N20" s="14">
        <v>5470213.9549994487</v>
      </c>
      <c r="O20" s="14">
        <v>5450796.7035868671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14">
        <f t="shared" si="1"/>
        <v>19062792.733174093</v>
      </c>
      <c r="B21" s="49" t="s">
        <v>56</v>
      </c>
      <c r="C21" s="60" t="s">
        <v>84</v>
      </c>
      <c r="D21" s="14">
        <v>1848113.9356255778</v>
      </c>
      <c r="E21" s="14">
        <v>1669099.1433674574</v>
      </c>
      <c r="F21" s="14">
        <v>1848113.9356255778</v>
      </c>
      <c r="G21" s="14">
        <v>1788442.3382062044</v>
      </c>
      <c r="H21" s="14">
        <v>1848113.9356255778</v>
      </c>
      <c r="I21" s="14">
        <v>665252.62784035073</v>
      </c>
      <c r="J21" s="14">
        <v>1218339.6719391323</v>
      </c>
      <c r="K21" s="14">
        <v>1192995.4218891889</v>
      </c>
      <c r="L21" s="14">
        <v>1499651.5135976626</v>
      </c>
      <c r="M21" s="14">
        <v>1848113.935625578</v>
      </c>
      <c r="N21" s="14">
        <v>1788442.3382062044</v>
      </c>
      <c r="O21" s="14">
        <v>1848113.9356255778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ref="A22:A23" si="3">SUM(D22:AA22)</f>
        <v>1.1999999999999997E-13</v>
      </c>
      <c r="B22" s="49" t="s">
        <v>56</v>
      </c>
      <c r="C22" s="60" t="s">
        <v>121</v>
      </c>
      <c r="D22" s="14">
        <v>1E-14</v>
      </c>
      <c r="E22" s="14">
        <v>1E-14</v>
      </c>
      <c r="F22" s="14">
        <v>1E-14</v>
      </c>
      <c r="G22" s="14">
        <v>1E-14</v>
      </c>
      <c r="H22" s="14">
        <v>1E-14</v>
      </c>
      <c r="I22" s="14">
        <v>1E-14</v>
      </c>
      <c r="J22" s="14">
        <v>1E-14</v>
      </c>
      <c r="K22" s="14">
        <v>1E-14</v>
      </c>
      <c r="L22" s="14">
        <v>1E-14</v>
      </c>
      <c r="M22" s="14">
        <v>1E-14</v>
      </c>
      <c r="N22" s="14">
        <v>1E-14</v>
      </c>
      <c r="O22" s="14">
        <v>1E-14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7">
        <f t="shared" si="3"/>
        <v>46522.984095604865</v>
      </c>
      <c r="B23" s="50" t="s">
        <v>58</v>
      </c>
      <c r="C23" s="58" t="s">
        <v>135</v>
      </c>
      <c r="D23" s="7">
        <v>4510.3451754132466</v>
      </c>
      <c r="E23" s="7">
        <v>4073.4573358571261</v>
      </c>
      <c r="F23" s="7">
        <v>4510.3451754132466</v>
      </c>
      <c r="G23" s="7">
        <v>4364.7158955612067</v>
      </c>
      <c r="H23" s="7">
        <v>4510.3451754132466</v>
      </c>
      <c r="I23" s="7">
        <v>1623.557358975841</v>
      </c>
      <c r="J23" s="7">
        <v>2973.3732079051424</v>
      </c>
      <c r="K23" s="7">
        <v>2911.52024866184</v>
      </c>
      <c r="L23" s="7">
        <v>3659.9182760162598</v>
      </c>
      <c r="M23" s="7">
        <v>4510.3451754132475</v>
      </c>
      <c r="N23" s="7">
        <v>4364.7158955612067</v>
      </c>
      <c r="O23" s="7">
        <v>4510.3451754132466</v>
      </c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outlineLevel="1" x14ac:dyDescent="0.25">
      <c r="A24" s="7">
        <f t="shared" si="1"/>
        <v>46522.984095604865</v>
      </c>
      <c r="B24" s="50" t="s">
        <v>58</v>
      </c>
      <c r="C24" s="58" t="s">
        <v>136</v>
      </c>
      <c r="D24" s="7">
        <v>4510.3451754132466</v>
      </c>
      <c r="E24" s="7">
        <v>4073.4573358571261</v>
      </c>
      <c r="F24" s="7">
        <v>4510.3451754132466</v>
      </c>
      <c r="G24" s="7">
        <v>4364.7158955612067</v>
      </c>
      <c r="H24" s="7">
        <v>4510.3451754132466</v>
      </c>
      <c r="I24" s="7">
        <v>1623.557358975841</v>
      </c>
      <c r="J24" s="7">
        <v>2973.3732079051424</v>
      </c>
      <c r="K24" s="7">
        <v>2911.52024866184</v>
      </c>
      <c r="L24" s="7">
        <v>3659.9182760162598</v>
      </c>
      <c r="M24" s="7">
        <v>4510.3451754132475</v>
      </c>
      <c r="N24" s="7">
        <v>4364.7158955612067</v>
      </c>
      <c r="O24" s="7">
        <v>4510.3451754132466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7">
        <f t="shared" ref="A25" si="4">SUM(D25:AA25)</f>
        <v>45409.082147656976</v>
      </c>
      <c r="B25" s="50" t="s">
        <v>63</v>
      </c>
      <c r="C25" s="58" t="s">
        <v>170</v>
      </c>
      <c r="D25" s="7">
        <v>4593.292682926829</v>
      </c>
      <c r="E25" s="7">
        <v>4148.7804878048773</v>
      </c>
      <c r="F25" s="7">
        <v>4593.292682926829</v>
      </c>
      <c r="G25" s="7">
        <v>4445.1219512195121</v>
      </c>
      <c r="H25" s="7">
        <v>4593.292682926829</v>
      </c>
      <c r="I25" s="7">
        <v>528.62378048780477</v>
      </c>
      <c r="J25" s="7">
        <v>49.448099698119044</v>
      </c>
      <c r="K25" s="7">
        <v>161.24183898189472</v>
      </c>
      <c r="L25" s="7">
        <v>5279.07330653794</v>
      </c>
      <c r="M25" s="7">
        <v>5733.9603658536589</v>
      </c>
      <c r="N25" s="7">
        <v>5548.9939024390242</v>
      </c>
      <c r="O25" s="7">
        <v>5733.9603658536589</v>
      </c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outlineLevel="1" x14ac:dyDescent="0.25">
      <c r="A26" s="7">
        <f t="shared" si="1"/>
        <v>39221.405753434752</v>
      </c>
      <c r="B26" s="50" t="s">
        <v>63</v>
      </c>
      <c r="C26" s="58" t="s">
        <v>169</v>
      </c>
      <c r="D26" s="7">
        <v>3904.4106829268289</v>
      </c>
      <c r="E26" s="7">
        <v>3526.5644878048774</v>
      </c>
      <c r="F26" s="7">
        <v>3904.4106829268289</v>
      </c>
      <c r="G26" s="7">
        <v>3778.4619512195122</v>
      </c>
      <c r="H26" s="7">
        <v>3904.4106829268289</v>
      </c>
      <c r="I26" s="7">
        <v>449.3430918211381</v>
      </c>
      <c r="J26" s="7">
        <v>39.81856636478571</v>
      </c>
      <c r="K26" s="7">
        <v>129.08166675967249</v>
      </c>
      <c r="L26" s="7">
        <v>4612.4133065379401</v>
      </c>
      <c r="M26" s="7">
        <v>5045.0783658536584</v>
      </c>
      <c r="N26" s="7">
        <v>4882.3339024390243</v>
      </c>
      <c r="O26" s="7">
        <v>5045.0783658536584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s="16" customFormat="1" outlineLevel="1" x14ac:dyDescent="0.25">
      <c r="A27" s="82">
        <f t="shared" ref="A27:A32" si="5">SUM(D27:AA27)</f>
        <v>538731.99999999988</v>
      </c>
      <c r="B27" s="50" t="s">
        <v>58</v>
      </c>
      <c r="C27" s="68" t="s">
        <v>173</v>
      </c>
      <c r="D27" s="10">
        <v>44894.333333333328</v>
      </c>
      <c r="E27" s="10">
        <v>44894.333333333328</v>
      </c>
      <c r="F27" s="10">
        <v>44894.333333333328</v>
      </c>
      <c r="G27" s="10">
        <v>44894.333333333328</v>
      </c>
      <c r="H27" s="10">
        <v>44894.333333333328</v>
      </c>
      <c r="I27" s="10">
        <v>44894.333333333328</v>
      </c>
      <c r="J27" s="10">
        <v>44894.333333333328</v>
      </c>
      <c r="K27" s="10">
        <v>44894.333333333328</v>
      </c>
      <c r="L27" s="10">
        <v>44894.333333333328</v>
      </c>
      <c r="M27" s="10">
        <v>44894.333333333328</v>
      </c>
      <c r="N27" s="10">
        <v>44894.333333333328</v>
      </c>
      <c r="O27" s="10">
        <v>44894.333333333328</v>
      </c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:27" s="16" customFormat="1" outlineLevel="1" x14ac:dyDescent="0.25">
      <c r="A28" s="7">
        <f t="shared" si="5"/>
        <v>124716.31890760579</v>
      </c>
      <c r="B28" s="50" t="s">
        <v>58</v>
      </c>
      <c r="C28" s="60" t="s">
        <v>174</v>
      </c>
      <c r="D28" s="10">
        <v>12022.980567344262</v>
      </c>
      <c r="E28" s="10">
        <v>10898.430143776384</v>
      </c>
      <c r="F28" s="10">
        <v>12022.980567344262</v>
      </c>
      <c r="G28" s="10">
        <v>11648.13042615497</v>
      </c>
      <c r="H28" s="10">
        <v>12022.980567344262</v>
      </c>
      <c r="I28" s="10">
        <v>4598.3336781874914</v>
      </c>
      <c r="J28" s="10">
        <v>8066.8107668086041</v>
      </c>
      <c r="K28" s="10">
        <v>7907.601090506666</v>
      </c>
      <c r="L28" s="10">
        <v>9833.9795392953911</v>
      </c>
      <c r="M28" s="10">
        <v>12022.980567344262</v>
      </c>
      <c r="N28" s="10">
        <v>11648.13042615497</v>
      </c>
      <c r="O28" s="10">
        <v>12022.980567344262</v>
      </c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</row>
    <row r="29" spans="1:27" s="16" customFormat="1" outlineLevel="1" x14ac:dyDescent="0.25">
      <c r="A29" s="7">
        <f t="shared" si="5"/>
        <v>294015.68109239434</v>
      </c>
      <c r="B29" s="50" t="s">
        <v>58</v>
      </c>
      <c r="C29" s="60" t="s">
        <v>175</v>
      </c>
      <c r="D29" s="10">
        <v>135</v>
      </c>
      <c r="E29" s="10">
        <v>135</v>
      </c>
      <c r="F29" s="10">
        <v>135</v>
      </c>
      <c r="G29" s="10">
        <v>135</v>
      </c>
      <c r="H29" s="10">
        <v>135</v>
      </c>
      <c r="I29" s="10">
        <v>292530.68109239434</v>
      </c>
      <c r="J29" s="10">
        <v>135</v>
      </c>
      <c r="K29" s="10">
        <v>135</v>
      </c>
      <c r="L29" s="10">
        <v>135</v>
      </c>
      <c r="M29" s="10">
        <v>135</v>
      </c>
      <c r="N29" s="10">
        <v>135</v>
      </c>
      <c r="O29" s="10">
        <v>135</v>
      </c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</row>
    <row r="30" spans="1:27" s="16" customFormat="1" outlineLevel="1" x14ac:dyDescent="0.25">
      <c r="A30" s="7">
        <f t="shared" si="5"/>
        <v>1.1999999999999997E-13</v>
      </c>
      <c r="B30" s="50" t="s">
        <v>58</v>
      </c>
      <c r="C30" s="60" t="s">
        <v>176</v>
      </c>
      <c r="D30" s="10">
        <v>1E-14</v>
      </c>
      <c r="E30" s="10">
        <v>1E-14</v>
      </c>
      <c r="F30" s="10">
        <v>1E-14</v>
      </c>
      <c r="G30" s="10">
        <v>1E-14</v>
      </c>
      <c r="H30" s="10">
        <v>1E-14</v>
      </c>
      <c r="I30" s="10">
        <v>1E-14</v>
      </c>
      <c r="J30" s="10">
        <v>1E-14</v>
      </c>
      <c r="K30" s="10">
        <v>1E-14</v>
      </c>
      <c r="L30" s="10">
        <v>1E-14</v>
      </c>
      <c r="M30" s="10">
        <v>1E-14</v>
      </c>
      <c r="N30" s="10">
        <v>1E-14</v>
      </c>
      <c r="O30" s="10">
        <v>1E-14</v>
      </c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</row>
    <row r="31" spans="1:27" s="16" customFormat="1" outlineLevel="1" x14ac:dyDescent="0.25">
      <c r="A31" s="82">
        <f t="shared" si="5"/>
        <v>283728.22987804876</v>
      </c>
      <c r="B31" s="50" t="s">
        <v>57</v>
      </c>
      <c r="C31" s="68" t="s">
        <v>86</v>
      </c>
      <c r="D31" s="10">
        <v>31300</v>
      </c>
      <c r="E31" s="10">
        <v>32000</v>
      </c>
      <c r="F31" s="10">
        <v>29500</v>
      </c>
      <c r="G31" s="10">
        <v>23040</v>
      </c>
      <c r="H31" s="10">
        <v>23808</v>
      </c>
      <c r="I31" s="10">
        <v>9752.2298780487799</v>
      </c>
      <c r="J31" s="10">
        <v>18660</v>
      </c>
      <c r="K31" s="10">
        <v>18160</v>
      </c>
      <c r="L31" s="10">
        <v>18800</v>
      </c>
      <c r="M31" s="10">
        <v>23808</v>
      </c>
      <c r="N31" s="10">
        <v>27500</v>
      </c>
      <c r="O31" s="10">
        <v>27400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:27" s="16" customFormat="1" outlineLevel="1" x14ac:dyDescent="0.25">
      <c r="A32" s="166">
        <f t="shared" si="5"/>
        <v>230400</v>
      </c>
      <c r="B32" s="50" t="s">
        <v>57</v>
      </c>
      <c r="C32" s="164" t="s">
        <v>195</v>
      </c>
      <c r="D32" s="10">
        <v>31300</v>
      </c>
      <c r="E32" s="10">
        <v>32000</v>
      </c>
      <c r="F32" s="10">
        <v>29500</v>
      </c>
      <c r="G32" s="10">
        <v>20000</v>
      </c>
      <c r="H32" s="10">
        <v>13000</v>
      </c>
      <c r="I32" s="10">
        <v>7500</v>
      </c>
      <c r="J32" s="10">
        <v>7500</v>
      </c>
      <c r="K32" s="10">
        <v>7000</v>
      </c>
      <c r="L32" s="10">
        <v>8000</v>
      </c>
      <c r="M32" s="10">
        <v>19700</v>
      </c>
      <c r="N32" s="10">
        <v>27500</v>
      </c>
      <c r="O32" s="10">
        <v>27400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outlineLevel="1" x14ac:dyDescent="0.25">
      <c r="A33" s="166">
        <f t="shared" si="1"/>
        <v>245003.39306193072</v>
      </c>
      <c r="B33" s="50" t="s">
        <v>57</v>
      </c>
      <c r="C33" s="164" t="s">
        <v>92</v>
      </c>
      <c r="D33" s="10">
        <v>23808</v>
      </c>
      <c r="E33" s="10">
        <v>21504</v>
      </c>
      <c r="F33" s="10">
        <v>23808</v>
      </c>
      <c r="G33" s="10">
        <v>23040</v>
      </c>
      <c r="H33" s="10">
        <v>23808</v>
      </c>
      <c r="I33" s="10">
        <v>9540</v>
      </c>
      <c r="J33" s="10">
        <v>15172.007121294218</v>
      </c>
      <c r="K33" s="10">
        <v>14867.38594063651</v>
      </c>
      <c r="L33" s="10">
        <v>18800</v>
      </c>
      <c r="M33" s="10">
        <v>23808</v>
      </c>
      <c r="N33" s="10">
        <v>23040</v>
      </c>
      <c r="O33" s="10">
        <v>23808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1"/>
        <v>6992.8368161180533</v>
      </c>
      <c r="B34" s="50" t="s">
        <v>57</v>
      </c>
      <c r="C34" s="60" t="s">
        <v>172</v>
      </c>
      <c r="D34" s="10">
        <v>1E-14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212.22987804878051</v>
      </c>
      <c r="J34" s="10">
        <v>3487.9928787057834</v>
      </c>
      <c r="K34" s="10">
        <v>3292.61405936349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ref="A35:A37" si="6">SUM(D35:AA35)</f>
        <v>24251.999999999989</v>
      </c>
      <c r="B35" s="50" t="s">
        <v>57</v>
      </c>
      <c r="C35" s="60" t="s">
        <v>93</v>
      </c>
      <c r="D35" s="10">
        <v>5580</v>
      </c>
      <c r="E35" s="10">
        <v>5040</v>
      </c>
      <c r="F35" s="10">
        <v>5580</v>
      </c>
      <c r="G35" s="10">
        <v>1E-14</v>
      </c>
      <c r="H35" s="10">
        <v>1E-14</v>
      </c>
      <c r="I35" s="10">
        <v>1E-14</v>
      </c>
      <c r="J35" s="10">
        <v>1E-14</v>
      </c>
      <c r="K35" s="10">
        <v>1E-14</v>
      </c>
      <c r="L35" s="10">
        <v>1E-14</v>
      </c>
      <c r="M35" s="10">
        <v>1E-14</v>
      </c>
      <c r="N35" s="10">
        <v>4459.9999999999955</v>
      </c>
      <c r="O35" s="10">
        <v>3591.9999999999936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outlineLevel="1" x14ac:dyDescent="0.25">
      <c r="A36" s="7"/>
      <c r="B36" s="50"/>
      <c r="C36" s="60" t="s">
        <v>94</v>
      </c>
      <c r="D36" s="48">
        <v>0.189873417721519</v>
      </c>
      <c r="E36" s="48">
        <v>0.189873417721519</v>
      </c>
      <c r="F36" s="48">
        <v>0.189873417721519</v>
      </c>
      <c r="G36" s="48">
        <v>1E-14</v>
      </c>
      <c r="H36" s="48">
        <v>1E-14</v>
      </c>
      <c r="I36" s="48">
        <v>1E-14</v>
      </c>
      <c r="J36" s="48">
        <v>1E-14</v>
      </c>
      <c r="K36" s="48">
        <v>1E-14</v>
      </c>
      <c r="L36" s="48">
        <v>1E-14</v>
      </c>
      <c r="M36" s="48">
        <v>1E-14</v>
      </c>
      <c r="N36" s="48">
        <v>0.16218181818181801</v>
      </c>
      <c r="O36" s="48">
        <v>0.13109489051094866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outlineLevel="1" x14ac:dyDescent="0.25">
      <c r="A37" s="7">
        <f t="shared" si="6"/>
        <v>53328.229878048776</v>
      </c>
      <c r="B37" s="50" t="s">
        <v>57</v>
      </c>
      <c r="C37" s="60" t="s">
        <v>85</v>
      </c>
      <c r="D37" s="7">
        <v>1E-14</v>
      </c>
      <c r="E37" s="7">
        <v>1E-14</v>
      </c>
      <c r="F37" s="7">
        <v>1E-14</v>
      </c>
      <c r="G37" s="7">
        <v>3040</v>
      </c>
      <c r="H37" s="7">
        <v>10808</v>
      </c>
      <c r="I37" s="7">
        <v>2252.2298780487799</v>
      </c>
      <c r="J37" s="7">
        <v>11160</v>
      </c>
      <c r="K37" s="7">
        <v>11160</v>
      </c>
      <c r="L37" s="7">
        <v>10800</v>
      </c>
      <c r="M37" s="7">
        <v>4108</v>
      </c>
      <c r="N37" s="7">
        <v>1E-14</v>
      </c>
      <c r="O37" s="7">
        <v>1E-14</v>
      </c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</row>
    <row r="38" spans="1:27" outlineLevel="1" x14ac:dyDescent="0.25">
      <c r="A38" s="82">
        <f t="shared" si="1"/>
        <v>1814400</v>
      </c>
      <c r="B38" s="49" t="s">
        <v>56</v>
      </c>
      <c r="C38" s="167" t="s">
        <v>89</v>
      </c>
      <c r="D38" s="14">
        <v>756000</v>
      </c>
      <c r="E38" s="14">
        <v>1E-14</v>
      </c>
      <c r="F38" s="14">
        <v>1E-14</v>
      </c>
      <c r="G38" s="14">
        <v>1E-14</v>
      </c>
      <c r="H38" s="14">
        <v>1E-14</v>
      </c>
      <c r="I38" s="14">
        <v>1E-14</v>
      </c>
      <c r="J38" s="14">
        <v>1E-14</v>
      </c>
      <c r="K38" s="14">
        <v>1E-14</v>
      </c>
      <c r="L38" s="14">
        <v>1E-14</v>
      </c>
      <c r="M38" s="14">
        <v>1E-14</v>
      </c>
      <c r="N38" s="14">
        <v>1E-14</v>
      </c>
      <c r="O38" s="14">
        <v>1058400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s="16" customFormat="1" outlineLevel="1" x14ac:dyDescent="0.25">
      <c r="A39" s="81">
        <f t="shared" si="1"/>
        <v>1.1999999999999997E-13</v>
      </c>
      <c r="B39" s="49" t="s">
        <v>56</v>
      </c>
      <c r="C39" s="165" t="s">
        <v>76</v>
      </c>
      <c r="D39" s="14">
        <v>1E-14</v>
      </c>
      <c r="E39" s="14">
        <v>1E-14</v>
      </c>
      <c r="F39" s="14">
        <v>1E-14</v>
      </c>
      <c r="G39" s="14">
        <v>1E-14</v>
      </c>
      <c r="H39" s="14">
        <v>1E-14</v>
      </c>
      <c r="I39" s="14">
        <v>1E-14</v>
      </c>
      <c r="J39" s="14">
        <v>1E-14</v>
      </c>
      <c r="K39" s="14">
        <v>1E-14</v>
      </c>
      <c r="L39" s="14">
        <v>1E-14</v>
      </c>
      <c r="M39" s="14">
        <v>1E-14</v>
      </c>
      <c r="N39" s="14">
        <v>1E-14</v>
      </c>
      <c r="O39" s="14">
        <v>1E-14</v>
      </c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s="16" customFormat="1" outlineLevel="1" x14ac:dyDescent="0.25">
      <c r="A40" s="14">
        <f t="shared" si="1"/>
        <v>1814400</v>
      </c>
      <c r="B40" s="49" t="s">
        <v>56</v>
      </c>
      <c r="C40" s="59" t="s">
        <v>77</v>
      </c>
      <c r="D40" s="14">
        <v>756000</v>
      </c>
      <c r="E40" s="14">
        <v>1E-14</v>
      </c>
      <c r="F40" s="14">
        <v>1E-14</v>
      </c>
      <c r="G40" s="14">
        <v>1E-14</v>
      </c>
      <c r="H40" s="14">
        <v>1E-14</v>
      </c>
      <c r="I40" s="14">
        <v>1E-14</v>
      </c>
      <c r="J40" s="14">
        <v>1E-14</v>
      </c>
      <c r="K40" s="14">
        <v>1E-14</v>
      </c>
      <c r="L40" s="14">
        <v>1E-14</v>
      </c>
      <c r="M40" s="14">
        <v>1E-14</v>
      </c>
      <c r="N40" s="14">
        <v>1E-14</v>
      </c>
      <c r="O40" s="14">
        <v>1058400</v>
      </c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s="16" customFormat="1" outlineLevel="1" x14ac:dyDescent="0.25">
      <c r="A41" s="14">
        <f t="shared" si="1"/>
        <v>1.1999999999999997E-13</v>
      </c>
      <c r="B41" s="49" t="s">
        <v>56</v>
      </c>
      <c r="C41" s="59" t="s">
        <v>78</v>
      </c>
      <c r="D41" s="14">
        <v>1E-14</v>
      </c>
      <c r="E41" s="14">
        <v>1E-14</v>
      </c>
      <c r="F41" s="14">
        <v>1E-14</v>
      </c>
      <c r="G41" s="14">
        <v>1E-14</v>
      </c>
      <c r="H41" s="14">
        <v>1E-14</v>
      </c>
      <c r="I41" s="14">
        <v>1E-14</v>
      </c>
      <c r="J41" s="14">
        <v>1E-14</v>
      </c>
      <c r="K41" s="14">
        <v>1E-14</v>
      </c>
      <c r="L41" s="14">
        <v>1E-14</v>
      </c>
      <c r="M41" s="14">
        <v>1E-14</v>
      </c>
      <c r="N41" s="14">
        <v>1E-14</v>
      </c>
      <c r="O41" s="14">
        <v>1E-14</v>
      </c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s="16" customFormat="1" outlineLevel="1" x14ac:dyDescent="0.25">
      <c r="A42" s="7">
        <f t="shared" si="1"/>
        <v>1.1999999999999997E-13</v>
      </c>
      <c r="B42" s="50" t="s">
        <v>58</v>
      </c>
      <c r="C42" s="57" t="s">
        <v>79</v>
      </c>
      <c r="D42" s="7">
        <v>1E-14</v>
      </c>
      <c r="E42" s="7">
        <v>1E-14</v>
      </c>
      <c r="F42" s="7">
        <v>1E-14</v>
      </c>
      <c r="G42" s="7">
        <v>1E-14</v>
      </c>
      <c r="H42" s="7">
        <v>1E-14</v>
      </c>
      <c r="I42" s="7">
        <v>1E-14</v>
      </c>
      <c r="J42" s="7">
        <v>1E-14</v>
      </c>
      <c r="K42" s="7">
        <v>1E-14</v>
      </c>
      <c r="L42" s="7">
        <v>1E-14</v>
      </c>
      <c r="M42" s="7">
        <v>1E-14</v>
      </c>
      <c r="N42" s="7">
        <v>1E-14</v>
      </c>
      <c r="O42" s="7">
        <v>1E-14</v>
      </c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s="16" customFormat="1" outlineLevel="1" x14ac:dyDescent="0.25">
      <c r="A43" s="7">
        <f t="shared" si="1"/>
        <v>1.1999999999999997E-13</v>
      </c>
      <c r="B43" s="50" t="s">
        <v>57</v>
      </c>
      <c r="C43" s="57" t="s">
        <v>95</v>
      </c>
      <c r="D43" s="7">
        <v>1E-14</v>
      </c>
      <c r="E43" s="7">
        <v>1E-14</v>
      </c>
      <c r="F43" s="7">
        <v>1E-14</v>
      </c>
      <c r="G43" s="7">
        <v>1E-14</v>
      </c>
      <c r="H43" s="7">
        <v>1E-14</v>
      </c>
      <c r="I43" s="7">
        <v>1E-14</v>
      </c>
      <c r="J43" s="7">
        <v>1E-14</v>
      </c>
      <c r="K43" s="7">
        <v>1E-14</v>
      </c>
      <c r="L43" s="7">
        <v>1E-14</v>
      </c>
      <c r="M43" s="7">
        <v>1E-14</v>
      </c>
      <c r="N43" s="7">
        <v>1E-14</v>
      </c>
      <c r="O43" s="7">
        <v>1E-14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169">
        <f t="shared" si="1"/>
        <v>9600</v>
      </c>
      <c r="B44" s="50" t="s">
        <v>57</v>
      </c>
      <c r="C44" s="168" t="s">
        <v>194</v>
      </c>
      <c r="D44" s="7">
        <v>4000</v>
      </c>
      <c r="E44" s="7">
        <v>1E-14</v>
      </c>
      <c r="F44" s="7">
        <v>1E-14</v>
      </c>
      <c r="G44" s="7">
        <v>1E-14</v>
      </c>
      <c r="H44" s="7">
        <v>1E-14</v>
      </c>
      <c r="I44" s="7">
        <v>1E-14</v>
      </c>
      <c r="J44" s="7">
        <v>1E-14</v>
      </c>
      <c r="K44" s="7">
        <v>1E-14</v>
      </c>
      <c r="L44" s="7">
        <v>1E-14</v>
      </c>
      <c r="M44" s="7">
        <v>1E-14</v>
      </c>
      <c r="N44" s="7">
        <v>1E-14</v>
      </c>
      <c r="O44" s="7">
        <v>5600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s="172" customFormat="1" outlineLevel="1" x14ac:dyDescent="0.25">
      <c r="A45" s="170">
        <f t="shared" si="1"/>
        <v>1.1999999999999997E-13</v>
      </c>
      <c r="B45" s="171" t="s">
        <v>57</v>
      </c>
      <c r="C45" s="173" t="s">
        <v>198</v>
      </c>
      <c r="D45" s="170">
        <v>1E-14</v>
      </c>
      <c r="E45" s="170">
        <v>1E-14</v>
      </c>
      <c r="F45" s="170">
        <v>1E-14</v>
      </c>
      <c r="G45" s="170">
        <v>1E-14</v>
      </c>
      <c r="H45" s="170">
        <v>1E-14</v>
      </c>
      <c r="I45" s="170">
        <v>1E-14</v>
      </c>
      <c r="J45" s="170">
        <v>1E-14</v>
      </c>
      <c r="K45" s="170">
        <v>1E-14</v>
      </c>
      <c r="L45" s="170">
        <v>1E-14</v>
      </c>
      <c r="M45" s="170">
        <v>1E-14</v>
      </c>
      <c r="N45" s="170">
        <v>1E-14</v>
      </c>
      <c r="O45" s="170">
        <v>1E-14</v>
      </c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Z45" s="170"/>
      <c r="AA45" s="170"/>
    </row>
    <row r="46" spans="1:27" s="16" customFormat="1" outlineLevel="1" x14ac:dyDescent="0.25">
      <c r="A46" s="7">
        <f t="shared" si="1"/>
        <v>1.1999999999999997E-13</v>
      </c>
      <c r="B46" s="50" t="s">
        <v>57</v>
      </c>
      <c r="C46" s="174" t="s">
        <v>200</v>
      </c>
      <c r="D46" s="7">
        <v>1E-14</v>
      </c>
      <c r="E46" s="7">
        <v>1E-14</v>
      </c>
      <c r="F46" s="7">
        <v>1E-14</v>
      </c>
      <c r="G46" s="7">
        <v>1E-14</v>
      </c>
      <c r="H46" s="7">
        <v>1E-14</v>
      </c>
      <c r="I46" s="7">
        <v>1E-14</v>
      </c>
      <c r="J46" s="7">
        <v>1E-14</v>
      </c>
      <c r="K46" s="7">
        <v>1E-14</v>
      </c>
      <c r="L46" s="7">
        <v>1E-14</v>
      </c>
      <c r="M46" s="7">
        <v>1E-14</v>
      </c>
      <c r="N46" s="7">
        <v>1E-14</v>
      </c>
      <c r="O46" s="7">
        <v>1E-14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s="16" customFormat="1" outlineLevel="1" x14ac:dyDescent="0.25">
      <c r="A47" s="7">
        <f t="shared" si="1"/>
        <v>1.1999999999999997E-13</v>
      </c>
      <c r="B47" s="50" t="s">
        <v>58</v>
      </c>
      <c r="C47" s="174" t="s">
        <v>199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s="16" customFormat="1" outlineLevel="1" x14ac:dyDescent="0.25">
      <c r="A48" s="7">
        <f t="shared" si="1"/>
        <v>1.1999999999999997E-13</v>
      </c>
      <c r="B48" s="50" t="s">
        <v>58</v>
      </c>
      <c r="C48" s="174" t="s">
        <v>201</v>
      </c>
      <c r="D48" s="7">
        <v>1E-14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1E-14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outlineLevel="1" x14ac:dyDescent="0.25">
      <c r="B49" s="51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s="75" customFormat="1" ht="18.75" x14ac:dyDescent="0.3">
      <c r="A50" s="77" t="s">
        <v>218</v>
      </c>
      <c r="B50" s="74" t="s">
        <v>67</v>
      </c>
      <c r="C50" s="76"/>
      <c r="D50" s="78" t="s">
        <v>216</v>
      </c>
      <c r="E50" s="78" t="s">
        <v>223</v>
      </c>
      <c r="F50" s="78" t="s">
        <v>224</v>
      </c>
      <c r="G50" s="78" t="s">
        <v>225</v>
      </c>
      <c r="H50" s="78" t="s">
        <v>226</v>
      </c>
      <c r="I50" s="78" t="s">
        <v>227</v>
      </c>
      <c r="J50" s="78" t="s">
        <v>228</v>
      </c>
      <c r="K50" s="78" t="s">
        <v>229</v>
      </c>
      <c r="L50" s="78" t="s">
        <v>230</v>
      </c>
      <c r="M50" s="78" t="s">
        <v>231</v>
      </c>
      <c r="N50" s="78" t="s">
        <v>232</v>
      </c>
      <c r="O50" s="78" t="s">
        <v>233</v>
      </c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</row>
    <row r="51" spans="1:27" outlineLevel="1" x14ac:dyDescent="0.25">
      <c r="A51" s="13">
        <f t="shared" ref="A51:A87" si="7">SUM(D51:O51)</f>
        <v>76659.219185185182</v>
      </c>
      <c r="B51" s="50" t="s">
        <v>57</v>
      </c>
      <c r="C51" s="5" t="s">
        <v>110</v>
      </c>
      <c r="D51" s="13">
        <v>8556</v>
      </c>
      <c r="E51" s="13">
        <v>7728</v>
      </c>
      <c r="F51" s="13">
        <v>8556</v>
      </c>
      <c r="G51" s="13">
        <v>6840</v>
      </c>
      <c r="H51" s="13">
        <v>7068</v>
      </c>
      <c r="I51" s="13">
        <v>6840</v>
      </c>
      <c r="J51" s="13">
        <v>2280</v>
      </c>
      <c r="K51" s="13">
        <v>2280</v>
      </c>
      <c r="L51" s="13">
        <v>3388.0191851851855</v>
      </c>
      <c r="M51" s="13">
        <v>7068</v>
      </c>
      <c r="N51" s="13">
        <v>8029.3333333333321</v>
      </c>
      <c r="O51" s="13">
        <v>8025.866666666665</v>
      </c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1:27" outlineLevel="1" x14ac:dyDescent="0.25">
      <c r="A52" s="13">
        <f t="shared" si="7"/>
        <v>199589.01069286358</v>
      </c>
      <c r="B52" s="50" t="s">
        <v>57</v>
      </c>
      <c r="C52" s="5" t="s">
        <v>111</v>
      </c>
      <c r="D52" s="13">
        <v>20832</v>
      </c>
      <c r="E52" s="13">
        <v>18816</v>
      </c>
      <c r="F52" s="13">
        <v>20832</v>
      </c>
      <c r="G52" s="13">
        <v>16200</v>
      </c>
      <c r="H52" s="13">
        <v>16740</v>
      </c>
      <c r="I52" s="13">
        <v>2912.2298780487804</v>
      </c>
      <c r="J52" s="13">
        <v>16380</v>
      </c>
      <c r="K52" s="13">
        <v>15880</v>
      </c>
      <c r="L52" s="13">
        <v>15411.980814814815</v>
      </c>
      <c r="M52" s="13">
        <v>16740</v>
      </c>
      <c r="N52" s="13">
        <v>19470.666666666668</v>
      </c>
      <c r="O52" s="13">
        <v>19374.133333333335</v>
      </c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outlineLevel="1" x14ac:dyDescent="0.25">
      <c r="A53" s="13">
        <f t="shared" si="7"/>
        <v>7480</v>
      </c>
      <c r="B53" s="50" t="s">
        <v>57</v>
      </c>
      <c r="C53" s="5" t="s">
        <v>112</v>
      </c>
      <c r="D53" s="13">
        <v>1912</v>
      </c>
      <c r="E53" s="13">
        <v>5456</v>
      </c>
      <c r="F53" s="13">
        <v>112</v>
      </c>
      <c r="G53" s="13">
        <v>1E-14</v>
      </c>
      <c r="H53" s="13">
        <v>1E-14</v>
      </c>
      <c r="I53" s="13">
        <v>1E-14</v>
      </c>
      <c r="J53" s="13">
        <v>1E-14</v>
      </c>
      <c r="K53" s="13">
        <v>1E-14</v>
      </c>
      <c r="L53" s="13">
        <v>1E-14</v>
      </c>
      <c r="M53" s="13">
        <v>1E-14</v>
      </c>
      <c r="N53" s="13">
        <v>1E-14</v>
      </c>
      <c r="O53" s="13">
        <v>1E-14</v>
      </c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1:27" outlineLevel="1" x14ac:dyDescent="0.25">
      <c r="A54" s="13">
        <f t="shared" si="7"/>
        <v>9600</v>
      </c>
      <c r="B54" s="50" t="s">
        <v>57</v>
      </c>
      <c r="C54" s="5" t="s">
        <v>71</v>
      </c>
      <c r="D54" s="198">
        <v>4000</v>
      </c>
      <c r="E54" s="13">
        <v>1E-14</v>
      </c>
      <c r="F54" s="13">
        <v>1E-14</v>
      </c>
      <c r="G54" s="13">
        <v>1E-14</v>
      </c>
      <c r="H54" s="13">
        <v>1E-14</v>
      </c>
      <c r="I54" s="13">
        <v>1E-14</v>
      </c>
      <c r="J54" s="13">
        <v>1E-14</v>
      </c>
      <c r="K54" s="13">
        <v>1E-14</v>
      </c>
      <c r="L54" s="13">
        <v>1E-14</v>
      </c>
      <c r="M54" s="13">
        <v>1E-14</v>
      </c>
      <c r="N54" s="13">
        <v>1E-14</v>
      </c>
      <c r="O54" s="13">
        <v>5600</v>
      </c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outlineLevel="1" x14ac:dyDescent="0.25">
      <c r="A55" s="13">
        <f t="shared" si="7"/>
        <v>-53328.229878048776</v>
      </c>
      <c r="B55" s="50" t="s">
        <v>57</v>
      </c>
      <c r="C55" s="5" t="s">
        <v>113</v>
      </c>
      <c r="D55" s="13">
        <v>-1E-14</v>
      </c>
      <c r="E55" s="13">
        <v>-1E-14</v>
      </c>
      <c r="F55" s="13">
        <v>-1E-14</v>
      </c>
      <c r="G55" s="13">
        <v>-3040</v>
      </c>
      <c r="H55" s="13">
        <v>-10808</v>
      </c>
      <c r="I55" s="13">
        <v>-2252.2298780487799</v>
      </c>
      <c r="J55" s="13">
        <v>-11160</v>
      </c>
      <c r="K55" s="13">
        <v>-11160</v>
      </c>
      <c r="L55" s="13">
        <v>-10800</v>
      </c>
      <c r="M55" s="13">
        <v>-4108</v>
      </c>
      <c r="N55" s="13">
        <v>-1E-14</v>
      </c>
      <c r="O55" s="13">
        <v>-1E-14</v>
      </c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1:27" outlineLevel="1" x14ac:dyDescent="0.25">
      <c r="A56" s="13">
        <f t="shared" si="7"/>
        <v>1.1999999999999997E-13</v>
      </c>
      <c r="B56" s="50" t="s">
        <v>57</v>
      </c>
      <c r="C56" s="5" t="s">
        <v>114</v>
      </c>
      <c r="D56" s="13">
        <v>1E-14</v>
      </c>
      <c r="E56" s="13">
        <v>1E-14</v>
      </c>
      <c r="F56" s="13">
        <v>1E-14</v>
      </c>
      <c r="G56" s="13">
        <v>1E-14</v>
      </c>
      <c r="H56" s="13">
        <v>1E-14</v>
      </c>
      <c r="I56" s="13">
        <v>1E-14</v>
      </c>
      <c r="J56" s="13">
        <v>1E-14</v>
      </c>
      <c r="K56" s="13">
        <v>1E-14</v>
      </c>
      <c r="L56" s="13">
        <v>1E-14</v>
      </c>
      <c r="M56" s="13">
        <v>1E-14</v>
      </c>
      <c r="N56" s="13">
        <v>1E-14</v>
      </c>
      <c r="O56" s="13">
        <v>1E-14</v>
      </c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4"/>
      <c r="B57" s="27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</row>
    <row r="58" spans="1:27" s="75" customFormat="1" ht="18.75" x14ac:dyDescent="0.3">
      <c r="A58" s="77" t="s">
        <v>219</v>
      </c>
      <c r="B58" s="74" t="s">
        <v>67</v>
      </c>
      <c r="C58" s="76"/>
      <c r="D58" s="78" t="s">
        <v>216</v>
      </c>
      <c r="E58" s="78" t="s">
        <v>223</v>
      </c>
      <c r="F58" s="78" t="s">
        <v>224</v>
      </c>
      <c r="G58" s="78" t="s">
        <v>225</v>
      </c>
      <c r="H58" s="78" t="s">
        <v>226</v>
      </c>
      <c r="I58" s="78" t="s">
        <v>227</v>
      </c>
      <c r="J58" s="78" t="s">
        <v>228</v>
      </c>
      <c r="K58" s="78" t="s">
        <v>229</v>
      </c>
      <c r="L58" s="78" t="s">
        <v>230</v>
      </c>
      <c r="M58" s="78" t="s">
        <v>231</v>
      </c>
      <c r="N58" s="78" t="s">
        <v>232</v>
      </c>
      <c r="O58" s="78" t="s">
        <v>233</v>
      </c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</row>
    <row r="59" spans="1:27" outlineLevel="1" x14ac:dyDescent="0.25">
      <c r="A59" s="200">
        <f t="shared" si="7"/>
        <v>9093</v>
      </c>
      <c r="B59" s="52" t="s">
        <v>58</v>
      </c>
      <c r="C59" s="8" t="s">
        <v>0</v>
      </c>
      <c r="D59" s="200">
        <v>757.75</v>
      </c>
      <c r="E59" s="200">
        <v>757.75</v>
      </c>
      <c r="F59" s="200">
        <v>757.75</v>
      </c>
      <c r="G59" s="200">
        <v>757.75</v>
      </c>
      <c r="H59" s="200">
        <v>757.75</v>
      </c>
      <c r="I59" s="200">
        <v>757.75</v>
      </c>
      <c r="J59" s="200">
        <v>757.75</v>
      </c>
      <c r="K59" s="200">
        <v>757.75</v>
      </c>
      <c r="L59" s="200">
        <v>757.75</v>
      </c>
      <c r="M59" s="200">
        <v>757.75</v>
      </c>
      <c r="N59" s="200">
        <v>757.75</v>
      </c>
      <c r="O59" s="200">
        <v>757.75</v>
      </c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</row>
    <row r="60" spans="1:27" outlineLevel="1" x14ac:dyDescent="0.25">
      <c r="A60" s="200">
        <f t="shared" si="7"/>
        <v>-1.1999999999999997E-13</v>
      </c>
      <c r="B60" s="52" t="s">
        <v>58</v>
      </c>
      <c r="C60" s="8" t="s">
        <v>1</v>
      </c>
      <c r="D60" s="200">
        <v>-1E-14</v>
      </c>
      <c r="E60" s="200">
        <v>-1E-14</v>
      </c>
      <c r="F60" s="200">
        <v>-1E-14</v>
      </c>
      <c r="G60" s="200">
        <v>-1E-14</v>
      </c>
      <c r="H60" s="200">
        <v>-1E-14</v>
      </c>
      <c r="I60" s="200">
        <v>-1E-14</v>
      </c>
      <c r="J60" s="200">
        <v>-1E-14</v>
      </c>
      <c r="K60" s="200">
        <v>-1E-14</v>
      </c>
      <c r="L60" s="200">
        <v>-1E-14</v>
      </c>
      <c r="M60" s="200">
        <v>-1E-14</v>
      </c>
      <c r="N60" s="200">
        <v>-1E-14</v>
      </c>
      <c r="O60" s="200">
        <v>-1E-14</v>
      </c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</row>
    <row r="61" spans="1:27" outlineLevel="1" x14ac:dyDescent="0.25">
      <c r="A61" s="200">
        <f t="shared" si="7"/>
        <v>-1.1999999999999997E-13</v>
      </c>
      <c r="B61" s="52" t="s">
        <v>58</v>
      </c>
      <c r="C61" s="8" t="s">
        <v>2</v>
      </c>
      <c r="D61" s="200">
        <v>-1E-14</v>
      </c>
      <c r="E61" s="200">
        <v>-1E-14</v>
      </c>
      <c r="F61" s="200">
        <v>-1E-14</v>
      </c>
      <c r="G61" s="200">
        <v>-1E-14</v>
      </c>
      <c r="H61" s="200">
        <v>-1E-14</v>
      </c>
      <c r="I61" s="200">
        <v>-1E-14</v>
      </c>
      <c r="J61" s="200">
        <v>-1E-14</v>
      </c>
      <c r="K61" s="200">
        <v>-1E-14</v>
      </c>
      <c r="L61" s="200">
        <v>-1E-14</v>
      </c>
      <c r="M61" s="200">
        <v>-1E-14</v>
      </c>
      <c r="N61" s="200">
        <v>-1E-14</v>
      </c>
      <c r="O61" s="200">
        <v>-1E-14</v>
      </c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</row>
    <row r="62" spans="1:27" outlineLevel="1" x14ac:dyDescent="0.25">
      <c r="A62" s="200">
        <f t="shared" si="7"/>
        <v>28869</v>
      </c>
      <c r="B62" s="52" t="s">
        <v>58</v>
      </c>
      <c r="C62" s="8" t="s">
        <v>3</v>
      </c>
      <c r="D62" s="200">
        <v>2405.75</v>
      </c>
      <c r="E62" s="200">
        <v>2405.75</v>
      </c>
      <c r="F62" s="200">
        <v>2405.75</v>
      </c>
      <c r="G62" s="200">
        <v>2405.75</v>
      </c>
      <c r="H62" s="200">
        <v>2405.75</v>
      </c>
      <c r="I62" s="200">
        <v>2405.75</v>
      </c>
      <c r="J62" s="200">
        <v>2405.75</v>
      </c>
      <c r="K62" s="200">
        <v>2405.75</v>
      </c>
      <c r="L62" s="200">
        <v>2405.75</v>
      </c>
      <c r="M62" s="200">
        <v>2405.75</v>
      </c>
      <c r="N62" s="200">
        <v>2405.75</v>
      </c>
      <c r="O62" s="200">
        <v>2405.75</v>
      </c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</row>
    <row r="63" spans="1:27" outlineLevel="1" x14ac:dyDescent="0.25">
      <c r="A63" s="200">
        <f t="shared" si="7"/>
        <v>3499.9999999999995</v>
      </c>
      <c r="B63" s="52" t="s">
        <v>58</v>
      </c>
      <c r="C63" s="8" t="s">
        <v>4</v>
      </c>
      <c r="D63" s="200">
        <v>291.66666666666669</v>
      </c>
      <c r="E63" s="200">
        <v>291.66666666666669</v>
      </c>
      <c r="F63" s="200">
        <v>291.66666666666669</v>
      </c>
      <c r="G63" s="200">
        <v>291.66666666666669</v>
      </c>
      <c r="H63" s="200">
        <v>291.66666666666669</v>
      </c>
      <c r="I63" s="200">
        <v>291.66666666666669</v>
      </c>
      <c r="J63" s="200">
        <v>291.66666666666669</v>
      </c>
      <c r="K63" s="200">
        <v>291.66666666666669</v>
      </c>
      <c r="L63" s="200">
        <v>291.66666666666669</v>
      </c>
      <c r="M63" s="200">
        <v>291.66666666666669</v>
      </c>
      <c r="N63" s="200">
        <v>291.66666666666669</v>
      </c>
      <c r="O63" s="200">
        <v>291.66666666666669</v>
      </c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</row>
    <row r="64" spans="1:27" outlineLevel="1" x14ac:dyDescent="0.25">
      <c r="A64" s="200">
        <f t="shared" si="7"/>
        <v>-1.1999999999999997E-13</v>
      </c>
      <c r="B64" s="52" t="s">
        <v>58</v>
      </c>
      <c r="C64" s="8" t="s">
        <v>5</v>
      </c>
      <c r="D64" s="200">
        <v>-1E-14</v>
      </c>
      <c r="E64" s="200">
        <v>-1E-14</v>
      </c>
      <c r="F64" s="200">
        <v>-1E-14</v>
      </c>
      <c r="G64" s="200">
        <v>-1E-14</v>
      </c>
      <c r="H64" s="200">
        <v>-1E-14</v>
      </c>
      <c r="I64" s="200">
        <v>-1E-14</v>
      </c>
      <c r="J64" s="200">
        <v>-1E-14</v>
      </c>
      <c r="K64" s="200">
        <v>-1E-14</v>
      </c>
      <c r="L64" s="200">
        <v>-1E-14</v>
      </c>
      <c r="M64" s="200">
        <v>-1E-14</v>
      </c>
      <c r="N64" s="200">
        <v>-1E-14</v>
      </c>
      <c r="O64" s="200">
        <v>-1E-14</v>
      </c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outlineLevel="1" x14ac:dyDescent="0.25">
      <c r="A65" s="200">
        <f t="shared" si="7"/>
        <v>-1.1999999999999997E-13</v>
      </c>
      <c r="B65" s="52" t="s">
        <v>58</v>
      </c>
      <c r="C65" s="8" t="s">
        <v>6</v>
      </c>
      <c r="D65" s="200">
        <v>-1E-14</v>
      </c>
      <c r="E65" s="200">
        <v>-1E-14</v>
      </c>
      <c r="F65" s="200">
        <v>-1E-14</v>
      </c>
      <c r="G65" s="200">
        <v>-1E-14</v>
      </c>
      <c r="H65" s="200">
        <v>-1E-14</v>
      </c>
      <c r="I65" s="200">
        <v>-1E-14</v>
      </c>
      <c r="J65" s="200">
        <v>-1E-14</v>
      </c>
      <c r="K65" s="200">
        <v>-1E-14</v>
      </c>
      <c r="L65" s="200">
        <v>-1E-14</v>
      </c>
      <c r="M65" s="200">
        <v>-1E-14</v>
      </c>
      <c r="N65" s="200">
        <v>-1E-14</v>
      </c>
      <c r="O65" s="200">
        <v>-1E-14</v>
      </c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outlineLevel="1" x14ac:dyDescent="0.25">
      <c r="A66" s="200">
        <f t="shared" si="7"/>
        <v>7800</v>
      </c>
      <c r="B66" s="52" t="s">
        <v>58</v>
      </c>
      <c r="C66" s="8" t="s">
        <v>7</v>
      </c>
      <c r="D66" s="200">
        <v>650</v>
      </c>
      <c r="E66" s="200">
        <v>650</v>
      </c>
      <c r="F66" s="200">
        <v>650</v>
      </c>
      <c r="G66" s="200">
        <v>650</v>
      </c>
      <c r="H66" s="200">
        <v>650</v>
      </c>
      <c r="I66" s="200">
        <v>650</v>
      </c>
      <c r="J66" s="200">
        <v>650</v>
      </c>
      <c r="K66" s="200">
        <v>650</v>
      </c>
      <c r="L66" s="200">
        <v>650</v>
      </c>
      <c r="M66" s="200">
        <v>650</v>
      </c>
      <c r="N66" s="200">
        <v>650</v>
      </c>
      <c r="O66" s="200">
        <v>650</v>
      </c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outlineLevel="1" x14ac:dyDescent="0.25">
      <c r="A67" s="200">
        <f t="shared" si="7"/>
        <v>-1.1999999999999997E-13</v>
      </c>
      <c r="B67" s="52" t="s">
        <v>58</v>
      </c>
      <c r="C67" s="8" t="s">
        <v>8</v>
      </c>
      <c r="D67" s="200">
        <v>-1E-14</v>
      </c>
      <c r="E67" s="200">
        <v>-1E-14</v>
      </c>
      <c r="F67" s="200">
        <v>-1E-14</v>
      </c>
      <c r="G67" s="200">
        <v>-1E-14</v>
      </c>
      <c r="H67" s="200">
        <v>-1E-14</v>
      </c>
      <c r="I67" s="200">
        <v>-1E-14</v>
      </c>
      <c r="J67" s="200">
        <v>-1E-14</v>
      </c>
      <c r="K67" s="200">
        <v>-1E-14</v>
      </c>
      <c r="L67" s="200">
        <v>-1E-14</v>
      </c>
      <c r="M67" s="200">
        <v>-1E-14</v>
      </c>
      <c r="N67" s="200">
        <v>-1E-14</v>
      </c>
      <c r="O67" s="200">
        <v>-1E-14</v>
      </c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outlineLevel="1" x14ac:dyDescent="0.25">
      <c r="A68" s="200">
        <f t="shared" si="7"/>
        <v>-1.1999999999999997E-13</v>
      </c>
      <c r="B68" s="52" t="s">
        <v>58</v>
      </c>
      <c r="C68" s="8" t="s">
        <v>9</v>
      </c>
      <c r="D68" s="200">
        <v>-1E-14</v>
      </c>
      <c r="E68" s="200">
        <v>-1E-14</v>
      </c>
      <c r="F68" s="200">
        <v>-1E-14</v>
      </c>
      <c r="G68" s="200">
        <v>-1E-14</v>
      </c>
      <c r="H68" s="200">
        <v>-1E-14</v>
      </c>
      <c r="I68" s="200">
        <v>-1E-14</v>
      </c>
      <c r="J68" s="200">
        <v>-1E-14</v>
      </c>
      <c r="K68" s="200">
        <v>-1E-14</v>
      </c>
      <c r="L68" s="200">
        <v>-1E-14</v>
      </c>
      <c r="M68" s="200">
        <v>-1E-14</v>
      </c>
      <c r="N68" s="200">
        <v>-1E-14</v>
      </c>
      <c r="O68" s="200">
        <v>-1E-14</v>
      </c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outlineLevel="1" x14ac:dyDescent="0.25">
      <c r="A69" s="200">
        <f t="shared" si="7"/>
        <v>5200</v>
      </c>
      <c r="B69" s="52" t="s">
        <v>58</v>
      </c>
      <c r="C69" s="8" t="s">
        <v>10</v>
      </c>
      <c r="D69" s="200">
        <v>433.33333333333331</v>
      </c>
      <c r="E69" s="200">
        <v>433.33333333333331</v>
      </c>
      <c r="F69" s="200">
        <v>433.33333333333331</v>
      </c>
      <c r="G69" s="200">
        <v>433.33333333333331</v>
      </c>
      <c r="H69" s="200">
        <v>433.33333333333331</v>
      </c>
      <c r="I69" s="200">
        <v>433.33333333333331</v>
      </c>
      <c r="J69" s="200">
        <v>433.33333333333331</v>
      </c>
      <c r="K69" s="200">
        <v>433.33333333333331</v>
      </c>
      <c r="L69" s="200">
        <v>433.33333333333343</v>
      </c>
      <c r="M69" s="200">
        <v>433.33333333333331</v>
      </c>
      <c r="N69" s="200">
        <v>433.33333333333331</v>
      </c>
      <c r="O69" s="200">
        <v>433.33333333333331</v>
      </c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outlineLevel="1" x14ac:dyDescent="0.25">
      <c r="A70" s="200">
        <f t="shared" si="7"/>
        <v>458.33333333333343</v>
      </c>
      <c r="B70" s="52" t="s">
        <v>58</v>
      </c>
      <c r="C70" s="8" t="s">
        <v>11</v>
      </c>
      <c r="D70" s="200">
        <v>41.666666666666664</v>
      </c>
      <c r="E70" s="200">
        <v>41.666666666666664</v>
      </c>
      <c r="F70" s="200">
        <v>41.666666666666664</v>
      </c>
      <c r="G70" s="200">
        <v>41.666666666666679</v>
      </c>
      <c r="H70" s="200">
        <v>41.666666666666664</v>
      </c>
      <c r="I70" s="200">
        <v>1E-14</v>
      </c>
      <c r="J70" s="200">
        <v>41.666666666666664</v>
      </c>
      <c r="K70" s="200">
        <v>41.666666666666664</v>
      </c>
      <c r="L70" s="200">
        <v>41.666666666666664</v>
      </c>
      <c r="M70" s="200">
        <v>41.666666666666664</v>
      </c>
      <c r="N70" s="200">
        <v>41.666666666666664</v>
      </c>
      <c r="O70" s="200">
        <v>41.666666666666664</v>
      </c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outlineLevel="1" x14ac:dyDescent="0.25">
      <c r="A71" s="200">
        <f t="shared" si="7"/>
        <v>-1.1999999999999997E-13</v>
      </c>
      <c r="B71" s="52" t="s">
        <v>58</v>
      </c>
      <c r="C71" s="8" t="s">
        <v>12</v>
      </c>
      <c r="D71" s="200">
        <v>-1E-14</v>
      </c>
      <c r="E71" s="200">
        <v>-1E-14</v>
      </c>
      <c r="F71" s="200">
        <v>-1E-14</v>
      </c>
      <c r="G71" s="200">
        <v>-1E-14</v>
      </c>
      <c r="H71" s="200">
        <v>-1E-14</v>
      </c>
      <c r="I71" s="200">
        <v>-1E-14</v>
      </c>
      <c r="J71" s="200">
        <v>-1E-14</v>
      </c>
      <c r="K71" s="200">
        <v>-1E-14</v>
      </c>
      <c r="L71" s="200">
        <v>-1E-14</v>
      </c>
      <c r="M71" s="200">
        <v>-1E-14</v>
      </c>
      <c r="N71" s="200">
        <v>-1E-14</v>
      </c>
      <c r="O71" s="200">
        <v>-1E-14</v>
      </c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outlineLevel="1" x14ac:dyDescent="0.25">
      <c r="A72" s="200">
        <f t="shared" si="7"/>
        <v>-1.1999999999999997E-13</v>
      </c>
      <c r="B72" s="52" t="s">
        <v>58</v>
      </c>
      <c r="C72" s="8" t="s">
        <v>13</v>
      </c>
      <c r="D72" s="200">
        <v>-1E-14</v>
      </c>
      <c r="E72" s="200">
        <v>-1E-14</v>
      </c>
      <c r="F72" s="200">
        <v>-1E-14</v>
      </c>
      <c r="G72" s="200">
        <v>-1E-14</v>
      </c>
      <c r="H72" s="200">
        <v>-1E-14</v>
      </c>
      <c r="I72" s="200">
        <v>-1E-14</v>
      </c>
      <c r="J72" s="200">
        <v>-1E-14</v>
      </c>
      <c r="K72" s="200">
        <v>-1E-14</v>
      </c>
      <c r="L72" s="200">
        <v>-1E-14</v>
      </c>
      <c r="M72" s="200">
        <v>-1E-14</v>
      </c>
      <c r="N72" s="200">
        <v>-1E-14</v>
      </c>
      <c r="O72" s="200">
        <v>-1E-14</v>
      </c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outlineLevel="1" x14ac:dyDescent="0.25">
      <c r="A73" s="200">
        <f t="shared" si="7"/>
        <v>67765.31856275165</v>
      </c>
      <c r="B73" s="52" t="s">
        <v>58</v>
      </c>
      <c r="C73" s="8" t="s">
        <v>14</v>
      </c>
      <c r="D73" s="200">
        <v>7263.6472340109303</v>
      </c>
      <c r="E73" s="200">
        <v>6139.0968104430522</v>
      </c>
      <c r="F73" s="200">
        <v>7263.6472340109303</v>
      </c>
      <c r="G73" s="200">
        <v>6888.7970928216382</v>
      </c>
      <c r="H73" s="200">
        <v>7263.6472340109303</v>
      </c>
      <c r="I73" s="200">
        <v>1E-14</v>
      </c>
      <c r="J73" s="200">
        <v>3307.477433475271</v>
      </c>
      <c r="K73" s="200">
        <v>3148.2677571733329</v>
      </c>
      <c r="L73" s="200">
        <v>5074.646205962059</v>
      </c>
      <c r="M73" s="200">
        <v>7263.6472340109303</v>
      </c>
      <c r="N73" s="200">
        <v>6888.7970928216382</v>
      </c>
      <c r="O73" s="200">
        <v>7263.6472340109303</v>
      </c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outlineLevel="1" x14ac:dyDescent="0.25">
      <c r="A74" s="200">
        <f t="shared" si="7"/>
        <v>1880.6670115208265</v>
      </c>
      <c r="B74" s="52" t="s">
        <v>58</v>
      </c>
      <c r="C74" s="8" t="s">
        <v>15</v>
      </c>
      <c r="D74" s="200">
        <v>166.66666666666666</v>
      </c>
      <c r="E74" s="200">
        <v>166.66666666666666</v>
      </c>
      <c r="F74" s="200">
        <v>166.66666666666666</v>
      </c>
      <c r="G74" s="200">
        <v>166.66666666666666</v>
      </c>
      <c r="H74" s="200">
        <v>166.66666666666666</v>
      </c>
      <c r="I74" s="200">
        <v>47.333678187492701</v>
      </c>
      <c r="J74" s="200">
        <v>166.66666666666666</v>
      </c>
      <c r="K74" s="200">
        <v>166.66666666666666</v>
      </c>
      <c r="L74" s="200">
        <v>166.66666666666671</v>
      </c>
      <c r="M74" s="200">
        <v>166.66666666666666</v>
      </c>
      <c r="N74" s="200">
        <v>166.66666666666666</v>
      </c>
      <c r="O74" s="200">
        <v>166.66666666666666</v>
      </c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outlineLevel="1" x14ac:dyDescent="0.25">
      <c r="A75" s="200">
        <f t="shared" si="7"/>
        <v>-1.1999999999999997E-13</v>
      </c>
      <c r="B75" s="52" t="s">
        <v>58</v>
      </c>
      <c r="C75" s="8" t="s">
        <v>16</v>
      </c>
      <c r="D75" s="200">
        <v>-1E-14</v>
      </c>
      <c r="E75" s="200">
        <v>-1E-14</v>
      </c>
      <c r="F75" s="200">
        <v>-1E-14</v>
      </c>
      <c r="G75" s="200">
        <v>-1E-14</v>
      </c>
      <c r="H75" s="200">
        <v>-1E-14</v>
      </c>
      <c r="I75" s="200">
        <v>-1E-14</v>
      </c>
      <c r="J75" s="200">
        <v>-1E-14</v>
      </c>
      <c r="K75" s="200">
        <v>-1E-14</v>
      </c>
      <c r="L75" s="200">
        <v>-1E-14</v>
      </c>
      <c r="M75" s="200">
        <v>-1E-14</v>
      </c>
      <c r="N75" s="200">
        <v>-1E-14</v>
      </c>
      <c r="O75" s="200">
        <v>-1E-14</v>
      </c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outlineLevel="1" x14ac:dyDescent="0.25">
      <c r="A76" s="200">
        <f t="shared" si="7"/>
        <v>1.1999999999999997E-13</v>
      </c>
      <c r="B76" s="52" t="s">
        <v>58</v>
      </c>
      <c r="C76" s="8" t="s">
        <v>18</v>
      </c>
      <c r="D76" s="200">
        <v>1E-14</v>
      </c>
      <c r="E76" s="200">
        <v>1E-14</v>
      </c>
      <c r="F76" s="200">
        <v>1E-14</v>
      </c>
      <c r="G76" s="200">
        <v>1E-14</v>
      </c>
      <c r="H76" s="200">
        <v>1E-14</v>
      </c>
      <c r="I76" s="200">
        <v>1E-14</v>
      </c>
      <c r="J76" s="200">
        <v>1E-14</v>
      </c>
      <c r="K76" s="200">
        <v>1E-14</v>
      </c>
      <c r="L76" s="200">
        <v>1E-14</v>
      </c>
      <c r="M76" s="200">
        <v>1E-14</v>
      </c>
      <c r="N76" s="200">
        <v>1E-14</v>
      </c>
      <c r="O76" s="200">
        <v>1E-14</v>
      </c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outlineLevel="1" x14ac:dyDescent="0.25">
      <c r="A77" s="200">
        <f t="shared" si="7"/>
        <v>-1.1999999999999997E-13</v>
      </c>
      <c r="B77" s="52" t="s">
        <v>58</v>
      </c>
      <c r="C77" s="8" t="s">
        <v>19</v>
      </c>
      <c r="D77" s="200">
        <v>-1E-14</v>
      </c>
      <c r="E77" s="200">
        <v>-1E-14</v>
      </c>
      <c r="F77" s="200">
        <v>-1E-14</v>
      </c>
      <c r="G77" s="200">
        <v>-1E-14</v>
      </c>
      <c r="H77" s="200">
        <v>-1E-14</v>
      </c>
      <c r="I77" s="200">
        <v>-1E-14</v>
      </c>
      <c r="J77" s="200">
        <v>-1E-14</v>
      </c>
      <c r="K77" s="200">
        <v>-1E-14</v>
      </c>
      <c r="L77" s="200">
        <v>-1E-14</v>
      </c>
      <c r="M77" s="200">
        <v>-1E-14</v>
      </c>
      <c r="N77" s="200">
        <v>-1E-14</v>
      </c>
      <c r="O77" s="200">
        <v>-1E-14</v>
      </c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outlineLevel="1" x14ac:dyDescent="0.25">
      <c r="A78" s="200">
        <f t="shared" si="7"/>
        <v>1.1999999999999997E-13</v>
      </c>
      <c r="B78" s="52" t="s">
        <v>58</v>
      </c>
      <c r="C78" s="8" t="s">
        <v>20</v>
      </c>
      <c r="D78" s="200">
        <v>1E-14</v>
      </c>
      <c r="E78" s="200">
        <v>1E-14</v>
      </c>
      <c r="F78" s="200">
        <v>1E-14</v>
      </c>
      <c r="G78" s="200">
        <v>1E-14</v>
      </c>
      <c r="H78" s="200">
        <v>1E-14</v>
      </c>
      <c r="I78" s="200">
        <v>1E-14</v>
      </c>
      <c r="J78" s="200">
        <v>1E-14</v>
      </c>
      <c r="K78" s="200">
        <v>1E-14</v>
      </c>
      <c r="L78" s="200">
        <v>1E-14</v>
      </c>
      <c r="M78" s="200">
        <v>1E-14</v>
      </c>
      <c r="N78" s="200">
        <v>1E-14</v>
      </c>
      <c r="O78" s="200">
        <v>1E-14</v>
      </c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outlineLevel="1" x14ac:dyDescent="0.25">
      <c r="A79" s="200">
        <f t="shared" si="7"/>
        <v>150</v>
      </c>
      <c r="B79" s="52" t="s">
        <v>58</v>
      </c>
      <c r="C79" s="8" t="s">
        <v>17</v>
      </c>
      <c r="D79" s="200">
        <v>12.5</v>
      </c>
      <c r="E79" s="200">
        <v>12.5</v>
      </c>
      <c r="F79" s="200">
        <v>12.5</v>
      </c>
      <c r="G79" s="200">
        <v>12.5</v>
      </c>
      <c r="H79" s="200">
        <v>12.5</v>
      </c>
      <c r="I79" s="200">
        <v>12.5</v>
      </c>
      <c r="J79" s="200">
        <v>12.5</v>
      </c>
      <c r="K79" s="200">
        <v>12.5</v>
      </c>
      <c r="L79" s="200">
        <v>12.5</v>
      </c>
      <c r="M79" s="200">
        <v>12.5</v>
      </c>
      <c r="N79" s="200">
        <v>12.5</v>
      </c>
      <c r="O79" s="200">
        <v>12.5</v>
      </c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outlineLevel="1" x14ac:dyDescent="0.25">
      <c r="A80" s="200">
        <f t="shared" si="7"/>
        <v>-1.1999999999999997E-13</v>
      </c>
      <c r="B80" s="52" t="s">
        <v>58</v>
      </c>
      <c r="C80" s="8" t="s">
        <v>26</v>
      </c>
      <c r="D80" s="200">
        <v>-1E-14</v>
      </c>
      <c r="E80" s="200">
        <v>-1E-14</v>
      </c>
      <c r="F80" s="200">
        <v>-1E-14</v>
      </c>
      <c r="G80" s="200">
        <v>-1E-14</v>
      </c>
      <c r="H80" s="200">
        <v>-1E-14</v>
      </c>
      <c r="I80" s="200">
        <v>-1E-14</v>
      </c>
      <c r="J80" s="200">
        <v>-1E-14</v>
      </c>
      <c r="K80" s="200">
        <v>-1E-14</v>
      </c>
      <c r="L80" s="200">
        <v>-1E-14</v>
      </c>
      <c r="M80" s="200">
        <v>-1E-14</v>
      </c>
      <c r="N80" s="200">
        <v>-1E-14</v>
      </c>
      <c r="O80" s="200">
        <v>-1E-14</v>
      </c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outlineLevel="1" x14ac:dyDescent="0.25">
      <c r="A81" s="200">
        <f t="shared" si="7"/>
        <v>-1.1999999999999997E-13</v>
      </c>
      <c r="B81" s="52" t="s">
        <v>58</v>
      </c>
      <c r="C81" s="8" t="s">
        <v>27</v>
      </c>
      <c r="D81" s="200">
        <v>-1E-14</v>
      </c>
      <c r="E81" s="200">
        <v>-1E-14</v>
      </c>
      <c r="F81" s="200">
        <v>-1E-14</v>
      </c>
      <c r="G81" s="200">
        <v>-1E-14</v>
      </c>
      <c r="H81" s="200">
        <v>-1E-14</v>
      </c>
      <c r="I81" s="200">
        <v>-1E-14</v>
      </c>
      <c r="J81" s="200">
        <v>-1E-14</v>
      </c>
      <c r="K81" s="200">
        <v>-1E-14</v>
      </c>
      <c r="L81" s="200">
        <v>-1E-14</v>
      </c>
      <c r="M81" s="200">
        <v>-1E-14</v>
      </c>
      <c r="N81" s="200">
        <v>-1E-14</v>
      </c>
      <c r="O81" s="200">
        <v>-1E-14</v>
      </c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s="16" customFormat="1" outlineLevel="1" x14ac:dyDescent="0.25">
      <c r="A82" s="200">
        <f t="shared" si="7"/>
        <v>-1.1999999999999997E-13</v>
      </c>
      <c r="B82" s="52" t="s">
        <v>58</v>
      </c>
      <c r="C82" s="8" t="s">
        <v>60</v>
      </c>
      <c r="D82" s="200">
        <v>-1E-14</v>
      </c>
      <c r="E82" s="200">
        <v>-1E-14</v>
      </c>
      <c r="F82" s="200">
        <v>-1E-14</v>
      </c>
      <c r="G82" s="200">
        <v>-1E-14</v>
      </c>
      <c r="H82" s="200">
        <v>-1E-14</v>
      </c>
      <c r="I82" s="200">
        <v>-1E-14</v>
      </c>
      <c r="J82" s="200">
        <v>-1E-14</v>
      </c>
      <c r="K82" s="200">
        <v>-1E-14</v>
      </c>
      <c r="L82" s="200">
        <v>-1E-14</v>
      </c>
      <c r="M82" s="200">
        <v>-1E-14</v>
      </c>
      <c r="N82" s="200">
        <v>-1E-14</v>
      </c>
      <c r="O82" s="200">
        <v>-1E-14</v>
      </c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s="16" customFormat="1" outlineLevel="1" x14ac:dyDescent="0.25">
      <c r="A83" s="200">
        <f t="shared" si="7"/>
        <v>-1.1999999999999997E-13</v>
      </c>
      <c r="B83" s="52" t="s">
        <v>58</v>
      </c>
      <c r="C83" s="8" t="s">
        <v>61</v>
      </c>
      <c r="D83" s="200">
        <v>-1E-14</v>
      </c>
      <c r="E83" s="200">
        <v>-1E-14</v>
      </c>
      <c r="F83" s="200">
        <v>-1E-14</v>
      </c>
      <c r="G83" s="200">
        <v>-1E-14</v>
      </c>
      <c r="H83" s="200">
        <v>-1E-14</v>
      </c>
      <c r="I83" s="200">
        <v>-1E-14</v>
      </c>
      <c r="J83" s="200">
        <v>-1E-14</v>
      </c>
      <c r="K83" s="200">
        <v>-1E-14</v>
      </c>
      <c r="L83" s="200">
        <v>-1E-14</v>
      </c>
      <c r="M83" s="200">
        <v>-1E-14</v>
      </c>
      <c r="N83" s="200">
        <v>-1E-14</v>
      </c>
      <c r="O83" s="200">
        <v>-1E-14</v>
      </c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s="16" customFormat="1" outlineLevel="1" x14ac:dyDescent="0.25">
      <c r="A84" s="200">
        <f t="shared" si="7"/>
        <v>-1.1999999999999997E-13</v>
      </c>
      <c r="B84" s="52" t="s">
        <v>58</v>
      </c>
      <c r="C84" s="8" t="s">
        <v>62</v>
      </c>
      <c r="D84" s="200">
        <v>-1E-14</v>
      </c>
      <c r="E84" s="200">
        <v>-1E-14</v>
      </c>
      <c r="F84" s="200">
        <v>-1E-14</v>
      </c>
      <c r="G84" s="200">
        <v>-1E-14</v>
      </c>
      <c r="H84" s="200">
        <v>-1E-14</v>
      </c>
      <c r="I84" s="200">
        <v>-1E-14</v>
      </c>
      <c r="J84" s="200">
        <v>-1E-14</v>
      </c>
      <c r="K84" s="200">
        <v>-1E-14</v>
      </c>
      <c r="L84" s="200">
        <v>-1E-14</v>
      </c>
      <c r="M84" s="200">
        <v>-1E-14</v>
      </c>
      <c r="N84" s="200">
        <v>-1E-14</v>
      </c>
      <c r="O84" s="200">
        <v>-1E-14</v>
      </c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outlineLevel="1" x14ac:dyDescent="0.25">
      <c r="A85" s="200">
        <f t="shared" si="7"/>
        <v>3370.2127659574467</v>
      </c>
      <c r="B85" s="52" t="s">
        <v>58</v>
      </c>
      <c r="C85" s="8" t="s">
        <v>21</v>
      </c>
      <c r="D85" s="200">
        <v>861.47684605757183</v>
      </c>
      <c r="E85" s="200">
        <v>2458.2728410513141</v>
      </c>
      <c r="F85" s="200">
        <v>50.463078848560698</v>
      </c>
      <c r="G85" s="200">
        <v>1E-14</v>
      </c>
      <c r="H85" s="200">
        <v>1E-14</v>
      </c>
      <c r="I85" s="200">
        <v>1E-14</v>
      </c>
      <c r="J85" s="200">
        <v>1E-14</v>
      </c>
      <c r="K85" s="200">
        <v>1E-14</v>
      </c>
      <c r="L85" s="200">
        <v>1E-14</v>
      </c>
      <c r="M85" s="200">
        <v>1E-14</v>
      </c>
      <c r="N85" s="200">
        <v>1E-14</v>
      </c>
      <c r="O85" s="200">
        <v>1E-14</v>
      </c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outlineLevel="1" x14ac:dyDescent="0.25">
      <c r="A86" s="200">
        <f t="shared" si="7"/>
        <v>9600</v>
      </c>
      <c r="B86" s="52" t="s">
        <v>58</v>
      </c>
      <c r="C86" s="8" t="s">
        <v>22</v>
      </c>
      <c r="D86" s="200">
        <v>4000</v>
      </c>
      <c r="E86" s="200">
        <v>1E-14</v>
      </c>
      <c r="F86" s="200">
        <v>1E-14</v>
      </c>
      <c r="G86" s="200">
        <v>1E-14</v>
      </c>
      <c r="H86" s="200">
        <v>1E-14</v>
      </c>
      <c r="I86" s="200">
        <v>1E-14</v>
      </c>
      <c r="J86" s="200">
        <v>1E-14</v>
      </c>
      <c r="K86" s="200">
        <v>1E-14</v>
      </c>
      <c r="L86" s="200">
        <v>1E-14</v>
      </c>
      <c r="M86" s="200">
        <v>1E-14</v>
      </c>
      <c r="N86" s="200">
        <v>1E-14</v>
      </c>
      <c r="O86" s="200">
        <v>5600</v>
      </c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outlineLevel="1" x14ac:dyDescent="0.25">
      <c r="A87" s="200">
        <f t="shared" si="7"/>
        <v>1.1999999999999997E-13</v>
      </c>
      <c r="B87" s="52" t="s">
        <v>58</v>
      </c>
      <c r="C87" s="8" t="s">
        <v>25</v>
      </c>
      <c r="D87" s="200">
        <v>1E-14</v>
      </c>
      <c r="E87" s="200">
        <v>1E-14</v>
      </c>
      <c r="F87" s="200">
        <v>1E-14</v>
      </c>
      <c r="G87" s="200">
        <v>1E-14</v>
      </c>
      <c r="H87" s="200">
        <v>1E-14</v>
      </c>
      <c r="I87" s="200">
        <v>1E-14</v>
      </c>
      <c r="J87" s="200">
        <v>1E-14</v>
      </c>
      <c r="K87" s="200">
        <v>1E-14</v>
      </c>
      <c r="L87" s="200">
        <v>1E-14</v>
      </c>
      <c r="M87" s="200">
        <v>1E-14</v>
      </c>
      <c r="N87" s="200">
        <v>1E-14</v>
      </c>
      <c r="O87" s="200">
        <v>1E-14</v>
      </c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outlineLevel="1" x14ac:dyDescent="0.25">
      <c r="A88" s="201"/>
      <c r="B88" s="52"/>
      <c r="C88" s="8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</row>
    <row r="89" spans="1:27" outlineLevel="1" x14ac:dyDescent="0.25">
      <c r="A89" s="7"/>
      <c r="B89" s="50"/>
      <c r="C89" s="199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</row>
    <row r="90" spans="1:27" s="75" customFormat="1" ht="18.75" x14ac:dyDescent="0.3">
      <c r="A90" s="77" t="s">
        <v>220</v>
      </c>
      <c r="B90" s="74" t="s">
        <v>67</v>
      </c>
      <c r="C90" s="76"/>
      <c r="D90" s="78" t="s">
        <v>216</v>
      </c>
      <c r="E90" s="78" t="s">
        <v>223</v>
      </c>
      <c r="F90" s="78" t="s">
        <v>224</v>
      </c>
      <c r="G90" s="78" t="s">
        <v>225</v>
      </c>
      <c r="H90" s="78" t="s">
        <v>226</v>
      </c>
      <c r="I90" s="78" t="s">
        <v>227</v>
      </c>
      <c r="J90" s="78" t="s">
        <v>228</v>
      </c>
      <c r="K90" s="78" t="s">
        <v>229</v>
      </c>
      <c r="L90" s="78" t="s">
        <v>230</v>
      </c>
      <c r="M90" s="78" t="s">
        <v>231</v>
      </c>
      <c r="N90" s="78" t="s">
        <v>232</v>
      </c>
      <c r="O90" s="78" t="s">
        <v>233</v>
      </c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</row>
    <row r="91" spans="1:27" outlineLevel="1" x14ac:dyDescent="0.25">
      <c r="A91" s="202">
        <f t="shared" ref="A91:A119" si="8">SUM(D91:O91)</f>
        <v>4773825</v>
      </c>
      <c r="B91" s="206" t="s">
        <v>56</v>
      </c>
      <c r="C91" s="203" t="s">
        <v>0</v>
      </c>
      <c r="D91" s="202">
        <v>397818.75</v>
      </c>
      <c r="E91" s="202">
        <v>397818.75</v>
      </c>
      <c r="F91" s="202">
        <v>397818.75</v>
      </c>
      <c r="G91" s="202">
        <v>397818.75</v>
      </c>
      <c r="H91" s="202">
        <v>397818.75</v>
      </c>
      <c r="I91" s="202">
        <v>397818.75</v>
      </c>
      <c r="J91" s="202">
        <v>397818.75</v>
      </c>
      <c r="K91" s="202">
        <v>397818.75</v>
      </c>
      <c r="L91" s="202">
        <v>397818.75</v>
      </c>
      <c r="M91" s="202">
        <v>397818.75</v>
      </c>
      <c r="N91" s="202">
        <v>397818.75</v>
      </c>
      <c r="O91" s="202">
        <v>397818.75</v>
      </c>
      <c r="P91" s="202"/>
      <c r="Q91" s="202"/>
      <c r="R91" s="202"/>
      <c r="S91" s="202"/>
      <c r="T91" s="202"/>
      <c r="U91" s="202"/>
      <c r="V91" s="202"/>
      <c r="W91" s="202"/>
      <c r="X91" s="202"/>
      <c r="Y91" s="202"/>
      <c r="Z91" s="202"/>
      <c r="AA91" s="202"/>
    </row>
    <row r="92" spans="1:27" outlineLevel="1" x14ac:dyDescent="0.25">
      <c r="A92" s="202">
        <f t="shared" si="8"/>
        <v>-1.1999999999999997E-13</v>
      </c>
      <c r="B92" s="206" t="s">
        <v>56</v>
      </c>
      <c r="C92" s="203" t="s">
        <v>1</v>
      </c>
      <c r="D92" s="202">
        <v>-1E-14</v>
      </c>
      <c r="E92" s="202">
        <v>-1E-14</v>
      </c>
      <c r="F92" s="202">
        <v>-1E-14</v>
      </c>
      <c r="G92" s="202">
        <v>-1E-14</v>
      </c>
      <c r="H92" s="202">
        <v>-1E-14</v>
      </c>
      <c r="I92" s="202">
        <v>-1E-14</v>
      </c>
      <c r="J92" s="202">
        <v>-1E-14</v>
      </c>
      <c r="K92" s="202">
        <v>-1E-14</v>
      </c>
      <c r="L92" s="202">
        <v>-1E-14</v>
      </c>
      <c r="M92" s="202">
        <v>-1E-14</v>
      </c>
      <c r="N92" s="202">
        <v>-1E-14</v>
      </c>
      <c r="O92" s="202">
        <v>-1E-14</v>
      </c>
      <c r="P92" s="202"/>
      <c r="Q92" s="202"/>
      <c r="R92" s="202"/>
      <c r="S92" s="202"/>
      <c r="T92" s="202"/>
      <c r="U92" s="202"/>
      <c r="V92" s="202"/>
      <c r="W92" s="202"/>
      <c r="X92" s="202"/>
      <c r="Y92" s="202"/>
      <c r="Z92" s="202"/>
      <c r="AA92" s="202"/>
    </row>
    <row r="93" spans="1:27" outlineLevel="1" x14ac:dyDescent="0.25">
      <c r="A93" s="202">
        <f t="shared" si="8"/>
        <v>-1.1999999999999997E-13</v>
      </c>
      <c r="B93" s="206" t="s">
        <v>56</v>
      </c>
      <c r="C93" s="203" t="s">
        <v>2</v>
      </c>
      <c r="D93" s="202">
        <v>-1E-14</v>
      </c>
      <c r="E93" s="202">
        <v>-1E-14</v>
      </c>
      <c r="F93" s="202">
        <v>-1E-14</v>
      </c>
      <c r="G93" s="202">
        <v>-1E-14</v>
      </c>
      <c r="H93" s="202">
        <v>-1E-14</v>
      </c>
      <c r="I93" s="202">
        <v>-1E-14</v>
      </c>
      <c r="J93" s="202">
        <v>-1E-14</v>
      </c>
      <c r="K93" s="202">
        <v>-1E-14</v>
      </c>
      <c r="L93" s="202">
        <v>-1E-14</v>
      </c>
      <c r="M93" s="202">
        <v>-1E-14</v>
      </c>
      <c r="N93" s="202">
        <v>-1E-14</v>
      </c>
      <c r="O93" s="202">
        <v>-1E-14</v>
      </c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202"/>
    </row>
    <row r="94" spans="1:27" outlineLevel="1" x14ac:dyDescent="0.25">
      <c r="A94" s="202">
        <f t="shared" si="8"/>
        <v>15156225</v>
      </c>
      <c r="B94" s="206" t="s">
        <v>56</v>
      </c>
      <c r="C94" s="203" t="s">
        <v>3</v>
      </c>
      <c r="D94" s="202">
        <v>1263018.75</v>
      </c>
      <c r="E94" s="202">
        <v>1263018.75</v>
      </c>
      <c r="F94" s="202">
        <v>1263018.75</v>
      </c>
      <c r="G94" s="202">
        <v>1263018.75</v>
      </c>
      <c r="H94" s="202">
        <v>1263018.75</v>
      </c>
      <c r="I94" s="202">
        <v>1263018.75</v>
      </c>
      <c r="J94" s="202">
        <v>1263018.75</v>
      </c>
      <c r="K94" s="202">
        <v>1263018.75</v>
      </c>
      <c r="L94" s="202">
        <v>1263018.75</v>
      </c>
      <c r="M94" s="202">
        <v>1263018.75</v>
      </c>
      <c r="N94" s="202">
        <v>1263018.75</v>
      </c>
      <c r="O94" s="202">
        <v>1263018.75</v>
      </c>
      <c r="P94" s="202"/>
      <c r="Q94" s="202"/>
      <c r="R94" s="202"/>
      <c r="S94" s="202"/>
      <c r="T94" s="202"/>
      <c r="U94" s="202"/>
      <c r="V94" s="202"/>
      <c r="W94" s="202"/>
      <c r="X94" s="202"/>
      <c r="Y94" s="202"/>
      <c r="Z94" s="202"/>
      <c r="AA94" s="202"/>
    </row>
    <row r="95" spans="1:27" outlineLevel="1" x14ac:dyDescent="0.25">
      <c r="A95" s="202">
        <f t="shared" si="8"/>
        <v>1837500</v>
      </c>
      <c r="B95" s="206" t="s">
        <v>56</v>
      </c>
      <c r="C95" s="203" t="s">
        <v>4</v>
      </c>
      <c r="D95" s="202">
        <v>153125</v>
      </c>
      <c r="E95" s="202">
        <v>153125</v>
      </c>
      <c r="F95" s="202">
        <v>153125</v>
      </c>
      <c r="G95" s="202">
        <v>153125</v>
      </c>
      <c r="H95" s="202">
        <v>153125</v>
      </c>
      <c r="I95" s="202">
        <v>153125</v>
      </c>
      <c r="J95" s="202">
        <v>153125</v>
      </c>
      <c r="K95" s="202">
        <v>153125</v>
      </c>
      <c r="L95" s="202">
        <v>153125</v>
      </c>
      <c r="M95" s="202">
        <v>153125</v>
      </c>
      <c r="N95" s="202">
        <v>153125</v>
      </c>
      <c r="O95" s="202">
        <v>153125</v>
      </c>
      <c r="P95" s="202"/>
      <c r="Q95" s="202"/>
      <c r="R95" s="202"/>
      <c r="S95" s="202"/>
      <c r="T95" s="202"/>
      <c r="U95" s="202"/>
      <c r="V95" s="202"/>
      <c r="W95" s="202"/>
      <c r="X95" s="202"/>
      <c r="Y95" s="202"/>
      <c r="Z95" s="202"/>
      <c r="AA95" s="202"/>
    </row>
    <row r="96" spans="1:27" outlineLevel="1" x14ac:dyDescent="0.25">
      <c r="A96" s="202">
        <f t="shared" si="8"/>
        <v>-1.1999999999999997E-13</v>
      </c>
      <c r="B96" s="206" t="s">
        <v>56</v>
      </c>
      <c r="C96" s="203" t="s">
        <v>5</v>
      </c>
      <c r="D96" s="202">
        <v>-1E-14</v>
      </c>
      <c r="E96" s="202">
        <v>-1E-14</v>
      </c>
      <c r="F96" s="202">
        <v>-1E-14</v>
      </c>
      <c r="G96" s="202">
        <v>-1E-14</v>
      </c>
      <c r="H96" s="202">
        <v>-1E-14</v>
      </c>
      <c r="I96" s="202">
        <v>-1E-14</v>
      </c>
      <c r="J96" s="202">
        <v>-1E-14</v>
      </c>
      <c r="K96" s="202">
        <v>-1E-14</v>
      </c>
      <c r="L96" s="202">
        <v>-1E-14</v>
      </c>
      <c r="M96" s="202">
        <v>-1E-14</v>
      </c>
      <c r="N96" s="202">
        <v>-1E-14</v>
      </c>
      <c r="O96" s="202">
        <v>-1E-14</v>
      </c>
      <c r="P96" s="202"/>
      <c r="Q96" s="202"/>
      <c r="R96" s="202"/>
      <c r="S96" s="202"/>
      <c r="T96" s="202"/>
      <c r="U96" s="202"/>
      <c r="V96" s="202"/>
      <c r="W96" s="202"/>
      <c r="X96" s="202"/>
      <c r="Y96" s="202"/>
      <c r="Z96" s="202"/>
      <c r="AA96" s="202"/>
    </row>
    <row r="97" spans="1:27" outlineLevel="1" x14ac:dyDescent="0.25">
      <c r="A97" s="202">
        <f t="shared" si="8"/>
        <v>-1.1999999999999997E-13</v>
      </c>
      <c r="B97" s="206" t="s">
        <v>56</v>
      </c>
      <c r="C97" s="203" t="s">
        <v>6</v>
      </c>
      <c r="D97" s="202">
        <v>-1E-14</v>
      </c>
      <c r="E97" s="202">
        <v>-1E-14</v>
      </c>
      <c r="F97" s="202">
        <v>-1E-14</v>
      </c>
      <c r="G97" s="202">
        <v>-1E-14</v>
      </c>
      <c r="H97" s="202">
        <v>-1E-14</v>
      </c>
      <c r="I97" s="202">
        <v>-1E-14</v>
      </c>
      <c r="J97" s="202">
        <v>-1E-14</v>
      </c>
      <c r="K97" s="202">
        <v>-1E-14</v>
      </c>
      <c r="L97" s="202">
        <v>-1E-14</v>
      </c>
      <c r="M97" s="202">
        <v>-1E-14</v>
      </c>
      <c r="N97" s="202">
        <v>-1E-14</v>
      </c>
      <c r="O97" s="202">
        <v>-1E-14</v>
      </c>
      <c r="P97" s="202"/>
      <c r="Q97" s="202"/>
      <c r="R97" s="202"/>
      <c r="S97" s="202"/>
      <c r="T97" s="202"/>
      <c r="U97" s="202"/>
      <c r="V97" s="202"/>
      <c r="W97" s="202"/>
      <c r="X97" s="202"/>
      <c r="Y97" s="202"/>
      <c r="Z97" s="202"/>
      <c r="AA97" s="202"/>
    </row>
    <row r="98" spans="1:27" outlineLevel="1" x14ac:dyDescent="0.25">
      <c r="A98" s="202">
        <f t="shared" si="8"/>
        <v>4095000</v>
      </c>
      <c r="B98" s="206" t="s">
        <v>56</v>
      </c>
      <c r="C98" s="203" t="s">
        <v>7</v>
      </c>
      <c r="D98" s="202">
        <v>341250</v>
      </c>
      <c r="E98" s="202">
        <v>341250</v>
      </c>
      <c r="F98" s="202">
        <v>341250</v>
      </c>
      <c r="G98" s="202">
        <v>341250</v>
      </c>
      <c r="H98" s="202">
        <v>341250</v>
      </c>
      <c r="I98" s="202">
        <v>341250</v>
      </c>
      <c r="J98" s="202">
        <v>341250</v>
      </c>
      <c r="K98" s="202">
        <v>341250</v>
      </c>
      <c r="L98" s="202">
        <v>341250</v>
      </c>
      <c r="M98" s="202">
        <v>341250</v>
      </c>
      <c r="N98" s="202">
        <v>341250</v>
      </c>
      <c r="O98" s="202">
        <v>341250</v>
      </c>
      <c r="P98" s="202"/>
      <c r="Q98" s="202"/>
      <c r="R98" s="202"/>
      <c r="S98" s="202"/>
      <c r="T98" s="202"/>
      <c r="U98" s="202"/>
      <c r="V98" s="202"/>
      <c r="W98" s="202"/>
      <c r="X98" s="202"/>
      <c r="Y98" s="202"/>
      <c r="Z98" s="202"/>
      <c r="AA98" s="202"/>
    </row>
    <row r="99" spans="1:27" outlineLevel="1" x14ac:dyDescent="0.25">
      <c r="A99" s="202">
        <f t="shared" si="8"/>
        <v>-1.1999999999999997E-13</v>
      </c>
      <c r="B99" s="206" t="s">
        <v>56</v>
      </c>
      <c r="C99" s="203" t="s">
        <v>8</v>
      </c>
      <c r="D99" s="202">
        <v>-1E-14</v>
      </c>
      <c r="E99" s="202">
        <v>-1E-14</v>
      </c>
      <c r="F99" s="202">
        <v>-1E-14</v>
      </c>
      <c r="G99" s="202">
        <v>-1E-14</v>
      </c>
      <c r="H99" s="202">
        <v>-1E-14</v>
      </c>
      <c r="I99" s="202">
        <v>-1E-14</v>
      </c>
      <c r="J99" s="202">
        <v>-1E-14</v>
      </c>
      <c r="K99" s="202">
        <v>-1E-14</v>
      </c>
      <c r="L99" s="202">
        <v>-1E-14</v>
      </c>
      <c r="M99" s="202">
        <v>-1E-14</v>
      </c>
      <c r="N99" s="202">
        <v>-1E-14</v>
      </c>
      <c r="O99" s="202">
        <v>-1E-14</v>
      </c>
      <c r="P99" s="202"/>
      <c r="Q99" s="202"/>
      <c r="R99" s="202"/>
      <c r="S99" s="202"/>
      <c r="T99" s="202"/>
      <c r="U99" s="202"/>
      <c r="V99" s="202"/>
      <c r="W99" s="202"/>
      <c r="X99" s="202"/>
      <c r="Y99" s="202"/>
      <c r="Z99" s="202"/>
      <c r="AA99" s="202"/>
    </row>
    <row r="100" spans="1:27" outlineLevel="1" x14ac:dyDescent="0.25">
      <c r="A100" s="202">
        <f t="shared" si="8"/>
        <v>-1.1999999999999997E-13</v>
      </c>
      <c r="B100" s="206" t="s">
        <v>56</v>
      </c>
      <c r="C100" s="203" t="s">
        <v>9</v>
      </c>
      <c r="D100" s="202">
        <v>-1E-14</v>
      </c>
      <c r="E100" s="202">
        <v>-1E-14</v>
      </c>
      <c r="F100" s="202">
        <v>-1E-14</v>
      </c>
      <c r="G100" s="202">
        <v>-1E-14</v>
      </c>
      <c r="H100" s="202">
        <v>-1E-14</v>
      </c>
      <c r="I100" s="202">
        <v>-1E-14</v>
      </c>
      <c r="J100" s="202">
        <v>-1E-14</v>
      </c>
      <c r="K100" s="202">
        <v>-1E-14</v>
      </c>
      <c r="L100" s="202">
        <v>-1E-14</v>
      </c>
      <c r="M100" s="202">
        <v>-1E-14</v>
      </c>
      <c r="N100" s="202">
        <v>-1E-14</v>
      </c>
      <c r="O100" s="202">
        <v>-1E-14</v>
      </c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</row>
    <row r="101" spans="1:27" outlineLevel="1" x14ac:dyDescent="0.25">
      <c r="A101" s="202">
        <f t="shared" si="8"/>
        <v>2730000</v>
      </c>
      <c r="B101" s="206" t="s">
        <v>56</v>
      </c>
      <c r="C101" s="203" t="s">
        <v>10</v>
      </c>
      <c r="D101" s="202">
        <v>227500</v>
      </c>
      <c r="E101" s="202">
        <v>227500</v>
      </c>
      <c r="F101" s="202">
        <v>227500</v>
      </c>
      <c r="G101" s="202">
        <v>227500</v>
      </c>
      <c r="H101" s="202">
        <v>227500</v>
      </c>
      <c r="I101" s="202">
        <v>227500</v>
      </c>
      <c r="J101" s="202">
        <v>227500</v>
      </c>
      <c r="K101" s="202">
        <v>227500</v>
      </c>
      <c r="L101" s="202">
        <v>227500.00000000006</v>
      </c>
      <c r="M101" s="202">
        <v>227500</v>
      </c>
      <c r="N101" s="202">
        <v>227500</v>
      </c>
      <c r="O101" s="202">
        <v>227500</v>
      </c>
      <c r="P101" s="202"/>
      <c r="Q101" s="202"/>
      <c r="R101" s="202"/>
      <c r="S101" s="202"/>
      <c r="T101" s="202"/>
      <c r="U101" s="202"/>
      <c r="V101" s="202"/>
      <c r="W101" s="202"/>
      <c r="X101" s="202"/>
      <c r="Y101" s="202"/>
      <c r="Z101" s="202"/>
      <c r="AA101" s="202"/>
    </row>
    <row r="102" spans="1:27" outlineLevel="1" x14ac:dyDescent="0.25">
      <c r="A102" s="202">
        <f t="shared" si="8"/>
        <v>359791.66666666669</v>
      </c>
      <c r="B102" s="206" t="s">
        <v>56</v>
      </c>
      <c r="C102" s="203" t="s">
        <v>11</v>
      </c>
      <c r="D102" s="202">
        <v>32708.333333333332</v>
      </c>
      <c r="E102" s="202">
        <v>32708.333333333332</v>
      </c>
      <c r="F102" s="202">
        <v>32708.333333333332</v>
      </c>
      <c r="G102" s="202">
        <v>32708.333333333343</v>
      </c>
      <c r="H102" s="202">
        <v>32708.333333333332</v>
      </c>
      <c r="I102" s="202">
        <v>1E-14</v>
      </c>
      <c r="J102" s="202">
        <v>32708.333333333332</v>
      </c>
      <c r="K102" s="202">
        <v>32708.333333333332</v>
      </c>
      <c r="L102" s="202">
        <v>32708.333333333332</v>
      </c>
      <c r="M102" s="202">
        <v>32708.333333333332</v>
      </c>
      <c r="N102" s="202">
        <v>32708.333333333332</v>
      </c>
      <c r="O102" s="202">
        <v>32708.333333333332</v>
      </c>
      <c r="P102" s="202"/>
      <c r="Q102" s="202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</row>
    <row r="103" spans="1:27" outlineLevel="1" x14ac:dyDescent="0.25">
      <c r="A103" s="202">
        <f t="shared" si="8"/>
        <v>-1.1999999999999997E-13</v>
      </c>
      <c r="B103" s="206" t="s">
        <v>56</v>
      </c>
      <c r="C103" s="203" t="s">
        <v>12</v>
      </c>
      <c r="D103" s="202">
        <v>-1E-14</v>
      </c>
      <c r="E103" s="202">
        <v>-1E-14</v>
      </c>
      <c r="F103" s="202">
        <v>-1E-14</v>
      </c>
      <c r="G103" s="202">
        <v>-1E-14</v>
      </c>
      <c r="H103" s="202">
        <v>-1E-14</v>
      </c>
      <c r="I103" s="202">
        <v>-1E-14</v>
      </c>
      <c r="J103" s="202">
        <v>-1E-14</v>
      </c>
      <c r="K103" s="202">
        <v>-1E-14</v>
      </c>
      <c r="L103" s="202">
        <v>-1E-14</v>
      </c>
      <c r="M103" s="202">
        <v>-1E-14</v>
      </c>
      <c r="N103" s="202">
        <v>-1E-14</v>
      </c>
      <c r="O103" s="202">
        <v>-1E-14</v>
      </c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</row>
    <row r="104" spans="1:27" outlineLevel="1" x14ac:dyDescent="0.25">
      <c r="A104" s="202">
        <f t="shared" si="8"/>
        <v>-1.1999999999999997E-13</v>
      </c>
      <c r="B104" s="206" t="s">
        <v>56</v>
      </c>
      <c r="C104" s="203" t="s">
        <v>13</v>
      </c>
      <c r="D104" s="202">
        <v>-1E-14</v>
      </c>
      <c r="E104" s="202">
        <v>-1E-14</v>
      </c>
      <c r="F104" s="202">
        <v>-1E-14</v>
      </c>
      <c r="G104" s="202">
        <v>-1E-14</v>
      </c>
      <c r="H104" s="202">
        <v>-1E-14</v>
      </c>
      <c r="I104" s="202">
        <v>-1E-14</v>
      </c>
      <c r="J104" s="202">
        <v>-1E-14</v>
      </c>
      <c r="K104" s="202">
        <v>-1E-14</v>
      </c>
      <c r="L104" s="202">
        <v>-1E-14</v>
      </c>
      <c r="M104" s="202">
        <v>-1E-14</v>
      </c>
      <c r="N104" s="202">
        <v>-1E-14</v>
      </c>
      <c r="O104" s="202">
        <v>-1E-14</v>
      </c>
      <c r="P104" s="202"/>
      <c r="Q104" s="202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</row>
    <row r="105" spans="1:27" outlineLevel="1" x14ac:dyDescent="0.25">
      <c r="A105" s="202">
        <f t="shared" si="8"/>
        <v>27106127.425100654</v>
      </c>
      <c r="B105" s="206" t="s">
        <v>56</v>
      </c>
      <c r="C105" s="203" t="s">
        <v>14</v>
      </c>
      <c r="D105" s="202">
        <v>2905458.8936043722</v>
      </c>
      <c r="E105" s="202">
        <v>2455638.7241772208</v>
      </c>
      <c r="F105" s="202">
        <v>2905458.8936043722</v>
      </c>
      <c r="G105" s="202">
        <v>2755518.8371286551</v>
      </c>
      <c r="H105" s="202">
        <v>2905458.8936043722</v>
      </c>
      <c r="I105" s="202">
        <v>1E-14</v>
      </c>
      <c r="J105" s="202">
        <v>1322990.9733901084</v>
      </c>
      <c r="K105" s="202">
        <v>1259307.1028693332</v>
      </c>
      <c r="L105" s="202">
        <v>2029858.4823848235</v>
      </c>
      <c r="M105" s="202">
        <v>2905458.8936043722</v>
      </c>
      <c r="N105" s="202">
        <v>2755518.8371286551</v>
      </c>
      <c r="O105" s="202">
        <v>2905458.8936043722</v>
      </c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</row>
    <row r="106" spans="1:27" outlineLevel="1" x14ac:dyDescent="0.25">
      <c r="A106" s="202">
        <f t="shared" si="8"/>
        <v>968543.51093322563</v>
      </c>
      <c r="B106" s="206" t="s">
        <v>56</v>
      </c>
      <c r="C106" s="203" t="s">
        <v>15</v>
      </c>
      <c r="D106" s="202">
        <v>85833.333333333328</v>
      </c>
      <c r="E106" s="202">
        <v>85833.333333333328</v>
      </c>
      <c r="F106" s="202">
        <v>85833.333333333328</v>
      </c>
      <c r="G106" s="202">
        <v>85833.333333333328</v>
      </c>
      <c r="H106" s="202">
        <v>85833.333333333328</v>
      </c>
      <c r="I106" s="202">
        <v>24376.844266558743</v>
      </c>
      <c r="J106" s="202">
        <v>85833.333333333328</v>
      </c>
      <c r="K106" s="202">
        <v>85833.333333333328</v>
      </c>
      <c r="L106" s="202">
        <v>85833.333333333358</v>
      </c>
      <c r="M106" s="202">
        <v>85833.333333333328</v>
      </c>
      <c r="N106" s="202">
        <v>85833.333333333328</v>
      </c>
      <c r="O106" s="202">
        <v>85833.333333333328</v>
      </c>
      <c r="P106" s="202"/>
      <c r="Q106" s="202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</row>
    <row r="107" spans="1:27" outlineLevel="1" x14ac:dyDescent="0.25">
      <c r="A107" s="202">
        <f t="shared" si="8"/>
        <v>-1.1999999999999997E-13</v>
      </c>
      <c r="B107" s="206" t="s">
        <v>56</v>
      </c>
      <c r="C107" s="203" t="s">
        <v>16</v>
      </c>
      <c r="D107" s="202">
        <v>-1E-14</v>
      </c>
      <c r="E107" s="202">
        <v>-1E-14</v>
      </c>
      <c r="F107" s="202">
        <v>-1E-14</v>
      </c>
      <c r="G107" s="202">
        <v>-1E-14</v>
      </c>
      <c r="H107" s="202">
        <v>-1E-14</v>
      </c>
      <c r="I107" s="202">
        <v>-1E-14</v>
      </c>
      <c r="J107" s="202">
        <v>-1E-14</v>
      </c>
      <c r="K107" s="202">
        <v>-1E-14</v>
      </c>
      <c r="L107" s="202">
        <v>-1E-14</v>
      </c>
      <c r="M107" s="202">
        <v>-1E-14</v>
      </c>
      <c r="N107" s="202">
        <v>-1E-14</v>
      </c>
      <c r="O107" s="202">
        <v>-1E-14</v>
      </c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</row>
    <row r="108" spans="1:27" outlineLevel="1" x14ac:dyDescent="0.25">
      <c r="A108" s="202">
        <f t="shared" si="8"/>
        <v>1.1999999999999997E-13</v>
      </c>
      <c r="B108" s="206" t="s">
        <v>56</v>
      </c>
      <c r="C108" s="203" t="s">
        <v>18</v>
      </c>
      <c r="D108" s="202">
        <v>1E-14</v>
      </c>
      <c r="E108" s="202">
        <v>1E-14</v>
      </c>
      <c r="F108" s="202">
        <v>1E-14</v>
      </c>
      <c r="G108" s="202">
        <v>1E-14</v>
      </c>
      <c r="H108" s="202">
        <v>1E-14</v>
      </c>
      <c r="I108" s="202">
        <v>1E-14</v>
      </c>
      <c r="J108" s="202">
        <v>1E-14</v>
      </c>
      <c r="K108" s="202">
        <v>1E-14</v>
      </c>
      <c r="L108" s="202">
        <v>1E-14</v>
      </c>
      <c r="M108" s="202">
        <v>1E-14</v>
      </c>
      <c r="N108" s="202">
        <v>1E-14</v>
      </c>
      <c r="O108" s="202">
        <v>1E-14</v>
      </c>
      <c r="P108" s="20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</row>
    <row r="109" spans="1:27" outlineLevel="1" x14ac:dyDescent="0.25">
      <c r="A109" s="202">
        <f t="shared" si="8"/>
        <v>-1.1999999999999997E-13</v>
      </c>
      <c r="B109" s="206" t="s">
        <v>56</v>
      </c>
      <c r="C109" s="203" t="s">
        <v>19</v>
      </c>
      <c r="D109" s="202">
        <v>-1E-14</v>
      </c>
      <c r="E109" s="202">
        <v>-1E-14</v>
      </c>
      <c r="F109" s="202">
        <v>-1E-14</v>
      </c>
      <c r="G109" s="202">
        <v>-1E-14</v>
      </c>
      <c r="H109" s="202">
        <v>-1E-14</v>
      </c>
      <c r="I109" s="202">
        <v>-1E-14</v>
      </c>
      <c r="J109" s="202">
        <v>-1E-14</v>
      </c>
      <c r="K109" s="202">
        <v>-1E-14</v>
      </c>
      <c r="L109" s="202">
        <v>-1E-14</v>
      </c>
      <c r="M109" s="202">
        <v>-1E-14</v>
      </c>
      <c r="N109" s="202">
        <v>-1E-14</v>
      </c>
      <c r="O109" s="202">
        <v>-1E-14</v>
      </c>
      <c r="P109" s="202"/>
      <c r="Q109" s="202"/>
      <c r="R109" s="202"/>
      <c r="S109" s="202"/>
      <c r="T109" s="202"/>
      <c r="U109" s="202"/>
      <c r="V109" s="202"/>
      <c r="W109" s="202"/>
      <c r="X109" s="202"/>
      <c r="Y109" s="202"/>
      <c r="Z109" s="202"/>
      <c r="AA109" s="202"/>
    </row>
    <row r="110" spans="1:27" outlineLevel="1" x14ac:dyDescent="0.25">
      <c r="A110" s="202">
        <f t="shared" si="8"/>
        <v>1.1999999999999997E-13</v>
      </c>
      <c r="B110" s="206" t="s">
        <v>56</v>
      </c>
      <c r="C110" s="203" t="s">
        <v>20</v>
      </c>
      <c r="D110" s="202">
        <v>1E-14</v>
      </c>
      <c r="E110" s="202">
        <v>1E-14</v>
      </c>
      <c r="F110" s="202">
        <v>1E-14</v>
      </c>
      <c r="G110" s="202">
        <v>1E-14</v>
      </c>
      <c r="H110" s="202">
        <v>1E-14</v>
      </c>
      <c r="I110" s="202">
        <v>1E-14</v>
      </c>
      <c r="J110" s="202">
        <v>1E-14</v>
      </c>
      <c r="K110" s="202">
        <v>1E-14</v>
      </c>
      <c r="L110" s="202">
        <v>1E-14</v>
      </c>
      <c r="M110" s="202">
        <v>1E-14</v>
      </c>
      <c r="N110" s="202">
        <v>1E-14</v>
      </c>
      <c r="O110" s="202">
        <v>1E-14</v>
      </c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</row>
    <row r="111" spans="1:27" outlineLevel="1" x14ac:dyDescent="0.25">
      <c r="A111" s="202">
        <f t="shared" si="8"/>
        <v>23250</v>
      </c>
      <c r="B111" s="206" t="s">
        <v>56</v>
      </c>
      <c r="C111" s="203" t="s">
        <v>17</v>
      </c>
      <c r="D111" s="202">
        <v>1937.5</v>
      </c>
      <c r="E111" s="202">
        <v>1937.5</v>
      </c>
      <c r="F111" s="202">
        <v>1937.5</v>
      </c>
      <c r="G111" s="202">
        <v>1937.5</v>
      </c>
      <c r="H111" s="202">
        <v>1937.5</v>
      </c>
      <c r="I111" s="202">
        <v>1937.5</v>
      </c>
      <c r="J111" s="202">
        <v>1937.5</v>
      </c>
      <c r="K111" s="202">
        <v>1937.5</v>
      </c>
      <c r="L111" s="202">
        <v>1937.5</v>
      </c>
      <c r="M111" s="202">
        <v>1937.5</v>
      </c>
      <c r="N111" s="202">
        <v>1937.5</v>
      </c>
      <c r="O111" s="202">
        <v>1937.5</v>
      </c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</row>
    <row r="112" spans="1:27" outlineLevel="1" x14ac:dyDescent="0.25">
      <c r="A112" s="202">
        <f t="shared" si="8"/>
        <v>-1.1999999999999997E-13</v>
      </c>
      <c r="B112" s="206" t="s">
        <v>56</v>
      </c>
      <c r="C112" s="203" t="s">
        <v>26</v>
      </c>
      <c r="D112" s="202">
        <v>-1E-14</v>
      </c>
      <c r="E112" s="202">
        <v>-1E-14</v>
      </c>
      <c r="F112" s="202">
        <v>-1E-14</v>
      </c>
      <c r="G112" s="202">
        <v>-1E-14</v>
      </c>
      <c r="H112" s="202">
        <v>-1E-14</v>
      </c>
      <c r="I112" s="202">
        <v>-1E-14</v>
      </c>
      <c r="J112" s="202">
        <v>-1E-14</v>
      </c>
      <c r="K112" s="202">
        <v>-1E-14</v>
      </c>
      <c r="L112" s="202">
        <v>-1E-14</v>
      </c>
      <c r="M112" s="202">
        <v>-1E-14</v>
      </c>
      <c r="N112" s="202">
        <v>-1E-14</v>
      </c>
      <c r="O112" s="202">
        <v>-1E-14</v>
      </c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</row>
    <row r="113" spans="1:27" outlineLevel="1" x14ac:dyDescent="0.25">
      <c r="A113" s="202">
        <f t="shared" si="8"/>
        <v>-1.1999999999999997E-13</v>
      </c>
      <c r="B113" s="206" t="s">
        <v>56</v>
      </c>
      <c r="C113" s="203" t="s">
        <v>27</v>
      </c>
      <c r="D113" s="202">
        <v>-1E-14</v>
      </c>
      <c r="E113" s="202">
        <v>-1E-14</v>
      </c>
      <c r="F113" s="202">
        <v>-1E-14</v>
      </c>
      <c r="G113" s="202">
        <v>-1E-14</v>
      </c>
      <c r="H113" s="202">
        <v>-1E-14</v>
      </c>
      <c r="I113" s="202">
        <v>-1E-14</v>
      </c>
      <c r="J113" s="202">
        <v>-1E-14</v>
      </c>
      <c r="K113" s="202">
        <v>-1E-14</v>
      </c>
      <c r="L113" s="202">
        <v>-1E-14</v>
      </c>
      <c r="M113" s="202">
        <v>-1E-14</v>
      </c>
      <c r="N113" s="202">
        <v>-1E-14</v>
      </c>
      <c r="O113" s="202">
        <v>-1E-14</v>
      </c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</row>
    <row r="114" spans="1:27" outlineLevel="1" x14ac:dyDescent="0.25">
      <c r="A114" s="202">
        <f t="shared" si="8"/>
        <v>-1.1999999999999997E-13</v>
      </c>
      <c r="B114" s="206" t="s">
        <v>56</v>
      </c>
      <c r="C114" s="203" t="s">
        <v>60</v>
      </c>
      <c r="D114" s="202">
        <v>-1E-14</v>
      </c>
      <c r="E114" s="202">
        <v>-1E-14</v>
      </c>
      <c r="F114" s="202">
        <v>-1E-14</v>
      </c>
      <c r="G114" s="202">
        <v>-1E-14</v>
      </c>
      <c r="H114" s="202">
        <v>-1E-14</v>
      </c>
      <c r="I114" s="202">
        <v>-1E-14</v>
      </c>
      <c r="J114" s="202">
        <v>-1E-14</v>
      </c>
      <c r="K114" s="202">
        <v>-1E-14</v>
      </c>
      <c r="L114" s="202">
        <v>-1E-14</v>
      </c>
      <c r="M114" s="202">
        <v>-1E-14</v>
      </c>
      <c r="N114" s="202">
        <v>-1E-14</v>
      </c>
      <c r="O114" s="202">
        <v>-1E-14</v>
      </c>
      <c r="P114" s="202"/>
      <c r="Q114" s="202"/>
      <c r="R114" s="202"/>
      <c r="S114" s="202"/>
      <c r="T114" s="202"/>
      <c r="U114" s="202"/>
      <c r="V114" s="202"/>
      <c r="W114" s="202"/>
      <c r="X114" s="202"/>
      <c r="Y114" s="202"/>
      <c r="Z114" s="202"/>
      <c r="AA114" s="202"/>
    </row>
    <row r="115" spans="1:27" outlineLevel="1" x14ac:dyDescent="0.25">
      <c r="A115" s="202">
        <f t="shared" si="8"/>
        <v>-1.1999999999999997E-13</v>
      </c>
      <c r="B115" s="206" t="s">
        <v>56</v>
      </c>
      <c r="C115" s="203" t="s">
        <v>61</v>
      </c>
      <c r="D115" s="202">
        <v>-1E-14</v>
      </c>
      <c r="E115" s="202">
        <v>-1E-14</v>
      </c>
      <c r="F115" s="202">
        <v>-1E-14</v>
      </c>
      <c r="G115" s="202">
        <v>-1E-14</v>
      </c>
      <c r="H115" s="202">
        <v>-1E-14</v>
      </c>
      <c r="I115" s="202">
        <v>-1E-14</v>
      </c>
      <c r="J115" s="202">
        <v>-1E-14</v>
      </c>
      <c r="K115" s="202">
        <v>-1E-14</v>
      </c>
      <c r="L115" s="202">
        <v>-1E-14</v>
      </c>
      <c r="M115" s="202">
        <v>-1E-14</v>
      </c>
      <c r="N115" s="202">
        <v>-1E-14</v>
      </c>
      <c r="O115" s="202">
        <v>-1E-14</v>
      </c>
      <c r="P115" s="202"/>
      <c r="Q115" s="202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</row>
    <row r="116" spans="1:27" outlineLevel="1" x14ac:dyDescent="0.25">
      <c r="A116" s="202">
        <f t="shared" si="8"/>
        <v>-1.1999999999999997E-13</v>
      </c>
      <c r="B116" s="206" t="s">
        <v>56</v>
      </c>
      <c r="C116" s="203" t="s">
        <v>62</v>
      </c>
      <c r="D116" s="202">
        <v>-1E-14</v>
      </c>
      <c r="E116" s="202">
        <v>-1E-14</v>
      </c>
      <c r="F116" s="202">
        <v>-1E-14</v>
      </c>
      <c r="G116" s="202">
        <v>-1E-14</v>
      </c>
      <c r="H116" s="202">
        <v>-1E-14</v>
      </c>
      <c r="I116" s="202">
        <v>-1E-14</v>
      </c>
      <c r="J116" s="202">
        <v>-1E-14</v>
      </c>
      <c r="K116" s="202">
        <v>-1E-14</v>
      </c>
      <c r="L116" s="202">
        <v>-1E-14</v>
      </c>
      <c r="M116" s="202">
        <v>-1E-14</v>
      </c>
      <c r="N116" s="202">
        <v>-1E-14</v>
      </c>
      <c r="O116" s="202">
        <v>-1E-14</v>
      </c>
      <c r="P116" s="202"/>
      <c r="Q116" s="202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</row>
    <row r="117" spans="1:27" outlineLevel="1" x14ac:dyDescent="0.25">
      <c r="A117" s="202">
        <f t="shared" si="8"/>
        <v>-1584000</v>
      </c>
      <c r="B117" s="206" t="s">
        <v>56</v>
      </c>
      <c r="C117" s="203" t="s">
        <v>21</v>
      </c>
      <c r="D117" s="202">
        <v>-404894.11764705874</v>
      </c>
      <c r="E117" s="202">
        <v>-1155388.2352941176</v>
      </c>
      <c r="F117" s="202">
        <v>-23717.647058823528</v>
      </c>
      <c r="G117" s="202">
        <v>1E-14</v>
      </c>
      <c r="H117" s="202">
        <v>1E-14</v>
      </c>
      <c r="I117" s="202">
        <v>1E-14</v>
      </c>
      <c r="J117" s="202">
        <v>1E-14</v>
      </c>
      <c r="K117" s="202">
        <v>1E-14</v>
      </c>
      <c r="L117" s="202">
        <v>1E-14</v>
      </c>
      <c r="M117" s="202">
        <v>1E-14</v>
      </c>
      <c r="N117" s="202">
        <v>1E-14</v>
      </c>
      <c r="O117" s="202">
        <v>1E-14</v>
      </c>
      <c r="P117" s="202"/>
      <c r="Q117" s="202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</row>
    <row r="118" spans="1:27" s="16" customFormat="1" outlineLevel="1" x14ac:dyDescent="0.25">
      <c r="A118" s="202">
        <f t="shared" si="8"/>
        <v>-1814400</v>
      </c>
      <c r="B118" s="206" t="s">
        <v>56</v>
      </c>
      <c r="C118" s="203" t="s">
        <v>22</v>
      </c>
      <c r="D118" s="202">
        <v>-756000</v>
      </c>
      <c r="E118" s="202">
        <v>1E-14</v>
      </c>
      <c r="F118" s="202">
        <v>1E-14</v>
      </c>
      <c r="G118" s="202">
        <v>1E-14</v>
      </c>
      <c r="H118" s="202">
        <v>1E-14</v>
      </c>
      <c r="I118" s="202">
        <v>1E-14</v>
      </c>
      <c r="J118" s="202">
        <v>1E-14</v>
      </c>
      <c r="K118" s="202">
        <v>1E-14</v>
      </c>
      <c r="L118" s="202">
        <v>1E-14</v>
      </c>
      <c r="M118" s="202">
        <v>1E-14</v>
      </c>
      <c r="N118" s="202">
        <v>1E-14</v>
      </c>
      <c r="O118" s="202">
        <v>-1058400</v>
      </c>
      <c r="P118" s="202"/>
      <c r="Q118" s="202"/>
      <c r="R118" s="202"/>
      <c r="S118" s="202"/>
      <c r="T118" s="202"/>
      <c r="U118" s="202"/>
      <c r="V118" s="202"/>
      <c r="W118" s="202"/>
      <c r="X118" s="202"/>
      <c r="Y118" s="202"/>
      <c r="Z118" s="202"/>
      <c r="AA118" s="202"/>
    </row>
    <row r="119" spans="1:27" s="16" customFormat="1" outlineLevel="1" x14ac:dyDescent="0.25">
      <c r="A119" s="202">
        <f t="shared" si="8"/>
        <v>1.1999999999999997E-13</v>
      </c>
      <c r="B119" s="206" t="s">
        <v>56</v>
      </c>
      <c r="C119" s="203" t="s">
        <v>25</v>
      </c>
      <c r="D119" s="202">
        <v>1E-14</v>
      </c>
      <c r="E119" s="202">
        <v>1E-14</v>
      </c>
      <c r="F119" s="202">
        <v>1E-14</v>
      </c>
      <c r="G119" s="202">
        <v>1E-14</v>
      </c>
      <c r="H119" s="202">
        <v>1E-14</v>
      </c>
      <c r="I119" s="202">
        <v>1E-14</v>
      </c>
      <c r="J119" s="202">
        <v>1E-14</v>
      </c>
      <c r="K119" s="202">
        <v>1E-14</v>
      </c>
      <c r="L119" s="202">
        <v>1E-14</v>
      </c>
      <c r="M119" s="202">
        <v>1E-14</v>
      </c>
      <c r="N119" s="202">
        <v>1E-14</v>
      </c>
      <c r="O119" s="202">
        <v>1E-14</v>
      </c>
      <c r="P119" s="202"/>
      <c r="Q119" s="202"/>
      <c r="R119" s="202"/>
      <c r="S119" s="202"/>
      <c r="T119" s="202"/>
      <c r="U119" s="202"/>
      <c r="V119" s="202"/>
      <c r="W119" s="202"/>
      <c r="X119" s="202"/>
      <c r="Y119" s="202"/>
      <c r="Z119" s="202"/>
      <c r="AA119" s="202"/>
    </row>
    <row r="120" spans="1:27" s="16" customFormat="1" outlineLevel="1" x14ac:dyDescent="0.25">
      <c r="A120" s="202"/>
      <c r="B120" s="204"/>
      <c r="C120" s="205"/>
      <c r="D120" s="202"/>
      <c r="E120" s="202"/>
      <c r="F120" s="202"/>
      <c r="G120" s="202"/>
      <c r="H120" s="202"/>
      <c r="I120" s="202"/>
      <c r="J120" s="202"/>
      <c r="K120" s="202"/>
      <c r="L120" s="202"/>
      <c r="M120" s="202"/>
      <c r="N120" s="202"/>
      <c r="O120" s="202"/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</row>
    <row r="121" spans="1:27" s="16" customFormat="1" outlineLevel="1" x14ac:dyDescent="0.25">
      <c r="B121" s="51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27" s="75" customFormat="1" ht="18.75" x14ac:dyDescent="0.3">
      <c r="A122" s="77" t="s">
        <v>28</v>
      </c>
      <c r="B122" s="74"/>
      <c r="C122" s="76"/>
      <c r="D122" s="78" t="s">
        <v>216</v>
      </c>
      <c r="E122" s="78" t="s">
        <v>223</v>
      </c>
      <c r="F122" s="78" t="s">
        <v>224</v>
      </c>
      <c r="G122" s="78" t="s">
        <v>225</v>
      </c>
      <c r="H122" s="78" t="s">
        <v>226</v>
      </c>
      <c r="I122" s="78" t="s">
        <v>227</v>
      </c>
      <c r="J122" s="78" t="s">
        <v>228</v>
      </c>
      <c r="K122" s="78" t="s">
        <v>229</v>
      </c>
      <c r="L122" s="78" t="s">
        <v>230</v>
      </c>
      <c r="M122" s="78" t="s">
        <v>231</v>
      </c>
      <c r="N122" s="78" t="s">
        <v>232</v>
      </c>
      <c r="O122" s="78" t="s">
        <v>233</v>
      </c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</row>
    <row r="123" spans="1:27" outlineLevel="1" x14ac:dyDescent="0.25">
      <c r="C123" s="5" t="s">
        <v>110</v>
      </c>
      <c r="D123" s="88">
        <v>1.2105263157894737</v>
      </c>
      <c r="E123" s="88">
        <v>1.2105263157894737</v>
      </c>
      <c r="F123" s="88">
        <v>1.2105263157894737</v>
      </c>
      <c r="G123" s="88">
        <v>1</v>
      </c>
      <c r="H123" s="88">
        <v>1</v>
      </c>
      <c r="I123" s="88">
        <v>1</v>
      </c>
      <c r="J123" s="88">
        <v>1</v>
      </c>
      <c r="K123" s="88">
        <v>1</v>
      </c>
      <c r="L123" s="88">
        <v>0.49532444227853589</v>
      </c>
      <c r="M123" s="88">
        <v>1</v>
      </c>
      <c r="N123" s="88">
        <v>1.1738791423001949</v>
      </c>
      <c r="O123" s="88">
        <v>1.13552159969817</v>
      </c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</row>
    <row r="124" spans="1:27" outlineLevel="1" x14ac:dyDescent="0.25">
      <c r="C124" s="5" t="s">
        <v>111</v>
      </c>
      <c r="D124" s="88">
        <v>1.2444444444444445</v>
      </c>
      <c r="E124" s="88">
        <v>1.2444444444444445</v>
      </c>
      <c r="F124" s="88">
        <v>1.2444444444444445</v>
      </c>
      <c r="G124" s="88">
        <v>1</v>
      </c>
      <c r="H124" s="88">
        <v>1</v>
      </c>
      <c r="I124" s="88">
        <v>1.0786036585365852</v>
      </c>
      <c r="J124" s="88">
        <v>0.978494623655914</v>
      </c>
      <c r="K124" s="88">
        <v>0.94862604540023898</v>
      </c>
      <c r="L124" s="88">
        <v>0.95135684042066759</v>
      </c>
      <c r="M124" s="88">
        <v>1</v>
      </c>
      <c r="N124" s="88">
        <v>1.2018930041152265</v>
      </c>
      <c r="O124" s="88">
        <v>1.1573556352050978</v>
      </c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</row>
    <row r="125" spans="1:27" outlineLevel="1" x14ac:dyDescent="0.25">
      <c r="C125" s="5" t="s">
        <v>112</v>
      </c>
      <c r="D125" s="88">
        <v>0.24475166410650281</v>
      </c>
      <c r="E125" s="88">
        <v>0.77324263038548757</v>
      </c>
      <c r="F125" s="88">
        <v>1.4336917562724014E-2</v>
      </c>
      <c r="G125" s="88">
        <v>1E-14</v>
      </c>
      <c r="H125" s="88">
        <v>1E-14</v>
      </c>
      <c r="I125" s="88">
        <v>1E-14</v>
      </c>
      <c r="J125" s="88">
        <v>1E-14</v>
      </c>
      <c r="K125" s="88">
        <v>1E-14</v>
      </c>
      <c r="L125" s="88">
        <v>1E-14</v>
      </c>
      <c r="M125" s="88">
        <v>1E-14</v>
      </c>
      <c r="N125" s="88">
        <v>1E-14</v>
      </c>
      <c r="O125" s="88">
        <v>1E-14</v>
      </c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</row>
    <row r="126" spans="1:27" outlineLevel="1" x14ac:dyDescent="0.25">
      <c r="C126" s="5" t="s">
        <v>71</v>
      </c>
      <c r="D126" s="88">
        <v>1.0000000000000002</v>
      </c>
      <c r="E126" s="88">
        <v>1E-14</v>
      </c>
      <c r="F126" s="88">
        <v>1E-14</v>
      </c>
      <c r="G126" s="88">
        <v>1E-14</v>
      </c>
      <c r="H126" s="88">
        <v>1E-14</v>
      </c>
      <c r="I126" s="88">
        <v>1E-14</v>
      </c>
      <c r="J126" s="88">
        <v>1E-14</v>
      </c>
      <c r="K126" s="88">
        <v>1E-14</v>
      </c>
      <c r="L126" s="88">
        <v>1E-14</v>
      </c>
      <c r="M126" s="88">
        <v>1E-14</v>
      </c>
      <c r="N126" s="88">
        <v>1E-14</v>
      </c>
      <c r="O126" s="88">
        <v>1</v>
      </c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</row>
    <row r="127" spans="1:27" outlineLevel="1" x14ac:dyDescent="0.25">
      <c r="C127" s="5" t="s">
        <v>113</v>
      </c>
      <c r="D127" s="88">
        <v>1E-14</v>
      </c>
      <c r="E127" s="88">
        <v>1E-14</v>
      </c>
      <c r="F127" s="88">
        <v>1E-14</v>
      </c>
      <c r="G127" s="88">
        <v>0.2814814814814815</v>
      </c>
      <c r="H127" s="88">
        <v>0.96845878136200714</v>
      </c>
      <c r="I127" s="88">
        <v>0.20853980352303517</v>
      </c>
      <c r="J127" s="88">
        <v>1</v>
      </c>
      <c r="K127" s="88">
        <v>1</v>
      </c>
      <c r="L127" s="88">
        <v>1</v>
      </c>
      <c r="M127" s="88">
        <v>0.36810035842293909</v>
      </c>
      <c r="N127" s="88">
        <v>1E-14</v>
      </c>
      <c r="O127" s="88">
        <v>1E-14</v>
      </c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</row>
    <row r="128" spans="1:27" outlineLevel="1" x14ac:dyDescent="0.25">
      <c r="C128" s="5" t="s">
        <v>114</v>
      </c>
      <c r="D128" s="88">
        <v>1E-14</v>
      </c>
      <c r="E128" s="88">
        <v>1E-14</v>
      </c>
      <c r="F128" s="88">
        <v>1E-14</v>
      </c>
      <c r="G128" s="88">
        <v>1E-14</v>
      </c>
      <c r="H128" s="88">
        <v>1E-14</v>
      </c>
      <c r="I128" s="88">
        <v>1E-14</v>
      </c>
      <c r="J128" s="88">
        <v>1E-14</v>
      </c>
      <c r="K128" s="88">
        <v>1E-14</v>
      </c>
      <c r="L128" s="88">
        <v>1E-14</v>
      </c>
      <c r="M128" s="88">
        <v>1E-14</v>
      </c>
      <c r="N128" s="88">
        <v>1E-14</v>
      </c>
      <c r="O128" s="88">
        <v>1E-14</v>
      </c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30" spans="1:27" x14ac:dyDescent="0.25"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</row>
    <row r="131" spans="1:27" s="75" customFormat="1" ht="18.75" x14ac:dyDescent="0.3">
      <c r="A131" s="77" t="s">
        <v>123</v>
      </c>
      <c r="B131" s="74"/>
      <c r="C131" s="107" t="s">
        <v>122</v>
      </c>
      <c r="D131" s="78" t="s">
        <v>216</v>
      </c>
      <c r="E131" s="78" t="s">
        <v>223</v>
      </c>
      <c r="F131" s="78" t="s">
        <v>224</v>
      </c>
      <c r="G131" s="78" t="s">
        <v>225</v>
      </c>
      <c r="H131" s="78" t="s">
        <v>226</v>
      </c>
      <c r="I131" s="78" t="s">
        <v>227</v>
      </c>
      <c r="J131" s="78" t="s">
        <v>228</v>
      </c>
      <c r="K131" s="78" t="s">
        <v>229</v>
      </c>
      <c r="L131" s="78" t="s">
        <v>230</v>
      </c>
      <c r="M131" s="78" t="s">
        <v>231</v>
      </c>
      <c r="N131" s="78" t="s">
        <v>232</v>
      </c>
      <c r="O131" s="78" t="s">
        <v>233</v>
      </c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</row>
    <row r="132" spans="1:27" s="16" customFormat="1" x14ac:dyDescent="0.25">
      <c r="A132" s="106">
        <f>MAX(D132:AA132)</f>
        <v>1E-14</v>
      </c>
      <c r="B132" s="95"/>
      <c r="C132" s="100" t="s">
        <v>97</v>
      </c>
      <c r="D132" s="93">
        <v>1E-14</v>
      </c>
      <c r="E132" s="91">
        <v>1E-14</v>
      </c>
      <c r="F132" s="91">
        <v>1E-14</v>
      </c>
      <c r="G132" s="91">
        <v>1E-14</v>
      </c>
      <c r="H132" s="91">
        <v>1E-14</v>
      </c>
      <c r="I132" s="91">
        <v>1E-14</v>
      </c>
      <c r="J132" s="91">
        <v>1E-14</v>
      </c>
      <c r="K132" s="91">
        <v>1E-14</v>
      </c>
      <c r="L132" s="91">
        <v>1E-14</v>
      </c>
      <c r="M132" s="91">
        <v>1E-14</v>
      </c>
      <c r="N132" s="91">
        <v>1E-14</v>
      </c>
      <c r="O132" s="91">
        <v>1E-14</v>
      </c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</row>
    <row r="133" spans="1:27" s="16" customFormat="1" x14ac:dyDescent="0.25">
      <c r="A133" s="106">
        <f t="shared" ref="A133:A137" si="9">MAX(D133:AA133)</f>
        <v>1E-14</v>
      </c>
      <c r="B133" s="96"/>
      <c r="C133" s="101" t="s">
        <v>98</v>
      </c>
      <c r="D133" s="94">
        <v>1E-14</v>
      </c>
      <c r="E133" s="92">
        <v>1E-14</v>
      </c>
      <c r="F133" s="92">
        <v>1E-14</v>
      </c>
      <c r="G133" s="92">
        <v>1E-14</v>
      </c>
      <c r="H133" s="92">
        <v>1E-14</v>
      </c>
      <c r="I133" s="92">
        <v>1E-14</v>
      </c>
      <c r="J133" s="92">
        <v>1E-14</v>
      </c>
      <c r="K133" s="92">
        <v>1E-14</v>
      </c>
      <c r="L133" s="92">
        <v>1E-14</v>
      </c>
      <c r="M133" s="92">
        <v>1E-14</v>
      </c>
      <c r="N133" s="92">
        <v>1E-14</v>
      </c>
      <c r="O133" s="92">
        <v>1E-14</v>
      </c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</row>
    <row r="134" spans="1:27" s="16" customFormat="1" x14ac:dyDescent="0.25">
      <c r="A134" s="106">
        <f t="shared" si="9"/>
        <v>0</v>
      </c>
      <c r="B134" s="96"/>
      <c r="C134" s="101"/>
      <c r="D134" s="94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</row>
    <row r="135" spans="1:27" s="16" customFormat="1" x14ac:dyDescent="0.25">
      <c r="A135" s="106">
        <f t="shared" si="9"/>
        <v>0</v>
      </c>
      <c r="B135" s="96"/>
      <c r="C135" s="101"/>
      <c r="D135" s="94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</row>
    <row r="136" spans="1:27" s="16" customFormat="1" x14ac:dyDescent="0.25">
      <c r="A136" s="106">
        <f t="shared" si="9"/>
        <v>0</v>
      </c>
      <c r="B136" s="96"/>
      <c r="C136" s="101"/>
      <c r="D136" s="94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</row>
    <row r="137" spans="1:27" s="16" customFormat="1" x14ac:dyDescent="0.25">
      <c r="A137" s="106">
        <f t="shared" si="9"/>
        <v>0</v>
      </c>
      <c r="B137" s="96"/>
      <c r="C137" s="101"/>
      <c r="D137" s="94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</row>
    <row r="138" spans="1:27" s="16" customFormat="1" x14ac:dyDescent="0.25">
      <c r="A138" s="106"/>
      <c r="B138" s="97"/>
      <c r="C138" s="108"/>
      <c r="D138" s="93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</row>
    <row r="139" spans="1:27" s="75" customFormat="1" ht="18.75" x14ac:dyDescent="0.3">
      <c r="A139" s="77" t="s">
        <v>124</v>
      </c>
      <c r="B139" s="76" t="s">
        <v>122</v>
      </c>
      <c r="C139" s="107" t="s">
        <v>125</v>
      </c>
      <c r="D139" s="78" t="s">
        <v>216</v>
      </c>
      <c r="E139" s="78" t="s">
        <v>223</v>
      </c>
      <c r="F139" s="78" t="s">
        <v>224</v>
      </c>
      <c r="G139" s="78" t="s">
        <v>225</v>
      </c>
      <c r="H139" s="78" t="s">
        <v>226</v>
      </c>
      <c r="I139" s="78" t="s">
        <v>227</v>
      </c>
      <c r="J139" s="78" t="s">
        <v>228</v>
      </c>
      <c r="K139" s="78" t="s">
        <v>229</v>
      </c>
      <c r="L139" s="78" t="s">
        <v>230</v>
      </c>
      <c r="M139" s="78" t="s">
        <v>231</v>
      </c>
      <c r="N139" s="78" t="s">
        <v>232</v>
      </c>
      <c r="O139" s="78" t="s">
        <v>233</v>
      </c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</row>
    <row r="140" spans="1:27" x14ac:dyDescent="0.25">
      <c r="A140" s="106">
        <f>MAX(D140:AA140)</f>
        <v>1E-14</v>
      </c>
      <c r="B140" s="95" t="s">
        <v>97</v>
      </c>
      <c r="C140" s="100" t="s">
        <v>10</v>
      </c>
      <c r="D140" s="91">
        <v>1E-14</v>
      </c>
      <c r="E140" s="91">
        <v>1E-14</v>
      </c>
      <c r="F140" s="91">
        <v>1E-14</v>
      </c>
      <c r="G140" s="91">
        <v>1E-14</v>
      </c>
      <c r="H140" s="91">
        <v>1E-14</v>
      </c>
      <c r="I140" s="91">
        <v>1E-14</v>
      </c>
      <c r="J140" s="91">
        <v>1E-14</v>
      </c>
      <c r="K140" s="91">
        <v>1E-14</v>
      </c>
      <c r="L140" s="91">
        <v>1E-14</v>
      </c>
      <c r="M140" s="91">
        <v>1E-14</v>
      </c>
      <c r="N140" s="91">
        <v>1E-14</v>
      </c>
      <c r="O140" s="91">
        <v>1E-14</v>
      </c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</row>
    <row r="141" spans="1:27" x14ac:dyDescent="0.25">
      <c r="A141" s="106">
        <f t="shared" ref="A141:A197" si="10">MAX(D141:AA141)</f>
        <v>1E-14</v>
      </c>
      <c r="B141" s="96" t="s">
        <v>97</v>
      </c>
      <c r="C141" s="101" t="s">
        <v>18</v>
      </c>
      <c r="D141" s="92">
        <v>1E-14</v>
      </c>
      <c r="E141" s="92">
        <v>1E-14</v>
      </c>
      <c r="F141" s="92">
        <v>1E-14</v>
      </c>
      <c r="G141" s="92">
        <v>1E-14</v>
      </c>
      <c r="H141" s="92">
        <v>1E-14</v>
      </c>
      <c r="I141" s="92">
        <v>1E-14</v>
      </c>
      <c r="J141" s="92">
        <v>1E-14</v>
      </c>
      <c r="K141" s="92">
        <v>1E-14</v>
      </c>
      <c r="L141" s="92">
        <v>1E-14</v>
      </c>
      <c r="M141" s="92">
        <v>1E-14</v>
      </c>
      <c r="N141" s="92">
        <v>1E-14</v>
      </c>
      <c r="O141" s="92">
        <v>1E-14</v>
      </c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</row>
    <row r="142" spans="1:27" x14ac:dyDescent="0.25">
      <c r="A142" s="106">
        <f t="shared" si="10"/>
        <v>1E-14</v>
      </c>
      <c r="B142" s="96" t="s">
        <v>97</v>
      </c>
      <c r="C142" s="101" t="s">
        <v>17</v>
      </c>
      <c r="D142" s="92">
        <v>1E-14</v>
      </c>
      <c r="E142" s="92">
        <v>1E-14</v>
      </c>
      <c r="F142" s="92">
        <v>1E-14</v>
      </c>
      <c r="G142" s="92">
        <v>1E-14</v>
      </c>
      <c r="H142" s="92">
        <v>1E-14</v>
      </c>
      <c r="I142" s="92">
        <v>1E-14</v>
      </c>
      <c r="J142" s="92">
        <v>1E-14</v>
      </c>
      <c r="K142" s="92">
        <v>1E-14</v>
      </c>
      <c r="L142" s="92">
        <v>1E-14</v>
      </c>
      <c r="M142" s="92">
        <v>1E-14</v>
      </c>
      <c r="N142" s="92">
        <v>1E-14</v>
      </c>
      <c r="O142" s="92">
        <v>1E-14</v>
      </c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</row>
    <row r="143" spans="1:27" x14ac:dyDescent="0.25">
      <c r="A143" s="106">
        <f t="shared" si="10"/>
        <v>1E-14</v>
      </c>
      <c r="B143" s="96" t="s">
        <v>98</v>
      </c>
      <c r="C143" s="101" t="s">
        <v>10</v>
      </c>
      <c r="D143" s="92">
        <v>1E-14</v>
      </c>
      <c r="E143" s="92">
        <v>1E-14</v>
      </c>
      <c r="F143" s="92">
        <v>1E-14</v>
      </c>
      <c r="G143" s="92">
        <v>1E-14</v>
      </c>
      <c r="H143" s="92">
        <v>1E-14</v>
      </c>
      <c r="I143" s="92">
        <v>1E-14</v>
      </c>
      <c r="J143" s="92">
        <v>1E-14</v>
      </c>
      <c r="K143" s="92">
        <v>1E-14</v>
      </c>
      <c r="L143" s="92">
        <v>1E-14</v>
      </c>
      <c r="M143" s="92">
        <v>1E-14</v>
      </c>
      <c r="N143" s="92">
        <v>1E-14</v>
      </c>
      <c r="O143" s="92">
        <v>1E-14</v>
      </c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</row>
    <row r="144" spans="1:27" x14ac:dyDescent="0.25">
      <c r="A144" s="106">
        <f t="shared" si="10"/>
        <v>1E-14</v>
      </c>
      <c r="B144" s="96" t="s">
        <v>98</v>
      </c>
      <c r="C144" s="101" t="s">
        <v>18</v>
      </c>
      <c r="D144" s="92">
        <v>1E-14</v>
      </c>
      <c r="E144" s="92">
        <v>1E-14</v>
      </c>
      <c r="F144" s="92">
        <v>1E-14</v>
      </c>
      <c r="G144" s="92">
        <v>1E-14</v>
      </c>
      <c r="H144" s="92">
        <v>1E-14</v>
      </c>
      <c r="I144" s="92">
        <v>1E-14</v>
      </c>
      <c r="J144" s="92">
        <v>1E-14</v>
      </c>
      <c r="K144" s="92">
        <v>1E-14</v>
      </c>
      <c r="L144" s="92">
        <v>1E-14</v>
      </c>
      <c r="M144" s="92">
        <v>1E-14</v>
      </c>
      <c r="N144" s="92">
        <v>1E-14</v>
      </c>
      <c r="O144" s="92">
        <v>1E-14</v>
      </c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</row>
    <row r="145" spans="1:27" x14ac:dyDescent="0.25">
      <c r="A145" s="106">
        <f t="shared" si="10"/>
        <v>1E-14</v>
      </c>
      <c r="B145" s="96" t="s">
        <v>98</v>
      </c>
      <c r="C145" s="101" t="s">
        <v>17</v>
      </c>
      <c r="D145" s="92">
        <v>1E-14</v>
      </c>
      <c r="E145" s="92">
        <v>1E-14</v>
      </c>
      <c r="F145" s="92">
        <v>1E-14</v>
      </c>
      <c r="G145" s="92">
        <v>1E-14</v>
      </c>
      <c r="H145" s="92">
        <v>1E-14</v>
      </c>
      <c r="I145" s="92">
        <v>1E-14</v>
      </c>
      <c r="J145" s="92">
        <v>1E-14</v>
      </c>
      <c r="K145" s="92">
        <v>1E-14</v>
      </c>
      <c r="L145" s="92">
        <v>1E-14</v>
      </c>
      <c r="M145" s="92">
        <v>1E-14</v>
      </c>
      <c r="N145" s="92">
        <v>1E-14</v>
      </c>
      <c r="O145" s="92">
        <v>1E-14</v>
      </c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</row>
    <row r="146" spans="1:27" x14ac:dyDescent="0.25">
      <c r="A146" s="106">
        <f t="shared" si="10"/>
        <v>0</v>
      </c>
      <c r="B146" s="98"/>
      <c r="C146" s="10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</row>
    <row r="147" spans="1:27" x14ac:dyDescent="0.25">
      <c r="A147" s="106">
        <f t="shared" si="10"/>
        <v>0</v>
      </c>
      <c r="B147" s="104"/>
      <c r="C147" s="105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</row>
    <row r="148" spans="1:27" x14ac:dyDescent="0.25">
      <c r="A148" s="106">
        <f t="shared" si="10"/>
        <v>0</v>
      </c>
      <c r="B148" s="98"/>
      <c r="C148" s="10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</row>
    <row r="149" spans="1:27" x14ac:dyDescent="0.25">
      <c r="A149" s="106">
        <f t="shared" si="10"/>
        <v>0</v>
      </c>
      <c r="B149" s="98"/>
      <c r="C149" s="10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</row>
    <row r="150" spans="1:27" x14ac:dyDescent="0.25">
      <c r="A150" s="106">
        <f t="shared" si="10"/>
        <v>0</v>
      </c>
      <c r="B150" s="98"/>
      <c r="C150" s="10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</row>
    <row r="151" spans="1:27" x14ac:dyDescent="0.25">
      <c r="A151" s="106">
        <f t="shared" si="10"/>
        <v>0</v>
      </c>
      <c r="B151" s="98"/>
      <c r="C151" s="10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</row>
    <row r="152" spans="1:27" x14ac:dyDescent="0.25">
      <c r="A152" s="106">
        <f t="shared" si="10"/>
        <v>0</v>
      </c>
      <c r="B152" s="98"/>
      <c r="C152" s="10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</row>
    <row r="153" spans="1:27" x14ac:dyDescent="0.25">
      <c r="A153" s="106">
        <f t="shared" si="10"/>
        <v>0</v>
      </c>
      <c r="B153" s="98"/>
      <c r="C153" s="10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</row>
    <row r="154" spans="1:27" x14ac:dyDescent="0.25">
      <c r="A154" s="106">
        <f t="shared" si="10"/>
        <v>0</v>
      </c>
      <c r="B154" s="98"/>
      <c r="C154" s="10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</row>
    <row r="155" spans="1:27" x14ac:dyDescent="0.25">
      <c r="A155" s="106">
        <f t="shared" si="10"/>
        <v>0</v>
      </c>
      <c r="B155" s="98"/>
      <c r="C155" s="10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</row>
    <row r="156" spans="1:27" x14ac:dyDescent="0.25">
      <c r="A156" s="106">
        <f t="shared" si="10"/>
        <v>0</v>
      </c>
      <c r="B156" s="98"/>
      <c r="C156" s="10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x14ac:dyDescent="0.25">
      <c r="A157" s="106">
        <f t="shared" si="10"/>
        <v>0</v>
      </c>
      <c r="B157" s="98"/>
      <c r="C157" s="10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x14ac:dyDescent="0.25">
      <c r="A158" s="106">
        <f t="shared" si="10"/>
        <v>0</v>
      </c>
      <c r="B158" s="98"/>
      <c r="C158" s="10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x14ac:dyDescent="0.25">
      <c r="A159" s="106">
        <f t="shared" si="10"/>
        <v>0</v>
      </c>
      <c r="B159" s="98"/>
      <c r="C159" s="10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x14ac:dyDescent="0.25">
      <c r="A160" s="106">
        <f t="shared" si="10"/>
        <v>0</v>
      </c>
      <c r="B160" s="98"/>
      <c r="C160" s="10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x14ac:dyDescent="0.25">
      <c r="A161" s="106">
        <f t="shared" si="10"/>
        <v>0</v>
      </c>
      <c r="B161" s="98"/>
      <c r="C161" s="10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x14ac:dyDescent="0.25">
      <c r="A162" s="106">
        <f t="shared" si="10"/>
        <v>0</v>
      </c>
      <c r="B162" s="98"/>
      <c r="C162" s="10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x14ac:dyDescent="0.25">
      <c r="A163" s="106">
        <f t="shared" si="10"/>
        <v>0</v>
      </c>
      <c r="B163" s="98"/>
      <c r="C163" s="10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</row>
    <row r="164" spans="1:27" x14ac:dyDescent="0.25">
      <c r="A164" s="106">
        <f t="shared" si="10"/>
        <v>0</v>
      </c>
      <c r="B164" s="98"/>
      <c r="C164" s="10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si="10"/>
        <v>0</v>
      </c>
      <c r="B165" s="98"/>
      <c r="C165" s="10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0"/>
        <v>0</v>
      </c>
      <c r="B166" s="98"/>
      <c r="C166" s="10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0"/>
        <v>0</v>
      </c>
      <c r="B167" s="98"/>
      <c r="C167" s="10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0"/>
        <v>0</v>
      </c>
      <c r="B168" s="98"/>
      <c r="C168" s="10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0"/>
        <v>0</v>
      </c>
      <c r="B169" s="98"/>
      <c r="C169" s="10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0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0"/>
        <v>0</v>
      </c>
      <c r="B171" s="98"/>
      <c r="C171" s="10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0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0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0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0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0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0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0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0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0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0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0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0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0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0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0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0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0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0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0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0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0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0"/>
        <v>0</v>
      </c>
      <c r="B193" s="99"/>
      <c r="C193" s="103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0"/>
        <v>0</v>
      </c>
      <c r="B194" s="99"/>
      <c r="C194" s="103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0"/>
        <v>0</v>
      </c>
      <c r="B195" s="99"/>
      <c r="C195" s="103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0"/>
        <v>0</v>
      </c>
      <c r="B196" s="99"/>
      <c r="C196" s="103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0"/>
        <v>0</v>
      </c>
      <c r="B197" s="99"/>
      <c r="C197" s="103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/>
    </row>
  </sheetData>
  <phoneticPr fontId="8" type="noConversion"/>
  <conditionalFormatting sqref="D51:AA57">
    <cfRule type="cellIs" dxfId="98" priority="3" operator="between">
      <formula>-0.00000000001</formula>
      <formula>0.00000000001</formula>
    </cfRule>
    <cfRule type="colorScale" priority="13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3:AA128">
    <cfRule type="cellIs" dxfId="97" priority="138" operator="lessThan">
      <formula>0.0000000000001</formula>
    </cfRule>
  </conditionalFormatting>
  <conditionalFormatting sqref="D59:AA89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91:A121">
    <cfRule type="colorScale" priority="13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59:A8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51:A56">
    <cfRule type="colorScale" priority="12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96" priority="126" operator="between">
      <formula>-0.0000000000001</formula>
      <formula>0.0000000000001</formula>
    </cfRule>
  </conditionalFormatting>
  <conditionalFormatting sqref="A8:AA48">
    <cfRule type="cellIs" dxfId="95" priority="125" operator="between">
      <formula>-0.0000000000001</formula>
      <formula>0.0000000000001</formula>
    </cfRule>
  </conditionalFormatting>
  <conditionalFormatting sqref="A16 C16:O16">
    <cfRule type="cellIs" dxfId="94" priority="124" operator="between">
      <formula>-0.0000000000001</formula>
      <formula>0.0000000000001</formula>
    </cfRule>
  </conditionalFormatting>
  <conditionalFormatting sqref="P16:AA16">
    <cfRule type="cellIs" dxfId="93" priority="123" operator="between">
      <formula>-0.0000000000001</formula>
      <formula>0.0000000000001</formula>
    </cfRule>
  </conditionalFormatting>
  <conditionalFormatting sqref="C8:O8 A8">
    <cfRule type="cellIs" dxfId="92" priority="122" operator="between">
      <formula>-0.0000000000001</formula>
      <formula>0.0000000000001</formula>
    </cfRule>
  </conditionalFormatting>
  <conditionalFormatting sqref="P8:AA8">
    <cfRule type="cellIs" dxfId="91" priority="121" operator="between">
      <formula>-0.0000000000001</formula>
      <formula>0.0000000000001</formula>
    </cfRule>
  </conditionalFormatting>
  <conditionalFormatting sqref="C13">
    <cfRule type="cellIs" dxfId="90" priority="120" operator="between">
      <formula>-0.0000000000001</formula>
      <formula>0.0000000000001</formula>
    </cfRule>
  </conditionalFormatting>
  <conditionalFormatting sqref="C14">
    <cfRule type="cellIs" dxfId="89" priority="118" operator="between">
      <formula>-0.0000000000001</formula>
      <formula>0.0000000000001</formula>
    </cfRule>
  </conditionalFormatting>
  <conditionalFormatting sqref="A14 C14:O14">
    <cfRule type="cellIs" dxfId="88" priority="117" operator="between">
      <formula>-0.0000000000001</formula>
      <formula>0.0000000000001</formula>
    </cfRule>
  </conditionalFormatting>
  <conditionalFormatting sqref="P14:AA14">
    <cfRule type="cellIs" dxfId="87" priority="116" operator="between">
      <formula>-0.0000000000001</formula>
      <formula>0.0000000000001</formula>
    </cfRule>
  </conditionalFormatting>
  <conditionalFormatting sqref="C20:O21 A20:A21">
    <cfRule type="cellIs" dxfId="86" priority="115" operator="between">
      <formula>-0.0000000000001</formula>
      <formula>0.0000000000001</formula>
    </cfRule>
  </conditionalFormatting>
  <conditionalFormatting sqref="P20:AA21">
    <cfRule type="cellIs" dxfId="85" priority="114" operator="between">
      <formula>-0.0000000000001</formula>
      <formula>0.0000000000001</formula>
    </cfRule>
  </conditionalFormatting>
  <conditionalFormatting sqref="C40:O41 A40:A41 A43 C43:AA43 D39:O40 D42:O42">
    <cfRule type="cellIs" dxfId="84" priority="113" operator="between">
      <formula>-0.0000000000001</formula>
      <formula>0.0000000000001</formula>
    </cfRule>
  </conditionalFormatting>
  <conditionalFormatting sqref="P40:AA41">
    <cfRule type="cellIs" dxfId="83" priority="112" operator="between">
      <formula>-0.0000000000001</formula>
      <formula>0.0000000000001</formula>
    </cfRule>
  </conditionalFormatting>
  <conditionalFormatting sqref="C42:O42">
    <cfRule type="cellIs" dxfId="82" priority="111" operator="between">
      <formula>-0.0000000000001</formula>
      <formula>0.0000000000001</formula>
    </cfRule>
  </conditionalFormatting>
  <conditionalFormatting sqref="P42:AA42">
    <cfRule type="cellIs" dxfId="81" priority="110" operator="between">
      <formula>-0.0000000000001</formula>
      <formula>0.0000000000001</formula>
    </cfRule>
  </conditionalFormatting>
  <conditionalFormatting sqref="C11:O11">
    <cfRule type="cellIs" dxfId="80" priority="109" operator="between">
      <formula>-0.0000000000001</formula>
      <formula>0.0000000000001</formula>
    </cfRule>
  </conditionalFormatting>
  <conditionalFormatting sqref="P11:AA11">
    <cfRule type="cellIs" dxfId="79" priority="108" operator="between">
      <formula>-0.0000000000001</formula>
      <formula>0.0000000000001</formula>
    </cfRule>
  </conditionalFormatting>
  <conditionalFormatting sqref="C11">
    <cfRule type="cellIs" dxfId="78" priority="107" operator="between">
      <formula>-0.0000000000001</formula>
      <formula>0.0000000000001</formula>
    </cfRule>
  </conditionalFormatting>
  <conditionalFormatting sqref="A59:AA89">
    <cfRule type="cellIs" dxfId="77" priority="106" operator="between">
      <formula>-0.00000000001</formula>
      <formula>0.00000000001</formula>
    </cfRule>
  </conditionalFormatting>
  <conditionalFormatting sqref="P12:AA12">
    <cfRule type="cellIs" dxfId="76" priority="103" operator="between">
      <formula>-0.0000000000001</formula>
      <formula>0.0000000000001</formula>
    </cfRule>
  </conditionalFormatting>
  <conditionalFormatting sqref="C12">
    <cfRule type="cellIs" dxfId="75" priority="102" operator="between">
      <formula>-0.0000000000001</formula>
      <formula>0.0000000000001</formula>
    </cfRule>
  </conditionalFormatting>
  <conditionalFormatting sqref="C17:O17 A17">
    <cfRule type="cellIs" dxfId="74" priority="101" operator="between">
      <formula>-0.0000000000001</formula>
      <formula>0.0000000000001</formula>
    </cfRule>
  </conditionalFormatting>
  <conditionalFormatting sqref="P17:AA17">
    <cfRule type="cellIs" dxfId="73" priority="100" operator="between">
      <formula>-0.0000000000001</formula>
      <formula>0.0000000000001</formula>
    </cfRule>
  </conditionalFormatting>
  <conditionalFormatting sqref="C17">
    <cfRule type="cellIs" dxfId="72" priority="99" operator="between">
      <formula>-0.0000000000001</formula>
      <formula>0.0000000000001</formula>
    </cfRule>
  </conditionalFormatting>
  <conditionalFormatting sqref="C39:O39 A39">
    <cfRule type="cellIs" dxfId="71" priority="98" operator="between">
      <formula>-0.0000000000001</formula>
      <formula>0.0000000000001</formula>
    </cfRule>
  </conditionalFormatting>
  <conditionalFormatting sqref="P39:AA39">
    <cfRule type="cellIs" dxfId="70" priority="97" operator="between">
      <formula>-0.0000000000001</formula>
      <formula>0.0000000000001</formula>
    </cfRule>
  </conditionalFormatting>
  <conditionalFormatting sqref="D10:O10">
    <cfRule type="cellIs" dxfId="69" priority="96" operator="between">
      <formula>-0.0000000000001</formula>
      <formula>0.0000000000001</formula>
    </cfRule>
  </conditionalFormatting>
  <conditionalFormatting sqref="P10:AA10">
    <cfRule type="cellIs" dxfId="68" priority="95" operator="between">
      <formula>-0.0000000000001</formula>
      <formula>0.0000000000001</formula>
    </cfRule>
  </conditionalFormatting>
  <conditionalFormatting sqref="C34:AA34 A34">
    <cfRule type="cellIs" dxfId="67" priority="92" operator="between">
      <formula>-0.0000000000001</formula>
      <formula>0.0000000000001</formula>
    </cfRule>
  </conditionalFormatting>
  <conditionalFormatting sqref="P34:AA34">
    <cfRule type="cellIs" dxfId="66" priority="91" operator="between">
      <formula>-0.0000000000001</formula>
      <formula>0.0000000000001</formula>
    </cfRule>
  </conditionalFormatting>
  <conditionalFormatting sqref="B5">
    <cfRule type="cellIs" dxfId="65" priority="90" operator="between">
      <formula>-0.0000000000001</formula>
      <formula>0.0000000000001</formula>
    </cfRule>
  </conditionalFormatting>
  <conditionalFormatting sqref="C10">
    <cfRule type="cellIs" dxfId="64" priority="89" operator="between">
      <formula>-0.0000000000001</formula>
      <formula>0.0000000000001</formula>
    </cfRule>
  </conditionalFormatting>
  <conditionalFormatting sqref="A11">
    <cfRule type="cellIs" dxfId="63" priority="88" operator="between">
      <formula>-0.0000000000001</formula>
      <formula>0.0000000000001</formula>
    </cfRule>
  </conditionalFormatting>
  <conditionalFormatting sqref="B147:B197">
    <cfRule type="containsText" dxfId="62" priority="86" operator="containsText" text="sto2">
      <formula>NOT(ISERROR(SEARCH("sto2",B147)))</formula>
    </cfRule>
    <cfRule type="containsText" dxfId="61" priority="87" operator="containsText" text="sto1">
      <formula>NOT(ISERROR(SEARCH("sto1",B147)))</formula>
    </cfRule>
  </conditionalFormatting>
  <conditionalFormatting sqref="A22 D22:AA22">
    <cfRule type="cellIs" dxfId="60" priority="85" operator="between">
      <formula>-0.0000000000001</formula>
      <formula>0.0000000000001</formula>
    </cfRule>
  </conditionalFormatting>
  <conditionalFormatting sqref="D22:AA22 A22">
    <cfRule type="cellIs" dxfId="59" priority="84" operator="between">
      <formula>-0.0000000000001</formula>
      <formula>0.0000000000001</formula>
    </cfRule>
  </conditionalFormatting>
  <conditionalFormatting sqref="C22:O22 A22">
    <cfRule type="cellIs" dxfId="58" priority="83" operator="between">
      <formula>-0.0000000000001</formula>
      <formula>0.0000000000001</formula>
    </cfRule>
  </conditionalFormatting>
  <conditionalFormatting sqref="P22:AA22">
    <cfRule type="cellIs" dxfId="57" priority="82" operator="between">
      <formula>-0.0000000000001</formula>
      <formula>0.0000000000001</formula>
    </cfRule>
  </conditionalFormatting>
  <conditionalFormatting sqref="D140:AA197">
    <cfRule type="colorScale" priority="79">
      <colorScale>
        <cfvo type="min"/>
        <cfvo type="max"/>
        <color rgb="FFFCFCFF"/>
        <color theme="9" tint="0.39997558519241921"/>
      </colorScale>
    </cfRule>
  </conditionalFormatting>
  <conditionalFormatting sqref="B133:B135 B137:B138">
    <cfRule type="containsText" dxfId="56" priority="77" operator="containsText" text="sto2">
      <formula>NOT(ISERROR(SEARCH("sto2",B133)))</formula>
    </cfRule>
    <cfRule type="containsText" dxfId="55" priority="78" operator="containsText" text="sto1">
      <formula>NOT(ISERROR(SEARCH("sto1",B133)))</formula>
    </cfRule>
  </conditionalFormatting>
  <conditionalFormatting sqref="B132">
    <cfRule type="containsText" dxfId="54" priority="75" operator="containsText" text="sto2">
      <formula>NOT(ISERROR(SEARCH("sto2",B132)))</formula>
    </cfRule>
    <cfRule type="containsText" dxfId="53" priority="76" operator="containsText" text="sto1">
      <formula>NOT(ISERROR(SEARCH("sto1",B132)))</formula>
    </cfRule>
  </conditionalFormatting>
  <conditionalFormatting sqref="D132:AA135 D137:AA138">
    <cfRule type="colorScale" priority="74">
      <colorScale>
        <cfvo type="min"/>
        <cfvo type="max"/>
        <color rgb="FFFCFCFF"/>
        <color rgb="FF63BE7B"/>
      </colorScale>
    </cfRule>
  </conditionalFormatting>
  <conditionalFormatting sqref="B136">
    <cfRule type="containsText" dxfId="52" priority="72" operator="containsText" text="sto2">
      <formula>NOT(ISERROR(SEARCH("sto2",B136)))</formula>
    </cfRule>
    <cfRule type="containsText" dxfId="51" priority="73" operator="containsText" text="sto1">
      <formula>NOT(ISERROR(SEARCH("sto1",B136)))</formula>
    </cfRule>
  </conditionalFormatting>
  <conditionalFormatting sqref="D136:AA136">
    <cfRule type="colorScale" priority="71">
      <colorScale>
        <cfvo type="min"/>
        <cfvo type="max"/>
        <color rgb="FFFCFCFF"/>
        <color theme="9" tint="0.39997558519241921"/>
      </colorScale>
    </cfRule>
  </conditionalFormatting>
  <conditionalFormatting sqref="B141:B143 B145:B146">
    <cfRule type="containsText" dxfId="50" priority="66" operator="containsText" text="sto2">
      <formula>NOT(ISERROR(SEARCH("sto2",B141)))</formula>
    </cfRule>
    <cfRule type="containsText" dxfId="49" priority="67" operator="containsText" text="sto1">
      <formula>NOT(ISERROR(SEARCH("sto1",B141)))</formula>
    </cfRule>
  </conditionalFormatting>
  <conditionalFormatting sqref="B140">
    <cfRule type="containsText" dxfId="48" priority="64" operator="containsText" text="sto2">
      <formula>NOT(ISERROR(SEARCH("sto2",B140)))</formula>
    </cfRule>
    <cfRule type="containsText" dxfId="47" priority="65" operator="containsText" text="sto1">
      <formula>NOT(ISERROR(SEARCH("sto1",B140)))</formula>
    </cfRule>
  </conditionalFormatting>
  <conditionalFormatting sqref="B144">
    <cfRule type="containsText" dxfId="46" priority="62" operator="containsText" text="sto2">
      <formula>NOT(ISERROR(SEARCH("sto2",B144)))</formula>
    </cfRule>
    <cfRule type="containsText" dxfId="45" priority="63" operator="containsText" text="sto1">
      <formula>NOT(ISERROR(SEARCH("sto1",B144)))</formula>
    </cfRule>
  </conditionalFormatting>
  <conditionalFormatting sqref="E23:AA23 A23">
    <cfRule type="cellIs" dxfId="44" priority="60" operator="between">
      <formula>-0.0000000000001</formula>
      <formula>0.0000000000001</formula>
    </cfRule>
  </conditionalFormatting>
  <conditionalFormatting sqref="A23 E23:AA23">
    <cfRule type="cellIs" dxfId="43" priority="59" operator="between">
      <formula>-0.0000000000001</formula>
      <formula>0.0000000000001</formula>
    </cfRule>
  </conditionalFormatting>
  <conditionalFormatting sqref="D25:AA25 A25">
    <cfRule type="cellIs" dxfId="42" priority="58" operator="between">
      <formula>-0.0000000000001</formula>
      <formula>0.0000000000001</formula>
    </cfRule>
  </conditionalFormatting>
  <conditionalFormatting sqref="A25 D25:AA25">
    <cfRule type="cellIs" dxfId="41" priority="57" operator="between">
      <formula>-0.0000000000001</formula>
      <formula>0.0000000000001</formula>
    </cfRule>
  </conditionalFormatting>
  <conditionalFormatting sqref="A35 D35:AA35">
    <cfRule type="cellIs" dxfId="40" priority="56" operator="between">
      <formula>-0.0000000000001</formula>
      <formula>0.0000000000001</formula>
    </cfRule>
  </conditionalFormatting>
  <conditionalFormatting sqref="D35:AA35 A35">
    <cfRule type="cellIs" dxfId="39" priority="55" operator="between">
      <formula>-0.0000000000001</formula>
      <formula>0.0000000000001</formula>
    </cfRule>
  </conditionalFormatting>
  <conditionalFormatting sqref="A27:A28 D27:AA29 D31:AA31 A31">
    <cfRule type="cellIs" dxfId="38" priority="52" operator="between">
      <formula>-0.0000000000001</formula>
      <formula>0.0000000000001</formula>
    </cfRule>
  </conditionalFormatting>
  <conditionalFormatting sqref="D27:AA29 A27:A28 A31 D31:AA31">
    <cfRule type="cellIs" dxfId="37" priority="51" operator="between">
      <formula>-0.0000000000001</formula>
      <formula>0.0000000000001</formula>
    </cfRule>
  </conditionalFormatting>
  <conditionalFormatting sqref="C28:AA29 A28">
    <cfRule type="cellIs" dxfId="36" priority="50" operator="between">
      <formula>-0.0000000000001</formula>
      <formula>0.0000000000001</formula>
    </cfRule>
  </conditionalFormatting>
  <conditionalFormatting sqref="P28:AA29">
    <cfRule type="cellIs" dxfId="35" priority="49" operator="between">
      <formula>-0.0000000000001</formula>
      <formula>0.0000000000001</formula>
    </cfRule>
  </conditionalFormatting>
  <conditionalFormatting sqref="A30 D30:AA30">
    <cfRule type="cellIs" dxfId="34" priority="48" operator="between">
      <formula>-0.0000000000001</formula>
      <formula>0.0000000000001</formula>
    </cfRule>
  </conditionalFormatting>
  <conditionalFormatting sqref="D30:AA30 A30">
    <cfRule type="cellIs" dxfId="33" priority="47" operator="between">
      <formula>-0.0000000000001</formula>
      <formula>0.0000000000001</formula>
    </cfRule>
  </conditionalFormatting>
  <conditionalFormatting sqref="D41:O41">
    <cfRule type="cellIs" dxfId="32" priority="46" operator="between">
      <formula>-0.0000000000001</formula>
      <formula>0.0000000000001</formula>
    </cfRule>
  </conditionalFormatting>
  <conditionalFormatting sqref="D38:O38">
    <cfRule type="cellIs" dxfId="31" priority="45" operator="between">
      <formula>-0.0000000000001</formula>
      <formula>0.0000000000001</formula>
    </cfRule>
  </conditionalFormatting>
  <conditionalFormatting sqref="A29">
    <cfRule type="cellIs" dxfId="30" priority="44" operator="between">
      <formula>-0.0000000000001</formula>
      <formula>0.0000000000001</formula>
    </cfRule>
  </conditionalFormatting>
  <conditionalFormatting sqref="A29">
    <cfRule type="cellIs" dxfId="29" priority="43" operator="between">
      <formula>-0.0000000000001</formula>
      <formula>0.0000000000001</formula>
    </cfRule>
  </conditionalFormatting>
  <conditionalFormatting sqref="A37">
    <cfRule type="cellIs" dxfId="28" priority="42" operator="between">
      <formula>-0.0000000000001</formula>
      <formula>0.0000000000001</formula>
    </cfRule>
  </conditionalFormatting>
  <conditionalFormatting sqref="A37">
    <cfRule type="cellIs" dxfId="27" priority="41" operator="between">
      <formula>-0.0000000000001</formula>
      <formula>0.0000000000001</formula>
    </cfRule>
  </conditionalFormatting>
  <conditionalFormatting sqref="A42">
    <cfRule type="cellIs" dxfId="26" priority="40" operator="between">
      <formula>-0.0000000000001</formula>
      <formula>0.0000000000001</formula>
    </cfRule>
  </conditionalFormatting>
  <conditionalFormatting sqref="A42">
    <cfRule type="cellIs" dxfId="25" priority="39" operator="between">
      <formula>-0.0000000000001</formula>
      <formula>0.0000000000001</formula>
    </cfRule>
  </conditionalFormatting>
  <conditionalFormatting sqref="D24">
    <cfRule type="cellIs" dxfId="24" priority="38" operator="between">
      <formula>-0.0000000000001</formula>
      <formula>0.0000000000001</formula>
    </cfRule>
  </conditionalFormatting>
  <conditionalFormatting sqref="D24">
    <cfRule type="cellIs" dxfId="23" priority="37" operator="between">
      <formula>-0.0000000000001</formula>
      <formula>0.0000000000001</formula>
    </cfRule>
  </conditionalFormatting>
  <conditionalFormatting sqref="D23">
    <cfRule type="cellIs" dxfId="22" priority="36" operator="between">
      <formula>-0.0000000000001</formula>
      <formula>0.0000000000001</formula>
    </cfRule>
  </conditionalFormatting>
  <conditionalFormatting sqref="D23">
    <cfRule type="cellIs" dxfId="21" priority="35" operator="between">
      <formula>-0.0000000000001</formula>
      <formula>0.0000000000001</formula>
    </cfRule>
  </conditionalFormatting>
  <conditionalFormatting sqref="D44:AA44">
    <cfRule type="cellIs" dxfId="20" priority="34" operator="between">
      <formula>-0.0000000000001</formula>
      <formula>0.0000000000001</formula>
    </cfRule>
  </conditionalFormatting>
  <conditionalFormatting sqref="D44:AA44">
    <cfRule type="cellIs" dxfId="19" priority="33" operator="between">
      <formula>-0.0000000000001</formula>
      <formula>0.0000000000001</formula>
    </cfRule>
  </conditionalFormatting>
  <conditionalFormatting sqref="C44:AA44">
    <cfRule type="cellIs" dxfId="18" priority="32" operator="between">
      <formula>-0.0000000000001</formula>
      <formula>0.0000000000001</formula>
    </cfRule>
  </conditionalFormatting>
  <conditionalFormatting sqref="D44:AA44">
    <cfRule type="cellIs" dxfId="17" priority="31" operator="between">
      <formula>-0.0000000000001</formula>
      <formula>0.0000000000001</formula>
    </cfRule>
  </conditionalFormatting>
  <conditionalFormatting sqref="P44:AA44">
    <cfRule type="cellIs" dxfId="16" priority="30" operator="between">
      <formula>-0.0000000000001</formula>
      <formula>0.0000000000001</formula>
    </cfRule>
  </conditionalFormatting>
  <conditionalFormatting sqref="D32:AA32 A32">
    <cfRule type="cellIs" dxfId="15" priority="29" operator="between">
      <formula>-0.0000000000001</formula>
      <formula>0.0000000000001</formula>
    </cfRule>
  </conditionalFormatting>
  <conditionalFormatting sqref="A32 D32:AA32">
    <cfRule type="cellIs" dxfId="14" priority="28" operator="between">
      <formula>-0.0000000000001</formula>
      <formula>0.0000000000001</formula>
    </cfRule>
  </conditionalFormatting>
  <conditionalFormatting sqref="A45:A48">
    <cfRule type="cellIs" dxfId="13" priority="14" operator="greaterThan">
      <formula>0.00000000001</formula>
    </cfRule>
    <cfRule type="cellIs" dxfId="12" priority="17" operator="between">
      <formula>-0.0000000000001</formula>
      <formula>0.0000000000001</formula>
    </cfRule>
  </conditionalFormatting>
  <conditionalFormatting sqref="A45:A48">
    <cfRule type="cellIs" dxfId="11" priority="16" operator="between">
      <formula>-0.0000000000001</formula>
      <formula>0.0000000000001</formula>
    </cfRule>
  </conditionalFormatting>
  <conditionalFormatting sqref="A45:A48">
    <cfRule type="cellIs" dxfId="10" priority="15" operator="between">
      <formula>-0.0000000000001</formula>
      <formula>0.0000000000001</formula>
    </cfRule>
  </conditionalFormatting>
  <conditionalFormatting sqref="D45:AA48">
    <cfRule type="cellIs" dxfId="9" priority="10" operator="greaterThan">
      <formula>0.0000000000001</formula>
    </cfRule>
    <cfRule type="cellIs" dxfId="8" priority="13" operator="between">
      <formula>-0.0000000000001</formula>
      <formula>0.0000000000001</formula>
    </cfRule>
  </conditionalFormatting>
  <conditionalFormatting sqref="D45:AA48">
    <cfRule type="cellIs" dxfId="7" priority="12" operator="between">
      <formula>-0.0000000000001</formula>
      <formula>0.0000000000001</formula>
    </cfRule>
  </conditionalFormatting>
  <conditionalFormatting sqref="D45:AA48">
    <cfRule type="cellIs" dxfId="6" priority="11" operator="between">
      <formula>-0.0000000000001</formula>
      <formula>0.0000000000001</formula>
    </cfRule>
  </conditionalFormatting>
  <conditionalFormatting sqref="B2">
    <cfRule type="cellIs" dxfId="5" priority="9" operator="greaterThan">
      <formula>0</formula>
    </cfRule>
  </conditionalFormatting>
  <conditionalFormatting sqref="A15 D15:AA15">
    <cfRule type="cellIs" dxfId="4" priority="8" operator="between">
      <formula>-0.0000000000001</formula>
      <formula>0.0000000000001</formula>
    </cfRule>
  </conditionalFormatting>
  <conditionalFormatting sqref="D15:AA15 A15">
    <cfRule type="cellIs" dxfId="3" priority="7" operator="between">
      <formula>-0.0000000000001</formula>
      <formula>0.0000000000001</formula>
    </cfRule>
  </conditionalFormatting>
  <conditionalFormatting sqref="A15 C15:O15">
    <cfRule type="cellIs" dxfId="2" priority="6" operator="between">
      <formula>-0.0000000000001</formula>
      <formula>0.0000000000001</formula>
    </cfRule>
  </conditionalFormatting>
  <conditionalFormatting sqref="P15:AA15">
    <cfRule type="cellIs" dxfId="1" priority="5" operator="between">
      <formula>-0.0000000000001</formula>
      <formula>0.0000000000001</formula>
    </cfRule>
  </conditionalFormatting>
  <conditionalFormatting sqref="D91:AA120">
    <cfRule type="colorScale" priority="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1:AA120">
    <cfRule type="cellIs" dxfId="0" priority="1" operator="between">
      <formula>-0.00000000001</formula>
      <formula>0.00000000001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Lister</vt:lpstr>
      <vt:lpstr>Inputs</vt:lpstr>
      <vt:lpstr>DataU</vt:lpstr>
      <vt:lpstr>DataSto</vt:lpstr>
      <vt:lpstr>DataFuel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2022-02-03T11:05:10Z</dcterms:modified>
</cp:coreProperties>
</file>