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8ABE784D-6478-4E69-83F2-0E8A5806DE0F}" xr6:coauthVersionLast="47" xr6:coauthVersionMax="47" xr10:uidLastSave="{00000000-0000-0000-0000-000000000000}"/>
  <bookViews>
    <workbookView xWindow="28680" yWindow="-120" windowWidth="29040" windowHeight="17790" activeTab="1" xr2:uid="{82C3324D-31D0-4A40-8A1A-11BE9452E5B5}"/>
  </bookViews>
  <sheets>
    <sheet name="Overblik" sheetId="4" r:id="rId1"/>
    <sheet name="Inputs" sheetId="6" r:id="rId2"/>
    <sheet name="DUMP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3" i="4" l="1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41" i="4"/>
  <c r="A42" i="4"/>
  <c r="A43" i="4"/>
  <c r="A44" i="4"/>
  <c r="A45" i="4"/>
  <c r="A46" i="4"/>
  <c r="A47" i="4"/>
  <c r="A15" i="4"/>
  <c r="A13" i="4"/>
  <c r="A8" i="4"/>
  <c r="A9" i="4"/>
  <c r="A10" i="4"/>
  <c r="A11" i="4"/>
  <c r="A12" i="4"/>
  <c r="A14" i="4"/>
  <c r="A16" i="4"/>
  <c r="A19" i="4"/>
  <c r="A20" i="4"/>
  <c r="A21" i="4"/>
  <c r="A22" i="4"/>
  <c r="A23" i="4"/>
  <c r="A24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7" i="4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H15" i="1"/>
  <c r="D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4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tc={FBF1AC24-3947-4E14-802B-0907425F5130}</author>
  </authors>
  <commentList>
    <comment ref="F3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4" authorId="1" shapeId="0" xr:uid="{FBF1AC24-3947-4E14-802B-0907425F5130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</commentList>
</comments>
</file>

<file path=xl/sharedStrings.xml><?xml version="1.0" encoding="utf-8"?>
<sst xmlns="http://schemas.openxmlformats.org/spreadsheetml/2006/main" count="332" uniqueCount="103">
  <si>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</si>
  <si>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</si>
  <si>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</si>
  <si>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</si>
  <si>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</si>
  <si>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</si>
  <si>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</si>
  <si>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</si>
  <si>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</si>
  <si>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</si>
  <si>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</si>
  <si>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</si>
  <si>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</si>
  <si>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IncomeTotal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</si>
  <si>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</si>
  <si>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</si>
  <si>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</si>
  <si>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</si>
  <si>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</si>
  <si>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</si>
  <si>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</si>
  <si>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</si>
  <si>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</si>
  <si>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</si>
  <si>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</si>
  <si>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</si>
  <si>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</si>
  <si>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</si>
  <si>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</si>
  <si>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</si>
  <si>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</si>
  <si>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</si>
  <si>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</si>
  <si>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</si>
  <si>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</si>
  <si>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</si>
  <si>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</si>
  <si>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IncomeF</t>
  </si>
  <si>
    <t>on/off</t>
  </si>
  <si>
    <t>MWq</t>
  </si>
  <si>
    <t>aktiv</t>
  </si>
  <si>
    <t>kapRgk</t>
  </si>
  <si>
    <t>etaq</t>
  </si>
  <si>
    <t>DV</t>
  </si>
  <si>
    <t>ovn2</t>
  </si>
  <si>
    <t>ovn3</t>
  </si>
  <si>
    <t>flisk</t>
  </si>
  <si>
    <t>peak</t>
  </si>
  <si>
    <t>cooler</t>
  </si>
  <si>
    <t>Prognoser</t>
  </si>
  <si>
    <t>ndage</t>
  </si>
  <si>
    <t>varmebehov</t>
  </si>
  <si>
    <t>ELprod</t>
  </si>
  <si>
    <t>ets</t>
  </si>
  <si>
    <t>afv</t>
  </si>
  <si>
    <t>atl</t>
  </si>
  <si>
    <t>ton/år</t>
  </si>
  <si>
    <t>DKK/ton</t>
  </si>
  <si>
    <t>GJ/ton</t>
  </si>
  <si>
    <t>DKK/GJ</t>
  </si>
  <si>
    <t>fkind</t>
  </si>
  <si>
    <t>pris</t>
  </si>
  <si>
    <t>brandv</t>
  </si>
  <si>
    <t>FuelBounds</t>
  </si>
  <si>
    <t>max</t>
  </si>
  <si>
    <t>Varmepris</t>
  </si>
  <si>
    <t>Indkomst</t>
  </si>
  <si>
    <t>AnlaegsOmk</t>
  </si>
  <si>
    <t>BraendselOmk</t>
  </si>
  <si>
    <t>RGKvarme</t>
  </si>
  <si>
    <t>RGKandel</t>
  </si>
  <si>
    <t>RGKrabat</t>
  </si>
  <si>
    <t>Overblik</t>
  </si>
  <si>
    <t>AvailDaysU</t>
  </si>
  <si>
    <t>DataFuel</t>
  </si>
  <si>
    <t>NPV [DKK]</t>
  </si>
  <si>
    <t>Varmemaengder [MWhq]</t>
  </si>
  <si>
    <t>Braendselsforbrug [ton]</t>
  </si>
  <si>
    <t>SUM eller middel</t>
  </si>
  <si>
    <t>Tidsstempel</t>
  </si>
  <si>
    <t>Anlægsdata</t>
  </si>
  <si>
    <t>ton/h</t>
  </si>
  <si>
    <t>kapTon</t>
  </si>
  <si>
    <t>kapNom</t>
  </si>
  <si>
    <t>DataU</t>
  </si>
  <si>
    <t>PeakFuel</t>
  </si>
  <si>
    <t>ns</t>
  </si>
  <si>
    <t>NyAff1</t>
  </si>
  <si>
    <t>NyAff2</t>
  </si>
  <si>
    <t>bortskaffes</t>
  </si>
  <si>
    <t>Kapacitetsudnyttelse</t>
  </si>
  <si>
    <t>Braendselsindkomst [DKK]</t>
  </si>
  <si>
    <t>Bortkoeling</t>
  </si>
  <si>
    <t>FJV-behov</t>
  </si>
  <si>
    <t>VarmeProd</t>
  </si>
  <si>
    <t>minLhv</t>
  </si>
  <si>
    <t>fri</t>
  </si>
  <si>
    <t>minTonnage</t>
  </si>
  <si>
    <t>maxTonnage</t>
  </si>
  <si>
    <t>co2andel</t>
  </si>
  <si>
    <t>prisbv</t>
  </si>
  <si>
    <t>min</t>
  </si>
  <si>
    <t>lagerbar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</si>
</sst>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_-* #,##0.00\ _k_r_._-;\-* #,##0.00\ _k_r_._-;_-* &quot;-&quot;??\ _k_r_._-;_-@_-"/>
    <numFmt numFmtId="167" formatCode="yyyy/mm/dd\ hh:mm;@"/>
    <numFmt numFmtId="168" formatCode="0\ %"/>
    <numFmt numFmtId="169" formatCode="_-* #,##0_-;\-#,##0_-;_-* &quot;-&quot;??_-;_-@_-"/>
    <numFmt numFmtId="170" formatCode="_-#,##0_-;\-#,##0_-;_-* &quot;-&quot;??_-;_-@_-"/>
    <numFmt numFmtId="171" formatCode="0.0\ %"/>
    <numFmt numFmtId="173" formatCode="_-#,##0.00_-;\-#,##0.00_-;_-* &quot;-&quot;??_-;_-@_-"/>
    <numFmt numFmtId="175" formatCode="0.000"/>
    <numFmt numFmtId="176" formatCode="0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4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2" borderId="1" applyNumberFormat="0" applyFont="0" applyAlignment="0" applyProtection="0"/>
    <xf numFmtId="9" fontId="1" fillId="0" borderId="0" applyFont="0" applyFill="0" applyBorder="0" applyAlignment="0" applyProtection="0"/>
  </cellStyleXfs>
  <cellXfs count="62">
    <xf numFmtId="0" fontId="0" fillId="0" borderId="0" xfId="0"/>
    <xf numFmtId="3" fontId="0" fillId="0" borderId="0" xfId="0" applyNumberFormat="1"/>
    <xf numFmtId="0" fontId="2" fillId="0" borderId="0" xfId="0" applyFont="1"/>
    <xf numFmtId="3" fontId="2" fillId="0" borderId="0" xfId="0" applyNumberFormat="1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2" fillId="3" borderId="0" xfId="0" applyFont="1" applyFill="1"/>
    <xf numFmtId="0" fontId="0" fillId="0" borderId="0" xfId="0" applyAlignment="1">
      <alignment horizontal="right" indent="1"/>
    </xf>
    <xf numFmtId="1" fontId="0" fillId="0" borderId="0" xfId="0" applyNumberFormat="1"/>
    <xf numFmtId="3" fontId="2" fillId="0" borderId="0" xfId="0" applyNumberFormat="1" applyFont="1" applyAlignment="1">
      <alignment horizontal="right" indent="1"/>
    </xf>
    <xf numFmtId="43" fontId="0" fillId="0" borderId="0" xfId="1" applyFont="1"/>
    <xf numFmtId="0" fontId="6" fillId="0" borderId="0" xfId="0" applyFont="1"/>
    <xf numFmtId="165" fontId="6" fillId="0" borderId="0" xfId="1" applyNumberFormat="1" applyFont="1"/>
    <xf numFmtId="3" fontId="7" fillId="0" borderId="0" xfId="0" applyNumberFormat="1" applyFont="1"/>
    <xf numFmtId="0" fontId="7" fillId="0" borderId="0" xfId="0" applyFont="1"/>
    <xf numFmtId="165" fontId="7" fillId="0" borderId="0" xfId="1" applyNumberFormat="1" applyFont="1"/>
    <xf numFmtId="0" fontId="8" fillId="0" borderId="0" xfId="0" applyFont="1"/>
    <xf numFmtId="165" fontId="8" fillId="0" borderId="0" xfId="1" applyNumberFormat="1" applyFont="1"/>
    <xf numFmtId="3" fontId="9" fillId="0" borderId="0" xfId="0" applyNumberFormat="1" applyFont="1"/>
    <xf numFmtId="0" fontId="9" fillId="0" borderId="0" xfId="0" applyFont="1"/>
    <xf numFmtId="165" fontId="9" fillId="0" borderId="0" xfId="1" applyNumberFormat="1" applyFont="1"/>
    <xf numFmtId="0" fontId="2" fillId="3" borderId="0" xfId="0" applyFont="1" applyFill="1" applyAlignment="1">
      <alignment horizontal="center"/>
    </xf>
    <xf numFmtId="0" fontId="2" fillId="0" borderId="0" xfId="0" quotePrefix="1" applyFont="1" applyAlignment="1">
      <alignment horizontal="right" indent="1"/>
    </xf>
    <xf numFmtId="0" fontId="2" fillId="0" borderId="0" xfId="0" quotePrefix="1" applyFont="1" applyAlignment="1">
      <alignment horizontal="center"/>
    </xf>
    <xf numFmtId="0" fontId="0" fillId="0" borderId="0" xfId="0" quotePrefix="1" applyAlignment="1">
      <alignment horizontal="right" indent="1"/>
    </xf>
    <xf numFmtId="0" fontId="0" fillId="0" borderId="0" xfId="0" quotePrefix="1"/>
    <xf numFmtId="0" fontId="6" fillId="0" borderId="0" xfId="0" quotePrefix="1" applyFont="1"/>
    <xf numFmtId="0" fontId="2" fillId="3" borderId="0" xfId="0" quotePrefix="1" applyFont="1" applyFill="1" applyAlignment="1">
      <alignment horizontal="center"/>
    </xf>
    <xf numFmtId="165" fontId="0" fillId="0" borderId="0" xfId="1" applyNumberFormat="1" applyFont="1"/>
    <xf numFmtId="166" fontId="0" fillId="0" borderId="0" xfId="0" applyNumberFormat="1"/>
    <xf numFmtId="43" fontId="10" fillId="0" borderId="0" xfId="1" applyFont="1"/>
    <xf numFmtId="165" fontId="0" fillId="0" borderId="0" xfId="0" quotePrefix="1" applyNumberFormat="1" applyAlignment="1">
      <alignment horizontal="right" indent="1"/>
    </xf>
    <xf numFmtId="167" fontId="0" fillId="0" borderId="0" xfId="0" applyNumberFormat="1" applyAlignment="1"/>
    <xf numFmtId="3" fontId="0" fillId="0" borderId="0" xfId="1" applyNumberFormat="1" applyFont="1"/>
    <xf numFmtId="0" fontId="11" fillId="0" borderId="0" xfId="0" applyFont="1" applyAlignment="1">
      <alignment horizontal="center"/>
    </xf>
    <xf numFmtId="9" fontId="0" fillId="0" borderId="0" xfId="0" applyNumberFormat="1" applyFill="1" applyAlignment="1">
      <alignment horizontal="center"/>
    </xf>
    <xf numFmtId="0" fontId="0" fillId="0" borderId="0" xfId="0" applyNumberFormat="1" applyFill="1"/>
    <xf numFmtId="9" fontId="0" fillId="0" borderId="0" xfId="3" applyFont="1" applyFill="1"/>
    <xf numFmtId="167" fontId="0" fillId="0" borderId="0" xfId="0" applyNumberFormat="1" applyAlignment="1">
      <alignment horizontal="center"/>
    </xf>
    <xf numFmtId="0" fontId="7" fillId="0" borderId="0" xfId="0" quotePrefix="1" applyFont="1"/>
    <xf numFmtId="0" fontId="8" fillId="0" borderId="0" xfId="0" quotePrefix="1" applyFont="1"/>
    <xf numFmtId="43" fontId="2" fillId="3" borderId="0" xfId="1" quotePrefix="1" applyFont="1" applyFill="1" applyAlignment="1">
      <alignment horizontal="center"/>
    </xf>
    <xf numFmtId="168" fontId="0" fillId="0" borderId="0" xfId="3" applyNumberFormat="1" applyFont="1"/>
    <xf numFmtId="169" fontId="0" fillId="0" borderId="0" xfId="1" applyNumberFormat="1" applyFont="1"/>
    <xf numFmtId="170" fontId="0" fillId="0" borderId="0" xfId="1" applyNumberFormat="1" applyFont="1"/>
    <xf numFmtId="171" fontId="0" fillId="0" borderId="0" xfId="3" applyNumberFormat="1" applyFont="1"/>
    <xf numFmtId="170" fontId="0" fillId="0" borderId="2" xfId="1" applyNumberFormat="1" applyFont="1" applyBorder="1"/>
    <xf numFmtId="165" fontId="0" fillId="0" borderId="2" xfId="1" applyNumberFormat="1" applyFont="1" applyBorder="1"/>
    <xf numFmtId="43" fontId="0" fillId="0" borderId="2" xfId="1" applyFont="1" applyBorder="1"/>
    <xf numFmtId="173" fontId="0" fillId="0" borderId="0" xfId="1" applyNumberFormat="1" applyFont="1"/>
    <xf numFmtId="3" fontId="0" fillId="0" borderId="0" xfId="0" applyNumberFormat="1" applyAlignment="1">
      <alignment horizontal="center"/>
    </xf>
    <xf numFmtId="175" fontId="0" fillId="0" borderId="0" xfId="0" applyNumberFormat="1"/>
    <xf numFmtId="176" fontId="0" fillId="0" borderId="0" xfId="0" applyNumberFormat="1"/>
    <xf numFmtId="0" fontId="0" fillId="0" borderId="2" xfId="0" applyBorder="1" applyAlignment="1">
      <alignment horizontal="center"/>
    </xf>
    <xf numFmtId="0" fontId="0" fillId="0" borderId="2" xfId="0" applyBorder="1"/>
    <xf numFmtId="164" fontId="0" fillId="0" borderId="2" xfId="0" applyNumberFormat="1" applyBorder="1"/>
    <xf numFmtId="0" fontId="0" fillId="3" borderId="0" xfId="0" applyFill="1"/>
    <xf numFmtId="0" fontId="12" fillId="3" borderId="0" xfId="0" quotePrefix="1" applyFont="1" applyFill="1" applyAlignment="1">
      <alignment horizontal="center"/>
    </xf>
    <xf numFmtId="0" fontId="2" fillId="3" borderId="1" xfId="2" quotePrefix="1" applyFont="1" applyFill="1" applyAlignment="1">
      <alignment horizontal="center"/>
    </xf>
    <xf numFmtId="2" fontId="0" fillId="0" borderId="0" xfId="0" applyNumberFormat="1" applyAlignment="1">
      <alignment horizontal="center"/>
    </xf>
  </cellXfs>
  <cellStyles count="4">
    <cellStyle name="Comma" xfId="1" builtinId="3"/>
    <cellStyle name="Normal" xfId="0" builtinId="0"/>
    <cellStyle name="Note" xfId="2" builtinId="10"/>
    <cellStyle name="Percent" xfId="3" builtinId="5"/>
  </cellStyles>
  <dxfs count="34"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Overblik!$B$27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Overblik!$C$27:$N$27</c:f>
              <c:numCache>
                <c:formatCode>_-* #,##0_-;\-* #,##0_-;_-* "-"??_-;_-@_-</c:formatCode>
                <c:ptCount val="12"/>
                <c:pt idx="0">
                  <c:v>3122.3205741033066</c:v>
                </c:pt>
                <c:pt idx="1">
                  <c:v>2326.5847999999946</c:v>
                </c:pt>
                <c:pt idx="2">
                  <c:v>449.56828493189823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537.66951059501298</c:v>
                </c:pt>
                <c:pt idx="11">
                  <c:v>2656.8568303697875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68-41B3-87AB-B39392CB958D}"/>
            </c:ext>
          </c:extLst>
        </c:ser>
        <c:ser>
          <c:idx val="1"/>
          <c:order val="1"/>
          <c:tx>
            <c:strRef>
              <c:f>Overblik!$B$28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Overblik!$C$28:$N$28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2404.7877000000003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68-41B3-87AB-B39392CB958D}"/>
            </c:ext>
          </c:extLst>
        </c:ser>
        <c:ser>
          <c:idx val="2"/>
          <c:order val="2"/>
          <c:tx>
            <c:strRef>
              <c:f>Overblik!$B$29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Overblik!$C$29:$N$29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68-41B3-87AB-B39392CB958D}"/>
            </c:ext>
          </c:extLst>
        </c:ser>
        <c:ser>
          <c:idx val="3"/>
          <c:order val="3"/>
          <c:tx>
            <c:strRef>
              <c:f>Overblik!$B$30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Overblik!$C$30:$N$30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649.74000000000115</c:v>
                </c:pt>
                <c:pt idx="2">
                  <c:v>650.06499999999994</c:v>
                </c:pt>
                <c:pt idx="3">
                  <c:v>650</c:v>
                </c:pt>
                <c:pt idx="4">
                  <c:v>650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68-41B3-87AB-B39392CB958D}"/>
            </c:ext>
          </c:extLst>
        </c:ser>
        <c:ser>
          <c:idx val="4"/>
          <c:order val="4"/>
          <c:tx>
            <c:strRef>
              <c:f>Overblik!$B$31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Overblik!$C$31:$N$31</c:f>
              <c:numCache>
                <c:formatCode>_-* #,##0_-;\-* #,##0_-;_-* "-"??_-;_-@_-</c:formatCode>
                <c:ptCount val="12"/>
                <c:pt idx="0">
                  <c:v>357.04468423002709</c:v>
                </c:pt>
                <c:pt idx="1">
                  <c:v>1E-14</c:v>
                </c:pt>
                <c:pt idx="2">
                  <c:v>3029.8428067347695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1813.1125090352034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68-41B3-87AB-B39392CB958D}"/>
            </c:ext>
          </c:extLst>
        </c:ser>
        <c:ser>
          <c:idx val="5"/>
          <c:order val="5"/>
          <c:tx>
            <c:strRef>
              <c:f>Overblik!$B$32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Overblik!$C$32:$N$32</c:f>
              <c:numCache>
                <c:formatCode>_-* #,##0_-;\-* #,##0_-;_-* "-"??_-;_-@_-</c:formatCode>
                <c:ptCount val="12"/>
                <c:pt idx="0">
                  <c:v>41.666666666666664</c:v>
                </c:pt>
                <c:pt idx="1">
                  <c:v>41.666666666666622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68-41B3-87AB-B39392CB958D}"/>
            </c:ext>
          </c:extLst>
        </c:ser>
        <c:ser>
          <c:idx val="6"/>
          <c:order val="6"/>
          <c:tx>
            <c:strRef>
              <c:f>Overblik!$B$33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Overblik!$C$33:$N$33</c:f>
              <c:numCache>
                <c:formatCode>_-* #,##0_-;\-* #,##0_-;_-* "-"??_-;_-@_-</c:formatCode>
                <c:ptCount val="12"/>
                <c:pt idx="0">
                  <c:v>166.68333333333331</c:v>
                </c:pt>
                <c:pt idx="1">
                  <c:v>166.64999999999984</c:v>
                </c:pt>
                <c:pt idx="2">
                  <c:v>166.66666666666666</c:v>
                </c:pt>
                <c:pt idx="3">
                  <c:v>166.66666666666666</c:v>
                </c:pt>
                <c:pt idx="4">
                  <c:v>166.66666666666666</c:v>
                </c:pt>
                <c:pt idx="5">
                  <c:v>166.66666666666666</c:v>
                </c:pt>
                <c:pt idx="6">
                  <c:v>166.66666666666666</c:v>
                </c:pt>
                <c:pt idx="7">
                  <c:v>166.66666666666666</c:v>
                </c:pt>
                <c:pt idx="8">
                  <c:v>166.66666666666666</c:v>
                </c:pt>
                <c:pt idx="9">
                  <c:v>166.66666666666666</c:v>
                </c:pt>
                <c:pt idx="10">
                  <c:v>166.66666666666666</c:v>
                </c:pt>
                <c:pt idx="11">
                  <c:v>166.66666666666666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68-41B3-87AB-B39392CB958D}"/>
            </c:ext>
          </c:extLst>
        </c:ser>
        <c:ser>
          <c:idx val="7"/>
          <c:order val="7"/>
          <c:tx>
            <c:strRef>
              <c:f>Overblik!$B$34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Overblik!$C$34:$N$34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150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68-41B3-87AB-B39392CB958D}"/>
            </c:ext>
          </c:extLst>
        </c:ser>
        <c:ser>
          <c:idx val="8"/>
          <c:order val="8"/>
          <c:tx>
            <c:strRef>
              <c:f>Overblik!$B$35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Overblik!$C$35:$N$35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68-41B3-87AB-B39392CB958D}"/>
            </c:ext>
          </c:extLst>
        </c:ser>
        <c:ser>
          <c:idx val="9"/>
          <c:order val="9"/>
          <c:tx>
            <c:strRef>
              <c:f>Overblik!$B$36</c:f>
              <c:strCache>
                <c:ptCount val="1"/>
                <c:pt idx="0">
                  <c:v> NyAff1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Overblik!$C$36:$N$36</c:f>
              <c:numCache>
                <c:formatCode>_-* #,##0_-;\-* #,##0_-;_-* "-"??_-;_-@_-</c:formatCode>
                <c:ptCount val="12"/>
                <c:pt idx="0">
                  <c:v>3333.333333333333</c:v>
                </c:pt>
                <c:pt idx="1">
                  <c:v>3333.3333333333376</c:v>
                </c:pt>
                <c:pt idx="2">
                  <c:v>3333.333333333333</c:v>
                </c:pt>
                <c:pt idx="3">
                  <c:v>3333.333333333333</c:v>
                </c:pt>
                <c:pt idx="4">
                  <c:v>3333.333333333333</c:v>
                </c:pt>
                <c:pt idx="5">
                  <c:v>3333.333333333333</c:v>
                </c:pt>
                <c:pt idx="6">
                  <c:v>3333.333333333333</c:v>
                </c:pt>
                <c:pt idx="7">
                  <c:v>3333.333333333333</c:v>
                </c:pt>
                <c:pt idx="8">
                  <c:v>3333.333333333333</c:v>
                </c:pt>
                <c:pt idx="9">
                  <c:v>3333.333333333333</c:v>
                </c:pt>
                <c:pt idx="10">
                  <c:v>3333.333333333333</c:v>
                </c:pt>
                <c:pt idx="11">
                  <c:v>3333.333333333333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68-41B3-87AB-B39392CB958D}"/>
            </c:ext>
          </c:extLst>
        </c:ser>
        <c:ser>
          <c:idx val="10"/>
          <c:order val="10"/>
          <c:tx>
            <c:strRef>
              <c:f>Overblik!$B$37</c:f>
              <c:strCache>
                <c:ptCount val="1"/>
                <c:pt idx="0">
                  <c:v> NyAff2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Overblik!$C$37:$N$37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68-41B3-87AB-B39392CB958D}"/>
            </c:ext>
          </c:extLst>
        </c:ser>
        <c:ser>
          <c:idx val="11"/>
          <c:order val="11"/>
          <c:tx>
            <c:strRef>
              <c:f>Overblik!$B$38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Overblik!$C$38:$N$38</c:f>
              <c:numCache>
                <c:formatCode>_-* #,##0_-;\-* #,##0_-;_-* "-"??_-;_-@_-</c:formatCode>
                <c:ptCount val="12"/>
                <c:pt idx="0">
                  <c:v>3519.7997496871085</c:v>
                </c:pt>
                <c:pt idx="1">
                  <c:v>3179.1739674593241</c:v>
                </c:pt>
                <c:pt idx="2">
                  <c:v>3519.7997496871085</c:v>
                </c:pt>
                <c:pt idx="3">
                  <c:v>3133.6139966624946</c:v>
                </c:pt>
                <c:pt idx="4">
                  <c:v>3519.7997496871085</c:v>
                </c:pt>
                <c:pt idx="5">
                  <c:v>2367.6565498539844</c:v>
                </c:pt>
                <c:pt idx="6">
                  <c:v>2529.8593032957865</c:v>
                </c:pt>
                <c:pt idx="7">
                  <c:v>2304.5777012932831</c:v>
                </c:pt>
                <c:pt idx="8">
                  <c:v>2592.9381518564874</c:v>
                </c:pt>
                <c:pt idx="9">
                  <c:v>2998.445035460993</c:v>
                </c:pt>
                <c:pt idx="10">
                  <c:v>3406.257822277847</c:v>
                </c:pt>
                <c:pt idx="11">
                  <c:v>3519.7997496871085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68-41B3-87AB-B39392CB958D}"/>
            </c:ext>
          </c:extLst>
        </c:ser>
        <c:ser>
          <c:idx val="12"/>
          <c:order val="12"/>
          <c:tx>
            <c:strRef>
              <c:f>Overblik!$B$39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Overblik!$C$39:$N$39</c:f>
              <c:numCache>
                <c:formatCode>_-* #,##0_-;\-* #,##0_-;_-* "-"??_-;_-@_-</c:formatCode>
                <c:ptCount val="12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68-41B3-87AB-B39392CB958D}"/>
            </c:ext>
          </c:extLst>
        </c:ser>
        <c:ser>
          <c:idx val="13"/>
          <c:order val="13"/>
          <c:tx>
            <c:strRef>
              <c:f>Overblik!$B$40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Overblik!$C$40:$N$40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285.90847215754098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68-41B3-87AB-B39392CB958D}"/>
            </c:ext>
          </c:extLst>
        </c:ser>
        <c:ser>
          <c:idx val="14"/>
          <c:order val="14"/>
          <c:tx>
            <c:strRef>
              <c:f>Overblik!$B$41</c:f>
              <c:strCache>
                <c:ptCount val="1"/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Overblik!$C$41:$N$41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E-0268-41B3-87AB-B39392CB9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Overblik!$B$19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Overblik!$C$18:$N$18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Overblik!$C$19:$N$19</c:f>
              <c:numCache>
                <c:formatCode>_-* #,##0_-;\-#,##0_-;_-* "-"??_-;_-@_-</c:formatCode>
                <c:ptCount val="12"/>
                <c:pt idx="0">
                  <c:v>5687.6592109145895</c:v>
                </c:pt>
                <c:pt idx="1">
                  <c:v>5158.4182222222216</c:v>
                </c:pt>
                <c:pt idx="2">
                  <c:v>4598.2483088720655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3183.256391945326</c:v>
                </c:pt>
                <c:pt idx="11">
                  <c:v>3388.6739906348885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8-4C22-B6FE-A8E1943FDEC6}"/>
            </c:ext>
          </c:extLst>
        </c:ser>
        <c:ser>
          <c:idx val="1"/>
          <c:order val="1"/>
          <c:tx>
            <c:strRef>
              <c:f>Overblik!$B$20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Overblik!$C$18:$N$18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Overblik!$C$20:$N$20</c:f>
              <c:numCache>
                <c:formatCode>_-* #,##0_-;\-#,##0_-;_-* "-"??_-;_-@_-</c:formatCode>
                <c:ptCount val="12"/>
                <c:pt idx="0">
                  <c:v>17800.340789085411</c:v>
                </c:pt>
                <c:pt idx="1">
                  <c:v>16291.144895852276</c:v>
                </c:pt>
                <c:pt idx="2">
                  <c:v>17089.751691127934</c:v>
                </c:pt>
                <c:pt idx="3">
                  <c:v>13045.117824074074</c:v>
                </c:pt>
                <c:pt idx="4">
                  <c:v>13045.117824074074</c:v>
                </c:pt>
                <c:pt idx="5">
                  <c:v>13045.117824074074</c:v>
                </c:pt>
                <c:pt idx="6">
                  <c:v>13045.117824074074</c:v>
                </c:pt>
                <c:pt idx="7">
                  <c:v>13045.117824074074</c:v>
                </c:pt>
                <c:pt idx="8">
                  <c:v>13045.117824074074</c:v>
                </c:pt>
                <c:pt idx="9">
                  <c:v>13045.117824074074</c:v>
                </c:pt>
                <c:pt idx="10">
                  <c:v>15256.743608054674</c:v>
                </c:pt>
                <c:pt idx="11">
                  <c:v>16199.326009365112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C8-4C22-B6FE-A8E1943FDEC6}"/>
            </c:ext>
          </c:extLst>
        </c:ser>
        <c:ser>
          <c:idx val="2"/>
          <c:order val="2"/>
          <c:tx>
            <c:strRef>
              <c:f>Overblik!$B$21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Overblik!$C$18:$N$18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Overblik!$C$21:$N$21</c:f>
              <c:numCache>
                <c:formatCode>_-* #,##0_-;\-#,##0_-;_-* "-"??_-;_-@_-</c:formatCode>
                <c:ptCount val="12"/>
                <c:pt idx="0">
                  <c:v>7812</c:v>
                </c:pt>
                <c:pt idx="1">
                  <c:v>7056</c:v>
                </c:pt>
                <c:pt idx="2">
                  <c:v>7812</c:v>
                </c:pt>
                <c:pt idx="3">
                  <c:v>6954.8821759259263</c:v>
                </c:pt>
                <c:pt idx="4">
                  <c:v>7812</c:v>
                </c:pt>
                <c:pt idx="5">
                  <c:v>5254.8821759259263</c:v>
                </c:pt>
                <c:pt idx="6">
                  <c:v>5614.8821759259263</c:v>
                </c:pt>
                <c:pt idx="7">
                  <c:v>5114.8821759259263</c:v>
                </c:pt>
                <c:pt idx="8">
                  <c:v>5754.8821759259263</c:v>
                </c:pt>
                <c:pt idx="9">
                  <c:v>6654.8821759259263</c:v>
                </c:pt>
                <c:pt idx="10">
                  <c:v>7560</c:v>
                </c:pt>
                <c:pt idx="11">
                  <c:v>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C8-4C22-B6FE-A8E1943FDEC6}"/>
            </c:ext>
          </c:extLst>
        </c:ser>
        <c:ser>
          <c:idx val="3"/>
          <c:order val="3"/>
          <c:tx>
            <c:strRef>
              <c:f>Overblik!$B$22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Overblik!$C$18:$N$18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Overblik!$C$22:$N$22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3494.4368819255014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C8-4C22-B6FE-A8E1943FDEC6}"/>
            </c:ext>
          </c:extLst>
        </c:ser>
        <c:ser>
          <c:idx val="4"/>
          <c:order val="4"/>
          <c:tx>
            <c:strRef>
              <c:f>Overblik!$B$23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Overblik!$C$18:$N$18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Overblik!$C$23:$N$23</c:f>
              <c:numCache>
                <c:formatCode>_-* #,##0_-;\-#,##0_-;_-* "-"??_-;_-@_-</c:formatCode>
                <c:ptCount val="12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C8-4C22-B6FE-A8E1943FDEC6}"/>
            </c:ext>
          </c:extLst>
        </c:ser>
        <c:ser>
          <c:idx val="5"/>
          <c:order val="5"/>
          <c:tx>
            <c:strRef>
              <c:f>Overblik!$B$24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Overblik!$C$18:$N$18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Overblik!$C$24:$N$24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-7857.1178240740737</c:v>
                </c:pt>
                <c:pt idx="5">
                  <c:v>-10800</c:v>
                </c:pt>
                <c:pt idx="6">
                  <c:v>-11160</c:v>
                </c:pt>
                <c:pt idx="7">
                  <c:v>-11160</c:v>
                </c:pt>
                <c:pt idx="8">
                  <c:v>-10800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C8-4C22-B6FE-A8E1943FD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v>Varmebehov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Overblik!$C$18:$N$18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Overblik!$C$11:$N$11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41F-4832-BAED-0B7D2C65A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Overblik!$B$76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Overblik!$C$75:$N$75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Overblik!$C$76:$N$76</c:f>
              <c:numCache>
                <c:formatCode>0\ %</c:formatCode>
                <c:ptCount val="12"/>
                <c:pt idx="0">
                  <c:v>0.694973021861509</c:v>
                </c:pt>
                <c:pt idx="1">
                  <c:v>0.69783796296296285</c:v>
                </c:pt>
                <c:pt idx="2">
                  <c:v>0.56185829776051632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0.40192631211430885</c:v>
                </c:pt>
                <c:pt idx="11">
                  <c:v>0.41406084929556308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3-43EB-824E-1E8D0C9D1DEB}"/>
            </c:ext>
          </c:extLst>
        </c:ser>
        <c:ser>
          <c:idx val="1"/>
          <c:order val="1"/>
          <c:tx>
            <c:strRef>
              <c:f>Overblik!$B$77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Overblik!$C$75:$N$75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Overblik!$C$77:$N$77</c:f>
              <c:numCache>
                <c:formatCode>0\ %</c:formatCode>
                <c:ptCount val="12"/>
                <c:pt idx="0">
                  <c:v>0.88611811972746968</c:v>
                </c:pt>
                <c:pt idx="1">
                  <c:v>0.89788056083841905</c:v>
                </c:pt>
                <c:pt idx="2">
                  <c:v>0.85074430959418235</c:v>
                </c:pt>
                <c:pt idx="3">
                  <c:v>0.67104515555936595</c:v>
                </c:pt>
                <c:pt idx="4">
                  <c:v>0.64939853763809607</c:v>
                </c:pt>
                <c:pt idx="5">
                  <c:v>0.67104515555936595</c:v>
                </c:pt>
                <c:pt idx="6">
                  <c:v>0.64939853763809607</c:v>
                </c:pt>
                <c:pt idx="7">
                  <c:v>0.64939853763809607</c:v>
                </c:pt>
                <c:pt idx="8">
                  <c:v>0.67104515555936595</c:v>
                </c:pt>
                <c:pt idx="9">
                  <c:v>0.64939853763809607</c:v>
                </c:pt>
                <c:pt idx="10">
                  <c:v>0.78481191399458194</c:v>
                </c:pt>
                <c:pt idx="11">
                  <c:v>0.80641806099985625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A3-43EB-824E-1E8D0C9D1DEB}"/>
            </c:ext>
          </c:extLst>
        </c:ser>
        <c:ser>
          <c:idx val="2"/>
          <c:order val="2"/>
          <c:tx>
            <c:strRef>
              <c:f>Overblik!$B$78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Overblik!$C$75:$N$75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Overblik!$C$78:$N$78</c:f>
              <c:numCache>
                <c:formatCode>0\ 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0.91995795977856165</c:v>
                </c:pt>
                <c:pt idx="4">
                  <c:v>1</c:v>
                </c:pt>
                <c:pt idx="5">
                  <c:v>0.69509023491083677</c:v>
                </c:pt>
                <c:pt idx="6">
                  <c:v>0.71875091857730755</c:v>
                </c:pt>
                <c:pt idx="7">
                  <c:v>0.65474682231514669</c:v>
                </c:pt>
                <c:pt idx="8">
                  <c:v>0.76122780104840293</c:v>
                </c:pt>
                <c:pt idx="9">
                  <c:v>0.85187943880260197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A3-43EB-824E-1E8D0C9D1DEB}"/>
            </c:ext>
          </c:extLst>
        </c:ser>
        <c:ser>
          <c:idx val="3"/>
          <c:order val="3"/>
          <c:tx>
            <c:strRef>
              <c:f>Overblik!$B$79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Overblik!$C$75:$N$75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Overblik!$C$79:$N$79</c:f>
              <c:numCache>
                <c:formatCode>0\ %</c:formatCode>
                <c:ptCount val="12"/>
                <c:pt idx="0">
                  <c:v>1E-14</c:v>
                </c:pt>
                <c:pt idx="1">
                  <c:v>5.2000548838177105E-2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A3-43EB-824E-1E8D0C9D1DEB}"/>
            </c:ext>
          </c:extLst>
        </c:ser>
        <c:ser>
          <c:idx val="4"/>
          <c:order val="4"/>
          <c:tx>
            <c:strRef>
              <c:f>Overblik!$B$80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Overblik!$C$75:$N$75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Overblik!$C$80:$N$80</c:f>
              <c:numCache>
                <c:formatCode>0\ %</c:formatCode>
                <c:ptCount val="12"/>
                <c:pt idx="0">
                  <c:v>1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A3-43EB-824E-1E8D0C9D1DEB}"/>
            </c:ext>
          </c:extLst>
        </c:ser>
        <c:ser>
          <c:idx val="5"/>
          <c:order val="5"/>
          <c:tx>
            <c:strRef>
              <c:f>Overblik!$B$81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Overblik!$C$75:$N$75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Overblik!$C$81:$N$81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0.7040428157772467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A3-43EB-824E-1E8D0C9D1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5602</xdr:colOff>
      <xdr:row>25</xdr:row>
      <xdr:rowOff>11204</xdr:rowOff>
    </xdr:from>
    <xdr:to>
      <xdr:col>25</xdr:col>
      <xdr:colOff>291353</xdr:colOff>
      <xdr:row>47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4E3DB1-0F50-4F45-9D33-229D220CD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16808</xdr:colOff>
      <xdr:row>5</xdr:row>
      <xdr:rowOff>11206</xdr:rowOff>
    </xdr:from>
    <xdr:to>
      <xdr:col>25</xdr:col>
      <xdr:colOff>201706</xdr:colOff>
      <xdr:row>24</xdr:row>
      <xdr:rowOff>11205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E99507-AA47-478C-ABC7-E2CD8787A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0</xdr:colOff>
      <xdr:row>49</xdr:row>
      <xdr:rowOff>12327</xdr:rowOff>
    </xdr:from>
    <xdr:to>
      <xdr:col>25</xdr:col>
      <xdr:colOff>336177</xdr:colOff>
      <xdr:row>63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DC858E-055E-4AC2-9C90-08F29DD5B2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572BCEFC-E6C4-452D-9030-0164AB3FB51F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4" dT="2021-09-18T09:29:19.41" personId="{572BCEFC-E6C4-452D-9030-0164AB3FB51F}" id="{FBF1AC24-3947-4E14-802B-0907425F5130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P81"/>
  <sheetViews>
    <sheetView zoomScale="85" zoomScaleNormal="85" workbookViewId="0">
      <selection activeCell="K3" sqref="K3"/>
    </sheetView>
  </sheetViews>
  <sheetFormatPr defaultRowHeight="15" x14ac:dyDescent="0.25"/>
  <cols>
    <col min="1" max="1" width="22.5703125" customWidth="1"/>
    <col min="2" max="2" width="25.85546875" customWidth="1"/>
    <col min="3" max="14" width="12.7109375" customWidth="1"/>
    <col min="15" max="15" width="3.7109375" customWidth="1"/>
    <col min="16" max="16" width="17" bestFit="1" customWidth="1"/>
  </cols>
  <sheetData>
    <row r="1" spans="1:16" x14ac:dyDescent="0.25">
      <c r="A1" t="s">
        <v>79</v>
      </c>
      <c r="B1" s="40">
        <v>44476.614883043978</v>
      </c>
      <c r="C1" s="34"/>
      <c r="D1" s="34"/>
      <c r="E1" s="34"/>
    </row>
    <row r="4" spans="1:16" x14ac:dyDescent="0.25">
      <c r="B4" s="8" t="s">
        <v>75</v>
      </c>
      <c r="C4" s="35">
        <v>-17312340.069596998</v>
      </c>
    </row>
    <row r="6" spans="1:16" x14ac:dyDescent="0.25">
      <c r="A6" s="23" t="s">
        <v>78</v>
      </c>
      <c r="B6" s="8" t="s">
        <v>72</v>
      </c>
      <c r="C6" s="29" t="s">
        <v>0</v>
      </c>
      <c r="D6" s="29" t="s">
        <v>1</v>
      </c>
      <c r="E6" s="29" t="s">
        <v>2</v>
      </c>
      <c r="F6" s="29" t="s">
        <v>3</v>
      </c>
      <c r="G6" s="29" t="s">
        <v>4</v>
      </c>
      <c r="H6" s="29" t="s">
        <v>5</v>
      </c>
      <c r="I6" s="29" t="s">
        <v>6</v>
      </c>
      <c r="J6" s="29" t="s">
        <v>7</v>
      </c>
      <c r="K6" s="29" t="s">
        <v>8</v>
      </c>
      <c r="L6" s="29" t="s">
        <v>9</v>
      </c>
      <c r="M6" s="29" t="s">
        <v>10</v>
      </c>
      <c r="N6" s="29" t="s">
        <v>11</v>
      </c>
    </row>
    <row r="7" spans="1:16" x14ac:dyDescent="0.25">
      <c r="A7" s="32">
        <f>(SUM(A9:A10)-A8)/A11</f>
        <v>71.362394645504466</v>
      </c>
      <c r="B7" s="26" t="s">
        <v>65</v>
      </c>
      <c r="C7" s="51">
        <v>44.584151182176058</v>
      </c>
      <c r="D7" s="51">
        <v>101.9576657048684</v>
      </c>
      <c r="E7" s="51">
        <v>52.458015648179483</v>
      </c>
      <c r="F7" s="51">
        <v>53.409064057098469</v>
      </c>
      <c r="G7" s="51">
        <v>-31.889968125340218</v>
      </c>
      <c r="H7" s="51">
        <v>-8.9361639180758203</v>
      </c>
      <c r="I7" s="51">
        <v>-11.63170397569108</v>
      </c>
      <c r="J7" s="51">
        <v>-13.989965433405127</v>
      </c>
      <c r="K7" s="51">
        <v>-20.198453430993737</v>
      </c>
      <c r="L7" s="51">
        <v>90.314455813912005</v>
      </c>
      <c r="M7" s="51">
        <v>91.022867742281107</v>
      </c>
      <c r="N7" s="51">
        <v>85.339961544543499</v>
      </c>
    </row>
    <row r="8" spans="1:16" x14ac:dyDescent="0.25">
      <c r="A8" s="30">
        <f t="shared" ref="A8:A47" si="0">SUM(C8:N8)</f>
        <v>47164523.846002027</v>
      </c>
      <c r="B8" s="26" t="s">
        <v>66</v>
      </c>
      <c r="C8" s="46">
        <v>5357512.5039382558</v>
      </c>
      <c r="D8" s="46">
        <v>3349216.9676040323</v>
      </c>
      <c r="E8" s="46">
        <v>5340340.6706049219</v>
      </c>
      <c r="F8" s="46">
        <v>3333232.7175636208</v>
      </c>
      <c r="G8" s="46">
        <v>3306585.9006049223</v>
      </c>
      <c r="H8" s="46">
        <v>3386083.7813934083</v>
      </c>
      <c r="I8" s="46">
        <v>3374891.7914059237</v>
      </c>
      <c r="J8" s="46">
        <v>3390436.2219440965</v>
      </c>
      <c r="K8" s="46">
        <v>3370539.3508552355</v>
      </c>
      <c r="L8" s="46">
        <v>3342559.3758865246</v>
      </c>
      <c r="M8" s="46">
        <v>4724658.8807770247</v>
      </c>
      <c r="N8" s="46">
        <v>4888465.6834240612</v>
      </c>
      <c r="P8" s="31"/>
    </row>
    <row r="9" spans="1:16" x14ac:dyDescent="0.25">
      <c r="A9" s="30">
        <f t="shared" si="0"/>
        <v>10607041.581339238</v>
      </c>
      <c r="B9" s="26" t="s">
        <v>67</v>
      </c>
      <c r="C9" s="46">
        <v>1191696.5921091461</v>
      </c>
      <c r="D9" s="46">
        <v>1085966.7069452021</v>
      </c>
      <c r="E9" s="46">
        <v>1108802.4830887206</v>
      </c>
      <c r="F9" s="46">
        <v>695676.76736111101</v>
      </c>
      <c r="G9" s="46">
        <v>795675.89120370359</v>
      </c>
      <c r="H9" s="46">
        <v>761176.76736111101</v>
      </c>
      <c r="I9" s="46">
        <v>773776.76736111101</v>
      </c>
      <c r="J9" s="46">
        <v>761276.76736111112</v>
      </c>
      <c r="K9" s="46">
        <v>773676.76736111101</v>
      </c>
      <c r="L9" s="46">
        <v>688176.76736111101</v>
      </c>
      <c r="M9" s="46">
        <v>958432.56391945318</v>
      </c>
      <c r="N9" s="46">
        <v>1012706.739906349</v>
      </c>
    </row>
    <row r="10" spans="1:16" x14ac:dyDescent="0.25">
      <c r="A10" s="30">
        <f t="shared" si="0"/>
        <v>53684456.979583859</v>
      </c>
      <c r="B10" s="26" t="s">
        <v>68</v>
      </c>
      <c r="C10" s="46">
        <v>5739636.448559925</v>
      </c>
      <c r="D10" s="46">
        <v>5525895.5632146187</v>
      </c>
      <c r="E10" s="46">
        <v>5779049.649137496</v>
      </c>
      <c r="F10" s="46">
        <v>3705737.2313444796</v>
      </c>
      <c r="G10" s="46">
        <v>3098593.3716388545</v>
      </c>
      <c r="H10" s="46">
        <v>2943928.0659076041</v>
      </c>
      <c r="I10" s="46">
        <v>3033116.5097019793</v>
      </c>
      <c r="J10" s="46">
        <v>3155741.7534963544</v>
      </c>
      <c r="K10" s="46">
        <v>3307848.1442651041</v>
      </c>
      <c r="L10" s="46">
        <v>4433577.3880594801</v>
      </c>
      <c r="M10" s="46">
        <v>6269355.179770302</v>
      </c>
      <c r="N10" s="46">
        <v>6691977.6744876476</v>
      </c>
    </row>
    <row r="11" spans="1:16" x14ac:dyDescent="0.25">
      <c r="A11" s="30">
        <f t="shared" si="0"/>
        <v>240000</v>
      </c>
      <c r="B11" s="26" t="s">
        <v>93</v>
      </c>
      <c r="C11" s="46">
        <v>35300</v>
      </c>
      <c r="D11" s="46">
        <v>32000</v>
      </c>
      <c r="E11" s="46">
        <v>29500</v>
      </c>
      <c r="F11" s="46">
        <v>20000</v>
      </c>
      <c r="G11" s="46">
        <v>13000</v>
      </c>
      <c r="H11" s="46">
        <v>7500</v>
      </c>
      <c r="I11" s="46">
        <v>7500</v>
      </c>
      <c r="J11" s="46">
        <v>7000</v>
      </c>
      <c r="K11" s="46">
        <v>8000</v>
      </c>
      <c r="L11" s="46">
        <v>19700</v>
      </c>
      <c r="M11" s="46">
        <v>27500</v>
      </c>
      <c r="N11" s="46">
        <v>33000</v>
      </c>
    </row>
    <row r="12" spans="1:16" x14ac:dyDescent="0.25">
      <c r="A12" s="30">
        <f t="shared" si="0"/>
        <v>291777.11782407411</v>
      </c>
      <c r="B12" s="26" t="s">
        <v>94</v>
      </c>
      <c r="C12" s="46">
        <v>35300</v>
      </c>
      <c r="D12" s="46">
        <v>32000</v>
      </c>
      <c r="E12" s="46">
        <v>29500</v>
      </c>
      <c r="F12" s="46">
        <v>20000</v>
      </c>
      <c r="G12" s="46">
        <v>20857.117824074074</v>
      </c>
      <c r="H12" s="46">
        <v>18300</v>
      </c>
      <c r="I12" s="46">
        <v>18660</v>
      </c>
      <c r="J12" s="46">
        <v>18160</v>
      </c>
      <c r="K12" s="46">
        <v>18800</v>
      </c>
      <c r="L12" s="46">
        <v>19700</v>
      </c>
      <c r="M12" s="46">
        <v>27500</v>
      </c>
      <c r="N12" s="46">
        <v>33000</v>
      </c>
    </row>
    <row r="13" spans="1:16" x14ac:dyDescent="0.25">
      <c r="A13" s="46">
        <f>AVERAGE(C13:N13)</f>
        <v>1250.8557757598207</v>
      </c>
      <c r="B13" s="26" t="s">
        <v>69</v>
      </c>
      <c r="C13" s="46">
        <v>4330.4792619161126</v>
      </c>
      <c r="D13" s="46">
        <v>3954.7729066393103</v>
      </c>
      <c r="E13" s="46">
        <v>3243.2171405624244</v>
      </c>
      <c r="F13" s="46">
        <v>1E-14</v>
      </c>
      <c r="G13" s="46">
        <v>1E-14</v>
      </c>
      <c r="H13" s="46">
        <v>1E-14</v>
      </c>
      <c r="I13" s="46">
        <v>1E-14</v>
      </c>
      <c r="J13" s="46">
        <v>1E-14</v>
      </c>
      <c r="K13" s="46">
        <v>1E-14</v>
      </c>
      <c r="L13" s="46">
        <v>1E-14</v>
      </c>
      <c r="M13" s="46">
        <v>1694.0000000000002</v>
      </c>
      <c r="N13" s="46">
        <v>1787.8000000000002</v>
      </c>
    </row>
    <row r="14" spans="1:16" x14ac:dyDescent="0.25">
      <c r="A14" s="47">
        <f t="shared" si="0"/>
        <v>0.70142069314528388</v>
      </c>
      <c r="B14" s="26" t="s">
        <v>70</v>
      </c>
      <c r="C14" s="47">
        <v>0.18436985958430316</v>
      </c>
      <c r="D14" s="47">
        <v>0.18437545253809001</v>
      </c>
      <c r="E14" s="47">
        <v>0.14953970585404022</v>
      </c>
      <c r="F14" s="47">
        <v>1E-14</v>
      </c>
      <c r="G14" s="47">
        <v>1E-14</v>
      </c>
      <c r="H14" s="47">
        <v>1E-14</v>
      </c>
      <c r="I14" s="47">
        <v>1E-14</v>
      </c>
      <c r="J14" s="47">
        <v>1E-14</v>
      </c>
      <c r="K14" s="47">
        <v>1E-14</v>
      </c>
      <c r="L14" s="47">
        <v>1E-14</v>
      </c>
      <c r="M14" s="47">
        <v>9.1865509761388298E-2</v>
      </c>
      <c r="N14" s="47">
        <v>9.1270165407392287E-2</v>
      </c>
    </row>
    <row r="15" spans="1:16" x14ac:dyDescent="0.25">
      <c r="A15" s="30">
        <f t="shared" si="0"/>
        <v>998394.99214643077</v>
      </c>
      <c r="B15" s="26" t="s">
        <v>71</v>
      </c>
      <c r="C15" s="46">
        <v>224075.52000000002</v>
      </c>
      <c r="D15" s="46">
        <v>204628.83214643074</v>
      </c>
      <c r="E15" s="46">
        <v>206903.52000000002</v>
      </c>
      <c r="F15" s="46">
        <v>1E-14</v>
      </c>
      <c r="G15" s="46">
        <v>1E-14</v>
      </c>
      <c r="H15" s="46">
        <v>1E-14</v>
      </c>
      <c r="I15" s="46">
        <v>1E-14</v>
      </c>
      <c r="J15" s="46">
        <v>1E-14</v>
      </c>
      <c r="K15" s="46">
        <v>1E-14</v>
      </c>
      <c r="L15" s="46">
        <v>1E-14</v>
      </c>
      <c r="M15" s="46">
        <v>175917.60000000003</v>
      </c>
      <c r="N15" s="46">
        <v>186869.52000000002</v>
      </c>
    </row>
    <row r="16" spans="1:16" x14ac:dyDescent="0.25">
      <c r="A16" s="30">
        <f t="shared" si="0"/>
        <v>51777.11782407407</v>
      </c>
      <c r="B16" s="26" t="s">
        <v>92</v>
      </c>
      <c r="C16" s="46">
        <v>1E-14</v>
      </c>
      <c r="D16" s="46">
        <v>1E-14</v>
      </c>
      <c r="E16" s="46">
        <v>1E-14</v>
      </c>
      <c r="F16" s="46">
        <v>1E-14</v>
      </c>
      <c r="G16" s="46">
        <v>7857.1178240740737</v>
      </c>
      <c r="H16" s="46">
        <v>10800</v>
      </c>
      <c r="I16" s="46">
        <v>11160</v>
      </c>
      <c r="J16" s="46">
        <v>11160</v>
      </c>
      <c r="K16" s="46">
        <v>10800</v>
      </c>
      <c r="L16" s="46">
        <v>1E-14</v>
      </c>
      <c r="M16" s="46">
        <v>1E-14</v>
      </c>
      <c r="N16" s="46">
        <v>1E-14</v>
      </c>
    </row>
    <row r="17" spans="1:14" x14ac:dyDescent="0.25">
      <c r="A17" s="30"/>
      <c r="B17" s="26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</row>
    <row r="18" spans="1:14" x14ac:dyDescent="0.25">
      <c r="A18" s="12"/>
      <c r="B18" s="8" t="s">
        <v>76</v>
      </c>
      <c r="C18" s="43" t="s">
        <v>0</v>
      </c>
      <c r="D18" s="43" t="s">
        <v>1</v>
      </c>
      <c r="E18" s="43" t="s">
        <v>2</v>
      </c>
      <c r="F18" s="43" t="s">
        <v>3</v>
      </c>
      <c r="G18" s="43" t="s">
        <v>4</v>
      </c>
      <c r="H18" s="43" t="s">
        <v>5</v>
      </c>
      <c r="I18" s="43" t="s">
        <v>6</v>
      </c>
      <c r="J18" s="43" t="s">
        <v>7</v>
      </c>
      <c r="K18" s="43" t="s">
        <v>8</v>
      </c>
      <c r="L18" s="43" t="s">
        <v>9</v>
      </c>
      <c r="M18" s="43" t="s">
        <v>10</v>
      </c>
      <c r="N18" s="43" t="s">
        <v>11</v>
      </c>
    </row>
    <row r="19" spans="1:14" x14ac:dyDescent="0.25">
      <c r="A19" s="30">
        <f t="shared" si="0"/>
        <v>22016.25612458909</v>
      </c>
      <c r="B19" s="26" t="s">
        <v>44</v>
      </c>
      <c r="C19" s="45">
        <v>5687.6592109145895</v>
      </c>
      <c r="D19" s="45">
        <v>5158.4182222222216</v>
      </c>
      <c r="E19" s="45">
        <v>4598.2483088720655</v>
      </c>
      <c r="F19" s="45">
        <v>1E-14</v>
      </c>
      <c r="G19" s="45">
        <v>1E-14</v>
      </c>
      <c r="H19" s="45">
        <v>1E-14</v>
      </c>
      <c r="I19" s="45">
        <v>1E-14</v>
      </c>
      <c r="J19" s="45">
        <v>1E-14</v>
      </c>
      <c r="K19" s="45">
        <v>1E-14</v>
      </c>
      <c r="L19" s="45">
        <v>1E-14</v>
      </c>
      <c r="M19" s="45">
        <v>3183.256391945326</v>
      </c>
      <c r="N19" s="45">
        <v>3388.6739906348885</v>
      </c>
    </row>
    <row r="20" spans="1:14" x14ac:dyDescent="0.25">
      <c r="A20" s="30">
        <f t="shared" si="0"/>
        <v>173953.1317620039</v>
      </c>
      <c r="B20" s="26" t="s">
        <v>45</v>
      </c>
      <c r="C20" s="45">
        <v>17800.340789085411</v>
      </c>
      <c r="D20" s="45">
        <v>16291.144895852276</v>
      </c>
      <c r="E20" s="45">
        <v>17089.751691127934</v>
      </c>
      <c r="F20" s="45">
        <v>13045.117824074074</v>
      </c>
      <c r="G20" s="45">
        <v>13045.117824074074</v>
      </c>
      <c r="H20" s="45">
        <v>13045.117824074074</v>
      </c>
      <c r="I20" s="45">
        <v>13045.117824074074</v>
      </c>
      <c r="J20" s="45">
        <v>13045.117824074074</v>
      </c>
      <c r="K20" s="45">
        <v>13045.117824074074</v>
      </c>
      <c r="L20" s="45">
        <v>13045.117824074074</v>
      </c>
      <c r="M20" s="45">
        <v>15256.743608054674</v>
      </c>
      <c r="N20" s="45">
        <v>16199.326009365112</v>
      </c>
    </row>
    <row r="21" spans="1:14" x14ac:dyDescent="0.25">
      <c r="A21" s="30">
        <f t="shared" si="0"/>
        <v>81213.293055555579</v>
      </c>
      <c r="B21" s="26" t="s">
        <v>46</v>
      </c>
      <c r="C21" s="45">
        <v>7812</v>
      </c>
      <c r="D21" s="45">
        <v>7056</v>
      </c>
      <c r="E21" s="45">
        <v>7812</v>
      </c>
      <c r="F21" s="45">
        <v>6954.8821759259263</v>
      </c>
      <c r="G21" s="45">
        <v>7812</v>
      </c>
      <c r="H21" s="45">
        <v>5254.8821759259263</v>
      </c>
      <c r="I21" s="45">
        <v>5614.8821759259263</v>
      </c>
      <c r="J21" s="45">
        <v>5114.8821759259263</v>
      </c>
      <c r="K21" s="45">
        <v>5754.8821759259263</v>
      </c>
      <c r="L21" s="45">
        <v>6654.8821759259263</v>
      </c>
      <c r="M21" s="45">
        <v>7560</v>
      </c>
      <c r="N21" s="45">
        <v>7812</v>
      </c>
    </row>
    <row r="22" spans="1:14" x14ac:dyDescent="0.25">
      <c r="A22" s="30">
        <f t="shared" si="0"/>
        <v>3494.4368819255014</v>
      </c>
      <c r="B22" s="26" t="s">
        <v>47</v>
      </c>
      <c r="C22" s="45">
        <v>1E-14</v>
      </c>
      <c r="D22" s="45">
        <v>3494.4368819255014</v>
      </c>
      <c r="E22" s="45">
        <v>1E-14</v>
      </c>
      <c r="F22" s="45">
        <v>1E-14</v>
      </c>
      <c r="G22" s="45">
        <v>1E-14</v>
      </c>
      <c r="H22" s="45">
        <v>1E-14</v>
      </c>
      <c r="I22" s="45">
        <v>1E-14</v>
      </c>
      <c r="J22" s="45">
        <v>1E-14</v>
      </c>
      <c r="K22" s="45">
        <v>1E-14</v>
      </c>
      <c r="L22" s="45">
        <v>1E-14</v>
      </c>
      <c r="M22" s="45">
        <v>1E-14</v>
      </c>
      <c r="N22" s="45">
        <v>1E-14</v>
      </c>
    </row>
    <row r="23" spans="1:14" x14ac:dyDescent="0.25">
      <c r="A23" s="30">
        <f t="shared" si="0"/>
        <v>11100</v>
      </c>
      <c r="B23" s="26" t="s">
        <v>86</v>
      </c>
      <c r="C23" s="45">
        <v>3999.9999999999995</v>
      </c>
      <c r="D23" s="45">
        <v>1E-14</v>
      </c>
      <c r="E23" s="45">
        <v>1E-14</v>
      </c>
      <c r="F23" s="45">
        <v>1E-14</v>
      </c>
      <c r="G23" s="45">
        <v>1E-14</v>
      </c>
      <c r="H23" s="45">
        <v>1E-14</v>
      </c>
      <c r="I23" s="45">
        <v>1E-14</v>
      </c>
      <c r="J23" s="45">
        <v>1E-14</v>
      </c>
      <c r="K23" s="45">
        <v>1E-14</v>
      </c>
      <c r="L23" s="45">
        <v>1E-14</v>
      </c>
      <c r="M23" s="45">
        <v>1500</v>
      </c>
      <c r="N23" s="45">
        <v>5600</v>
      </c>
    </row>
    <row r="24" spans="1:14" x14ac:dyDescent="0.25">
      <c r="A24" s="46">
        <f t="shared" si="0"/>
        <v>-51777.11782407407</v>
      </c>
      <c r="B24" s="26" t="s">
        <v>48</v>
      </c>
      <c r="C24" s="45">
        <v>-1E-14</v>
      </c>
      <c r="D24" s="45">
        <v>-1E-14</v>
      </c>
      <c r="E24" s="45">
        <v>-1E-14</v>
      </c>
      <c r="F24" s="45">
        <v>-1E-14</v>
      </c>
      <c r="G24" s="45">
        <v>-7857.1178240740737</v>
      </c>
      <c r="H24" s="45">
        <v>-10800</v>
      </c>
      <c r="I24" s="45">
        <v>-11160</v>
      </c>
      <c r="J24" s="45">
        <v>-11160</v>
      </c>
      <c r="K24" s="45">
        <v>-10800</v>
      </c>
      <c r="L24" s="45">
        <v>-1E-14</v>
      </c>
      <c r="M24" s="45">
        <v>-1E-14</v>
      </c>
      <c r="N24" s="45">
        <v>-1E-14</v>
      </c>
    </row>
    <row r="25" spans="1:14" x14ac:dyDescent="0.25">
      <c r="A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</row>
    <row r="26" spans="1:14" x14ac:dyDescent="0.25">
      <c r="A26" s="23" t="s">
        <v>12</v>
      </c>
      <c r="B26" s="8" t="s">
        <v>77</v>
      </c>
      <c r="C26" s="43" t="s">
        <v>0</v>
      </c>
      <c r="D26" s="43" t="s">
        <v>1</v>
      </c>
      <c r="E26" s="43" t="s">
        <v>2</v>
      </c>
      <c r="F26" s="43" t="s">
        <v>3</v>
      </c>
      <c r="G26" s="43" t="s">
        <v>4</v>
      </c>
      <c r="H26" s="43" t="s">
        <v>5</v>
      </c>
      <c r="I26" s="43" t="s">
        <v>6</v>
      </c>
      <c r="J26" s="43" t="s">
        <v>7</v>
      </c>
      <c r="K26" s="43" t="s">
        <v>8</v>
      </c>
      <c r="L26" s="43" t="s">
        <v>9</v>
      </c>
      <c r="M26" s="43" t="s">
        <v>10</v>
      </c>
      <c r="N26" s="43" t="s">
        <v>11</v>
      </c>
    </row>
    <row r="27" spans="1:14" x14ac:dyDescent="0.25">
      <c r="A27" s="30">
        <f t="shared" si="0"/>
        <v>9093</v>
      </c>
      <c r="B27" s="33" t="s">
        <v>14</v>
      </c>
      <c r="C27" s="49">
        <v>3122.3205741033066</v>
      </c>
      <c r="D27" s="49">
        <v>2326.5847999999946</v>
      </c>
      <c r="E27" s="49">
        <v>449.56828493189823</v>
      </c>
      <c r="F27" s="49">
        <v>1E-14</v>
      </c>
      <c r="G27" s="49">
        <v>1E-14</v>
      </c>
      <c r="H27" s="49">
        <v>1E-14</v>
      </c>
      <c r="I27" s="49">
        <v>1E-14</v>
      </c>
      <c r="J27" s="49">
        <v>1E-14</v>
      </c>
      <c r="K27" s="49">
        <v>1E-14</v>
      </c>
      <c r="L27" s="49">
        <v>1E-14</v>
      </c>
      <c r="M27" s="49">
        <v>537.66951059501298</v>
      </c>
      <c r="N27" s="49">
        <v>2656.8568303697875</v>
      </c>
    </row>
    <row r="28" spans="1:14" x14ac:dyDescent="0.25">
      <c r="A28" s="30">
        <f t="shared" si="0"/>
        <v>28869</v>
      </c>
      <c r="B28" s="33" t="s">
        <v>17</v>
      </c>
      <c r="C28" s="49">
        <v>2405.9905749999998</v>
      </c>
      <c r="D28" s="49">
        <v>2404.7877000000003</v>
      </c>
      <c r="E28" s="49">
        <v>2405.9905749999998</v>
      </c>
      <c r="F28" s="49">
        <v>2405.75</v>
      </c>
      <c r="G28" s="49">
        <v>2405.75</v>
      </c>
      <c r="H28" s="49">
        <v>2405.75</v>
      </c>
      <c r="I28" s="49">
        <v>2405.75</v>
      </c>
      <c r="J28" s="49">
        <v>2405.75</v>
      </c>
      <c r="K28" s="49">
        <v>2405.75</v>
      </c>
      <c r="L28" s="49">
        <v>2405.75</v>
      </c>
      <c r="M28" s="49">
        <v>2405.9905749999998</v>
      </c>
      <c r="N28" s="49">
        <v>2405.9905749999998</v>
      </c>
    </row>
    <row r="29" spans="1:14" x14ac:dyDescent="0.25">
      <c r="A29" s="30">
        <f t="shared" si="0"/>
        <v>3500</v>
      </c>
      <c r="B29" s="33" t="s">
        <v>18</v>
      </c>
      <c r="C29" s="49">
        <v>291.69583333333333</v>
      </c>
      <c r="D29" s="49">
        <v>291.6375000000001</v>
      </c>
      <c r="E29" s="49">
        <v>291.66666666666669</v>
      </c>
      <c r="F29" s="49">
        <v>291.66666666666669</v>
      </c>
      <c r="G29" s="49">
        <v>291.66666666666669</v>
      </c>
      <c r="H29" s="49">
        <v>291.66666666666669</v>
      </c>
      <c r="I29" s="49">
        <v>291.66666666666669</v>
      </c>
      <c r="J29" s="49">
        <v>291.66666666666669</v>
      </c>
      <c r="K29" s="49">
        <v>291.66666666666669</v>
      </c>
      <c r="L29" s="49">
        <v>291.66666666666669</v>
      </c>
      <c r="M29" s="49">
        <v>291.66666666666669</v>
      </c>
      <c r="N29" s="49">
        <v>291.66666666666669</v>
      </c>
    </row>
    <row r="30" spans="1:14" x14ac:dyDescent="0.25">
      <c r="A30" s="30">
        <f t="shared" si="0"/>
        <v>7800</v>
      </c>
      <c r="B30" s="33" t="s">
        <v>21</v>
      </c>
      <c r="C30" s="49">
        <v>650.06499999999994</v>
      </c>
      <c r="D30" s="49">
        <v>649.74000000000115</v>
      </c>
      <c r="E30" s="49">
        <v>650.06499999999994</v>
      </c>
      <c r="F30" s="49">
        <v>650</v>
      </c>
      <c r="G30" s="49">
        <v>650</v>
      </c>
      <c r="H30" s="49">
        <v>650</v>
      </c>
      <c r="I30" s="49">
        <v>650</v>
      </c>
      <c r="J30" s="49">
        <v>650</v>
      </c>
      <c r="K30" s="49">
        <v>650</v>
      </c>
      <c r="L30" s="49">
        <v>650</v>
      </c>
      <c r="M30" s="49">
        <v>650.06499999999994</v>
      </c>
      <c r="N30" s="49">
        <v>650.06499999999994</v>
      </c>
    </row>
    <row r="31" spans="1:14" x14ac:dyDescent="0.25">
      <c r="A31" s="30">
        <f t="shared" si="0"/>
        <v>5200</v>
      </c>
      <c r="B31" s="33" t="s">
        <v>24</v>
      </c>
      <c r="C31" s="49">
        <v>357.04468423002709</v>
      </c>
      <c r="D31" s="49">
        <v>1E-14</v>
      </c>
      <c r="E31" s="49">
        <v>3029.8428067347695</v>
      </c>
      <c r="F31" s="49">
        <v>1E-14</v>
      </c>
      <c r="G31" s="49">
        <v>1E-14</v>
      </c>
      <c r="H31" s="49">
        <v>1E-14</v>
      </c>
      <c r="I31" s="49">
        <v>1E-14</v>
      </c>
      <c r="J31" s="49">
        <v>1E-14</v>
      </c>
      <c r="K31" s="49">
        <v>1E-14</v>
      </c>
      <c r="L31" s="49">
        <v>1E-14</v>
      </c>
      <c r="M31" s="49">
        <v>1813.1125090352034</v>
      </c>
      <c r="N31" s="49">
        <v>1E-14</v>
      </c>
    </row>
    <row r="32" spans="1:14" x14ac:dyDescent="0.25">
      <c r="A32" s="30">
        <f t="shared" si="0"/>
        <v>500</v>
      </c>
      <c r="B32" s="33" t="s">
        <v>25</v>
      </c>
      <c r="C32" s="49">
        <v>41.666666666666664</v>
      </c>
      <c r="D32" s="49">
        <v>41.666666666666622</v>
      </c>
      <c r="E32" s="49">
        <v>41.666666666666664</v>
      </c>
      <c r="F32" s="49">
        <v>41.666666666666664</v>
      </c>
      <c r="G32" s="49">
        <v>41.666666666666664</v>
      </c>
      <c r="H32" s="49">
        <v>41.666666666666664</v>
      </c>
      <c r="I32" s="49">
        <v>41.666666666666664</v>
      </c>
      <c r="J32" s="49">
        <v>41.666666666666664</v>
      </c>
      <c r="K32" s="49">
        <v>41.666666666666664</v>
      </c>
      <c r="L32" s="49">
        <v>41.666666666666664</v>
      </c>
      <c r="M32" s="49">
        <v>41.666666666666664</v>
      </c>
      <c r="N32" s="49">
        <v>41.666666666666664</v>
      </c>
    </row>
    <row r="33" spans="1:14" x14ac:dyDescent="0.25">
      <c r="A33" s="30">
        <f t="shared" si="0"/>
        <v>2000</v>
      </c>
      <c r="B33" s="33" t="s">
        <v>29</v>
      </c>
      <c r="C33" s="49">
        <v>166.68333333333331</v>
      </c>
      <c r="D33" s="49">
        <v>166.64999999999984</v>
      </c>
      <c r="E33" s="49">
        <v>166.66666666666666</v>
      </c>
      <c r="F33" s="49">
        <v>166.66666666666666</v>
      </c>
      <c r="G33" s="49">
        <v>166.66666666666666</v>
      </c>
      <c r="H33" s="49">
        <v>166.66666666666666</v>
      </c>
      <c r="I33" s="49">
        <v>166.66666666666666</v>
      </c>
      <c r="J33" s="49">
        <v>166.66666666666666</v>
      </c>
      <c r="K33" s="49">
        <v>166.66666666666666</v>
      </c>
      <c r="L33" s="49">
        <v>166.66666666666666</v>
      </c>
      <c r="M33" s="49">
        <v>166.66666666666666</v>
      </c>
      <c r="N33" s="49">
        <v>166.66666666666666</v>
      </c>
    </row>
    <row r="34" spans="1:14" x14ac:dyDescent="0.25">
      <c r="A34" s="30">
        <f t="shared" si="0"/>
        <v>150</v>
      </c>
      <c r="B34" s="33" t="s">
        <v>31</v>
      </c>
      <c r="C34" s="49">
        <v>1E-14</v>
      </c>
      <c r="D34" s="49">
        <v>150</v>
      </c>
      <c r="E34" s="49">
        <v>1E-14</v>
      </c>
      <c r="F34" s="49">
        <v>1E-14</v>
      </c>
      <c r="G34" s="49">
        <v>1E-14</v>
      </c>
      <c r="H34" s="49">
        <v>1E-14</v>
      </c>
      <c r="I34" s="49">
        <v>1E-14</v>
      </c>
      <c r="J34" s="49">
        <v>1E-14</v>
      </c>
      <c r="K34" s="49">
        <v>1E-14</v>
      </c>
      <c r="L34" s="49">
        <v>1E-14</v>
      </c>
      <c r="M34" s="49">
        <v>1E-14</v>
      </c>
      <c r="N34" s="49">
        <v>1E-14</v>
      </c>
    </row>
    <row r="35" spans="1:14" x14ac:dyDescent="0.25">
      <c r="A35" s="30">
        <f t="shared" si="0"/>
        <v>120</v>
      </c>
      <c r="B35" s="33" t="s">
        <v>34</v>
      </c>
      <c r="C35" s="49">
        <v>10</v>
      </c>
      <c r="D35" s="49">
        <v>10</v>
      </c>
      <c r="E35" s="49">
        <v>10</v>
      </c>
      <c r="F35" s="49">
        <v>10</v>
      </c>
      <c r="G35" s="49">
        <v>10</v>
      </c>
      <c r="H35" s="49">
        <v>10</v>
      </c>
      <c r="I35" s="49">
        <v>10</v>
      </c>
      <c r="J35" s="49">
        <v>10</v>
      </c>
      <c r="K35" s="49">
        <v>10</v>
      </c>
      <c r="L35" s="49">
        <v>10</v>
      </c>
      <c r="M35" s="49">
        <v>10</v>
      </c>
      <c r="N35" s="49">
        <v>10</v>
      </c>
    </row>
    <row r="36" spans="1:14" x14ac:dyDescent="0.25">
      <c r="A36" s="30">
        <f t="shared" si="0"/>
        <v>40000</v>
      </c>
      <c r="B36" s="33" t="s">
        <v>87</v>
      </c>
      <c r="C36" s="49">
        <v>3333.333333333333</v>
      </c>
      <c r="D36" s="49">
        <v>3333.3333333333376</v>
      </c>
      <c r="E36" s="49">
        <v>3333.333333333333</v>
      </c>
      <c r="F36" s="49">
        <v>3333.333333333333</v>
      </c>
      <c r="G36" s="49">
        <v>3333.333333333333</v>
      </c>
      <c r="H36" s="49">
        <v>3333.333333333333</v>
      </c>
      <c r="I36" s="49">
        <v>3333.333333333333</v>
      </c>
      <c r="J36" s="49">
        <v>3333.333333333333</v>
      </c>
      <c r="K36" s="49">
        <v>3333.333333333333</v>
      </c>
      <c r="L36" s="49">
        <v>3333.333333333333</v>
      </c>
      <c r="M36" s="49">
        <v>3333.333333333333</v>
      </c>
      <c r="N36" s="49">
        <v>3333.333333333333</v>
      </c>
    </row>
    <row r="37" spans="1:14" x14ac:dyDescent="0.25">
      <c r="A37" s="30">
        <f t="shared" si="0"/>
        <v>1.1999999999999997E-13</v>
      </c>
      <c r="B37" s="33" t="s">
        <v>88</v>
      </c>
      <c r="C37" s="49">
        <v>1E-14</v>
      </c>
      <c r="D37" s="49">
        <v>1E-14</v>
      </c>
      <c r="E37" s="49">
        <v>1E-14</v>
      </c>
      <c r="F37" s="49">
        <v>1E-14</v>
      </c>
      <c r="G37" s="49">
        <v>1E-14</v>
      </c>
      <c r="H37" s="49">
        <v>1E-14</v>
      </c>
      <c r="I37" s="49">
        <v>1E-14</v>
      </c>
      <c r="J37" s="49">
        <v>1E-14</v>
      </c>
      <c r="K37" s="49">
        <v>1E-14</v>
      </c>
      <c r="L37" s="49">
        <v>1E-14</v>
      </c>
      <c r="M37" s="49">
        <v>1E-14</v>
      </c>
      <c r="N37" s="49">
        <v>1E-14</v>
      </c>
    </row>
    <row r="38" spans="1:14" x14ac:dyDescent="0.25">
      <c r="A38" s="30">
        <f t="shared" si="0"/>
        <v>36591.721526908645</v>
      </c>
      <c r="B38" s="33" t="s">
        <v>35</v>
      </c>
      <c r="C38" s="49">
        <v>3519.7997496871085</v>
      </c>
      <c r="D38" s="49">
        <v>3179.1739674593241</v>
      </c>
      <c r="E38" s="49">
        <v>3519.7997496871085</v>
      </c>
      <c r="F38" s="49">
        <v>3133.6139966624946</v>
      </c>
      <c r="G38" s="49">
        <v>3519.7997496871085</v>
      </c>
      <c r="H38" s="49">
        <v>2367.6565498539844</v>
      </c>
      <c r="I38" s="49">
        <v>2529.8593032957865</v>
      </c>
      <c r="J38" s="49">
        <v>2304.5777012932831</v>
      </c>
      <c r="K38" s="49">
        <v>2592.9381518564874</v>
      </c>
      <c r="L38" s="49">
        <v>2998.445035460993</v>
      </c>
      <c r="M38" s="49">
        <v>3406.257822277847</v>
      </c>
      <c r="N38" s="49">
        <v>3519.7997496871085</v>
      </c>
    </row>
    <row r="39" spans="1:14" x14ac:dyDescent="0.25">
      <c r="A39" s="30">
        <f t="shared" si="0"/>
        <v>11100</v>
      </c>
      <c r="B39" s="33" t="s">
        <v>36</v>
      </c>
      <c r="C39" s="49">
        <v>3999.9999999999995</v>
      </c>
      <c r="D39" s="49">
        <v>1E-14</v>
      </c>
      <c r="E39" s="49">
        <v>1E-14</v>
      </c>
      <c r="F39" s="49">
        <v>1E-14</v>
      </c>
      <c r="G39" s="49">
        <v>1E-14</v>
      </c>
      <c r="H39" s="49">
        <v>1E-14</v>
      </c>
      <c r="I39" s="49">
        <v>1E-14</v>
      </c>
      <c r="J39" s="49">
        <v>1E-14</v>
      </c>
      <c r="K39" s="49">
        <v>1E-14</v>
      </c>
      <c r="L39" s="49">
        <v>1E-14</v>
      </c>
      <c r="M39" s="49">
        <v>1500</v>
      </c>
      <c r="N39" s="49">
        <v>5600</v>
      </c>
    </row>
    <row r="40" spans="1:14" x14ac:dyDescent="0.25">
      <c r="A40" s="30">
        <f t="shared" si="0"/>
        <v>285.90847215754098</v>
      </c>
      <c r="B40" s="33" t="s">
        <v>85</v>
      </c>
      <c r="C40" s="49">
        <v>1E-14</v>
      </c>
      <c r="D40" s="49">
        <v>285.90847215754098</v>
      </c>
      <c r="E40" s="49">
        <v>1E-14</v>
      </c>
      <c r="F40" s="49">
        <v>1E-14</v>
      </c>
      <c r="G40" s="49">
        <v>1E-14</v>
      </c>
      <c r="H40" s="49">
        <v>1E-14</v>
      </c>
      <c r="I40" s="49">
        <v>1E-14</v>
      </c>
      <c r="J40" s="49">
        <v>1E-14</v>
      </c>
      <c r="K40" s="49">
        <v>1E-14</v>
      </c>
      <c r="L40" s="49">
        <v>1E-14</v>
      </c>
      <c r="M40" s="49">
        <v>1E-14</v>
      </c>
      <c r="N40" s="49">
        <v>1E-14</v>
      </c>
    </row>
    <row r="41" spans="1:14" x14ac:dyDescent="0.25">
      <c r="A41" s="30">
        <f t="shared" si="0"/>
        <v>0</v>
      </c>
      <c r="B41" s="33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</row>
    <row r="42" spans="1:14" x14ac:dyDescent="0.25">
      <c r="A42" s="30">
        <f t="shared" si="0"/>
        <v>0</v>
      </c>
      <c r="B42" s="33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</row>
    <row r="43" spans="1:14" x14ac:dyDescent="0.25">
      <c r="A43" s="30">
        <f t="shared" si="0"/>
        <v>0</v>
      </c>
      <c r="B43" s="33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</row>
    <row r="44" spans="1:14" x14ac:dyDescent="0.25">
      <c r="A44" s="30">
        <f t="shared" si="0"/>
        <v>0</v>
      </c>
      <c r="B44" s="33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</row>
    <row r="45" spans="1:14" x14ac:dyDescent="0.25">
      <c r="A45" s="30">
        <f t="shared" si="0"/>
        <v>0</v>
      </c>
      <c r="B45" s="2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1:14" x14ac:dyDescent="0.25">
      <c r="A46" s="30">
        <f t="shared" si="0"/>
        <v>0</v>
      </c>
      <c r="B46" s="9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</row>
    <row r="47" spans="1:14" x14ac:dyDescent="0.25">
      <c r="A47" s="30">
        <f t="shared" si="0"/>
        <v>0</v>
      </c>
      <c r="B47" s="9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</row>
    <row r="48" spans="1:14" x14ac:dyDescent="0.25">
      <c r="A48" s="30"/>
      <c r="B48" s="9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</row>
    <row r="49" spans="1:14" x14ac:dyDescent="0.25">
      <c r="A49" s="30"/>
      <c r="B49" s="9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</row>
    <row r="50" spans="1:14" x14ac:dyDescent="0.25">
      <c r="A50" s="23" t="s">
        <v>12</v>
      </c>
      <c r="B50" s="8" t="s">
        <v>91</v>
      </c>
      <c r="C50" s="43" t="s">
        <v>0</v>
      </c>
      <c r="D50" s="43" t="s">
        <v>1</v>
      </c>
      <c r="E50" s="43" t="s">
        <v>2</v>
      </c>
      <c r="F50" s="43" t="s">
        <v>3</v>
      </c>
      <c r="G50" s="43" t="s">
        <v>4</v>
      </c>
      <c r="H50" s="43" t="s">
        <v>5</v>
      </c>
      <c r="I50" s="43" t="s">
        <v>6</v>
      </c>
      <c r="J50" s="43" t="s">
        <v>7</v>
      </c>
      <c r="K50" s="43" t="s">
        <v>8</v>
      </c>
      <c r="L50" s="43" t="s">
        <v>9</v>
      </c>
      <c r="M50" s="43" t="s">
        <v>10</v>
      </c>
      <c r="N50" s="43" t="s">
        <v>11</v>
      </c>
    </row>
    <row r="51" spans="1:14" x14ac:dyDescent="0.25">
      <c r="A51" s="30">
        <f t="shared" ref="A51:A73" si="1">SUM(C51:N51)</f>
        <v>4773825</v>
      </c>
      <c r="B51" s="33" t="s">
        <v>14</v>
      </c>
      <c r="C51" s="48">
        <v>1639218.3014042359</v>
      </c>
      <c r="D51" s="48">
        <v>1221457.0199999972</v>
      </c>
      <c r="E51" s="48">
        <v>236023.34958924656</v>
      </c>
      <c r="F51" s="48">
        <v>1E-14</v>
      </c>
      <c r="G51" s="48">
        <v>1E-14</v>
      </c>
      <c r="H51" s="48">
        <v>1E-14</v>
      </c>
      <c r="I51" s="48">
        <v>1E-14</v>
      </c>
      <c r="J51" s="48">
        <v>1E-14</v>
      </c>
      <c r="K51" s="48">
        <v>1E-14</v>
      </c>
      <c r="L51" s="48">
        <v>1E-14</v>
      </c>
      <c r="M51" s="48">
        <v>282276.49306238181</v>
      </c>
      <c r="N51" s="48">
        <v>1394849.8359441385</v>
      </c>
    </row>
    <row r="52" spans="1:14" x14ac:dyDescent="0.25">
      <c r="A52" s="30">
        <f t="shared" si="1"/>
        <v>15156225</v>
      </c>
      <c r="B52" s="33" t="s">
        <v>17</v>
      </c>
      <c r="C52" s="48">
        <v>1263145.0518749999</v>
      </c>
      <c r="D52" s="48">
        <v>1262513.5425000002</v>
      </c>
      <c r="E52" s="48">
        <v>1263145.0518749999</v>
      </c>
      <c r="F52" s="48">
        <v>1263018.75</v>
      </c>
      <c r="G52" s="48">
        <v>1263018.75</v>
      </c>
      <c r="H52" s="48">
        <v>1263018.75</v>
      </c>
      <c r="I52" s="48">
        <v>1263018.75</v>
      </c>
      <c r="J52" s="48">
        <v>1263018.75</v>
      </c>
      <c r="K52" s="48">
        <v>1263018.75</v>
      </c>
      <c r="L52" s="48">
        <v>1263018.75</v>
      </c>
      <c r="M52" s="48">
        <v>1263145.0518749999</v>
      </c>
      <c r="N52" s="48">
        <v>1263145.0518749999</v>
      </c>
    </row>
    <row r="53" spans="1:14" x14ac:dyDescent="0.25">
      <c r="A53" s="30">
        <f t="shared" si="1"/>
        <v>1837500</v>
      </c>
      <c r="B53" s="33" t="s">
        <v>18</v>
      </c>
      <c r="C53" s="48">
        <v>153140.3125</v>
      </c>
      <c r="D53" s="48">
        <v>153109.68750000006</v>
      </c>
      <c r="E53" s="48">
        <v>153125</v>
      </c>
      <c r="F53" s="48">
        <v>153125</v>
      </c>
      <c r="G53" s="48">
        <v>153125</v>
      </c>
      <c r="H53" s="48">
        <v>153125</v>
      </c>
      <c r="I53" s="48">
        <v>153125</v>
      </c>
      <c r="J53" s="48">
        <v>153125</v>
      </c>
      <c r="K53" s="48">
        <v>153125</v>
      </c>
      <c r="L53" s="48">
        <v>153125</v>
      </c>
      <c r="M53" s="48">
        <v>153125</v>
      </c>
      <c r="N53" s="48">
        <v>153125</v>
      </c>
    </row>
    <row r="54" spans="1:14" x14ac:dyDescent="0.25">
      <c r="A54" s="30">
        <f t="shared" si="1"/>
        <v>4095000.0000000005</v>
      </c>
      <c r="B54" s="33" t="s">
        <v>21</v>
      </c>
      <c r="C54" s="48">
        <v>341284.12499999994</v>
      </c>
      <c r="D54" s="48">
        <v>341113.50000000058</v>
      </c>
      <c r="E54" s="48">
        <v>341284.12499999994</v>
      </c>
      <c r="F54" s="48">
        <v>341250</v>
      </c>
      <c r="G54" s="48">
        <v>341250</v>
      </c>
      <c r="H54" s="48">
        <v>341250</v>
      </c>
      <c r="I54" s="48">
        <v>341250</v>
      </c>
      <c r="J54" s="48">
        <v>341250</v>
      </c>
      <c r="K54" s="48">
        <v>341250</v>
      </c>
      <c r="L54" s="48">
        <v>341250</v>
      </c>
      <c r="M54" s="48">
        <v>341284.125</v>
      </c>
      <c r="N54" s="48">
        <v>341284.12499999994</v>
      </c>
    </row>
    <row r="55" spans="1:14" x14ac:dyDescent="0.25">
      <c r="A55" s="30">
        <f t="shared" si="1"/>
        <v>2730000</v>
      </c>
      <c r="B55" s="33" t="s">
        <v>24</v>
      </c>
      <c r="C55" s="48">
        <v>187448.45922076423</v>
      </c>
      <c r="D55" s="48">
        <v>1E-14</v>
      </c>
      <c r="E55" s="48">
        <v>1590667.473535754</v>
      </c>
      <c r="F55" s="48">
        <v>1E-14</v>
      </c>
      <c r="G55" s="48">
        <v>1E-14</v>
      </c>
      <c r="H55" s="48">
        <v>1E-14</v>
      </c>
      <c r="I55" s="48">
        <v>1E-14</v>
      </c>
      <c r="J55" s="48">
        <v>1E-14</v>
      </c>
      <c r="K55" s="48">
        <v>1E-14</v>
      </c>
      <c r="L55" s="48">
        <v>1E-14</v>
      </c>
      <c r="M55" s="48">
        <v>951884.06724348175</v>
      </c>
      <c r="N55" s="48">
        <v>1E-14</v>
      </c>
    </row>
    <row r="56" spans="1:14" x14ac:dyDescent="0.25">
      <c r="A56" s="30">
        <f t="shared" si="1"/>
        <v>392499.99999999994</v>
      </c>
      <c r="B56" s="33" t="s">
        <v>25</v>
      </c>
      <c r="C56" s="48">
        <v>32708.333333333332</v>
      </c>
      <c r="D56" s="48">
        <v>32708.333333333299</v>
      </c>
      <c r="E56" s="48">
        <v>32708.333333333332</v>
      </c>
      <c r="F56" s="48">
        <v>32708.333333333332</v>
      </c>
      <c r="G56" s="48">
        <v>32708.333333333332</v>
      </c>
      <c r="H56" s="48">
        <v>32708.333333333332</v>
      </c>
      <c r="I56" s="48">
        <v>32708.333333333332</v>
      </c>
      <c r="J56" s="48">
        <v>32708.333333333332</v>
      </c>
      <c r="K56" s="48">
        <v>32708.333333333332</v>
      </c>
      <c r="L56" s="48">
        <v>32708.333333333332</v>
      </c>
      <c r="M56" s="48">
        <v>32708.333333333332</v>
      </c>
      <c r="N56" s="48">
        <v>32708.333333333332</v>
      </c>
    </row>
    <row r="57" spans="1:14" x14ac:dyDescent="0.25">
      <c r="A57" s="30">
        <f t="shared" si="1"/>
        <v>1030000</v>
      </c>
      <c r="B57" s="33" t="s">
        <v>29</v>
      </c>
      <c r="C57" s="48">
        <v>85841.916666666657</v>
      </c>
      <c r="D57" s="48">
        <v>85824.749999999913</v>
      </c>
      <c r="E57" s="48">
        <v>85833.333333333328</v>
      </c>
      <c r="F57" s="48">
        <v>85833.333333333328</v>
      </c>
      <c r="G57" s="48">
        <v>85833.333333333328</v>
      </c>
      <c r="H57" s="48">
        <v>85833.333333333328</v>
      </c>
      <c r="I57" s="48">
        <v>85833.333333333328</v>
      </c>
      <c r="J57" s="48">
        <v>85833.333333333328</v>
      </c>
      <c r="K57" s="48">
        <v>85833.333333333328</v>
      </c>
      <c r="L57" s="48">
        <v>85833.333333333328</v>
      </c>
      <c r="M57" s="48">
        <v>85833.333333333328</v>
      </c>
      <c r="N57" s="48">
        <v>85833.333333333328</v>
      </c>
    </row>
    <row r="58" spans="1:14" x14ac:dyDescent="0.25">
      <c r="A58" s="30">
        <f t="shared" si="1"/>
        <v>23250</v>
      </c>
      <c r="B58" s="33" t="s">
        <v>31</v>
      </c>
      <c r="C58" s="48">
        <v>1E-14</v>
      </c>
      <c r="D58" s="48">
        <v>23250</v>
      </c>
      <c r="E58" s="48">
        <v>1E-14</v>
      </c>
      <c r="F58" s="48">
        <v>1E-14</v>
      </c>
      <c r="G58" s="48">
        <v>1E-14</v>
      </c>
      <c r="H58" s="48">
        <v>1E-14</v>
      </c>
      <c r="I58" s="48">
        <v>1E-14</v>
      </c>
      <c r="J58" s="48">
        <v>1E-14</v>
      </c>
      <c r="K58" s="48">
        <v>1E-14</v>
      </c>
      <c r="L58" s="48">
        <v>1E-14</v>
      </c>
      <c r="M58" s="48">
        <v>1E-14</v>
      </c>
      <c r="N58" s="48">
        <v>1E-14</v>
      </c>
    </row>
    <row r="59" spans="1:14" x14ac:dyDescent="0.25">
      <c r="A59" s="30">
        <f t="shared" si="1"/>
        <v>82200</v>
      </c>
      <c r="B59" s="33" t="s">
        <v>34</v>
      </c>
      <c r="C59" s="48">
        <v>6850</v>
      </c>
      <c r="D59" s="48">
        <v>6850</v>
      </c>
      <c r="E59" s="48">
        <v>6850</v>
      </c>
      <c r="F59" s="48">
        <v>6850</v>
      </c>
      <c r="G59" s="48">
        <v>6850</v>
      </c>
      <c r="H59" s="48">
        <v>6850</v>
      </c>
      <c r="I59" s="48">
        <v>6850</v>
      </c>
      <c r="J59" s="48">
        <v>6850</v>
      </c>
      <c r="K59" s="48">
        <v>6850</v>
      </c>
      <c r="L59" s="48">
        <v>6850</v>
      </c>
      <c r="M59" s="48">
        <v>6850</v>
      </c>
      <c r="N59" s="48">
        <v>6850</v>
      </c>
    </row>
    <row r="60" spans="1:14" x14ac:dyDescent="0.25">
      <c r="A60" s="30">
        <f t="shared" si="1"/>
        <v>20000000</v>
      </c>
      <c r="B60" s="33" t="s">
        <v>87</v>
      </c>
      <c r="C60" s="48">
        <v>1666666.6666666665</v>
      </c>
      <c r="D60" s="48">
        <v>1666666.6666666688</v>
      </c>
      <c r="E60" s="48">
        <v>1666666.6666666665</v>
      </c>
      <c r="F60" s="48">
        <v>1666666.6666666665</v>
      </c>
      <c r="G60" s="48">
        <v>1666666.6666666665</v>
      </c>
      <c r="H60" s="48">
        <v>1666666.6666666665</v>
      </c>
      <c r="I60" s="48">
        <v>1666666.6666666665</v>
      </c>
      <c r="J60" s="48">
        <v>1666666.6666666665</v>
      </c>
      <c r="K60" s="48">
        <v>1666666.6666666665</v>
      </c>
      <c r="L60" s="48">
        <v>1666666.6666666665</v>
      </c>
      <c r="M60" s="48">
        <v>1666666.6666666665</v>
      </c>
      <c r="N60" s="48">
        <v>1666666.6666666665</v>
      </c>
    </row>
    <row r="61" spans="1:14" x14ac:dyDescent="0.25">
      <c r="A61" s="30">
        <f t="shared" si="1"/>
        <v>1.1999999999999997E-13</v>
      </c>
      <c r="B61" s="33" t="s">
        <v>88</v>
      </c>
      <c r="C61" s="48">
        <v>1E-14</v>
      </c>
      <c r="D61" s="48">
        <v>1E-14</v>
      </c>
      <c r="E61" s="48">
        <v>1E-14</v>
      </c>
      <c r="F61" s="48">
        <v>1E-14</v>
      </c>
      <c r="G61" s="48">
        <v>1E-14</v>
      </c>
      <c r="H61" s="48">
        <v>1E-14</v>
      </c>
      <c r="I61" s="48">
        <v>1E-14</v>
      </c>
      <c r="J61" s="48">
        <v>1E-14</v>
      </c>
      <c r="K61" s="48">
        <v>1E-14</v>
      </c>
      <c r="L61" s="48">
        <v>1E-14</v>
      </c>
      <c r="M61" s="48">
        <v>1E-14</v>
      </c>
      <c r="N61" s="48">
        <v>1E-14</v>
      </c>
    </row>
    <row r="62" spans="1:14" x14ac:dyDescent="0.25">
      <c r="A62" s="30">
        <f t="shared" si="1"/>
        <v>-2524828.7853566958</v>
      </c>
      <c r="B62" s="33" t="s">
        <v>35</v>
      </c>
      <c r="C62" s="48">
        <v>-242866.18272841049</v>
      </c>
      <c r="D62" s="48">
        <v>-219363.00375469337</v>
      </c>
      <c r="E62" s="48">
        <v>-242866.18272841049</v>
      </c>
      <c r="F62" s="48">
        <v>-216219.36576971214</v>
      </c>
      <c r="G62" s="48">
        <v>-242866.18272841049</v>
      </c>
      <c r="H62" s="48">
        <v>-163368.30193992492</v>
      </c>
      <c r="I62" s="48">
        <v>-174560.29192740927</v>
      </c>
      <c r="J62" s="48">
        <v>-159015.86138923652</v>
      </c>
      <c r="K62" s="48">
        <v>-178912.73247809763</v>
      </c>
      <c r="L62" s="48">
        <v>-206892.70744680852</v>
      </c>
      <c r="M62" s="48">
        <v>-235031.78973717146</v>
      </c>
      <c r="N62" s="48">
        <v>-242866.18272841049</v>
      </c>
    </row>
    <row r="63" spans="1:14" x14ac:dyDescent="0.25">
      <c r="A63" s="30">
        <f t="shared" si="1"/>
        <v>1.1999999999999997E-13</v>
      </c>
      <c r="B63" s="33" t="s">
        <v>36</v>
      </c>
      <c r="C63" s="48">
        <v>1E-14</v>
      </c>
      <c r="D63" s="48">
        <v>1E-14</v>
      </c>
      <c r="E63" s="48">
        <v>1E-14</v>
      </c>
      <c r="F63" s="48">
        <v>1E-14</v>
      </c>
      <c r="G63" s="48">
        <v>1E-14</v>
      </c>
      <c r="H63" s="48">
        <v>1E-14</v>
      </c>
      <c r="I63" s="48">
        <v>1E-14</v>
      </c>
      <c r="J63" s="48">
        <v>1E-14</v>
      </c>
      <c r="K63" s="48">
        <v>1E-14</v>
      </c>
      <c r="L63" s="48">
        <v>1E-14</v>
      </c>
      <c r="M63" s="48">
        <v>1E-14</v>
      </c>
      <c r="N63" s="48">
        <v>1E-14</v>
      </c>
    </row>
    <row r="64" spans="1:14" x14ac:dyDescent="0.25">
      <c r="A64" s="30">
        <f t="shared" si="1"/>
        <v>-1429542.3607877048</v>
      </c>
      <c r="B64" s="33" t="s">
        <v>85</v>
      </c>
      <c r="C64" s="48">
        <v>1E-14</v>
      </c>
      <c r="D64" s="48">
        <v>-1429542.3607877048</v>
      </c>
      <c r="E64" s="48">
        <v>1E-14</v>
      </c>
      <c r="F64" s="48">
        <v>1E-14</v>
      </c>
      <c r="G64" s="48">
        <v>1E-14</v>
      </c>
      <c r="H64" s="48">
        <v>1E-14</v>
      </c>
      <c r="I64" s="48">
        <v>1E-14</v>
      </c>
      <c r="J64" s="48">
        <v>1E-14</v>
      </c>
      <c r="K64" s="48">
        <v>1E-14</v>
      </c>
      <c r="L64" s="48">
        <v>1E-14</v>
      </c>
      <c r="M64" s="48">
        <v>1E-14</v>
      </c>
      <c r="N64" s="48">
        <v>1E-14</v>
      </c>
    </row>
    <row r="65" spans="1:14" x14ac:dyDescent="0.25">
      <c r="A65" s="30">
        <f t="shared" si="1"/>
        <v>0</v>
      </c>
      <c r="B65" s="33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</row>
    <row r="66" spans="1:14" x14ac:dyDescent="0.25">
      <c r="A66" s="30">
        <f t="shared" si="1"/>
        <v>0</v>
      </c>
      <c r="B66" s="33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</row>
    <row r="67" spans="1:14" x14ac:dyDescent="0.25">
      <c r="A67" s="30">
        <f t="shared" si="1"/>
        <v>0</v>
      </c>
      <c r="B67" s="33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</row>
    <row r="68" spans="1:14" x14ac:dyDescent="0.25">
      <c r="A68" s="30">
        <f t="shared" si="1"/>
        <v>0</v>
      </c>
      <c r="B68" s="33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</row>
    <row r="69" spans="1:14" x14ac:dyDescent="0.25">
      <c r="A69" s="30">
        <f t="shared" si="1"/>
        <v>0</v>
      </c>
      <c r="B69" s="26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</row>
    <row r="70" spans="1:14" x14ac:dyDescent="0.25">
      <c r="A70" s="30">
        <f t="shared" si="1"/>
        <v>0</v>
      </c>
      <c r="B70" s="9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</row>
    <row r="71" spans="1:14" x14ac:dyDescent="0.25">
      <c r="A71" s="30">
        <f t="shared" si="1"/>
        <v>0</v>
      </c>
      <c r="B71" s="9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</row>
    <row r="72" spans="1:14" x14ac:dyDescent="0.25">
      <c r="A72" s="30">
        <f t="shared" si="1"/>
        <v>0</v>
      </c>
      <c r="B72" s="9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</row>
    <row r="73" spans="1:14" x14ac:dyDescent="0.25">
      <c r="A73" s="30">
        <f t="shared" si="1"/>
        <v>0</v>
      </c>
      <c r="B73" s="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</row>
    <row r="75" spans="1:14" x14ac:dyDescent="0.25">
      <c r="B75" s="8" t="s">
        <v>90</v>
      </c>
      <c r="C75" s="43" t="s">
        <v>0</v>
      </c>
      <c r="D75" s="43" t="s">
        <v>1</v>
      </c>
      <c r="E75" s="43" t="s">
        <v>2</v>
      </c>
      <c r="F75" s="43" t="s">
        <v>3</v>
      </c>
      <c r="G75" s="43" t="s">
        <v>4</v>
      </c>
      <c r="H75" s="43" t="s">
        <v>5</v>
      </c>
      <c r="I75" s="43" t="s">
        <v>6</v>
      </c>
      <c r="J75" s="43" t="s">
        <v>7</v>
      </c>
      <c r="K75" s="43" t="s">
        <v>8</v>
      </c>
      <c r="L75" s="43" t="s">
        <v>9</v>
      </c>
      <c r="M75" s="43" t="s">
        <v>10</v>
      </c>
      <c r="N75" s="43" t="s">
        <v>11</v>
      </c>
    </row>
    <row r="76" spans="1:14" x14ac:dyDescent="0.25">
      <c r="B76" s="26" t="s">
        <v>44</v>
      </c>
      <c r="C76" s="44">
        <v>0.694973021861509</v>
      </c>
      <c r="D76" s="44">
        <v>0.69783796296296285</v>
      </c>
      <c r="E76" s="44">
        <v>0.56185829776051632</v>
      </c>
      <c r="F76" s="44">
        <v>1E-14</v>
      </c>
      <c r="G76" s="44">
        <v>1E-14</v>
      </c>
      <c r="H76" s="44">
        <v>1E-14</v>
      </c>
      <c r="I76" s="44">
        <v>1E-14</v>
      </c>
      <c r="J76" s="44">
        <v>1E-14</v>
      </c>
      <c r="K76" s="44">
        <v>1E-14</v>
      </c>
      <c r="L76" s="44">
        <v>1E-14</v>
      </c>
      <c r="M76" s="44">
        <v>0.40192631211430885</v>
      </c>
      <c r="N76" s="44">
        <v>0.41406084929556308</v>
      </c>
    </row>
    <row r="77" spans="1:14" x14ac:dyDescent="0.25">
      <c r="B77" s="26" t="s">
        <v>45</v>
      </c>
      <c r="C77" s="44">
        <v>0.88611811972746968</v>
      </c>
      <c r="D77" s="44">
        <v>0.89788056083841905</v>
      </c>
      <c r="E77" s="44">
        <v>0.85074430959418235</v>
      </c>
      <c r="F77" s="44">
        <v>0.67104515555936595</v>
      </c>
      <c r="G77" s="44">
        <v>0.64939853763809607</v>
      </c>
      <c r="H77" s="44">
        <v>0.67104515555936595</v>
      </c>
      <c r="I77" s="44">
        <v>0.64939853763809607</v>
      </c>
      <c r="J77" s="44">
        <v>0.64939853763809607</v>
      </c>
      <c r="K77" s="44">
        <v>0.67104515555936595</v>
      </c>
      <c r="L77" s="44">
        <v>0.64939853763809607</v>
      </c>
      <c r="M77" s="44">
        <v>0.78481191399458194</v>
      </c>
      <c r="N77" s="44">
        <v>0.80641806099985625</v>
      </c>
    </row>
    <row r="78" spans="1:14" x14ac:dyDescent="0.25">
      <c r="B78" s="26" t="s">
        <v>46</v>
      </c>
      <c r="C78" s="44">
        <v>1</v>
      </c>
      <c r="D78" s="44">
        <v>1</v>
      </c>
      <c r="E78" s="44">
        <v>1</v>
      </c>
      <c r="F78" s="44">
        <v>0.91995795977856165</v>
      </c>
      <c r="G78" s="44">
        <v>1</v>
      </c>
      <c r="H78" s="44">
        <v>0.69509023491083677</v>
      </c>
      <c r="I78" s="44">
        <v>0.71875091857730755</v>
      </c>
      <c r="J78" s="44">
        <v>0.65474682231514669</v>
      </c>
      <c r="K78" s="44">
        <v>0.76122780104840293</v>
      </c>
      <c r="L78" s="44">
        <v>0.85187943880260197</v>
      </c>
      <c r="M78" s="44">
        <v>1</v>
      </c>
      <c r="N78" s="44">
        <v>1</v>
      </c>
    </row>
    <row r="79" spans="1:14" x14ac:dyDescent="0.25">
      <c r="B79" s="26" t="s">
        <v>47</v>
      </c>
      <c r="C79" s="44">
        <v>1E-14</v>
      </c>
      <c r="D79" s="44">
        <v>5.2000548838177105E-2</v>
      </c>
      <c r="E79" s="44">
        <v>1E-14</v>
      </c>
      <c r="F79" s="44">
        <v>1E-14</v>
      </c>
      <c r="G79" s="44">
        <v>1E-14</v>
      </c>
      <c r="H79" s="44">
        <v>1E-14</v>
      </c>
      <c r="I79" s="44">
        <v>1E-14</v>
      </c>
      <c r="J79" s="44">
        <v>1E-14</v>
      </c>
      <c r="K79" s="44">
        <v>1E-14</v>
      </c>
      <c r="L79" s="44">
        <v>1E-14</v>
      </c>
      <c r="M79" s="44">
        <v>1E-14</v>
      </c>
      <c r="N79" s="44">
        <v>1E-14</v>
      </c>
    </row>
    <row r="80" spans="1:14" x14ac:dyDescent="0.25">
      <c r="B80" s="26" t="s">
        <v>86</v>
      </c>
      <c r="C80" s="44">
        <v>1</v>
      </c>
      <c r="D80" s="44">
        <v>1E-14</v>
      </c>
      <c r="E80" s="44">
        <v>1E-14</v>
      </c>
      <c r="F80" s="44">
        <v>1E-14</v>
      </c>
      <c r="G80" s="44">
        <v>1E-14</v>
      </c>
      <c r="H80" s="44">
        <v>1E-14</v>
      </c>
      <c r="I80" s="44">
        <v>1E-14</v>
      </c>
      <c r="J80" s="44">
        <v>1E-14</v>
      </c>
      <c r="K80" s="44">
        <v>1E-14</v>
      </c>
      <c r="L80" s="44">
        <v>1E-14</v>
      </c>
      <c r="M80" s="44">
        <v>1</v>
      </c>
      <c r="N80" s="44">
        <v>1</v>
      </c>
    </row>
    <row r="81" spans="2:14" x14ac:dyDescent="0.25">
      <c r="B81" s="26" t="s">
        <v>48</v>
      </c>
      <c r="C81" s="44">
        <v>1E-14</v>
      </c>
      <c r="D81" s="44">
        <v>1E-14</v>
      </c>
      <c r="E81" s="44">
        <v>1E-14</v>
      </c>
      <c r="F81" s="44">
        <v>1E-14</v>
      </c>
      <c r="G81" s="44">
        <v>0.7040428157772467</v>
      </c>
      <c r="H81" s="44">
        <v>1</v>
      </c>
      <c r="I81" s="44">
        <v>1</v>
      </c>
      <c r="J81" s="44">
        <v>1</v>
      </c>
      <c r="K81" s="44">
        <v>1</v>
      </c>
      <c r="L81" s="44">
        <v>1E-14</v>
      </c>
      <c r="M81" s="44">
        <v>1E-14</v>
      </c>
      <c r="N81" s="44">
        <v>1E-14</v>
      </c>
    </row>
  </sheetData>
  <conditionalFormatting sqref="C19:N24">
    <cfRule type="colorScale" priority="8">
      <colorScale>
        <cfvo type="min"/>
        <cfvo type="max"/>
        <color rgb="FFFCFCFF"/>
        <color rgb="FF63BE7B"/>
      </colorScale>
    </cfRule>
  </conditionalFormatting>
  <conditionalFormatting sqref="C27:N49">
    <cfRule type="colorScale" priority="7">
      <colorScale>
        <cfvo type="min"/>
        <cfvo type="max"/>
        <color rgb="FFFCFCFF"/>
        <color rgb="FF63BE7B"/>
      </colorScale>
    </cfRule>
  </conditionalFormatting>
  <conditionalFormatting sqref="A19:A24">
    <cfRule type="cellIs" dxfId="24" priority="5" operator="lessThan">
      <formula>0.0000000000012</formula>
    </cfRule>
  </conditionalFormatting>
  <conditionalFormatting sqref="A51:A73">
    <cfRule type="cellIs" dxfId="23" priority="3" operator="lessThan">
      <formula>0.0000000000012</formula>
    </cfRule>
  </conditionalFormatting>
  <conditionalFormatting sqref="C76:N81">
    <cfRule type="cellIs" dxfId="22" priority="2" operator="lessThan">
      <formula>0.0000000000001</formula>
    </cfRule>
  </conditionalFormatting>
  <conditionalFormatting sqref="C51:N6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4"/>
  </sheetPr>
  <dimension ref="B2:AD81"/>
  <sheetViews>
    <sheetView tabSelected="1" zoomScale="85" zoomScaleNormal="85" workbookViewId="0">
      <selection activeCell="I11" sqref="I11"/>
    </sheetView>
  </sheetViews>
  <sheetFormatPr defaultRowHeight="15" x14ac:dyDescent="0.25"/>
  <cols>
    <col min="1" max="1" width="5" customWidth="1"/>
    <col min="2" max="2" width="11.7109375" bestFit="1" customWidth="1"/>
    <col min="3" max="3" width="9" bestFit="1" customWidth="1"/>
    <col min="4" max="5" width="12.140625" bestFit="1" customWidth="1"/>
    <col min="6" max="6" width="8.42578125" bestFit="1" customWidth="1"/>
    <col min="7" max="7" width="8.7109375" customWidth="1"/>
    <col min="8" max="8" width="7.85546875" customWidth="1"/>
    <col min="9" max="9" width="8" customWidth="1"/>
    <col min="10" max="10" width="10.28515625" bestFit="1" customWidth="1"/>
    <col min="11" max="12" width="9.28515625" customWidth="1"/>
    <col min="14" max="14" width="20.42578125" customWidth="1"/>
    <col min="15" max="15" width="9.7109375" customWidth="1"/>
    <col min="19" max="19" width="11" bestFit="1" customWidth="1"/>
    <col min="20" max="20" width="12" bestFit="1" customWidth="1"/>
    <col min="21" max="21" width="12.28515625" bestFit="1" customWidth="1"/>
  </cols>
  <sheetData>
    <row r="2" spans="2:25" x14ac:dyDescent="0.25">
      <c r="B2" s="2" t="s">
        <v>80</v>
      </c>
      <c r="C2" s="4" t="s">
        <v>38</v>
      </c>
      <c r="D2" s="5"/>
      <c r="E2" s="5" t="s">
        <v>81</v>
      </c>
      <c r="F2" s="36" t="s">
        <v>39</v>
      </c>
      <c r="G2" s="36" t="s">
        <v>39</v>
      </c>
      <c r="H2" s="5"/>
      <c r="I2" s="5" t="s">
        <v>39</v>
      </c>
      <c r="J2" s="5"/>
      <c r="O2" s="6" t="s">
        <v>38</v>
      </c>
      <c r="P2" s="2"/>
      <c r="Q2" s="6" t="s">
        <v>38</v>
      </c>
      <c r="R2" s="6" t="s">
        <v>38</v>
      </c>
      <c r="S2" s="6" t="s">
        <v>38</v>
      </c>
      <c r="T2" s="4" t="s">
        <v>56</v>
      </c>
      <c r="U2" s="4" t="s">
        <v>56</v>
      </c>
      <c r="V2" s="4" t="s">
        <v>57</v>
      </c>
      <c r="W2" s="4" t="s">
        <v>58</v>
      </c>
      <c r="Y2" s="4" t="s">
        <v>59</v>
      </c>
    </row>
    <row r="3" spans="2:25" x14ac:dyDescent="0.25">
      <c r="B3" s="8" t="s">
        <v>84</v>
      </c>
      <c r="C3" s="29" t="s">
        <v>40</v>
      </c>
      <c r="D3" s="29" t="s">
        <v>95</v>
      </c>
      <c r="E3" s="29" t="s">
        <v>82</v>
      </c>
      <c r="F3" s="59" t="s">
        <v>83</v>
      </c>
      <c r="G3" s="59" t="s">
        <v>41</v>
      </c>
      <c r="H3" s="29" t="s">
        <v>42</v>
      </c>
      <c r="I3" s="29" t="s">
        <v>43</v>
      </c>
      <c r="J3" s="25"/>
      <c r="K3" s="6"/>
      <c r="L3" s="6"/>
      <c r="N3" s="8" t="s">
        <v>74</v>
      </c>
      <c r="O3" s="29" t="s">
        <v>40</v>
      </c>
      <c r="P3" s="29" t="s">
        <v>60</v>
      </c>
      <c r="Q3" s="29" t="s">
        <v>102</v>
      </c>
      <c r="R3" s="29" t="s">
        <v>96</v>
      </c>
      <c r="S3" s="29" t="s">
        <v>89</v>
      </c>
      <c r="T3" s="29" t="s">
        <v>97</v>
      </c>
      <c r="U3" s="29" t="s">
        <v>98</v>
      </c>
      <c r="V3" s="29" t="s">
        <v>61</v>
      </c>
      <c r="W3" s="29" t="s">
        <v>62</v>
      </c>
      <c r="X3" s="29" t="s">
        <v>99</v>
      </c>
      <c r="Y3" s="29" t="s">
        <v>100</v>
      </c>
    </row>
    <row r="4" spans="2:25" x14ac:dyDescent="0.25">
      <c r="B4" s="24" t="s">
        <v>44</v>
      </c>
      <c r="C4" s="4">
        <v>1</v>
      </c>
      <c r="D4">
        <v>8</v>
      </c>
      <c r="E4">
        <v>4.05</v>
      </c>
      <c r="F4">
        <v>9</v>
      </c>
      <c r="G4">
        <v>2</v>
      </c>
      <c r="H4" s="37">
        <v>0.6</v>
      </c>
      <c r="I4" s="38">
        <v>50</v>
      </c>
      <c r="J4" s="39"/>
      <c r="K4" s="7"/>
      <c r="L4" s="7"/>
      <c r="N4" s="27" t="s">
        <v>14</v>
      </c>
      <c r="O4" s="55">
        <v>1</v>
      </c>
      <c r="P4" s="55">
        <v>1</v>
      </c>
      <c r="Q4" s="55">
        <v>1</v>
      </c>
      <c r="R4" s="55"/>
      <c r="S4" s="55">
        <v>1</v>
      </c>
      <c r="T4" s="56">
        <v>9093</v>
      </c>
      <c r="U4" s="57">
        <v>9093</v>
      </c>
      <c r="V4" s="1">
        <v>525</v>
      </c>
      <c r="W4" s="54">
        <v>10.5</v>
      </c>
      <c r="X4" s="53">
        <v>0.45</v>
      </c>
      <c r="Y4" s="7">
        <v>50</v>
      </c>
    </row>
    <row r="5" spans="2:25" x14ac:dyDescent="0.25">
      <c r="B5" s="24" t="s">
        <v>45</v>
      </c>
      <c r="C5" s="4">
        <v>1</v>
      </c>
      <c r="D5">
        <v>8</v>
      </c>
      <c r="E5">
        <v>9.9</v>
      </c>
      <c r="F5">
        <v>22</v>
      </c>
      <c r="G5">
        <v>5</v>
      </c>
      <c r="H5" s="37">
        <v>0.65</v>
      </c>
      <c r="I5" s="38">
        <v>40</v>
      </c>
      <c r="J5" s="39"/>
      <c r="K5" s="7"/>
      <c r="L5" s="7"/>
      <c r="N5" s="27" t="s">
        <v>15</v>
      </c>
      <c r="O5" s="55"/>
      <c r="P5" s="55">
        <v>1</v>
      </c>
      <c r="Q5" s="55">
        <v>1</v>
      </c>
      <c r="R5" s="55"/>
      <c r="S5" s="55">
        <v>1</v>
      </c>
      <c r="T5" s="56"/>
      <c r="U5" s="57"/>
      <c r="V5" s="1">
        <v>-50</v>
      </c>
      <c r="W5" s="54">
        <v>10.5</v>
      </c>
      <c r="X5" s="53">
        <v>0.45</v>
      </c>
      <c r="Y5" s="7">
        <v>-4.7619047619047619</v>
      </c>
    </row>
    <row r="6" spans="2:25" x14ac:dyDescent="0.25">
      <c r="B6" s="24" t="s">
        <v>46</v>
      </c>
      <c r="C6" s="4">
        <v>1</v>
      </c>
      <c r="F6">
        <v>10.5</v>
      </c>
      <c r="H6" s="37">
        <v>0.85</v>
      </c>
      <c r="I6" s="38">
        <v>25</v>
      </c>
      <c r="J6" s="39"/>
      <c r="K6" s="7"/>
      <c r="L6" s="7"/>
      <c r="N6" s="27" t="s">
        <v>16</v>
      </c>
      <c r="O6" s="55"/>
      <c r="P6" s="55">
        <v>1</v>
      </c>
      <c r="Q6" s="55">
        <v>1</v>
      </c>
      <c r="R6" s="55"/>
      <c r="S6" s="55">
        <v>1</v>
      </c>
      <c r="T6" s="56"/>
      <c r="U6" s="57"/>
      <c r="V6" s="1">
        <v>-50</v>
      </c>
      <c r="W6" s="54">
        <v>10.5</v>
      </c>
      <c r="X6" s="53">
        <v>0.45</v>
      </c>
      <c r="Y6" s="7">
        <v>-4.7619047619047619</v>
      </c>
    </row>
    <row r="7" spans="2:25" x14ac:dyDescent="0.25">
      <c r="B7" s="24" t="s">
        <v>47</v>
      </c>
      <c r="C7" s="4">
        <v>1</v>
      </c>
      <c r="F7">
        <v>100</v>
      </c>
      <c r="H7" s="37">
        <v>1</v>
      </c>
      <c r="I7" s="38"/>
      <c r="J7" s="39"/>
      <c r="K7" s="7"/>
      <c r="L7" s="7"/>
      <c r="N7" s="27" t="s">
        <v>17</v>
      </c>
      <c r="O7" s="55">
        <v>1</v>
      </c>
      <c r="P7" s="55">
        <v>1</v>
      </c>
      <c r="Q7" s="55"/>
      <c r="R7" s="55"/>
      <c r="S7" s="55">
        <v>1</v>
      </c>
      <c r="T7" s="56">
        <v>28869</v>
      </c>
      <c r="U7" s="57">
        <v>28869</v>
      </c>
      <c r="V7" s="1">
        <v>525</v>
      </c>
      <c r="W7" s="54">
        <v>9.4</v>
      </c>
      <c r="X7" s="53">
        <v>0.49</v>
      </c>
      <c r="Y7" s="7">
        <v>55.851063829787229</v>
      </c>
    </row>
    <row r="8" spans="2:25" x14ac:dyDescent="0.25">
      <c r="B8" s="24" t="s">
        <v>86</v>
      </c>
      <c r="C8" s="4">
        <v>1</v>
      </c>
      <c r="F8">
        <v>8</v>
      </c>
      <c r="H8" s="37">
        <v>1</v>
      </c>
      <c r="I8" s="38"/>
      <c r="J8" s="39"/>
      <c r="K8" s="7"/>
      <c r="L8" s="7"/>
      <c r="N8" s="27" t="s">
        <v>18</v>
      </c>
      <c r="O8" s="55">
        <v>1</v>
      </c>
      <c r="P8" s="55">
        <v>1</v>
      </c>
      <c r="Q8" s="55"/>
      <c r="R8" s="55"/>
      <c r="S8" s="55">
        <v>1</v>
      </c>
      <c r="T8" s="56">
        <v>3500</v>
      </c>
      <c r="U8" s="57">
        <v>3500</v>
      </c>
      <c r="V8" s="1">
        <v>525</v>
      </c>
      <c r="W8" s="54">
        <v>10.5</v>
      </c>
      <c r="X8" s="53">
        <v>0.49</v>
      </c>
      <c r="Y8" s="7">
        <v>50</v>
      </c>
    </row>
    <row r="9" spans="2:25" x14ac:dyDescent="0.25">
      <c r="B9" s="24" t="s">
        <v>48</v>
      </c>
      <c r="C9" s="4">
        <v>1</v>
      </c>
      <c r="F9">
        <v>15</v>
      </c>
      <c r="H9" s="37">
        <v>1</v>
      </c>
      <c r="I9" s="38">
        <v>10</v>
      </c>
      <c r="J9" s="39"/>
      <c r="K9" s="7"/>
      <c r="L9" s="7"/>
      <c r="N9" s="27" t="s">
        <v>19</v>
      </c>
      <c r="O9" s="55"/>
      <c r="P9" s="55">
        <v>1</v>
      </c>
      <c r="Q9" s="55"/>
      <c r="R9" s="55"/>
      <c r="S9" s="55">
        <v>1</v>
      </c>
      <c r="T9" s="56"/>
      <c r="U9" s="57"/>
      <c r="V9" s="1">
        <v>155</v>
      </c>
      <c r="W9" s="54">
        <v>14.5</v>
      </c>
      <c r="X9" s="53">
        <v>0.1</v>
      </c>
      <c r="Y9" s="7">
        <v>10.689655172413794</v>
      </c>
    </row>
    <row r="10" spans="2:25" x14ac:dyDescent="0.25">
      <c r="N10" s="27" t="s">
        <v>20</v>
      </c>
      <c r="O10" s="55"/>
      <c r="P10" s="55">
        <v>1</v>
      </c>
      <c r="Q10" s="55"/>
      <c r="R10" s="55"/>
      <c r="S10" s="55">
        <v>1</v>
      </c>
      <c r="T10" s="56"/>
      <c r="U10" s="57"/>
      <c r="V10" s="1">
        <v>525</v>
      </c>
      <c r="W10" s="54">
        <v>12</v>
      </c>
      <c r="X10" s="53">
        <v>0.48</v>
      </c>
      <c r="Y10" s="7">
        <v>43.75</v>
      </c>
    </row>
    <row r="11" spans="2:25" x14ac:dyDescent="0.25">
      <c r="N11" s="27" t="s">
        <v>21</v>
      </c>
      <c r="O11" s="55">
        <v>1</v>
      </c>
      <c r="P11" s="55">
        <v>1</v>
      </c>
      <c r="Q11" s="55"/>
      <c r="R11" s="55"/>
      <c r="S11" s="55">
        <v>1</v>
      </c>
      <c r="T11" s="56">
        <v>7800</v>
      </c>
      <c r="U11" s="57">
        <v>7800</v>
      </c>
      <c r="V11" s="1">
        <v>525</v>
      </c>
      <c r="W11" s="54">
        <v>9</v>
      </c>
      <c r="X11" s="53">
        <v>0.48</v>
      </c>
      <c r="Y11" s="7">
        <v>58.333333333333336</v>
      </c>
    </row>
    <row r="12" spans="2:25" x14ac:dyDescent="0.25">
      <c r="N12" s="27" t="s">
        <v>22</v>
      </c>
      <c r="O12" s="55"/>
      <c r="P12" s="55">
        <v>1</v>
      </c>
      <c r="Q12" s="55"/>
      <c r="R12" s="55"/>
      <c r="S12" s="55">
        <v>1</v>
      </c>
      <c r="T12" s="56"/>
      <c r="U12" s="57"/>
      <c r="V12" s="1">
        <v>525</v>
      </c>
      <c r="W12" s="54">
        <v>11</v>
      </c>
      <c r="X12" s="53">
        <v>0.52</v>
      </c>
      <c r="Y12" s="7">
        <v>47.727272727272727</v>
      </c>
    </row>
    <row r="13" spans="2:25" x14ac:dyDescent="0.25">
      <c r="B13" s="2"/>
      <c r="C13" s="2"/>
      <c r="D13" s="4"/>
      <c r="E13" s="4"/>
      <c r="F13" s="4"/>
      <c r="G13" s="4"/>
      <c r="H13" s="4"/>
      <c r="I13" s="4"/>
      <c r="N13" s="27" t="s">
        <v>23</v>
      </c>
      <c r="O13" s="55"/>
      <c r="P13" s="55">
        <v>1</v>
      </c>
      <c r="Q13" s="55"/>
      <c r="R13" s="55"/>
      <c r="S13" s="55">
        <v>1</v>
      </c>
      <c r="T13" s="56"/>
      <c r="U13" s="57"/>
      <c r="V13" s="1">
        <v>525</v>
      </c>
      <c r="W13" s="54">
        <v>9.5</v>
      </c>
      <c r="X13" s="53">
        <v>0.45</v>
      </c>
      <c r="Y13" s="7">
        <v>55.263157894736842</v>
      </c>
    </row>
    <row r="14" spans="2:25" x14ac:dyDescent="0.25">
      <c r="B14" s="8" t="s">
        <v>49</v>
      </c>
      <c r="C14" s="29" t="s">
        <v>36</v>
      </c>
      <c r="D14" s="29" t="s">
        <v>50</v>
      </c>
      <c r="E14" s="29" t="s">
        <v>51</v>
      </c>
      <c r="F14" s="60" t="s">
        <v>52</v>
      </c>
      <c r="G14" s="29" t="s">
        <v>53</v>
      </c>
      <c r="H14" s="29" t="s">
        <v>54</v>
      </c>
      <c r="I14" s="29" t="s">
        <v>55</v>
      </c>
      <c r="N14" s="27" t="s">
        <v>24</v>
      </c>
      <c r="O14" s="55">
        <v>1</v>
      </c>
      <c r="P14" s="55">
        <v>1</v>
      </c>
      <c r="Q14" s="55">
        <v>1</v>
      </c>
      <c r="R14" s="55"/>
      <c r="S14" s="55">
        <v>1</v>
      </c>
      <c r="T14" s="56">
        <v>5200</v>
      </c>
      <c r="U14" s="57">
        <v>5200</v>
      </c>
      <c r="V14" s="1">
        <v>525</v>
      </c>
      <c r="W14" s="54">
        <v>9</v>
      </c>
      <c r="X14" s="53">
        <v>0.49</v>
      </c>
      <c r="Y14" s="7">
        <v>58.333333333333336</v>
      </c>
    </row>
    <row r="15" spans="2:25" x14ac:dyDescent="0.25">
      <c r="B15" s="26" t="s">
        <v>0</v>
      </c>
      <c r="C15">
        <v>4000</v>
      </c>
      <c r="D15" s="52">
        <v>31</v>
      </c>
      <c r="E15" s="1">
        <v>35300</v>
      </c>
      <c r="F15" s="1">
        <v>5952</v>
      </c>
      <c r="G15" s="10">
        <v>265.64662500000003</v>
      </c>
      <c r="H15">
        <v>25.8</v>
      </c>
      <c r="I15">
        <v>26.5</v>
      </c>
      <c r="N15" s="27" t="s">
        <v>25</v>
      </c>
      <c r="O15" s="55">
        <v>1</v>
      </c>
      <c r="P15" s="55">
        <v>1</v>
      </c>
      <c r="Q15" s="55"/>
      <c r="R15" s="55"/>
      <c r="S15" s="55">
        <v>1</v>
      </c>
      <c r="T15" s="56">
        <v>500</v>
      </c>
      <c r="U15" s="57">
        <v>500</v>
      </c>
      <c r="V15" s="1">
        <v>785</v>
      </c>
      <c r="W15" s="54">
        <v>12</v>
      </c>
      <c r="X15" s="53">
        <v>0.48</v>
      </c>
      <c r="Y15" s="7">
        <v>65.416666666666671</v>
      </c>
    </row>
    <row r="16" spans="2:25" x14ac:dyDescent="0.25">
      <c r="B16" s="26" t="s">
        <v>1</v>
      </c>
      <c r="D16" s="52">
        <v>28</v>
      </c>
      <c r="E16" s="1">
        <v>32000</v>
      </c>
      <c r="F16" s="1">
        <v>5376</v>
      </c>
      <c r="G16" s="10">
        <v>298.42762500000003</v>
      </c>
      <c r="H16">
        <v>25.8</v>
      </c>
      <c r="I16">
        <v>26.5</v>
      </c>
      <c r="N16" s="27" t="s">
        <v>26</v>
      </c>
      <c r="O16" s="55"/>
      <c r="P16" s="55">
        <v>1</v>
      </c>
      <c r="Q16" s="55"/>
      <c r="R16" s="55"/>
      <c r="S16" s="55">
        <v>1</v>
      </c>
      <c r="T16" s="56"/>
      <c r="U16" s="57"/>
      <c r="V16" s="1"/>
      <c r="W16" s="54">
        <v>10</v>
      </c>
      <c r="X16" s="53">
        <v>0.49</v>
      </c>
      <c r="Y16" s="7"/>
    </row>
    <row r="17" spans="2:30" x14ac:dyDescent="0.25">
      <c r="B17" s="26" t="s">
        <v>2</v>
      </c>
      <c r="D17" s="52">
        <v>31</v>
      </c>
      <c r="E17" s="1">
        <v>29500</v>
      </c>
      <c r="F17" s="1">
        <v>5952</v>
      </c>
      <c r="G17" s="10">
        <v>334.72087500000004</v>
      </c>
      <c r="H17">
        <v>25.8</v>
      </c>
      <c r="I17">
        <v>26.5</v>
      </c>
      <c r="N17" s="27" t="s">
        <v>27</v>
      </c>
      <c r="O17" s="55"/>
      <c r="P17" s="55">
        <v>1</v>
      </c>
      <c r="Q17" s="55"/>
      <c r="R17" s="55"/>
      <c r="S17" s="55">
        <v>1</v>
      </c>
      <c r="T17" s="56"/>
      <c r="U17" s="57"/>
      <c r="V17" s="1">
        <v>525</v>
      </c>
      <c r="W17" s="54">
        <v>11</v>
      </c>
      <c r="X17" s="53">
        <v>0.49</v>
      </c>
      <c r="Y17" s="7">
        <v>47.727272727272727</v>
      </c>
    </row>
    <row r="18" spans="2:30" x14ac:dyDescent="0.25">
      <c r="B18" s="26" t="s">
        <v>3</v>
      </c>
      <c r="D18" s="52">
        <v>30</v>
      </c>
      <c r="E18" s="1">
        <v>20000</v>
      </c>
      <c r="F18" s="1">
        <v>5760</v>
      </c>
      <c r="G18" s="10">
        <v>369.84337500000004</v>
      </c>
      <c r="H18">
        <v>25.8</v>
      </c>
      <c r="I18">
        <v>26.5</v>
      </c>
      <c r="N18" s="27" t="s">
        <v>28</v>
      </c>
      <c r="O18" s="55"/>
      <c r="P18" s="55">
        <v>1</v>
      </c>
      <c r="Q18" s="55"/>
      <c r="R18" s="55"/>
      <c r="S18" s="55">
        <v>1</v>
      </c>
      <c r="T18" s="56">
        <v>40000</v>
      </c>
      <c r="U18" s="57">
        <v>40000</v>
      </c>
      <c r="V18" s="1">
        <v>399.97499999999997</v>
      </c>
      <c r="W18" s="54">
        <v>10.5</v>
      </c>
      <c r="X18" s="53">
        <v>0.54</v>
      </c>
      <c r="Y18" s="7">
        <v>38.092857142857142</v>
      </c>
    </row>
    <row r="19" spans="2:30" x14ac:dyDescent="0.25">
      <c r="B19" s="26" t="s">
        <v>4</v>
      </c>
      <c r="D19" s="52">
        <v>31</v>
      </c>
      <c r="E19" s="1">
        <v>13000</v>
      </c>
      <c r="F19" s="1">
        <v>5952</v>
      </c>
      <c r="G19" s="10">
        <v>406.13662500000004</v>
      </c>
      <c r="H19">
        <v>25.8</v>
      </c>
      <c r="I19">
        <v>26.5</v>
      </c>
      <c r="N19" s="27" t="s">
        <v>29</v>
      </c>
      <c r="O19" s="55">
        <v>1</v>
      </c>
      <c r="P19" s="55">
        <v>1</v>
      </c>
      <c r="Q19" s="55"/>
      <c r="R19" s="55"/>
      <c r="S19" s="55">
        <v>1</v>
      </c>
      <c r="T19" s="56">
        <v>2000</v>
      </c>
      <c r="U19" s="57">
        <v>2000</v>
      </c>
      <c r="V19" s="1">
        <v>515</v>
      </c>
      <c r="W19" s="54">
        <v>10.5</v>
      </c>
      <c r="X19" s="53">
        <v>0.55000000000000004</v>
      </c>
      <c r="Y19" s="7">
        <v>49.047619047619051</v>
      </c>
    </row>
    <row r="20" spans="2:30" x14ac:dyDescent="0.25">
      <c r="B20" s="26" t="s">
        <v>5</v>
      </c>
      <c r="D20" s="52">
        <v>30</v>
      </c>
      <c r="E20" s="1">
        <v>7500</v>
      </c>
      <c r="F20" s="1">
        <v>5760</v>
      </c>
      <c r="G20" s="10">
        <v>441.25912500000004</v>
      </c>
      <c r="H20">
        <v>25.8</v>
      </c>
      <c r="I20">
        <v>26.5</v>
      </c>
      <c r="N20" s="27" t="s">
        <v>30</v>
      </c>
      <c r="O20" s="55"/>
      <c r="P20" s="55">
        <v>1</v>
      </c>
      <c r="Q20" s="55">
        <v>1</v>
      </c>
      <c r="R20" s="55"/>
      <c r="S20" s="55">
        <v>1</v>
      </c>
      <c r="T20" s="56"/>
      <c r="U20" s="57"/>
      <c r="V20" s="1"/>
      <c r="W20" s="54">
        <v>13</v>
      </c>
      <c r="X20" s="53"/>
      <c r="Y20" s="7"/>
    </row>
    <row r="21" spans="2:30" x14ac:dyDescent="0.25">
      <c r="B21" s="26" t="s">
        <v>6</v>
      </c>
      <c r="D21" s="52">
        <v>31</v>
      </c>
      <c r="E21" s="1">
        <v>7500</v>
      </c>
      <c r="F21" s="1">
        <v>5952</v>
      </c>
      <c r="G21" s="10">
        <v>477.55237500000004</v>
      </c>
      <c r="H21">
        <v>25.8</v>
      </c>
      <c r="I21">
        <v>26.5</v>
      </c>
      <c r="N21" s="27" t="s">
        <v>31</v>
      </c>
      <c r="O21" s="55">
        <v>1</v>
      </c>
      <c r="P21" s="55">
        <v>1</v>
      </c>
      <c r="Q21" s="55">
        <v>1</v>
      </c>
      <c r="R21" s="55"/>
      <c r="S21" s="55">
        <v>1</v>
      </c>
      <c r="T21" s="56">
        <v>150</v>
      </c>
      <c r="U21" s="57">
        <v>150</v>
      </c>
      <c r="V21" s="1">
        <v>155</v>
      </c>
      <c r="W21" s="54">
        <v>14.5</v>
      </c>
      <c r="X21" s="53"/>
      <c r="Y21" s="7">
        <v>10.689655172413794</v>
      </c>
    </row>
    <row r="22" spans="2:30" x14ac:dyDescent="0.25">
      <c r="B22" s="26" t="s">
        <v>7</v>
      </c>
      <c r="D22" s="52">
        <v>31</v>
      </c>
      <c r="E22" s="1">
        <v>7000</v>
      </c>
      <c r="F22" s="1">
        <v>5952</v>
      </c>
      <c r="G22" s="10">
        <v>513.84562500000004</v>
      </c>
      <c r="H22">
        <v>25.8</v>
      </c>
      <c r="I22">
        <v>26.5</v>
      </c>
      <c r="N22" s="27" t="s">
        <v>32</v>
      </c>
      <c r="O22" s="55"/>
      <c r="P22" s="55">
        <v>1</v>
      </c>
      <c r="Q22" s="55">
        <v>1</v>
      </c>
      <c r="R22" s="55"/>
      <c r="S22" s="55">
        <v>1</v>
      </c>
      <c r="T22" s="56">
        <v>1500</v>
      </c>
      <c r="U22" s="57">
        <v>1500</v>
      </c>
      <c r="V22" s="1"/>
      <c r="W22" s="54">
        <v>14.5</v>
      </c>
      <c r="X22" s="53"/>
      <c r="Y22" s="7"/>
    </row>
    <row r="23" spans="2:30" x14ac:dyDescent="0.25">
      <c r="B23" s="26" t="s">
        <v>8</v>
      </c>
      <c r="D23" s="52">
        <v>30</v>
      </c>
      <c r="E23" s="1">
        <v>8000</v>
      </c>
      <c r="F23" s="1">
        <v>5760</v>
      </c>
      <c r="G23" s="10">
        <v>548.9681250000001</v>
      </c>
      <c r="H23">
        <v>25.8</v>
      </c>
      <c r="I23">
        <v>26.5</v>
      </c>
      <c r="N23" s="27" t="s">
        <v>33</v>
      </c>
      <c r="O23" s="55"/>
      <c r="P23" s="55">
        <v>1</v>
      </c>
      <c r="Q23" s="55">
        <v>1</v>
      </c>
      <c r="R23" s="55"/>
      <c r="S23" s="55">
        <v>1</v>
      </c>
      <c r="T23" s="56"/>
      <c r="U23" s="57"/>
      <c r="V23" s="1"/>
      <c r="W23" s="54">
        <v>14.7</v>
      </c>
      <c r="X23" s="53"/>
      <c r="Y23" s="7"/>
    </row>
    <row r="24" spans="2:30" x14ac:dyDescent="0.25">
      <c r="B24" s="26" t="s">
        <v>9</v>
      </c>
      <c r="D24" s="52">
        <v>31</v>
      </c>
      <c r="E24" s="1">
        <v>19700</v>
      </c>
      <c r="F24" s="1">
        <v>5952</v>
      </c>
      <c r="G24" s="10">
        <v>585.26137500000004</v>
      </c>
      <c r="H24">
        <v>25.8</v>
      </c>
      <c r="I24">
        <v>26.5</v>
      </c>
      <c r="N24" s="27" t="s">
        <v>34</v>
      </c>
      <c r="O24" s="55">
        <v>1</v>
      </c>
      <c r="P24" s="55">
        <v>1</v>
      </c>
      <c r="Q24" s="55"/>
      <c r="R24" s="55"/>
      <c r="S24" s="55">
        <v>1</v>
      </c>
      <c r="T24" s="56">
        <v>120</v>
      </c>
      <c r="U24" s="57">
        <v>120</v>
      </c>
      <c r="V24" s="1">
        <v>685</v>
      </c>
      <c r="W24" s="54">
        <v>14</v>
      </c>
      <c r="X24" s="53"/>
      <c r="Y24" s="7">
        <v>48.928571428571431</v>
      </c>
    </row>
    <row r="25" spans="2:30" x14ac:dyDescent="0.25">
      <c r="B25" s="26" t="s">
        <v>10</v>
      </c>
      <c r="C25">
        <v>1500</v>
      </c>
      <c r="D25" s="52">
        <v>30</v>
      </c>
      <c r="E25" s="1">
        <v>27500</v>
      </c>
      <c r="F25" s="1">
        <v>5760</v>
      </c>
      <c r="G25" s="10">
        <v>620.38387499999999</v>
      </c>
      <c r="H25">
        <v>25.8</v>
      </c>
      <c r="I25">
        <v>26.5</v>
      </c>
      <c r="N25" s="27" t="s">
        <v>87</v>
      </c>
      <c r="O25" s="55">
        <v>1</v>
      </c>
      <c r="P25" s="55">
        <v>1</v>
      </c>
      <c r="Q25" s="55"/>
      <c r="R25" s="55">
        <v>1</v>
      </c>
      <c r="S25" s="55">
        <v>1</v>
      </c>
      <c r="T25" s="56"/>
      <c r="U25" s="57">
        <v>40000</v>
      </c>
      <c r="V25" s="1">
        <v>500</v>
      </c>
      <c r="W25" s="54">
        <v>11.5</v>
      </c>
      <c r="X25" s="53">
        <v>0.49</v>
      </c>
      <c r="Y25" s="7">
        <v>43.478260869565219</v>
      </c>
    </row>
    <row r="26" spans="2:30" x14ac:dyDescent="0.25">
      <c r="B26" s="26" t="s">
        <v>11</v>
      </c>
      <c r="C26">
        <v>5600</v>
      </c>
      <c r="D26" s="52">
        <v>31</v>
      </c>
      <c r="E26" s="1">
        <v>33000</v>
      </c>
      <c r="F26" s="1">
        <v>5952</v>
      </c>
      <c r="G26" s="10">
        <v>656.67712499999993</v>
      </c>
      <c r="H26">
        <v>25.8</v>
      </c>
      <c r="I26">
        <v>26.5</v>
      </c>
      <c r="N26" s="27" t="s">
        <v>88</v>
      </c>
      <c r="O26" s="55">
        <v>1</v>
      </c>
      <c r="P26" s="55">
        <v>1</v>
      </c>
      <c r="Q26" s="55"/>
      <c r="R26" s="55">
        <v>1</v>
      </c>
      <c r="S26" s="55">
        <v>1</v>
      </c>
      <c r="T26" s="56"/>
      <c r="U26" s="57">
        <v>20000</v>
      </c>
      <c r="V26" s="1">
        <v>450</v>
      </c>
      <c r="W26" s="54">
        <v>10.5</v>
      </c>
      <c r="X26" s="53">
        <v>0.49</v>
      </c>
      <c r="Y26" s="7">
        <v>42.857142857142854</v>
      </c>
    </row>
    <row r="27" spans="2:30" x14ac:dyDescent="0.25">
      <c r="B27" s="11"/>
      <c r="C27" s="3"/>
      <c r="D27" s="3"/>
      <c r="E27" s="3"/>
      <c r="F27" s="3"/>
      <c r="N27" s="27" t="s">
        <v>35</v>
      </c>
      <c r="O27" s="55">
        <v>1</v>
      </c>
      <c r="P27" s="55">
        <v>2</v>
      </c>
      <c r="Q27" s="55">
        <v>1</v>
      </c>
      <c r="R27" s="55"/>
      <c r="S27" s="55"/>
      <c r="T27" s="56"/>
      <c r="U27" s="56"/>
      <c r="V27" s="1">
        <v>-69</v>
      </c>
      <c r="W27" s="54">
        <v>9.4</v>
      </c>
      <c r="X27" s="53"/>
      <c r="Y27" s="7">
        <v>-7.3404255319148932</v>
      </c>
    </row>
    <row r="28" spans="2:30" x14ac:dyDescent="0.25">
      <c r="N28" s="27" t="s">
        <v>36</v>
      </c>
      <c r="O28" s="55">
        <v>1</v>
      </c>
      <c r="P28" s="55">
        <v>3</v>
      </c>
      <c r="Q28" s="55"/>
      <c r="R28" s="55"/>
      <c r="S28" s="55"/>
      <c r="T28" s="56"/>
      <c r="U28" s="56"/>
      <c r="V28" s="1"/>
      <c r="W28" s="54">
        <v>3.6</v>
      </c>
      <c r="X28" s="53"/>
      <c r="Y28" s="7"/>
    </row>
    <row r="29" spans="2:30" x14ac:dyDescent="0.25">
      <c r="N29" s="27" t="s">
        <v>85</v>
      </c>
      <c r="O29" s="55">
        <v>1</v>
      </c>
      <c r="P29" s="55">
        <v>4</v>
      </c>
      <c r="Q29" s="55">
        <v>1</v>
      </c>
      <c r="R29" s="55"/>
      <c r="S29" s="55"/>
      <c r="T29" s="56"/>
      <c r="U29" s="56"/>
      <c r="V29" s="1">
        <v>-5000</v>
      </c>
      <c r="W29" s="54">
        <v>44</v>
      </c>
      <c r="X29" s="53">
        <v>1.9549999999999998</v>
      </c>
      <c r="Y29" s="7">
        <v>-113.63636363636364</v>
      </c>
    </row>
    <row r="30" spans="2:30" x14ac:dyDescent="0.25">
      <c r="B30" s="8" t="s">
        <v>73</v>
      </c>
      <c r="C30" s="29" t="s">
        <v>44</v>
      </c>
      <c r="D30" s="29" t="s">
        <v>45</v>
      </c>
      <c r="E30" s="29" t="s">
        <v>46</v>
      </c>
      <c r="F30" s="29" t="s">
        <v>47</v>
      </c>
      <c r="G30" s="29" t="s">
        <v>86</v>
      </c>
      <c r="H30" s="29" t="s">
        <v>48</v>
      </c>
      <c r="N30" s="27"/>
      <c r="O30" s="55"/>
      <c r="P30" s="55"/>
      <c r="Q30" s="55"/>
      <c r="R30" s="55"/>
      <c r="S30" s="55"/>
      <c r="T30" s="56"/>
      <c r="U30" s="56"/>
      <c r="V30" s="1"/>
      <c r="W30" s="54"/>
      <c r="X30" s="53"/>
      <c r="Y30" s="7"/>
      <c r="AC30" s="6"/>
      <c r="AD30" s="6"/>
    </row>
    <row r="31" spans="2:30" x14ac:dyDescent="0.25">
      <c r="B31" s="26" t="s">
        <v>0</v>
      </c>
      <c r="C31" s="4">
        <v>31</v>
      </c>
      <c r="D31" s="4">
        <v>31</v>
      </c>
      <c r="E31" s="4">
        <v>31</v>
      </c>
      <c r="F31" s="4">
        <v>31</v>
      </c>
      <c r="G31" s="61">
        <v>20.833333333333332</v>
      </c>
      <c r="H31" s="12">
        <v>31</v>
      </c>
      <c r="N31" s="27"/>
      <c r="O31" s="55"/>
      <c r="P31" s="55"/>
      <c r="Q31" s="55"/>
      <c r="R31" s="55"/>
      <c r="S31" s="55"/>
      <c r="T31" s="56"/>
      <c r="U31" s="56"/>
      <c r="V31" s="1"/>
      <c r="W31" s="54"/>
      <c r="X31" s="53"/>
      <c r="Y31" s="7"/>
      <c r="AB31" s="13"/>
      <c r="AC31" s="15"/>
      <c r="AD31" s="4"/>
    </row>
    <row r="32" spans="2:30" x14ac:dyDescent="0.25">
      <c r="B32" s="26" t="s">
        <v>1</v>
      </c>
      <c r="C32" s="4">
        <v>28</v>
      </c>
      <c r="D32" s="4">
        <v>28</v>
      </c>
      <c r="E32" s="4">
        <v>28</v>
      </c>
      <c r="F32" s="4">
        <v>28</v>
      </c>
      <c r="G32" s="61"/>
      <c r="H32" s="12">
        <v>28</v>
      </c>
      <c r="N32" s="27"/>
      <c r="O32" s="55"/>
      <c r="P32" s="55"/>
      <c r="Q32" s="55"/>
      <c r="R32" s="55"/>
      <c r="S32" s="55"/>
      <c r="T32" s="56"/>
      <c r="U32" s="56"/>
      <c r="V32" s="1"/>
      <c r="W32" s="54"/>
      <c r="X32" s="53"/>
      <c r="Y32" s="7"/>
      <c r="AB32" s="13"/>
      <c r="AC32" s="15"/>
      <c r="AD32" s="4"/>
    </row>
    <row r="33" spans="2:30" x14ac:dyDescent="0.25">
      <c r="B33" s="26" t="s">
        <v>2</v>
      </c>
      <c r="C33" s="4">
        <v>31</v>
      </c>
      <c r="D33" s="4">
        <v>31</v>
      </c>
      <c r="E33" s="4">
        <v>31</v>
      </c>
      <c r="F33" s="4">
        <v>31</v>
      </c>
      <c r="G33" s="61"/>
      <c r="H33" s="12">
        <v>31</v>
      </c>
      <c r="N33" s="27"/>
      <c r="O33" s="55"/>
      <c r="P33" s="55"/>
      <c r="Q33" s="55"/>
      <c r="R33" s="55"/>
      <c r="S33" s="55"/>
      <c r="T33" s="56"/>
      <c r="U33" s="56"/>
      <c r="V33" s="1"/>
      <c r="W33" s="54"/>
      <c r="X33" s="53"/>
      <c r="Y33" s="7"/>
      <c r="AB33" s="13"/>
      <c r="AC33" s="15"/>
      <c r="AD33" s="4"/>
    </row>
    <row r="34" spans="2:30" x14ac:dyDescent="0.25">
      <c r="B34" s="26" t="s">
        <v>3</v>
      </c>
      <c r="C34" s="4">
        <v>30</v>
      </c>
      <c r="D34" s="4">
        <v>30</v>
      </c>
      <c r="E34" s="4">
        <v>30</v>
      </c>
      <c r="F34" s="4">
        <v>30</v>
      </c>
      <c r="G34" s="61"/>
      <c r="H34" s="12">
        <v>30</v>
      </c>
      <c r="N34" s="27"/>
      <c r="AB34" s="13"/>
      <c r="AC34" s="15"/>
      <c r="AD34" s="4"/>
    </row>
    <row r="35" spans="2:30" x14ac:dyDescent="0.25">
      <c r="B35" s="26" t="s">
        <v>4</v>
      </c>
      <c r="C35" s="4">
        <v>31</v>
      </c>
      <c r="D35" s="4">
        <v>31</v>
      </c>
      <c r="E35" s="4">
        <v>31</v>
      </c>
      <c r="F35" s="4">
        <v>31</v>
      </c>
      <c r="G35" s="61"/>
      <c r="H35" s="12">
        <v>31</v>
      </c>
      <c r="N35" s="8" t="s">
        <v>63</v>
      </c>
      <c r="O35" s="58"/>
      <c r="P35" s="29" t="s">
        <v>0</v>
      </c>
      <c r="Q35" s="29" t="s">
        <v>1</v>
      </c>
      <c r="R35" s="29" t="s">
        <v>2</v>
      </c>
      <c r="S35" s="29" t="s">
        <v>3</v>
      </c>
      <c r="T35" s="29" t="s">
        <v>4</v>
      </c>
      <c r="U35" s="29" t="s">
        <v>5</v>
      </c>
      <c r="V35" s="29" t="s">
        <v>6</v>
      </c>
      <c r="W35" s="29" t="s">
        <v>7</v>
      </c>
      <c r="X35" s="29" t="s">
        <v>8</v>
      </c>
      <c r="Y35" s="29" t="s">
        <v>9</v>
      </c>
      <c r="Z35" s="29" t="s">
        <v>10</v>
      </c>
      <c r="AA35" s="29" t="s">
        <v>11</v>
      </c>
      <c r="AB35" s="13"/>
      <c r="AC35" s="15"/>
      <c r="AD35" s="4"/>
    </row>
    <row r="36" spans="2:30" x14ac:dyDescent="0.25">
      <c r="B36" s="26" t="s">
        <v>5</v>
      </c>
      <c r="C36" s="4">
        <v>30</v>
      </c>
      <c r="D36" s="4">
        <v>30</v>
      </c>
      <c r="E36" s="4">
        <v>30</v>
      </c>
      <c r="F36" s="4">
        <v>30</v>
      </c>
      <c r="G36" s="61"/>
      <c r="H36" s="12">
        <v>30</v>
      </c>
      <c r="N36" s="28" t="s">
        <v>14</v>
      </c>
      <c r="O36" s="28" t="s">
        <v>64</v>
      </c>
      <c r="P36" s="14">
        <v>9093</v>
      </c>
      <c r="Q36" s="14">
        <v>9093</v>
      </c>
      <c r="R36" s="14">
        <v>9093</v>
      </c>
      <c r="S36" s="14">
        <v>9093</v>
      </c>
      <c r="T36" s="14">
        <v>9093</v>
      </c>
      <c r="U36" s="14">
        <v>9093</v>
      </c>
      <c r="V36" s="14">
        <v>9093</v>
      </c>
      <c r="W36" s="14">
        <v>9093</v>
      </c>
      <c r="X36" s="14">
        <v>9093</v>
      </c>
      <c r="Y36" s="14">
        <v>9093</v>
      </c>
      <c r="Z36" s="14">
        <v>9093</v>
      </c>
      <c r="AA36" s="14">
        <v>9093</v>
      </c>
      <c r="AB36" s="13"/>
      <c r="AC36" s="15"/>
      <c r="AD36" s="4"/>
    </row>
    <row r="37" spans="2:30" x14ac:dyDescent="0.25">
      <c r="B37" s="26" t="s">
        <v>6</v>
      </c>
      <c r="C37" s="4">
        <v>10</v>
      </c>
      <c r="D37" s="4">
        <v>31</v>
      </c>
      <c r="E37" s="4">
        <v>31</v>
      </c>
      <c r="F37" s="4">
        <v>31</v>
      </c>
      <c r="G37" s="61"/>
      <c r="H37" s="12">
        <v>31</v>
      </c>
      <c r="N37" s="28" t="s">
        <v>17</v>
      </c>
      <c r="O37" s="28" t="s">
        <v>101</v>
      </c>
      <c r="P37" s="14">
        <v>2405.75</v>
      </c>
      <c r="Q37" s="14"/>
      <c r="R37" s="14">
        <v>2405.75</v>
      </c>
      <c r="S37" s="14">
        <v>2405.75</v>
      </c>
      <c r="T37" s="14">
        <v>2405.75</v>
      </c>
      <c r="U37" s="14">
        <v>2405.75</v>
      </c>
      <c r="V37" s="14">
        <v>2405.75</v>
      </c>
      <c r="W37" s="14">
        <v>2405.75</v>
      </c>
      <c r="X37" s="14">
        <v>2405.75</v>
      </c>
      <c r="Y37" s="14">
        <v>2405.75</v>
      </c>
      <c r="Z37" s="14">
        <v>2405.75</v>
      </c>
      <c r="AA37" s="14">
        <v>2405.75</v>
      </c>
      <c r="AB37" s="13"/>
      <c r="AC37" s="15"/>
      <c r="AD37" s="4"/>
    </row>
    <row r="38" spans="2:30" x14ac:dyDescent="0.25">
      <c r="B38" s="26" t="s">
        <v>7</v>
      </c>
      <c r="C38" s="4">
        <v>10</v>
      </c>
      <c r="D38" s="4">
        <v>31</v>
      </c>
      <c r="E38" s="4">
        <v>31</v>
      </c>
      <c r="F38" s="4">
        <v>31</v>
      </c>
      <c r="G38" s="61"/>
      <c r="H38" s="12">
        <v>31</v>
      </c>
      <c r="N38" s="28" t="s">
        <v>17</v>
      </c>
      <c r="O38" s="28" t="s">
        <v>64</v>
      </c>
      <c r="P38" s="14">
        <v>2405.75</v>
      </c>
      <c r="Q38" s="14">
        <v>2405.75</v>
      </c>
      <c r="R38" s="14">
        <v>2405.75</v>
      </c>
      <c r="S38" s="14">
        <v>2405.75</v>
      </c>
      <c r="T38" s="14">
        <v>2405.75</v>
      </c>
      <c r="U38" s="14">
        <v>2405.75</v>
      </c>
      <c r="V38" s="14">
        <v>2405.75</v>
      </c>
      <c r="W38" s="14">
        <v>2405.75</v>
      </c>
      <c r="X38" s="14">
        <v>2405.75</v>
      </c>
      <c r="Y38" s="14">
        <v>2405.75</v>
      </c>
      <c r="Z38" s="14">
        <v>2405.75</v>
      </c>
      <c r="AA38" s="14">
        <v>2405.75</v>
      </c>
      <c r="AB38" s="13"/>
      <c r="AC38" s="15"/>
      <c r="AD38" s="4"/>
    </row>
    <row r="39" spans="2:30" x14ac:dyDescent="0.25">
      <c r="B39" s="26" t="s">
        <v>8</v>
      </c>
      <c r="C39" s="4">
        <v>30</v>
      </c>
      <c r="D39" s="4">
        <v>30</v>
      </c>
      <c r="E39" s="4">
        <v>30</v>
      </c>
      <c r="F39" s="4">
        <v>30</v>
      </c>
      <c r="G39" s="61"/>
      <c r="H39" s="12">
        <v>30</v>
      </c>
      <c r="N39" s="28" t="s">
        <v>18</v>
      </c>
      <c r="O39" s="28" t="s">
        <v>101</v>
      </c>
      <c r="P39" s="14">
        <v>291.66666666666669</v>
      </c>
      <c r="Q39" s="14"/>
      <c r="R39" s="14">
        <v>291.66666666666669</v>
      </c>
      <c r="S39" s="14">
        <v>291.66666666666669</v>
      </c>
      <c r="T39" s="14">
        <v>291.66666666666669</v>
      </c>
      <c r="U39" s="14">
        <v>291.66666666666669</v>
      </c>
      <c r="V39" s="14">
        <v>291.66666666666669</v>
      </c>
      <c r="W39" s="14">
        <v>291.66666666666669</v>
      </c>
      <c r="X39" s="14">
        <v>291.66666666666669</v>
      </c>
      <c r="Y39" s="14">
        <v>291.66666666666669</v>
      </c>
      <c r="Z39" s="14">
        <v>291.66666666666669</v>
      </c>
      <c r="AA39" s="14">
        <v>291.66666666666669</v>
      </c>
      <c r="AB39" s="13"/>
      <c r="AC39" s="15"/>
      <c r="AD39" s="4"/>
    </row>
    <row r="40" spans="2:30" x14ac:dyDescent="0.25">
      <c r="B40" s="26" t="s">
        <v>9</v>
      </c>
      <c r="C40" s="4">
        <v>31</v>
      </c>
      <c r="D40" s="4">
        <v>31</v>
      </c>
      <c r="E40" s="4">
        <v>31</v>
      </c>
      <c r="F40" s="4">
        <v>31</v>
      </c>
      <c r="G40" s="61"/>
      <c r="H40" s="12">
        <v>31</v>
      </c>
      <c r="N40" s="28" t="s">
        <v>18</v>
      </c>
      <c r="O40" s="28" t="s">
        <v>64</v>
      </c>
      <c r="P40" s="14">
        <v>291.66666666666669</v>
      </c>
      <c r="Q40" s="14">
        <v>291.66666666666669</v>
      </c>
      <c r="R40" s="14">
        <v>291.66666666666669</v>
      </c>
      <c r="S40" s="14">
        <v>291.66666666666669</v>
      </c>
      <c r="T40" s="14">
        <v>291.66666666666669</v>
      </c>
      <c r="U40" s="14">
        <v>291.66666666666669</v>
      </c>
      <c r="V40" s="14">
        <v>291.66666666666669</v>
      </c>
      <c r="W40" s="14">
        <v>291.66666666666669</v>
      </c>
      <c r="X40" s="14">
        <v>291.66666666666669</v>
      </c>
      <c r="Y40" s="14">
        <v>291.66666666666669</v>
      </c>
      <c r="Z40" s="14">
        <v>291.66666666666669</v>
      </c>
      <c r="AA40" s="14">
        <v>291.66666666666669</v>
      </c>
      <c r="AB40" s="13"/>
      <c r="AC40" s="15"/>
      <c r="AD40" s="4"/>
    </row>
    <row r="41" spans="2:30" x14ac:dyDescent="0.25">
      <c r="B41" s="26" t="s">
        <v>10</v>
      </c>
      <c r="C41" s="4">
        <v>30</v>
      </c>
      <c r="D41" s="4">
        <v>30</v>
      </c>
      <c r="E41" s="4">
        <v>30</v>
      </c>
      <c r="F41" s="4">
        <v>30</v>
      </c>
      <c r="G41" s="61">
        <v>7.8125</v>
      </c>
      <c r="H41" s="12">
        <v>30</v>
      </c>
      <c r="N41" s="28" t="s">
        <v>21</v>
      </c>
      <c r="O41" s="28" t="s">
        <v>101</v>
      </c>
      <c r="P41" s="14">
        <v>650</v>
      </c>
      <c r="Q41" s="14"/>
      <c r="R41" s="14">
        <v>650</v>
      </c>
      <c r="S41" s="14">
        <v>650</v>
      </c>
      <c r="T41" s="14">
        <v>650</v>
      </c>
      <c r="U41" s="14">
        <v>650</v>
      </c>
      <c r="V41" s="14">
        <v>650</v>
      </c>
      <c r="W41" s="14">
        <v>650</v>
      </c>
      <c r="X41" s="14">
        <v>650</v>
      </c>
      <c r="Y41" s="14">
        <v>650</v>
      </c>
      <c r="Z41" s="14">
        <v>650</v>
      </c>
      <c r="AA41" s="14">
        <v>650</v>
      </c>
      <c r="AB41" s="13"/>
      <c r="AC41" s="15"/>
      <c r="AD41" s="4"/>
    </row>
    <row r="42" spans="2:30" x14ac:dyDescent="0.25">
      <c r="B42" s="26" t="s">
        <v>11</v>
      </c>
      <c r="C42" s="4">
        <v>31</v>
      </c>
      <c r="D42" s="4">
        <v>31</v>
      </c>
      <c r="E42" s="4">
        <v>31</v>
      </c>
      <c r="F42" s="4">
        <v>31</v>
      </c>
      <c r="G42" s="61">
        <v>29.166666666666668</v>
      </c>
      <c r="H42" s="12">
        <v>31</v>
      </c>
      <c r="N42" s="28" t="s">
        <v>21</v>
      </c>
      <c r="O42" s="28" t="s">
        <v>64</v>
      </c>
      <c r="P42" s="14">
        <v>650</v>
      </c>
      <c r="Q42" s="14">
        <v>650</v>
      </c>
      <c r="R42" s="14">
        <v>650</v>
      </c>
      <c r="S42" s="14">
        <v>650</v>
      </c>
      <c r="T42" s="14">
        <v>650</v>
      </c>
      <c r="U42" s="14">
        <v>650</v>
      </c>
      <c r="V42" s="14">
        <v>650</v>
      </c>
      <c r="W42" s="14">
        <v>650</v>
      </c>
      <c r="X42" s="14">
        <v>650</v>
      </c>
      <c r="Y42" s="14">
        <v>650</v>
      </c>
      <c r="Z42" s="14">
        <v>650</v>
      </c>
      <c r="AA42" s="14">
        <v>650</v>
      </c>
      <c r="AB42" s="13"/>
      <c r="AC42" s="15"/>
      <c r="AD42" s="4"/>
    </row>
    <row r="43" spans="2:30" x14ac:dyDescent="0.25">
      <c r="B43" s="27"/>
      <c r="N43" s="28" t="s">
        <v>24</v>
      </c>
      <c r="O43" s="28" t="s">
        <v>64</v>
      </c>
      <c r="P43" s="14">
        <v>5200</v>
      </c>
      <c r="Q43" s="14">
        <v>5200</v>
      </c>
      <c r="R43" s="14">
        <v>5200</v>
      </c>
      <c r="S43" s="14">
        <v>5200</v>
      </c>
      <c r="T43" s="14">
        <v>5200</v>
      </c>
      <c r="U43" s="14">
        <v>5200</v>
      </c>
      <c r="V43" s="14">
        <v>5200</v>
      </c>
      <c r="W43" s="14">
        <v>5200</v>
      </c>
      <c r="X43" s="14">
        <v>5200</v>
      </c>
      <c r="Y43" s="14">
        <v>5200</v>
      </c>
      <c r="Z43" s="14">
        <v>5200</v>
      </c>
      <c r="AA43" s="14">
        <v>5200</v>
      </c>
      <c r="AB43" s="13"/>
      <c r="AC43" s="15"/>
      <c r="AD43" s="4"/>
    </row>
    <row r="44" spans="2:30" x14ac:dyDescent="0.25">
      <c r="B44" s="27"/>
      <c r="N44" s="28" t="s">
        <v>25</v>
      </c>
      <c r="O44" s="28" t="s">
        <v>101</v>
      </c>
      <c r="P44" s="14">
        <v>41.666666666666664</v>
      </c>
      <c r="Q44" s="14"/>
      <c r="R44" s="14">
        <v>41.666666666666664</v>
      </c>
      <c r="S44" s="14">
        <v>41.666666666666664</v>
      </c>
      <c r="T44" s="14">
        <v>41.666666666666664</v>
      </c>
      <c r="U44" s="14">
        <v>41.666666666666664</v>
      </c>
      <c r="V44" s="14">
        <v>41.666666666666664</v>
      </c>
      <c r="W44" s="14">
        <v>41.666666666666664</v>
      </c>
      <c r="X44" s="14">
        <v>41.666666666666664</v>
      </c>
      <c r="Y44" s="14">
        <v>41.666666666666664</v>
      </c>
      <c r="Z44" s="14">
        <v>41.666666666666664</v>
      </c>
      <c r="AA44" s="14">
        <v>41.666666666666664</v>
      </c>
      <c r="AB44" s="13"/>
      <c r="AC44" s="15"/>
      <c r="AD44" s="4"/>
    </row>
    <row r="45" spans="2:30" x14ac:dyDescent="0.25">
      <c r="B45" s="27"/>
      <c r="N45" s="28" t="s">
        <v>25</v>
      </c>
      <c r="O45" s="28" t="s">
        <v>64</v>
      </c>
      <c r="P45" s="14">
        <v>41.666666666666664</v>
      </c>
      <c r="Q45" s="14">
        <v>41.666666666666664</v>
      </c>
      <c r="R45" s="14">
        <v>41.666666666666664</v>
      </c>
      <c r="S45" s="14">
        <v>41.666666666666664</v>
      </c>
      <c r="T45" s="14">
        <v>41.666666666666664</v>
      </c>
      <c r="U45" s="14">
        <v>41.666666666666664</v>
      </c>
      <c r="V45" s="14">
        <v>41.666666666666664</v>
      </c>
      <c r="W45" s="14">
        <v>41.666666666666664</v>
      </c>
      <c r="X45" s="14">
        <v>41.666666666666664</v>
      </c>
      <c r="Y45" s="14">
        <v>41.666666666666664</v>
      </c>
      <c r="Z45" s="14">
        <v>41.666666666666664</v>
      </c>
      <c r="AA45" s="14">
        <v>41.666666666666664</v>
      </c>
      <c r="AB45" s="13"/>
      <c r="AC45" s="15"/>
      <c r="AD45" s="4"/>
    </row>
    <row r="46" spans="2:30" x14ac:dyDescent="0.25">
      <c r="B46" s="27"/>
      <c r="N46" s="28" t="s">
        <v>28</v>
      </c>
      <c r="O46" s="28" t="s">
        <v>101</v>
      </c>
      <c r="P46" s="14">
        <v>3333.3333333333335</v>
      </c>
      <c r="Q46" s="14"/>
      <c r="R46" s="14">
        <v>3333.3333333333335</v>
      </c>
      <c r="S46" s="14">
        <v>3333.3333333333335</v>
      </c>
      <c r="T46" s="14">
        <v>3333.3333333333335</v>
      </c>
      <c r="U46" s="14">
        <v>3333.3333333333335</v>
      </c>
      <c r="V46" s="14">
        <v>3333.3333333333335</v>
      </c>
      <c r="W46" s="14">
        <v>3333.3333333333335</v>
      </c>
      <c r="X46" s="14">
        <v>3333.3333333333335</v>
      </c>
      <c r="Y46" s="14">
        <v>3333.3333333333335</v>
      </c>
      <c r="Z46" s="14">
        <v>3333.3333333333335</v>
      </c>
      <c r="AA46" s="14">
        <v>3333.3333333333335</v>
      </c>
      <c r="AB46" s="13"/>
      <c r="AC46" s="15"/>
      <c r="AD46" s="4"/>
    </row>
    <row r="47" spans="2:30" x14ac:dyDescent="0.25">
      <c r="B47" s="27"/>
      <c r="N47" s="28" t="s">
        <v>28</v>
      </c>
      <c r="O47" s="28" t="s">
        <v>64</v>
      </c>
      <c r="P47" s="14">
        <v>3333.3333333333335</v>
      </c>
      <c r="Q47" s="14">
        <v>3333.3333333333335</v>
      </c>
      <c r="R47" s="14">
        <v>3333.3333333333335</v>
      </c>
      <c r="S47" s="14">
        <v>3333.3333333333335</v>
      </c>
      <c r="T47" s="14">
        <v>3333.3333333333335</v>
      </c>
      <c r="U47" s="14">
        <v>3333.3333333333335</v>
      </c>
      <c r="V47" s="14">
        <v>3333.3333333333335</v>
      </c>
      <c r="W47" s="14">
        <v>3333.3333333333335</v>
      </c>
      <c r="X47" s="14">
        <v>3333.3333333333335</v>
      </c>
      <c r="Y47" s="14">
        <v>3333.3333333333335</v>
      </c>
      <c r="Z47" s="14">
        <v>3333.3333333333335</v>
      </c>
      <c r="AA47" s="14">
        <v>3333.3333333333335</v>
      </c>
      <c r="AB47" s="13"/>
      <c r="AC47" s="15"/>
      <c r="AD47" s="4"/>
    </row>
    <row r="48" spans="2:30" x14ac:dyDescent="0.25">
      <c r="B48" s="27"/>
      <c r="N48" s="28" t="s">
        <v>29</v>
      </c>
      <c r="O48" s="28" t="s">
        <v>101</v>
      </c>
      <c r="P48" s="14">
        <v>166.66666666666666</v>
      </c>
      <c r="Q48" s="14"/>
      <c r="R48" s="14">
        <v>166.66666666666666</v>
      </c>
      <c r="S48" s="14">
        <v>166.66666666666666</v>
      </c>
      <c r="T48" s="14">
        <v>166.66666666666666</v>
      </c>
      <c r="U48" s="14">
        <v>166.66666666666666</v>
      </c>
      <c r="V48" s="14">
        <v>166.66666666666666</v>
      </c>
      <c r="W48" s="14">
        <v>166.66666666666666</v>
      </c>
      <c r="X48" s="14">
        <v>166.66666666666666</v>
      </c>
      <c r="Y48" s="14">
        <v>166.66666666666666</v>
      </c>
      <c r="Z48" s="14">
        <v>166.66666666666666</v>
      </c>
      <c r="AA48" s="14">
        <v>166.66666666666666</v>
      </c>
      <c r="AB48" s="13"/>
      <c r="AC48" s="15"/>
      <c r="AD48" s="4"/>
    </row>
    <row r="49" spans="2:30" x14ac:dyDescent="0.25">
      <c r="B49" s="27"/>
      <c r="N49" s="28" t="s">
        <v>29</v>
      </c>
      <c r="O49" s="28" t="s">
        <v>64</v>
      </c>
      <c r="P49" s="14">
        <v>166.66666666666666</v>
      </c>
      <c r="Q49" s="14">
        <v>166.66666666666666</v>
      </c>
      <c r="R49" s="14">
        <v>166.66666666666666</v>
      </c>
      <c r="S49" s="14">
        <v>166.66666666666666</v>
      </c>
      <c r="T49" s="14">
        <v>166.66666666666666</v>
      </c>
      <c r="U49" s="14">
        <v>166.66666666666666</v>
      </c>
      <c r="V49" s="14">
        <v>166.66666666666666</v>
      </c>
      <c r="W49" s="14">
        <v>166.66666666666666</v>
      </c>
      <c r="X49" s="14">
        <v>166.66666666666666</v>
      </c>
      <c r="Y49" s="14">
        <v>166.66666666666666</v>
      </c>
      <c r="Z49" s="14">
        <v>166.66666666666666</v>
      </c>
      <c r="AA49" s="14">
        <v>166.66666666666666</v>
      </c>
      <c r="AB49" s="13"/>
      <c r="AC49" s="15"/>
      <c r="AD49" s="4"/>
    </row>
    <row r="50" spans="2:30" x14ac:dyDescent="0.25">
      <c r="B50" s="27"/>
      <c r="N50" s="28" t="s">
        <v>31</v>
      </c>
      <c r="O50" s="28" t="s">
        <v>64</v>
      </c>
      <c r="P50" s="14">
        <v>150</v>
      </c>
      <c r="Q50" s="14">
        <v>150</v>
      </c>
      <c r="R50" s="14">
        <v>150</v>
      </c>
      <c r="S50" s="14">
        <v>150</v>
      </c>
      <c r="T50" s="14">
        <v>150</v>
      </c>
      <c r="U50" s="14">
        <v>150</v>
      </c>
      <c r="V50" s="14">
        <v>150</v>
      </c>
      <c r="W50" s="14">
        <v>150</v>
      </c>
      <c r="X50" s="14">
        <v>150</v>
      </c>
      <c r="Y50" s="14">
        <v>150</v>
      </c>
      <c r="Z50" s="14">
        <v>150</v>
      </c>
      <c r="AA50" s="14">
        <v>150</v>
      </c>
      <c r="AB50" s="13"/>
      <c r="AC50" s="15"/>
      <c r="AD50" s="4"/>
    </row>
    <row r="51" spans="2:30" x14ac:dyDescent="0.25">
      <c r="B51" s="27"/>
      <c r="N51" s="28" t="s">
        <v>32</v>
      </c>
      <c r="O51" s="28" t="s">
        <v>64</v>
      </c>
      <c r="P51" s="14">
        <v>1500</v>
      </c>
      <c r="Q51" s="14">
        <v>1500</v>
      </c>
      <c r="R51" s="14">
        <v>1500</v>
      </c>
      <c r="S51" s="14">
        <v>1500</v>
      </c>
      <c r="T51" s="14">
        <v>1500</v>
      </c>
      <c r="U51" s="14">
        <v>1500</v>
      </c>
      <c r="V51" s="14">
        <v>1500</v>
      </c>
      <c r="W51" s="14">
        <v>1500</v>
      </c>
      <c r="X51" s="14">
        <v>1500</v>
      </c>
      <c r="Y51" s="14">
        <v>1500</v>
      </c>
      <c r="Z51" s="14">
        <v>1500</v>
      </c>
      <c r="AA51" s="14">
        <v>1500</v>
      </c>
      <c r="AB51" s="13"/>
      <c r="AC51" s="15"/>
      <c r="AD51" s="4"/>
    </row>
    <row r="52" spans="2:30" x14ac:dyDescent="0.25">
      <c r="B52" s="27"/>
      <c r="N52" s="28" t="s">
        <v>34</v>
      </c>
      <c r="O52" s="28" t="s">
        <v>101</v>
      </c>
      <c r="P52" s="14">
        <v>10</v>
      </c>
      <c r="Q52" s="14"/>
      <c r="R52" s="14">
        <v>10</v>
      </c>
      <c r="S52" s="14">
        <v>10</v>
      </c>
      <c r="T52" s="14">
        <v>10</v>
      </c>
      <c r="U52" s="14">
        <v>10</v>
      </c>
      <c r="V52" s="14">
        <v>10</v>
      </c>
      <c r="W52" s="14">
        <v>10</v>
      </c>
      <c r="X52" s="14">
        <v>10</v>
      </c>
      <c r="Y52" s="14">
        <v>10</v>
      </c>
      <c r="Z52" s="14">
        <v>10</v>
      </c>
      <c r="AA52" s="14">
        <v>10</v>
      </c>
      <c r="AB52" s="13"/>
      <c r="AC52" s="15"/>
      <c r="AD52" s="4"/>
    </row>
    <row r="53" spans="2:30" x14ac:dyDescent="0.25">
      <c r="B53" s="27"/>
      <c r="N53" s="28" t="s">
        <v>34</v>
      </c>
      <c r="O53" s="28" t="s">
        <v>64</v>
      </c>
      <c r="P53" s="14">
        <v>10</v>
      </c>
      <c r="Q53" s="14">
        <v>10</v>
      </c>
      <c r="R53" s="14">
        <v>10</v>
      </c>
      <c r="S53" s="14">
        <v>10</v>
      </c>
      <c r="T53" s="14">
        <v>10</v>
      </c>
      <c r="U53" s="14">
        <v>10</v>
      </c>
      <c r="V53" s="14">
        <v>10</v>
      </c>
      <c r="W53" s="14">
        <v>10</v>
      </c>
      <c r="X53" s="14">
        <v>10</v>
      </c>
      <c r="Y53" s="14">
        <v>10</v>
      </c>
      <c r="Z53" s="14">
        <v>10</v>
      </c>
      <c r="AA53" s="14">
        <v>10</v>
      </c>
      <c r="AB53" s="16"/>
      <c r="AC53" s="15"/>
      <c r="AD53" s="6"/>
    </row>
    <row r="54" spans="2:30" x14ac:dyDescent="0.25">
      <c r="N54" s="28" t="s">
        <v>87</v>
      </c>
      <c r="O54" s="28" t="s">
        <v>64</v>
      </c>
      <c r="P54" s="14">
        <v>3333.3333333333335</v>
      </c>
      <c r="Q54" s="14">
        <v>3333.3333333333335</v>
      </c>
      <c r="R54" s="14">
        <v>3333.3333333333335</v>
      </c>
      <c r="S54" s="14">
        <v>3333.3333333333335</v>
      </c>
      <c r="T54" s="14">
        <v>3333.3333333333335</v>
      </c>
      <c r="U54" s="14">
        <v>3333.3333333333335</v>
      </c>
      <c r="V54" s="14">
        <v>3333.3333333333335</v>
      </c>
      <c r="W54" s="14">
        <v>3333.3333333333335</v>
      </c>
      <c r="X54" s="14">
        <v>3333.3333333333335</v>
      </c>
      <c r="Y54" s="14">
        <v>3333.3333333333335</v>
      </c>
      <c r="Z54" s="14">
        <v>3333.3333333333335</v>
      </c>
      <c r="AA54" s="14">
        <v>3333.3333333333335</v>
      </c>
      <c r="AB54" s="18"/>
      <c r="AC54" s="20"/>
      <c r="AD54" s="4"/>
    </row>
    <row r="55" spans="2:30" x14ac:dyDescent="0.25">
      <c r="N55" s="28" t="s">
        <v>88</v>
      </c>
      <c r="O55" s="28" t="s">
        <v>64</v>
      </c>
      <c r="P55" s="14">
        <v>1666.6666666666667</v>
      </c>
      <c r="Q55" s="14">
        <v>1666.6666666666667</v>
      </c>
      <c r="R55" s="14">
        <v>1666.6666666666667</v>
      </c>
      <c r="S55" s="14">
        <v>1666.6666666666667</v>
      </c>
      <c r="T55" s="14">
        <v>1666.6666666666667</v>
      </c>
      <c r="U55" s="14">
        <v>1666.6666666666667</v>
      </c>
      <c r="V55" s="14">
        <v>1666.6666666666667</v>
      </c>
      <c r="W55" s="14">
        <v>1666.6666666666667</v>
      </c>
      <c r="X55" s="14">
        <v>1666.6666666666667</v>
      </c>
      <c r="Y55" s="14">
        <v>1666.6666666666667</v>
      </c>
      <c r="Z55" s="14">
        <v>1666.6666666666667</v>
      </c>
      <c r="AA55" s="14">
        <v>1666.6666666666667</v>
      </c>
      <c r="AB55" s="18"/>
      <c r="AC55" s="20"/>
      <c r="AD55" s="4"/>
    </row>
    <row r="56" spans="2:30" x14ac:dyDescent="0.25">
      <c r="N56" s="28" t="s">
        <v>36</v>
      </c>
      <c r="O56" s="28" t="s">
        <v>64</v>
      </c>
      <c r="P56" s="14">
        <v>4000</v>
      </c>
      <c r="Q56" s="14"/>
      <c r="R56" s="14"/>
      <c r="S56" s="14"/>
      <c r="T56" s="14"/>
      <c r="U56" s="14"/>
      <c r="V56" s="14"/>
      <c r="W56" s="14"/>
      <c r="X56" s="14"/>
      <c r="Y56" s="14"/>
      <c r="Z56" s="14">
        <v>1500</v>
      </c>
      <c r="AA56" s="14">
        <v>5600</v>
      </c>
      <c r="AB56" s="18"/>
      <c r="AC56" s="20"/>
      <c r="AD56" s="4"/>
    </row>
    <row r="57" spans="2:30" x14ac:dyDescent="0.25">
      <c r="N57" s="28"/>
      <c r="O57" s="28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8"/>
      <c r="AC57" s="20"/>
      <c r="AD57" s="4"/>
    </row>
    <row r="58" spans="2:30" x14ac:dyDescent="0.25">
      <c r="N58" s="41"/>
      <c r="O58" s="41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8"/>
      <c r="AC58" s="20"/>
      <c r="AD58" s="4"/>
    </row>
    <row r="59" spans="2:30" x14ac:dyDescent="0.25">
      <c r="N59" s="42"/>
      <c r="O59" s="42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8"/>
      <c r="AC59" s="20"/>
      <c r="AD59" s="4"/>
    </row>
    <row r="60" spans="2:30" x14ac:dyDescent="0.25">
      <c r="N60" s="42"/>
      <c r="O60" s="42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8"/>
      <c r="AC60" s="20"/>
      <c r="AD60" s="4"/>
    </row>
    <row r="61" spans="2:30" x14ac:dyDescent="0.25">
      <c r="N61" s="42"/>
      <c r="O61" s="42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8"/>
      <c r="AC61" s="20"/>
      <c r="AD61" s="4"/>
    </row>
    <row r="62" spans="2:30" x14ac:dyDescent="0.25">
      <c r="N62" s="18"/>
      <c r="O62" s="18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8"/>
      <c r="AC62" s="20"/>
      <c r="AD62" s="4"/>
    </row>
    <row r="63" spans="2:30" x14ac:dyDescent="0.25">
      <c r="N63" s="18"/>
      <c r="O63" s="18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8"/>
      <c r="AC63" s="20"/>
      <c r="AD63" s="4"/>
    </row>
    <row r="64" spans="2:30" x14ac:dyDescent="0.25">
      <c r="N64" s="18"/>
      <c r="O64" s="18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8"/>
      <c r="AC64" s="20"/>
      <c r="AD64" s="4"/>
    </row>
    <row r="65" spans="14:30" x14ac:dyDescent="0.25">
      <c r="N65" s="18"/>
      <c r="O65" s="18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8"/>
      <c r="AC65" s="20"/>
      <c r="AD65" s="4"/>
    </row>
    <row r="66" spans="14:30" x14ac:dyDescent="0.25">
      <c r="N66" s="18"/>
      <c r="O66" s="18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8"/>
      <c r="AC66" s="20"/>
      <c r="AD66" s="4"/>
    </row>
    <row r="67" spans="14:30" x14ac:dyDescent="0.25">
      <c r="N67" s="18"/>
      <c r="O67" s="18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8"/>
      <c r="AC67" s="20"/>
      <c r="AD67" s="4"/>
    </row>
    <row r="68" spans="14:30" x14ac:dyDescent="0.25">
      <c r="N68" s="18"/>
      <c r="O68" s="18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8"/>
      <c r="AC68" s="20"/>
      <c r="AD68" s="4"/>
    </row>
    <row r="69" spans="14:30" x14ac:dyDescent="0.25">
      <c r="N69" s="18"/>
      <c r="O69" s="18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8"/>
      <c r="AC69" s="20"/>
      <c r="AD69" s="4"/>
    </row>
    <row r="70" spans="14:30" x14ac:dyDescent="0.25">
      <c r="N70" s="18"/>
      <c r="O70" s="18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8"/>
      <c r="AC70" s="20"/>
      <c r="AD70" s="4"/>
    </row>
    <row r="71" spans="14:30" x14ac:dyDescent="0.25">
      <c r="N71" s="18"/>
      <c r="O71" s="18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8"/>
      <c r="AC71" s="20"/>
      <c r="AD71" s="4"/>
    </row>
    <row r="72" spans="14:30" x14ac:dyDescent="0.25">
      <c r="N72" s="18"/>
      <c r="O72" s="18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8"/>
      <c r="AC72" s="20"/>
      <c r="AD72" s="4"/>
    </row>
    <row r="73" spans="14:30" x14ac:dyDescent="0.25">
      <c r="N73" s="18"/>
      <c r="O73" s="18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8"/>
      <c r="AC73" s="20"/>
      <c r="AD73" s="4"/>
    </row>
    <row r="74" spans="14:30" x14ac:dyDescent="0.25">
      <c r="N74" s="18"/>
      <c r="O74" s="18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8"/>
      <c r="AC74" s="20"/>
      <c r="AD74" s="4"/>
    </row>
    <row r="75" spans="14:30" x14ac:dyDescent="0.25">
      <c r="N75" s="18"/>
      <c r="O75" s="18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8"/>
      <c r="AC75" s="20"/>
      <c r="AD75" s="4"/>
    </row>
    <row r="76" spans="14:30" x14ac:dyDescent="0.25">
      <c r="N76" s="18"/>
      <c r="O76" s="18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21"/>
      <c r="AC76" s="20"/>
      <c r="AD76" s="6"/>
    </row>
    <row r="77" spans="14:30" x14ac:dyDescent="0.25">
      <c r="N77" s="18"/>
      <c r="O77" s="18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</row>
    <row r="78" spans="14:30" x14ac:dyDescent="0.25">
      <c r="N78" s="18"/>
      <c r="O78" s="18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</row>
    <row r="79" spans="14:30" x14ac:dyDescent="0.25">
      <c r="N79" s="18"/>
      <c r="O79" s="18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</row>
    <row r="80" spans="14:30" x14ac:dyDescent="0.25">
      <c r="N80" s="18"/>
      <c r="O80" s="18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</row>
    <row r="81" spans="14:27" x14ac:dyDescent="0.25">
      <c r="N81" s="21"/>
      <c r="O81" s="21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</row>
  </sheetData>
  <conditionalFormatting sqref="C4:C9">
    <cfRule type="colorScale" priority="14">
      <colorScale>
        <cfvo type="min"/>
        <cfvo type="max"/>
        <color theme="7" tint="0.79998168889431442"/>
        <color theme="9" tint="0.59999389629810485"/>
      </colorScale>
    </cfRule>
  </conditionalFormatting>
  <conditionalFormatting sqref="C31:H42">
    <cfRule type="colorScale" priority="13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O4:O33">
    <cfRule type="colorScale" priority="11">
      <colorScale>
        <cfvo type="min"/>
        <cfvo type="max"/>
        <color theme="7" tint="0.79998168889431442"/>
        <color theme="9" tint="0.59999389629810485"/>
      </colorScale>
    </cfRule>
  </conditionalFormatting>
  <conditionalFormatting sqref="T4:T33">
    <cfRule type="cellIs" dxfId="2" priority="10" operator="greaterThan">
      <formula>0</formula>
    </cfRule>
  </conditionalFormatting>
  <conditionalFormatting sqref="U4:U3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">
    <cfRule type="cellIs" dxfId="1" priority="5" operator="lessThanOrEqual">
      <formula>0</formula>
    </cfRule>
  </conditionalFormatting>
  <conditionalFormatting sqref="Q4:Q33">
    <cfRule type="colorScale" priority="4">
      <colorScale>
        <cfvo type="min"/>
        <cfvo type="max"/>
        <color theme="7" tint="0.79998168889431442"/>
        <color theme="9" tint="0.59999389629810485"/>
      </colorScale>
    </cfRule>
  </conditionalFormatting>
  <conditionalFormatting sqref="R4:R33">
    <cfRule type="colorScale" priority="3">
      <colorScale>
        <cfvo type="min"/>
        <cfvo type="max"/>
        <color theme="7" tint="0.79998168889431442"/>
        <color theme="9" tint="0.59999389629810485"/>
      </colorScale>
    </cfRule>
  </conditionalFormatting>
  <conditionalFormatting sqref="S4:S33">
    <cfRule type="colorScale" priority="2">
      <colorScale>
        <cfvo type="min"/>
        <cfvo type="max"/>
        <color theme="7" tint="0.79998168889431442"/>
        <color theme="9" tint="0.59999389629810485"/>
      </colorScale>
    </cfRule>
  </conditionalFormatting>
  <conditionalFormatting sqref="N4:N33">
    <cfRule type="expression" dxfId="0" priority="1">
      <formula>$O4=0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EA2D-DDC9-4350-B279-3276D2ECF13A}">
  <dimension ref="C2:AD15"/>
  <sheetViews>
    <sheetView zoomScale="85" zoomScaleNormal="85" workbookViewId="0">
      <selection activeCell="AF7" sqref="AF7"/>
    </sheetView>
  </sheetViews>
  <sheetFormatPr defaultRowHeight="15" x14ac:dyDescent="0.25"/>
  <cols>
    <col min="4" max="4" width="10.28515625" bestFit="1" customWidth="1"/>
    <col min="11" max="11" width="11.28515625" bestFit="1" customWidth="1"/>
  </cols>
  <sheetData>
    <row r="2" spans="3:30" x14ac:dyDescent="0.25">
      <c r="D2" t="s">
        <v>13</v>
      </c>
      <c r="G2" s="2" t="s">
        <v>37</v>
      </c>
      <c r="H2" t="s">
        <v>14</v>
      </c>
      <c r="I2" t="s">
        <v>15</v>
      </c>
      <c r="J2" t="s">
        <v>16</v>
      </c>
      <c r="K2" t="s">
        <v>17</v>
      </c>
      <c r="L2" t="s">
        <v>18</v>
      </c>
      <c r="M2" t="s">
        <v>19</v>
      </c>
      <c r="N2" t="s">
        <v>20</v>
      </c>
      <c r="O2" t="s">
        <v>21</v>
      </c>
      <c r="P2" t="s">
        <v>22</v>
      </c>
      <c r="Q2" t="s">
        <v>23</v>
      </c>
      <c r="R2" t="s">
        <v>24</v>
      </c>
      <c r="S2" t="s">
        <v>25</v>
      </c>
      <c r="T2" t="s">
        <v>26</v>
      </c>
      <c r="U2" t="s">
        <v>27</v>
      </c>
      <c r="V2" t="s">
        <v>28</v>
      </c>
      <c r="W2" t="s">
        <v>29</v>
      </c>
      <c r="X2" t="s">
        <v>30</v>
      </c>
      <c r="Y2" t="s">
        <v>31</v>
      </c>
      <c r="Z2" t="s">
        <v>32</v>
      </c>
      <c r="AA2" t="s">
        <v>33</v>
      </c>
      <c r="AB2" t="s">
        <v>34</v>
      </c>
      <c r="AC2" t="s">
        <v>35</v>
      </c>
      <c r="AD2" t="s">
        <v>36</v>
      </c>
    </row>
    <row r="3" spans="3:30" x14ac:dyDescent="0.25">
      <c r="C3" t="s">
        <v>0</v>
      </c>
      <c r="D3" s="1">
        <v>4800726.7781380201</v>
      </c>
      <c r="G3" t="s">
        <v>0</v>
      </c>
      <c r="H3" s="1">
        <v>0</v>
      </c>
      <c r="I3" s="1">
        <v>0</v>
      </c>
      <c r="J3" s="1">
        <v>0</v>
      </c>
      <c r="K3" s="1">
        <v>1263018.75</v>
      </c>
      <c r="L3" s="1">
        <v>0</v>
      </c>
      <c r="M3" s="1">
        <v>0</v>
      </c>
      <c r="N3" s="1">
        <v>0</v>
      </c>
      <c r="O3" s="1">
        <v>341250</v>
      </c>
      <c r="P3" s="1">
        <v>0</v>
      </c>
      <c r="Q3" s="1">
        <v>0</v>
      </c>
      <c r="R3" s="1">
        <v>2730000</v>
      </c>
      <c r="S3" s="1">
        <v>32708.333333333299</v>
      </c>
      <c r="T3" s="1">
        <v>0</v>
      </c>
      <c r="U3" s="1">
        <v>0</v>
      </c>
      <c r="V3" s="1">
        <v>0</v>
      </c>
      <c r="W3" s="1">
        <v>356450.25480468798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</row>
    <row r="4" spans="3:30" x14ac:dyDescent="0.25">
      <c r="C4" t="s">
        <v>1</v>
      </c>
      <c r="D4" s="1">
        <v>3618208.7938665799</v>
      </c>
      <c r="G4" t="s">
        <v>1</v>
      </c>
      <c r="H4" s="1">
        <v>0</v>
      </c>
      <c r="I4" s="1">
        <v>0</v>
      </c>
      <c r="J4" s="1">
        <v>0</v>
      </c>
      <c r="K4" s="1">
        <v>1263018.75</v>
      </c>
      <c r="L4" s="1">
        <v>0</v>
      </c>
      <c r="M4" s="1">
        <v>0</v>
      </c>
      <c r="N4" s="1">
        <v>0</v>
      </c>
      <c r="O4" s="1">
        <v>341250</v>
      </c>
      <c r="P4" s="1">
        <v>0</v>
      </c>
      <c r="Q4" s="1">
        <v>0</v>
      </c>
      <c r="R4" s="1">
        <v>0</v>
      </c>
      <c r="S4" s="1">
        <v>32708.333333333299</v>
      </c>
      <c r="T4" s="1">
        <v>0</v>
      </c>
      <c r="U4" s="1">
        <v>0</v>
      </c>
      <c r="V4" s="1">
        <v>1230382.5253379401</v>
      </c>
      <c r="W4" s="1">
        <v>673549.74519531196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</row>
    <row r="5" spans="3:30" x14ac:dyDescent="0.25">
      <c r="C5" t="s">
        <v>2</v>
      </c>
      <c r="D5" s="1">
        <v>3773859.5010472098</v>
      </c>
      <c r="G5" t="s">
        <v>2</v>
      </c>
      <c r="H5" s="1">
        <v>0</v>
      </c>
      <c r="I5" s="1">
        <v>0</v>
      </c>
      <c r="J5" s="1">
        <v>0</v>
      </c>
      <c r="K5" s="1">
        <v>1263018.75</v>
      </c>
      <c r="L5" s="1">
        <v>0</v>
      </c>
      <c r="M5" s="1">
        <v>0</v>
      </c>
      <c r="N5" s="1">
        <v>0</v>
      </c>
      <c r="O5" s="1">
        <v>341250</v>
      </c>
      <c r="P5" s="1">
        <v>0</v>
      </c>
      <c r="Q5" s="1">
        <v>0</v>
      </c>
      <c r="R5" s="1">
        <v>0</v>
      </c>
      <c r="S5" s="1">
        <v>32708.333333333299</v>
      </c>
      <c r="T5" s="1">
        <v>0</v>
      </c>
      <c r="U5" s="1">
        <v>0</v>
      </c>
      <c r="V5" s="1">
        <v>2059582.9777138799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</row>
    <row r="6" spans="3:30" x14ac:dyDescent="0.25">
      <c r="C6" t="s">
        <v>3</v>
      </c>
      <c r="D6" s="1">
        <v>3261847.0148859499</v>
      </c>
      <c r="G6" t="s">
        <v>3</v>
      </c>
      <c r="H6" s="1">
        <v>0</v>
      </c>
      <c r="I6" s="1">
        <v>0</v>
      </c>
      <c r="J6" s="1">
        <v>0</v>
      </c>
      <c r="K6" s="1">
        <v>1263018.75</v>
      </c>
      <c r="L6" s="1">
        <v>0</v>
      </c>
      <c r="M6" s="1">
        <v>0</v>
      </c>
      <c r="N6" s="1">
        <v>0</v>
      </c>
      <c r="O6" s="1">
        <v>341250</v>
      </c>
      <c r="P6" s="1">
        <v>0</v>
      </c>
      <c r="Q6" s="1">
        <v>0</v>
      </c>
      <c r="R6" s="1">
        <v>0</v>
      </c>
      <c r="S6" s="1">
        <v>32708.333333333299</v>
      </c>
      <c r="T6" s="1">
        <v>0</v>
      </c>
      <c r="U6" s="1">
        <v>0</v>
      </c>
      <c r="V6" s="1">
        <v>1547570.49155262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</row>
    <row r="7" spans="3:30" x14ac:dyDescent="0.25">
      <c r="C7" t="s">
        <v>4</v>
      </c>
      <c r="D7" s="1">
        <v>2249665.5818990301</v>
      </c>
      <c r="G7" t="s">
        <v>4</v>
      </c>
      <c r="H7" s="1">
        <v>0</v>
      </c>
      <c r="I7" s="1">
        <v>0</v>
      </c>
      <c r="J7" s="1">
        <v>0</v>
      </c>
      <c r="K7" s="1">
        <v>1263018.75</v>
      </c>
      <c r="L7" s="1">
        <v>0</v>
      </c>
      <c r="M7" s="1">
        <v>0</v>
      </c>
      <c r="N7" s="1">
        <v>0</v>
      </c>
      <c r="O7" s="1">
        <v>341250</v>
      </c>
      <c r="P7" s="1">
        <v>0</v>
      </c>
      <c r="Q7" s="1">
        <v>0</v>
      </c>
      <c r="R7" s="1">
        <v>0</v>
      </c>
      <c r="S7" s="1">
        <v>32708.333333333299</v>
      </c>
      <c r="T7" s="1">
        <v>0</v>
      </c>
      <c r="U7" s="1">
        <v>0</v>
      </c>
      <c r="V7" s="1">
        <v>612688.49856569897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</row>
    <row r="8" spans="3:30" x14ac:dyDescent="0.25">
      <c r="C8" t="s">
        <v>5</v>
      </c>
      <c r="D8" s="1">
        <v>1636977.08333333</v>
      </c>
      <c r="G8" t="s">
        <v>5</v>
      </c>
      <c r="H8" s="1">
        <v>0</v>
      </c>
      <c r="I8" s="1">
        <v>0</v>
      </c>
      <c r="J8" s="1">
        <v>0</v>
      </c>
      <c r="K8" s="1">
        <v>1263018.75</v>
      </c>
      <c r="L8" s="1">
        <v>0</v>
      </c>
      <c r="M8" s="1">
        <v>0</v>
      </c>
      <c r="N8" s="1">
        <v>0</v>
      </c>
      <c r="O8" s="1">
        <v>341250</v>
      </c>
      <c r="P8" s="1">
        <v>0</v>
      </c>
      <c r="Q8" s="1">
        <v>0</v>
      </c>
      <c r="R8" s="1">
        <v>0</v>
      </c>
      <c r="S8" s="1">
        <v>32708.333333333299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</row>
    <row r="9" spans="3:30" x14ac:dyDescent="0.25">
      <c r="C9" t="s">
        <v>6</v>
      </c>
      <c r="D9" s="1">
        <v>1636977.08333333</v>
      </c>
      <c r="G9" t="s">
        <v>6</v>
      </c>
      <c r="H9" s="1">
        <v>0</v>
      </c>
      <c r="I9" s="1">
        <v>0</v>
      </c>
      <c r="J9" s="1">
        <v>0</v>
      </c>
      <c r="K9" s="1">
        <v>1263018.75</v>
      </c>
      <c r="L9" s="1">
        <v>0</v>
      </c>
      <c r="M9" s="1">
        <v>0</v>
      </c>
      <c r="N9" s="1">
        <v>0</v>
      </c>
      <c r="O9" s="1">
        <v>341250</v>
      </c>
      <c r="P9" s="1">
        <v>0</v>
      </c>
      <c r="Q9" s="1">
        <v>0</v>
      </c>
      <c r="R9" s="1">
        <v>0</v>
      </c>
      <c r="S9" s="1">
        <v>32708.333333333299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</row>
    <row r="10" spans="3:30" x14ac:dyDescent="0.25">
      <c r="C10" t="s">
        <v>7</v>
      </c>
      <c r="D10" s="1">
        <v>1636977.08333333</v>
      </c>
      <c r="G10" t="s">
        <v>7</v>
      </c>
      <c r="H10" s="1">
        <v>0</v>
      </c>
      <c r="I10" s="1">
        <v>0</v>
      </c>
      <c r="J10" s="1">
        <v>0</v>
      </c>
      <c r="K10" s="1">
        <v>1263018.75</v>
      </c>
      <c r="L10" s="1">
        <v>0</v>
      </c>
      <c r="M10" s="1">
        <v>0</v>
      </c>
      <c r="N10" s="1">
        <v>0</v>
      </c>
      <c r="O10" s="1">
        <v>341250</v>
      </c>
      <c r="P10" s="1">
        <v>0</v>
      </c>
      <c r="Q10" s="1">
        <v>0</v>
      </c>
      <c r="R10" s="1">
        <v>0</v>
      </c>
      <c r="S10" s="1">
        <v>32708.333333333299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</row>
    <row r="11" spans="3:30" x14ac:dyDescent="0.25">
      <c r="C11" t="s">
        <v>8</v>
      </c>
      <c r="D11" s="1">
        <v>1636977.08333333</v>
      </c>
      <c r="G11" t="s">
        <v>8</v>
      </c>
      <c r="H11" s="1">
        <v>0</v>
      </c>
      <c r="I11" s="1">
        <v>0</v>
      </c>
      <c r="J11" s="1">
        <v>0</v>
      </c>
      <c r="K11" s="1">
        <v>1263018.75</v>
      </c>
      <c r="L11" s="1">
        <v>0</v>
      </c>
      <c r="M11" s="1">
        <v>0</v>
      </c>
      <c r="N11" s="1">
        <v>0</v>
      </c>
      <c r="O11" s="1">
        <v>341250</v>
      </c>
      <c r="P11" s="1">
        <v>0</v>
      </c>
      <c r="Q11" s="1">
        <v>0</v>
      </c>
      <c r="R11" s="1">
        <v>0</v>
      </c>
      <c r="S11" s="1">
        <v>32708.333333333299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</row>
    <row r="12" spans="3:30" x14ac:dyDescent="0.25">
      <c r="C12" t="s">
        <v>9</v>
      </c>
      <c r="D12" s="1">
        <v>3584499.7505626101</v>
      </c>
      <c r="G12" t="s">
        <v>9</v>
      </c>
      <c r="H12" s="1">
        <v>0</v>
      </c>
      <c r="I12" s="1">
        <v>0</v>
      </c>
      <c r="J12" s="1">
        <v>0</v>
      </c>
      <c r="K12" s="1">
        <v>1263018.75</v>
      </c>
      <c r="L12" s="1">
        <v>1531253.5078221001</v>
      </c>
      <c r="M12" s="1">
        <v>0</v>
      </c>
      <c r="N12" s="1">
        <v>0</v>
      </c>
      <c r="O12" s="1">
        <v>341250</v>
      </c>
      <c r="P12" s="1">
        <v>0</v>
      </c>
      <c r="Q12" s="1">
        <v>0</v>
      </c>
      <c r="R12" s="1">
        <v>0</v>
      </c>
      <c r="S12" s="1">
        <v>32708.333333333299</v>
      </c>
      <c r="T12" s="1">
        <v>0</v>
      </c>
      <c r="U12" s="1">
        <v>0</v>
      </c>
      <c r="V12" s="1">
        <v>338969.71940717299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</row>
    <row r="13" spans="3:30" x14ac:dyDescent="0.25">
      <c r="C13" t="s">
        <v>10</v>
      </c>
      <c r="D13" s="1">
        <v>4283726.39653558</v>
      </c>
      <c r="G13" t="s">
        <v>10</v>
      </c>
      <c r="H13" s="1">
        <v>2263203.3810243499</v>
      </c>
      <c r="I13" s="1">
        <v>0</v>
      </c>
      <c r="J13" s="1">
        <v>0</v>
      </c>
      <c r="K13" s="1">
        <v>1263018.75</v>
      </c>
      <c r="L13" s="1">
        <v>306246.49217789801</v>
      </c>
      <c r="M13" s="1">
        <v>0</v>
      </c>
      <c r="N13" s="1">
        <v>0</v>
      </c>
      <c r="O13" s="1">
        <v>341250</v>
      </c>
      <c r="P13" s="1">
        <v>0</v>
      </c>
      <c r="Q13" s="1">
        <v>0</v>
      </c>
      <c r="R13" s="1">
        <v>0</v>
      </c>
      <c r="S13" s="1">
        <v>32708.333333333299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</row>
    <row r="14" spans="3:30" x14ac:dyDescent="0.25">
      <c r="C14" t="s">
        <v>11</v>
      </c>
      <c r="D14" s="1">
        <v>4330348.1423089802</v>
      </c>
      <c r="G14" t="s">
        <v>11</v>
      </c>
      <c r="H14" s="1">
        <v>2510621.6189756501</v>
      </c>
      <c r="I14" s="1">
        <v>0</v>
      </c>
      <c r="J14" s="1">
        <v>0</v>
      </c>
      <c r="K14" s="1">
        <v>1263018.75</v>
      </c>
      <c r="L14" s="1">
        <v>0</v>
      </c>
      <c r="M14" s="1">
        <v>0</v>
      </c>
      <c r="N14" s="1">
        <v>0</v>
      </c>
      <c r="O14" s="1">
        <v>341250</v>
      </c>
      <c r="P14" s="1">
        <v>0</v>
      </c>
      <c r="Q14" s="1">
        <v>0</v>
      </c>
      <c r="R14" s="1">
        <v>0</v>
      </c>
      <c r="S14" s="1">
        <v>32708.333333333299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23250</v>
      </c>
      <c r="Z14" s="1">
        <v>0</v>
      </c>
      <c r="AA14" s="1">
        <v>0</v>
      </c>
      <c r="AB14" s="1">
        <v>82200</v>
      </c>
      <c r="AC14" s="1">
        <v>0</v>
      </c>
      <c r="AD14" s="1">
        <v>0</v>
      </c>
    </row>
    <row r="15" spans="3:30" x14ac:dyDescent="0.25">
      <c r="C15" t="s">
        <v>12</v>
      </c>
      <c r="D15" s="1">
        <f>SUM(D3:D14)</f>
        <v>36450790.292577267</v>
      </c>
      <c r="G15" t="s">
        <v>12</v>
      </c>
      <c r="H15" s="3">
        <f>SUM(H3:H14)</f>
        <v>4773825</v>
      </c>
      <c r="I15" s="3">
        <f t="shared" ref="I15:AD15" si="0">SUM(I3:I14)</f>
        <v>0</v>
      </c>
      <c r="J15" s="3">
        <f t="shared" si="0"/>
        <v>0</v>
      </c>
      <c r="K15" s="3">
        <f t="shared" si="0"/>
        <v>15156225</v>
      </c>
      <c r="L15" s="3">
        <f t="shared" si="0"/>
        <v>1837499.9999999981</v>
      </c>
      <c r="M15" s="3">
        <f t="shared" si="0"/>
        <v>0</v>
      </c>
      <c r="N15" s="3">
        <f t="shared" si="0"/>
        <v>0</v>
      </c>
      <c r="O15" s="3">
        <f t="shared" si="0"/>
        <v>4095000</v>
      </c>
      <c r="P15" s="3">
        <f t="shared" si="0"/>
        <v>0</v>
      </c>
      <c r="Q15" s="3">
        <f t="shared" si="0"/>
        <v>0</v>
      </c>
      <c r="R15" s="3">
        <f t="shared" si="0"/>
        <v>2730000</v>
      </c>
      <c r="S15" s="3">
        <f t="shared" si="0"/>
        <v>392499.99999999971</v>
      </c>
      <c r="T15" s="3">
        <f t="shared" si="0"/>
        <v>0</v>
      </c>
      <c r="U15" s="3">
        <f t="shared" si="0"/>
        <v>0</v>
      </c>
      <c r="V15" s="3">
        <f t="shared" si="0"/>
        <v>5789194.2125773123</v>
      </c>
      <c r="W15" s="3">
        <f t="shared" si="0"/>
        <v>1030000</v>
      </c>
      <c r="X15" s="3">
        <f t="shared" si="0"/>
        <v>0</v>
      </c>
      <c r="Y15" s="3">
        <f t="shared" si="0"/>
        <v>23250</v>
      </c>
      <c r="Z15" s="3">
        <f t="shared" si="0"/>
        <v>0</v>
      </c>
      <c r="AA15" s="3">
        <f t="shared" si="0"/>
        <v>0</v>
      </c>
      <c r="AB15" s="3">
        <f t="shared" si="0"/>
        <v>82200</v>
      </c>
      <c r="AC15" s="3">
        <f t="shared" si="0"/>
        <v>0</v>
      </c>
      <c r="AD15" s="3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Overblik</vt:lpstr>
      <vt:lpstr>Inputs</vt:lpstr>
      <vt:lpstr>DUMP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2021-10-08T13:01:09Z</dcterms:modified>
</cp:coreProperties>
</file>